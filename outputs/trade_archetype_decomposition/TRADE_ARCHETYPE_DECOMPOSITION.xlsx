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e6a1a147647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576d955bf6774678"/>
    <x:sheet xmlns:r="http://schemas.openxmlformats.org/officeDocument/2006/relationships" name="Trade Features" sheetId="2" r:id="R9c52a5f95bf148c6"/>
    <x:sheet xmlns:r="http://schemas.openxmlformats.org/officeDocument/2006/relationships" name="Factor Summary" sheetId="3" r:id="R04aa2d0ca9264015"/>
    <x:sheet xmlns:r="http://schemas.openxmlformats.org/officeDocument/2006/relationships" name="Family Tests" sheetId="4" r:id="R1285b989c0da4291"/>
    <x:sheet xmlns:r="http://schemas.openxmlformats.org/officeDocument/2006/relationships" name="Stability" sheetId="5" r:id="R63a403aa4f114980"/>
    <x:sheet xmlns:r="http://schemas.openxmlformats.org/officeDocument/2006/relationships" name="Cumulative" sheetId="6" r:id="R1942390c32864b56"/>
    <x:sheet xmlns:r="http://schemas.openxmlformats.org/officeDocument/2006/relationships" name="Baseline" sheetId="7" r:id="R622552e0532a4fef"/>
    <x:sheet xmlns:r="http://schemas.openxmlformats.org/officeDocument/2006/relationships" name="Reconciliation" sheetId="8" r:id="R5018c1cd6153423d"/>
    <x:sheet xmlns:r="http://schemas.openxmlformats.org/officeDocument/2006/relationships" name="Family Charts" sheetId="9" r:id="R62a43ec145124dbe"/>
    <x:sheet xmlns:r="http://schemas.openxmlformats.org/officeDocument/2006/relationships" name="Cumulative Charts" sheetId="10" r:id="R744f2daeb444457b"/>
    <x:sheet xmlns:r="http://schemas.openxmlformats.org/officeDocument/2006/relationships" name="Factor Charts" sheetId="11" r:id="Rb73891ac505345c1"/>
    <x:sheet xmlns:r="http://schemas.openxmlformats.org/officeDocument/2006/relationships" name="Audit Calc" sheetId="12" r:id="R452420a636c54941"/>
    <x:sheet xmlns:r="http://schemas.openxmlformats.org/officeDocument/2006/relationships" name="Methodology" sheetId="13" r:id="R41e829428d89458d"/>
    <x:sheet xmlns:r="http://schemas.openxmlformats.org/officeDocument/2006/relationships" name="Checks" sheetId="14" r:id="R29f31ab6651040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General"/>
    <x:numFmt numFmtId="201" formatCode="yyyy-mm-dd hh:mm"/>
    <x:numFmt numFmtId="202" formatCode="0"/>
    <x:numFmt numFmtId="203" formatCode="0.0000"/>
    <x:numFmt numFmtId="204" formatCode="0.00&quot;%&quot;"/>
    <x:numFmt numFmtId="205" formatCode="0.00000"/>
    <x:numFmt numFmtId="206" formatCode="0.000000"/>
    <x:numFmt numFmtId="207" formatCode="0.000000000"/>
  </x:numFmts>
  <x:fonts count="22">
    <x:font>
      <x:sz val="11"/>
      <x:name val="Carlito"/>
    </x:font>
    <x:font>
      <x:sz val="7"/>
      <x:color rgb="FF1F2937"/>
      <x:name val="Aptos"/>
    </x:font>
    <x:font>
      <x:b/>
      <x:sz val="9"/>
      <x:color rgb="FFFFFFFF"/>
      <x:name val="Aptos Display"/>
    </x:font>
    <x:font>
      <x:sz val="8"/>
      <x:color rgb="FF1F2937"/>
      <x:name val="Aptos"/>
    </x:font>
    <x:font>
      <x:b/>
      <x:sz val="20"/>
      <x:color rgb="FFFFFFFF"/>
      <x:name val="Aptos Display"/>
    </x:font>
    <x:font>
      <x:i/>
      <x:sz val="10"/>
      <x:color rgb="FF334E68"/>
      <x:name val="Aptos"/>
    </x:font>
    <x:font>
      <x:sz val="10"/>
      <x:color rgb="FF008000"/>
      <x:name val="Aptos"/>
    </x:font>
    <x:font>
      <x:sz val="10"/>
      <x:color rgb="FF5C4813"/>
      <x:name val="Aptos"/>
    </x:font>
    <x:font>
      <x:b/>
      <x:sz val="10"/>
      <x:color rgb="FFFFFFFF"/>
      <x:name val="Aptos Display"/>
    </x:font>
    <x:font>
      <x:b/>
      <x:sz val="9"/>
      <x:color rgb="FF334E68"/>
      <x:name val="Aptos"/>
    </x:font>
    <x:font>
      <x:sz val="10"/>
      <x:color rgb="FF1F2937"/>
      <x:name val="Aptos"/>
    </x:font>
    <x:font>
      <x:b/>
      <x:sz val="10"/>
      <x:color rgb="FFB42318"/>
      <x:name val="Aptos"/>
    </x:font>
    <x:font>
      <x:sz val="9"/>
      <x:color rgb="FF1F2937"/>
      <x:name val="Aptos"/>
    </x:font>
    <x:font>
      <x:b/>
      <x:sz val="18"/>
      <x:color rgb="FFFFFFFF"/>
      <x:name val="Aptos Display"/>
    </x:font>
    <x:font>
      <x:i/>
      <x:sz val="9"/>
      <x:color rgb="FF334E68"/>
      <x:name val="Aptos"/>
    </x:font>
    <x:font>
      <x:sz val="8"/>
      <x:color rgb="FF008000"/>
      <x:name val="Aptos"/>
    </x:font>
    <x:font>
      <x:b/>
      <x:sz val="8"/>
      <x:color rgb="FFFFFFFF"/>
      <x:name val="Aptos"/>
    </x:font>
    <x:font>
      <x:sz val="7"/>
      <x:color rgb="FF008000"/>
      <x:name val="Aptos"/>
    </x:font>
    <x:font>
      <x:b/>
      <x:sz val="9"/>
      <x:color rgb="FFFFFFFF"/>
      <x:name val="Aptos"/>
    </x:font>
    <x:font>
      <x:sz val="8"/>
      <x:color rgb="FF000000"/>
      <x:name val="Aptos"/>
    </x:font>
    <x:font>
      <x:b/>
      <x:sz val="10"/>
      <x:color rgb="FF334E68"/>
      <x:name val="Aptos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02A43"/>
      </x:patternFill>
    </x:fill>
    <x:fill>
      <x:patternFill patternType="solid">
        <x:fgColor rgb="FFD9EAF7"/>
      </x:patternFill>
    </x:fill>
    <x:fill>
      <x:patternFill patternType="solid">
        <x:fgColor rgb="FFFFF7D6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0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200" fontId="3" fillId="0" borderId="0" xfId="0" applyNumberFormat="1" applyFont="1" applyFill="1" applyBorder="1"/>
    <x:xf numFmtId="202" fontId="3" fillId="0" borderId="0" xfId="0" applyNumberFormat="1" applyFont="1" applyFill="1" applyBorder="1"/>
    <x:xf numFmtId="204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202" fontId="6" fillId="0" borderId="0" xfId="0" applyNumberFormat="1" applyFont="1" applyFill="1" applyBorder="1"/>
    <x:xf numFmtId="204" fontId="6" fillId="0" borderId="0" xfId="0" applyNumberFormat="1" applyFont="1" applyFill="1" applyBorder="1"/>
    <x:xf numFmtId="205" fontId="6" fillId="0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4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202" fontId="10" fillId="0" borderId="0" xfId="0" applyNumberFormat="1" applyFont="1" applyFill="1" applyBorder="1"/>
    <x:xf numFmtId="204" fontId="10" fillId="0" borderId="0" xfId="0" applyNumberFormat="1" applyFont="1" applyFill="1" applyBorder="1"/>
    <x:xf numFmtId="205" fontId="10" fillId="0" borderId="0" xfId="0" applyNumberFormat="1" applyFont="1" applyFill="1" applyBorder="1"/>
    <x:xf numFmtId="0" fontId="10" fillId="0" borderId="1" xfId="0" applyNumberFormat="1" applyFont="1" applyFill="1" applyBorder="1"/>
    <x:xf numFmtId="202" fontId="10" fillId="0" borderId="2" xfId="0" applyNumberFormat="1" applyFont="1" applyFill="1" applyBorder="1"/>
    <x:xf numFmtId="0" fontId="10" fillId="0" borderId="3" xfId="0" applyNumberFormat="1" applyFont="1" applyFill="1" applyBorder="1"/>
    <x:xf numFmtId="0" fontId="10" fillId="0" borderId="4" xfId="0" applyNumberFormat="1" applyFont="1" applyFill="1" applyBorder="1"/>
    <x:xf numFmtId="202" fontId="10" fillId="0" borderId="5" xfId="0" applyNumberFormat="1" applyFont="1" applyFill="1" applyBorder="1"/>
    <x:xf numFmtId="0" fontId="10" fillId="0" borderId="6" xfId="0" applyNumberFormat="1" applyFont="1" applyFill="1" applyBorder="1"/>
    <x:xf numFmtId="204" fontId="10" fillId="0" borderId="5" xfId="0" applyNumberFormat="1" applyFont="1" applyFill="1" applyBorder="1"/>
    <x:xf numFmtId="205" fontId="10" fillId="0" borderId="5" xfId="0" applyNumberFormat="1" applyFont="1" applyFill="1" applyBorder="1"/>
    <x:xf numFmtId="0" fontId="10" fillId="0" borderId="7" xfId="0" applyNumberFormat="1" applyFont="1" applyFill="1" applyBorder="1"/>
    <x:xf numFmtId="205" fontId="10" fillId="0" borderId="8" xfId="0" applyNumberFormat="1" applyFont="1" applyFill="1" applyBorder="1"/>
    <x:xf numFmtId="0" fontId="10" fillId="0" borderId="9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10" fillId="0" borderId="3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wrapText="1"/>
    </x:xf>
    <x:xf numFmtId="0" fontId="10" fillId="0" borderId="6" xfId="0" applyNumberFormat="1" applyFont="1" applyFill="1" applyBorder="1" applyAlignment="1">
      <x:alignment wrapText="1"/>
    </x:xf>
    <x:xf numFmtId="0" fontId="10" fillId="0" borderId="7" xfId="0" applyNumberFormat="1" applyFont="1" applyFill="1" applyBorder="1" applyAlignment="1">
      <x:alignment wrapText="1"/>
    </x:xf>
    <x:xf numFmtId="0" fontId="10" fillId="0" borderId="9" xfId="0" applyNumberFormat="1" applyFont="1" applyFill="1" applyBorder="1" applyAlignment="1">
      <x:alignment wrapText="1"/>
    </x:xf>
    <x:xf numFmtId="0" fontId="11" fillId="0" borderId="3" xfId="0" applyNumberFormat="1" applyFont="1" applyFill="1" applyBorder="1" applyAlignment="1">
      <x:alignment wrapText="1"/>
    </x:xf>
    <x:xf numFmtId="0" fontId="11" fillId="0" borderId="6" xfId="0" applyNumberFormat="1" applyFont="1" applyFill="1" applyBorder="1" applyAlignment="1">
      <x:alignment wrapText="1"/>
    </x:xf>
    <x:xf numFmtId="0" fontId="11" fillId="0" borderId="9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202" fontId="12" fillId="0" borderId="0" xfId="0" applyNumberFormat="1" applyFont="1" applyFill="1" applyBorder="1"/>
    <x:xf numFmtId="204" fontId="12" fillId="0" borderId="0" xfId="0" applyNumberFormat="1" applyFont="1" applyFill="1" applyBorder="1"/>
    <x:xf numFmtId="203" fontId="12" fillId="0" borderId="0" xfId="0" applyNumberFormat="1" applyFont="1" applyFill="1" applyBorder="1"/>
    <x:xf numFmtId="0" fontId="12" fillId="0" borderId="1" xfId="0" applyNumberFormat="1" applyFont="1" applyFill="1" applyBorder="1"/>
    <x:xf numFmtId="202" fontId="12" fillId="0" borderId="2" xfId="0" applyNumberFormat="1" applyFont="1" applyFill="1" applyBorder="1"/>
    <x:xf numFmtId="204" fontId="12" fillId="0" borderId="2" xfId="0" applyNumberFormat="1" applyFont="1" applyFill="1" applyBorder="1"/>
    <x:xf numFmtId="203" fontId="12" fillId="0" borderId="2" xfId="0" applyNumberFormat="1" applyFont="1" applyFill="1" applyBorder="1"/>
    <x:xf numFmtId="203" fontId="12" fillId="0" borderId="3" xfId="0" applyNumberFormat="1" applyFont="1" applyFill="1" applyBorder="1"/>
    <x:xf numFmtId="0" fontId="12" fillId="0" borderId="4" xfId="0" applyNumberFormat="1" applyFont="1" applyFill="1" applyBorder="1"/>
    <x:xf numFmtId="202" fontId="12" fillId="0" borderId="5" xfId="0" applyNumberFormat="1" applyFont="1" applyFill="1" applyBorder="1"/>
    <x:xf numFmtId="204" fontId="12" fillId="0" borderId="5" xfId="0" applyNumberFormat="1" applyFont="1" applyFill="1" applyBorder="1"/>
    <x:xf numFmtId="203" fontId="12" fillId="0" borderId="5" xfId="0" applyNumberFormat="1" applyFont="1" applyFill="1" applyBorder="1"/>
    <x:xf numFmtId="203" fontId="12" fillId="0" borderId="6" xfId="0" applyNumberFormat="1" applyFont="1" applyFill="1" applyBorder="1"/>
    <x:xf numFmtId="0" fontId="12" fillId="0" borderId="7" xfId="0" applyNumberFormat="1" applyFont="1" applyFill="1" applyBorder="1"/>
    <x:xf numFmtId="202" fontId="12" fillId="0" borderId="8" xfId="0" applyNumberFormat="1" applyFont="1" applyFill="1" applyBorder="1"/>
    <x:xf numFmtId="204" fontId="12" fillId="0" borderId="8" xfId="0" applyNumberFormat="1" applyFont="1" applyFill="1" applyBorder="1"/>
    <x:xf numFmtId="203" fontId="12" fillId="0" borderId="8" xfId="0" applyNumberFormat="1" applyFont="1" applyFill="1" applyBorder="1"/>
    <x:xf numFmtId="203" fontId="12" fillId="0" borderId="9" xfId="0" applyNumberFormat="1" applyFont="1" applyFill="1" applyBorder="1"/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vertical="center"/>
    </x:xf>
    <x:xf numFmtId="0" fontId="14" fillId="4" borderId="0" xfId="0" applyNumberFormat="1" applyFont="1" applyFill="1" applyBorder="1"/>
    <x:xf numFmtId="0" fontId="15" fillId="0" borderId="0" xfId="0" applyNumberFormat="1" applyFont="1" applyFill="1" applyBorder="1"/>
    <x:xf numFmtId="0" fontId="16" fillId="2" borderId="0" xfId="0" applyNumberFormat="1" applyFont="1" applyFill="1" applyBorder="1"/>
    <x:xf numFmtId="0" fontId="16" fillId="2" borderId="0" xfId="0" applyNumberFormat="1" applyFont="1" applyFill="1" applyBorder="1" applyAlignment="1">
      <x:alignment wrapText="1"/>
    </x:xf>
    <x:xf numFmtId="0" fontId="17" fillId="0" borderId="0" xfId="0" applyNumberFormat="1" applyFont="1" applyFill="1" applyBorder="1"/>
    <x:xf numFmtId="0" fontId="18" fillId="2" borderId="0" xfId="0" applyNumberFormat="1" applyFont="1" applyFill="1" applyBorder="1"/>
    <x:xf numFmtId="0" fontId="18" fillId="2" borderId="0" xfId="0" applyNumberFormat="1" applyFont="1" applyFill="1" applyBorder="1" applyAlignment="1">
      <x:alignment wrapText="1"/>
    </x:xf>
    <x:xf numFmtId="0" fontId="19" fillId="0" borderId="0" xfId="0" applyNumberFormat="1" applyFont="1" applyFill="1" applyBorder="1"/>
    <x:xf numFmtId="206" fontId="15" fillId="0" borderId="0" xfId="0" applyNumberFormat="1" applyFont="1" applyFill="1" applyBorder="1"/>
    <x:xf numFmtId="206" fontId="19" fillId="0" borderId="0" xfId="0" applyNumberFormat="1" applyFont="1" applyFill="1" applyBorder="1"/>
    <x:xf numFmtId="0" fontId="20" fillId="4" borderId="0" xfId="0" applyNumberFormat="1" applyFont="1" applyFill="1" applyBorder="1"/>
    <x:xf numFmtId="0" fontId="20" fillId="4" borderId="0" xfId="0" applyNumberFormat="1" applyFont="1" applyFill="1" applyBorder="1" applyAlignment="1">
      <x:alignment vertical="top"/>
    </x:xf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21" fillId="2" borderId="0" xfId="0" applyNumberFormat="1" applyFont="1" applyFill="1" applyBorder="1"/>
    <x:xf numFmtId="0" fontId="10" fillId="0" borderId="2" xfId="0" applyNumberFormat="1" applyFont="1" applyFill="1" applyBorder="1"/>
    <x:xf numFmtId="0" fontId="10" fillId="0" borderId="5" xfId="0" applyNumberFormat="1" applyFont="1" applyFill="1" applyBorder="1"/>
    <x:xf numFmtId="0" fontId="10" fillId="0" borderId="8" xfId="0" applyNumberFormat="1" applyFont="1" applyFill="1" applyBorder="1"/>
    <x:xf numFmtId="207" fontId="10" fillId="0" borderId="2" xfId="0" applyNumberFormat="1" applyFont="1" applyFill="1" applyBorder="1"/>
    <x:xf numFmtId="207" fontId="10" fillId="0" borderId="5" xfId="0" applyNumberFormat="1" applyFont="1" applyFill="1" applyBorder="1"/>
    <x:xf numFmtId="207" fontId="10" fillId="0" borderId="8" xfId="0" applyNumberFormat="1" applyFont="1" applyFill="1" applyBorder="1"/>
  </x:cellXfs>
  <x:cellStyles count="1">
    <x:cellStyle name="Normal" xfId="0"/>
  </x:cellStyles>
  <x:dxfs count="9"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B42318"/>
      </x:font>
      <x:fill>
        <x:patternFill patternType="solid">
          <x:bgColor rgb="FFF8D7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B42318"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fd61a298df46db" /><Relationship Type="http://schemas.openxmlformats.org/officeDocument/2006/relationships/theme" Target="/xl/theme/theme1.xml" Id="Rcad2e54916794586" /><Relationship Type="http://schemas.openxmlformats.org/officeDocument/2006/relationships/sharedStrings" Target="/xl/sharedStrings.xml" Id="R27df81c032404958" /><Relationship Type="http://schemas.openxmlformats.org/officeDocument/2006/relationships/worksheet" Target="/xl/worksheets/sheet1.xml" Id="R576d955bf6774678" /><Relationship Type="http://schemas.openxmlformats.org/officeDocument/2006/relationships/worksheet" Target="/xl/worksheets/sheet2.xml" Id="R9c52a5f95bf148c6" /><Relationship Type="http://schemas.openxmlformats.org/officeDocument/2006/relationships/worksheet" Target="/xl/worksheets/sheet3.xml" Id="R04aa2d0ca9264015" /><Relationship Type="http://schemas.openxmlformats.org/officeDocument/2006/relationships/worksheet" Target="/xl/worksheets/sheet4.xml" Id="R1285b989c0da4291" /><Relationship Type="http://schemas.openxmlformats.org/officeDocument/2006/relationships/worksheet" Target="/xl/worksheets/sheet5.xml" Id="R63a403aa4f114980" /><Relationship Type="http://schemas.openxmlformats.org/officeDocument/2006/relationships/worksheet" Target="/xl/worksheets/sheet6.xml" Id="R1942390c32864b56" /><Relationship Type="http://schemas.openxmlformats.org/officeDocument/2006/relationships/worksheet" Target="/xl/worksheets/sheet7.xml" Id="R622552e0532a4fef" /><Relationship Type="http://schemas.openxmlformats.org/officeDocument/2006/relationships/worksheet" Target="/xl/worksheets/sheet8.xml" Id="R5018c1cd6153423d" /><Relationship Type="http://schemas.openxmlformats.org/officeDocument/2006/relationships/worksheet" Target="/xl/worksheets/sheet9.xml" Id="R62a43ec145124dbe" /><Relationship Type="http://schemas.openxmlformats.org/officeDocument/2006/relationships/worksheet" Target="/xl/worksheets/sheet10.xml" Id="R744f2daeb444457b" /><Relationship Type="http://schemas.openxmlformats.org/officeDocument/2006/relationships/worksheet" Target="/xl/worksheets/sheet11.xml" Id="Rb73891ac505345c1" /><Relationship Type="http://schemas.openxmlformats.org/officeDocument/2006/relationships/worksheet" Target="/xl/worksheets/sheet12.xml" Id="R452420a636c54941" /><Relationship Type="http://schemas.openxmlformats.org/officeDocument/2006/relationships/worksheet" Target="/xl/worksheets/sheet13.xml" Id="R41e829428d89458d" /><Relationship Type="http://schemas.openxmlformats.org/officeDocument/2006/relationships/worksheet" Target="/xl/worksheets/sheet14.xml" Id="R29f31ab6651040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8bb05407f344c72" /><Relationship Type="http://schemas.openxmlformats.org/officeDocument/2006/relationships/chart" Target="/xl/drawings/charts/chart2.xml" Id="R95c09cefb947463f" /><Relationship Type="http://schemas.openxmlformats.org/officeDocument/2006/relationships/chart" Target="/xl/drawings/charts/chart3.xml" Id="Ra831e689761d4de3" /><Relationship Type="http://schemas.openxmlformats.org/officeDocument/2006/relationships/chart" Target="/xl/drawings/charts/chart4.xml" Id="Rda00c355e51c481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343b9c9bf69c42ff" /><Relationship Type="http://schemas.openxmlformats.org/officeDocument/2006/relationships/chart" Target="/xl/drawings/charts/chart6.xml" Id="Re6dd52a521f0453e" /><Relationship Type="http://schemas.openxmlformats.org/officeDocument/2006/relationships/chart" Target="/xl/drawings/charts/chart7.xml" Id="R3f31c79400f04b09" /><Relationship Type="http://schemas.openxmlformats.org/officeDocument/2006/relationships/chart" Target="/xl/drawings/charts/chart8.xml" Id="R79abf79d863a411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5a229c3686294020" /><Relationship Type="http://schemas.openxmlformats.org/officeDocument/2006/relationships/chart" Target="/xl/drawings/charts/chart10.xml" Id="R4ed7d8704005493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1. Net Avg R by adequate structural family (R/trade)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varyColors val="0"/>
        <c:ser>
          <c:idx val="0"/>
          <c:order val="0"/>
          <c:tx>
            <c:v>Net Avg R</c:v>
          </c:tx>
          <c:cat>
            <c:strRef>
              <c:f>'Family Charts'!$A$31:$A$35</c:f>
              <c:strCache>
                <c:ptCount val="0"/>
              </c:strCache>
            </c:strRef>
          </c:cat>
          <c:val>
            <c:numRef>
              <c:f>'Family Charts'!$B$31:$B$35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2. Net Total R by adequate structural family (R)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varyColors val="0"/>
        <c:ser>
          <c:idx val="0"/>
          <c:order val="0"/>
          <c:tx>
            <c:v>Net Total R</c:v>
          </c:tx>
          <c:cat>
            <c:strRef>
              <c:f>'Family Charts'!$D$31:$D$35</c:f>
              <c:strCache>
                <c:ptCount val="0"/>
              </c:strCache>
            </c:strRef>
          </c:cat>
          <c:val>
            <c:numRef>
              <c:f>'Family Charts'!$E$31:$E$35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3. Net profit factor by adequate structural family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Net PF</c:v>
          </c:tx>
          <c:cat>
            <c:strRef>
              <c:f>'Family Charts'!$G$31:$G$35</c:f>
              <c:strCache>
                <c:ptCount val="0"/>
              </c:strCache>
            </c:strRef>
          </c:cat>
          <c:val>
            <c:numRef>
              <c:f>'Family Charts'!$H$31:$H$35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4. Trade count by adequate structural family (N)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N</c:v>
          </c:tx>
          <c:cat>
            <c:strRef>
              <c:f>'Family Charts'!$J$31:$J$35</c:f>
              <c:strCache>
                <c:ptCount val="0"/>
              </c:strCache>
            </c:strRef>
          </c:cat>
          <c:val>
            <c:numRef>
              <c:f>'Family Charts'!$K$31:$K$35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5. Least-negative adequate family cumulative net 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best_family_cumulative_net_R</c:v>
          </c:tx>
          <c:marker>
            <c:symbol val="none"/>
          </c:marker>
          <c:cat>
            <c:strRef>
              <c:f>'Cumulative Charts'!$A$31:$A$61</c:f>
              <c:strCache>
                <c:ptCount val="0"/>
              </c:strCache>
            </c:strRef>
          </c:cat>
          <c:val>
            <c:numRef>
              <c:f>'Cumulative Charts'!$B$31:$B$61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6. Complement cumulative net 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Complement cumulative net R</c:v>
          </c:tx>
          <c:marker>
            <c:symbol val="none"/>
          </c:marker>
          <c:cat>
            <c:strRef>
              <c:f>'Cumulative Charts'!$G$31:$G$704</c:f>
              <c:strCache>
                <c:ptCount val="0"/>
              </c:strCache>
            </c:strRef>
          </c:cat>
          <c:val>
            <c:numRef>
              <c:f>'Cumulative Charts'!$H$31:$H$704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7. Direction-separated cumulative net 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Long cumulative net R</c:v>
          </c:tx>
          <c:marker>
            <c:symbol val="none"/>
          </c:marker>
          <c:cat>
            <c:strRef>
              <c:f>'Cumulative Charts'!$J$31:$J$392</c:f>
              <c:strCache>
                <c:ptCount val="0"/>
              </c:strCache>
            </c:strRef>
          </c:cat>
          <c:val>
            <c:numRef>
              <c:f>'Cumulative Charts'!$K$31:$K$392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Short cumulative net R</c:v>
          </c:tx>
          <c:marker>
            <c:symbol val="none"/>
          </c:marker>
          <c:cat>
            <c:strRef>
              <c:f>'Cumulative Charts'!$J$31:$J$392</c:f>
              <c:strCache>
                <c:ptCount val="0"/>
              </c:strCache>
            </c:strRef>
          </c:cat>
          <c:val>
            <c:numRef>
              <c:f>'Cumulative Charts'!$L$31:$L$392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8. Year-by-year net Total R: least-negative vs largest loss family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Least-negative family</c:v>
          </c:tx>
          <c:cat>
            <c:strRef>
              <c:f>'Cumulative Charts'!$N$31:$N$33</c:f>
              <c:strCache>
                <c:ptCount val="0"/>
              </c:strCache>
            </c:strRef>
          </c:cat>
          <c:val>
            <c:numRef>
              <c:f>'Cumulative Charts'!$O$31:$O$33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Largest loss contributor</c:v>
          </c:tx>
          <c:cat>
            <c:strRef>
              <c:f>'Cumulative Charts'!$N$31:$N$33</c:f>
              <c:strCache>
                <c:ptCount val="0"/>
              </c:strCache>
            </c:strRef>
          </c:cat>
          <c:val>
            <c:numRef>
              <c:f>'Cumulative Charts'!$P$31:$P$33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9. Entry-session decomposition: net Avg R (R/trade)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varyColors val="0"/>
        <c:ser>
          <c:idx val="0"/>
          <c:order val="0"/>
          <c:tx>
            <c:v>Net Avg R</c:v>
          </c:tx>
          <c:cat>
            <c:strRef>
              <c:f>'Factor Charts'!$E$31:$E$37</c:f>
              <c:strCache>
                <c:ptCount val="0"/>
              </c:strCache>
            </c:strRef>
          </c:cat>
          <c:val>
            <c:numRef>
              <c:f>'Factor Charts'!$F$31:$F$37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10. Same-bar Setup+BOS versus delayed BOS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Net Avg R</c:v>
          </c:tx>
          <c:cat>
            <c:strRef>
              <c:f>'Factor Charts'!$O$31:$O$32</c:f>
              <c:strCache>
                <c:ptCount val="0"/>
              </c:strCache>
            </c:strRef>
          </c:cat>
          <c:val>
            <c:numRef>
              <c:f>'Factor Charts'!$P$31:$P$32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4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bb05407f344c72"/>
        </a:graphicData>
      </a:graphic>
    </xdr:graphicFrame>
    <xdr:clientData/>
  </xdr:twoCellAnchor>
  <xdr:twoCellAnchor>
    <xdr:from>
      <xdr:col>8</xdr:col>
      <xdr:colOff>0</xdr:colOff>
      <xdr:row>4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c09cefb947463f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31e689761d4de3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00c355e51c481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4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3b9c9bf69c42ff"/>
        </a:graphicData>
      </a:graphic>
    </xdr:graphicFrame>
    <xdr:clientData/>
  </xdr:twoCellAnchor>
  <xdr:twoCellAnchor>
    <xdr:from>
      <xdr:col>8</xdr:col>
      <xdr:colOff>0</xdr:colOff>
      <xdr:row>4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dd52a521f0453e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31c79400f04b09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abf79d863a411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4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229c3686294020"/>
        </a:graphicData>
      </a:graphic>
    </xdr:graphicFrame>
    <xdr:clientData/>
  </xdr:twoCellAnchor>
  <xdr:twoCellAnchor>
    <xdr:from>
      <xdr:col>8</xdr:col>
      <xdr:colOff>0</xdr:colOff>
      <xdr:row>4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d7d8704005493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d8c0f9126bfe45a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2.xml" Id="R38385ed4e80045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3.xml" Id="R62843ca9a9164a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19" t="str">
        <x:v>Trade Archetype / Setup-Family Decomposition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</x:row>
    <x:row r="3" ht="25" customHeight="1">
      <x:c r="A3" s="21" t="str">
        <x:v>Development data only · 2024-01-01 through 2026-06-26 CT · 705 verified Confirm trades · $14.50/trade · No Pine or frozen-engine changes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</x:row>
    <x:row r="5" ht="28" customHeight="1">
      <x:c r="A5" s="35" t="str">
        <x:v>Baseline metric</x:v>
      </x:c>
      <x:c r="B5" s="35" t="str">
        <x:v>Value</x:v>
      </x:c>
      <x:c r="C5" s="35" t="str">
        <x:v>Guard</x:v>
      </x:c>
      <x:c r="E5" s="35" t="str">
        <x:v>Decision</x:v>
      </x:c>
      <x:c r="F5" s="35"/>
      <x:c r="G5" s="35"/>
      <x:c r="H5" s="35"/>
      <x:c r="I5" s="35"/>
      <x:c r="J5" s="35"/>
      <x:c r="K5" s="35"/>
      <x:c r="L5" s="35"/>
      <x:c r="M5" s="35"/>
      <x:c r="N5" s="35"/>
    </x:row>
    <x:row r="6" ht="28" customHeight="1">
      <x:c r="A6" s="42" t="str">
        <x:v>N</x:v>
      </x:c>
      <x:c r="B6" s="43" t="str">
        <x:f>'Baseline'!B2</x:f>
        <x:v>705</x:v>
      </x:c>
      <x:c r="C6" s="44" t="str">
        <x:f>IF(ABS(B6-705)&lt;0.000000001,"PASS","FAIL")</x:f>
        <x:v>PASS</x:v>
      </x:c>
      <x:c r="E6" s="53" t="str">
        <x:v>Baseline reproduced</x:v>
      </x:c>
      <x:c r="F6" s="59" t="str">
        <x:v>YES</x:v>
      </x:c>
      <x:c r="G6" s="29" t="str">
        <x:v>The least-negative adequate family was Short × Same-bar Setup+BOS × Penetration without same-bar reclaim (N=31), but it was negative after costs, changed sign across years and halves, failed outlier removal, and did not survive FDR. No family is robust enough to alter the strategy.</x:v>
      </x:c>
      <x:c r="H6" s="29"/>
      <x:c r="I6" s="29"/>
      <x:c r="J6" s="29"/>
      <x:c r="K6" s="29"/>
      <x:c r="L6" s="29"/>
      <x:c r="M6" s="29"/>
      <x:c r="N6" s="29"/>
    </x:row>
    <x:row r="7" ht="28" customHeight="1">
      <x:c r="A7" s="45" t="str">
        <x:v>Wins after cost</x:v>
      </x:c>
      <x:c r="B7" s="46" t="str">
        <x:f>'Baseline'!M2</x:f>
        <x:v>284</x:v>
      </x:c>
      <x:c r="C7" s="47" t="str">
        <x:f>IF(ABS(B7-284)&lt;0.000000001,"PASS","FAIL")</x:f>
        <x:v>PASS</x:v>
      </x:c>
      <x:c r="E7" s="55" t="str">
        <x:v>705 trades verified</x:v>
      </x:c>
      <x:c r="F7" s="60" t="str">
        <x:v>YES</x:v>
      </x:c>
      <x:c r="G7" s="29"/>
      <x:c r="H7" s="29"/>
      <x:c r="I7" s="29"/>
      <x:c r="J7" s="29"/>
      <x:c r="K7" s="29"/>
      <x:c r="L7" s="29"/>
      <x:c r="M7" s="29"/>
      <x:c r="N7" s="29"/>
    </x:row>
    <x:row r="8" ht="28" customHeight="1">
      <x:c r="A8" s="45" t="str">
        <x:v>Losses after cost</x:v>
      </x:c>
      <x:c r="B8" s="46" t="str">
        <x:f>'Baseline'!N2</x:f>
        <x:v>421</x:v>
      </x:c>
      <x:c r="C8" s="47" t="str">
        <x:f>IF(ABS(B8-421)&lt;0.000000001,"PASS","FAIL")</x:f>
        <x:v>PASS</x:v>
      </x:c>
      <x:c r="E8" s="55" t="str">
        <x:v>Adequate families</x:v>
      </x:c>
      <x:c r="F8" s="60" t="n">
        <x:v>5</x:v>
      </x:c>
      <x:c r="G8" s="29"/>
      <x:c r="H8" s="29"/>
      <x:c r="I8" s="29"/>
      <x:c r="J8" s="29"/>
      <x:c r="K8" s="29"/>
      <x:c r="L8" s="29"/>
      <x:c r="M8" s="29"/>
      <x:c r="N8" s="29"/>
    </x:row>
    <x:row r="9" ht="28" customHeight="1">
      <x:c r="A9" s="45" t="str">
        <x:v>Win rate</x:v>
      </x:c>
      <x:c r="B9" s="48" t="str">
        <x:f>'Baseline'!P2</x:f>
        <x:v>40.283687943262414</x:v>
      </x:c>
      <x:c r="C9" s="47" t="str">
        <x:f>IF(ABS(B9-40.283687943262414)&lt;0.000000001,"PASS","FAIL")</x:f>
        <x:v>PASS</x:v>
      </x:c>
      <x:c r="E9" s="55" t="str">
        <x:v>FDR survivors</x:v>
      </x:c>
      <x:c r="F9" s="60" t="n">
        <x:v>0</x:v>
      </x:c>
      <x:c r="G9" s="29"/>
      <x:c r="H9" s="29"/>
      <x:c r="I9" s="29"/>
      <x:c r="J9" s="29"/>
      <x:c r="K9" s="29"/>
      <x:c r="L9" s="29"/>
      <x:c r="M9" s="29"/>
      <x:c r="N9" s="29"/>
    </x:row>
    <x:row r="10" ht="28" customHeight="1">
      <x:c r="A10" s="45" t="str">
        <x:v>Net Avg R</x:v>
      </x:c>
      <x:c r="B10" s="49" t="str">
        <x:f>'Baseline'!Q2</x:f>
        <x:v>-0.06957314333917415</x:v>
      </x:c>
      <x:c r="C10" s="47" t="str">
        <x:f>IF(ABS(B10--0.06957314333917415)&lt;0.000000001,"PASS","FAIL")</x:f>
        <x:v>PASS</x:v>
      </x:c>
      <x:c r="E10" s="55" t="str">
        <x:v>Robust positive</x:v>
      </x:c>
      <x:c r="F10" s="60" t="n">
        <x:v>0</x:v>
      </x:c>
      <x:c r="G10" s="29"/>
      <x:c r="H10" s="29"/>
      <x:c r="I10" s="29"/>
      <x:c r="J10" s="29"/>
      <x:c r="K10" s="29"/>
      <x:c r="L10" s="29"/>
      <x:c r="M10" s="29"/>
      <x:c r="N10" s="29"/>
    </x:row>
    <x:row r="11" ht="28" customHeight="1">
      <x:c r="A11" s="45" t="str">
        <x:v>Net Total R</x:v>
      </x:c>
      <x:c r="B11" s="49" t="str">
        <x:f>'Baseline'!S2</x:f>
        <x:v>-49.04906605411777</x:v>
      </x:c>
      <x:c r="C11" s="47" t="str">
        <x:f>IF(ABS(B11--49.04906605411777)&lt;0.000000001,"PASS","FAIL")</x:f>
        <x:v>PASS</x:v>
      </x:c>
      <x:c r="E11" s="55" t="str">
        <x:v>Robust negative</x:v>
      </x:c>
      <x:c r="F11" s="60" t="n">
        <x:v>0</x:v>
      </x:c>
      <x:c r="G11" s="29"/>
      <x:c r="H11" s="29"/>
      <x:c r="I11" s="29"/>
      <x:c r="J11" s="29"/>
      <x:c r="K11" s="29"/>
      <x:c r="L11" s="29"/>
      <x:c r="M11" s="29"/>
      <x:c r="N11" s="29"/>
    </x:row>
    <x:row r="12" ht="28" customHeight="1">
      <x:c r="A12" s="45" t="str">
        <x:v>Net PF</x:v>
      </x:c>
      <x:c r="B12" s="49" t="str">
        <x:f>'Baseline'!T2</x:f>
        <x:v>0.8717849563156026</x:v>
      </x:c>
      <x:c r="C12" s="47" t="str">
        <x:f>IF(ABS(B12-0.8717849563156026)&lt;0.000000001,"PASS","FAIL")</x:f>
        <x:v>PASS</x:v>
      </x:c>
      <x:c r="E12" s="55" t="str">
        <x:v>Final class</x:v>
      </x:c>
      <x:c r="F12" s="60" t="str">
        <x:v>D — STRATEGY HAS NO ROBUST EDGE</x:v>
      </x:c>
      <x:c r="G12" s="29"/>
      <x:c r="H12" s="29"/>
      <x:c r="I12" s="29"/>
      <x:c r="J12" s="29"/>
      <x:c r="K12" s="29"/>
      <x:c r="L12" s="29"/>
      <x:c r="M12" s="29"/>
      <x:c r="N12" s="29"/>
    </x:row>
    <x:row r="13" ht="28" customHeight="1">
      <x:c r="A13" s="50" t="str">
        <x:v>Net Max DD (R)</x:v>
      </x:c>
      <x:c r="B13" s="51" t="str">
        <x:f>'Baseline'!U2</x:f>
        <x:v>60.29673416610867</x:v>
      </x:c>
      <x:c r="C13" s="52" t="str">
        <x:f>IF(ABS(B13-60.29673416610867)&lt;0.000000001,"PASS","FAIL")</x:f>
        <x:v>PASS</x:v>
      </x:c>
      <x:c r="E13" s="57" t="str">
        <x:v>Action</x:v>
      </x:c>
      <x:c r="F13" s="61" t="str">
        <x:v>DO NOT FILTER OR OPTIMIZE</x:v>
      </x:c>
      <x:c r="G13" s="29"/>
      <x:c r="H13" s="29"/>
      <x:c r="I13" s="29"/>
      <x:c r="J13" s="29"/>
      <x:c r="K13" s="29"/>
      <x:c r="L13" s="29"/>
      <x:c r="M13" s="29"/>
      <x:c r="N13" s="29"/>
    </x:row>
    <x:row r="16" ht="28" customHeight="1">
      <x:c r="A16" s="35" t="str">
        <x:v>Required headline decomposition — after $14.50 round-turn costs</x:v>
      </x:c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</x:row>
    <x:row r="17" ht="32" customHeight="1">
      <x:c r="A17" s="37" t="str">
        <x:v>Slice</x:v>
      </x:c>
      <x:c r="B17" s="37" t="str">
        <x:v>N</x:v>
      </x:c>
      <x:c r="C17" s="37" t="str">
        <x:v>Retention %</x:v>
      </x:c>
      <x:c r="D17" s="37" t="str">
        <x:v>Win %</x:v>
      </x:c>
      <x:c r="E17" s="37" t="str">
        <x:v>Avg R</x:v>
      </x:c>
      <x:c r="F17" s="37" t="str">
        <x:v>Total R</x:v>
      </x:c>
      <x:c r="G17" s="37" t="str">
        <x:v>PF</x:v>
      </x:c>
    </x:row>
    <x:row r="18" ht="23" customHeight="1">
      <x:c r="A18" s="66" t="str">
        <x:v>Long</x:v>
      </x:c>
      <x:c r="B18" s="67" t="str">
        <x:f>'Factor Summary'!H2</x:f>
        <x:v>362</x:v>
      </x:c>
      <x:c r="C18" s="68" t="str">
        <x:f>'Factor Summary'!I2</x:f>
        <x:v>51.347517730496456</x:v>
      </x:c>
      <x:c r="D18" s="68" t="str">
        <x:f>'Factor Summary'!V2</x:f>
        <x:v>42.26519337016575</x:v>
      </x:c>
      <x:c r="E18" s="69" t="str">
        <x:f>'Factor Summary'!W2</x:f>
        <x:v>-0.07918715063492883</x:v>
      </x:c>
      <x:c r="F18" s="69" t="str">
        <x:f>'Factor Summary'!Y2</x:f>
        <x:v>-28.665748529844237</x:v>
      </x:c>
      <x:c r="G18" s="70" t="str">
        <x:f>'Factor Summary'!Z2</x:f>
        <x:v>0.8481279008208226</x:v>
      </x:c>
    </x:row>
    <x:row r="19" ht="23" customHeight="1">
      <x:c r="A19" s="71" t="str">
        <x:v>Short</x:v>
      </x:c>
      <x:c r="B19" s="72" t="str">
        <x:f>'Factor Summary'!H3</x:f>
        <x:v>343</x:v>
      </x:c>
      <x:c r="C19" s="73" t="str">
        <x:f>'Factor Summary'!I3</x:f>
        <x:v>48.652482269503544</x:v>
      </x:c>
      <x:c r="D19" s="73" t="str">
        <x:f>'Factor Summary'!V3</x:f>
        <x:v>38.19241982507289</x:v>
      </x:c>
      <x:c r="E19" s="74" t="str">
        <x:f>'Factor Summary'!W3</x:f>
        <x:v>-0.0594265817034214</x:v>
      </x:c>
      <x:c r="F19" s="74" t="str">
        <x:f>'Factor Summary'!Y3</x:f>
        <x:v>-20.38331752427354</x:v>
      </x:c>
      <x:c r="G19" s="75" t="str">
        <x:f>'Factor Summary'!Z3</x:f>
        <x:v>0.8948250144577898</x:v>
      </x:c>
    </x:row>
    <x:row r="20" ht="23" customHeight="1">
      <x:c r="A20" s="71" t="str">
        <x:v>Same-bar Setup+BOS</x:v>
      </x:c>
      <x:c r="B20" s="72" t="str">
        <x:f>'Factor Summary'!H54</x:f>
        <x:v>664</x:v>
      </x:c>
      <x:c r="C20" s="73" t="str">
        <x:f>'Factor Summary'!I54</x:f>
        <x:v>94.18439716312056</x:v>
      </x:c>
      <x:c r="D20" s="73" t="str">
        <x:f>'Factor Summary'!V54</x:f>
        <x:v>40.51204819277108</x:v>
      </x:c>
      <x:c r="E20" s="74" t="str">
        <x:f>'Factor Summary'!W54</x:f>
        <x:v>-0.06363114802276967</x:v>
      </x:c>
      <x:c r="F20" s="74" t="str">
        <x:f>'Factor Summary'!Y54</x:f>
        <x:v>-42.25108228711906</x:v>
      </x:c>
      <x:c r="G20" s="75" t="str">
        <x:f>'Factor Summary'!Z54</x:f>
        <x:v>0.8814805487154832</x:v>
      </x:c>
    </x:row>
    <x:row r="21" ht="23" customHeight="1">
      <x:c r="A21" s="71" t="str">
        <x:v>Delayed BOS</x:v>
      </x:c>
      <x:c r="B21" s="72" t="str">
        <x:f>'Factor Summary'!H53</x:f>
        <x:v>41</x:v>
      </x:c>
      <x:c r="C21" s="73" t="str">
        <x:f>'Factor Summary'!I53</x:f>
        <x:v>5.815602836879433</x:v>
      </x:c>
      <x:c r="D21" s="73" t="str">
        <x:f>'Factor Summary'!V53</x:f>
        <x:v>36.58536585365854</x:v>
      </x:c>
      <x:c r="E21" s="74" t="str">
        <x:f>'Factor Summary'!W53</x:f>
        <x:v>-0.16580448212192</x:v>
      </x:c>
      <x:c r="F21" s="74" t="str">
        <x:f>'Factor Summary'!Y53</x:f>
        <x:v>-6.79798376699872</x:v>
      </x:c>
      <x:c r="G21" s="75" t="str">
        <x:f>'Factor Summary'!Z53</x:f>
        <x:v>0.7391653612984207</x:v>
      </x:c>
    </x:row>
    <x:row r="22" ht="23" customHeight="1">
      <x:c r="A22" s="71" t="str">
        <x:v>Least-negative adequate family</x:v>
      </x:c>
      <x:c r="B22" s="72" t="str">
        <x:f>'Family Tests'!C2</x:f>
        <x:v>31</x:v>
      </x:c>
      <x:c r="C22" s="73" t="str">
        <x:f>'Family Tests'!D2</x:f>
        <x:v>4.397163120567376</x:v>
      </x:c>
      <x:c r="D22" s="73" t="str">
        <x:f>'Family Tests'!Q2</x:f>
        <x:v>41.935483870967744</x:v>
      </x:c>
      <x:c r="E22" s="74" t="str">
        <x:f>'Family Tests'!R2</x:f>
        <x:v>-0.03209074317996406</x:v>
      </x:c>
      <x:c r="F22" s="74" t="str">
        <x:f>'Family Tests'!T2</x:f>
        <x:v>-0.994813038578886</x:v>
      </x:c>
      <x:c r="G22" s="75" t="str">
        <x:f>'Family Tests'!U2</x:f>
        <x:v>0.9432164459913266</x:v>
      </x:c>
    </x:row>
    <x:row r="23" ht="23" customHeight="1">
      <x:c r="A23" s="71" t="str">
        <x:v>Its complement</x:v>
      </x:c>
      <x:c r="B23" s="72" t="str">
        <x:f>'Family Tests'!Y2</x:f>
        <x:v>674</x:v>
      </x:c>
      <x:c r="C23" s="73" t="str">
        <x:f>'Family Tests'!Z2</x:f>
        <x:v>95.60283687943263</x:v>
      </x:c>
      <x:c r="D23" s="73" t="str">
        <x:f>'Family Tests'!AM2</x:f>
        <x:v>40.20771513353116</x:v>
      </x:c>
      <x:c r="E23" s="74" t="str">
        <x:f>'Family Tests'!AN2</x:f>
        <x:v>-0.07129711129901913</x:v>
      </x:c>
      <x:c r="F23" s="74" t="str">
        <x:f>'Family Tests'!AP2</x:f>
        <x:v>-48.05425301553889</x:v>
      </x:c>
      <x:c r="G23" s="75" t="str">
        <x:f>'Family Tests'!AQ2</x:f>
        <x:v>0.868356681762857</x:v>
      </x:c>
    </x:row>
    <x:row r="24" ht="23" customHeight="1">
      <x:c r="A24" s="76" t="str">
        <x:v>Largest loss contributor</x:v>
      </x:c>
      <x:c r="B24" s="77" t="str">
        <x:f>'Family Tests'!C5</x:f>
        <x:v>222</x:v>
      </x:c>
      <x:c r="C24" s="78" t="str">
        <x:f>'Family Tests'!D5</x:f>
        <x:v>31.48936170212766</x:v>
      </x:c>
      <x:c r="D24" s="78" t="str">
        <x:f>'Family Tests'!Q5</x:f>
        <x:v>41.891891891891895</x:v>
      </x:c>
      <x:c r="E24" s="79" t="str">
        <x:f>'Family Tests'!R5</x:f>
        <x:v>-0.0589890695932279</x:v>
      </x:c>
      <x:c r="F24" s="79" t="str">
        <x:f>'Family Tests'!T5</x:f>
        <x:v>-13.095573449696595</x:v>
      </x:c>
      <x:c r="G24" s="80" t="str">
        <x:f>'Family Tests'!U5</x:f>
        <x:v>0.8844147579186667</x:v>
      </x:c>
    </x:row>
  </x:sheetData>
  <x:mergeCells>
    <x:mergeCell ref="A1:N2"/>
    <x:mergeCell ref="A3:N3"/>
    <x:mergeCell ref="E5:N5"/>
    <x:mergeCell ref="G6:N13"/>
    <x:mergeCell ref="A16:N16"/>
  </x:mergeCells>
  <x:conditionalFormatting sqref="C6:C13">
    <x:cfRule type="containsText" dxfId="4" priority="1" operator="containsText" text="PASS"/>
    <x:cfRule type="containsText" dxfId="5" priority="2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20" hidden="0" customWidth="1"/>
    <x:col min="6" max="6" width="11" hidden="0" customWidth="1"/>
    <x:col min="7" max="7" width="15" hidden="0" customWidth="1"/>
    <x:col min="8" max="8" width="10" hidden="0" customWidth="1"/>
    <x:col min="9" max="9" width="15" hidden="0" customWidth="1"/>
    <x:col min="10" max="10" width="12" hidden="0" customWidth="1"/>
    <x:col min="11" max="11" width="18" hidden="0" customWidth="1"/>
    <x:col min="12" max="12" width="18" hidden="0" customWidth="1"/>
    <x:col min="13" max="13" width="23" hidden="0" customWidth="1"/>
    <x:col min="14" max="14" width="13" hidden="0" customWidth="1"/>
    <x:col min="15" max="15" width="18" hidden="0" customWidth="1"/>
    <x:col min="16" max="16" width="12" hidden="0" customWidth="1"/>
    <x:col min="17" max="17" width="25" hidden="0" customWidth="1"/>
    <x:col min="18" max="18" width="25" hidden="0" customWidth="1"/>
    <x:col min="19" max="19" width="25" hidden="0" customWidth="1"/>
    <x:col min="20" max="20" width="19" hidden="0" customWidth="1"/>
    <x:col min="21" max="21" width="17" hidden="0" customWidth="1"/>
    <x:col min="22" max="22" width="18" hidden="0" customWidth="1"/>
    <x:col min="23" max="23" width="20" hidden="0" customWidth="1"/>
    <x:col min="24" max="24" width="19" hidden="0" customWidth="1"/>
    <x:col min="25" max="25" width="16" hidden="0" customWidth="1"/>
    <x:col min="26" max="26" width="20" hidden="0" customWidth="1"/>
    <x:col min="27" max="27" width="23" hidden="0" customWidth="1"/>
    <x:col min="28" max="28" width="25" hidden="0" customWidth="1"/>
    <x:col min="29" max="29" width="16" hidden="0" customWidth="1"/>
    <x:col min="30" max="30" width="17" hidden="0" customWidth="1"/>
    <x:col min="31" max="31" width="24" hidden="0" customWidth="1"/>
    <x:col min="32" max="32" width="23" hidden="0" customWidth="1"/>
    <x:col min="33" max="33" width="15" hidden="0" customWidth="1"/>
    <x:col min="34" max="34" width="11" hidden="0" customWidth="1"/>
    <x:col min="35" max="35" width="19" hidden="0" customWidth="1"/>
    <x:col min="36" max="36" width="20" hidden="0" customWidth="1"/>
    <x:col min="37" max="37" width="18" hidden="0" customWidth="1"/>
    <x:col min="38" max="38" width="22" hidden="0" customWidth="1"/>
    <x:col min="39" max="39" width="25" hidden="0" customWidth="1"/>
    <x:col min="40" max="40" width="14" hidden="0" customWidth="1"/>
    <x:col min="41" max="41" width="15" hidden="0" customWidth="1"/>
    <x:col min="42" max="42" width="20" hidden="0" customWidth="1"/>
    <x:col min="43" max="43" width="22" hidden="0" customWidth="1"/>
    <x:col min="44" max="44" width="22" hidden="0" customWidth="1"/>
    <x:col min="45" max="45" width="22" hidden="0" customWidth="1"/>
    <x:col min="46" max="46" width="24" hidden="0" customWidth="1"/>
    <x:col min="47" max="47" width="23" hidden="0" customWidth="1"/>
    <x:col min="48" max="48" width="20" hidden="0" customWidth="1"/>
    <x:col min="49" max="49" width="19" hidden="0" customWidth="1"/>
    <x:col min="50" max="50" width="20" hidden="0" customWidth="1"/>
    <x:col min="51" max="51" width="25" hidden="0" customWidth="1"/>
    <x:col min="52" max="52" width="24" hidden="0" customWidth="1"/>
    <x:col min="53" max="53" width="25" hidden="0" customWidth="1"/>
    <x:col min="54" max="54" width="18" hidden="0" customWidth="1"/>
    <x:col min="55" max="55" width="17" hidden="0" customWidth="1"/>
    <x:col min="56" max="56" width="25" hidden="0" customWidth="1"/>
    <x:col min="57" max="57" width="25" hidden="0" customWidth="1"/>
    <x:col min="58" max="58" width="24" hidden="0" customWidth="1"/>
    <x:col min="59" max="59" width="22" hidden="0" customWidth="1"/>
    <x:col min="60" max="60" width="25" hidden="0" customWidth="1"/>
    <x:col min="61" max="61" width="17" hidden="0" customWidth="1"/>
    <x:col min="62" max="62" width="25" hidden="0" customWidth="1"/>
    <x:col min="63" max="63" width="25" hidden="0" customWidth="1"/>
    <x:col min="64" max="64" width="25" hidden="0" customWidth="1"/>
    <x:col min="65" max="65" width="23" hidden="0" customWidth="1"/>
    <x:col min="66" max="66" width="25" hidden="0" customWidth="1"/>
    <x:col min="67" max="67" width="23" hidden="0" customWidth="1"/>
    <x:col min="68" max="68" width="23" hidden="0" customWidth="1"/>
    <x:col min="69" max="69" width="24" hidden="0" customWidth="1"/>
    <x:col min="70" max="70" width="25" hidden="0" customWidth="1"/>
    <x:col min="71" max="71" width="25" hidden="0" customWidth="1"/>
    <x:col min="72" max="72" width="25" hidden="0" customWidth="1"/>
    <x:col min="73" max="73" width="25" hidden="0" customWidth="1"/>
    <x:col min="74" max="74" width="24" hidden="0" customWidth="1"/>
    <x:col min="75" max="75" width="23" hidden="0" customWidth="1"/>
    <x:col min="76" max="76" width="13" hidden="0" customWidth="1"/>
    <x:col min="77" max="77" width="11" hidden="0" customWidth="1"/>
    <x:col min="78" max="78" width="25" hidden="0" customWidth="1"/>
    <x:col min="79" max="79" width="12" hidden="0" customWidth="1"/>
    <x:col min="80" max="80" width="22" hidden="0" customWidth="1"/>
    <x:col min="81" max="81" width="19" hidden="0" customWidth="1"/>
    <x:col min="82" max="82" width="14" hidden="0" customWidth="1"/>
    <x:col min="83" max="83" width="24" hidden="0" customWidth="1"/>
    <x:col min="84" max="84" width="18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23" hidden="0" customWidth="1"/>
    <x:col min="92" max="92" width="12" hidden="0" customWidth="1"/>
    <x:col min="93" max="93" width="13" hidden="0" customWidth="1"/>
    <x:col min="94" max="94" width="45" hidden="0" customWidth="1"/>
  </x:cols>
  <x:sheetData>
    <x:row r="1" ht="46" customHeight="1">
      <x:c r="A1" s="5" t="str">
        <x:v>trade_id</x:v>
      </x:c>
      <x:c r="B1" s="5" t="str">
        <x:v>date</x:v>
      </x:c>
      <x:c r="C1" s="5" t="str">
        <x:v>year</x:v>
      </x:c>
      <x:c r="D1" s="5" t="str">
        <x:v>quarter</x:v>
      </x:c>
      <x:c r="E1" s="5" t="str">
        <x:v>chronological_half</x:v>
      </x:c>
      <x:c r="F1" s="5" t="str">
        <x:v>direction</x:v>
      </x:c>
      <x:c r="G1" s="5" t="str">
        <x:v>crt_direction</x:v>
      </x:c>
      <x:c r="H1" s="5" t="str">
        <x:v>session</x:v>
      </x:c>
      <x:c r="I1" s="5" t="str">
        <x:v>setup_session</x:v>
      </x:c>
      <x:c r="J1" s="5" t="str">
        <x:v>HTF_regime</x:v>
      </x:c>
      <x:c r="K1" s="5" t="str">
        <x:v>setup_HTF_regime</x:v>
      </x:c>
      <x:c r="L1" s="5" t="str">
        <x:v>volatility_state</x:v>
      </x:c>
      <x:c r="M1" s="5" t="str">
        <x:v>setup_timestamp</x:v>
      </x:c>
      <x:c r="N1" s="5" t="str">
        <x:v>setup_score</x:v>
      </x:c>
      <x:c r="O1" s="5" t="str">
        <x:v>setup_score_band</x:v>
      </x:c>
      <x:c r="P1" s="5" t="str">
        <x:v>setup_type</x:v>
      </x:c>
      <x:c r="Q1" s="5" t="str">
        <x:v>setup_structure_event_type</x:v>
      </x:c>
      <x:c r="R1" s="5" t="str">
        <x:v>matching_bos_on_setup_bar</x:v>
      </x:c>
      <x:c r="S1" s="5" t="str">
        <x:v>matching_liquidity_sweep_on_setup_bar</x:v>
      </x:c>
      <x:c r="T1" s="5" t="str">
        <x:v>liquidity_context</x:v>
      </x:c>
      <x:c r="U1" s="5" t="str">
        <x:v>sweep_direction</x:v>
      </x:c>
      <x:c r="V1" s="5" t="str">
        <x:v>swept_level_type</x:v>
      </x:c>
      <x:c r="W1" s="5" t="str">
        <x:v>swept_level_prices</x:v>
      </x:c>
      <x:c r="X1" s="5" t="str">
        <x:v>swept_level_count</x:v>
      </x:c>
      <x:c r="Y1" s="5" t="str">
        <x:v>sweep_age_bars</x:v>
      </x:c>
      <x:c r="Z1" s="5" t="str">
        <x:v>crt_bar_sweep_type</x:v>
      </x:c>
      <x:c r="AA1" s="5" t="str">
        <x:v>setup_structure_level</x:v>
      </x:c>
      <x:c r="AB1" s="5" t="str">
        <x:v>setup_close_beyond_structure_atr</x:v>
      </x:c>
      <x:c r="AC1" s="5" t="str">
        <x:v>setup_body_atr</x:v>
      </x:c>
      <x:c r="AD1" s="5" t="str">
        <x:v>setup_range_atr</x:v>
      </x:c>
      <x:c r="AE1" s="5" t="str">
        <x:v>setup_candle_direction</x:v>
      </x:c>
      <x:c r="AF1" s="5" t="str">
        <x:v>bos_timestamp</x:v>
      </x:c>
      <x:c r="AG1" s="5" t="str">
        <x:v>bos_direction</x:v>
      </x:c>
      <x:c r="AH1" s="5" t="str">
        <x:v>bos_level</x:v>
      </x:c>
      <x:c r="AI1" s="5" t="str">
        <x:v>setup_to_bos_bars</x:v>
      </x:c>
      <x:c r="AJ1" s="5" t="str">
        <x:v>same_bar_setup_bos</x:v>
      </x:c>
      <x:c r="AK1" s="5" t="str">
        <x:v>setup_bos_timing</x:v>
      </x:c>
      <x:c r="AL1" s="5" t="str">
        <x:v>bos_displacement_atr</x:v>
      </x:c>
      <x:c r="AM1" s="5" t="str">
        <x:v>bos_close_beyond_structure_atr</x:v>
      </x:c>
      <x:c r="AN1" s="5" t="str">
        <x:v>bos_body_atr</x:v>
      </x:c>
      <x:c r="AO1" s="5" t="str">
        <x:v>bos_range_atr</x:v>
      </x:c>
      <x:c r="AP1" s="5" t="str">
        <x:v>bos_body_pct_range</x:v>
      </x:c>
      <x:c r="AQ1" s="5" t="str">
        <x:v>bos_upper_wick_ratio</x:v>
      </x:c>
      <x:c r="AR1" s="5" t="str">
        <x:v>bos_lower_wick_ratio</x:v>
      </x:c>
      <x:c r="AS1" s="5" t="str">
        <x:v>bos_candle_direction</x:v>
      </x:c>
      <x:c r="AT1" s="5" t="str">
        <x:v>bos_relative_volume_20</x:v>
      </x:c>
      <x:c r="AU1" s="5" t="str">
        <x:v>retest_timestamp</x:v>
      </x:c>
      <x:c r="AV1" s="5" t="str">
        <x:v>bars_BOS_to_retest</x:v>
      </x:c>
      <x:c r="AW1" s="5" t="str">
        <x:v>bos_retest_timing</x:v>
      </x:c>
      <x:c r="AX1" s="5" t="str">
        <x:v>retest_probe_price</x:v>
      </x:c>
      <x:c r="AY1" s="5" t="str">
        <x:v>retest_penetration_points</x:v>
      </x:c>
      <x:c r="AZ1" s="5" t="str">
        <x:v>retest_penetration_atr</x:v>
      </x:c>
      <x:c r="BA1" s="5" t="str">
        <x:v>retest_reclaim_distance_atr</x:v>
      </x:c>
      <x:c r="BB1" s="5" t="str">
        <x:v>retest_range_atr</x:v>
      </x:c>
      <x:c r="BC1" s="5" t="str">
        <x:v>retest_body_atr</x:v>
      </x:c>
      <x:c r="BD1" s="5" t="str">
        <x:v>retest_upper_wick_ratio</x:v>
      </x:c>
      <x:c r="BE1" s="5" t="str">
        <x:v>retest_lower_wick_ratio</x:v>
      </x:c>
      <x:c r="BF1" s="5" t="str">
        <x:v>retest_wick_toward_atr</x:v>
      </x:c>
      <x:c r="BG1" s="5" t="str">
        <x:v>retest_wick_away_atr</x:v>
      </x:c>
      <x:c r="BH1" s="5" t="str">
        <x:v>retest_candle_direction</x:v>
      </x:c>
      <x:c r="BI1" s="5" t="str">
        <x:v>retest_behavior</x:v>
      </x:c>
      <x:c r="BJ1" s="5" t="str">
        <x:v>retest_merely_touched_bos</x:v>
      </x:c>
      <x:c r="BK1" s="5" t="str">
        <x:v>retest_meaningfully_penetrated</x:v>
      </x:c>
      <x:c r="BL1" s="5" t="str">
        <x:v>retest_reclaimed_at_close</x:v>
      </x:c>
      <x:c r="BM1" s="5" t="str">
        <x:v>confirmation_timestamp</x:v>
      </x:c>
      <x:c r="BN1" s="5" t="str">
        <x:v>bars_retest_to_confirmation</x:v>
      </x:c>
      <x:c r="BO1" s="5" t="str">
        <x:v>retest_confirm_timing</x:v>
      </x:c>
      <x:c r="BP1" s="5" t="str">
        <x:v>confirmation_body_atr</x:v>
      </x:c>
      <x:c r="BQ1" s="5" t="str">
        <x:v>confirmation_range_atr</x:v>
      </x:c>
      <x:c r="BR1" s="5" t="str">
        <x:v>confirmation_body_pct_range</x:v>
      </x:c>
      <x:c r="BS1" s="5" t="str">
        <x:v>confirmation_close_displacement_from_BOS_atr</x:v>
      </x:c>
      <x:c r="BT1" s="5" t="str">
        <x:v>confirmation_displacement_from_retest_close_atr</x:v>
      </x:c>
      <x:c r="BU1" s="5" t="str">
        <x:v>confirmation_rejection_wick_atr</x:v>
      </x:c>
      <x:c r="BV1" s="5" t="str">
        <x:v>confirmation_direction</x:v>
      </x:c>
      <x:c r="BW1" s="5" t="str">
        <x:v>entry_timestamp</x:v>
      </x:c>
      <x:c r="BX1" s="5" t="str">
        <x:v>entry_price</x:v>
      </x:c>
      <x:c r="BY1" s="5" t="str">
        <x:v>entry_ATR</x:v>
      </x:c>
      <x:c r="BZ1" s="5" t="str">
        <x:v>entry_ATR_percentile_prior_100</x:v>
      </x:c>
      <x:c r="CA1" s="5" t="str">
        <x:v>stop_price</x:v>
      </x:c>
      <x:c r="CB1" s="5" t="str">
        <x:v>stop_distance_points</x:v>
      </x:c>
      <x:c r="CC1" s="5" t="str">
        <x:v>stop_distance_ATR</x:v>
      </x:c>
      <x:c r="CD1" s="5" t="str">
        <x:v>target_price</x:v>
      </x:c>
      <x:c r="CE1" s="5" t="str">
        <x:v>target_distance_points</x:v>
      </x:c>
      <x:c r="CF1" s="5" t="str">
        <x:v>target_structure</x:v>
      </x:c>
      <x:c r="CG1" s="5" t="str">
        <x:v>cost_R</x:v>
      </x:c>
      <x:c r="CH1" s="5" t="str">
        <x:v>gross_R</x:v>
      </x:c>
      <x:c r="CI1" s="5" t="str">
        <x:v>net_R</x:v>
      </x:c>
      <x:c r="CJ1" s="5" t="str">
        <x:v>outcome</x:v>
      </x:c>
      <x:c r="CK1" s="5" t="str">
        <x:v>MFE_R</x:v>
      </x:c>
      <x:c r="CL1" s="5" t="str">
        <x:v>MAE_R</x:v>
      </x:c>
      <x:c r="CM1" s="5" t="str">
        <x:v>exit_timestamp</x:v>
      </x:c>
      <x:c r="CN1" s="5" t="str">
        <x:v>exit_price</x:v>
      </x:c>
      <x:c r="CO1" s="5" t="str">
        <x:v>exit_reason</x:v>
      </x:c>
      <x:c r="CP1" s="5" t="str">
        <x:v>family_id</x:v>
      </x:c>
    </x:row>
    <x:row r="2" ht="18" customHeight="1">
      <x:c r="A2" s="6" t="str">
        <x:v>A0001</x:v>
      </x:c>
      <x:c r="B2" s="6" t="str">
        <x:v>2024-01-01</x:v>
      </x:c>
      <x:c r="C2" s="6" t="str">
        <x:v>2024</x:v>
      </x:c>
      <x:c r="D2" s="6" t="str">
        <x:v>2024-Q1</x:v>
      </x:c>
      <x:c r="E2" s="6" t="str">
        <x:v>First 50%</x:v>
      </x:c>
      <x:c r="F2" s="6" t="str">
        <x:v>Short</x:v>
      </x:c>
      <x:c r="G2" s="6" t="str">
        <x:v>Short</x:v>
      </x:c>
      <x:c r="H2" s="6" t="str">
        <x:v>Overnight</x:v>
      </x:c>
      <x:c r="I2" s="6" t="str">
        <x:v>Overnight</x:v>
      </x:c>
      <x:c r="J2" s="6" t="str">
        <x:v>Bear</x:v>
      </x:c>
      <x:c r="K2" s="6" t="str">
        <x:v>Bear</x:v>
      </x:c>
      <x:c r="L2" s="6" t="str">
        <x:v>LOW</x:v>
      </x:c>
      <x:c r="M2" s="7" t="str">
        <x:v>2024-01-01 19:40:00-06:00</x:v>
      </x:c>
      <x:c r="N2" s="6" t="str">
        <x:v>75.0</x:v>
      </x:c>
      <x:c r="O2" s="6" t="str">
        <x:v>75-79</x:v>
      </x:c>
      <x:c r="P2" s="6" t="str">
        <x:v>Matching BOS only</x:v>
      </x:c>
      <x:c r="Q2" s="6" t="str">
        <x:v>Bear BOS</x:v>
      </x:c>
      <x:c r="R2" s="6" t="str">
        <x:v>True</x:v>
      </x:c>
      <x:c r="S2" s="6" t="str">
        <x:v>False</x:v>
      </x:c>
      <x:c r="T2" s="6" t="str">
        <x:v>Recent BSL</x:v>
      </x:c>
      <x:c r="U2" s="6" t="str">
        <x:v>BSL</x:v>
      </x:c>
      <x:c r="V2" s="6" t="str">
        <x:v>Swing high / buy-side</x:v>
      </x:c>
      <x:c r="W2" s="6" t="str">
        <x:v>[16823.75]</x:v>
      </x:c>
      <x:c r="X2" s="8" t="str">
        <x:v>1</x:v>
      </x:c>
      <x:c r="Y2" s="8" t="str">
        <x:v>7.0</x:v>
      </x:c>
      <x:c r="Z2" s="6" t="str">
        <x:v>None</x:v>
      </x:c>
      <x:c r="AA2" s="6" t="str">
        <x:v>16805.25</x:v>
      </x:c>
      <x:c r="AB2" s="9" t="str">
        <x:v>0.6374629138286213</x:v>
      </x:c>
      <x:c r="AC2" s="9" t="str">
        <x:v>0.9349456069486446</x:v>
      </x:c>
      <x:c r="AD2" s="9" t="str">
        <x:v>1.6149060483658406</x:v>
      </x:c>
      <x:c r="AE2" s="6" t="str">
        <x:v>With trade</x:v>
      </x:c>
      <x:c r="AF2" s="7" t="str">
        <x:v>2024-01-01 19:40:00-06:00</x:v>
      </x:c>
      <x:c r="AG2" s="6" t="str">
        <x:v>Short</x:v>
      </x:c>
      <x:c r="AH2" s="6" t="str">
        <x:v>16805.25</x:v>
      </x:c>
      <x:c r="AI2" s="8" t="str">
        <x:v>0</x:v>
      </x:c>
      <x:c r="AJ2" s="6" t="str">
        <x:v>True</x:v>
      </x:c>
      <x:c r="AK2" s="6" t="str">
        <x:v>Same-bar Setup+BOS</x:v>
      </x:c>
      <x:c r="AL2" s="9" t="str">
        <x:v>0.9349456069486446</x:v>
      </x:c>
      <x:c r="AM2" s="9" t="str">
        <x:v>0.6374629138286213</x:v>
      </x:c>
      <x:c r="AN2" s="9" t="str">
        <x:v>0.9349456069486446</x:v>
      </x:c>
      <x:c r="AO2" s="9" t="str">
        <x:v>1.6149060483658406</x:v>
      </x:c>
      <x:c r="AP2" s="10" t="str">
        <x:v>0.5789473684210527</x:v>
      </x:c>
      <x:c r="AQ2" s="6" t="str">
        <x:v>0.0</x:v>
      </x:c>
      <x:c r="AR2" s="6" t="str">
        <x:v>0.42105263157894735</x:v>
      </x:c>
      <x:c r="AS2" s="6" t="str">
        <x:v>With trade</x:v>
      </x:c>
      <x:c r="AT2" s="6" t="str">
        <x:v>2.488352027610009</x:v>
      </x:c>
      <x:c r="AU2" s="7" t="str">
        <x:v>2024-01-01 19:45:00-06:00</x:v>
      </x:c>
      <x:c r="AV2" s="8" t="str">
        <x:v>1</x:v>
      </x:c>
      <x:c r="AW2" s="6" t="str">
        <x:v>Immediate retest (1 bar)</x:v>
      </x:c>
      <x:c r="AX2" s="6" t="str">
        <x:v>16809.25</x:v>
      </x:c>
      <x:c r="AY2" s="6" t="str">
        <x:v>4.0</x:v>
      </x:c>
      <x:c r="AZ2" s="9" t="str">
        <x:v>0.6570839026886584</x:v>
      </x:c>
      <x:c r="BA2" s="9" t="str">
        <x:v>0.6570839026886584</x:v>
      </x:c>
      <x:c r="BB2" s="9" t="str">
        <x:v>1.43737103713144</x:v>
      </x:c>
      <x:c r="BC2" s="9" t="str">
        <x:v>0.0821354878360823</x:v>
      </x:c>
      <x:c r="BD2" s="6" t="str">
        <x:v>0.8571428571428571</x:v>
      </x:c>
      <x:c r="BE2" s="6" t="str">
        <x:v>0.08571428571428572</x:v>
      </x:c>
      <x:c r="BF2" s="9" t="str">
        <x:v>1.2320323175412342</x:v>
      </x:c>
      <x:c r="BG2" s="9" t="str">
        <x:v>0.12320323175412343</x:v>
      </x:c>
      <x:c r="BH2" s="6" t="str">
        <x:v>With trade</x:v>
      </x:c>
      <x:c r="BI2" s="6" t="str">
        <x:v>Penetration + same-bar reclaim</x:v>
      </x:c>
      <x:c r="BJ2" s="6" t="str">
        <x:v>False</x:v>
      </x:c>
      <x:c r="BK2" s="10" t="str">
        <x:v>True</x:v>
      </x:c>
      <x:c r="BL2" s="6" t="str">
        <x:v>True</x:v>
      </x:c>
      <x:c r="BM2" s="7" t="str">
        <x:v>2024-01-01 19:55:00-06:00</x:v>
      </x:c>
      <x:c r="BN2" s="8" t="str">
        <x:v>2</x:v>
      </x:c>
      <x:c r="BO2" s="6" t="str">
        <x:v>Delayed confirmation (2+ bars)</x:v>
      </x:c>
      <x:c r="BP2" s="9" t="str">
        <x:v>0.4673594316764888</x:v>
      </x:c>
      <x:c r="BQ2" s="9" t="str">
        <x:v>0.7222827580454827</x:v>
      </x:c>
      <x:c r="BR2" s="10" t="str">
        <x:v>0.6470588235294118</x:v>
      </x:c>
      <x:c r="BS2" s="9" t="str">
        <x:v>0.6797955369839838</x:v>
      </x:c>
      <x:c r="BT2" s="9" t="str">
        <x:v>-0.0</x:v>
      </x:c>
      <x:c r="BU2" s="9" t="str">
        <x:v>0.16994888424599594</x:v>
      </x:c>
      <x:c r="BV2" s="6" t="str">
        <x:v>With trade</x:v>
      </x:c>
      <x:c r="BW2" s="7" t="str">
        <x:v>2024-01-01 19:55:00-06:00</x:v>
      </x:c>
      <x:c r="BX2" s="6" t="str">
        <x:v>16801.25</x:v>
      </x:c>
      <x:c r="BY2" s="9" t="str">
        <x:v>5.884122184365329</x:v>
      </x:c>
      <x:c r="BZ2" s="9" t="str">
        <x:v>0.16</x:v>
      </x:c>
      <x:c r="CA2" s="6" t="str">
        <x:v>16810.07618327655</x:v>
      </x:c>
      <x:c r="CB2" s="6" t="str">
        <x:v>8.826183276549273</x:v>
      </x:c>
      <x:c r="CC2" s="9" t="str">
        <x:v>1.5000000000002174</x:v>
      </x:c>
      <x:c r="CD2" s="6" t="str">
        <x:v>16783.597633446905</x:v>
      </x:c>
      <x:c r="CE2" s="6" t="str">
        <x:v>17.652366553094907</x:v>
      </x:c>
      <x:c r="CF2" s="6" t="str">
        <x:v>Fixed 2.00R target</x:v>
      </x:c>
      <x:c r="CG2" s="9" t="str">
        <x:v>0.08214196071888613</x:v>
      </x:c>
      <x:c r="CH2" s="9" t="str">
        <x:v>0.708120351024983</x:v>
      </x:c>
      <x:c r="CI2" s="9" t="str">
        <x:v>0.6259783903060969</x:v>
      </x:c>
      <x:c r="CJ2" s="6" t="str">
        <x:v>Win</x:v>
      </x:c>
      <x:c r="CK2" s="9" t="str">
        <x:v>1.5295399582137417</x:v>
      </x:c>
      <x:c r="CL2" s="9" t="str">
        <x:v>0.5098466527379139</x:v>
      </x:c>
      <x:c r="CM2" s="7" t="str">
        <x:v>2024-01-01 20:55:00-06:00</x:v>
      </x:c>
      <x:c r="CN2" s="6" t="str">
        <x:v>16795.0</x:v>
      </x:c>
      <x:c r="CO2" s="6" t="str">
        <x:v>TIME</x:v>
      </x:c>
      <x:c r="CP2" s="6" t="str">
        <x:v>F::Short::Same-bar Setup+BOS::Penetration + same-bar reclaim</x:v>
      </x:c>
    </x:row>
    <x:row r="3" ht="18" customHeight="1">
      <x:c r="A3" s="6" t="str">
        <x:v>A0002</x:v>
      </x:c>
      <x:c r="B3" s="6" t="str">
        <x:v>2024-01-02</x:v>
      </x:c>
      <x:c r="C3" s="6" t="str">
        <x:v>2024</x:v>
      </x:c>
      <x:c r="D3" s="6" t="str">
        <x:v>2024-Q1</x:v>
      </x:c>
      <x:c r="E3" s="6" t="str">
        <x:v>First 50%</x:v>
      </x:c>
      <x:c r="F3" s="6" t="str">
        <x:v>Short</x:v>
      </x:c>
      <x:c r="G3" s="6" t="str">
        <x:v>Short</x:v>
      </x:c>
      <x:c r="H3" s="6" t="str">
        <x:v>Afternoon</x:v>
      </x:c>
      <x:c r="I3" s="6" t="str">
        <x:v>Midday</x:v>
      </x:c>
      <x:c r="J3" s="6" t="str">
        <x:v>Bear</x:v>
      </x:c>
      <x:c r="K3" s="6" t="str">
        <x:v>Bear</x:v>
      </x:c>
      <x:c r="L3" s="6" t="str">
        <x:v>MID</x:v>
      </x:c>
      <x:c r="M3" s="7" t="str">
        <x:v>2024-01-02 13:50:00-06:00</x:v>
      </x:c>
      <x:c r="N3" s="6" t="str">
        <x:v>75.0</x:v>
      </x:c>
      <x:c r="O3" s="6" t="str">
        <x:v>75-79</x:v>
      </x:c>
      <x:c r="P3" s="6" t="str">
        <x:v>Matching BOS only</x:v>
      </x:c>
      <x:c r="Q3" s="6" t="str">
        <x:v>Bear BOS</x:v>
      </x:c>
      <x:c r="R3" s="6" t="str">
        <x:v>True</x:v>
      </x:c>
      <x:c r="S3" s="6" t="str">
        <x:v>False</x:v>
      </x:c>
      <x:c r="T3" s="6" t="str">
        <x:v>No recent matching sweep</x:v>
      </x:c>
      <x:c r="U3" s="6" t="str">
        <x:v>None</x:v>
      </x:c>
      <x:c r="V3" s="6" t="str">
        <x:v>None</x:v>
      </x:c>
      <x:c r="W3" s="6" t="str">
        <x:v>[]</x:v>
      </x:c>
      <x:c r="X3" s="8" t="str">
        <x:v>0</x:v>
      </x:c>
      <x:c r="Y3" s="8" t="str"/>
      <x:c r="Z3" s="6" t="str">
        <x:v>None</x:v>
      </x:c>
      <x:c r="AA3" s="6" t="str">
        <x:v>16454.75</x:v>
      </x:c>
      <x:c r="AB3" s="9" t="str">
        <x:v>0.06405459217097592</x:v>
      </x:c>
      <x:c r="AC3" s="9" t="str">
        <x:v>0.8006824021371991</x:v>
      </x:c>
      <x:c r="AD3" s="9" t="str">
        <x:v>1.3931873797187264</x:v>
      </x:c>
      <x:c r="AE3" s="6" t="str">
        <x:v>With trade</x:v>
      </x:c>
      <x:c r="AF3" s="7" t="str">
        <x:v>2024-01-02 13:50:00-06:00</x:v>
      </x:c>
      <x:c r="AG3" s="6" t="str">
        <x:v>Short</x:v>
      </x:c>
      <x:c r="AH3" s="6" t="str">
        <x:v>16454.75</x:v>
      </x:c>
      <x:c r="AI3" s="8" t="str">
        <x:v>0</x:v>
      </x:c>
      <x:c r="AJ3" s="6" t="str">
        <x:v>True</x:v>
      </x:c>
      <x:c r="AK3" s="6" t="str">
        <x:v>Same-bar Setup+BOS</x:v>
      </x:c>
      <x:c r="AL3" s="9" t="str">
        <x:v>0.8006824021371991</x:v>
      </x:c>
      <x:c r="AM3" s="9" t="str">
        <x:v>0.06405459217097592</x:v>
      </x:c>
      <x:c r="AN3" s="9" t="str">
        <x:v>0.8006824021371991</x:v>
      </x:c>
      <x:c r="AO3" s="9" t="str">
        <x:v>1.3931873797187264</x:v>
      </x:c>
      <x:c r="AP3" s="10" t="str">
        <x:v>0.5747126436781609</x:v>
      </x:c>
      <x:c r="AQ3" s="6" t="str">
        <x:v>0.26436781609195403</x:v>
      </x:c>
      <x:c r="AR3" s="6" t="str">
        <x:v>0.16091954022988506</x:v>
      </x:c>
      <x:c r="AS3" s="6" t="str">
        <x:v>With trade</x:v>
      </x:c>
      <x:c r="AT3" s="6" t="str">
        <x:v>1.717433254354039</x:v>
      </x:c>
      <x:c r="AU3" s="7" t="str">
        <x:v>2024-01-02 13:55:00-06:00</x:v>
      </x:c>
      <x:c r="AV3" s="8" t="str">
        <x:v>1</x:v>
      </x:c>
      <x:c r="AW3" s="6" t="str">
        <x:v>Immediate retest (1 bar)</x:v>
      </x:c>
      <x:c r="AX3" s="6" t="str">
        <x:v>16454.25</x:v>
      </x:c>
      <x:c r="AY3" s="6" t="str">
        <x:v>0.0</x:v>
      </x:c>
      <x:c r="AZ3" s="9" t="str">
        <x:v>0.0</x:v>
      </x:c>
      <x:c r="BA3" s="9" t="str">
        <x:v>0.8398634969746253</x:v>
      </x:c>
      <x:c r="BB3" s="9" t="str">
        <x:v>0.8883171602616229</x:v>
      </x:c>
      <x:c r="BC3" s="9" t="str">
        <x:v>0.74295617040063</x:v>
      </x:c>
      <x:c r="BD3" s="6" t="str">
        <x:v>0.07272727272727272</x:v>
      </x:c>
      <x:c r="BE3" s="6" t="str">
        <x:v>0.09090909090909091</x:v>
      </x:c>
      <x:c r="BF3" s="9" t="str">
        <x:v>0.06460488438266349</x:v>
      </x:c>
      <x:c r="BG3" s="9" t="str">
        <x:v>0.08075610547832936</x:v>
      </x:c>
      <x:c r="BH3" s="6" t="str">
        <x:v>With trade</x:v>
      </x:c>
      <x:c r="BI3" s="6" t="str">
        <x:v>Tolerance-only shallow touch</x:v>
      </x:c>
      <x:c r="BJ3" s="6" t="str">
        <x:v>True</x:v>
      </x:c>
      <x:c r="BK3" s="10" t="str">
        <x:v>False</x:v>
      </x:c>
      <x:c r="BL3" s="6" t="str">
        <x:v>True</x:v>
      </x:c>
      <x:c r="BM3" s="7" t="str">
        <x:v>2024-01-02 14:00:00-06:00</x:v>
      </x:c>
      <x:c r="BN3" s="8" t="str">
        <x:v>1</x:v>
      </x:c>
      <x:c r="BO3" s="6" t="str">
        <x:v>Immediate confirmation (1 bar)</x:v>
      </x:c>
      <x:c r="BP3" s="9" t="str">
        <x:v>1.5491741013272167</x:v>
      </x:c>
      <x:c r="BQ3" s="9" t="str">
        <x:v>2.1245816246773255</x:v>
      </x:c>
      <x:c r="BR3" s="10" t="str">
        <x:v>0.7291666666666666</x:v>
      </x:c>
      <x:c r="BS3" s="9" t="str">
        <x:v>2.3311381715209545</x:v>
      </x:c>
      <x:c r="BT3" s="9" t="str">
        <x:v>1.5639281403874759</x:v>
      </x:c>
      <x:c r="BU3" s="9" t="str">
        <x:v>0.30983482026544334</x:v>
      </x:c>
      <x:c r="BV3" s="6" t="str">
        <x:v>With trade</x:v>
      </x:c>
      <x:c r="BW3" s="7" t="str">
        <x:v>2024-01-02 14:00:00-06:00</x:v>
      </x:c>
      <x:c r="BX3" s="6" t="str">
        <x:v>16415.25</x:v>
      </x:c>
      <x:c r="BY3" s="9" t="str">
        <x:v>16.944512548661226</x:v>
      </x:c>
      <x:c r="BZ3" s="9" t="str">
        <x:v>0.56</x:v>
      </x:c>
      <x:c r="CA3" s="6" t="str">
        <x:v>16440.666768822994</x:v>
      </x:c>
      <x:c r="CB3" s="6" t="str">
        <x:v>25.416768822993618</x:v>
      </x:c>
      <x:c r="CC3" s="9" t="str">
        <x:v>1.500000000000105</x:v>
      </x:c>
      <x:c r="CD3" s="6" t="str">
        <x:v>16364.416462354016</x:v>
      </x:c>
      <x:c r="CE3" s="6" t="str">
        <x:v>50.8335376459836</x:v>
      </x:c>
      <x:c r="CF3" s="6" t="str">
        <x:v>Fixed 2.00R target</x:v>
      </x:c>
      <x:c r="CG3" s="9" t="str">
        <x:v>0.028524475516499136</x:v>
      </x:c>
      <x:c r="CH3" s="9" t="str">
        <x:v>-1.0</x:v>
      </x:c>
      <x:c r="CI3" s="9" t="str">
        <x:v>-1.028524475516499</x:v>
      </x:c>
      <x:c r="CJ3" s="6" t="str">
        <x:v>Loss</x:v>
      </x:c>
      <x:c r="CK3" s="9" t="str">
        <x:v>0.23606462496413078</x:v>
      </x:c>
      <x:c r="CL3" s="9" t="str">
        <x:v>1.1999951769009982</x:v>
      </x:c>
      <x:c r="CM3" s="7" t="str">
        <x:v>2024-01-02 14:30:00-06:00</x:v>
      </x:c>
      <x:c r="CN3" s="6" t="str">
        <x:v>16440.666768822994</x:v>
      </x:c>
      <x:c r="CO3" s="6" t="str">
        <x:v>STOP</x:v>
      </x:c>
      <x:c r="CP3" s="6" t="str">
        <x:v>F::Short::Same-bar Setup+BOS::Tolerance-only shallow touch</x:v>
      </x:c>
    </x:row>
    <x:row r="4" ht="18" customHeight="1">
      <x:c r="A4" s="6" t="str">
        <x:v>A0003</x:v>
      </x:c>
      <x:c r="B4" s="6" t="str">
        <x:v>2024-01-02</x:v>
      </x:c>
      <x:c r="C4" s="6" t="str">
        <x:v>2024</x:v>
      </x:c>
      <x:c r="D4" s="6" t="str">
        <x:v>2024-Q1</x:v>
      </x:c>
      <x:c r="E4" s="6" t="str">
        <x:v>First 50%</x:v>
      </x:c>
      <x:c r="F4" s="6" t="str">
        <x:v>Short</x:v>
      </x:c>
      <x:c r="G4" s="6" t="str">
        <x:v>Short</x:v>
      </x:c>
      <x:c r="H4" s="6" t="str">
        <x:v>Overnight</x:v>
      </x:c>
      <x:c r="I4" s="6" t="str">
        <x:v>Overnight</x:v>
      </x:c>
      <x:c r="J4" s="6" t="str">
        <x:v>Bear</x:v>
      </x:c>
      <x:c r="K4" s="6" t="str">
        <x:v>Bear</x:v>
      </x:c>
      <x:c r="L4" s="6" t="str">
        <x:v>LOW</x:v>
      </x:c>
      <x:c r="M4" s="7" t="str">
        <x:v>2024-01-02 18:40:00-06:00</x:v>
      </x:c>
      <x:c r="N4" s="6" t="str">
        <x:v>90.0</x:v>
      </x:c>
      <x:c r="O4" s="6" t="str">
        <x:v>90-94</x:v>
      </x:c>
      <x:c r="P4" s="6" t="str">
        <x:v>Matching BOS only</x:v>
      </x:c>
      <x:c r="Q4" s="6" t="str">
        <x:v>Bear CHoCH</x:v>
      </x:c>
      <x:c r="R4" s="6" t="str">
        <x:v>True</x:v>
      </x:c>
      <x:c r="S4" s="6" t="str">
        <x:v>False</x:v>
      </x:c>
      <x:c r="T4" s="6" t="str">
        <x:v>Recent BSL</x:v>
      </x:c>
      <x:c r="U4" s="6" t="str">
        <x:v>BSL</x:v>
      </x:c>
      <x:c r="V4" s="6" t="str">
        <x:v>Swing high / buy-side</x:v>
      </x:c>
      <x:c r="W4" s="6" t="str">
        <x:v>[16523.25]</x:v>
      </x:c>
      <x:c r="X4" s="8" t="str">
        <x:v>1</x:v>
      </x:c>
      <x:c r="Y4" s="8" t="str">
        <x:v>20.0</x:v>
      </x:c>
      <x:c r="Z4" s="6" t="str">
        <x:v>None</x:v>
      </x:c>
      <x:c r="AA4" s="6" t="str">
        <x:v>16507.0</x:v>
      </x:c>
      <x:c r="AB4" s="9" t="str">
        <x:v>0.04751211049891105</x:v>
      </x:c>
      <x:c r="AC4" s="9" t="str">
        <x:v>0.5226332154880214</x:v>
      </x:c>
      <x:c r="AD4" s="9" t="str">
        <x:v>0.8077058784814878</x:v>
      </x:c>
      <x:c r="AE4" s="6" t="str">
        <x:v>With trade</x:v>
      </x:c>
      <x:c r="AF4" s="7" t="str">
        <x:v>2024-01-02 18:40:00-06:00</x:v>
      </x:c>
      <x:c r="AG4" s="6" t="str">
        <x:v>Short</x:v>
      </x:c>
      <x:c r="AH4" s="6" t="str">
        <x:v>16507.0</x:v>
      </x:c>
      <x:c r="AI4" s="8" t="str">
        <x:v>0</x:v>
      </x:c>
      <x:c r="AJ4" s="6" t="str">
        <x:v>True</x:v>
      </x:c>
      <x:c r="AK4" s="6" t="str">
        <x:v>Same-bar Setup+BOS</x:v>
      </x:c>
      <x:c r="AL4" s="9" t="str">
        <x:v>0.5226332154880214</x:v>
      </x:c>
      <x:c r="AM4" s="9" t="str">
        <x:v>0.04751211049891105</x:v>
      </x:c>
      <x:c r="AN4" s="9" t="str">
        <x:v>0.5226332154880214</x:v>
      </x:c>
      <x:c r="AO4" s="9" t="str">
        <x:v>0.8077058784814878</x:v>
      </x:c>
      <x:c r="AP4" s="10" t="str">
        <x:v>0.6470588235294118</x:v>
      </x:c>
      <x:c r="AQ4" s="6" t="str">
        <x:v>0.0</x:v>
      </x:c>
      <x:c r="AR4" s="6" t="str">
        <x:v>0.35294117647058826</x:v>
      </x:c>
      <x:c r="AS4" s="6" t="str">
        <x:v>With trade</x:v>
      </x:c>
      <x:c r="AT4" s="6" t="str">
        <x:v>1.0304114490161003</x:v>
      </x:c>
      <x:c r="AU4" s="7" t="str">
        <x:v>2024-01-02 18:45:00-06:00</x:v>
      </x:c>
      <x:c r="AV4" s="8" t="str">
        <x:v>1</x:v>
      </x:c>
      <x:c r="AW4" s="6" t="str">
        <x:v>Immediate retest (1 bar)</x:v>
      </x:c>
      <x:c r="AX4" s="6" t="str">
        <x:v>16507.75</x:v>
      </x:c>
      <x:c r="AY4" s="6" t="str">
        <x:v>0.75</x:v>
      </x:c>
      <x:c r="AZ4" s="9" t="str">
        <x:v>0.1496715509299968</x:v>
      </x:c>
      <x:c r="BA4" s="9" t="str">
        <x:v>-0.04989051697666559</x:v>
      </x:c>
      <x:c r="BB4" s="9" t="str">
        <x:v>0.34923361883665915</x:v>
      </x:c>
      <x:c r="BC4" s="9" t="str">
        <x:v>0.09978103395333118</x:v>
      </x:c>
      <x:c r="BD4" s="6" t="str">
        <x:v>0.2857142857142857</x:v>
      </x:c>
      <x:c r="BE4" s="6" t="str">
        <x:v>0.42857142857142855</x:v>
      </x:c>
      <x:c r="BF4" s="9" t="str">
        <x:v>0.09978103395333118</x:v>
      </x:c>
      <x:c r="BG4" s="9" t="str">
        <x:v>0.1496715509299968</x:v>
      </x:c>
      <x:c r="BH4" s="6" t="str">
        <x:v>Against trade</x:v>
      </x:c>
      <x:c r="BI4" s="6" t="str">
        <x:v>Penetration without same-bar reclaim</x:v>
      </x:c>
      <x:c r="BJ4" s="6" t="str">
        <x:v>False</x:v>
      </x:c>
      <x:c r="BK4" s="10" t="str">
        <x:v>True</x:v>
      </x:c>
      <x:c r="BL4" s="6" t="str">
        <x:v>False</x:v>
      </x:c>
      <x:c r="BM4" s="7" t="str">
        <x:v>2024-01-02 18:50:00-06:00</x:v>
      </x:c>
      <x:c r="BN4" s="8" t="str">
        <x:v>1</x:v>
      </x:c>
      <x:c r="BO4" s="6" t="str">
        <x:v>Immediate confirmation (1 bar)</x:v>
      </x:c>
      <x:c r="BP4" s="9" t="str">
        <x:v>0.3963611764131149</x:v>
      </x:c>
      <x:c r="BQ4" s="9" t="str">
        <x:v>1.089993235136066</x:v>
      </x:c>
      <x:c r="BR4" s="10" t="str">
        <x:v>0.36363636363636365</x:v>
      </x:c>
      <x:c r="BS4" s="9" t="str">
        <x:v>0.34681602936147554</x:v>
      </x:c>
      <x:c r="BT4" s="9" t="str">
        <x:v>0.3963611764131149</x:v>
      </x:c>
      <x:c r="BU4" s="9" t="str">
        <x:v>0.0</x:v>
      </x:c>
      <x:c r="BV4" s="6" t="str">
        <x:v>With trade</x:v>
      </x:c>
      <x:c r="BW4" s="7" t="str">
        <x:v>2024-01-02 18:50:00-06:00</x:v>
      </x:c>
      <x:c r="BX4" s="6" t="str">
        <x:v>16505.25</x:v>
      </x:c>
      <x:c r="BY4" s="9" t="str">
        <x:v>5.0459028760058535</x:v>
      </x:c>
      <x:c r="BZ4" s="9" t="str">
        <x:v>0.01</x:v>
      </x:c>
      <x:c r="CA4" s="6" t="str">
        <x:v>16512.81885431401</x:v>
      </x:c>
      <x:c r="CB4" s="6" t="str">
        <x:v>7.5688543140095135</x:v>
      </x:c>
      <x:c r="CC4" s="9" t="str">
        <x:v>1.5000000000001452</x:v>
      </x:c>
      <x:c r="CD4" s="6" t="str">
        <x:v>16490.11229137198</x:v>
      </x:c>
      <x:c r="CE4" s="6" t="str">
        <x:v>15.137708628019027</x:v>
      </x:c>
      <x:c r="CF4" s="6" t="str">
        <x:v>Fixed 2.00R target</x:v>
      </x:c>
      <x:c r="CG4" s="9" t="str">
        <x:v>0.09578728429982683</x:v>
      </x:c>
      <x:c r="CH4" s="9" t="str">
        <x:v>0.36333107837868867</x:v>
      </x:c>
      <x:c r="CI4" s="9" t="str">
        <x:v>0.26754379407886186</x:v>
      </x:c>
      <x:c r="CJ4" s="6" t="str">
        <x:v>Win</x:v>
      </x:c>
      <x:c r="CK4" s="9" t="str">
        <x:v>1.4533243135146139</x:v>
      </x:c>
      <x:c r="CL4" s="9" t="str">
        <x:v>0.33030098034423044</x:v>
      </x:c>
      <x:c r="CM4" s="7" t="str">
        <x:v>2024-01-02 19:50:00-06:00</x:v>
      </x:c>
      <x:c r="CN4" s="6" t="str">
        <x:v>16502.5</x:v>
      </x:c>
      <x:c r="CO4" s="6" t="str">
        <x:v>TIME</x:v>
      </x:c>
      <x:c r="CP4" s="6" t="str">
        <x:v>F::Short::Same-bar Setup+BOS::Penetration without same-bar reclaim</x:v>
      </x:c>
    </x:row>
    <x:row r="5" ht="18" customHeight="1">
      <x:c r="A5" s="6" t="str">
        <x:v>A0004</x:v>
      </x:c>
      <x:c r="B5" s="6" t="str">
        <x:v>2024-01-03</x:v>
      </x:c>
      <x:c r="C5" s="6" t="str">
        <x:v>2024</x:v>
      </x:c>
      <x:c r="D5" s="6" t="str">
        <x:v>2024-Q1</x:v>
      </x:c>
      <x:c r="E5" s="6" t="str">
        <x:v>First 50%</x:v>
      </x:c>
      <x:c r="F5" s="6" t="str">
        <x:v>Short</x:v>
      </x:c>
      <x:c r="G5" s="6" t="str">
        <x:v>Short</x:v>
      </x:c>
      <x:c r="H5" s="6" t="str">
        <x:v>Opening</x:v>
      </x:c>
      <x:c r="I5" s="6" t="str">
        <x:v>Premarket</x:v>
      </x:c>
      <x:c r="J5" s="6" t="str">
        <x:v>Bear</x:v>
      </x:c>
      <x:c r="K5" s="6" t="str">
        <x:v>Bear</x:v>
      </x:c>
      <x:c r="L5" s="6" t="str">
        <x:v>HIGH</x:v>
      </x:c>
      <x:c r="M5" s="7" t="str">
        <x:v>2024-01-03 09:10:00-06:00</x:v>
      </x:c>
      <x:c r="N5" s="6" t="str">
        <x:v>90.0</x:v>
      </x:c>
      <x:c r="O5" s="6" t="str">
        <x:v>90-94</x:v>
      </x:c>
      <x:c r="P5" s="6" t="str">
        <x:v>Matching BOS only</x:v>
      </x:c>
      <x:c r="Q5" s="6" t="str">
        <x:v>Bear BOS</x:v>
      </x:c>
      <x:c r="R5" s="6" t="str">
        <x:v>True</x:v>
      </x:c>
      <x:c r="S5" s="6" t="str">
        <x:v>False</x:v>
      </x:c>
      <x:c r="T5" s="6" t="str">
        <x:v>Recent BSL</x:v>
      </x:c>
      <x:c r="U5" s="6" t="str">
        <x:v>BSL</x:v>
      </x:c>
      <x:c r="V5" s="6" t="str">
        <x:v>Swing high / buy-side</x:v>
      </x:c>
      <x:c r="W5" s="6" t="str">
        <x:v>[16432.75]</x:v>
      </x:c>
      <x:c r="X5" s="8" t="str">
        <x:v>1</x:v>
      </x:c>
      <x:c r="Y5" s="8" t="str">
        <x:v>2.0</x:v>
      </x:c>
      <x:c r="Z5" s="6" t="str">
        <x:v>None</x:v>
      </x:c>
      <x:c r="AA5" s="6" t="str">
        <x:v>16368.25</x:v>
      </x:c>
      <x:c r="AB5" s="9" t="str">
        <x:v>0.480514342148724</x:v>
      </x:c>
      <x:c r="AC5" s="9" t="str">
        <x:v>1.531639465599058</x:v>
      </x:c>
      <x:c r="AD5" s="9" t="str">
        <x:v>1.7318537748276928</x:v>
      </x:c>
      <x:c r="AE5" s="6" t="str">
        <x:v>With trade</x:v>
      </x:c>
      <x:c r="AF5" s="7" t="str">
        <x:v>2024-01-03 09:10:00-06:00</x:v>
      </x:c>
      <x:c r="AG5" s="6" t="str">
        <x:v>Short</x:v>
      </x:c>
      <x:c r="AH5" s="6" t="str">
        <x:v>16368.25</x:v>
      </x:c>
      <x:c r="AI5" s="8" t="str">
        <x:v>0</x:v>
      </x:c>
      <x:c r="AJ5" s="6" t="str">
        <x:v>True</x:v>
      </x:c>
      <x:c r="AK5" s="6" t="str">
        <x:v>Same-bar Setup+BOS</x:v>
      </x:c>
      <x:c r="AL5" s="9" t="str">
        <x:v>1.5416501810604897</x:v>
      </x:c>
      <x:c r="AM5" s="9" t="str">
        <x:v>0.480514342148724</x:v>
      </x:c>
      <x:c r="AN5" s="9" t="str">
        <x:v>1.531639465599058</x:v>
      </x:c>
      <x:c r="AO5" s="9" t="str">
        <x:v>1.7318537748276928</x:v>
      </x:c>
      <x:c r="AP5" s="10" t="str">
        <x:v>0.884393063583815</x:v>
      </x:c>
      <x:c r="AQ5" s="6" t="str">
        <x:v>0.10404624277456648</x:v>
      </x:c>
      <x:c r="AR5" s="6" t="str">
        <x:v>0.011560693641618497</x:v>
      </x:c>
      <x:c r="AS5" s="6" t="str">
        <x:v>With trade</x:v>
      </x:c>
      <x:c r="AT5" s="6" t="str">
        <x:v>1.7388290986125459</x:v>
      </x:c>
      <x:c r="AU5" s="7" t="str">
        <x:v>2024-01-03 09:25:00-06:00</x:v>
      </x:c>
      <x:c r="AV5" s="8" t="str">
        <x:v>3</x:v>
      </x:c>
      <x:c r="AW5" s="6" t="str">
        <x:v>Delayed retest (2+ bars)</x:v>
      </x:c>
      <x:c r="AX5" s="6" t="str">
        <x:v>16377.0</x:v>
      </x:c>
      <x:c r="AY5" s="6" t="str">
        <x:v>8.75</x:v>
      </x:c>
      <x:c r="AZ5" s="9" t="str">
        <x:v>0.36517133411592184</x:v>
      </x:c>
      <x:c r="BA5" s="9" t="str">
        <x:v>0.10433466689026338</x:v>
      </x:c>
      <x:c r="BB5" s="9" t="str">
        <x:v>1.0642136022806865</x:v>
      </x:c>
      <x:c r="BC5" s="9" t="str">
        <x:v>0.26083666722565846</x:v>
      </x:c>
      <x:c r="BD5" s="6" t="str">
        <x:v>0.4411764705882353</x:v>
      </x:c>
      <x:c r="BE5" s="6" t="str">
        <x:v>0.3137254901960784</x:v>
      </x:c>
      <x:c r="BF5" s="9" t="str">
        <x:v>0.4695060010061852</x:v>
      </x:c>
      <x:c r="BG5" s="9" t="str">
        <x:v>0.3338709340488428</x:v>
      </x:c>
      <x:c r="BH5" s="6" t="str">
        <x:v>Against trade</x:v>
      </x:c>
      <x:c r="BI5" s="6" t="str">
        <x:v>Penetration + same-bar reclaim</x:v>
      </x:c>
      <x:c r="BJ5" s="6" t="str">
        <x:v>False</x:v>
      </x:c>
      <x:c r="BK5" s="10" t="str">
        <x:v>True</x:v>
      </x:c>
      <x:c r="BL5" s="6" t="str">
        <x:v>True</x:v>
      </x:c>
      <x:c r="BM5" s="7" t="str">
        <x:v>2024-01-03 09:30:00-06:00</x:v>
      </x:c>
      <x:c r="BN5" s="8" t="str">
        <x:v>1</x:v>
      </x:c>
      <x:c r="BO5" s="6" t="str">
        <x:v>Immediate confirmation (1 bar)</x:v>
      </x:c>
      <x:c r="BP5" s="9" t="str">
        <x:v>0.2202262922088291</x:v>
      </x:c>
      <x:c r="BQ5" s="9" t="str">
        <x:v>0.9333400003136091</x:v>
      </x:c>
      <x:c r="BR5" s="10" t="str">
        <x:v>0.23595505617977527</x:v>
      </x:c>
      <x:c r="BS5" s="9" t="str">
        <x:v>0.3041220225740973</x:v>
      </x:c>
      <x:c r="BT5" s="9" t="str">
        <x:v>0.19925235961751206</x:v>
      </x:c>
      <x:c r="BU5" s="9" t="str">
        <x:v>0.3460698877567315</x:v>
      </x:c>
      <x:c r="BV5" s="6" t="str">
        <x:v>With trade</x:v>
      </x:c>
      <x:c r="BW5" s="7" t="str">
        <x:v>2024-01-03 09:30:00-06:00</x:v>
      </x:c>
      <x:c r="BX5" s="6" t="str">
        <x:v>16361.0</x:v>
      </x:c>
      <x:c r="BY5" s="9" t="str">
        <x:v>23.839115426879633</x:v>
      </x:c>
      <x:c r="BZ5" s="9" t="str">
        <x:v>0.96</x:v>
      </x:c>
      <x:c r="CA5" s="6" t="str">
        <x:v>16396.75867314032</x:v>
      </x:c>
      <x:c r="CB5" s="6" t="str">
        <x:v>35.75867314032075</x:v>
      </x:c>
      <x:c r="CC5" s="9" t="str">
        <x:v>1.5000000000000546</x:v>
      </x:c>
      <x:c r="CD5" s="6" t="str">
        <x:v>16289.48265371936</x:v>
      </x:c>
      <x:c r="CE5" s="6" t="str">
        <x:v>71.51734628063969</x:v>
      </x:c>
      <x:c r="CF5" s="6" t="str">
        <x:v>Fixed 2.00R target</x:v>
      </x:c>
      <x:c r="CG5" s="9" t="str">
        <x:v>0.020274801504939086</x:v>
      </x:c>
      <x:c r="CH5" s="9" t="str">
        <x:v>-1.0</x:v>
      </x:c>
      <x:c r="CI5" s="9" t="str">
        <x:v>-1.020274801504939</x:v>
      </x:c>
      <x:c r="CJ5" s="6" t="str">
        <x:v>Loss</x:v>
      </x:c>
      <x:c r="CK5" s="9" t="str">
        <x:v>0.8459486145164239</x:v>
      </x:c>
      <x:c r="CL5" s="9" t="str">
        <x:v>1.223479401160117</x:v>
      </x:c>
      <x:c r="CM5" s="7" t="str">
        <x:v>2024-01-03 10:00:00-06:00</x:v>
      </x:c>
      <x:c r="CN5" s="6" t="str">
        <x:v>16396.75867314032</x:v>
      </x:c>
      <x:c r="CO5" s="6" t="str">
        <x:v>STOP</x:v>
      </x:c>
      <x:c r="CP5" s="6" t="str">
        <x:v>F::Short::Same-bar Setup+BOS::Penetration + same-bar reclaim</x:v>
      </x:c>
    </x:row>
    <x:row r="6" ht="18" customHeight="1">
      <x:c r="A6" s="6" t="str">
        <x:v>A0005</x:v>
      </x:c>
      <x:c r="B6" s="6" t="str">
        <x:v>2024-01-04</x:v>
      </x:c>
      <x:c r="C6" s="6" t="str">
        <x:v>2024</x:v>
      </x:c>
      <x:c r="D6" s="6" t="str">
        <x:v>2024-Q1</x:v>
      </x:c>
      <x:c r="E6" s="6" t="str">
        <x:v>First 50%</x:v>
      </x:c>
      <x:c r="F6" s="6" t="str">
        <x:v>Long</x:v>
      </x:c>
      <x:c r="G6" s="6" t="str">
        <x:v>Long</x:v>
      </x:c>
      <x:c r="H6" s="6" t="str">
        <x:v>Opening</x:v>
      </x:c>
      <x:c r="I6" s="6" t="str">
        <x:v>Premarket</x:v>
      </x:c>
      <x:c r="J6" s="6" t="str">
        <x:v>Bear</x:v>
      </x:c>
      <x:c r="K6" s="6" t="str">
        <x:v>Bear</x:v>
      </x:c>
      <x:c r="L6" s="6" t="str">
        <x:v>HIGH</x:v>
      </x:c>
      <x:c r="M6" s="7" t="str">
        <x:v>2024-01-04 09:05:00-06:00</x:v>
      </x:c>
      <x:c r="N6" s="6" t="str">
        <x:v>75.0</x:v>
      </x:c>
      <x:c r="O6" s="6" t="str">
        <x:v>75-79</x:v>
      </x:c>
      <x:c r="P6" s="6" t="str">
        <x:v>Matching BOS only</x:v>
      </x:c>
      <x:c r="Q6" s="6" t="str">
        <x:v>Bull CHoCH</x:v>
      </x:c>
      <x:c r="R6" s="6" t="str">
        <x:v>True</x:v>
      </x:c>
      <x:c r="S6" s="6" t="str">
        <x:v>False</x:v>
      </x:c>
      <x:c r="T6" s="6" t="str">
        <x:v>Recent SSL</x:v>
      </x:c>
      <x:c r="U6" s="6" t="str">
        <x:v>SSL</x:v>
      </x:c>
      <x:c r="V6" s="6" t="str">
        <x:v>Swing low / sell-side</x:v>
      </x:c>
      <x:c r="W6" s="6" t="str">
        <x:v>[16238.0]</x:v>
      </x:c>
      <x:c r="X6" s="8" t="str">
        <x:v>1</x:v>
      </x:c>
      <x:c r="Y6" s="8" t="str">
        <x:v>8.0</x:v>
      </x:c>
      <x:c r="Z6" s="6" t="str">
        <x:v>None</x:v>
      </x:c>
      <x:c r="AA6" s="6" t="str">
        <x:v>16287.0</x:v>
      </x:c>
      <x:c r="AB6" s="9" t="str">
        <x:v>0.5571068681821586</x:v>
      </x:c>
      <x:c r="AC6" s="9" t="str">
        <x:v>0.7673358750433504</x:v>
      </x:c>
      <x:c r="AD6" s="9" t="str">
        <x:v>1.2298396901379727</x:v>
      </x:c>
      <x:c r="AE6" s="6" t="str">
        <x:v>With trade</x:v>
      </x:c>
      <x:c r="AF6" s="7" t="str">
        <x:v>2024-01-04 09:05:00-06:00</x:v>
      </x:c>
      <x:c r="AG6" s="6" t="str">
        <x:v>Long</x:v>
      </x:c>
      <x:c r="AH6" s="6" t="str">
        <x:v>16287.0</x:v>
      </x:c>
      <x:c r="AI6" s="8" t="str">
        <x:v>0</x:v>
      </x:c>
      <x:c r="AJ6" s="6" t="str">
        <x:v>True</x:v>
      </x:c>
      <x:c r="AK6" s="6" t="str">
        <x:v>Same-bar Setup+BOS</x:v>
      </x:c>
      <x:c r="AL6" s="9" t="str">
        <x:v>0.7883587757294697</x:v>
      </x:c>
      <x:c r="AM6" s="9" t="str">
        <x:v>0.5571068681821586</x:v>
      </x:c>
      <x:c r="AN6" s="9" t="str">
        <x:v>0.7673358750433504</x:v>
      </x:c>
      <x:c r="AO6" s="9" t="str">
        <x:v>1.2298396901379727</x:v>
      </x:c>
      <x:c r="AP6" s="10" t="str">
        <x:v>0.6239316239316239</x:v>
      </x:c>
      <x:c r="AQ6" s="6" t="str">
        <x:v>0.03418803418803419</x:v>
      </x:c>
      <x:c r="AR6" s="6" t="str">
        <x:v>0.3418803418803419</x:v>
      </x:c>
      <x:c r="AS6" s="6" t="str">
        <x:v>With trade</x:v>
      </x:c>
      <x:c r="AT6" s="6" t="str">
        <x:v>1.625507266483993</x:v>
      </x:c>
      <x:c r="AU6" s="7" t="str">
        <x:v>2024-01-04 09:10:00-06:00</x:v>
      </x:c>
      <x:c r="AV6" s="8" t="str">
        <x:v>1</x:v>
      </x:c>
      <x:c r="AW6" s="6" t="str">
        <x:v>Immediate retest (1 bar)</x:v>
      </x:c>
      <x:c r="AX6" s="6" t="str">
        <x:v>16285.0</x:v>
      </x:c>
      <x:c r="AY6" s="6" t="str">
        <x:v>2.0</x:v>
      </x:c>
      <x:c r="AZ6" s="9" t="str">
        <x:v>0.0838482417038044</x:v>
      </x:c>
      <x:c r="BA6" s="9" t="str">
        <x:v>0.9328116889548239</x:v>
      </x:c>
      <x:c r="BB6" s="9" t="str">
        <x:v>1.0376219910845794</x:v>
      </x:c>
      <x:c r="BC6" s="9" t="str">
        <x:v>0.36683605745414427</x:v>
      </x:c>
      <x:c r="BD6" s="6" t="str">
        <x:v>0.020202020202020204</x:v>
      </x:c>
      <x:c r="BE6" s="6" t="str">
        <x:v>0.6262626262626263</x:v>
      </x:c>
      <x:c r="BF6" s="9" t="str">
        <x:v>0.6498238732044841</x:v>
      </x:c>
      <x:c r="BG6" s="9" t="str">
        <x:v>0.0209620604259511</x:v>
      </x:c>
      <x:c r="BH6" s="6" t="str">
        <x:v>With trade</x:v>
      </x:c>
      <x:c r="BI6" s="6" t="str">
        <x:v>Penetration + same-bar reclaim</x:v>
      </x:c>
      <x:c r="BJ6" s="6" t="str">
        <x:v>False</x:v>
      </x:c>
      <x:c r="BK6" s="10" t="str">
        <x:v>True</x:v>
      </x:c>
      <x:c r="BL6" s="6" t="str">
        <x:v>True</x:v>
      </x:c>
      <x:c r="BM6" s="7" t="str">
        <x:v>2024-01-04 09:30:00-06:00</x:v>
      </x:c>
      <x:c r="BN6" s="8" t="str">
        <x:v>4</x:v>
      </x:c>
      <x:c r="BO6" s="6" t="str">
        <x:v>Delayed confirmation (2+ bars)</x:v>
      </x:c>
      <x:c r="BP6" s="9" t="str">
        <x:v>0.25010406877856783</x:v>
      </x:c>
      <x:c r="BQ6" s="9" t="str">
        <x:v>0.8699271957515403</x:v>
      </x:c>
      <x:c r="BR6" s="10" t="str">
        <x:v>0.2875</x:v>
      </x:c>
      <x:c r="BS6" s="9" t="str">
        <x:v>0.5545785872916069</x:v>
      </x:c>
      <x:c r="BT6" s="9" t="str">
        <x:v>-0.41321541798198164</x:v>
      </x:c>
      <x:c r="BU6" s="9" t="str">
        <x:v>0.19573361904409656</x:v>
      </x:c>
      <x:c r="BV6" s="6" t="str">
        <x:v>With trade</x:v>
      </x:c>
      <x:c r="BW6" s="7" t="str">
        <x:v>2024-01-04 09:30:00-06:00</x:v>
      </x:c>
      <x:c r="BX6" s="6" t="str">
        <x:v>16299.75</x:v>
      </x:c>
      <x:c r="BY6" s="9" t="str">
        <x:v>22.99042965626769</x:v>
      </x:c>
      <x:c r="BZ6" s="9" t="str">
        <x:v>0.94</x:v>
      </x:c>
      <x:c r="CA6" s="6" t="str">
        <x:v>16265.2643555156</x:v>
      </x:c>
      <x:c r="CB6" s="6" t="str">
        <x:v>34.48564448440084</x:v>
      </x:c>
      <x:c r="CC6" s="9" t="str">
        <x:v>1.4999999999999696</x:v>
      </x:c>
      <x:c r="CD6" s="6" t="str">
        <x:v>16368.721288968803</x:v>
      </x:c>
      <x:c r="CE6" s="6" t="str">
        <x:v>68.97128896880349</x:v>
      </x:c>
      <x:c r="CF6" s="6" t="str">
        <x:v>Fixed 2.00R target</x:v>
      </x:c>
      <x:c r="CG6" s="9" t="str">
        <x:v>0.021023240563995984</x:v>
      </x:c>
      <x:c r="CH6" s="9" t="str">
        <x:v>2.0</x:v>
      </x:c>
      <x:c r="CI6" s="9" t="str">
        <x:v>1.978976759436004</x:v>
      </x:c>
      <x:c r="CJ6" s="6" t="str">
        <x:v>Win</x:v>
      </x:c>
      <x:c r="CK6" s="9" t="str">
        <x:v>2.0370795167182316</x:v>
      </x:c>
      <x:c r="CL6" s="9" t="str">
        <x:v>0.26822755202339704</x:v>
      </x:c>
      <x:c r="CM6" s="7" t="str">
        <x:v>2024-01-04 10:15:00-06:00</x:v>
      </x:c>
      <x:c r="CN6" s="6" t="str">
        <x:v>16368.721288968803</x:v>
      </x:c>
      <x:c r="CO6" s="6" t="str">
        <x:v>TARGET</x:v>
      </x:c>
      <x:c r="CP6" s="6" t="str">
        <x:v>F::Long::Same-bar Setup+BOS::Penetration + same-bar reclaim</x:v>
      </x:c>
    </x:row>
    <x:row r="7" ht="18" customHeight="1">
      <x:c r="A7" s="6" t="str">
        <x:v>A0006</x:v>
      </x:c>
      <x:c r="B7" s="6" t="str">
        <x:v>2024-01-05</x:v>
      </x:c>
      <x:c r="C7" s="6" t="str">
        <x:v>2024</x:v>
      </x:c>
      <x:c r="D7" s="6" t="str">
        <x:v>2024-Q1</x:v>
      </x:c>
      <x:c r="E7" s="6" t="str">
        <x:v>First 50%</x:v>
      </x:c>
      <x:c r="F7" s="6" t="str">
        <x:v>Long</x:v>
      </x:c>
      <x:c r="G7" s="6" t="str">
        <x:v>Long</x:v>
      </x:c>
      <x:c r="H7" s="6" t="str">
        <x:v>Overnight</x:v>
      </x:c>
      <x:c r="I7" s="6" t="str">
        <x:v>Overnight</x:v>
      </x:c>
      <x:c r="J7" s="6" t="str">
        <x:v>Bear</x:v>
      </x:c>
      <x:c r="K7" s="6" t="str">
        <x:v>Bear</x:v>
      </x:c>
      <x:c r="L7" s="6" t="str">
        <x:v>HIGH</x:v>
      </x:c>
      <x:c r="M7" s="7" t="str">
        <x:v>2024-01-05 02:15:00-06:00</x:v>
      </x:c>
      <x:c r="N7" s="6" t="str">
        <x:v>75.0</x:v>
      </x:c>
      <x:c r="O7" s="6" t="str">
        <x:v>75-79</x:v>
      </x:c>
      <x:c r="P7" s="6" t="str">
        <x:v>Matching BOS only</x:v>
      </x:c>
      <x:c r="Q7" s="6" t="str">
        <x:v>Bull CHoCH</x:v>
      </x:c>
      <x:c r="R7" s="6" t="str">
        <x:v>True</x:v>
      </x:c>
      <x:c r="S7" s="6" t="str">
        <x:v>False</x:v>
      </x:c>
      <x:c r="T7" s="6" t="str">
        <x:v>Recent SSL</x:v>
      </x:c>
      <x:c r="U7" s="6" t="str">
        <x:v>SSL</x:v>
      </x:c>
      <x:c r="V7" s="6" t="str">
        <x:v>Swing low / sell-side</x:v>
      </x:c>
      <x:c r="W7" s="6" t="str">
        <x:v>[16185.25]</x:v>
      </x:c>
      <x:c r="X7" s="8" t="str">
        <x:v>1</x:v>
      </x:c>
      <x:c r="Y7" s="8" t="str">
        <x:v>3.0</x:v>
      </x:c>
      <x:c r="Z7" s="6" t="str">
        <x:v>Sweep above CRT reference</x:v>
      </x:c>
      <x:c r="AA7" s="6" t="str">
        <x:v>16209.25</x:v>
      </x:c>
      <x:c r="AB7" s="9" t="str">
        <x:v>0.06707662961893877</x:v>
      </x:c>
      <x:c r="AC7" s="9" t="str">
        <x:v>0.06707662961893877</x:v>
      </x:c>
      <x:c r="AD7" s="9" t="str">
        <x:v>0.7713812406177959</x:v>
      </x:c>
      <x:c r="AE7" s="6" t="str">
        <x:v>With trade</x:v>
      </x:c>
      <x:c r="AF7" s="7" t="str">
        <x:v>2024-01-05 02:15:00-06:00</x:v>
      </x:c>
      <x:c r="AG7" s="6" t="str">
        <x:v>Long</x:v>
      </x:c>
      <x:c r="AH7" s="6" t="str">
        <x:v>16209.25</x:v>
      </x:c>
      <x:c r="AI7" s="8" t="str">
        <x:v>0</x:v>
      </x:c>
      <x:c r="AJ7" s="6" t="str">
        <x:v>True</x:v>
      </x:c>
      <x:c r="AK7" s="6" t="str">
        <x:v>Same-bar Setup+BOS</x:v>
      </x:c>
      <x:c r="AL7" s="9" t="str">
        <x:v>0.06707662961893877</x:v>
      </x:c>
      <x:c r="AM7" s="9" t="str">
        <x:v>0.06707662961893877</x:v>
      </x:c>
      <x:c r="AN7" s="9" t="str">
        <x:v>0.06707662961893877</x:v>
      </x:c>
      <x:c r="AO7" s="9" t="str">
        <x:v>0.7713812406177959</x:v>
      </x:c>
      <x:c r="AP7" s="10" t="str">
        <x:v>0.08695652173913043</x:v>
      </x:c>
      <x:c r="AQ7" s="6" t="str">
        <x:v>0.5217391304347826</x:v>
      </x:c>
      <x:c r="AR7" s="6" t="str">
        <x:v>0.391304347826087</x:v>
      </x:c>
      <x:c r="AS7" s="6" t="str">
        <x:v>With trade</x:v>
      </x:c>
      <x:c r="AT7" s="6" t="str">
        <x:v>1.2705280755236503</x:v>
      </x:c>
      <x:c r="AU7" s="7" t="str">
        <x:v>2024-01-05 02:20:00-06:00</x:v>
      </x:c>
      <x:c r="AV7" s="8" t="str">
        <x:v>1</x:v>
      </x:c>
      <x:c r="AW7" s="6" t="str">
        <x:v>Immediate retest (1 bar)</x:v>
      </x:c>
      <x:c r="AX7" s="6" t="str">
        <x:v>16209.25</x:v>
      </x:c>
      <x:c r="AY7" s="6" t="str">
        <x:v>0.0</x:v>
      </x:c>
      <x:c r="AZ7" s="9" t="str">
        <x:v>0.0</x:v>
      </x:c>
      <x:c r="BA7" s="9" t="str">
        <x:v>0.6324052414497783</x:v>
      </x:c>
      <x:c r="BB7" s="9" t="str">
        <x:v>1.0983880509390886</x:v>
      </x:c>
      <x:c r="BC7" s="9" t="str">
        <x:v>0.5991207550576847</x:v>
      </x:c>
      <x:c r="BD7" s="6" t="str">
        <x:v>0.42424242424242425</x:v>
      </x:c>
      <x:c r="BE7" s="6" t="str">
        <x:v>0.030303030303030304</x:v>
      </x:c>
      <x:c r="BF7" s="9" t="str">
        <x:v>0.033284486392093596</x:v>
      </x:c>
      <x:c r="BG7" s="9" t="str">
        <x:v>0.46598280948931037</x:v>
      </x:c>
      <x:c r="BH7" s="6" t="str">
        <x:v>With trade</x:v>
      </x:c>
      <x:c r="BI7" s="6" t="str">
        <x:v>Exact BOS touch</x:v>
      </x:c>
      <x:c r="BJ7" s="6" t="str">
        <x:v>True</x:v>
      </x:c>
      <x:c r="BK7" s="10" t="str">
        <x:v>False</x:v>
      </x:c>
      <x:c r="BL7" s="6" t="str">
        <x:v>True</x:v>
      </x:c>
      <x:c r="BM7" s="7" t="str">
        <x:v>2024-01-05 02:25:00-06:00</x:v>
      </x:c>
      <x:c r="BN7" s="8" t="str">
        <x:v>1</x:v>
      </x:c>
      <x:c r="BO7" s="6" t="str">
        <x:v>Immediate confirmation (1 bar)</x:v>
      </x:c>
      <x:c r="BP7" s="9" t="str">
        <x:v>0.06413599059212999</x:v>
      </x:c>
      <x:c r="BQ7" s="9" t="str">
        <x:v>1.3789237977307947</x:v>
      </x:c>
      <x:c r="BR7" s="10" t="str">
        <x:v>0.046511627906976744</x:v>
      </x:c>
      <x:c r="BS7" s="9" t="str">
        <x:v>0.8016998824016248</x:v>
      </x:c>
      <x:c r="BT7" s="9" t="str">
        <x:v>0.19240797177638996</x:v>
      </x:c>
      <x:c r="BU7" s="9" t="str">
        <x:v>0.032067995296064994</x:v>
      </x:c>
      <x:c r="BV7" s="6" t="str">
        <x:v>With trade</x:v>
      </x:c>
      <x:c r="BW7" s="7" t="str">
        <x:v>2024-01-05 02:25:00-06:00</x:v>
      </x:c>
      <x:c r="BX7" s="6" t="str">
        <x:v>16215.5</x:v>
      </x:c>
      <x:c r="BY7" s="9" t="str">
        <x:v>7.795934784569369</x:v>
      </x:c>
      <x:c r="BZ7" s="9" t="str">
        <x:v>1.0</x:v>
      </x:c>
      <x:c r="CA7" s="6" t="str">
        <x:v>16203.806097823146</x:v>
      </x:c>
      <x:c r="CB7" s="6" t="str">
        <x:v>11.693902176853953</x:v>
      </x:c>
      <x:c r="CC7" s="9" t="str">
        <x:v>1.4999999999999871</x:v>
      </x:c>
      <x:c r="CD7" s="6" t="str">
        <x:v>16238.887804353708</x:v>
      </x:c>
      <x:c r="CE7" s="6" t="str">
        <x:v>23.387804353707907</x:v>
      </x:c>
      <x:c r="CF7" s="6" t="str">
        <x:v>Fixed 2.00R target</x:v>
      </x:c>
      <x:c r="CG7" s="9" t="str">
        <x:v>0.061998124239059524</x:v>
      </x:c>
      <x:c r="CH7" s="9" t="str">
        <x:v>-1.0</x:v>
      </x:c>
      <x:c r="CI7" s="9" t="str">
        <x:v>-1.0619981242390595</x:v>
      </x:c>
      <x:c r="CJ7" s="6" t="str">
        <x:v>Loss</x:v>
      </x:c>
      <x:c r="CK7" s="9" t="str">
        <x:v>0.06413599059213054</x:v>
      </x:c>
      <x:c r="CL7" s="9" t="str">
        <x:v>1.1544478306583497</x:v>
      </x:c>
      <x:c r="CM7" s="7" t="str">
        <x:v>2024-01-05 02:45:00-06:00</x:v>
      </x:c>
      <x:c r="CN7" s="6" t="str">
        <x:v>16203.806097823146</x:v>
      </x:c>
      <x:c r="CO7" s="6" t="str">
        <x:v>STOP</x:v>
      </x:c>
      <x:c r="CP7" s="6" t="str">
        <x:v>F::Long::Same-bar Setup+BOS::Exact BOS touch</x:v>
      </x:c>
    </x:row>
    <x:row r="8" ht="18" customHeight="1">
      <x:c r="A8" s="6" t="str">
        <x:v>A0007</x:v>
      </x:c>
      <x:c r="B8" s="6" t="str">
        <x:v>2024-01-05</x:v>
      </x:c>
      <x:c r="C8" s="6" t="str">
        <x:v>2024</x:v>
      </x:c>
      <x:c r="D8" s="6" t="str">
        <x:v>2024-Q1</x:v>
      </x:c>
      <x:c r="E8" s="6" t="str">
        <x:v>First 50%</x:v>
      </x:c>
      <x:c r="F8" s="6" t="str">
        <x:v>Long</x:v>
      </x:c>
      <x:c r="G8" s="6" t="str">
        <x:v>Long</x:v>
      </x:c>
      <x:c r="H8" s="6" t="str">
        <x:v>Premarket</x:v>
      </x:c>
      <x:c r="I8" s="6" t="str">
        <x:v>Premarket</x:v>
      </x:c>
      <x:c r="J8" s="6" t="str">
        <x:v>Bear</x:v>
      </x:c>
      <x:c r="K8" s="6" t="str">
        <x:v>Bear</x:v>
      </x:c>
      <x:c r="L8" s="6" t="str">
        <x:v>MID</x:v>
      </x:c>
      <x:c r="M8" s="7" t="str">
        <x:v>2024-01-05 06:20:00-06:00</x:v>
      </x:c>
      <x:c r="N8" s="6" t="str">
        <x:v>75.0</x:v>
      </x:c>
      <x:c r="O8" s="6" t="str">
        <x:v>75-79</x:v>
      </x:c>
      <x:c r="P8" s="6" t="str">
        <x:v>Matching BOS only</x:v>
      </x:c>
      <x:c r="Q8" s="6" t="str">
        <x:v>Bull CHoCH</x:v>
      </x:c>
      <x:c r="R8" s="6" t="str">
        <x:v>True</x:v>
      </x:c>
      <x:c r="S8" s="6" t="str">
        <x:v>False</x:v>
      </x:c>
      <x:c r="T8" s="6" t="str">
        <x:v>Recent SSL</x:v>
      </x:c>
      <x:c r="U8" s="6" t="str">
        <x:v>SSL</x:v>
      </x:c>
      <x:c r="V8" s="6" t="str">
        <x:v>Swing low / sell-side</x:v>
      </x:c>
      <x:c r="W8" s="6" t="str">
        <x:v>[16158.5]</x:v>
      </x:c>
      <x:c r="X8" s="8" t="str">
        <x:v>1</x:v>
      </x:c>
      <x:c r="Y8" s="8" t="str">
        <x:v>9.0</x:v>
      </x:c>
      <x:c r="Z8" s="6" t="str">
        <x:v>None</x:v>
      </x:c>
      <x:c r="AA8" s="6" t="str">
        <x:v>16181.75</x:v>
      </x:c>
      <x:c r="AB8" s="9" t="str">
        <x:v>0.06091488543281592</x:v>
      </x:c>
      <x:c r="AC8" s="9" t="str">
        <x:v>0.15228721358203978</x:v>
      </x:c>
      <x:c r="AD8" s="9" t="str">
        <x:v>0.8832658387758308</x:v>
      </x:c>
      <x:c r="AE8" s="6" t="str">
        <x:v>With trade</x:v>
      </x:c>
      <x:c r="AF8" s="7" t="str">
        <x:v>2024-01-05 06:20:00-06:00</x:v>
      </x:c>
      <x:c r="AG8" s="6" t="str">
        <x:v>Long</x:v>
      </x:c>
      <x:c r="AH8" s="6" t="str">
        <x:v>16181.75</x:v>
      </x:c>
      <x:c r="AI8" s="8" t="str">
        <x:v>0</x:v>
      </x:c>
      <x:c r="AJ8" s="6" t="str">
        <x:v>True</x:v>
      </x:c>
      <x:c r="AK8" s="6" t="str">
        <x:v>Same-bar Setup+BOS</x:v>
      </x:c>
      <x:c r="AL8" s="9" t="str">
        <x:v>0.15228721358203978</x:v>
      </x:c>
      <x:c r="AM8" s="9" t="str">
        <x:v>0.06091488543281592</x:v>
      </x:c>
      <x:c r="AN8" s="9" t="str">
        <x:v>0.15228721358203978</x:v>
      </x:c>
      <x:c r="AO8" s="9" t="str">
        <x:v>0.8832658387758308</x:v>
      </x:c>
      <x:c r="AP8" s="10" t="str">
        <x:v>0.1724137931034483</x:v>
      </x:c>
      <x:c r="AQ8" s="6" t="str">
        <x:v>0.13793103448275862</x:v>
      </x:c>
      <x:c r="AR8" s="6" t="str">
        <x:v>0.6896551724137931</x:v>
      </x:c>
      <x:c r="AS8" s="6" t="str">
        <x:v>With trade</x:v>
      </x:c>
      <x:c r="AT8" s="6" t="str">
        <x:v>0.9972641426175978</x:v>
      </x:c>
      <x:c r="AU8" s="7" t="str">
        <x:v>2024-01-05 06:25:00-06:00</x:v>
      </x:c>
      <x:c r="AV8" s="8" t="str">
        <x:v>1</x:v>
      </x:c>
      <x:c r="AW8" s="6" t="str">
        <x:v>Immediate retest (1 bar)</x:v>
      </x:c>
      <x:c r="AX8" s="6" t="str">
        <x:v>16179.0</x:v>
      </x:c>
      <x:c r="AY8" s="6" t="str">
        <x:v>2.75</x:v>
      </x:c>
      <x:c r="AZ8" s="9" t="str">
        <x:v>0.3371093476155275</x:v>
      </x:c>
      <x:c r="BA8" s="9" t="str">
        <x:v>0.18387782597210592</x:v>
      </x:c>
      <x:c r="BB8" s="9" t="str">
        <x:v>0.9193891298605297</x:v>
      </x:c>
      <x:c r="BC8" s="9" t="str">
        <x:v>0.12258521731473729</x:v>
      </x:c>
      <x:c r="BD8" s="6" t="str">
        <x:v>0.43333333333333335</x:v>
      </x:c>
      <x:c r="BE8" s="6" t="str">
        <x:v>0.43333333333333335</x:v>
      </x:c>
      <x:c r="BF8" s="9" t="str">
        <x:v>0.39840195627289615</x:v>
      </x:c>
      <x:c r="BG8" s="9" t="str">
        <x:v>0.39840195627289615</x:v>
      </x:c>
      <x:c r="BH8" s="6" t="str">
        <x:v>With trade</x:v>
      </x:c>
      <x:c r="BI8" s="6" t="str">
        <x:v>Penetration + same-bar reclaim</x:v>
      </x:c>
      <x:c r="BJ8" s="6" t="str">
        <x:v>False</x:v>
      </x:c>
      <x:c r="BK8" s="10" t="str">
        <x:v>True</x:v>
      </x:c>
      <x:c r="BL8" s="6" t="str">
        <x:v>True</x:v>
      </x:c>
      <x:c r="BM8" s="7" t="str">
        <x:v>2024-01-05 06:35:00-06:00</x:v>
      </x:c>
      <x:c r="BN8" s="8" t="str">
        <x:v>2</x:v>
      </x:c>
      <x:c r="BO8" s="6" t="str">
        <x:v>Delayed confirmation (2+ bars)</x:v>
      </x:c>
      <x:c r="BP8" s="9" t="str">
        <x:v>0.33971313579222057</x:v>
      </x:c>
      <x:c r="BQ8" s="9" t="str">
        <x:v>1.2044374814451455</x:v>
      </x:c>
      <x:c r="BR8" s="10" t="str">
        <x:v>0.28205128205128205</x:v>
      </x:c>
      <x:c r="BS8" s="9" t="str">
        <x:v>0.30883012344747324</x:v>
      </x:c>
      <x:c r="BT8" s="9" t="str">
        <x:v>0.12353204937898929</x:v>
      </x:c>
      <x:c r="BU8" s="9" t="str">
        <x:v>0.15441506172373662</x:v>
      </x:c>
      <x:c r="BV8" s="6" t="str">
        <x:v>With trade</x:v>
      </x:c>
      <x:c r="BW8" s="7" t="str">
        <x:v>2024-01-05 06:35:00-06:00</x:v>
      </x:c>
      <x:c r="BX8" s="6" t="str">
        <x:v>16184.25</x:v>
      </x:c>
      <x:c r="BY8" s="9" t="str">
        <x:v>8.095065248468897</x:v>
      </x:c>
      <x:c r="BZ8" s="9" t="str">
        <x:v>0.59</x:v>
      </x:c>
      <x:c r="CA8" s="6" t="str">
        <x:v>16172.107402127296</x:v>
      </x:c>
      <x:c r="CB8" s="6" t="str">
        <x:v>12.142597872703845</x:v>
      </x:c>
      <x:c r="CC8" s="9" t="str">
        <x:v>1.5000000000000617</x:v>
      </x:c>
      <x:c r="CD8" s="6" t="str">
        <x:v>16208.535195745406</x:v>
      </x:c>
      <x:c r="CE8" s="6" t="str">
        <x:v>24.285195745405872</x:v>
      </x:c>
      <x:c r="CF8" s="6" t="str">
        <x:v>Fixed 2.00R target</x:v>
      </x:c>
      <x:c r="CG8" s="9" t="str">
        <x:v>0.05970715719984237</x:v>
      </x:c>
      <x:c r="CH8" s="9" t="str">
        <x:v>-1.0</x:v>
      </x:c>
      <x:c r="CI8" s="9" t="str">
        <x:v>-1.0597071571998424</x:v>
      </x:c>
      <x:c r="CJ8" s="6" t="str">
        <x:v>Loss</x:v>
      </x:c>
      <x:c r="CK8" s="9" t="str">
        <x:v>0.47353952261943943</x:v>
      </x:c>
      <x:c r="CL8" s="9" t="str">
        <x:v>1.111788444410858</x:v>
      </x:c>
      <x:c r="CM8" s="7" t="str">
        <x:v>2024-01-05 06:50:00-06:00</x:v>
      </x:c>
      <x:c r="CN8" s="6" t="str">
        <x:v>16172.107402127296</x:v>
      </x:c>
      <x:c r="CO8" s="6" t="str">
        <x:v>STOP</x:v>
      </x:c>
      <x:c r="CP8" s="6" t="str">
        <x:v>F::Long::Same-bar Setup+BOS::Penetration + same-bar reclaim</x:v>
      </x:c>
    </x:row>
    <x:row r="9" ht="18" customHeight="1">
      <x:c r="A9" s="6" t="str">
        <x:v>A0008</x:v>
      </x:c>
      <x:c r="B9" s="6" t="str">
        <x:v>2024-01-08</x:v>
      </x:c>
      <x:c r="C9" s="6" t="str">
        <x:v>2024</x:v>
      </x:c>
      <x:c r="D9" s="6" t="str">
        <x:v>2024-Q1</x:v>
      </x:c>
      <x:c r="E9" s="6" t="str">
        <x:v>First 50%</x:v>
      </x:c>
      <x:c r="F9" s="6" t="str">
        <x:v>Long</x:v>
      </x:c>
      <x:c r="G9" s="6" t="str">
        <x:v>Long</x:v>
      </x:c>
      <x:c r="H9" s="6" t="str">
        <x:v>Overnight</x:v>
      </x:c>
      <x:c r="I9" s="6" t="str">
        <x:v>Overnight</x:v>
      </x:c>
      <x:c r="J9" s="6" t="str">
        <x:v>Bull</x:v>
      </x:c>
      <x:c r="K9" s="6" t="str">
        <x:v>Bull</x:v>
      </x:c>
      <x:c r="L9" s="6" t="str">
        <x:v>LOW</x:v>
      </x:c>
      <x:c r="M9" s="7" t="str">
        <x:v>2024-01-08 20:15:00-06:00</x:v>
      </x:c>
      <x:c r="N9" s="6" t="str">
        <x:v>90.0</x:v>
      </x:c>
      <x:c r="O9" s="6" t="str">
        <x:v>90-94</x:v>
      </x:c>
      <x:c r="P9" s="6" t="str">
        <x:v>Matching BOS only</x:v>
      </x:c>
      <x:c r="Q9" s="6" t="str">
        <x:v>Bull BOS</x:v>
      </x:c>
      <x:c r="R9" s="6" t="str">
        <x:v>True</x:v>
      </x:c>
      <x:c r="S9" s="6" t="str">
        <x:v>False</x:v>
      </x:c>
      <x:c r="T9" s="6" t="str">
        <x:v>Recent SSL</x:v>
      </x:c>
      <x:c r="U9" s="6" t="str">
        <x:v>SSL</x:v>
      </x:c>
      <x:c r="V9" s="6" t="str">
        <x:v>Equal low / sell-side</x:v>
      </x:c>
      <x:c r="W9" s="6" t="str">
        <x:v>[16569.5]</x:v>
      </x:c>
      <x:c r="X9" s="8" t="str">
        <x:v>1</x:v>
      </x:c>
      <x:c r="Y9" s="8" t="str">
        <x:v>6.0</x:v>
      </x:c>
      <x:c r="Z9" s="6" t="str">
        <x:v>None</x:v>
      </x:c>
      <x:c r="AA9" s="6" t="str">
        <x:v>16578.75</x:v>
      </x:c>
      <x:c r="AB9" s="9" t="str">
        <x:v>0.17775925045825924</x:v>
      </x:c>
      <x:c r="AC9" s="9" t="str">
        <x:v>0.5925308348608642</x:v>
      </x:c>
      <x:c r="AD9" s="9" t="str">
        <x:v>1.007302419263469</x:v>
      </x:c>
      <x:c r="AE9" s="6" t="str">
        <x:v>With trade</x:v>
      </x:c>
      <x:c r="AF9" s="7" t="str">
        <x:v>2024-01-08 20:15:00-06:00</x:v>
      </x:c>
      <x:c r="AG9" s="6" t="str">
        <x:v>Long</x:v>
      </x:c>
      <x:c r="AH9" s="6" t="str">
        <x:v>16578.75</x:v>
      </x:c>
      <x:c r="AI9" s="8" t="str">
        <x:v>0</x:v>
      </x:c>
      <x:c r="AJ9" s="6" t="str">
        <x:v>True</x:v>
      </x:c>
      <x:c r="AK9" s="6" t="str">
        <x:v>Same-bar Setup+BOS</x:v>
      </x:c>
      <x:c r="AL9" s="9" t="str">
        <x:v>0.47402466788869135</x:v>
      </x:c>
      <x:c r="AM9" s="9" t="str">
        <x:v>0.17775925045825924</x:v>
      </x:c>
      <x:c r="AN9" s="9" t="str">
        <x:v>0.5925308348608642</x:v>
      </x:c>
      <x:c r="AO9" s="9" t="str">
        <x:v>1.007302419263469</x:v>
      </x:c>
      <x:c r="AP9" s="10" t="str">
        <x:v>0.5882352941176471</x:v>
      </x:c>
      <x:c r="AQ9" s="6" t="str">
        <x:v>0.23529411764705882</x:v>
      </x:c>
      <x:c r="AR9" s="6" t="str">
        <x:v>0.17647058823529413</x:v>
      </x:c>
      <x:c r="AS9" s="6" t="str">
        <x:v>With trade</x:v>
      </x:c>
      <x:c r="AT9" s="6" t="str">
        <x:v>2.4817791067090265</x:v>
      </x:c>
      <x:c r="AU9" s="7" t="str">
        <x:v>2024-01-08 20:20:00-06:00</x:v>
      </x:c>
      <x:c r="AV9" s="8" t="str">
        <x:v>1</x:v>
      </x:c>
      <x:c r="AW9" s="6" t="str">
        <x:v>Immediate retest (1 bar)</x:v>
      </x:c>
      <x:c r="AX9" s="6" t="str">
        <x:v>16578.5</x:v>
      </x:c>
      <x:c r="AY9" s="6" t="str">
        <x:v>0.25</x:v>
      </x:c>
      <x:c r="AZ9" s="9" t="str">
        <x:v>0.06050185472435875</x:v>
      </x:c>
      <x:c r="BA9" s="9" t="str">
        <x:v>0.6050185472435875</x:v>
      </x:c>
      <x:c r="BB9" s="9" t="str">
        <x:v>0.7260222566923049</x:v>
      </x:c>
      <x:c r="BC9" s="9" t="str">
        <x:v>0.36301112834615246</x:v>
      </x:c>
      <x:c r="BD9" s="6" t="str">
        <x:v>0.08333333333333333</x:v>
      </x:c>
      <x:c r="BE9" s="6" t="str">
        <x:v>0.4166666666666667</x:v>
      </x:c>
      <x:c r="BF9" s="9" t="str">
        <x:v>0.30250927362179375</x:v>
      </x:c>
      <x:c r="BG9" s="9" t="str">
        <x:v>0.06050185472435875</x:v>
      </x:c>
      <x:c r="BH9" s="6" t="str">
        <x:v>With trade</x:v>
      </x:c>
      <x:c r="BI9" s="6" t="str">
        <x:v>Penetration + same-bar reclaim</x:v>
      </x:c>
      <x:c r="BJ9" s="6" t="str">
        <x:v>False</x:v>
      </x:c>
      <x:c r="BK9" s="10" t="str">
        <x:v>True</x:v>
      </x:c>
      <x:c r="BL9" s="6" t="str">
        <x:v>True</x:v>
      </x:c>
      <x:c r="BM9" s="7" t="str">
        <x:v>2024-01-08 20:25:00-06:00</x:v>
      </x:c>
      <x:c r="BN9" s="8" t="str">
        <x:v>1</x:v>
      </x:c>
      <x:c r="BO9" s="6" t="str">
        <x:v>Immediate confirmation (1 bar)</x:v>
      </x:c>
      <x:c r="BP9" s="9" t="str">
        <x:v>0.06143868891794108</x:v>
      </x:c>
      <x:c r="BQ9" s="9" t="str">
        <x:v>0.798702955933234</x:v>
      </x:c>
      <x:c r="BR9" s="10" t="str">
        <x:v>0.07692307692307693</x:v>
      </x:c>
      <x:c r="BS9" s="9" t="str">
        <x:v>0.6143868891794109</x:v>
      </x:c>
      <x:c r="BT9" s="9" t="str">
        <x:v>0.0</x:v>
      </x:c>
      <x:c r="BU9" s="9" t="str">
        <x:v>0.4300708224255876</x:v>
      </x:c>
      <x:c r="BV9" s="6" t="str">
        <x:v>With trade</x:v>
      </x:c>
      <x:c r="BW9" s="7" t="str">
        <x:v>2024-01-08 20:25:00-06:00</x:v>
      </x:c>
      <x:c r="BX9" s="6" t="str">
        <x:v>16581.25</x:v>
      </x:c>
      <x:c r="BY9" s="9" t="str">
        <x:v>4.069097248053351</x:v>
      </x:c>
      <x:c r="BZ9" s="9" t="str">
        <x:v>0.0</x:v>
      </x:c>
      <x:c r="CA9" s="6" t="str">
        <x:v>16575.14635412792</x:v>
      </x:c>
      <x:c r="CB9" s="6" t="str">
        <x:v>6.1036458720809605</x:v>
      </x:c>
      <x:c r="CC9" s="9" t="str">
        <x:v>1.5000000000002294</x:v>
      </x:c>
      <x:c r="CD9" s="6" t="str">
        <x:v>16593.45729174416</x:v>
      </x:c>
      <x:c r="CE9" s="6" t="str">
        <x:v>12.207291744158283</x:v>
      </x:c>
      <x:c r="CF9" s="6" t="str">
        <x:v>Fixed 2.00R target</x:v>
      </x:c>
      <x:c r="CG9" s="9" t="str">
        <x:v>0.1187814652413346</x:v>
      </x:c>
      <x:c r="CH9" s="9" t="str">
        <x:v>-1.0</x:v>
      </x:c>
      <x:c r="CI9" s="9" t="str">
        <x:v>-1.1187814652413346</x:v>
      </x:c>
      <x:c r="CJ9" s="6" t="str">
        <x:v>Loss</x:v>
      </x:c>
      <x:c r="CK9" s="9" t="str">
        <x:v>0.24575475567172675</x:v>
      </x:c>
      <x:c r="CL9" s="9" t="str">
        <x:v>1.0239781486321948</x:v>
      </x:c>
      <x:c r="CM9" s="7" t="str">
        <x:v>2024-01-08 21:20:00-06:00</x:v>
      </x:c>
      <x:c r="CN9" s="6" t="str">
        <x:v>16575.14635412792</x:v>
      </x:c>
      <x:c r="CO9" s="6" t="str">
        <x:v>STOP</x:v>
      </x:c>
      <x:c r="CP9" s="6" t="str">
        <x:v>F::Long::Same-bar Setup+BOS::Penetration + same-bar reclaim</x:v>
      </x:c>
    </x:row>
    <x:row r="10" ht="18" customHeight="1">
      <x:c r="A10" s="6" t="str">
        <x:v>A0009</x:v>
      </x:c>
      <x:c r="B10" s="6" t="str">
        <x:v>2024-01-09</x:v>
      </x:c>
      <x:c r="C10" s="6" t="str">
        <x:v>2024</x:v>
      </x:c>
      <x:c r="D10" s="6" t="str">
        <x:v>2024-Q1</x:v>
      </x:c>
      <x:c r="E10" s="6" t="str">
        <x:v>First 50%</x:v>
      </x:c>
      <x:c r="F10" s="6" t="str">
        <x:v>Long</x:v>
      </x:c>
      <x:c r="G10" s="6" t="str">
        <x:v>Long</x:v>
      </x:c>
      <x:c r="H10" s="6" t="str">
        <x:v>Midday</x:v>
      </x:c>
      <x:c r="I10" s="6" t="str">
        <x:v>Morning</x:v>
      </x:c>
      <x:c r="J10" s="6" t="str">
        <x:v>Bull</x:v>
      </x:c>
      <x:c r="K10" s="6" t="str">
        <x:v>Bull</x:v>
      </x:c>
      <x:c r="L10" s="6" t="str">
        <x:v>MID</x:v>
      </x:c>
      <x:c r="M10" s="7" t="str">
        <x:v>2024-01-09 11:50:00-06:00</x:v>
      </x:c>
      <x:c r="N10" s="6" t="str">
        <x:v>75.0</x:v>
      </x:c>
      <x:c r="O10" s="6" t="str">
        <x:v>75-79</x:v>
      </x:c>
      <x:c r="P10" s="6" t="str">
        <x:v>Matching BOS only</x:v>
      </x:c>
      <x:c r="Q10" s="6" t="str">
        <x:v>Bull BOS</x:v>
      </x:c>
      <x:c r="R10" s="6" t="str">
        <x:v>True</x:v>
      </x:c>
      <x:c r="S10" s="6" t="str">
        <x:v>False</x:v>
      </x:c>
      <x:c r="T10" s="6" t="str">
        <x:v>No recent matching sweep</x:v>
      </x:c>
      <x:c r="U10" s="6" t="str">
        <x:v>None</x:v>
      </x:c>
      <x:c r="V10" s="6" t="str">
        <x:v>None</x:v>
      </x:c>
      <x:c r="W10" s="6" t="str">
        <x:v>[]</x:v>
      </x:c>
      <x:c r="X10" s="8" t="str">
        <x:v>0</x:v>
      </x:c>
      <x:c r="Y10" s="8" t="str"/>
      <x:c r="Z10" s="6" t="str">
        <x:v>None</x:v>
      </x:c>
      <x:c r="AA10" s="6" t="str">
        <x:v>16626.5</x:v>
      </x:c>
      <x:c r="AB10" s="9" t="str">
        <x:v>0.29886392533313494</x:v>
      </x:c>
      <x:c r="AC10" s="9" t="str">
        <x:v>1.0958343928881615</x:v>
      </x:c>
      <x:c r="AD10" s="9" t="str">
        <x:v>1.2950770097769182</x:v>
      </x:c>
      <x:c r="AE10" s="6" t="str">
        <x:v>With trade</x:v>
      </x:c>
      <x:c r="AF10" s="7" t="str">
        <x:v>2024-01-09 11:50:00-06:00</x:v>
      </x:c>
      <x:c r="AG10" s="6" t="str">
        <x:v>Long</x:v>
      </x:c>
      <x:c r="AH10" s="6" t="str">
        <x:v>16626.5</x:v>
      </x:c>
      <x:c r="AI10" s="8" t="str">
        <x:v>0</x:v>
      </x:c>
      <x:c r="AJ10" s="6" t="str">
        <x:v>True</x:v>
      </x:c>
      <x:c r="AK10" s="6" t="str">
        <x:v>Same-bar Setup+BOS</x:v>
      </x:c>
      <x:c r="AL10" s="9" t="str">
        <x:v>1.0958343928881615</x:v>
      </x:c>
      <x:c r="AM10" s="9" t="str">
        <x:v>0.29886392533313494</x:v>
      </x:c>
      <x:c r="AN10" s="9" t="str">
        <x:v>1.0958343928881615</x:v>
      </x:c>
      <x:c r="AO10" s="9" t="str">
        <x:v>1.2950770097769182</x:v>
      </x:c>
      <x:c r="AP10" s="10" t="str">
        <x:v>0.8461538461538461</x:v>
      </x:c>
      <x:c r="AQ10" s="6" t="str">
        <x:v>0.14102564102564102</x:v>
      </x:c>
      <x:c r="AR10" s="6" t="str">
        <x:v>0.01282051282051282</x:v>
      </x:c>
      <x:c r="AS10" s="6" t="str">
        <x:v>With trade</x:v>
      </x:c>
      <x:c r="AT10" s="6" t="str">
        <x:v>1.2003482310492035</x:v>
      </x:c>
      <x:c r="AU10" s="7" t="str">
        <x:v>2024-01-09 11:55:00-06:00</x:v>
      </x:c>
      <x:c r="AV10" s="8" t="str">
        <x:v>1</x:v>
      </x:c>
      <x:c r="AW10" s="6" t="str">
        <x:v>Immediate retest (1 bar)</x:v>
      </x:c>
      <x:c r="AX10" s="6" t="str">
        <x:v>16624.5</x:v>
      </x:c>
      <x:c r="AY10" s="6" t="str">
        <x:v>2.0</x:v>
      </x:c>
      <x:c r="AZ10" s="9" t="str">
        <x:v>0.13559896237662825</x:v>
      </x:c>
      <x:c r="BA10" s="9" t="str">
        <x:v>0.4067968871298847</x:v>
      </x:c>
      <x:c r="BB10" s="9" t="str">
        <x:v>0.7288444227743768</x:v>
      </x:c>
      <x:c r="BC10" s="9" t="str">
        <x:v>0.08474935148539266</x:v>
      </x:c>
      <x:c r="BD10" s="6" t="str">
        <x:v>0.2558139534883721</x:v>
      </x:c>
      <x:c r="BE10" s="6" t="str">
        <x:v>0.627906976744186</x:v>
      </x:c>
      <x:c r="BF10" s="9" t="str">
        <x:v>0.45764649802112034</x:v>
      </x:c>
      <x:c r="BG10" s="9" t="str">
        <x:v>0.18644857326786385</x:v>
      </x:c>
      <x:c r="BH10" s="6" t="str">
        <x:v>With trade</x:v>
      </x:c>
      <x:c r="BI10" s="6" t="str">
        <x:v>Penetration + same-bar reclaim</x:v>
      </x:c>
      <x:c r="BJ10" s="6" t="str">
        <x:v>False</x:v>
      </x:c>
      <x:c r="BK10" s="10" t="str">
        <x:v>True</x:v>
      </x:c>
      <x:c r="BL10" s="6" t="str">
        <x:v>True</x:v>
      </x:c>
      <x:c r="BM10" s="7" t="str">
        <x:v>2024-01-09 12:00:00-06:00</x:v>
      </x:c>
      <x:c r="BN10" s="8" t="str">
        <x:v>1</x:v>
      </x:c>
      <x:c r="BO10" s="6" t="str">
        <x:v>Immediate confirmation (1 bar)</x:v>
      </x:c>
      <x:c r="BP10" s="9" t="str">
        <x:v>1.3674935058899733</x:v>
      </x:c>
      <x:c r="BQ10" s="9" t="str">
        <x:v>1.5140106672353277</x:v>
      </x:c>
      <x:c r="BR10" s="10" t="str">
        <x:v>0.9032258064516129</x:v>
      </x:c>
      <x:c r="BS10" s="9" t="str">
        <x:v>1.7582059361442515</x:v>
      </x:c>
      <x:c r="BT10" s="9" t="str">
        <x:v>1.3674935058899733</x:v>
      </x:c>
      <x:c r="BU10" s="9" t="str">
        <x:v>0.04883905378178476</x:v>
      </x:c>
      <x:c r="BV10" s="6" t="str">
        <x:v>With trade</x:v>
      </x:c>
      <x:c r="BW10" s="7" t="str">
        <x:v>2024-01-09 12:00:00-06:00</x:v>
      </x:c>
      <x:c r="BX10" s="6" t="str">
        <x:v>16653.5</x:v>
      </x:c>
      <x:c r="BY10" s="9" t="str">
        <x:v>15.356562871816395</x:v>
      </x:c>
      <x:c r="BZ10" s="9" t="str">
        <x:v>0.65</x:v>
      </x:c>
      <x:c r="CA10" s="6" t="str">
        <x:v>16630.465155692276</x:v>
      </x:c>
      <x:c r="CB10" s="6" t="str">
        <x:v>23.034844307723688</x:v>
      </x:c>
      <x:c r="CC10" s="9" t="str">
        <x:v>1.4999999999999412</x:v>
      </x:c>
      <x:c r="CD10" s="6" t="str">
        <x:v>16699.569688615447</x:v>
      </x:c>
      <x:c r="CE10" s="6" t="str">
        <x:v>46.069688615447376</x:v>
      </x:c>
      <x:c r="CF10" s="6" t="str">
        <x:v>Fixed 2.00R target</x:v>
      </x:c>
      <x:c r="CG10" s="9" t="str">
        <x:v>0.03147405688159586</x:v>
      </x:c>
      <x:c r="CH10" s="9" t="str">
        <x:v>-1.0</x:v>
      </x:c>
      <x:c r="CI10" s="9" t="str">
        <x:v>-1.0314740568815959</x:v>
      </x:c>
      <x:c r="CJ10" s="6" t="str">
        <x:v>Loss</x:v>
      </x:c>
      <x:c r="CK10" s="9" t="str">
        <x:v>0.07597186143833484</x:v>
      </x:c>
      <x:c r="CL10" s="9" t="str">
        <x:v>1.4326122442657427</x:v>
      </x:c>
      <x:c r="CM10" s="7" t="str">
        <x:v>2024-01-09 12:05:00-06:00</x:v>
      </x:c>
      <x:c r="CN10" s="6" t="str">
        <x:v>16630.465155692276</x:v>
      </x:c>
      <x:c r="CO10" s="6" t="str">
        <x:v>STOP</x:v>
      </x:c>
      <x:c r="CP10" s="6" t="str">
        <x:v>F::Long::Same-bar Setup+BOS::Penetration + same-bar reclaim</x:v>
      </x:c>
    </x:row>
    <x:row r="11" ht="18" customHeight="1">
      <x:c r="A11" s="6" t="str">
        <x:v>A0010</x:v>
      </x:c>
      <x:c r="B11" s="6" t="str">
        <x:v>2024-01-09</x:v>
      </x:c>
      <x:c r="C11" s="6" t="str">
        <x:v>2024</x:v>
      </x:c>
      <x:c r="D11" s="6" t="str">
        <x:v>2024-Q1</x:v>
      </x:c>
      <x:c r="E11" s="6" t="str">
        <x:v>First 50%</x:v>
      </x:c>
      <x:c r="F11" s="6" t="str">
        <x:v>Short</x:v>
      </x:c>
      <x:c r="G11" s="6" t="str">
        <x:v>Short</x:v>
      </x:c>
      <x:c r="H11" s="6" t="str">
        <x:v>Midday</x:v>
      </x:c>
      <x:c r="I11" s="6" t="str">
        <x:v>Midday</x:v>
      </x:c>
      <x:c r="J11" s="6" t="str">
        <x:v>Bull</x:v>
      </x:c>
      <x:c r="K11" s="6" t="str">
        <x:v>Bull</x:v>
      </x:c>
      <x:c r="L11" s="6" t="str">
        <x:v>HIGH</x:v>
      </x:c>
      <x:c r="M11" s="7" t="str">
        <x:v>2024-01-09 12:30:00-06:00</x:v>
      </x:c>
      <x:c r="N11" s="6" t="str">
        <x:v>75.0</x:v>
      </x:c>
      <x:c r="O11" s="6" t="str">
        <x:v>75-79</x:v>
      </x:c>
      <x:c r="P11" s="6" t="str">
        <x:v>Matching BOS only</x:v>
      </x:c>
      <x:c r="Q11" s="6" t="str">
        <x:v>Bear CHoCH</x:v>
      </x:c>
      <x:c r="R11" s="6" t="str">
        <x:v>True</x:v>
      </x:c>
      <x:c r="S11" s="6" t="str">
        <x:v>False</x:v>
      </x:c>
      <x:c r="T11" s="6" t="str">
        <x:v>No recent matching sweep</x:v>
      </x:c>
      <x:c r="U11" s="6" t="str">
        <x:v>None</x:v>
      </x:c>
      <x:c r="V11" s="6" t="str">
        <x:v>None</x:v>
      </x:c>
      <x:c r="W11" s="6" t="str">
        <x:v>[]</x:v>
      </x:c>
      <x:c r="X11" s="8" t="str">
        <x:v>0</x:v>
      </x:c>
      <x:c r="Y11" s="8" t="str"/>
      <x:c r="Z11" s="6" t="str">
        <x:v>None</x:v>
      </x:c>
      <x:c r="AA11" s="6" t="str">
        <x:v>16600.75</x:v>
      </x:c>
      <x:c r="AB11" s="9" t="str">
        <x:v>0.5363085509449131</x:v>
      </x:c>
      <x:c r="AC11" s="9" t="str">
        <x:v>1.4929670472250283</x:v>
      </x:c>
      <x:c r="AD11" s="9" t="str">
        <x:v>1.8988221668590166</x:v>
      </x:c>
      <x:c r="AE11" s="6" t="str">
        <x:v>With trade</x:v>
      </x:c>
      <x:c r="AF11" s="7" t="str">
        <x:v>2024-01-09 12:30:00-06:00</x:v>
      </x:c>
      <x:c r="AG11" s="6" t="str">
        <x:v>Short</x:v>
      </x:c>
      <x:c r="AH11" s="6" t="str">
        <x:v>16600.75</x:v>
      </x:c>
      <x:c r="AI11" s="8" t="str">
        <x:v>0</x:v>
      </x:c>
      <x:c r="AJ11" s="6" t="str">
        <x:v>True</x:v>
      </x:c>
      <x:c r="AK11" s="6" t="str">
        <x:v>Same-bar Setup+BOS</x:v>
      </x:c>
      <x:c r="AL11" s="9" t="str">
        <x:v>1.4929670472250283</x:v>
      </x:c>
      <x:c r="AM11" s="9" t="str">
        <x:v>0.5363085509449131</x:v>
      </x:c>
      <x:c r="AN11" s="9" t="str">
        <x:v>1.4929670472250283</x:v>
      </x:c>
      <x:c r="AO11" s="9" t="str">
        <x:v>1.8988221668590166</x:v>
      </x:c>
      <x:c r="AP11" s="10" t="str">
        <x:v>0.7862595419847328</x:v>
      </x:c>
      <x:c r="AQ11" s="6" t="str">
        <x:v>0.022900763358778626</x:v>
      </x:c>
      <x:c r="AR11" s="6" t="str">
        <x:v>0.19083969465648856</x:v>
      </x:c>
      <x:c r="AS11" s="6" t="str">
        <x:v>With trade</x:v>
      </x:c>
      <x:c r="AT11" s="6" t="str">
        <x:v>2.3305233942958927</x:v>
      </x:c>
      <x:c r="AU11" s="7" t="str">
        <x:v>2024-01-09 12:35:00-06:00</x:v>
      </x:c>
      <x:c r="AV11" s="8" t="str">
        <x:v>1</x:v>
      </x:c>
      <x:c r="AW11" s="6" t="str">
        <x:v>Immediate retest (1 bar)</x:v>
      </x:c>
      <x:c r="AX11" s="6" t="str">
        <x:v>16609.25</x:v>
      </x:c>
      <x:c r="AY11" s="6" t="str">
        <x:v>8.5</x:v>
      </x:c>
      <x:c r="AZ11" s="9" t="str">
        <x:v>0.4852825965352663</x:v>
      </x:c>
      <x:c r="BA11" s="9" t="str">
        <x:v>-0.05709207018061956</x:v>
      </x:c>
      <x:c r="BB11" s="9" t="str">
        <x:v>1.1989334737930109</x:v>
      </x:c>
      <x:c r="BC11" s="9" t="str">
        <x:v>0.5423746667158859</x:v>
      </x:c>
      <x:c r="BD11" s="6" t="str">
        <x:v>0.35714285714285715</x:v>
      </x:c>
      <x:c r="BE11" s="6" t="str">
        <x:v>0.19047619047619047</x:v>
      </x:c>
      <x:c r="BF11" s="9" t="str">
        <x:v>0.4281905263546467</x:v>
      </x:c>
      <x:c r="BG11" s="9" t="str">
        <x:v>0.22836828072247825</x:v>
      </x:c>
      <x:c r="BH11" s="6" t="str">
        <x:v>Against trade</x:v>
      </x:c>
      <x:c r="BI11" s="6" t="str">
        <x:v>Penetration without same-bar reclaim</x:v>
      </x:c>
      <x:c r="BJ11" s="6" t="str">
        <x:v>False</x:v>
      </x:c>
      <x:c r="BK11" s="10" t="str">
        <x:v>True</x:v>
      </x:c>
      <x:c r="BL11" s="6" t="str">
        <x:v>False</x:v>
      </x:c>
      <x:c r="BM11" s="7" t="str">
        <x:v>2024-01-09 12:40:00-06:00</x:v>
      </x:c>
      <x:c r="BN11" s="8" t="str">
        <x:v>1</x:v>
      </x:c>
      <x:c r="BO11" s="6" t="str">
        <x:v>Immediate confirmation (1 bar)</x:v>
      </x:c>
      <x:c r="BP11" s="9" t="str">
        <x:v>0.23633441062373153</x:v>
      </x:c>
      <x:c r="BQ11" s="9" t="str">
        <x:v>0.5465233245673792</x:v>
      </x:c>
      <x:c r="BR11" s="10" t="str">
        <x:v>0.43243243243243246</x:v>
      </x:c>
      <x:c r="BS11" s="9" t="str">
        <x:v>0.17725080796779866</x:v>
      </x:c>
      <x:c r="BT11" s="9" t="str">
        <x:v>0.23633441062373153</x:v>
      </x:c>
      <x:c r="BU11" s="9" t="str">
        <x:v>0.11816720531186577</x:v>
      </x:c>
      <x:c r="BV11" s="6" t="str">
        <x:v>With trade</x:v>
      </x:c>
      <x:c r="BW11" s="7" t="str">
        <x:v>2024-01-09 12:40:00-06:00</x:v>
      </x:c>
      <x:c r="BX11" s="6" t="str">
        <x:v>16597.75</x:v>
      </x:c>
      <x:c r="BY11" s="9" t="str">
        <x:v>16.925169675644092</x:v>
      </x:c>
      <x:c r="BZ11" s="9" t="str">
        <x:v>0.67</x:v>
      </x:c>
      <x:c r="CA11" s="6" t="str">
        <x:v>16623.137754513467</x:v>
      </x:c>
      <x:c r="CB11" s="6" t="str">
        <x:v>25.38775451346737</x:v>
      </x:c>
      <x:c r="CC11" s="9" t="str">
        <x:v>1.5000000000000728</x:v>
      </x:c>
      <x:c r="CD11" s="6" t="str">
        <x:v>16546.97449097307</x:v>
      </x:c>
      <x:c r="CE11" s="6" t="str">
        <x:v>50.775509026931104</x:v>
      </x:c>
      <x:c r="CF11" s="6" t="str">
        <x:v>Fixed 2.00R target</x:v>
      </x:c>
      <x:c r="CG11" s="9" t="str">
        <x:v>0.02855707461703284</x:v>
      </x:c>
      <x:c r="CH11" s="9" t="str">
        <x:v>-1.0</x:v>
      </x:c>
      <x:c r="CI11" s="9" t="str">
        <x:v>-1.028557074617033</x:v>
      </x:c>
      <x:c r="CJ11" s="6" t="str">
        <x:v>Loss</x:v>
      </x:c>
      <x:c r="CK11" s="9" t="str">
        <x:v>0.20679260929575505</x:v>
      </x:c>
      <x:c r="CL11" s="9" t="str">
        <x:v>1.7626608125685788</x:v>
      </x:c>
      <x:c r="CM11" s="7" t="str">
        <x:v>2024-01-09 12:50:00-06:00</x:v>
      </x:c>
      <x:c r="CN11" s="6" t="str">
        <x:v>16623.137754513467</x:v>
      </x:c>
      <x:c r="CO11" s="6" t="str">
        <x:v>STOP</x:v>
      </x:c>
      <x:c r="CP11" s="6" t="str">
        <x:v>F::Short::Same-bar Setup+BOS::Penetration without same-bar reclaim</x:v>
      </x:c>
    </x:row>
    <x:row r="12" ht="18" customHeight="1">
      <x:c r="A12" s="6" t="str">
        <x:v>A0011</x:v>
      </x:c>
      <x:c r="B12" s="6" t="str">
        <x:v>2024-01-10</x:v>
      </x:c>
      <x:c r="C12" s="6" t="str">
        <x:v>2024</x:v>
      </x:c>
      <x:c r="D12" s="6" t="str">
        <x:v>2024-Q1</x:v>
      </x:c>
      <x:c r="E12" s="6" t="str">
        <x:v>First 50%</x:v>
      </x:c>
      <x:c r="F12" s="6" t="str">
        <x:v>Long</x:v>
      </x:c>
      <x:c r="G12" s="6" t="str">
        <x:v>Long</x:v>
      </x:c>
      <x:c r="H12" s="6" t="str">
        <x:v>Overnight</x:v>
      </x:c>
      <x:c r="I12" s="6" t="str">
        <x:v>Overnight</x:v>
      </x:c>
      <x:c r="J12" s="6" t="str">
        <x:v>Bull</x:v>
      </x:c>
      <x:c r="K12" s="6" t="str">
        <x:v>Bull</x:v>
      </x:c>
      <x:c r="L12" s="6" t="str">
        <x:v>MID</x:v>
      </x:c>
      <x:c r="M12" s="7" t="str">
        <x:v>2024-01-10 01:35:00-06:00</x:v>
      </x:c>
      <x:c r="N12" s="6" t="str">
        <x:v>75.0</x:v>
      </x:c>
      <x:c r="O12" s="6" t="str">
        <x:v>75-79</x:v>
      </x:c>
      <x:c r="P12" s="6" t="str">
        <x:v>Matching BOS only</x:v>
      </x:c>
      <x:c r="Q12" s="6" t="str">
        <x:v>Bull CHoCH</x:v>
      </x:c>
      <x:c r="R12" s="6" t="str">
        <x:v>True</x:v>
      </x:c>
      <x:c r="S12" s="6" t="str">
        <x:v>False</x:v>
      </x:c>
      <x:c r="T12" s="6" t="str">
        <x:v>Recent SSL</x:v>
      </x:c>
      <x:c r="U12" s="6" t="str">
        <x:v>SSL</x:v>
      </x:c>
      <x:c r="V12" s="6" t="str">
        <x:v>Swing low / sell-side</x:v>
      </x:c>
      <x:c r="W12" s="6" t="str">
        <x:v>[16603.25]</x:v>
      </x:c>
      <x:c r="X12" s="8" t="str">
        <x:v>1</x:v>
      </x:c>
      <x:c r="Y12" s="8" t="str">
        <x:v>10.0</x:v>
      </x:c>
      <x:c r="Z12" s="6" t="str">
        <x:v>None</x:v>
      </x:c>
      <x:c r="AA12" s="6" t="str">
        <x:v>16620.0</x:v>
      </x:c>
      <x:c r="AB12" s="9" t="str">
        <x:v>0.24618628001396523</x:v>
      </x:c>
      <x:c r="AC12" s="9" t="str">
        <x:v>0.6154657000349131</x:v>
      </x:c>
      <x:c r="AD12" s="9" t="str">
        <x:v>1.025776166724855</x:v>
      </x:c>
      <x:c r="AE12" s="6" t="str">
        <x:v>With trade</x:v>
      </x:c>
      <x:c r="AF12" s="7" t="str">
        <x:v>2024-01-10 01:35:00-06:00</x:v>
      </x:c>
      <x:c r="AG12" s="6" t="str">
        <x:v>Long</x:v>
      </x:c>
      <x:c r="AH12" s="6" t="str">
        <x:v>16620.0</x:v>
      </x:c>
      <x:c r="AI12" s="8" t="str">
        <x:v>0</x:v>
      </x:c>
      <x:c r="AJ12" s="6" t="str">
        <x:v>True</x:v>
      </x:c>
      <x:c r="AK12" s="6" t="str">
        <x:v>Same-bar Setup+BOS</x:v>
      </x:c>
      <x:c r="AL12" s="9" t="str">
        <x:v>0.6154657000349131</x:v>
      </x:c>
      <x:c r="AM12" s="9" t="str">
        <x:v>0.24618628001396523</x:v>
      </x:c>
      <x:c r="AN12" s="9" t="str">
        <x:v>0.6154657000349131</x:v>
      </x:c>
      <x:c r="AO12" s="9" t="str">
        <x:v>1.025776166724855</x:v>
      </x:c>
      <x:c r="AP12" s="10" t="str">
        <x:v>0.6</x:v>
      </x:c>
      <x:c r="AQ12" s="6" t="str">
        <x:v>0.08</x:v>
      </x:c>
      <x:c r="AR12" s="6" t="str">
        <x:v>0.32</x:v>
      </x:c>
      <x:c r="AS12" s="6" t="str">
        <x:v>With trade</x:v>
      </x:c>
      <x:c r="AT12" s="6" t="str">
        <x:v>1.716366158113731</x:v>
      </x:c>
      <x:c r="AU12" s="7" t="str">
        <x:v>2024-01-10 01:40:00-06:00</x:v>
      </x:c>
      <x:c r="AV12" s="8" t="str">
        <x:v>1</x:v>
      </x:c>
      <x:c r="AW12" s="6" t="str">
        <x:v>Immediate retest (1 bar)</x:v>
      </x:c>
      <x:c r="AX12" s="6" t="str">
        <x:v>16620.5</x:v>
      </x:c>
      <x:c r="AY12" s="6" t="str">
        <x:v>0.0</x:v>
      </x:c>
      <x:c r="AZ12" s="9" t="str">
        <x:v>0.0</x:v>
      </x:c>
      <x:c r="BA12" s="9" t="str">
        <x:v>0.8702518096722378</x:v>
      </x:c>
      <x:c r="BB12" s="9" t="str">
        <x:v>0.8702518096722378</x:v>
      </x:c>
      <x:c r="BC12" s="9" t="str">
        <x:v>0.7044895602108592</x:v>
      </x:c>
      <x:c r="BD12" s="6" t="str">
        <x:v>0.09523809523809523</x:v>
      </x:c>
      <x:c r="BE12" s="6" t="str">
        <x:v>0.09523809523809523</x:v>
      </x:c>
      <x:c r="BF12" s="9" t="str">
        <x:v>0.08288112473068932</x:v>
      </x:c>
      <x:c r="BG12" s="9" t="str">
        <x:v>0.08288112473068932</x:v>
      </x:c>
      <x:c r="BH12" s="6" t="str">
        <x:v>With trade</x:v>
      </x:c>
      <x:c r="BI12" s="6" t="str">
        <x:v>Tolerance-only shallow touch</x:v>
      </x:c>
      <x:c r="BJ12" s="6" t="str">
        <x:v>True</x:v>
      </x:c>
      <x:c r="BK12" s="10" t="str">
        <x:v>False</x:v>
      </x:c>
      <x:c r="BL12" s="6" t="str">
        <x:v>True</x:v>
      </x:c>
      <x:c r="BM12" s="7" t="str">
        <x:v>2024-01-10 01:45:00-06:00</x:v>
      </x:c>
      <x:c r="BN12" s="8" t="str">
        <x:v>1</x:v>
      </x:c>
      <x:c r="BO12" s="6" t="str">
        <x:v>Immediate confirmation (1 bar)</x:v>
      </x:c>
      <x:c r="BP12" s="9" t="str">
        <x:v>0.6574654637599311</x:v>
      </x:c>
      <x:c r="BQ12" s="9" t="str">
        <x:v>1.1094729700948838</x:v>
      </x:c>
      <x:c r="BR12" s="10" t="str">
        <x:v>0.5925925925925926</x:v>
      </x:c>
      <x:c r="BS12" s="9" t="str">
        <x:v>1.5614804764298365</x:v>
      </x:c>
      <x:c r="BT12" s="9" t="str">
        <x:v>0.6985570552449268</x:v>
      </x:c>
      <x:c r="BU12" s="9" t="str">
        <x:v>0.24654954890997416</x:v>
      </x:c>
      <x:c r="BV12" s="6" t="str">
        <x:v>With trade</x:v>
      </x:c>
      <x:c r="BW12" s="7" t="str">
        <x:v>2024-01-10 01:45:00-06:00</x:v>
      </x:c>
      <x:c r="BX12" s="6" t="str">
        <x:v>16629.5</x:v>
      </x:c>
      <x:c r="BY12" s="9" t="str">
        <x:v>6.083969760365347</x:v>
      </x:c>
      <x:c r="BZ12" s="9" t="str">
        <x:v>0.64</x:v>
      </x:c>
      <x:c r="CA12" s="6" t="str">
        <x:v>16620.37404535945</x:v>
      </x:c>
      <x:c r="CB12" s="6" t="str">
        <x:v>9.125954640549025</x:v>
      </x:c>
      <x:c r="CC12" s="9" t="str">
        <x:v>1.5000000000001652</x:v>
      </x:c>
      <x:c r="CD12" s="6" t="str">
        <x:v>16647.751909281094</x:v>
      </x:c>
      <x:c r="CE12" s="6" t="str">
        <x:v>18.251909281094413</x:v>
      </x:c>
      <x:c r="CF12" s="6" t="str">
        <x:v>Fixed 2.00R target</x:v>
      </x:c>
      <x:c r="CG12" s="9" t="str">
        <x:v>0.0794437435376496</x:v>
      </x:c>
      <x:c r="CH12" s="9" t="str">
        <x:v>2.0</x:v>
      </x:c>
      <x:c r="CI12" s="9" t="str">
        <x:v>1.9205562564623504</x:v>
      </x:c>
      <x:c r="CJ12" s="6" t="str">
        <x:v>Win</x:v>
      </x:c>
      <x:c r="CK12" s="9" t="str">
        <x:v>2.0545795742495585</x:v>
      </x:c>
      <x:c r="CL12" s="9" t="str">
        <x:v>0.054788788646654894</x:v>
      </x:c>
      <x:c r="CM12" s="7" t="str">
        <x:v>2024-01-10 02:05:00-06:00</x:v>
      </x:c>
      <x:c r="CN12" s="6" t="str">
        <x:v>16647.751909281094</x:v>
      </x:c>
      <x:c r="CO12" s="6" t="str">
        <x:v>TARGET</x:v>
      </x:c>
      <x:c r="CP12" s="6" t="str">
        <x:v>F::Long::Same-bar Setup+BOS::Tolerance-only shallow touch</x:v>
      </x:c>
    </x:row>
    <x:row r="13" ht="18" customHeight="1">
      <x:c r="A13" s="6" t="str">
        <x:v>A0012</x:v>
      </x:c>
      <x:c r="B13" s="6" t="str">
        <x:v>2024-01-10</x:v>
      </x:c>
      <x:c r="C13" s="6" t="str">
        <x:v>2024</x:v>
      </x:c>
      <x:c r="D13" s="6" t="str">
        <x:v>2024-Q1</x:v>
      </x:c>
      <x:c r="E13" s="6" t="str">
        <x:v>First 50%</x:v>
      </x:c>
      <x:c r="F13" s="6" t="str">
        <x:v>Long</x:v>
      </x:c>
      <x:c r="G13" s="6" t="str">
        <x:v>Long</x:v>
      </x:c>
      <x:c r="H13" s="6" t="str">
        <x:v>Morning</x:v>
      </x:c>
      <x:c r="I13" s="6" t="str">
        <x:v>Morning</x:v>
      </x:c>
      <x:c r="J13" s="6" t="str">
        <x:v>Bull</x:v>
      </x:c>
      <x:c r="K13" s="6" t="str">
        <x:v>Bull</x:v>
      </x:c>
      <x:c r="L13" s="6" t="str">
        <x:v>MID</x:v>
      </x:c>
      <x:c r="M13" s="7" t="str">
        <x:v>2024-01-10 11:35:00-06:00</x:v>
      </x:c>
      <x:c r="N13" s="6" t="str">
        <x:v>75.0</x:v>
      </x:c>
      <x:c r="O13" s="6" t="str">
        <x:v>75-79</x:v>
      </x:c>
      <x:c r="P13" s="6" t="str">
        <x:v>Matching BOS only</x:v>
      </x:c>
      <x:c r="Q13" s="6" t="str">
        <x:v>Bull BOS</x:v>
      </x:c>
      <x:c r="R13" s="6" t="str">
        <x:v>True</x:v>
      </x:c>
      <x:c r="S13" s="6" t="str">
        <x:v>False</x:v>
      </x:c>
      <x:c r="T13" s="6" t="str">
        <x:v>No recent matching sweep</x:v>
      </x:c>
      <x:c r="U13" s="6" t="str">
        <x:v>None</x:v>
      </x:c>
      <x:c r="V13" s="6" t="str">
        <x:v>None</x:v>
      </x:c>
      <x:c r="W13" s="6" t="str">
        <x:v>[]</x:v>
      </x:c>
      <x:c r="X13" s="8" t="str">
        <x:v>0</x:v>
      </x:c>
      <x:c r="Y13" s="8" t="str"/>
      <x:c r="Z13" s="6" t="str">
        <x:v>None</x:v>
      </x:c>
      <x:c r="AA13" s="6" t="str">
        <x:v>16684.25</x:v>
      </x:c>
      <x:c r="AB13" s="9" t="str">
        <x:v>0.31481002978786904</x:v>
      </x:c>
      <x:c r="AC13" s="9" t="str">
        <x:v>0.6471095056750642</x:v>
      </x:c>
      <x:c r="AD13" s="9" t="str">
        <x:v>0.9619195354629332</x:v>
      </x:c>
      <x:c r="AE13" s="6" t="str">
        <x:v>With trade</x:v>
      </x:c>
      <x:c r="AF13" s="7" t="str">
        <x:v>2024-01-10 11:35:00-06:00</x:v>
      </x:c>
      <x:c r="AG13" s="6" t="str">
        <x:v>Long</x:v>
      </x:c>
      <x:c r="AH13" s="6" t="str">
        <x:v>16684.25</x:v>
      </x:c>
      <x:c r="AI13" s="8" t="str">
        <x:v>0</x:v>
      </x:c>
      <x:c r="AJ13" s="6" t="str">
        <x:v>True</x:v>
      </x:c>
      <x:c r="AK13" s="6" t="str">
        <x:v>Same-bar Setup+BOS</x:v>
      </x:c>
      <x:c r="AL13" s="9" t="str">
        <x:v>0.6820883978737162</x:v>
      </x:c>
      <x:c r="AM13" s="9" t="str">
        <x:v>0.31481002978786904</x:v>
      </x:c>
      <x:c r="AN13" s="9" t="str">
        <x:v>0.6471095056750642</x:v>
      </x:c>
      <x:c r="AO13" s="9" t="str">
        <x:v>0.9619195354629332</x:v>
      </x:c>
      <x:c r="AP13" s="10" t="str">
        <x:v>0.6727272727272727</x:v>
      </x:c>
      <x:c r="AQ13" s="6" t="str">
        <x:v>0.2727272727272727</x:v>
      </x:c>
      <x:c r="AR13" s="6" t="str">
        <x:v>0.05454545454545454</x:v>
      </x:c>
      <x:c r="AS13" s="6" t="str">
        <x:v>With trade</x:v>
      </x:c>
      <x:c r="AT13" s="6" t="str">
        <x:v>1.0689321432412087</x:v>
      </x:c>
      <x:c r="AU13" s="7" t="str">
        <x:v>2024-01-10 11:40:00-06:00</x:v>
      </x:c>
      <x:c r="AV13" s="8" t="str">
        <x:v>1</x:v>
      </x:c>
      <x:c r="AW13" s="6" t="str">
        <x:v>Immediate retest (1 bar)</x:v>
      </x:c>
      <x:c r="AX13" s="6" t="str">
        <x:v>16679.0</x:v>
      </x:c>
      <x:c r="AY13" s="6" t="str">
        <x:v>5.25</x:v>
      </x:c>
      <x:c r="AZ13" s="9" t="str">
        <x:v>0.37013470417937444</x:v>
      </x:c>
      <x:c r="BA13" s="9" t="str">
        <x:v>0.07050184841511895</x:v>
      </x:c>
      <x:c r="BB13" s="9" t="str">
        <x:v>0.8988985672927665</x:v>
      </x:c>
      <x:c r="BC13" s="9" t="str">
        <x:v>0.2820073936604758</x:v>
      </x:c>
      <x:c r="BD13" s="6" t="str">
        <x:v>0.19607843137254902</x:v>
      </x:c>
      <x:c r="BE13" s="6" t="str">
        <x:v>0.49019607843137253</x:v>
      </x:c>
      <x:c r="BF13" s="9" t="str">
        <x:v>0.44063655259449336</x:v>
      </x:c>
      <x:c r="BG13" s="9" t="str">
        <x:v>0.17625462103779735</x:v>
      </x:c>
      <x:c r="BH13" s="6" t="str">
        <x:v>Against trade</x:v>
      </x:c>
      <x:c r="BI13" s="6" t="str">
        <x:v>Penetration + same-bar reclaim</x:v>
      </x:c>
      <x:c r="BJ13" s="6" t="str">
        <x:v>False</x:v>
      </x:c>
      <x:c r="BK13" s="10" t="str">
        <x:v>True</x:v>
      </x:c>
      <x:c r="BL13" s="6" t="str">
        <x:v>True</x:v>
      </x:c>
      <x:c r="BM13" s="7" t="str">
        <x:v>2024-01-10 11:45:00-06:00</x:v>
      </x:c>
      <x:c r="BN13" s="8" t="str">
        <x:v>1</x:v>
      </x:c>
      <x:c r="BO13" s="6" t="str">
        <x:v>Immediate confirmation (1 bar)</x:v>
      </x:c>
      <x:c r="BP13" s="9" t="str">
        <x:v>0.3781013403596426</x:v>
      </x:c>
      <x:c r="BQ13" s="9" t="str">
        <x:v>0.7201930292564621</x:v>
      </x:c>
      <x:c r="BR13" s="10" t="str">
        <x:v>0.525</x:v>
      </x:c>
      <x:c r="BS13" s="9" t="str">
        <x:v>0.4321158175538773</x:v>
      </x:c>
      <x:c r="BT13" s="9" t="str">
        <x:v>0.36009651462823106</x:v>
      </x:c>
      <x:c r="BU13" s="9" t="str">
        <x:v>0.25206756023976173</x:v>
      </x:c>
      <x:c r="BV13" s="6" t="str">
        <x:v>With trade</x:v>
      </x:c>
      <x:c r="BW13" s="7" t="str">
        <x:v>2024-01-10 11:45:00-06:00</x:v>
      </x:c>
      <x:c r="BX13" s="6" t="str">
        <x:v>16690.25</x:v>
      </x:c>
      <x:c r="BY13" s="9" t="str">
        <x:v>13.885166328705163</x:v>
      </x:c>
      <x:c r="BZ13" s="9" t="str">
        <x:v>0.65</x:v>
      </x:c>
      <x:c r="CA13" s="6" t="str">
        <x:v>16669.42225050694</x:v>
      </x:c>
      <x:c r="CB13" s="6" t="str">
        <x:v>20.827749493058946</x:v>
      </x:c>
      <x:c r="CC13" s="9" t="str">
        <x:v>1.5000000000000866</x:v>
      </x:c>
      <x:c r="CD13" s="6" t="str">
        <x:v>16731.905498986114</x:v>
      </x:c>
      <x:c r="CE13" s="6" t="str">
        <x:v>41.65549898611425</x:v>
      </x:c>
      <x:c r="CF13" s="6" t="str">
        <x:v>Fixed 2.00R target</x:v>
      </x:c>
      <x:c r="CG13" s="9" t="str">
        <x:v>0.03480932974739366</x:v>
      </x:c>
      <x:c r="CH13" s="9" t="str">
        <x:v>0.8042155493363827</x:v>
      </x:c>
      <x:c r="CI13" s="9" t="str">
        <x:v>0.769406219588989</x:v>
      </x:c>
      <x:c r="CJ13" s="6" t="str">
        <x:v>Win</x:v>
      </x:c>
      <x:c r="CK13" s="9" t="str">
        <x:v>1.3923731898957465</x:v>
      </x:c>
      <x:c r="CL13" s="9" t="str">
        <x:v>0.8402252007991573</x:v>
      </x:c>
      <x:c r="CM13" s="7" t="str">
        <x:v>2024-01-10 12:45:00-06:00</x:v>
      </x:c>
      <x:c r="CN13" s="6" t="str">
        <x:v>16707.0</x:v>
      </x:c>
      <x:c r="CO13" s="6" t="str">
        <x:v>TIME</x:v>
      </x:c>
      <x:c r="CP13" s="6" t="str">
        <x:v>F::Long::Same-bar Setup+BOS::Penetration + same-bar reclaim</x:v>
      </x:c>
    </x:row>
    <x:row r="14" ht="18" customHeight="1">
      <x:c r="A14" s="6" t="str">
        <x:v>A0013</x:v>
      </x:c>
      <x:c r="B14" s="6" t="str">
        <x:v>2024-01-10</x:v>
      </x:c>
      <x:c r="C14" s="6" t="str">
        <x:v>2024</x:v>
      </x:c>
      <x:c r="D14" s="6" t="str">
        <x:v>2024-Q1</x:v>
      </x:c>
      <x:c r="E14" s="6" t="str">
        <x:v>First 50%</x:v>
      </x:c>
      <x:c r="F14" s="6" t="str">
        <x:v>Long</x:v>
      </x:c>
      <x:c r="G14" s="6" t="str">
        <x:v>Long</x:v>
      </x:c>
      <x:c r="H14" s="6" t="str">
        <x:v>Midday</x:v>
      </x:c>
      <x:c r="I14" s="6" t="str">
        <x:v>Midday</x:v>
      </x:c>
      <x:c r="J14" s="6" t="str">
        <x:v>Bull</x:v>
      </x:c>
      <x:c r="K14" s="6" t="str">
        <x:v>Bull</x:v>
      </x:c>
      <x:c r="L14" s="6" t="str">
        <x:v>MID</x:v>
      </x:c>
      <x:c r="M14" s="7" t="str">
        <x:v>2024-01-10 13:00:00-06:00</x:v>
      </x:c>
      <x:c r="N14" s="6" t="str">
        <x:v>75.0</x:v>
      </x:c>
      <x:c r="O14" s="6" t="str">
        <x:v>75-79</x:v>
      </x:c>
      <x:c r="P14" s="6" t="str">
        <x:v>Matching BOS only</x:v>
      </x:c>
      <x:c r="Q14" s="6" t="str">
        <x:v>Bull BOS</x:v>
      </x:c>
      <x:c r="R14" s="6" t="str">
        <x:v>True</x:v>
      </x:c>
      <x:c r="S14" s="6" t="str">
        <x:v>False</x:v>
      </x:c>
      <x:c r="T14" s="6" t="str">
        <x:v>No recent matching sweep</x:v>
      </x:c>
      <x:c r="U14" s="6" t="str">
        <x:v>None</x:v>
      </x:c>
      <x:c r="V14" s="6" t="str">
        <x:v>None</x:v>
      </x:c>
      <x:c r="W14" s="6" t="str">
        <x:v>[]</x:v>
      </x:c>
      <x:c r="X14" s="8" t="str">
        <x:v>0</x:v>
      </x:c>
      <x:c r="Y14" s="8" t="str"/>
      <x:c r="Z14" s="6" t="str">
        <x:v>Sweep below CRT reference</x:v>
      </x:c>
      <x:c r="AA14" s="6" t="str">
        <x:v>16719.25</x:v>
      </x:c>
      <x:c r="AB14" s="9" t="str">
        <x:v>0.10565863591733768</x:v>
      </x:c>
      <x:c r="AC14" s="9" t="str">
        <x:v>0.6691713608098053</x:v>
      </x:c>
      <x:c r="AD14" s="9" t="str">
        <x:v>0.9333179506031495</x:v>
      </x:c>
      <x:c r="AE14" s="6" t="str">
        <x:v>With trade</x:v>
      </x:c>
      <x:c r="AF14" s="7" t="str">
        <x:v>2024-01-10 13:00:00-06:00</x:v>
      </x:c>
      <x:c r="AG14" s="6" t="str">
        <x:v>Long</x:v>
      </x:c>
      <x:c r="AH14" s="6" t="str">
        <x:v>16719.25</x:v>
      </x:c>
      <x:c r="AI14" s="8" t="str">
        <x:v>0</x:v>
      </x:c>
      <x:c r="AJ14" s="6" t="str">
        <x:v>True</x:v>
      </x:c>
      <x:c r="AK14" s="6" t="str">
        <x:v>Same-bar Setup+BOS</x:v>
      </x:c>
      <x:c r="AL14" s="9" t="str">
        <x:v>0.6691713608098053</x:v>
      </x:c>
      <x:c r="AM14" s="9" t="str">
        <x:v>0.10565863591733768</x:v>
      </x:c>
      <x:c r="AN14" s="9" t="str">
        <x:v>0.6691713608098053</x:v>
      </x:c>
      <x:c r="AO14" s="9" t="str">
        <x:v>0.9333179506031495</x:v>
      </x:c>
      <x:c r="AP14" s="10" t="str">
        <x:v>0.7169811320754716</x:v>
      </x:c>
      <x:c r="AQ14" s="6" t="str">
        <x:v>0.03773584905660377</x:v>
      </x:c>
      <x:c r="AR14" s="6" t="str">
        <x:v>0.24528301886792453</x:v>
      </x:c>
      <x:c r="AS14" s="6" t="str">
        <x:v>With trade</x:v>
      </x:c>
      <x:c r="AT14" s="6" t="str">
        <x:v>0.7376779708165794</x:v>
      </x:c>
      <x:c r="AU14" s="7" t="str">
        <x:v>2024-01-10 13:05:00-06:00</x:v>
      </x:c>
      <x:c r="AV14" s="8" t="str">
        <x:v>1</x:v>
      </x:c>
      <x:c r="AW14" s="6" t="str">
        <x:v>Immediate retest (1 bar)</x:v>
      </x:c>
      <x:c r="AX14" s="6" t="str">
        <x:v>16716.25</x:v>
      </x:c>
      <x:c r="AY14" s="6" t="str">
        <x:v>3.0</x:v>
      </x:c>
      <x:c r="AZ14" s="9" t="str">
        <x:v>0.21811767096704734</x:v>
      </x:c>
      <x:c r="BA14" s="9" t="str">
        <x:v>0.23629414354763462</x:v>
      </x:c>
      <x:c r="BB14" s="9" t="str">
        <x:v>0.5816471225787929</x:v>
      </x:c>
      <x:c r="BC14" s="9" t="str">
        <x:v>0.12723530806411096</x:v>
      </x:c>
      <x:c r="BD14" s="6" t="str">
        <x:v>0.21875</x:v>
      </x:c>
      <x:c r="BE14" s="6" t="str">
        <x:v>0.5625</x:v>
      </x:c>
      <x:c r="BF14" s="9" t="str">
        <x:v>0.327176506450571</x:v>
      </x:c>
      <x:c r="BG14" s="9" t="str">
        <x:v>0.12723530806411096</x:v>
      </x:c>
      <x:c r="BH14" s="6" t="str">
        <x:v>With trade</x:v>
      </x:c>
      <x:c r="BI14" s="6" t="str">
        <x:v>Penetration + same-bar reclaim</x:v>
      </x:c>
      <x:c r="BJ14" s="6" t="str">
        <x:v>False</x:v>
      </x:c>
      <x:c r="BK14" s="10" t="str">
        <x:v>True</x:v>
      </x:c>
      <x:c r="BL14" s="6" t="str">
        <x:v>True</x:v>
      </x:c>
      <x:c r="BM14" s="7" t="str">
        <x:v>2024-01-10 13:10:00-06:00</x:v>
      </x:c>
      <x:c r="BN14" s="8" t="str">
        <x:v>1</x:v>
      </x:c>
      <x:c r="BO14" s="6" t="str">
        <x:v>Immediate confirmation (1 bar)</x:v>
      </x:c>
      <x:c r="BP14" s="9" t="str">
        <x:v>0.9486332029663026</x:v>
      </x:c>
      <x:c r="BQ14" s="9" t="str">
        <x:v>2.096978659188669</x:v>
      </x:c>
      <x:c r="BR14" s="10" t="str">
        <x:v>0.4523809523809524</x:v>
      </x:c>
      <x:c r="BS14" s="9" t="str">
        <x:v>1.164988143993705</x:v>
      </x:c>
      <x:c r="BT14" s="9" t="str">
        <x:v>0.9486332029663026</x:v>
      </x:c>
      <x:c r="BU14" s="9" t="str">
        <x:v>0.14978418994204779</x:v>
      </x:c>
      <x:c r="BV14" s="6" t="str">
        <x:v>With trade</x:v>
      </x:c>
      <x:c r="BW14" s="7" t="str">
        <x:v>2024-01-10 13:10:00-06:00</x:v>
      </x:c>
      <x:c r="BX14" s="6" t="str">
        <x:v>16736.75</x:v>
      </x:c>
      <x:c r="BY14" s="9" t="str">
        <x:v>15.021612099852032</x:v>
      </x:c>
      <x:c r="BZ14" s="9" t="str">
        <x:v>0.59</x:v>
      </x:c>
      <x:c r="CA14" s="6" t="str">
        <x:v>16714.217581850222</x:v>
      </x:c>
      <x:c r="CB14" s="6" t="str">
        <x:v>22.532418149778096</x:v>
      </x:c>
      <x:c r="CC14" s="9" t="str">
        <x:v>1.500000000000003</x:v>
      </x:c>
      <x:c r="CD14" s="6" t="str">
        <x:v>16781.814836299556</x:v>
      </x:c>
      <x:c r="CE14" s="6" t="str">
        <x:v>45.06483629955619</x:v>
      </x:c>
      <x:c r="CF14" s="6" t="str">
        <x:v>Fixed 2.00R target</x:v>
      </x:c>
      <x:c r="CG14" s="9" t="str">
        <x:v>0.032175863024587976</x:v>
      </x:c>
      <x:c r="CH14" s="9" t="str">
        <x:v>0.6102318849490836</x:v>
      </x:c>
      <x:c r="CI14" s="9" t="str">
        <x:v>0.5780560219244957</x:v>
      </x:c>
      <x:c r="CJ14" s="6" t="str">
        <x:v>Win</x:v>
      </x:c>
      <x:c r="CK14" s="9" t="str">
        <x:v>1.4645565238777976</x:v>
      </x:c>
      <x:c r="CL14" s="9" t="str">
        <x:v>0.2773781295223101</x:v>
      </x:c>
      <x:c r="CM14" s="7" t="str">
        <x:v>2024-01-10 14:10:00-06:00</x:v>
      </x:c>
      <x:c r="CN14" s="6" t="str">
        <x:v>16750.5</x:v>
      </x:c>
      <x:c r="CO14" s="6" t="str">
        <x:v>TIME</x:v>
      </x:c>
      <x:c r="CP14" s="6" t="str">
        <x:v>F::Long::Same-bar Setup+BOS::Penetration + same-bar reclaim</x:v>
      </x:c>
    </x:row>
    <x:row r="15" ht="18" customHeight="1">
      <x:c r="A15" s="6" t="str">
        <x:v>A0014</x:v>
      </x:c>
      <x:c r="B15" s="6" t="str">
        <x:v>2024-01-11</x:v>
      </x:c>
      <x:c r="C15" s="6" t="str">
        <x:v>2024</x:v>
      </x:c>
      <x:c r="D15" s="6" t="str">
        <x:v>2024-Q1</x:v>
      </x:c>
      <x:c r="E15" s="6" t="str">
        <x:v>First 50%</x:v>
      </x:c>
      <x:c r="F15" s="6" t="str">
        <x:v>Long</x:v>
      </x:c>
      <x:c r="G15" s="6" t="str">
        <x:v>Long</x:v>
      </x:c>
      <x:c r="H15" s="6" t="str">
        <x:v>Overnight</x:v>
      </x:c>
      <x:c r="I15" s="6" t="str">
        <x:v>Overnight</x:v>
      </x:c>
      <x:c r="J15" s="6" t="str">
        <x:v>Bull</x:v>
      </x:c>
      <x:c r="K15" s="6" t="str">
        <x:v>Bull</x:v>
      </x:c>
      <x:c r="L15" s="6" t="str">
        <x:v>MID</x:v>
      </x:c>
      <x:c r="M15" s="7" t="str">
        <x:v>2024-01-11 00:30:00-06:00</x:v>
      </x:c>
      <x:c r="N15" s="6" t="str">
        <x:v>90.0</x:v>
      </x:c>
      <x:c r="O15" s="6" t="str">
        <x:v>90-94</x:v>
      </x:c>
      <x:c r="P15" s="6" t="str">
        <x:v>Matching BOS only</x:v>
      </x:c>
      <x:c r="Q15" s="6" t="str">
        <x:v>Bull BOS</x:v>
      </x:c>
      <x:c r="R15" s="6" t="str">
        <x:v>True</x:v>
      </x:c>
      <x:c r="S15" s="6" t="str">
        <x:v>False</x:v>
      </x:c>
      <x:c r="T15" s="6" t="str">
        <x:v>Recent SSL</x:v>
      </x:c>
      <x:c r="U15" s="6" t="str">
        <x:v>SSL</x:v>
      </x:c>
      <x:c r="V15" s="6" t="str">
        <x:v>Swing low / sell-side</x:v>
      </x:c>
      <x:c r="W15" s="6" t="str">
        <x:v>[16780.25]</x:v>
      </x:c>
      <x:c r="X15" s="8" t="str">
        <x:v>1</x:v>
      </x:c>
      <x:c r="Y15" s="8" t="str">
        <x:v>13.0</x:v>
      </x:c>
      <x:c r="Z15" s="6" t="str">
        <x:v>Sweep below CRT reference</x:v>
      </x:c>
      <x:c r="AA15" s="6" t="str">
        <x:v>16791.5</x:v>
      </x:c>
      <x:c r="AB15" s="9" t="str">
        <x:v>0.30267490665504</x:v>
      </x:c>
      <x:c r="AC15" s="9" t="str">
        <x:v>1.05936217329264</x:v>
      </x:c>
      <x:c r="AD15" s="9" t="str">
        <x:v>1.31159126217184</x:v>
      </x:c>
      <x:c r="AE15" s="6" t="str">
        <x:v>With trade</x:v>
      </x:c>
      <x:c r="AF15" s="7" t="str">
        <x:v>2024-01-11 00:30:00-06:00</x:v>
      </x:c>
      <x:c r="AG15" s="6" t="str">
        <x:v>Long</x:v>
      </x:c>
      <x:c r="AH15" s="6" t="str">
        <x:v>16791.5</x:v>
      </x:c>
      <x:c r="AI15" s="8" t="str">
        <x:v>0</x:v>
      </x:c>
      <x:c r="AJ15" s="6" t="str">
        <x:v>True</x:v>
      </x:c>
      <x:c r="AK15" s="6" t="str">
        <x:v>Same-bar Setup+BOS</x:v>
      </x:c>
      <x:c r="AL15" s="9" t="str">
        <x:v>1.05936217329264</x:v>
      </x:c>
      <x:c r="AM15" s="9" t="str">
        <x:v>0.30267490665504</x:v>
      </x:c>
      <x:c r="AN15" s="9" t="str">
        <x:v>1.05936217329264</x:v>
      </x:c>
      <x:c r="AO15" s="9" t="str">
        <x:v>1.31159126217184</x:v>
      </x:c>
      <x:c r="AP15" s="10" t="str">
        <x:v>0.8076923076923077</x:v>
      </x:c>
      <x:c r="AQ15" s="6" t="str">
        <x:v>0.07692307692307693</x:v>
      </x:c>
      <x:c r="AR15" s="6" t="str">
        <x:v>0.11538461538461539</x:v>
      </x:c>
      <x:c r="AS15" s="6" t="str">
        <x:v>With trade</x:v>
      </x:c>
      <x:c r="AT15" s="6" t="str">
        <x:v>1.3143399810066476</x:v>
      </x:c>
      <x:c r="AU15" s="7" t="str">
        <x:v>2024-01-11 00:35:00-06:00</x:v>
      </x:c>
      <x:c r="AV15" s="8" t="str">
        <x:v>1</x:v>
      </x:c>
      <x:c r="AW15" s="6" t="str">
        <x:v>Immediate retest (1 bar)</x:v>
      </x:c>
      <x:c r="AX15" s="6" t="str">
        <x:v>16791.25</x:v>
      </x:c>
      <x:c r="AY15" s="6" t="str">
        <x:v>0.25</x:v>
      </x:c>
      <x:c r="AZ15" s="9" t="str">
        <x:v>0.047185353989873474</x:v>
      </x:c>
      <x:c r="BA15" s="9" t="str">
        <x:v>1.08526314176709</x:v>
      </x:c>
      <x:c r="BB15" s="9" t="str">
        <x:v>1.8402288056050655</x:v>
      </x:c>
      <x:c r="BC15" s="9" t="str">
        <x:v>0.802151017827849</x:v>
      </x:c>
      <x:c r="BD15" s="6" t="str">
        <x:v>0.38461538461538464</x:v>
      </x:c>
      <x:c r="BE15" s="6" t="str">
        <x:v>0.1794871794871795</x:v>
      </x:c>
      <x:c r="BF15" s="9" t="str">
        <x:v>0.3302974779291143</x:v>
      </x:c>
      <x:c r="BG15" s="9" t="str">
        <x:v>0.7077803098481021</x:v>
      </x:c>
      <x:c r="BH15" s="6" t="str">
        <x:v>With trade</x:v>
      </x:c>
      <x:c r="BI15" s="6" t="str">
        <x:v>Penetration + same-bar reclaim</x:v>
      </x:c>
      <x:c r="BJ15" s="6" t="str">
        <x:v>False</x:v>
      </x:c>
      <x:c r="BK15" s="10" t="str">
        <x:v>True</x:v>
      </x:c>
      <x:c r="BL15" s="6" t="str">
        <x:v>True</x:v>
      </x:c>
      <x:c r="BM15" s="7" t="str">
        <x:v>2024-01-11 00:45:00-06:00</x:v>
      </x:c>
      <x:c r="BN15" s="8" t="str">
        <x:v>2</x:v>
      </x:c>
      <x:c r="BO15" s="6" t="str">
        <x:v>Delayed confirmation (2+ bars)</x:v>
      </x:c>
      <x:c r="BP15" s="9" t="str">
        <x:v>0.09485508350441098</x:v>
      </x:c>
      <x:c r="BQ15" s="9" t="str">
        <x:v>0.8536957515396988</x:v>
      </x:c>
      <x:c r="BR15" s="10" t="str">
        <x:v>0.1111111111111111</x:v>
      </x:c>
      <x:c r="BS15" s="9" t="str">
        <x:v>0.6639855845308769</x:v>
      </x:c>
      <x:c r="BT15" s="9" t="str">
        <x:v>-0.4268478757698494</x:v>
      </x:c>
      <x:c r="BU15" s="9" t="str">
        <x:v>0.28456525051323295</x:v>
      </x:c>
      <x:c r="BV15" s="6" t="str">
        <x:v>With trade</x:v>
      </x:c>
      <x:c r="BW15" s="7" t="str">
        <x:v>2024-01-11 00:45:00-06:00</x:v>
      </x:c>
      <x:c r="BX15" s="6" t="str">
        <x:v>16795.0</x:v>
      </x:c>
      <x:c r="BY15" s="9" t="str">
        <x:v>5.271198775306005</x:v>
      </x:c>
      <x:c r="BZ15" s="9" t="str">
        <x:v>0.47</x:v>
      </x:c>
      <x:c r="CA15" s="6" t="str">
        <x:v>16787.09320183704</x:v>
      </x:c>
      <x:c r="CB15" s="6" t="str">
        <x:v>7.906798162959603</x:v>
      </x:c>
      <x:c r="CC15" s="9" t="str">
        <x:v>1.500000000000113</x:v>
      </x:c>
      <x:c r="CD15" s="6" t="str">
        <x:v>16810.81359632592</x:v>
      </x:c>
      <x:c r="CE15" s="6" t="str">
        <x:v>15.813596325919207</x:v>
      </x:c>
      <x:c r="CF15" s="6" t="str">
        <x:v>Fixed 2.00R target</x:v>
      </x:c>
      <x:c r="CG15" s="9" t="str">
        <x:v>0.09169324738759037</x:v>
      </x:c>
      <x:c r="CH15" s="9" t="str">
        <x:v>0.4742754175220549</x:v>
      </x:c>
      <x:c r="CI15" s="9" t="str">
        <x:v>0.3825821701344645</x:v>
      </x:c>
      <x:c r="CJ15" s="6" t="str">
        <x:v>Win</x:v>
      </x:c>
      <x:c r="CK15" s="9" t="str">
        <x:v>1.2647344467253845</x:v>
      </x:c>
      <x:c r="CL15" s="9" t="str">
        <x:v>0.3478019728494807</x:v>
      </x:c>
      <x:c r="CM15" s="7" t="str">
        <x:v>2024-01-11 01:45:00-06:00</x:v>
      </x:c>
      <x:c r="CN15" s="6" t="str">
        <x:v>16798.75</x:v>
      </x:c>
      <x:c r="CO15" s="6" t="str">
        <x:v>TIME</x:v>
      </x:c>
      <x:c r="CP15" s="6" t="str">
        <x:v>F::Long::Same-bar Setup+BOS::Penetration + same-bar reclaim</x:v>
      </x:c>
    </x:row>
    <x:row r="16" ht="18" customHeight="1">
      <x:c r="A16" s="6" t="str">
        <x:v>A0015</x:v>
      </x:c>
      <x:c r="B16" s="6" t="str">
        <x:v>2024-01-11</x:v>
      </x:c>
      <x:c r="C16" s="6" t="str">
        <x:v>2024</x:v>
      </x:c>
      <x:c r="D16" s="6" t="str">
        <x:v>2024-Q1</x:v>
      </x:c>
      <x:c r="E16" s="6" t="str">
        <x:v>First 50%</x:v>
      </x:c>
      <x:c r="F16" s="6" t="str">
        <x:v>Long</x:v>
      </x:c>
      <x:c r="G16" s="6" t="str">
        <x:v>Long</x:v>
      </x:c>
      <x:c r="H16" s="6" t="str">
        <x:v>Premarket</x:v>
      </x:c>
      <x:c r="I16" s="6" t="str">
        <x:v>Premarket</x:v>
      </x:c>
      <x:c r="J16" s="6" t="str">
        <x:v>Bull</x:v>
      </x:c>
      <x:c r="K16" s="6" t="str">
        <x:v>Bull</x:v>
      </x:c>
      <x:c r="L16" s="6" t="str">
        <x:v>MID</x:v>
      </x:c>
      <x:c r="M16" s="7" t="str">
        <x:v>2024-01-11 05:00:00-06:00</x:v>
      </x:c>
      <x:c r="N16" s="6" t="str">
        <x:v>90.0</x:v>
      </x:c>
      <x:c r="O16" s="6" t="str">
        <x:v>90-94</x:v>
      </x:c>
      <x:c r="P16" s="6" t="str">
        <x:v>Matching BOS only</x:v>
      </x:c>
      <x:c r="Q16" s="6" t="str">
        <x:v>Bull CHoCH</x:v>
      </x:c>
      <x:c r="R16" s="6" t="str">
        <x:v>True</x:v>
      </x:c>
      <x:c r="S16" s="6" t="str">
        <x:v>False</x:v>
      </x:c>
      <x:c r="T16" s="6" t="str">
        <x:v>Recent SSL</x:v>
      </x:c>
      <x:c r="U16" s="6" t="str">
        <x:v>SSL</x:v>
      </x:c>
      <x:c r="V16" s="6" t="str">
        <x:v>Swing low / sell-side</x:v>
      </x:c>
      <x:c r="W16" s="6" t="str">
        <x:v>[16792.25]</x:v>
      </x:c>
      <x:c r="X16" s="8" t="str">
        <x:v>1</x:v>
      </x:c>
      <x:c r="Y16" s="8" t="str">
        <x:v>18.0</x:v>
      </x:c>
      <x:c r="Z16" s="6" t="str">
        <x:v>None</x:v>
      </x:c>
      <x:c r="AA16" s="6" t="str">
        <x:v>16795.75</x:v>
      </x:c>
      <x:c r="AB16" s="9" t="str">
        <x:v>0.6097134765328261</x:v>
      </x:c>
      <x:c r="AC16" s="9" t="str">
        <x:v>1.2194269530656523</x:v>
      </x:c>
      <x:c r="AD16" s="9" t="str">
        <x:v>1.3477876849672998</x:v>
      </x:c>
      <x:c r="AE16" s="6" t="str">
        <x:v>With trade</x:v>
      </x:c>
      <x:c r="AF16" s="7" t="str">
        <x:v>2024-01-11 05:00:00-06:00</x:v>
      </x:c>
      <x:c r="AG16" s="6" t="str">
        <x:v>Long</x:v>
      </x:c>
      <x:c r="AH16" s="6" t="str">
        <x:v>16795.75</x:v>
      </x:c>
      <x:c r="AI16" s="8" t="str">
        <x:v>0</x:v>
      </x:c>
      <x:c r="AJ16" s="6" t="str">
        <x:v>True</x:v>
      </x:c>
      <x:c r="AK16" s="6" t="str">
        <x:v>Same-bar Setup+BOS</x:v>
      </x:c>
      <x:c r="AL16" s="9" t="str">
        <x:v>1.2515171360410642</x:v>
      </x:c>
      <x:c r="AM16" s="9" t="str">
        <x:v>0.6097134765328261</x:v>
      </x:c>
      <x:c r="AN16" s="9" t="str">
        <x:v>1.2194269530656523</x:v>
      </x:c>
      <x:c r="AO16" s="9" t="str">
        <x:v>1.3477876849672998</x:v>
      </x:c>
      <x:c r="AP16" s="10" t="str">
        <x:v>0.9047619047619048</x:v>
      </x:c>
      <x:c r="AQ16" s="6" t="str">
        <x:v>0.07142857142857142</x:v>
      </x:c>
      <x:c r="AR16" s="6" t="str">
        <x:v>0.023809523809523808</x:v>
      </x:c>
      <x:c r="AS16" s="6" t="str">
        <x:v>With trade</x:v>
      </x:c>
      <x:c r="AT16" s="6" t="str">
        <x:v>1.3846673421141504</x:v>
      </x:c>
      <x:c r="AU16" s="7" t="str">
        <x:v>2024-01-11 05:25:00-06:00</x:v>
      </x:c>
      <x:c r="AV16" s="8" t="str">
        <x:v>5</x:v>
      </x:c>
      <x:c r="AW16" s="6" t="str">
        <x:v>Delayed retest (2+ bars)</x:v>
      </x:c>
      <x:c r="AX16" s="6" t="str">
        <x:v>16796.0</x:v>
      </x:c>
      <x:c r="AY16" s="6" t="str">
        <x:v>0.0</x:v>
      </x:c>
      <x:c r="AZ16" s="9" t="str">
        <x:v>0.0</x:v>
      </x:c>
      <x:c r="BA16" s="9" t="str">
        <x:v>0.3326093388473434</x:v>
      </x:c>
      <x:c r="BB16" s="9" t="str">
        <x:v>0.8315233471183584</x:v>
      </x:c>
      <x:c r="BC16" s="9" t="str">
        <x:v>0.19956560330840603</x:v>
      </x:c>
      <x:c r="BD16" s="6" t="str">
        <x:v>0.4</x:v>
      </x:c>
      <x:c r="BE16" s="6" t="str">
        <x:v>0.36</x:v>
      </x:c>
      <x:c r="BF16" s="9" t="str">
        <x:v>0.299348404962609</x:v>
      </x:c>
      <x:c r="BG16" s="9" t="str">
        <x:v>0.3326093388473434</x:v>
      </x:c>
      <x:c r="BH16" s="6" t="str">
        <x:v>Against trade</x:v>
      </x:c>
      <x:c r="BI16" s="6" t="str">
        <x:v>Tolerance-only shallow touch</x:v>
      </x:c>
      <x:c r="BJ16" s="6" t="str">
        <x:v>True</x:v>
      </x:c>
      <x:c r="BK16" s="10" t="str">
        <x:v>False</x:v>
      </x:c>
      <x:c r="BL16" s="6" t="str">
        <x:v>True</x:v>
      </x:c>
      <x:c r="BM16" s="7" t="str">
        <x:v>2024-01-11 05:30:00-06:00</x:v>
      </x:c>
      <x:c r="BN16" s="8" t="str">
        <x:v>1</x:v>
      </x:c>
      <x:c r="BO16" s="6" t="str">
        <x:v>Immediate confirmation (1 bar)</x:v>
      </x:c>
      <x:c r="BP16" s="9" t="str">
        <x:v>0.24028505611537912</x:v>
      </x:c>
      <x:c r="BQ16" s="9" t="str">
        <x:v>0.5835494219944922</x:v>
      </x:c>
      <x:c r="BR16" s="10" t="str">
        <x:v>0.4117647058823529</x:v>
      </x:c>
      <x:c r="BS16" s="9" t="str">
        <x:v>0.5148965488186695</x:v>
      </x:c>
      <x:c r="BT16" s="9" t="str">
        <x:v>0.1716321829395565</x:v>
      </x:c>
      <x:c r="BU16" s="9" t="str">
        <x:v>0.06865287317582261</x:v>
      </x:c>
      <x:c r="BV16" s="6" t="str">
        <x:v>With trade</x:v>
      </x:c>
      <x:c r="BW16" s="7" t="str">
        <x:v>2024-01-11 05:30:00-06:00</x:v>
      </x:c>
      <x:c r="BX16" s="6" t="str">
        <x:v>16799.5</x:v>
      </x:c>
      <x:c r="BY16" s="9" t="str">
        <x:v>7.283016381841457</x:v>
      </x:c>
      <x:c r="BZ16" s="9" t="str">
        <x:v>0.61</x:v>
      </x:c>
      <x:c r="CA16" s="6" t="str">
        <x:v>16788.57547542724</x:v>
      </x:c>
      <x:c r="CB16" s="6" t="str">
        <x:v>10.924524572761584</x:v>
      </x:c>
      <x:c r="CC16" s="9" t="str">
        <x:v>1.4999999999999174</x:v>
      </x:c>
      <x:c r="CD16" s="6" t="str">
        <x:v>16821.349049145523</x:v>
      </x:c>
      <x:c r="CE16" s="6" t="str">
        <x:v>21.849049145523168</x:v>
      </x:c>
      <x:c r="CF16" s="6" t="str">
        <x:v>Fixed 2.00R target</x:v>
      </x:c>
      <x:c r="CG16" s="9" t="str">
        <x:v>0.06636444406996551</x:v>
      </x:c>
      <x:c r="CH16" s="9" t="str">
        <x:v>-1.0</x:v>
      </x:c>
      <x:c r="CI16" s="9" t="str">
        <x:v>-1.0663644440699656</x:v>
      </x:c>
      <x:c r="CJ16" s="6" t="str">
        <x:v>Loss</x:v>
      </x:c>
      <x:c r="CK16" s="9" t="str">
        <x:v>0.16019003741026158</x:v>
      </x:c>
      <x:c r="CL16" s="9" t="str">
        <x:v>1.3730574635165278</x:v>
      </x:c>
      <x:c r="CM16" s="7" t="str">
        <x:v>2024-01-11 05:45:00-06:00</x:v>
      </x:c>
      <x:c r="CN16" s="6" t="str">
        <x:v>16788.57547542724</x:v>
      </x:c>
      <x:c r="CO16" s="6" t="str">
        <x:v>STOP</x:v>
      </x:c>
      <x:c r="CP16" s="6" t="str">
        <x:v>F::Long::Same-bar Setup+BOS::Tolerance-only shallow touch</x:v>
      </x:c>
    </x:row>
    <x:row r="17" ht="18" customHeight="1">
      <x:c r="A17" s="6" t="str">
        <x:v>A0016</x:v>
      </x:c>
      <x:c r="B17" s="6" t="str">
        <x:v>2024-01-16</x:v>
      </x:c>
      <x:c r="C17" s="6" t="str">
        <x:v>2024</x:v>
      </x:c>
      <x:c r="D17" s="6" t="str">
        <x:v>2024-Q1</x:v>
      </x:c>
      <x:c r="E17" s="6" t="str">
        <x:v>First 50%</x:v>
      </x:c>
      <x:c r="F17" s="6" t="str">
        <x:v>Long</x:v>
      </x:c>
      <x:c r="G17" s="6" t="str">
        <x:v>Long</x:v>
      </x:c>
      <x:c r="H17" s="6" t="str">
        <x:v>Opening</x:v>
      </x:c>
      <x:c r="I17" s="6" t="str">
        <x:v>Premarket</x:v>
      </x:c>
      <x:c r="J17" s="6" t="str">
        <x:v>Neutral</x:v>
      </x:c>
      <x:c r="K17" s="6" t="str">
        <x:v>Bear</x:v>
      </x:c>
      <x:c r="L17" s="6" t="str">
        <x:v>HIGH</x:v>
      </x:c>
      <x:c r="M17" s="7" t="str">
        <x:v>2024-01-16 08:40:00-06:00</x:v>
      </x:c>
      <x:c r="N17" s="6" t="str">
        <x:v>75.0</x:v>
      </x:c>
      <x:c r="O17" s="6" t="str">
        <x:v>75-79</x:v>
      </x:c>
      <x:c r="P17" s="6" t="str">
        <x:v>Matching liquidity sweep only</x:v>
      </x:c>
      <x:c r="Q17" s="6" t="str">
        <x:v>Recent bull structure</x:v>
      </x:c>
      <x:c r="R17" s="6" t="str">
        <x:v>False</x:v>
      </x:c>
      <x:c r="S17" s="6" t="str">
        <x:v>True</x:v>
      </x:c>
      <x:c r="T17" s="6" t="str">
        <x:v>Recent SSL</x:v>
      </x:c>
      <x:c r="U17" s="6" t="str">
        <x:v>SSL</x:v>
      </x:c>
      <x:c r="V17" s="6" t="str">
        <x:v>Equal low / sell-side</x:v>
      </x:c>
      <x:c r="W17" s="6" t="str">
        <x:v>[16659.0]</x:v>
      </x:c>
      <x:c r="X17" s="8" t="str">
        <x:v>1</x:v>
      </x:c>
      <x:c r="Y17" s="8" t="str">
        <x:v>0.0</x:v>
      </x:c>
      <x:c r="Z17" s="6" t="str">
        <x:v>None</x:v>
      </x:c>
      <x:c r="AA17" s="6" t="str">
        <x:v>16717.0</x:v>
      </x:c>
      <x:c r="AB17" s="9" t="str">
        <x:v>-2.537427301285775</x:v>
      </x:c>
      <x:c r="AC17" s="9" t="str">
        <x:v>1.7367827644723022</x:v>
      </x:c>
      <x:c r="AD17" s="9" t="str">
        <x:v>2.2048518783017172</x:v>
      </x:c>
      <x:c r="AE17" s="6" t="str">
        <x:v>Against trade</x:v>
      </x:c>
      <x:c r="AF17" s="7" t="str">
        <x:v>2024-01-16 09:15:00-06:00</x:v>
      </x:c>
      <x:c r="AG17" s="6" t="str">
        <x:v>Long</x:v>
      </x:c>
      <x:c r="AH17" s="6" t="str">
        <x:v>16733.0</x:v>
      </x:c>
      <x:c r="AI17" s="8" t="str">
        <x:v>7</x:v>
      </x:c>
      <x:c r="AJ17" s="6" t="str">
        <x:v>False</x:v>
      </x:c>
      <x:c r="AK17" s="6" t="str">
        <x:v>Delayed BOS</x:v>
      </x:c>
      <x:c r="AL17" s="9" t="str">
        <x:v>0.9214527811556167</x:v>
      </x:c>
      <x:c r="AM17" s="9" t="str">
        <x:v>0.7530151759981384</x:v>
      </x:c>
      <x:c r="AN17" s="9" t="str">
        <x:v>0.9313608755766448</x:v>
      </x:c>
      <x:c r="AO17" s="9" t="str">
        <x:v>1.3871332189439392</x:v>
      </x:c>
      <x:c r="AP17" s="10" t="str">
        <x:v>0.6714285714285714</x:v>
      </x:c>
      <x:c r="AQ17" s="6" t="str">
        <x:v>0.07857142857142857</x:v>
      </x:c>
      <x:c r="AR17" s="6" t="str">
        <x:v>0.25</x:v>
      </x:c>
      <x:c r="AS17" s="6" t="str">
        <x:v>With trade</x:v>
      </x:c>
      <x:c r="AT17" s="6" t="str">
        <x:v>1.6413947988785687</x:v>
      </x:c>
      <x:c r="AU17" s="7" t="str">
        <x:v>2024-01-16 10:00:00-06:00</x:v>
      </x:c>
      <x:c r="AV17" s="8" t="str">
        <x:v>9</x:v>
      </x:c>
      <x:c r="AW17" s="6" t="str">
        <x:v>Delayed retest (2+ bars)</x:v>
      </x:c>
      <x:c r="AX17" s="6" t="str">
        <x:v>16724.0</x:v>
      </x:c>
      <x:c r="AY17" s="6" t="str">
        <x:v>9.0</x:v>
      </x:c>
      <x:c r="AZ17" s="9" t="str">
        <x:v>0.3165369652144031</x:v>
      </x:c>
      <x:c r="BA17" s="9" t="str">
        <x:v>0.6154885434724505</x:v>
      </x:c>
      <x:c r="BB17" s="9" t="str">
        <x:v>3.015893863015007</x:v>
      </x:c>
      <x:c r="BC17" s="9" t="str">
        <x:v>1.7761240825919284</x:v>
      </x:c>
      <x:c r="BD17" s="6" t="str">
        <x:v>0.10204081632653061</x:v>
      </x:c>
      <x:c r="BE17" s="6" t="str">
        <x:v>0.30903790087463556</x:v>
      </x:c>
      <x:c r="BF17" s="9" t="str">
        <x:v>0.9320255086868536</x:v>
      </x:c>
      <x:c r="BG17" s="9" t="str">
        <x:v>0.30774427173622526</x:v>
      </x:c>
      <x:c r="BH17" s="6" t="str">
        <x:v>Against trade</x:v>
      </x:c>
      <x:c r="BI17" s="6" t="str">
        <x:v>Penetration + same-bar reclaim</x:v>
      </x:c>
      <x:c r="BJ17" s="6" t="str">
        <x:v>False</x:v>
      </x:c>
      <x:c r="BK17" s="10" t="str">
        <x:v>True</x:v>
      </x:c>
      <x:c r="BL17" s="6" t="str">
        <x:v>True</x:v>
      </x:c>
      <x:c r="BM17" s="7" t="str">
        <x:v>2024-01-16 10:05:00-06:00</x:v>
      </x:c>
      <x:c r="BN17" s="8" t="str">
        <x:v>1</x:v>
      </x:c>
      <x:c r="BO17" s="6" t="str">
        <x:v>Immediate confirmation (1 bar)</x:v>
      </x:c>
      <x:c r="BP17" s="9" t="str">
        <x:v>0.21558357498221087</x:v>
      </x:c>
      <x:c r="BQ17" s="9" t="str">
        <x:v>1.2503847348968231</x:v>
      </x:c>
      <x:c r="BR17" s="10" t="str">
        <x:v>0.1724137931034483</x:v>
      </x:c>
      <x:c r="BS17" s="9" t="str">
        <x:v>0.8019708989338244</x:v>
      </x:c>
      <x:c r="BT17" s="9" t="str">
        <x:v>0.198336888983634</x:v>
      </x:c>
      <x:c r="BU17" s="9" t="str">
        <x:v>0.35355706297082584</x:v>
      </x:c>
      <x:c r="BV17" s="6" t="str">
        <x:v>With trade</x:v>
      </x:c>
      <x:c r="BW17" s="7" t="str">
        <x:v>2024-01-16 10:05:00-06:00</x:v>
      </x:c>
      <x:c r="BX17" s="6" t="str">
        <x:v>16756.25</x:v>
      </x:c>
      <x:c r="BY17" s="9" t="str">
        <x:v>28.991076896817052</x:v>
      </x:c>
      <x:c r="BZ17" s="9" t="str">
        <x:v>1.0</x:v>
      </x:c>
      <x:c r="CA17" s="6" t="str">
        <x:v>16712.763384654776</x:v>
      </x:c>
      <x:c r="CB17" s="6" t="str">
        <x:v>43.48661534522398</x:v>
      </x:c>
      <x:c r="CC17" s="9" t="str">
        <x:v>1.499999999999945</x:v>
      </x:c>
      <x:c r="CD17" s="6" t="str">
        <x:v>16843.22323069045</x:v>
      </x:c>
      <x:c r="CE17" s="6" t="str">
        <x:v>86.9732306904516</x:v>
      </x:c>
      <x:c r="CF17" s="6" t="str">
        <x:v>Fixed 2.00R target</x:v>
      </x:c>
      <x:c r="CG17" s="9" t="str">
        <x:v>0.016671796465291586</x:v>
      </x:c>
      <x:c r="CH17" s="9" t="str">
        <x:v>-1.0</x:v>
      </x:c>
      <x:c r="CI17" s="9" t="str">
        <x:v>-1.0166717964652916</x:v>
      </x:c>
      <x:c r="CJ17" s="6" t="str">
        <x:v>Loss</x:v>
      </x:c>
      <x:c r="CK17" s="9" t="str">
        <x:v>1.2245147058990027</x:v>
      </x:c>
      <x:c r="CL17" s="9" t="str">
        <x:v>1.2820036592275943</x:v>
      </x:c>
      <x:c r="CM17" s="7" t="str">
        <x:v>2024-01-16 11:05:00-06:00</x:v>
      </x:c>
      <x:c r="CN17" s="6" t="str">
        <x:v>16712.763384654776</x:v>
      </x:c>
      <x:c r="CO17" s="6" t="str">
        <x:v>STOP</x:v>
      </x:c>
      <x:c r="CP17" s="6" t="str">
        <x:v>F::Long::Delayed BOS::Penetration + same-bar reclaim</x:v>
      </x:c>
    </x:row>
    <x:row r="18" ht="18" customHeight="1">
      <x:c r="A18" s="6" t="str">
        <x:v>A0017</x:v>
      </x:c>
      <x:c r="B18" s="6" t="str">
        <x:v>2024-01-17</x:v>
      </x:c>
      <x:c r="C18" s="6" t="str">
        <x:v>2024</x:v>
      </x:c>
      <x:c r="D18" s="6" t="str">
        <x:v>2024-Q1</x:v>
      </x:c>
      <x:c r="E18" s="6" t="str">
        <x:v>First 50%</x:v>
      </x:c>
      <x:c r="F18" s="6" t="str">
        <x:v>Long</x:v>
      </x:c>
      <x:c r="G18" s="6" t="str">
        <x:v>Long</x:v>
      </x:c>
      <x:c r="H18" s="6" t="str">
        <x:v>Midday</x:v>
      </x:c>
      <x:c r="I18" s="6" t="str">
        <x:v>Midday</x:v>
      </x:c>
      <x:c r="J18" s="6" t="str">
        <x:v>Bear</x:v>
      </x:c>
      <x:c r="K18" s="6" t="str">
        <x:v>Bear</x:v>
      </x:c>
      <x:c r="L18" s="6" t="str">
        <x:v>MID</x:v>
      </x:c>
      <x:c r="M18" s="7" t="str">
        <x:v>2024-01-17 13:40:00-06:00</x:v>
      </x:c>
      <x:c r="N18" s="6" t="str">
        <x:v>75.0</x:v>
      </x:c>
      <x:c r="O18" s="6" t="str">
        <x:v>75-79</x:v>
      </x:c>
      <x:c r="P18" s="6" t="str">
        <x:v>Matching BOS only</x:v>
      </x:c>
      <x:c r="Q18" s="6" t="str">
        <x:v>Bull CHoCH</x:v>
      </x:c>
      <x:c r="R18" s="6" t="str">
        <x:v>True</x:v>
      </x:c>
      <x:c r="S18" s="6" t="str">
        <x:v>False</x:v>
      </x:c>
      <x:c r="T18" s="6" t="str">
        <x:v>No recent matching sweep</x:v>
      </x:c>
      <x:c r="U18" s="6" t="str">
        <x:v>None</x:v>
      </x:c>
      <x:c r="V18" s="6" t="str">
        <x:v>None</x:v>
      </x:c>
      <x:c r="W18" s="6" t="str">
        <x:v>[]</x:v>
      </x:c>
      <x:c r="X18" s="8" t="str">
        <x:v>0</x:v>
      </x:c>
      <x:c r="Y18" s="8" t="str"/>
      <x:c r="Z18" s="6" t="str">
        <x:v>None</x:v>
      </x:c>
      <x:c r="AA18" s="6" t="str">
        <x:v>16611.75</x:v>
      </x:c>
      <x:c r="AB18" s="9" t="str">
        <x:v>0.8131269145634961</x:v>
      </x:c>
      <x:c r="AC18" s="9" t="str">
        <x:v>1.2403630900121125</x:v>
      </x:c>
      <x:c r="AD18" s="9" t="str">
        <x:v>1.4333084595695522</x:v>
      </x:c>
      <x:c r="AE18" s="6" t="str">
        <x:v>With trade</x:v>
      </x:c>
      <x:c r="AF18" s="7" t="str">
        <x:v>2024-01-17 13:40:00-06:00</x:v>
      </x:c>
      <x:c r="AG18" s="6" t="str">
        <x:v>Long</x:v>
      </x:c>
      <x:c r="AH18" s="6" t="str">
        <x:v>16611.75</x:v>
      </x:c>
      <x:c r="AI18" s="8" t="str">
        <x:v>0</x:v>
      </x:c>
      <x:c r="AJ18" s="6" t="str">
        <x:v>True</x:v>
      </x:c>
      <x:c r="AK18" s="6" t="str">
        <x:v>Same-bar Setup+BOS</x:v>
      </x:c>
      <x:c r="AL18" s="9" t="str">
        <x:v>1.2403630900121125</x:v>
      </x:c>
      <x:c r="AM18" s="9" t="str">
        <x:v>0.8131269145634961</x:v>
      </x:c>
      <x:c r="AN18" s="9" t="str">
        <x:v>1.2403630900121125</x:v>
      </x:c>
      <x:c r="AO18" s="9" t="str">
        <x:v>1.4333084595695522</x:v>
      </x:c>
      <x:c r="AP18" s="10" t="str">
        <x:v>0.8653846153846154</x:v>
      </x:c>
      <x:c r="AQ18" s="6" t="str">
        <x:v>0.028846153846153848</x:v>
      </x:c>
      <x:c r="AR18" s="6" t="str">
        <x:v>0.10576923076923077</x:v>
      </x:c>
      <x:c r="AS18" s="6" t="str">
        <x:v>With trade</x:v>
      </x:c>
      <x:c r="AT18" s="6" t="str">
        <x:v>1.4021293325116349</x:v>
      </x:c>
      <x:c r="AU18" s="7" t="str">
        <x:v>2024-01-17 13:45:00-06:00</x:v>
      </x:c>
      <x:c r="AV18" s="8" t="str">
        <x:v>1</x:v>
      </x:c>
      <x:c r="AW18" s="6" t="str">
        <x:v>Immediate retest (1 bar)</x:v>
      </x:c>
      <x:c r="AX18" s="6" t="str">
        <x:v>16611.0</x:v>
      </x:c>
      <x:c r="AY18" s="6" t="str">
        <x:v>0.75</x:v>
      </x:c>
      <x:c r="AZ18" s="9" t="str">
        <x:v>0.04124633932737156</x:v>
      </x:c>
      <x:c r="BA18" s="9" t="str">
        <x:v>0.08249267865474312</x:v>
      </x:c>
      <x:c r="BB18" s="9" t="str">
        <x:v>1.031158483184289</x:v>
      </x:c>
      <x:c r="BC18" s="9" t="str">
        <x:v>0.7286853281168976</x:v>
      </x:c>
      <x:c r="BD18" s="6" t="str">
        <x:v>0.17333333333333334</x:v>
      </x:c>
      <x:c r="BE18" s="6" t="str">
        <x:v>0.12</x:v>
      </x:c>
      <x:c r="BF18" s="9" t="str">
        <x:v>0.12373901798211469</x:v>
      </x:c>
      <x:c r="BG18" s="9" t="str">
        <x:v>0.17873413708527677</x:v>
      </x:c>
      <x:c r="BH18" s="6" t="str">
        <x:v>Against trade</x:v>
      </x:c>
      <x:c r="BI18" s="6" t="str">
        <x:v>Penetration + same-bar reclaim</x:v>
      </x:c>
      <x:c r="BJ18" s="6" t="str">
        <x:v>False</x:v>
      </x:c>
      <x:c r="BK18" s="10" t="str">
        <x:v>True</x:v>
      </x:c>
      <x:c r="BL18" s="6" t="str">
        <x:v>True</x:v>
      </x:c>
      <x:c r="BM18" s="7" t="str">
        <x:v>2024-01-17 13:50:00-06:00</x:v>
      </x:c>
      <x:c r="BN18" s="8" t="str">
        <x:v>1</x:v>
      </x:c>
      <x:c r="BO18" s="6" t="str">
        <x:v>Immediate confirmation (1 bar)</x:v>
      </x:c>
      <x:c r="BP18" s="9" t="str">
        <x:v>0.3851097200723343</x:v>
      </x:c>
      <x:c r="BQ18" s="9" t="str">
        <x:v>0.5134796267631124</x:v>
      </x:c>
      <x:c r="BR18" s="10" t="str">
        <x:v>0.75</x:v>
      </x:c>
      <x:c r="BS18" s="9" t="str">
        <x:v>0.45642633490054435</x:v>
      </x:c>
      <x:c r="BT18" s="9" t="str">
        <x:v>0.37084639710669226</x:v>
      </x:c>
      <x:c r="BU18" s="9" t="str">
        <x:v>0.014263322965642011</x:v>
      </x:c>
      <x:c r="BV18" s="6" t="str">
        <x:v>With trade</x:v>
      </x:c>
      <x:c r="BW18" s="7" t="str">
        <x:v>2024-01-17 13:50:00-06:00</x:v>
      </x:c>
      <x:c r="BX18" s="6" t="str">
        <x:v>16619.75</x:v>
      </x:c>
      <x:c r="BY18" s="9" t="str">
        <x:v>17.52747242716222</x:v>
      </x:c>
      <x:c r="BZ18" s="9" t="str">
        <x:v>0.36</x:v>
      </x:c>
      <x:c r="CA18" s="6" t="str">
        <x:v>16593.458791359255</x:v>
      </x:c>
      <x:c r="CB18" s="6" t="str">
        <x:v>26.291208640745026</x:v>
      </x:c>
      <x:c r="CC18" s="9" t="str">
        <x:v>1.5000000000000968</x:v>
      </x:c>
      <x:c r="CD18" s="6" t="str">
        <x:v>16672.332417281486</x:v>
      </x:c>
      <x:c r="CE18" s="6" t="str">
        <x:v>52.582417281486414</x:v>
      </x:c>
      <x:c r="CF18" s="6" t="str">
        <x:v>Fixed 2.00R target</x:v>
      </x:c>
      <x:c r="CG18" s="9" t="str">
        <x:v>0.027575757733572775</x:v>
      </x:c>
      <x:c r="CH18" s="9" t="str">
        <x:v>-1.0</x:v>
      </x:c>
      <x:c r="CI18" s="9" t="str">
        <x:v>-1.0275757577335727</x:v>
      </x:c>
      <x:c r="CJ18" s="6" t="str">
        <x:v>Loss</x:v>
      </x:c>
      <x:c r="CK18" s="9" t="str">
        <x:v>0.1426332296564109</x:v>
      </x:c>
      <x:c r="CL18" s="9" t="str">
        <x:v>1.0174503715490644</x:v>
      </x:c>
      <x:c r="CM18" s="7" t="str">
        <x:v>2024-01-17 14:05:00-06:00</x:v>
      </x:c>
      <x:c r="CN18" s="6" t="str">
        <x:v>16593.458791359255</x:v>
      </x:c>
      <x:c r="CO18" s="6" t="str">
        <x:v>STOP</x:v>
      </x:c>
      <x:c r="CP18" s="6" t="str">
        <x:v>F::Long::Same-bar Setup+BOS::Penetration + same-bar reclaim</x:v>
      </x:c>
    </x:row>
    <x:row r="19" ht="18" customHeight="1">
      <x:c r="A19" s="6" t="str">
        <x:v>A0018</x:v>
      </x:c>
      <x:c r="B19" s="6" t="str">
        <x:v>2024-01-18</x:v>
      </x:c>
      <x:c r="C19" s="6" t="str">
        <x:v>2024</x:v>
      </x:c>
      <x:c r="D19" s="6" t="str">
        <x:v>2024-Q1</x:v>
      </x:c>
      <x:c r="E19" s="6" t="str">
        <x:v>First 50%</x:v>
      </x:c>
      <x:c r="F19" s="6" t="str">
        <x:v>Long</x:v>
      </x:c>
      <x:c r="G19" s="6" t="str">
        <x:v>Long</x:v>
      </x:c>
      <x:c r="H19" s="6" t="str">
        <x:v>Opening</x:v>
      </x:c>
      <x:c r="I19" s="6" t="str">
        <x:v>Opening</x:v>
      </x:c>
      <x:c r="J19" s="6" t="str">
        <x:v>Bull</x:v>
      </x:c>
      <x:c r="K19" s="6" t="str">
        <x:v>Bull</x:v>
      </x:c>
      <x:c r="L19" s="6" t="str">
        <x:v>HIGH</x:v>
      </x:c>
      <x:c r="M19" s="7" t="str">
        <x:v>2024-01-18 09:35:00-06:00</x:v>
      </x:c>
      <x:c r="N19" s="6" t="str">
        <x:v>75.0</x:v>
      </x:c>
      <x:c r="O19" s="6" t="str">
        <x:v>75-79</x:v>
      </x:c>
      <x:c r="P19" s="6" t="str">
        <x:v>Matching BOS only</x:v>
      </x:c>
      <x:c r="Q19" s="6" t="str">
        <x:v>Bull BOS</x:v>
      </x:c>
      <x:c r="R19" s="6" t="str">
        <x:v>True</x:v>
      </x:c>
      <x:c r="S19" s="6" t="str">
        <x:v>False</x:v>
      </x:c>
      <x:c r="T19" s="6" t="str">
        <x:v>No recent matching sweep</x:v>
      </x:c>
      <x:c r="U19" s="6" t="str">
        <x:v>None</x:v>
      </x:c>
      <x:c r="V19" s="6" t="str">
        <x:v>None</x:v>
      </x:c>
      <x:c r="W19" s="6" t="str">
        <x:v>[]</x:v>
      </x:c>
      <x:c r="X19" s="8" t="str">
        <x:v>0</x:v>
      </x:c>
      <x:c r="Y19" s="8" t="str"/>
      <x:c r="Z19" s="6" t="str">
        <x:v>None</x:v>
      </x:c>
      <x:c r="AA19" s="6" t="str">
        <x:v>16841.0</x:v>
      </x:c>
      <x:c r="AB19" s="9" t="str">
        <x:v>0.17592509959124947</x:v>
      </x:c>
      <x:c r="AC19" s="9" t="str">
        <x:v>0.742794864940831</x:v>
      </x:c>
      <x:c r="AD19" s="9" t="str">
        <x:v>1.1141922974112466</x:v>
      </x:c>
      <x:c r="AE19" s="6" t="str">
        <x:v>With trade</x:v>
      </x:c>
      <x:c r="AF19" s="7" t="str">
        <x:v>2024-01-18 09:35:00-06:00</x:v>
      </x:c>
      <x:c r="AG19" s="6" t="str">
        <x:v>Long</x:v>
      </x:c>
      <x:c r="AH19" s="6" t="str">
        <x:v>16841.0</x:v>
      </x:c>
      <x:c r="AI19" s="8" t="str">
        <x:v>0</x:v>
      </x:c>
      <x:c r="AJ19" s="6" t="str">
        <x:v>True</x:v>
      </x:c>
      <x:c r="AK19" s="6" t="str">
        <x:v>Same-bar Setup+BOS</x:v>
      </x:c>
      <x:c r="AL19" s="9" t="str">
        <x:v>0.7330212482968728</x:v>
      </x:c>
      <x:c r="AM19" s="9" t="str">
        <x:v>0.17592509959124947</x:v>
      </x:c>
      <x:c r="AN19" s="9" t="str">
        <x:v>0.742794864940831</x:v>
      </x:c>
      <x:c r="AO19" s="9" t="str">
        <x:v>1.1141922974112466</x:v>
      </x:c>
      <x:c r="AP19" s="10" t="str">
        <x:v>0.6666666666666666</x:v>
      </x:c>
      <x:c r="AQ19" s="6" t="str">
        <x:v>0.16666666666666666</x:v>
      </x:c>
      <x:c r="AR19" s="6" t="str">
        <x:v>0.16666666666666666</x:v>
      </x:c>
      <x:c r="AS19" s="6" t="str">
        <x:v>With trade</x:v>
      </x:c>
      <x:c r="AT19" s="6" t="str">
        <x:v>1.3638708236507793</x:v>
      </x:c>
      <x:c r="AU19" s="7" t="str">
        <x:v>2024-01-18 09:40:00-06:00</x:v>
      </x:c>
      <x:c r="AV19" s="8" t="str">
        <x:v>1</x:v>
      </x:c>
      <x:c r="AW19" s="6" t="str">
        <x:v>Immediate retest (1 bar)</x:v>
      </x:c>
      <x:c r="AX19" s="6" t="str">
        <x:v>16833.25</x:v>
      </x:c>
      <x:c r="AY19" s="6" t="str">
        <x:v>7.75</x:v>
      </x:c>
      <x:c r="AZ19" s="9" t="str">
        <x:v>0.30453757247736446</x:v>
      </x:c>
      <x:c r="BA19" s="9" t="str">
        <x:v>0.5010134256885673</x:v>
      </x:c>
      <x:c r="BB19" s="9" t="str">
        <x:v>0.9332603027532137</x:v>
      </x:c>
      <x:c r="BC19" s="9" t="str">
        <x:v>0.30453757247736446</x:v>
      </x:c>
      <x:c r="BD19" s="6" t="str">
        <x:v>0.1368421052631579</x:v>
      </x:c>
      <x:c r="BE19" s="6" t="str">
        <x:v>0.5368421052631579</x:v>
      </x:c>
      <x:c r="BF19" s="9" t="str">
        <x:v>0.5010134256885673</x:v>
      </x:c>
      <x:c r="BG19" s="9" t="str">
        <x:v>0.12770930458728186</x:v>
      </x:c>
      <x:c r="BH19" s="6" t="str">
        <x:v>With trade</x:v>
      </x:c>
      <x:c r="BI19" s="6" t="str">
        <x:v>Penetration + same-bar reclaim</x:v>
      </x:c>
      <x:c r="BJ19" s="6" t="str">
        <x:v>False</x:v>
      </x:c>
      <x:c r="BK19" s="10" t="str">
        <x:v>True</x:v>
      </x:c>
      <x:c r="BL19" s="6" t="str">
        <x:v>True</x:v>
      </x:c>
      <x:c r="BM19" s="7" t="str">
        <x:v>2024-01-18 09:45:00-06:00</x:v>
      </x:c>
      <x:c r="BN19" s="8" t="str">
        <x:v>1</x:v>
      </x:c>
      <x:c r="BO19" s="6" t="str">
        <x:v>Immediate confirmation (1 bar)</x:v>
      </x:c>
      <x:c r="BP19" s="9" t="str">
        <x:v>0.4235505857222017</x:v>
      </x:c>
      <x:c r="BQ19" s="9" t="str">
        <x:v>0.9653013349017621</x:v>
      </x:c>
      <x:c r="BR19" s="10" t="str">
        <x:v>0.4387755102040816</x:v>
      </x:c>
      <x:c r="BS19" s="9" t="str">
        <x:v>0.9357512940374224</x:v>
      </x:c>
      <x:c r="BT19" s="9" t="str">
        <x:v>0.4334005993436483</x:v>
      </x:c>
      <x:c r="BU19" s="9" t="str">
        <x:v>0.5122007083152207</x:v>
      </x:c>
      <x:c r="BV19" s="6" t="str">
        <x:v>With trade</x:v>
      </x:c>
      <x:c r="BW19" s="7" t="str">
        <x:v>2024-01-18 09:45:00-06:00</x:v>
      </x:c>
      <x:c r="BX19" s="6" t="str">
        <x:v>16864.75</x:v>
      </x:c>
      <x:c r="BY19" s="9" t="str">
        <x:v>25.380675561267452</x:v>
      </x:c>
      <x:c r="BZ19" s="9" t="str">
        <x:v>0.98</x:v>
      </x:c>
      <x:c r="CA19" s="6" t="str">
        <x:v>16826.6789866581</x:v>
      </x:c>
      <x:c r="CB19" s="6" t="str">
        <x:v>38.07101334190156</x:v>
      </x:c>
      <x:c r="CC19" s="9" t="str">
        <x:v>1.500000000000015</x:v>
      </x:c>
      <x:c r="CD19" s="6" t="str">
        <x:v>16940.892026683803</x:v>
      </x:c>
      <x:c r="CE19" s="6" t="str">
        <x:v>76.14202668380312</x:v>
      </x:c>
      <x:c r="CF19" s="6" t="str">
        <x:v>Fixed 2.00R target</x:v>
      </x:c>
      <x:c r="CG19" s="9" t="str">
        <x:v>0.019043359668129808</x:v>
      </x:c>
      <x:c r="CH19" s="9" t="str">
        <x:v>-1.0</x:v>
      </x:c>
      <x:c r="CI19" s="9" t="str">
        <x:v>-1.0190433596681299</x:v>
      </x:c>
      <x:c r="CJ19" s="6" t="str">
        <x:v>Loss</x:v>
      </x:c>
      <x:c r="CK19" s="9" t="str">
        <x:v>0.045966730233416776</x:v>
      </x:c>
      <x:c r="CL19" s="9" t="str">
        <x:v>1.3527352040119793</x:v>
      </x:c>
      <x:c r="CM19" s="7" t="str">
        <x:v>2024-01-18 10:00:00-06:00</x:v>
      </x:c>
      <x:c r="CN19" s="6" t="str">
        <x:v>16826.6789866581</x:v>
      </x:c>
      <x:c r="CO19" s="6" t="str">
        <x:v>STOP</x:v>
      </x:c>
      <x:c r="CP19" s="6" t="str">
        <x:v>F::Long::Same-bar Setup+BOS::Penetration + same-bar reclaim</x:v>
      </x:c>
    </x:row>
    <x:row r="20" ht="18" customHeight="1">
      <x:c r="A20" s="6" t="str">
        <x:v>A0019</x:v>
      </x:c>
      <x:c r="B20" s="6" t="str">
        <x:v>2024-01-18</x:v>
      </x:c>
      <x:c r="C20" s="6" t="str">
        <x:v>2024</x:v>
      </x:c>
      <x:c r="D20" s="6" t="str">
        <x:v>2024-Q1</x:v>
      </x:c>
      <x:c r="E20" s="6" t="str">
        <x:v>First 50%</x:v>
      </x:c>
      <x:c r="F20" s="6" t="str">
        <x:v>Short</x:v>
      </x:c>
      <x:c r="G20" s="6" t="str">
        <x:v>Short</x:v>
      </x:c>
      <x:c r="H20" s="6" t="str">
        <x:v>Morning</x:v>
      </x:c>
      <x:c r="I20" s="6" t="str">
        <x:v>Morning</x:v>
      </x:c>
      <x:c r="J20" s="6" t="str">
        <x:v>Bull</x:v>
      </x:c>
      <x:c r="K20" s="6" t="str">
        <x:v>Bull</x:v>
      </x:c>
      <x:c r="L20" s="6" t="str">
        <x:v>HIGH</x:v>
      </x:c>
      <x:c r="M20" s="7" t="str">
        <x:v>2024-01-18 11:00:00-06:00</x:v>
      </x:c>
      <x:c r="N20" s="6" t="str">
        <x:v>100.0</x:v>
      </x:c>
      <x:c r="O20" s="6" t="str">
        <x:v>95+</x:v>
      </x:c>
      <x:c r="P20" s="6" t="str">
        <x:v>Matching BOS only</x:v>
      </x:c>
      <x:c r="Q20" s="6" t="str">
        <x:v>Bear CHoCH</x:v>
      </x:c>
      <x:c r="R20" s="6" t="str">
        <x:v>True</x:v>
      </x:c>
      <x:c r="S20" s="6" t="str">
        <x:v>False</x:v>
      </x:c>
      <x:c r="T20" s="6" t="str">
        <x:v>Recent BSL</x:v>
      </x:c>
      <x:c r="U20" s="6" t="str">
        <x:v>BSL</x:v>
      </x:c>
      <x:c r="V20" s="6" t="str">
        <x:v>Swing high / buy-side</x:v>
      </x:c>
      <x:c r="W20" s="6" t="str">
        <x:v>[16866.5]</x:v>
      </x:c>
      <x:c r="X20" s="8" t="str">
        <x:v>1</x:v>
      </x:c>
      <x:c r="Y20" s="8" t="str">
        <x:v>8.0</x:v>
      </x:c>
      <x:c r="Z20" s="6" t="str">
        <x:v>None</x:v>
      </x:c>
      <x:c r="AA20" s="6" t="str">
        <x:v>16813.25</x:v>
      </x:c>
      <x:c r="AB20" s="9" t="str">
        <x:v>0.10142702708846342</x:v>
      </x:c>
      <x:c r="AC20" s="9" t="str">
        <x:v>2.221251893237349</x:v>
      </x:c>
      <x:c r="AD20" s="9" t="str">
        <x:v>2.434248650123122</x:v>
      </x:c>
      <x:c r="AE20" s="6" t="str">
        <x:v>With trade</x:v>
      </x:c>
      <x:c r="AF20" s="7" t="str">
        <x:v>2024-01-18 11:00:00-06:00</x:v>
      </x:c>
      <x:c r="AG20" s="6" t="str">
        <x:v>Short</x:v>
      </x:c>
      <x:c r="AH20" s="6" t="str">
        <x:v>16813.25</x:v>
      </x:c>
      <x:c r="AI20" s="8" t="str">
        <x:v>0</x:v>
      </x:c>
      <x:c r="AJ20" s="6" t="str">
        <x:v>True</x:v>
      </x:c>
      <x:c r="AK20" s="6" t="str">
        <x:v>Same-bar Setup+BOS</x:v>
      </x:c>
      <x:c r="AL20" s="9" t="str">
        <x:v>2.2111091905285027</x:v>
      </x:c>
      <x:c r="AM20" s="9" t="str">
        <x:v>0.10142702708846342</x:v>
      </x:c>
      <x:c r="AN20" s="9" t="str">
        <x:v>2.221251893237349</x:v>
      </x:c>
      <x:c r="AO20" s="9" t="str">
        <x:v>2.434248650123122</x:v>
      </x:c>
      <x:c r="AP20" s="10" t="str">
        <x:v>0.9125</x:v>
      </x:c>
      <x:c r="AQ20" s="6" t="str">
        <x:v>0.07083333333333333</x:v>
      </x:c>
      <x:c r="AR20" s="6" t="str">
        <x:v>0.016666666666666666</x:v>
      </x:c>
      <x:c r="AS20" s="6" t="str">
        <x:v>With trade</x:v>
      </x:c>
      <x:c r="AT20" s="6" t="str">
        <x:v>1.8356354638982746</x:v>
      </x:c>
      <x:c r="AU20" s="7" t="str">
        <x:v>2024-01-18 11:05:00-06:00</x:v>
      </x:c>
      <x:c r="AV20" s="8" t="str">
        <x:v>1</x:v>
      </x:c>
      <x:c r="AW20" s="6" t="str">
        <x:v>Immediate retest (1 bar)</x:v>
      </x:c>
      <x:c r="AX20" s="6" t="str">
        <x:v>16823.75</x:v>
      </x:c>
      <x:c r="AY20" s="6" t="str">
        <x:v>10.5</x:v>
      </x:c>
      <x:c r="AZ20" s="9" t="str">
        <x:v>0.42341464067302065</x:v>
      </x:c>
      <x:c r="BA20" s="9" t="str">
        <x:v>0.2822764271153471</x:v>
      </x:c>
      <x:c r="BB20" s="9" t="str">
        <x:v>1.0786992036193621</x:v>
      </x:c>
      <x:c r="BC20" s="9" t="str">
        <x:v>0.1915447183996998</x:v>
      </x:c>
      <x:c r="BD20" s="6" t="str">
        <x:v>0.4766355140186916</x:v>
      </x:c>
      <x:c r="BE20" s="6" t="str">
        <x:v>0.34579439252336447</x:v>
      </x:c>
      <x:c r="BF20" s="9" t="str">
        <x:v>0.5141463493886679</x:v>
      </x:c>
      <x:c r="BG20" s="9" t="str">
        <x:v>0.37300813583099435</x:v>
      </x:c>
      <x:c r="BH20" s="6" t="str">
        <x:v>With trade</x:v>
      </x:c>
      <x:c r="BI20" s="6" t="str">
        <x:v>Penetration + same-bar reclaim</x:v>
      </x:c>
      <x:c r="BJ20" s="6" t="str">
        <x:v>False</x:v>
      </x:c>
      <x:c r="BK20" s="10" t="str">
        <x:v>True</x:v>
      </x:c>
      <x:c r="BL20" s="6" t="str">
        <x:v>True</x:v>
      </x:c>
      <x:c r="BM20" s="7" t="str">
        <x:v>2024-01-18 11:10:00-06:00</x:v>
      </x:c>
      <x:c r="BN20" s="8" t="str">
        <x:v>1</x:v>
      </x:c>
      <x:c r="BO20" s="6" t="str">
        <x:v>Immediate confirmation (1 bar)</x:v>
      </x:c>
      <x:c r="BP20" s="9" t="str">
        <x:v>0.28460947436510337</x:v>
      </x:c>
      <x:c r="BQ20" s="9" t="str">
        <x:v>1.344534413379971</x:v>
      </x:c>
      <x:c r="BR20" s="10" t="str">
        <x:v>0.2116788321167883</x:v>
      </x:c>
      <x:c r="BS20" s="9" t="str">
        <x:v>0.5397765893131271</x:v>
      </x:c>
      <x:c r="BT20" s="9" t="str">
        <x:v>0.26498123475371693</x:v>
      </x:c>
      <x:c r="BU20" s="9" t="str">
        <x:v>0.18646827630817117</x:v>
      </x:c>
      <x:c r="BV20" s="6" t="str">
        <x:v>With trade</x:v>
      </x:c>
      <x:c r="BW20" s="7" t="str">
        <x:v>2024-01-18 11:10:00-06:00</x:v>
      </x:c>
      <x:c r="BX20" s="6" t="str">
        <x:v>16799.5</x:v>
      </x:c>
      <x:c r="BY20" s="9" t="str">
        <x:v>25.47350194919913</x:v>
      </x:c>
      <x:c r="BZ20" s="9" t="str">
        <x:v>0.96</x:v>
      </x:c>
      <x:c r="CA20" s="6" t="str">
        <x:v>16837.7102529238</x:v>
      </x:c>
      <x:c r="CB20" s="6" t="str">
        <x:v>38.2102529238</x:v>
      </x:c>
      <x:c r="CC20" s="9" t="str">
        <x:v>1.5000000000000513</x:v>
      </x:c>
      <x:c r="CD20" s="6" t="str">
        <x:v>16723.079494152404</x:v>
      </x:c>
      <x:c r="CE20" s="6" t="str">
        <x:v>76.42050584759636</x:v>
      </x:c>
      <x:c r="CF20" s="6" t="str">
        <x:v>Fixed 2.00R target</x:v>
      </x:c>
      <x:c r="CG20" s="9" t="str">
        <x:v>0.01897396495767291</x:v>
      </x:c>
      <x:c r="CH20" s="9" t="str">
        <x:v>1.1646088836089288</x:v>
      </x:c>
      <x:c r="CI20" s="9" t="str">
        <x:v>1.1456349186512558</x:v>
      </x:c>
      <x:c r="CJ20" s="6" t="str">
        <x:v>Win</x:v>
      </x:c>
      <x:c r="CK20" s="9" t="str">
        <x:v>1.5048317035395755</x:v>
      </x:c>
      <x:c r="CL20" s="9" t="str">
        <x:v>0.51033422989603</x:v>
      </x:c>
      <x:c r="CM20" s="7" t="str">
        <x:v>2024-01-18 12:10:00-06:00</x:v>
      </x:c>
      <x:c r="CN20" s="6" t="str">
        <x:v>16755.0</x:v>
      </x:c>
      <x:c r="CO20" s="6" t="str">
        <x:v>TIME</x:v>
      </x:c>
      <x:c r="CP20" s="6" t="str">
        <x:v>F::Short::Same-bar Setup+BOS::Penetration + same-bar reclaim</x:v>
      </x:c>
    </x:row>
    <x:row r="21" ht="18" customHeight="1">
      <x:c r="A21" s="6" t="str">
        <x:v>A0020</x:v>
      </x:c>
      <x:c r="B21" s="6" t="str">
        <x:v>2024-01-18</x:v>
      </x:c>
      <x:c r="C21" s="6" t="str">
        <x:v>2024</x:v>
      </x:c>
      <x:c r="D21" s="6" t="str">
        <x:v>2024-Q1</x:v>
      </x:c>
      <x:c r="E21" s="6" t="str">
        <x:v>First 50%</x:v>
      </x:c>
      <x:c r="F21" s="6" t="str">
        <x:v>Long</x:v>
      </x:c>
      <x:c r="G21" s="6" t="str">
        <x:v>Long</x:v>
      </x:c>
      <x:c r="H21" s="6" t="str">
        <x:v>Afternoon</x:v>
      </x:c>
      <x:c r="I21" s="6" t="str">
        <x:v>Afternoon</x:v>
      </x:c>
      <x:c r="J21" s="6" t="str">
        <x:v>Bull</x:v>
      </x:c>
      <x:c r="K21" s="6" t="str">
        <x:v>Bull</x:v>
      </x:c>
      <x:c r="L21" s="6" t="str">
        <x:v>LOW</x:v>
      </x:c>
      <x:c r="M21" s="7" t="str">
        <x:v>2024-01-18 15:15:00-06:00</x:v>
      </x:c>
      <x:c r="N21" s="6" t="str">
        <x:v>75.0</x:v>
      </x:c>
      <x:c r="O21" s="6" t="str">
        <x:v>75-79</x:v>
      </x:c>
      <x:c r="P21" s="6" t="str">
        <x:v>Matching BOS only</x:v>
      </x:c>
      <x:c r="Q21" s="6" t="str">
        <x:v>Bull BOS</x:v>
      </x:c>
      <x:c r="R21" s="6" t="str">
        <x:v>True</x:v>
      </x:c>
      <x:c r="S21" s="6" t="str">
        <x:v>False</x:v>
      </x:c>
      <x:c r="T21" s="6" t="str">
        <x:v>No recent matching sweep</x:v>
      </x:c>
      <x:c r="U21" s="6" t="str">
        <x:v>None</x:v>
      </x:c>
      <x:c r="V21" s="6" t="str">
        <x:v>None</x:v>
      </x:c>
      <x:c r="W21" s="6" t="str">
        <x:v>[]</x:v>
      </x:c>
      <x:c r="X21" s="8" t="str">
        <x:v>0</x:v>
      </x:c>
      <x:c r="Y21" s="8" t="str"/>
      <x:c r="Z21" s="6" t="str">
        <x:v>None</x:v>
      </x:c>
      <x:c r="AA21" s="6" t="str">
        <x:v>16901.75</x:v>
      </x:c>
      <x:c r="AB21" s="9" t="str">
        <x:v>0.075717703532313</x:v>
      </x:c>
      <x:c r="AC21" s="9" t="str">
        <x:v>0.681459331790817</x:v>
      </x:c>
      <x:c r="AD21" s="9" t="str">
        <x:v>0.681459331790817</x:v>
      </x:c>
      <x:c r="AE21" s="6" t="str">
        <x:v>With trade</x:v>
      </x:c>
      <x:c r="AF21" s="7" t="str">
        <x:v>2024-01-18 15:15:00-06:00</x:v>
      </x:c>
      <x:c r="AG21" s="6" t="str">
        <x:v>Long</x:v>
      </x:c>
      <x:c r="AH21" s="6" t="str">
        <x:v>16901.75</x:v>
      </x:c>
      <x:c r="AI21" s="8" t="str">
        <x:v>0</x:v>
      </x:c>
      <x:c r="AJ21" s="6" t="str">
        <x:v>True</x:v>
      </x:c>
      <x:c r="AK21" s="6" t="str">
        <x:v>Same-bar Setup+BOS</x:v>
      </x:c>
      <x:c r="AL21" s="9" t="str">
        <x:v>0.7117464132037421</x:v>
      </x:c>
      <x:c r="AM21" s="9" t="str">
        <x:v>0.075717703532313</x:v>
      </x:c>
      <x:c r="AN21" s="9" t="str">
        <x:v>0.681459331790817</x:v>
      </x:c>
      <x:c r="AO21" s="9" t="str">
        <x:v>0.681459331790817</x:v>
      </x:c>
      <x:c r="AP21" s="10" t="str">
        <x:v>1.0</x:v>
      </x:c>
      <x:c r="AQ21" s="6" t="str">
        <x:v>0.0</x:v>
      </x:c>
      <x:c r="AR21" s="6" t="str">
        <x:v>0.0</x:v>
      </x:c>
      <x:c r="AS21" s="6" t="str">
        <x:v>With trade</x:v>
      </x:c>
      <x:c r="AT21" s="6" t="str">
        <x:v>0.15341440598690365</x:v>
      </x:c>
      <x:c r="AU21" s="7" t="str">
        <x:v>2024-01-18 15:20:00-06:00</x:v>
      </x:c>
      <x:c r="AV21" s="8" t="str">
        <x:v>1</x:v>
      </x:c>
      <x:c r="AW21" s="6" t="str">
        <x:v>Immediate retest (1 bar)</x:v>
      </x:c>
      <x:c r="AX21" s="6" t="str">
        <x:v>16900.0</x:v>
      </x:c>
      <x:c r="AY21" s="6" t="str">
        <x:v>1.75</x:v>
      </x:c>
      <x:c r="AZ21" s="9" t="str">
        <x:v>0.10895525296804971</x:v>
      </x:c>
      <x:c r="BA21" s="9" t="str">
        <x:v>0.04669510841487845</x:v>
      </x:c>
      <x:c r="BB21" s="9" t="str">
        <x:v>0.6381664816700054</x:v>
      </x:c>
      <x:c r="BC21" s="9" t="str">
        <x:v>0.0</x:v>
      </x:c>
      <x:c r="BD21" s="6" t="str">
        <x:v>0.7560975609756098</x:v>
      </x:c>
      <x:c r="BE21" s="6" t="str">
        <x:v>0.24390243902439024</x:v>
      </x:c>
      <x:c r="BF21" s="9" t="str">
        <x:v>0.15565036138292815</x:v>
      </x:c>
      <x:c r="BG21" s="9" t="str">
        <x:v>0.4825161202870773</x:v>
      </x:c>
      <x:c r="BH21" s="6" t="str">
        <x:v>Doji</x:v>
      </x:c>
      <x:c r="BI21" s="6" t="str">
        <x:v>Penetration + same-bar reclaim</x:v>
      </x:c>
      <x:c r="BJ21" s="6" t="str">
        <x:v>False</x:v>
      </x:c>
      <x:c r="BK21" s="10" t="str">
        <x:v>True</x:v>
      </x:c>
      <x:c r="BL21" s="6" t="str">
        <x:v>True</x:v>
      </x:c>
      <x:c r="BM21" s="7" t="str">
        <x:v>2024-01-18 15:25:00-06:00</x:v>
      </x:c>
      <x:c r="BN21" s="8" t="str">
        <x:v>1</x:v>
      </x:c>
      <x:c r="BO21" s="6" t="str">
        <x:v>Immediate confirmation (1 bar)</x:v>
      </x:c>
      <x:c r="BP21" s="9" t="str">
        <x:v>0.35888850327410493</x:v>
      </x:c>
      <x:c r="BQ21" s="9" t="str">
        <x:v>0.37520161705929156</x:v>
      </x:c>
      <x:c r="BR21" s="10" t="str">
        <x:v>0.9565217391304348</x:v>
      </x:c>
      <x:c r="BS21" s="9" t="str">
        <x:v>0.4078278446296647</x:v>
      </x:c>
      <x:c r="BT21" s="9" t="str">
        <x:v>0.35888850327410493</x:v>
      </x:c>
      <x:c r="BU21" s="9" t="str">
        <x:v>0.01631311378518659</x:v>
      </x:c>
      <x:c r="BV21" s="6" t="str">
        <x:v>With trade</x:v>
      </x:c>
      <x:c r="BW21" s="7" t="str">
        <x:v>2024-01-18 15:25:00-06:00</x:v>
      </x:c>
      <x:c r="BX21" s="6" t="str">
        <x:v>16908.0</x:v>
      </x:c>
      <x:c r="BY21" s="9" t="str">
        <x:v>15.325093865710476</x:v>
      </x:c>
      <x:c r="BZ21" s="9" t="str">
        <x:v>0.17</x:v>
      </x:c>
      <x:c r="CA21" s="6" t="str">
        <x:v>16885.012359201435</x:v>
      </x:c>
      <x:c r="CB21" s="6" t="str">
        <x:v>22.987640798564826</x:v>
      </x:c>
      <x:c r="CC21" s="9" t="str">
        <x:v>1.499999999999942</x:v>
      </x:c>
      <x:c r="CD21" s="6" t="str">
        <x:v>16953.97528159713</x:v>
      </x:c>
      <x:c r="CE21" s="6" t="str">
        <x:v>45.97528159712965</x:v>
      </x:c>
      <x:c r="CF21" s="6" t="str">
        <x:v>Fixed 2.00R target</x:v>
      </x:c>
      <x:c r="CG21" s="9" t="str">
        <x:v>0.03153868665136196</x:v>
      </x:c>
      <x:c r="CH21" s="9" t="str">
        <x:v>0.0</x:v>
      </x:c>
      <x:c r="CI21" s="9" t="str">
        <x:v>-0.03153868665136196</x:v>
      </x:c>
      <x:c r="CJ21" s="6" t="str">
        <x:v>Loss</x:v>
      </x:c>
      <x:c r="CK21" s="9" t="str">
        <x:v>0.11962950109137294</x:v>
      </x:c>
      <x:c r="CL21" s="9" t="str">
        <x:v>0.6090229146469895</x:v>
      </x:c>
      <x:c r="CM21" s="7" t="str">
        <x:v>2024-01-18 17:25:00-06:00</x:v>
      </x:c>
      <x:c r="CN21" s="6" t="str">
        <x:v>16908.0</x:v>
      </x:c>
      <x:c r="CO21" s="6" t="str">
        <x:v>TIME</x:v>
      </x:c>
      <x:c r="CP21" s="6" t="str">
        <x:v>F::Long::Same-bar Setup+BOS::Penetration + same-bar reclaim</x:v>
      </x:c>
    </x:row>
    <x:row r="22" ht="18" customHeight="1">
      <x:c r="A22" s="6" t="str">
        <x:v>A0021</x:v>
      </x:c>
      <x:c r="B22" s="6" t="str">
        <x:v>2024-01-19</x:v>
      </x:c>
      <x:c r="C22" s="6" t="str">
        <x:v>2024</x:v>
      </x:c>
      <x:c r="D22" s="6" t="str">
        <x:v>2024-Q1</x:v>
      </x:c>
      <x:c r="E22" s="6" t="str">
        <x:v>First 50%</x:v>
      </x:c>
      <x:c r="F22" s="6" t="str">
        <x:v>Long</x:v>
      </x:c>
      <x:c r="G22" s="6" t="str">
        <x:v>Long</x:v>
      </x:c>
      <x:c r="H22" s="6" t="str">
        <x:v>Morning</x:v>
      </x:c>
      <x:c r="I22" s="6" t="str">
        <x:v>Opening</x:v>
      </x:c>
      <x:c r="J22" s="6" t="str">
        <x:v>Bull</x:v>
      </x:c>
      <x:c r="K22" s="6" t="str">
        <x:v>Bull</x:v>
      </x:c>
      <x:c r="L22" s="6" t="str">
        <x:v>HIGH</x:v>
      </x:c>
      <x:c r="M22" s="7" t="str">
        <x:v>2024-01-19 10:05:00-06:00</x:v>
      </x:c>
      <x:c r="N22" s="6" t="str">
        <x:v>85.0</x:v>
      </x:c>
      <x:c r="O22" s="6" t="str">
        <x:v>85-89</x:v>
      </x:c>
      <x:c r="P22" s="6" t="str">
        <x:v>Matching BOS only</x:v>
      </x:c>
      <x:c r="Q22" s="6" t="str">
        <x:v>Bull CHoCH</x:v>
      </x:c>
      <x:c r="R22" s="6" t="str">
        <x:v>True</x:v>
      </x:c>
      <x:c r="S22" s="6" t="str">
        <x:v>False</x:v>
      </x:c>
      <x:c r="T22" s="6" t="str">
        <x:v>Recent SSL</x:v>
      </x:c>
      <x:c r="U22" s="6" t="str">
        <x:v>SSL</x:v>
      </x:c>
      <x:c r="V22" s="6" t="str">
        <x:v>Swing low / sell-side</x:v>
      </x:c>
      <x:c r="W22" s="6" t="str">
        <x:v>[16955.0]</x:v>
      </x:c>
      <x:c r="X22" s="8" t="str">
        <x:v>1</x:v>
      </x:c>
      <x:c r="Y22" s="8" t="str">
        <x:v>19.0</x:v>
      </x:c>
      <x:c r="Z22" s="6" t="str">
        <x:v>None</x:v>
      </x:c>
      <x:c r="AA22" s="6" t="str">
        <x:v>17019.5</x:v>
      </x:c>
      <x:c r="AB22" s="9" t="str">
        <x:v>0.5788164189324115</x:v>
      </x:c>
      <x:c r="AC22" s="9" t="str">
        <x:v>0.6233407588502894</x:v>
      </x:c>
      <x:c r="AD22" s="9" t="str">
        <x:v>0.957273308234373</x:v>
      </x:c>
      <x:c r="AE22" s="6" t="str">
        <x:v>With trade</x:v>
      </x:c>
      <x:c r="AF22" s="7" t="str">
        <x:v>2024-01-19 10:05:00-06:00</x:v>
      </x:c>
      <x:c r="AG22" s="6" t="str">
        <x:v>Long</x:v>
      </x:c>
      <x:c r="AH22" s="6" t="str">
        <x:v>17019.5</x:v>
      </x:c>
      <x:c r="AI22" s="8" t="str">
        <x:v>0</x:v>
      </x:c>
      <x:c r="AJ22" s="6" t="str">
        <x:v>True</x:v>
      </x:c>
      <x:c r="AK22" s="6" t="str">
        <x:v>Same-bar Setup+BOS</x:v>
      </x:c>
      <x:c r="AL22" s="9" t="str">
        <x:v>0.6122096738708199</x:v>
      </x:c>
      <x:c r="AM22" s="9" t="str">
        <x:v>0.5788164189324115</x:v>
      </x:c>
      <x:c r="AN22" s="9" t="str">
        <x:v>0.6233407588502894</x:v>
      </x:c>
      <x:c r="AO22" s="9" t="str">
        <x:v>0.957273308234373</x:v>
      </x:c>
      <x:c r="AP22" s="10" t="str">
        <x:v>0.6511627906976745</x:v>
      </x:c>
      <x:c r="AQ22" s="6" t="str">
        <x:v>0.29069767441860467</x:v>
      </x:c>
      <x:c r="AR22" s="6" t="str">
        <x:v>0.05813953488372093</x:v>
      </x:c>
      <x:c r="AS22" s="6" t="str">
        <x:v>With trade</x:v>
      </x:c>
      <x:c r="AT22" s="6" t="str">
        <x:v>0.8679149023009031</x:v>
      </x:c>
      <x:c r="AU22" s="7" t="str">
        <x:v>2024-01-19 10:35:00-06:00</x:v>
      </x:c>
      <x:c r="AV22" s="8" t="str">
        <x:v>6</x:v>
      </x:c>
      <x:c r="AW22" s="6" t="str">
        <x:v>Delayed retest (2+ bars)</x:v>
      </x:c>
      <x:c r="AX22" s="6" t="str">
        <x:v>17014.0</x:v>
      </x:c>
      <x:c r="AY22" s="6" t="str">
        <x:v>5.5</x:v>
      </x:c>
      <x:c r="AZ22" s="9" t="str">
        <x:v>0.2649882963917962</x:v>
      </x:c>
      <x:c r="BA22" s="9" t="str">
        <x:v>0.07226953537958078</x:v>
      </x:c>
      <x:c r="BB22" s="9" t="str">
        <x:v>0.9997285727508675</x:v>
      </x:c>
      <x:c r="BC22" s="9" t="str">
        <x:v>0.6624707409794905</x:v>
      </x:c>
      <x:c r="BD22" s="6" t="str">
        <x:v>0.0</x:v>
      </x:c>
      <x:c r="BE22" s="6" t="str">
        <x:v>0.3373493975903614</x:v>
      </x:c>
      <x:c r="BF22" s="9" t="str">
        <x:v>0.33725783177137697</x:v>
      </x:c>
      <x:c r="BG22" s="9" t="str">
        <x:v>0.0</x:v>
      </x:c>
      <x:c r="BH22" s="6" t="str">
        <x:v>Against trade</x:v>
      </x:c>
      <x:c r="BI22" s="6" t="str">
        <x:v>Penetration + same-bar reclaim</x:v>
      </x:c>
      <x:c r="BJ22" s="6" t="str">
        <x:v>False</x:v>
      </x:c>
      <x:c r="BK22" s="10" t="str">
        <x:v>True</x:v>
      </x:c>
      <x:c r="BL22" s="6" t="str">
        <x:v>True</x:v>
      </x:c>
      <x:c r="BM22" s="7" t="str">
        <x:v>2024-01-19 10:40:00-06:00</x:v>
      </x:c>
      <x:c r="BN22" s="8" t="str">
        <x:v>1</x:v>
      </x:c>
      <x:c r="BO22" s="6" t="str">
        <x:v>Immediate confirmation (1 bar)</x:v>
      </x:c>
      <x:c r="BP22" s="9" t="str">
        <x:v>0.5336600212780767</x:v>
      </x:c>
      <x:c r="BQ22" s="9" t="str">
        <x:v>0.909647763542176</x:v>
      </x:c>
      <x:c r="BR22" s="10" t="str">
        <x:v>0.5866666666666667</x:v>
      </x:c>
      <x:c r="BS22" s="9" t="str">
        <x:v>0.6185604792086797</x:v>
      </x:c>
      <x:c r="BT22" s="9" t="str">
        <x:v>0.5457886581253056</x:v>
      </x:c>
      <x:c r="BU22" s="9" t="str">
        <x:v>0.31534455802795436</x:v>
      </x:c>
      <x:c r="BV22" s="6" t="str">
        <x:v>With trade</x:v>
      </x:c>
      <x:c r="BW22" s="7" t="str">
        <x:v>2024-01-19 10:40:00-06:00</x:v>
      </x:c>
      <x:c r="BX22" s="6" t="str">
        <x:v>17032.25</x:v>
      </x:c>
      <x:c r="BY22" s="9" t="str">
        <x:v>20.612374098505274</x:v>
      </x:c>
      <x:c r="BZ22" s="9" t="str">
        <x:v>0.81</x:v>
      </x:c>
      <x:c r="CA22" s="6" t="str">
        <x:v>17001.33143885224</x:v>
      </x:c>
      <x:c r="CB22" s="6" t="str">
        <x:v>30.918561147758737</x:v>
      </x:c>
      <x:c r="CC22" s="9" t="str">
        <x:v>1.50000000000004</x:v>
      </x:c>
      <x:c r="CD22" s="6" t="str">
        <x:v>17094.087122295517</x:v>
      </x:c>
      <x:c r="CE22" s="6" t="str">
        <x:v>61.837122295517474</x:v>
      </x:c>
      <x:c r="CF22" s="6" t="str">
        <x:v>Fixed 2.00R target</x:v>
      </x:c>
      <x:c r="CG22" s="9" t="str">
        <x:v>0.023448697904642133</x:v>
      </x:c>
      <x:c r="CH22" s="9" t="str">
        <x:v>2.0</x:v>
      </x:c>
      <x:c r="CI22" s="9" t="str">
        <x:v>1.9765513020953578</x:v>
      </x:c>
      <x:c r="CJ22" s="6" t="str">
        <x:v>Win</x:v>
      </x:c>
      <x:c r="CK22" s="9" t="str">
        <x:v>2.0861255377233348</x:v>
      </x:c>
      <x:c r="CL22" s="9" t="str">
        <x:v>0.46088820019469023</x:v>
      </x:c>
      <x:c r="CM22" s="7" t="str">
        <x:v>2024-01-19 11:30:00-06:00</x:v>
      </x:c>
      <x:c r="CN22" s="6" t="str">
        <x:v>17094.087122295517</x:v>
      </x:c>
      <x:c r="CO22" s="6" t="str">
        <x:v>TARGET</x:v>
      </x:c>
      <x:c r="CP22" s="6" t="str">
        <x:v>F::Long::Same-bar Setup+BOS::Penetration + same-bar reclaim</x:v>
      </x:c>
    </x:row>
    <x:row r="23" ht="18" customHeight="1">
      <x:c r="A23" s="6" t="str">
        <x:v>A0022</x:v>
      </x:c>
      <x:c r="B23" s="6" t="str">
        <x:v>2024-01-22</x:v>
      </x:c>
      <x:c r="C23" s="6" t="str">
        <x:v>2024</x:v>
      </x:c>
      <x:c r="D23" s="6" t="str">
        <x:v>2024-Q1</x:v>
      </x:c>
      <x:c r="E23" s="6" t="str">
        <x:v>First 50%</x:v>
      </x:c>
      <x:c r="F23" s="6" t="str">
        <x:v>Short</x:v>
      </x:c>
      <x:c r="G23" s="6" t="str">
        <x:v>Short</x:v>
      </x:c>
      <x:c r="H23" s="6" t="str">
        <x:v>Opening</x:v>
      </x:c>
      <x:c r="I23" s="6" t="str">
        <x:v>Premarket</x:v>
      </x:c>
      <x:c r="J23" s="6" t="str">
        <x:v>Bull</x:v>
      </x:c>
      <x:c r="K23" s="6" t="str">
        <x:v>Bull</x:v>
      </x:c>
      <x:c r="L23" s="6" t="str">
        <x:v>HIGH</x:v>
      </x:c>
      <x:c r="M23" s="7" t="str">
        <x:v>2024-01-22 09:25:00-06:00</x:v>
      </x:c>
      <x:c r="N23" s="6" t="str">
        <x:v>75.0</x:v>
      </x:c>
      <x:c r="O23" s="6" t="str">
        <x:v>75-79</x:v>
      </x:c>
      <x:c r="P23" s="6" t="str">
        <x:v>Matching BOS only</x:v>
      </x:c>
      <x:c r="Q23" s="6" t="str">
        <x:v>Bear BOS</x:v>
      </x:c>
      <x:c r="R23" s="6" t="str">
        <x:v>True</x:v>
      </x:c>
      <x:c r="S23" s="6" t="str">
        <x:v>False</x:v>
      </x:c>
      <x:c r="T23" s="6" t="str">
        <x:v>Recent BSL</x:v>
      </x:c>
      <x:c r="U23" s="6" t="str">
        <x:v>BSL</x:v>
      </x:c>
      <x:c r="V23" s="6" t="str">
        <x:v>Swing high / buy-side</x:v>
      </x:c>
      <x:c r="W23" s="6" t="str">
        <x:v>[17369.25]</x:v>
      </x:c>
      <x:c r="X23" s="8" t="str">
        <x:v>1</x:v>
      </x:c>
      <x:c r="Y23" s="8" t="str">
        <x:v>10.0</x:v>
      </x:c>
      <x:c r="Z23" s="6" t="str">
        <x:v>Sweep above CRT reference</x:v>
      </x:c>
      <x:c r="AA23" s="6" t="str">
        <x:v>17278.75</x:v>
      </x:c>
      <x:c r="AB23" s="9" t="str">
        <x:v>0.15388538984916889</x:v>
      </x:c>
      <x:c r="AC23" s="9" t="str">
        <x:v>0.9329301759605864</x:v>
      </x:c>
      <x:c r="AD23" s="9" t="str">
        <x:v>1.6446501040129924</x:v>
      </x:c>
      <x:c r="AE23" s="6" t="str">
        <x:v>With trade</x:v>
      </x:c>
      <x:c r="AF23" s="7" t="str">
        <x:v>2024-01-22 09:25:00-06:00</x:v>
      </x:c>
      <x:c r="AG23" s="6" t="str">
        <x:v>Short</x:v>
      </x:c>
      <x:c r="AH23" s="6" t="str">
        <x:v>17278.75</x:v>
      </x:c>
      <x:c r="AI23" s="8" t="str">
        <x:v>0</x:v>
      </x:c>
      <x:c r="AJ23" s="6" t="str">
        <x:v>True</x:v>
      </x:c>
      <x:c r="AK23" s="6" t="str">
        <x:v>Same-bar Setup+BOS</x:v>
      </x:c>
      <x:c r="AL23" s="9" t="str">
        <x:v>0.9233123390950133</x:v>
      </x:c>
      <x:c r="AM23" s="9" t="str">
        <x:v>0.15388538984916889</x:v>
      </x:c>
      <x:c r="AN23" s="9" t="str">
        <x:v>0.9329301759605864</x:v>
      </x:c>
      <x:c r="AO23" s="9" t="str">
        <x:v>1.6446501040129924</x:v>
      </x:c>
      <x:c r="AP23" s="10" t="str">
        <x:v>0.5672514619883041</x:v>
      </x:c>
      <x:c r="AQ23" s="6" t="str">
        <x:v>0.3216374269005848</x:v>
      </x:c>
      <x:c r="AR23" s="6" t="str">
        <x:v>0.1111111111111111</x:v>
      </x:c>
      <x:c r="AS23" s="6" t="str">
        <x:v>With trade</x:v>
      </x:c>
      <x:c r="AT23" s="6" t="str">
        <x:v>1.5048402919599944</x:v>
      </x:c>
      <x:c r="AU23" s="7" t="str">
        <x:v>2024-01-22 09:35:00-06:00</x:v>
      </x:c>
      <x:c r="AV23" s="8" t="str">
        <x:v>2</x:v>
      </x:c>
      <x:c r="AW23" s="6" t="str">
        <x:v>Delayed retest (2+ bars)</x:v>
      </x:c>
      <x:c r="AX23" s="6" t="str">
        <x:v>17277.25</x:v>
      </x:c>
      <x:c r="AY23" s="6" t="str">
        <x:v>0.0</x:v>
      </x:c>
      <x:c r="AZ23" s="9" t="str">
        <x:v>0.0</x:v>
      </x:c>
      <x:c r="BA23" s="9" t="str">
        <x:v>0.0948393888576285</x:v>
      </x:c>
      <x:c r="BB23" s="9" t="str">
        <x:v>0.9958135830050994</x:v>
      </x:c>
      <x:c r="BC23" s="9" t="str">
        <x:v>0.635423905346111</x:v>
      </x:c>
      <x:c r="BD23" s="6" t="str">
        <x:v>0.0380952380952381</x:v>
      </x:c>
      <x:c r="BE23" s="6" t="str">
        <x:v>0.3238095238095238</x:v>
      </x:c>
      <x:c r="BF23" s="9" t="str">
        <x:v>0.037935755543051404</x:v>
      </x:c>
      <x:c r="BG23" s="9" t="str">
        <x:v>0.32245392211593693</x:v>
      </x:c>
      <x:c r="BH23" s="6" t="str">
        <x:v>Against trade</x:v>
      </x:c>
      <x:c r="BI23" s="6" t="str">
        <x:v>Tolerance-only shallow touch</x:v>
      </x:c>
      <x:c r="BJ23" s="6" t="str">
        <x:v>True</x:v>
      </x:c>
      <x:c r="BK23" s="10" t="str">
        <x:v>False</x:v>
      </x:c>
      <x:c r="BL23" s="6" t="str">
        <x:v>True</x:v>
      </x:c>
      <x:c r="BM23" s="7" t="str">
        <x:v>2024-01-22 09:40:00-06:00</x:v>
      </x:c>
      <x:c r="BN23" s="8" t="str">
        <x:v>1</x:v>
      </x:c>
      <x:c r="BO23" s="6" t="str">
        <x:v>Immediate confirmation (1 bar)</x:v>
      </x:c>
      <x:c r="BP23" s="9" t="str">
        <x:v>0.5907015757778028</x:v>
      </x:c>
      <x:c r="BQ23" s="9" t="str">
        <x:v>0.7262724292350035</x:v>
      </x:c>
      <x:c r="BR23" s="10" t="str">
        <x:v>0.8133333333333334</x:v>
      </x:c>
      <x:c r="BS23" s="9" t="str">
        <x:v>0.6778542672860033</x:v>
      </x:c>
      <x:c r="BT23" s="9" t="str">
        <x:v>0.5810179433880028</x:v>
      </x:c>
      <x:c r="BU23" s="9" t="str">
        <x:v>0.009683632389800047</x:v>
      </x:c>
      <x:c r="BV23" s="6" t="str">
        <x:v>With trade</x:v>
      </x:c>
      <x:c r="BW23" s="7" t="str">
        <x:v>2024-01-22 09:40:00-06:00</x:v>
      </x:c>
      <x:c r="BX23" s="6" t="str">
        <x:v>17261.25</x:v>
      </x:c>
      <x:c r="BY23" s="9" t="str">
        <x:v>25.8167586228624</x:v>
      </x:c>
      <x:c r="BZ23" s="9" t="str">
        <x:v>0.97</x:v>
      </x:c>
      <x:c r="CA23" s="6" t="str">
        <x:v>17299.975137934292</x:v>
      </x:c>
      <x:c r="CB23" s="6" t="str">
        <x:v>38.725137934292434</x:v>
      </x:c>
      <x:c r="CC23" s="9" t="str">
        <x:v>1.4999999999999547</x:v>
      </x:c>
      <x:c r="CD23" s="6" t="str">
        <x:v>17183.79972413141</x:v>
      </x:c>
      <x:c r="CE23" s="6" t="str">
        <x:v>77.4502758685885</x:v>
      </x:c>
      <x:c r="CF23" s="6" t="str">
        <x:v>Fixed 2.00R target</x:v>
      </x:c>
      <x:c r="CG23" s="9" t="str">
        <x:v>0.018721689286947323</x:v>
      </x:c>
      <x:c r="CH23" s="9" t="str">
        <x:v>-0.2775974618409347</x:v>
      </x:c>
      <x:c r="CI23" s="9" t="str">
        <x:v>-0.29631915112788204</x:v>
      </x:c>
      <x:c r="CJ23" s="6" t="str">
        <x:v>Loss</x:v>
      </x:c>
      <x:c r="CK23" s="9" t="str">
        <x:v>0.9231729544942989</x:v>
      </x:c>
      <x:c r="CL23" s="9" t="str">
        <x:v>0.7682348362574936</x:v>
      </x:c>
      <x:c r="CM23" s="7" t="str">
        <x:v>2024-01-22 10:40:00-06:00</x:v>
      </x:c>
      <x:c r="CN23" s="6" t="str">
        <x:v>17272.0</x:v>
      </x:c>
      <x:c r="CO23" s="6" t="str">
        <x:v>TIME</x:v>
      </x:c>
      <x:c r="CP23" s="6" t="str">
        <x:v>F::Short::Same-bar Setup+BOS::Tolerance-only shallow touch</x:v>
      </x:c>
    </x:row>
    <x:row r="24" ht="18" customHeight="1">
      <x:c r="A24" s="6" t="str">
        <x:v>A0023</x:v>
      </x:c>
      <x:c r="B24" s="6" t="str">
        <x:v>2024-01-24</x:v>
      </x:c>
      <x:c r="C24" s="6" t="str">
        <x:v>2024</x:v>
      </x:c>
      <x:c r="D24" s="6" t="str">
        <x:v>2024-Q1</x:v>
      </x:c>
      <x:c r="E24" s="6" t="str">
        <x:v>First 50%</x:v>
      </x:c>
      <x:c r="F24" s="6" t="str">
        <x:v>Long</x:v>
      </x:c>
      <x:c r="G24" s="6" t="str">
        <x:v>Long</x:v>
      </x:c>
      <x:c r="H24" s="6" t="str">
        <x:v>Premarket</x:v>
      </x:c>
      <x:c r="I24" s="6" t="str">
        <x:v>Premarket</x:v>
      </x:c>
      <x:c r="J24" s="6" t="str">
        <x:v>Bull</x:v>
      </x:c>
      <x:c r="K24" s="6" t="str">
        <x:v>Bull</x:v>
      </x:c>
      <x:c r="L24" s="6" t="str">
        <x:v>HIGH</x:v>
      </x:c>
      <x:c r="M24" s="7" t="str">
        <x:v>2024-01-24 06:35:00-06:00</x:v>
      </x:c>
      <x:c r="N24" s="6" t="str">
        <x:v>90.0</x:v>
      </x:c>
      <x:c r="O24" s="6" t="str">
        <x:v>90-94</x:v>
      </x:c>
      <x:c r="P24" s="6" t="str">
        <x:v>Matching BOS only</x:v>
      </x:c>
      <x:c r="Q24" s="6" t="str">
        <x:v>Bull BOS</x:v>
      </x:c>
      <x:c r="R24" s="6" t="str">
        <x:v>True</x:v>
      </x:c>
      <x:c r="S24" s="6" t="str">
        <x:v>False</x:v>
      </x:c>
      <x:c r="T24" s="6" t="str">
        <x:v>Recent SSL</x:v>
      </x:c>
      <x:c r="U24" s="6" t="str">
        <x:v>SSL</x:v>
      </x:c>
      <x:c r="V24" s="6" t="str">
        <x:v>Equal low / sell-side | Swing low / sell-side</x:v>
      </x:c>
      <x:c r="W24" s="6" t="str">
        <x:v>[17429.0,17429.5]</x:v>
      </x:c>
      <x:c r="X24" s="8" t="str">
        <x:v>2</x:v>
      </x:c>
      <x:c r="Y24" s="8" t="str">
        <x:v>7.0</x:v>
      </x:c>
      <x:c r="Z24" s="6" t="str">
        <x:v>None</x:v>
      </x:c>
      <x:c r="AA24" s="6" t="str">
        <x:v>17449.0</x:v>
      </x:c>
      <x:c r="AB24" s="9" t="str">
        <x:v>0.7593725720975876</x:v>
      </x:c>
      <x:c r="AC24" s="9" t="str">
        <x:v>1.4842282090998304</x:v>
      </x:c>
      <x:c r="AD24" s="9" t="str">
        <x:v>2.209083846102073</x:v>
      </x:c>
      <x:c r="AE24" s="6" t="str">
        <x:v>With trade</x:v>
      </x:c>
      <x:c r="AF24" s="7" t="str">
        <x:v>2024-01-24 06:35:00-06:00</x:v>
      </x:c>
      <x:c r="AG24" s="6" t="str">
        <x:v>Long</x:v>
      </x:c>
      <x:c r="AH24" s="6" t="str">
        <x:v>17449.0</x:v>
      </x:c>
      <x:c r="AI24" s="8" t="str">
        <x:v>0</x:v>
      </x:c>
      <x:c r="AJ24" s="6" t="str">
        <x:v>True</x:v>
      </x:c>
      <x:c r="AK24" s="6" t="str">
        <x:v>Same-bar Setup+BOS</x:v>
      </x:c>
      <x:c r="AL24" s="9" t="str">
        <x:v>1.5187451441951751</x:v>
      </x:c>
      <x:c r="AM24" s="9" t="str">
        <x:v>0.7593725720975876</x:v>
      </x:c>
      <x:c r="AN24" s="9" t="str">
        <x:v>1.4842282090998304</x:v>
      </x:c>
      <x:c r="AO24" s="9" t="str">
        <x:v>2.209083846102073</x:v>
      </x:c>
      <x:c r="AP24" s="10" t="str">
        <x:v>0.671875</x:v>
      </x:c>
      <x:c r="AQ24" s="6" t="str">
        <x:v>0.21875</x:v>
      </x:c>
      <x:c r="AR24" s="6" t="str">
        <x:v>0.109375</x:v>
      </x:c>
      <x:c r="AS24" s="6" t="str">
        <x:v>With trade</x:v>
      </x:c>
      <x:c r="AT24" s="6" t="str">
        <x:v>2.6257952573742047</x:v>
      </x:c>
      <x:c r="AU24" s="7" t="str">
        <x:v>2024-01-24 06:40:00-06:00</x:v>
      </x:c>
      <x:c r="AV24" s="8" t="str">
        <x:v>1</x:v>
      </x:c>
      <x:c r="AW24" s="6" t="str">
        <x:v>Immediate retest (1 bar)</x:v>
      </x:c>
      <x:c r="AX24" s="6" t="str">
        <x:v>17448.5</x:v>
      </x:c>
      <x:c r="AY24" s="6" t="str">
        <x:v>0.5</x:v>
      </x:c>
      <x:c r="AZ24" s="9" t="str">
        <x:v>0.06937102702048051</x:v>
      </x:c>
      <x:c r="BA24" s="9" t="str">
        <x:v>0.034685513510240254</x:v>
      </x:c>
      <x:c r="BB24" s="9" t="str">
        <x:v>0.9365088647764869</x:v>
      </x:c>
      <x:c r="BC24" s="9" t="str">
        <x:v>0.7283957837150453</x:v>
      </x:c>
      <x:c r="BD24" s="6" t="str">
        <x:v>0.1111111111111111</x:v>
      </x:c>
      <x:c r="BE24" s="6" t="str">
        <x:v>0.1111111111111111</x:v>
      </x:c>
      <x:c r="BF24" s="9" t="str">
        <x:v>0.10405654053072076</x:v>
      </x:c>
      <x:c r="BG24" s="9" t="str">
        <x:v>0.10405654053072076</x:v>
      </x:c>
      <x:c r="BH24" s="6" t="str">
        <x:v>Against trade</x:v>
      </x:c>
      <x:c r="BI24" s="6" t="str">
        <x:v>Penetration + same-bar reclaim</x:v>
      </x:c>
      <x:c r="BJ24" s="6" t="str">
        <x:v>False</x:v>
      </x:c>
      <x:c r="BK24" s="10" t="str">
        <x:v>True</x:v>
      </x:c>
      <x:c r="BL24" s="6" t="str">
        <x:v>True</x:v>
      </x:c>
      <x:c r="BM24" s="7" t="str">
        <x:v>2024-01-24 06:45:00-06:00</x:v>
      </x:c>
      <x:c r="BN24" s="8" t="str">
        <x:v>1</x:v>
      </x:c>
      <x:c r="BO24" s="6" t="str">
        <x:v>Immediate confirmation (1 bar)</x:v>
      </x:c>
      <x:c r="BP24" s="9" t="str">
        <x:v>0.38423514280164284</x:v>
      </x:c>
      <x:c r="BQ24" s="9" t="str">
        <x:v>0.9081921557129741</x:v>
      </x:c>
      <x:c r="BR24" s="10" t="str">
        <x:v>0.4230769230769231</x:v>
      </x:c>
      <x:c r="BS24" s="9" t="str">
        <x:v>0.45409607785648703</x:v>
      </x:c>
      <x:c r="BT24" s="9" t="str">
        <x:v>0.41916561032906496</x:v>
      </x:c>
      <x:c r="BU24" s="9" t="str">
        <x:v>0.34930467527422077</x:v>
      </x:c>
      <x:c r="BV24" s="6" t="str">
        <x:v>With trade</x:v>
      </x:c>
      <x:c r="BW24" s="7" t="str">
        <x:v>2024-01-24 06:45:00-06:00</x:v>
      </x:c>
      <x:c r="BX24" s="6" t="str">
        <x:v>17452.25</x:v>
      </x:c>
      <x:c r="BY24" s="9" t="str">
        <x:v>7.157075690548319</x:v>
      </x:c>
      <x:c r="BZ24" s="9" t="str">
        <x:v>0.7</x:v>
      </x:c>
      <x:c r="CA24" s="6" t="str">
        <x:v>17441.514386464176</x:v>
      </x:c>
      <x:c r="CB24" s="6" t="str">
        <x:v>10.735613535824086</x:v>
      </x:c>
      <x:c r="CC24" s="9" t="str">
        <x:v>1.5000000000002247</x:v>
      </x:c>
      <x:c r="CD24" s="6" t="str">
        <x:v>17473.721227071645</x:v>
      </x:c>
      <x:c r="CE24" s="6" t="str">
        <x:v>21.471227071644535</x:v>
      </x:c>
      <x:c r="CF24" s="6" t="str">
        <x:v>Fixed 2.00R target</x:v>
      </x:c>
      <x:c r="CG24" s="9" t="str">
        <x:v>0.06753223721967257</x:v>
      </x:c>
      <x:c r="CH24" s="9" t="str">
        <x:v>2.0</x:v>
      </x:c>
      <x:c r="CI24" s="9" t="str">
        <x:v>1.9324677627803275</x:v>
      </x:c>
      <x:c r="CJ24" s="6" t="str">
        <x:v>Win</x:v>
      </x:c>
      <x:c r="CK24" s="9" t="str">
        <x:v>2.1656889866998443</x:v>
      </x:c>
      <x:c r="CL24" s="9" t="str">
        <x:v>0.6753223721967258</x:v>
      </x:c>
      <x:c r="CM24" s="7" t="str">
        <x:v>2024-01-24 07:10:00-06:00</x:v>
      </x:c>
      <x:c r="CN24" s="6" t="str">
        <x:v>17473.721227071645</x:v>
      </x:c>
      <x:c r="CO24" s="6" t="str">
        <x:v>TARGET</x:v>
      </x:c>
      <x:c r="CP24" s="6" t="str">
        <x:v>F::Long::Same-bar Setup+BOS::Penetration + same-bar reclaim</x:v>
      </x:c>
    </x:row>
    <x:row r="25" ht="18" customHeight="1">
      <x:c r="A25" s="6" t="str">
        <x:v>A0024</x:v>
      </x:c>
      <x:c r="B25" s="6" t="str">
        <x:v>2024-01-26</x:v>
      </x:c>
      <x:c r="C25" s="6" t="str">
        <x:v>2024</x:v>
      </x:c>
      <x:c r="D25" s="6" t="str">
        <x:v>2024-Q1</x:v>
      </x:c>
      <x:c r="E25" s="6" t="str">
        <x:v>First 50%</x:v>
      </x:c>
      <x:c r="F25" s="6" t="str">
        <x:v>Short</x:v>
      </x:c>
      <x:c r="G25" s="6" t="str">
        <x:v>Short</x:v>
      </x:c>
      <x:c r="H25" s="6" t="str">
        <x:v>Afternoon</x:v>
      </x:c>
      <x:c r="I25" s="6" t="str">
        <x:v>Afternoon</x:v>
      </x:c>
      <x:c r="J25" s="6" t="str">
        <x:v>Bear</x:v>
      </x:c>
      <x:c r="K25" s="6" t="str">
        <x:v>Bear</x:v>
      </x:c>
      <x:c r="L25" s="6" t="str">
        <x:v>LOW</x:v>
      </x:c>
      <x:c r="M25" s="7" t="str">
        <x:v>2024-01-26 15:05:00-06:00</x:v>
      </x:c>
      <x:c r="N25" s="6" t="str">
        <x:v>85.0</x:v>
      </x:c>
      <x:c r="O25" s="6" t="str">
        <x:v>85-89</x:v>
      </x:c>
      <x:c r="P25" s="6" t="str">
        <x:v>Matching BOS only</x:v>
      </x:c>
      <x:c r="Q25" s="6" t="str">
        <x:v>Bear CHoCH</x:v>
      </x:c>
      <x:c r="R25" s="6" t="str">
        <x:v>True</x:v>
      </x:c>
      <x:c r="S25" s="6" t="str">
        <x:v>False</x:v>
      </x:c>
      <x:c r="T25" s="6" t="str">
        <x:v>Recent BSL</x:v>
      </x:c>
      <x:c r="U25" s="6" t="str">
        <x:v>BSL</x:v>
      </x:c>
      <x:c r="V25" s="6" t="str">
        <x:v>Swing high / buy-side</x:v>
      </x:c>
      <x:c r="W25" s="6" t="str">
        <x:v>[17332.5]</x:v>
      </x:c>
      <x:c r="X25" s="8" t="str">
        <x:v>1</x:v>
      </x:c>
      <x:c r="Y25" s="8" t="str">
        <x:v>18.0</x:v>
      </x:c>
      <x:c r="Z25" s="6" t="str">
        <x:v>None</x:v>
      </x:c>
      <x:c r="AA25" s="6" t="str">
        <x:v>17301.0</x:v>
      </x:c>
      <x:c r="AB25" s="9" t="str">
        <x:v>0.16918168350708215</x:v>
      </x:c>
      <x:c r="AC25" s="9" t="str">
        <x:v>0.5075450505212465</x:v>
      </x:c>
      <x:c r="AD25" s="9" t="str">
        <x:v>0.692106887074427</x:v>
      </x:c>
      <x:c r="AE25" s="6" t="str">
        <x:v>With trade</x:v>
      </x:c>
      <x:c r="AF25" s="7" t="str">
        <x:v>2024-01-26 15:05:00-06:00</x:v>
      </x:c>
      <x:c r="AG25" s="6" t="str">
        <x:v>Short</x:v>
      </x:c>
      <x:c r="AH25" s="6" t="str">
        <x:v>17301.0</x:v>
      </x:c>
      <x:c r="AI25" s="8" t="str">
        <x:v>0</x:v>
      </x:c>
      <x:c r="AJ25" s="6" t="str">
        <x:v>True</x:v>
      </x:c>
      <x:c r="AK25" s="6" t="str">
        <x:v>Same-bar Setup+BOS</x:v>
      </x:c>
      <x:c r="AL25" s="9" t="str">
        <x:v>0.5229252035673448</x:v>
      </x:c>
      <x:c r="AM25" s="9" t="str">
        <x:v>0.16918168350708215</x:v>
      </x:c>
      <x:c r="AN25" s="9" t="str">
        <x:v>0.5075450505212465</x:v>
      </x:c>
      <x:c r="AO25" s="9" t="str">
        <x:v>0.692106887074427</x:v>
      </x:c>
      <x:c r="AP25" s="10" t="str">
        <x:v>0.7333333333333333</x:v>
      </x:c>
      <x:c r="AQ25" s="6" t="str">
        <x:v>0.044444444444444446</x:v>
      </x:c>
      <x:c r="AR25" s="6" t="str">
        <x:v>0.2222222222222222</x:v>
      </x:c>
      <x:c r="AS25" s="6" t="str">
        <x:v>With trade</x:v>
      </x:c>
      <x:c r="AT25" s="6" t="str">
        <x:v>0.676534591601491</x:v>
      </x:c>
      <x:c r="AU25" s="7" t="str">
        <x:v>2024-01-26 15:10:00-06:00</x:v>
      </x:c>
      <x:c r="AV25" s="8" t="str">
        <x:v>1</x:v>
      </x:c>
      <x:c r="AW25" s="6" t="str">
        <x:v>Immediate retest (1 bar)</x:v>
      </x:c>
      <x:c r="AX25" s="6" t="str">
        <x:v>17300.0</x:v>
      </x:c>
      <x:c r="AY25" s="6" t="str">
        <x:v>0.0</x:v>
      </x:c>
      <x:c r="AZ25" s="9" t="str">
        <x:v>0.0</x:v>
      </x:c>
      <x:c r="BA25" s="9" t="str">
        <x:v>0.3386140364879883</x:v>
      </x:c>
      <x:c r="BB25" s="9" t="str">
        <x:v>0.3708629923439872</x:v>
      </x:c>
      <x:c r="BC25" s="9" t="str">
        <x:v>0.17736925720799387</x:v>
      </x:c>
      <x:c r="BD25" s="6" t="str">
        <x:v>0.2608695652173913</x:v>
      </x:c>
      <x:c r="BE25" s="6" t="str">
        <x:v>0.2608695652173913</x:v>
      </x:c>
      <x:c r="BF25" s="9" t="str">
        <x:v>0.09674686756799666</x:v>
      </x:c>
      <x:c r="BG25" s="9" t="str">
        <x:v>0.09674686756799666</x:v>
      </x:c>
      <x:c r="BH25" s="6" t="str">
        <x:v>With trade</x:v>
      </x:c>
      <x:c r="BI25" s="6" t="str">
        <x:v>Tolerance-only shallow touch</x:v>
      </x:c>
      <x:c r="BJ25" s="6" t="str">
        <x:v>True</x:v>
      </x:c>
      <x:c r="BK25" s="10" t="str">
        <x:v>False</x:v>
      </x:c>
      <x:c r="BL25" s="6" t="str">
        <x:v>True</x:v>
      </x:c>
      <x:c r="BM25" s="7" t="str">
        <x:v>2024-01-26 15:20:00-06:00</x:v>
      </x:c>
      <x:c r="BN25" s="8" t="str">
        <x:v>2</x:v>
      </x:c>
      <x:c r="BO25" s="6" t="str">
        <x:v>Delayed confirmation (2+ bars)</x:v>
      </x:c>
      <x:c r="BP25" s="9" t="str">
        <x:v>0.2636544417540881</x:v>
      </x:c>
      <x:c r="BQ25" s="9" t="str">
        <x:v>0.3515392556721174</x:v>
      </x:c>
      <x:c r="BR25" s="10" t="str">
        <x:v>0.75</x:v>
      </x:c>
      <x:c r="BS25" s="9" t="str">
        <x:v>0.1757696278360587</x:v>
      </x:c>
      <x:c r="BT25" s="9" t="str">
        <x:v>-0.19334659061966458</x:v>
      </x:c>
      <x:c r="BU25" s="9" t="str">
        <x:v>0.052730888350817615</x:v>
      </x:c>
      <x:c r="BV25" s="6" t="str">
        <x:v>With trade</x:v>
      </x:c>
      <x:c r="BW25" s="7" t="str">
        <x:v>2024-01-26 15:20:00-06:00</x:v>
      </x:c>
      <x:c r="BX25" s="6" t="str">
        <x:v>17298.5</x:v>
      </x:c>
      <x:c r="BY25" s="9" t="str">
        <x:v>14.223162617899854</x:v>
      </x:c>
      <x:c r="BZ25" s="9" t="str">
        <x:v>0.06</x:v>
      </x:c>
      <x:c r="CA25" s="6" t="str">
        <x:v>17319.83474392685</x:v>
      </x:c>
      <x:c r="CB25" s="6" t="str">
        <x:v>21.334743926850933</x:v>
      </x:c>
      <x:c r="CC25" s="9" t="str">
        <x:v>1.500000000000081</x:v>
      </x:c>
      <x:c r="CD25" s="6" t="str">
        <x:v>17255.8305121463</x:v>
      </x:c>
      <x:c r="CE25" s="6" t="str">
        <x:v>42.66948785369823</x:v>
      </x:c>
      <x:c r="CF25" s="6" t="str">
        <x:v>Fixed 2.00R target</x:v>
      </x:c>
      <x:c r="CG25" s="9" t="str">
        <x:v>0.03398212804830285</x:v>
      </x:c>
      <x:c r="CH25" s="9" t="str">
        <x:v>2.0</x:v>
      </x:c>
      <x:c r="CI25" s="9" t="str">
        <x:v>1.9660178719516972</x:v>
      </x:c>
      <x:c r="CJ25" s="6" t="str">
        <x:v>Win</x:v>
      </x:c>
      <x:c r="CK25" s="9" t="str">
        <x:v>2.542800616028179</x:v>
      </x:c>
      <x:c r="CL25" s="9" t="str">
        <x:v>0.0</x:v>
      </x:c>
      <x:c r="CM25" s="7" t="str">
        <x:v>2024-01-28 17:00:00-06:00</x:v>
      </x:c>
      <x:c r="CN25" s="6" t="str">
        <x:v>17255.8305121463</x:v>
      </x:c>
      <x:c r="CO25" s="6" t="str">
        <x:v>TARGET</x:v>
      </x:c>
      <x:c r="CP25" s="6" t="str">
        <x:v>F::Short::Same-bar Setup+BOS::Tolerance-only shallow touch</x:v>
      </x:c>
    </x:row>
    <x:row r="26" ht="18" customHeight="1">
      <x:c r="A26" s="6" t="str">
        <x:v>A0025</x:v>
      </x:c>
      <x:c r="B26" s="6" t="str">
        <x:v>2024-01-29</x:v>
      </x:c>
      <x:c r="C26" s="6" t="str">
        <x:v>2024</x:v>
      </x:c>
      <x:c r="D26" s="6" t="str">
        <x:v>2024-Q1</x:v>
      </x:c>
      <x:c r="E26" s="6" t="str">
        <x:v>First 50%</x:v>
      </x:c>
      <x:c r="F26" s="6" t="str">
        <x:v>Long</x:v>
      </x:c>
      <x:c r="G26" s="6" t="str">
        <x:v>Long</x:v>
      </x:c>
      <x:c r="H26" s="6" t="str">
        <x:v>Premarket</x:v>
      </x:c>
      <x:c r="I26" s="6" t="str">
        <x:v>Premarket</x:v>
      </x:c>
      <x:c r="J26" s="6" t="str">
        <x:v>Bear</x:v>
      </x:c>
      <x:c r="K26" s="6" t="str">
        <x:v>Bear</x:v>
      </x:c>
      <x:c r="L26" s="6" t="str">
        <x:v>HIGH</x:v>
      </x:c>
      <x:c r="M26" s="7" t="str">
        <x:v>2024-01-29 08:35:00-06:00</x:v>
      </x:c>
      <x:c r="N26" s="6" t="str">
        <x:v>90.0</x:v>
      </x:c>
      <x:c r="O26" s="6" t="str">
        <x:v>90-94</x:v>
      </x:c>
      <x:c r="P26" s="6" t="str">
        <x:v>Matching BOS only</x:v>
      </x:c>
      <x:c r="Q26" s="6" t="str">
        <x:v>Bull CHoCH</x:v>
      </x:c>
      <x:c r="R26" s="6" t="str">
        <x:v>True</x:v>
      </x:c>
      <x:c r="S26" s="6" t="str">
        <x:v>False</x:v>
      </x:c>
      <x:c r="T26" s="6" t="str">
        <x:v>Recent SSL</x:v>
      </x:c>
      <x:c r="U26" s="6" t="str">
        <x:v>SSL</x:v>
      </x:c>
      <x:c r="V26" s="6" t="str">
        <x:v>Swing low / sell-side</x:v>
      </x:c>
      <x:c r="W26" s="6" t="str">
        <x:v>[17324.75]</x:v>
      </x:c>
      <x:c r="X26" s="8" t="str">
        <x:v>1</x:v>
      </x:c>
      <x:c r="Y26" s="8" t="str">
        <x:v>4.0</x:v>
      </x:c>
      <x:c r="Z26" s="6" t="str">
        <x:v>None</x:v>
      </x:c>
      <x:c r="AA26" s="6" t="str">
        <x:v>17353.0</x:v>
      </x:c>
      <x:c r="AB26" s="9" t="str">
        <x:v>0.6267852784778312</x:v>
      </x:c>
      <x:c r="AC26" s="9" t="str">
        <x:v>1.729062837180224</x:v>
      </x:c>
      <x:c r="AD26" s="9" t="str">
        <x:v>2.226168402869538</x:v>
      </x:c>
      <x:c r="AE26" s="6" t="str">
        <x:v>With trade</x:v>
      </x:c>
      <x:c r="AF26" s="7" t="str">
        <x:v>2024-01-29 08:35:00-06:00</x:v>
      </x:c>
      <x:c r="AG26" s="6" t="str">
        <x:v>Long</x:v>
      </x:c>
      <x:c r="AH26" s="6" t="str">
        <x:v>17353.0</x:v>
      </x:c>
      <x:c r="AI26" s="8" t="str">
        <x:v>0</x:v>
      </x:c>
      <x:c r="AJ26" s="6" t="str">
        <x:v>True</x:v>
      </x:c>
      <x:c r="AK26" s="6" t="str">
        <x:v>Same-bar Setup+BOS</x:v>
      </x:c>
      <x:c r="AL26" s="9" t="str">
        <x:v>1.7506761226449767</x:v>
      </x:c>
      <x:c r="AM26" s="9" t="str">
        <x:v>0.6267852784778312</x:v>
      </x:c>
      <x:c r="AN26" s="9" t="str">
        <x:v>1.729062837180224</x:v>
      </x:c>
      <x:c r="AO26" s="9" t="str">
        <x:v>2.226168402869538</x:v>
      </x:c>
      <x:c r="AP26" s="10" t="str">
        <x:v>0.7766990291262136</x:v>
      </x:c>
      <x:c r="AQ26" s="6" t="str">
        <x:v>0.17475728155339806</x:v>
      </x:c>
      <x:c r="AR26" s="6" t="str">
        <x:v>0.04854368932038835</x:v>
      </x:c>
      <x:c r="AS26" s="6" t="str">
        <x:v>With trade</x:v>
      </x:c>
      <x:c r="AT26" s="6" t="str">
        <x:v>6.944875313208447</x:v>
      </x:c>
      <x:c r="AU26" s="7" t="str">
        <x:v>2024-01-29 08:40:00-06:00</x:v>
      </x:c>
      <x:c r="AV26" s="8" t="str">
        <x:v>1</x:v>
      </x:c>
      <x:c r="AW26" s="6" t="str">
        <x:v>Immediate retest (1 bar)</x:v>
      </x:c>
      <x:c r="AX26" s="6" t="str">
        <x:v>17352.5</x:v>
      </x:c>
      <x:c r="AY26" s="6" t="str">
        <x:v>0.5</x:v>
      </x:c>
      <x:c r="AZ26" s="9" t="str">
        <x:v>0.04163680838499841</x:v>
      </x:c>
      <x:c r="BA26" s="9" t="str">
        <x:v>0.16654723353999365</x:v>
      </x:c>
      <x:c r="BB26" s="9" t="str">
        <x:v>1.4781066976674435</x:v>
      </x:c>
      <x:c r="BC26" s="9" t="str">
        <x:v>0.45800489223498253</x:v>
      </x:c>
      <x:c r="BD26" s="6" t="str">
        <x:v>0.5492957746478874</x:v>
      </x:c>
      <x:c r="BE26" s="6" t="str">
        <x:v>0.14084507042253522</x:v>
      </x:c>
      <x:c r="BF26" s="9" t="str">
        <x:v>0.20818404192499204</x:v>
      </x:c>
      <x:c r="BG26" s="9" t="str">
        <x:v>0.811917763507469</x:v>
      </x:c>
      <x:c r="BH26" s="6" t="str">
        <x:v>Against trade</x:v>
      </x:c>
      <x:c r="BI26" s="6" t="str">
        <x:v>Penetration + same-bar reclaim</x:v>
      </x:c>
      <x:c r="BJ26" s="6" t="str">
        <x:v>False</x:v>
      </x:c>
      <x:c r="BK26" s="10" t="str">
        <x:v>True</x:v>
      </x:c>
      <x:c r="BL26" s="6" t="str">
        <x:v>True</x:v>
      </x:c>
      <x:c r="BM26" s="7" t="str">
        <x:v>2024-01-29 08:50:00-06:00</x:v>
      </x:c>
      <x:c r="BN26" s="8" t="str">
        <x:v>2</x:v>
      </x:c>
      <x:c r="BO26" s="6" t="str">
        <x:v>Delayed confirmation (2+ bars)</x:v>
      </x:c>
      <x:c r="BP26" s="9" t="str">
        <x:v>0.03746958982755144</x:v>
      </x:c>
      <x:c r="BQ26" s="9" t="str">
        <x:v>1.536253182929609</x:v>
      </x:c>
      <x:c r="BR26" s="10" t="str">
        <x:v>0.024390243902439025</x:v>
      </x:c>
      <x:c r="BS26" s="9" t="str">
        <x:v>0.0936739745688786</x:v>
      </x:c>
      <x:c r="BT26" s="9" t="str">
        <x:v>-0.05620438474132716</x:v>
      </x:c>
      <x:c r="BU26" s="9" t="str">
        <x:v>0.9742093355163375</x:v>
      </x:c>
      <x:c r="BV26" s="6" t="str">
        <x:v>With trade</x:v>
      </x:c>
      <x:c r="BW26" s="7" t="str">
        <x:v>2024-01-29 08:50:00-06:00</x:v>
      </x:c>
      <x:c r="BX26" s="6" t="str">
        <x:v>17354.25</x:v>
      </x:c>
      <x:c r="BY26" s="9" t="str">
        <x:v>13.344154614480175</x:v>
      </x:c>
      <x:c r="BZ26" s="9" t="str">
        <x:v>1.0</x:v>
      </x:c>
      <x:c r="CA26" s="6" t="str">
        <x:v>17334.23376807828</x:v>
      </x:c>
      <x:c r="CB26" s="6" t="str">
        <x:v>20.016231921719736</x:v>
      </x:c>
      <x:c r="CC26" s="9" t="str">
        <x:v>1.4999999999999607</x:v>
      </x:c>
      <x:c r="CD26" s="6" t="str">
        <x:v>17394.28246384344</x:v>
      </x:c>
      <x:c r="CE26" s="6" t="str">
        <x:v>40.03246384343947</x:v>
      </x:c>
      <x:c r="CF26" s="6" t="str">
        <x:v>Fixed 2.00R target</x:v>
      </x:c>
      <x:c r="CG26" s="9" t="str">
        <x:v>0.03622060349996735</x:v>
      </x:c>
      <x:c r="CH26" s="9" t="str">
        <x:v>-1.0</x:v>
      </x:c>
      <x:c r="CI26" s="9" t="str">
        <x:v>-1.0362206034999673</x:v>
      </x:c>
      <x:c r="CJ26" s="6" t="str">
        <x:v>Loss</x:v>
      </x:c>
      <x:c r="CK26" s="9" t="str">
        <x:v>0.09991890620680648</x:v>
      </x:c>
      <x:c r="CL26" s="9" t="str">
        <x:v>2.0733173037912342</x:v>
      </x:c>
      <x:c r="CM26" s="7" t="str">
        <x:v>2024-01-29 09:00:00-06:00</x:v>
      </x:c>
      <x:c r="CN26" s="6" t="str">
        <x:v>17334.23376807828</x:v>
      </x:c>
      <x:c r="CO26" s="6" t="str">
        <x:v>STOP</x:v>
      </x:c>
      <x:c r="CP26" s="6" t="str">
        <x:v>F::Long::Same-bar Setup+BOS::Penetration + same-bar reclaim</x:v>
      </x:c>
    </x:row>
    <x:row r="27" ht="18" customHeight="1">
      <x:c r="A27" s="6" t="str">
        <x:v>A0026</x:v>
      </x:c>
      <x:c r="B27" s="6" t="str">
        <x:v>2024-01-30</x:v>
      </x:c>
      <x:c r="C27" s="6" t="str">
        <x:v>2024</x:v>
      </x:c>
      <x:c r="D27" s="6" t="str">
        <x:v>2024-Q1</x:v>
      </x:c>
      <x:c r="E27" s="6" t="str">
        <x:v>First 50%</x:v>
      </x:c>
      <x:c r="F27" s="6" t="str">
        <x:v>Short</x:v>
      </x:c>
      <x:c r="G27" s="6" t="str">
        <x:v>Short</x:v>
      </x:c>
      <x:c r="H27" s="6" t="str">
        <x:v>Overnight</x:v>
      </x:c>
      <x:c r="I27" s="6" t="str">
        <x:v>Overnight</x:v>
      </x:c>
      <x:c r="J27" s="6" t="str">
        <x:v>Bull</x:v>
      </x:c>
      <x:c r="K27" s="6" t="str">
        <x:v>Bull</x:v>
      </x:c>
      <x:c r="L27" s="6" t="str">
        <x:v>MID</x:v>
      </x:c>
      <x:c r="M27" s="7" t="str">
        <x:v>2024-01-30 00:20:00-06:00</x:v>
      </x:c>
      <x:c r="N27" s="6" t="str">
        <x:v>90.0</x:v>
      </x:c>
      <x:c r="O27" s="6" t="str">
        <x:v>90-94</x:v>
      </x:c>
      <x:c r="P27" s="6" t="str">
        <x:v>Matching BOS only</x:v>
      </x:c>
      <x:c r="Q27" s="6" t="str">
        <x:v>Bear CHoCH</x:v>
      </x:c>
      <x:c r="R27" s="6" t="str">
        <x:v>True</x:v>
      </x:c>
      <x:c r="S27" s="6" t="str">
        <x:v>False</x:v>
      </x:c>
      <x:c r="T27" s="6" t="str">
        <x:v>Recent BSL</x:v>
      </x:c>
      <x:c r="U27" s="6" t="str">
        <x:v>BSL</x:v>
      </x:c>
      <x:c r="V27" s="6" t="str">
        <x:v>Swing high / buy-side</x:v>
      </x:c>
      <x:c r="W27" s="6" t="str">
        <x:v>[17509.75]</x:v>
      </x:c>
      <x:c r="X27" s="8" t="str">
        <x:v>1</x:v>
      </x:c>
      <x:c r="Y27" s="8" t="str">
        <x:v>10.0</x:v>
      </x:c>
      <x:c r="Z27" s="6" t="str">
        <x:v>None</x:v>
      </x:c>
      <x:c r="AA27" s="6" t="str">
        <x:v>17497.0</x:v>
      </x:c>
      <x:c r="AB27" s="9" t="str">
        <x:v>0.429649271226455</x:v>
      </x:c>
      <x:c r="AC27" s="9" t="str">
        <x:v>1.2412090057653147</x:v>
      </x:c>
      <x:c r="AD27" s="9" t="str">
        <x:v>1.9095523165620225</x:v>
      </x:c>
      <x:c r="AE27" s="6" t="str">
        <x:v>With trade</x:v>
      </x:c>
      <x:c r="AF27" s="7" t="str">
        <x:v>2024-01-30 00:20:00-06:00</x:v>
      </x:c>
      <x:c r="AG27" s="6" t="str">
        <x:v>Short</x:v>
      </x:c>
      <x:c r="AH27" s="6" t="str">
        <x:v>17497.0</x:v>
      </x:c>
      <x:c r="AI27" s="8" t="str">
        <x:v>0</x:v>
      </x:c>
      <x:c r="AJ27" s="6" t="str">
        <x:v>True</x:v>
      </x:c>
      <x:c r="AK27" s="6" t="str">
        <x:v>Same-bar Setup+BOS</x:v>
      </x:c>
      <x:c r="AL27" s="9" t="str">
        <x:v>1.193470197851264</x:v>
      </x:c>
      <x:c r="AM27" s="9" t="str">
        <x:v>0.429649271226455</x:v>
      </x:c>
      <x:c r="AN27" s="9" t="str">
        <x:v>1.2412090057653147</x:v>
      </x:c>
      <x:c r="AO27" s="9" t="str">
        <x:v>1.9095523165620225</x:v>
      </x:c>
      <x:c r="AP27" s="10" t="str">
        <x:v>0.65</x:v>
      </x:c>
      <x:c r="AQ27" s="6" t="str">
        <x:v>0.0</x:v>
      </x:c>
      <x:c r="AR27" s="6" t="str">
        <x:v>0.35</x:v>
      </x:c>
      <x:c r="AS27" s="6" t="str">
        <x:v>With trade</x:v>
      </x:c>
      <x:c r="AT27" s="6" t="str">
        <x:v>2.4896265560165975</x:v>
      </x:c>
      <x:c r="AU27" s="7" t="str">
        <x:v>2024-01-30 00:25:00-06:00</x:v>
      </x:c>
      <x:c r="AV27" s="8" t="str">
        <x:v>1</x:v>
      </x:c>
      <x:c r="AW27" s="6" t="str">
        <x:v>Immediate retest (1 bar)</x:v>
      </x:c>
      <x:c r="AX27" s="6" t="str">
        <x:v>17496.5</x:v>
      </x:c>
      <x:c r="AY27" s="6" t="str">
        <x:v>0.0</x:v>
      </x:c>
      <x:c r="AZ27" s="9" t="str">
        <x:v>0.0</x:v>
      </x:c>
      <x:c r="BA27" s="9" t="str">
        <x:v>0.36326468178525284</x:v>
      </x:c>
      <x:c r="BB27" s="9" t="str">
        <x:v>1.6346910680336377</x:v>
      </x:c>
      <x:c r="BC27" s="9" t="str">
        <x:v>0.045408085223156605</x:v>
      </x:c>
      <x:c r="BD27" s="6" t="str">
        <x:v>0.1388888888888889</x:v>
      </x:c>
      <x:c r="BE27" s="6" t="str">
        <x:v>0.8333333333333334</x:v>
      </x:c>
      <x:c r="BF27" s="9" t="str">
        <x:v>0.22704042611578304</x:v>
      </x:c>
      <x:c r="BG27" s="9" t="str">
        <x:v>1.3622425566946983</x:v>
      </x:c>
      <x:c r="BH27" s="6" t="str">
        <x:v>With trade</x:v>
      </x:c>
      <x:c r="BI27" s="6" t="str">
        <x:v>Tolerance-only shallow touch</x:v>
      </x:c>
      <x:c r="BJ27" s="6" t="str">
        <x:v>True</x:v>
      </x:c>
      <x:c r="BK27" s="10" t="str">
        <x:v>False</x:v>
      </x:c>
      <x:c r="BL27" s="6" t="str">
        <x:v>True</x:v>
      </x:c>
      <x:c r="BM27" s="7" t="str">
        <x:v>2024-01-30 00:30:00-06:00</x:v>
      </x:c>
      <x:c r="BN27" s="8" t="str">
        <x:v>1</x:v>
      </x:c>
      <x:c r="BO27" s="6" t="str">
        <x:v>Immediate confirmation (1 bar)</x:v>
      </x:c>
      <x:c r="BP27" s="9" t="str">
        <x:v>0.5754165115922139</x:v>
      </x:c>
      <x:c r="BQ27" s="9" t="str">
        <x:v>1.3278842575204934</x:v>
      </x:c>
      <x:c r="BR27" s="10" t="str">
        <x:v>0.43333333333333335</x:v>
      </x:c>
      <x:c r="BS27" s="9" t="str">
        <x:v>0.9295189802643454</x:v>
      </x:c>
      <x:c r="BT27" s="9" t="str">
        <x:v>0.5754165115922139</x:v>
      </x:c>
      <x:c r="BU27" s="9" t="str">
        <x:v>0.5311537030081974</x:v>
      </x:c>
      <x:c r="BV27" s="6" t="str">
        <x:v>With trade</x:v>
      </x:c>
      <x:c r="BW27" s="7" t="str">
        <x:v>2024-01-30 00:30:00-06:00</x:v>
      </x:c>
      <x:c r="BX27" s="6" t="str">
        <x:v>17491.75</x:v>
      </x:c>
      <x:c r="BY27" s="9" t="str">
        <x:v>5.648082622806642</x:v>
      </x:c>
      <x:c r="BZ27" s="9" t="str">
        <x:v>0.45</x:v>
      </x:c>
      <x:c r="CA27" s="6" t="str">
        <x:v>17500.22212393421</x:v>
      </x:c>
      <x:c r="CB27" s="6" t="str">
        <x:v>8.472123934210686</x:v>
      </x:c>
      <x:c r="CC27" s="9" t="str">
        <x:v>1.500000000000128</x:v>
      </x:c>
      <x:c r="CD27" s="6" t="str">
        <x:v>17474.80575213158</x:v>
      </x:c>
      <x:c r="CE27" s="6" t="str">
        <x:v>16.94424786842137</x:v>
      </x:c>
      <x:c r="CF27" s="6" t="str">
        <x:v>Fixed 2.00R target</x:v>
      </x:c>
      <x:c r="CG27" s="9" t="str">
        <x:v>0.08557476326242451</x:v>
      </x:c>
      <x:c r="CH27" s="9" t="str">
        <x:v>2.0</x:v>
      </x:c>
      <x:c r="CI27" s="9" t="str">
        <x:v>1.9144252367375756</x:v>
      </x:c>
      <x:c r="CJ27" s="6" t="str">
        <x:v>Win</x:v>
      </x:c>
      <x:c r="CK27" s="9" t="str">
        <x:v>3.0393795227688707</x:v>
      </x:c>
      <x:c r="CL27" s="9" t="str">
        <x:v>0.8852561716802536</x:v>
      </x:c>
      <x:c r="CM27" s="7" t="str">
        <x:v>2024-01-30 01:10:00-06:00</x:v>
      </x:c>
      <x:c r="CN27" s="6" t="str">
        <x:v>17474.80575213158</x:v>
      </x:c>
      <x:c r="CO27" s="6" t="str">
        <x:v>TARGET</x:v>
      </x:c>
      <x:c r="CP27" s="6" t="str">
        <x:v>F::Short::Same-bar Setup+BOS::Tolerance-only shallow touch</x:v>
      </x:c>
    </x:row>
    <x:row r="28" ht="18" customHeight="1">
      <x:c r="A28" s="6" t="str">
        <x:v>A0027</x:v>
      </x:c>
      <x:c r="B28" s="6" t="str">
        <x:v>2024-01-31</x:v>
      </x:c>
      <x:c r="C28" s="6" t="str">
        <x:v>2024</x:v>
      </x:c>
      <x:c r="D28" s="6" t="str">
        <x:v>2024-Q1</x:v>
      </x:c>
      <x:c r="E28" s="6" t="str">
        <x:v>First 50%</x:v>
      </x:c>
      <x:c r="F28" s="6" t="str">
        <x:v>Long</x:v>
      </x:c>
      <x:c r="G28" s="6" t="str">
        <x:v>Long</x:v>
      </x:c>
      <x:c r="H28" s="6" t="str">
        <x:v>Overnight</x:v>
      </x:c>
      <x:c r="I28" s="6" t="str">
        <x:v>Overnight</x:v>
      </x:c>
      <x:c r="J28" s="6" t="str">
        <x:v>Bear</x:v>
      </x:c>
      <x:c r="K28" s="6" t="str">
        <x:v>Bear</x:v>
      </x:c>
      <x:c r="L28" s="6" t="str">
        <x:v>MID</x:v>
      </x:c>
      <x:c r="M28" s="7" t="str">
        <x:v>2024-01-31 01:25:00-06:00</x:v>
      </x:c>
      <x:c r="N28" s="6" t="str">
        <x:v>90.0</x:v>
      </x:c>
      <x:c r="O28" s="6" t="str">
        <x:v>90-94</x:v>
      </x:c>
      <x:c r="P28" s="6" t="str">
        <x:v>Matching BOS only</x:v>
      </x:c>
      <x:c r="Q28" s="6" t="str">
        <x:v>Bull CHoCH</x:v>
      </x:c>
      <x:c r="R28" s="6" t="str">
        <x:v>True</x:v>
      </x:c>
      <x:c r="S28" s="6" t="str">
        <x:v>False</x:v>
      </x:c>
      <x:c r="T28" s="6" t="str">
        <x:v>Recent SSL</x:v>
      </x:c>
      <x:c r="U28" s="6" t="str">
        <x:v>SSL</x:v>
      </x:c>
      <x:c r="V28" s="6" t="str">
        <x:v>Swing low / sell-side</x:v>
      </x:c>
      <x:c r="W28" s="6" t="str">
        <x:v>[17219.75]</x:v>
      </x:c>
      <x:c r="X28" s="8" t="str">
        <x:v>1</x:v>
      </x:c>
      <x:c r="Y28" s="8" t="str">
        <x:v>8.0</x:v>
      </x:c>
      <x:c r="Z28" s="6" t="str">
        <x:v>None</x:v>
      </x:c>
      <x:c r="AA28" s="6" t="str">
        <x:v>17240.0</x:v>
      </x:c>
      <x:c r="AB28" s="9" t="str">
        <x:v>1.138697891477633</x:v>
      </x:c>
      <x:c r="AC28" s="9" t="str">
        <x:v>1.7998773123356133</x:v>
      </x:c>
      <x:c r="AD28" s="9" t="str">
        <x:v>2.093734832716938</x:v>
      </x:c>
      <x:c r="AE28" s="6" t="str">
        <x:v>With trade</x:v>
      </x:c>
      <x:c r="AF28" s="7" t="str">
        <x:v>2024-01-31 01:25:00-06:00</x:v>
      </x:c>
      <x:c r="AG28" s="6" t="str">
        <x:v>Long</x:v>
      </x:c>
      <x:c r="AH28" s="6" t="str">
        <x:v>17240.0</x:v>
      </x:c>
      <x:c r="AI28" s="8" t="str">
        <x:v>0</x:v>
      </x:c>
      <x:c r="AJ28" s="6" t="str">
        <x:v>True</x:v>
      </x:c>
      <x:c r="AK28" s="6" t="str">
        <x:v>Same-bar Setup+BOS</x:v>
      </x:c>
      <x:c r="AL28" s="9" t="str">
        <x:v>1.7998773123356133</x:v>
      </x:c>
      <x:c r="AM28" s="9" t="str">
        <x:v>1.138697891477633</x:v>
      </x:c>
      <x:c r="AN28" s="9" t="str">
        <x:v>1.7998773123356133</x:v>
      </x:c>
      <x:c r="AO28" s="9" t="str">
        <x:v>2.093734832716938</x:v>
      </x:c>
      <x:c r="AP28" s="10" t="str">
        <x:v>0.8596491228070176</x:v>
      </x:c>
      <x:c r="AQ28" s="6" t="str">
        <x:v>0.07017543859649122</x:v>
      </x:c>
      <x:c r="AR28" s="6" t="str">
        <x:v>0.07017543859649122</x:v>
      </x:c>
      <x:c r="AS28" s="6" t="str">
        <x:v>With trade</x:v>
      </x:c>
      <x:c r="AT28" s="6" t="str">
        <x:v>3.207518569046536</x:v>
      </x:c>
      <x:c r="AU28" s="7" t="str">
        <x:v>2024-01-31 01:40:00-06:00</x:v>
      </x:c>
      <x:c r="AV28" s="8" t="str">
        <x:v>3</x:v>
      </x:c>
      <x:c r="AW28" s="6" t="str">
        <x:v>Delayed retest (2+ bars)</x:v>
      </x:c>
      <x:c r="AX28" s="6" t="str">
        <x:v>17238.75</x:v>
      </x:c>
      <x:c r="AY28" s="6" t="str">
        <x:v>1.25</x:v>
      </x:c>
      <x:c r="AZ28" s="9" t="str">
        <x:v>0.18872518612280023</x:v>
      </x:c>
      <x:c r="BA28" s="9" t="str">
        <x:v>0.0</x:v>
      </x:c>
      <x:c r="BB28" s="9" t="str">
        <x:v>0.6416656328175208</x:v>
      </x:c>
      <x:c r="BC28" s="9" t="str">
        <x:v>0.37745037224560046</x:v>
      </x:c>
      <x:c r="BD28" s="6" t="str">
        <x:v>0.11764705882352941</x:v>
      </x:c>
      <x:c r="BE28" s="6" t="str">
        <x:v>0.29411764705882354</x:v>
      </x:c>
      <x:c r="BF28" s="9" t="str">
        <x:v>0.18872518612280023</x:v>
      </x:c>
      <x:c r="BG28" s="9" t="str">
        <x:v>0.07549007444912009</x:v>
      </x:c>
      <x:c r="BH28" s="6" t="str">
        <x:v>Against trade</x:v>
      </x:c>
      <x:c r="BI28" s="6" t="str">
        <x:v>Penetration without same-bar reclaim</x:v>
      </x:c>
      <x:c r="BJ28" s="6" t="str">
        <x:v>False</x:v>
      </x:c>
      <x:c r="BK28" s="10" t="str">
        <x:v>True</x:v>
      </x:c>
      <x:c r="BL28" s="6" t="str">
        <x:v>False</x:v>
      </x:c>
      <x:c r="BM28" s="7" t="str">
        <x:v>2024-01-31 01:45:00-06:00</x:v>
      </x:c>
      <x:c r="BN28" s="8" t="str">
        <x:v>1</x:v>
      </x:c>
      <x:c r="BO28" s="6" t="str">
        <x:v>Immediate confirmation (1 bar)</x:v>
      </x:c>
      <x:c r="BP28" s="9" t="str">
        <x:v>1.281326674261201</x:v>
      </x:c>
      <x:c r="BQ28" s="9" t="str">
        <x:v>1.317936007811521</x:v>
      </x:c>
      <x:c r="BR28" s="10" t="str">
        <x:v>0.9722222222222222</x:v>
      </x:c>
      <x:c r="BS28" s="9" t="str">
        <x:v>1.3545453413618411</x:v>
      </x:c>
      <x:c r="BT28" s="9" t="str">
        <x:v>1.3545453413618411</x:v>
      </x:c>
      <x:c r="BU28" s="9" t="str">
        <x:v>0.0</x:v>
      </x:c>
      <x:c r="BV28" s="6" t="str">
        <x:v>With trade</x:v>
      </x:c>
      <x:c r="BW28" s="7" t="str">
        <x:v>2024-01-31 01:45:00-06:00</x:v>
      </x:c>
      <x:c r="BX28" s="6" t="str">
        <x:v>17249.25</x:v>
      </x:c>
      <x:c r="BY28" s="9" t="str">
        <x:v>6.82885963101108</x:v>
      </x:c>
      <x:c r="BZ28" s="9" t="str">
        <x:v>0.6</x:v>
      </x:c>
      <x:c r="CA28" s="6" t="str">
        <x:v>17239.006710553484</x:v>
      </x:c>
      <x:c r="CB28" s="6" t="str">
        <x:v>10.243289446516428</x:v>
      </x:c>
      <x:c r="CC28" s="9" t="str">
        <x:v>1.4999999999999718</x:v>
      </x:c>
      <x:c r="CD28" s="6" t="str">
        <x:v>17269.736578893033</x:v>
      </x:c>
      <x:c r="CE28" s="6" t="str">
        <x:v>20.486578893032856</x:v>
      </x:c>
      <x:c r="CF28" s="6" t="str">
        <x:v>Fixed 2.00R target</x:v>
      </x:c>
      <x:c r="CG28" s="9" t="str">
        <x:v>0.07077804486395338</x:v>
      </x:c>
      <x:c r="CH28" s="9" t="str">
        <x:v>-1.0</x:v>
      </x:c>
      <x:c r="CI28" s="9" t="str">
        <x:v>-1.0707780448639534</x:v>
      </x:c>
      <x:c r="CJ28" s="6" t="str">
        <x:v>Loss</x:v>
      </x:c>
      <x:c r="CK28" s="9" t="str">
        <x:v>0.6101555591720119</x:v>
      </x:c>
      <x:c r="CL28" s="9" t="str">
        <x:v>1.0982800065096214</x:v>
      </x:c>
      <x:c r="CM28" s="7" t="str">
        <x:v>2024-01-31 02:35:00-06:00</x:v>
      </x:c>
      <x:c r="CN28" s="6" t="str">
        <x:v>17239.006710553484</x:v>
      </x:c>
      <x:c r="CO28" s="6" t="str">
        <x:v>STOP</x:v>
      </x:c>
      <x:c r="CP28" s="6" t="str">
        <x:v>F::Long::Same-bar Setup+BOS::Penetration without same-bar reclaim</x:v>
      </x:c>
    </x:row>
    <x:row r="29" ht="18" customHeight="1">
      <x:c r="A29" s="6" t="str">
        <x:v>A0028</x:v>
      </x:c>
      <x:c r="B29" s="6" t="str">
        <x:v>2024-01-31</x:v>
      </x:c>
      <x:c r="C29" s="6" t="str">
        <x:v>2024</x:v>
      </x:c>
      <x:c r="D29" s="6" t="str">
        <x:v>2024-Q1</x:v>
      </x:c>
      <x:c r="E29" s="6" t="str">
        <x:v>First 50%</x:v>
      </x:c>
      <x:c r="F29" s="6" t="str">
        <x:v>Long</x:v>
      </x:c>
      <x:c r="G29" s="6" t="str">
        <x:v>Long</x:v>
      </x:c>
      <x:c r="H29" s="6" t="str">
        <x:v>Morning</x:v>
      </x:c>
      <x:c r="I29" s="6" t="str">
        <x:v>Morning</x:v>
      </x:c>
      <x:c r="J29" s="6" t="str">
        <x:v>Bear</x:v>
      </x:c>
      <x:c r="K29" s="6" t="str">
        <x:v>Bear</x:v>
      </x:c>
      <x:c r="L29" s="6" t="str">
        <x:v>MID</x:v>
      </x:c>
      <x:c r="M29" s="7" t="str">
        <x:v>2024-01-31 11:00:00-06:00</x:v>
      </x:c>
      <x:c r="N29" s="6" t="str">
        <x:v>75.0</x:v>
      </x:c>
      <x:c r="O29" s="6" t="str">
        <x:v>75-79</x:v>
      </x:c>
      <x:c r="P29" s="6" t="str">
        <x:v>Matching BOS only</x:v>
      </x:c>
      <x:c r="Q29" s="6" t="str">
        <x:v>Bull CHoCH</x:v>
      </x:c>
      <x:c r="R29" s="6" t="str">
        <x:v>True</x:v>
      </x:c>
      <x:c r="S29" s="6" t="str">
        <x:v>False</x:v>
      </x:c>
      <x:c r="T29" s="6" t="str">
        <x:v>No recent matching sweep</x:v>
      </x:c>
      <x:c r="U29" s="6" t="str">
        <x:v>None</x:v>
      </x:c>
      <x:c r="V29" s="6" t="str">
        <x:v>None</x:v>
      </x:c>
      <x:c r="W29" s="6" t="str">
        <x:v>[]</x:v>
      </x:c>
      <x:c r="X29" s="8" t="str">
        <x:v>0</x:v>
      </x:c>
      <x:c r="Y29" s="8" t="str"/>
      <x:c r="Z29" s="6" t="str">
        <x:v>None</x:v>
      </x:c>
      <x:c r="AA29" s="6" t="str">
        <x:v>17137.5</x:v>
      </x:c>
      <x:c r="AB29" s="9" t="str">
        <x:v>0.3944863199610581</x:v>
      </x:c>
      <x:c r="AC29" s="9" t="str">
        <x:v>0.9245773124087299</x:v>
      </x:c>
      <x:c r="AD29" s="9" t="str">
        <x:v>1.1464758673868252</x:v>
      </x:c>
      <x:c r="AE29" s="6" t="str">
        <x:v>With trade</x:v>
      </x:c>
      <x:c r="AF29" s="7" t="str">
        <x:v>2024-01-31 11:00:00-06:00</x:v>
      </x:c>
      <x:c r="AG29" s="6" t="str">
        <x:v>Long</x:v>
      </x:c>
      <x:c r="AH29" s="6" t="str">
        <x:v>17137.5</x:v>
      </x:c>
      <x:c r="AI29" s="8" t="str">
        <x:v>0</x:v>
      </x:c>
      <x:c r="AJ29" s="6" t="str">
        <x:v>True</x:v>
      </x:c>
      <x:c r="AK29" s="6" t="str">
        <x:v>Same-bar Setup+BOS</x:v>
      </x:c>
      <x:c r="AL29" s="9" t="str">
        <x:v>0.9369050099075129</x:v>
      </x:c>
      <x:c r="AM29" s="9" t="str">
        <x:v>0.3944863199610581</x:v>
      </x:c>
      <x:c r="AN29" s="9" t="str">
        <x:v>0.9245773124087299</x:v>
      </x:c>
      <x:c r="AO29" s="9" t="str">
        <x:v>1.1464758673868252</x:v>
      </x:c>
      <x:c r="AP29" s="10" t="str">
        <x:v>0.8064516129032258</x:v>
      </x:c>
      <x:c r="AQ29" s="6" t="str">
        <x:v>0.07526881720430108</x:v>
      </x:c>
      <x:c r="AR29" s="6" t="str">
        <x:v>0.11827956989247312</x:v>
      </x:c>
      <x:c r="AS29" s="6" t="str">
        <x:v>With trade</x:v>
      </x:c>
      <x:c r="AT29" s="6" t="str">
        <x:v>0.7373970040348138</x:v>
      </x:c>
      <x:c r="AU29" s="7" t="str">
        <x:v>2024-01-31 11:15:00-06:00</x:v>
      </x:c>
      <x:c r="AV29" s="8" t="str">
        <x:v>3</x:v>
      </x:c>
      <x:c r="AW29" s="6" t="str">
        <x:v>Delayed retest (2+ bars)</x:v>
      </x:c>
      <x:c r="AX29" s="6" t="str">
        <x:v>17135.75</x:v>
      </x:c>
      <x:c r="AY29" s="6" t="str">
        <x:v>1.75</x:v>
      </x:c>
      <x:c r="AZ29" s="9" t="str">
        <x:v>0.0925661886156383</x:v>
      </x:c>
      <x:c r="BA29" s="9" t="str">
        <x:v>-0.07934244738483283</x:v>
      </x:c>
      <x:c r="BB29" s="9" t="str">
        <x:v>0.5157259080014134</x:v>
      </x:c>
      <x:c r="BC29" s="9" t="str">
        <x:v>0.35704101323174775</x:v>
      </x:c>
      <x:c r="BD29" s="6" t="str">
        <x:v>0.28205128205128205</x:v>
      </x:c>
      <x:c r="BE29" s="6" t="str">
        <x:v>0.02564102564102564</x:v>
      </x:c>
      <x:c r="BF29" s="9" t="str">
        <x:v>0.013223741230805471</x:v>
      </x:c>
      <x:c r="BG29" s="9" t="str">
        <x:v>0.1454611535388602</x:v>
      </x:c>
      <x:c r="BH29" s="6" t="str">
        <x:v>Against trade</x:v>
      </x:c>
      <x:c r="BI29" s="6" t="str">
        <x:v>Penetration without same-bar reclaim</x:v>
      </x:c>
      <x:c r="BJ29" s="6" t="str">
        <x:v>False</x:v>
      </x:c>
      <x:c r="BK29" s="10" t="str">
        <x:v>True</x:v>
      </x:c>
      <x:c r="BL29" s="6" t="str">
        <x:v>False</x:v>
      </x:c>
      <x:c r="BM29" s="7" t="str">
        <x:v>2024-01-31 11:25:00-06:00</x:v>
      </x:c>
      <x:c r="BN29" s="8" t="str">
        <x:v>2</x:v>
      </x:c>
      <x:c r="BO29" s="6" t="str">
        <x:v>Delayed confirmation (2+ bars)</x:v>
      </x:c>
      <x:c r="BP29" s="9" t="str">
        <x:v>0.36332410310586494</x:v>
      </x:c>
      <x:c r="BQ29" s="9" t="str">
        <x:v>0.6987001982805094</x:v>
      </x:c>
      <x:c r="BR29" s="10" t="str">
        <x:v>0.52</x:v>
      </x:c>
      <x:c r="BS29" s="9" t="str">
        <x:v>0.3493500991402547</x:v>
      </x:c>
      <x:c r="BT29" s="9" t="str">
        <x:v>0.4331941229339159</x:v>
      </x:c>
      <x:c r="BU29" s="9" t="str">
        <x:v>0.08384402379366114</x:v>
      </x:c>
      <x:c r="BV29" s="6" t="str">
        <x:v>With trade</x:v>
      </x:c>
      <x:c r="BW29" s="7" t="str">
        <x:v>2024-01-31 11:25:00-06:00</x:v>
      </x:c>
      <x:c r="BX29" s="6" t="str">
        <x:v>17143.75</x:v>
      </x:c>
      <x:c r="BY29" s="9" t="str">
        <x:v>17.8903627489477</x:v>
      </x:c>
      <x:c r="BZ29" s="9" t="str">
        <x:v>0.65</x:v>
      </x:c>
      <x:c r="CA29" s="6" t="str">
        <x:v>17116.91445587658</x:v>
      </x:c>
      <x:c r="CB29" s="6" t="str">
        <x:v>26.835544123419822</x:v>
      </x:c>
      <x:c r="CC29" s="9" t="str">
        <x:v>1.4999999999999032</x:v>
      </x:c>
      <x:c r="CD29" s="6" t="str">
        <x:v>17197.421088246843</x:v>
      </x:c>
      <x:c r="CE29" s="6" t="str">
        <x:v>53.67108824684328</x:v>
      </x:c>
      <x:c r="CF29" s="6" t="str">
        <x:v>Fixed 2.00R target</x:v>
      </x:c>
      <x:c r="CG29" s="9" t="str">
        <x:v>0.027016407666848107</x:v>
      </x:c>
      <x:c r="CH29" s="9" t="str">
        <x:v>0.7173322035679898</x:v>
      </x:c>
      <x:c r="CI29" s="9" t="str">
        <x:v>0.6903157959011417</x:v>
      </x:c>
      <x:c r="CJ29" s="6" t="str">
        <x:v>Win</x:v>
      </x:c>
      <x:c r="CK29" s="9" t="str">
        <x:v>1.7327764917357753</x:v>
      </x:c>
      <x:c r="CL29" s="9" t="str">
        <x:v>0.8850202511553691</x:v>
      </x:c>
      <x:c r="CM29" s="7" t="str">
        <x:v>2024-01-31 12:25:00-06:00</x:v>
      </x:c>
      <x:c r="CN29" s="6" t="str">
        <x:v>17163.0</x:v>
      </x:c>
      <x:c r="CO29" s="6" t="str">
        <x:v>TIME</x:v>
      </x:c>
      <x:c r="CP29" s="6" t="str">
        <x:v>F::Long::Same-bar Setup+BOS::Penetration without same-bar reclaim</x:v>
      </x:c>
    </x:row>
    <x:row r="30" ht="18" customHeight="1">
      <x:c r="A30" s="6" t="str">
        <x:v>A0029</x:v>
      </x:c>
      <x:c r="B30" s="6" t="str">
        <x:v>2024-02-02</x:v>
      </x:c>
      <x:c r="C30" s="6" t="str">
        <x:v>2024</x:v>
      </x:c>
      <x:c r="D30" s="6" t="str">
        <x:v>2024-Q1</x:v>
      </x:c>
      <x:c r="E30" s="6" t="str">
        <x:v>First 50%</x:v>
      </x:c>
      <x:c r="F30" s="6" t="str">
        <x:v>Long</x:v>
      </x:c>
      <x:c r="G30" s="6" t="str">
        <x:v>Long</x:v>
      </x:c>
      <x:c r="H30" s="6" t="str">
        <x:v>Overnight</x:v>
      </x:c>
      <x:c r="I30" s="6" t="str">
        <x:v>Overnight</x:v>
      </x:c>
      <x:c r="J30" s="6" t="str">
        <x:v>Bull</x:v>
      </x:c>
      <x:c r="K30" s="6" t="str">
        <x:v>Bull</x:v>
      </x:c>
      <x:c r="L30" s="6" t="str">
        <x:v>HIGH</x:v>
      </x:c>
      <x:c r="M30" s="7" t="str">
        <x:v>2024-02-02 02:35:00-06:00</x:v>
      </x:c>
      <x:c r="N30" s="6" t="str">
        <x:v>90.0</x:v>
      </x:c>
      <x:c r="O30" s="6" t="str">
        <x:v>90-94</x:v>
      </x:c>
      <x:c r="P30" s="6" t="str">
        <x:v>Matching BOS only</x:v>
      </x:c>
      <x:c r="Q30" s="6" t="str">
        <x:v>Bull CHoCH</x:v>
      </x:c>
      <x:c r="R30" s="6" t="str">
        <x:v>True</x:v>
      </x:c>
      <x:c r="S30" s="6" t="str">
        <x:v>False</x:v>
      </x:c>
      <x:c r="T30" s="6" t="str">
        <x:v>Recent SSL</x:v>
      </x:c>
      <x:c r="U30" s="6" t="str">
        <x:v>SSL</x:v>
      </x:c>
      <x:c r="V30" s="6" t="str">
        <x:v>Swing low / sell-side</x:v>
      </x:c>
      <x:c r="W30" s="6" t="str">
        <x:v>[17367.75]</x:v>
      </x:c>
      <x:c r="X30" s="8" t="str">
        <x:v>1</x:v>
      </x:c>
      <x:c r="Y30" s="8" t="str">
        <x:v>5.0</x:v>
      </x:c>
      <x:c r="Z30" s="6" t="str">
        <x:v>None</x:v>
      </x:c>
      <x:c r="AA30" s="6" t="str">
        <x:v>17399.75</x:v>
      </x:c>
      <x:c r="AB30" s="9" t="str">
        <x:v>0.22946359380086645</x:v>
      </x:c>
      <x:c r="AC30" s="9" t="str">
        <x:v>1.0899520705541157</x:v>
      </x:c>
      <x:c r="AD30" s="9" t="str">
        <x:v>1.5488792581558486</x:v>
      </x:c>
      <x:c r="AE30" s="6" t="str">
        <x:v>With trade</x:v>
      </x:c>
      <x:c r="AF30" s="7" t="str">
        <x:v>2024-02-02 02:35:00-06:00</x:v>
      </x:c>
      <x:c r="AG30" s="6" t="str">
        <x:v>Long</x:v>
      </x:c>
      <x:c r="AH30" s="6" t="str">
        <x:v>17399.75</x:v>
      </x:c>
      <x:c r="AI30" s="8" t="str">
        <x:v>0</x:v>
      </x:c>
      <x:c r="AJ30" s="6" t="str">
        <x:v>True</x:v>
      </x:c>
      <x:c r="AK30" s="6" t="str">
        <x:v>Same-bar Setup+BOS</x:v>
      </x:c>
      <x:c r="AL30" s="9" t="str">
        <x:v>1.0899520705541157</x:v>
      </x:c>
      <x:c r="AM30" s="9" t="str">
        <x:v>0.22946359380086645</x:v>
      </x:c>
      <x:c r="AN30" s="9" t="str">
        <x:v>1.0899520705541157</x:v>
      </x:c>
      <x:c r="AO30" s="9" t="str">
        <x:v>1.5488792581558486</x:v>
      </x:c>
      <x:c r="AP30" s="10" t="str">
        <x:v>0.7037037037037037</x:v>
      </x:c>
      <x:c r="AQ30" s="6" t="str">
        <x:v>0.018518518518518517</x:v>
      </x:c>
      <x:c r="AR30" s="6" t="str">
        <x:v>0.2777777777777778</x:v>
      </x:c>
      <x:c r="AS30" s="6" t="str">
        <x:v>With trade</x:v>
      </x:c>
      <x:c r="AT30" s="6" t="str">
        <x:v>1.62592793771501</x:v>
      </x:c>
      <x:c r="AU30" s="7" t="str">
        <x:v>2024-02-02 02:40:00-06:00</x:v>
      </x:c>
      <x:c r="AV30" s="8" t="str">
        <x:v>1</x:v>
      </x:c>
      <x:c r="AW30" s="6" t="str">
        <x:v>Immediate retest (1 bar)</x:v>
      </x:c>
      <x:c r="AX30" s="6" t="str">
        <x:v>17396.75</x:v>
      </x:c>
      <x:c r="AY30" s="6" t="str">
        <x:v>3.0</x:v>
      </x:c>
      <x:c r="AZ30" s="9" t="str">
        <x:v>0.34199800295194965</x:v>
      </x:c>
      <x:c r="BA30" s="9" t="str">
        <x:v>0.5414968380072537</x:v>
      </x:c>
      <x:c r="BB30" s="9" t="str">
        <x:v>1.0829936760145074</x:v>
      </x:c>
      <x:c r="BC30" s="9" t="str">
        <x:v>0.34199800295194965</x:v>
      </x:c>
      <x:c r="BD30" s="6" t="str">
        <x:v>0.18421052631578946</x:v>
      </x:c>
      <x:c r="BE30" s="6" t="str">
        <x:v>0.5</x:v>
      </x:c>
      <x:c r="BF30" s="9" t="str">
        <x:v>0.5414968380072537</x:v>
      </x:c>
      <x:c r="BG30" s="9" t="str">
        <x:v>0.19949883505530397</x:v>
      </x:c>
      <x:c r="BH30" s="6" t="str">
        <x:v>With trade</x:v>
      </x:c>
      <x:c r="BI30" s="6" t="str">
        <x:v>Penetration + same-bar reclaim</x:v>
      </x:c>
      <x:c r="BJ30" s="6" t="str">
        <x:v>False</x:v>
      </x:c>
      <x:c r="BK30" s="10" t="str">
        <x:v>True</x:v>
      </x:c>
      <x:c r="BL30" s="6" t="str">
        <x:v>True</x:v>
      </x:c>
      <x:c r="BM30" s="7" t="str">
        <x:v>2024-02-02 02:45:00-06:00</x:v>
      </x:c>
      <x:c r="BN30" s="8" t="str">
        <x:v>1</x:v>
      </x:c>
      <x:c r="BO30" s="6" t="str">
        <x:v>Immediate confirmation (1 bar)</x:v>
      </x:c>
      <x:c r="BP30" s="9" t="str">
        <x:v>0.029037027563642362</x:v>
      </x:c>
      <x:c r="BQ30" s="9" t="str">
        <x:v>0.7549627166547014</x:v>
      </x:c>
      <x:c r="BR30" s="10" t="str">
        <x:v>0.038461538461538464</x:v>
      </x:c>
      <x:c r="BS30" s="9" t="str">
        <x:v>0.5807405512728472</x:v>
      </x:c>
      <x:c r="BT30" s="9" t="str">
        <x:v>0.029037027563642362</x:v>
      </x:c>
      <x:c r="BU30" s="9" t="str">
        <x:v>0.5517035237092048</x:v>
      </x:c>
      <x:c r="BV30" s="6" t="str">
        <x:v>With trade</x:v>
      </x:c>
      <x:c r="BW30" s="7" t="str">
        <x:v>2024-02-02 02:45:00-06:00</x:v>
      </x:c>
      <x:c r="BX30" s="6" t="str">
        <x:v>17404.75</x:v>
      </x:c>
      <x:c r="BY30" s="9" t="str">
        <x:v>8.609696686482753</x:v>
      </x:c>
      <x:c r="BZ30" s="9" t="str">
        <x:v>0.79</x:v>
      </x:c>
      <x:c r="CA30" s="6" t="str">
        <x:v>17391.835454970274</x:v>
      </x:c>
      <x:c r="CB30" s="6" t="str">
        <x:v>12.91454502972556</x:v>
      </x:c>
      <x:c r="CC30" s="9" t="str">
        <x:v>1.500000000000166</x:v>
      </x:c>
      <x:c r="CD30" s="6" t="str">
        <x:v>17430.579090059447</x:v>
      </x:c>
      <x:c r="CE30" s="6" t="str">
        <x:v>25.82909005944748</x:v>
      </x:c>
      <x:c r="CF30" s="6" t="str">
        <x:v>Fixed 2.00R target</x:v>
      </x:c>
      <x:c r="CG30" s="9" t="str">
        <x:v>0.05613825328970235</x:v>
      </x:c>
      <x:c r="CH30" s="9" t="str">
        <x:v>-1.0</x:v>
      </x:c>
      <x:c r="CI30" s="9" t="str">
        <x:v>-1.0561382532897023</x:v>
      </x:c>
      <x:c r="CJ30" s="6" t="str">
        <x:v>Loss</x:v>
      </x:c>
      <x:c r="CK30" s="9" t="str">
        <x:v>1.393777323054679</x:v>
      </x:c>
      <x:c r="CL30" s="9" t="str">
        <x:v>1.432493359806198</x:v>
      </x:c>
      <x:c r="CM30" s="7" t="str">
        <x:v>2024-02-02 03:40:00-06:00</x:v>
      </x:c>
      <x:c r="CN30" s="6" t="str">
        <x:v>17391.835454970274</x:v>
      </x:c>
      <x:c r="CO30" s="6" t="str">
        <x:v>STOP</x:v>
      </x:c>
      <x:c r="CP30" s="6" t="str">
        <x:v>F::Long::Same-bar Setup+BOS::Penetration + same-bar reclaim</x:v>
      </x:c>
    </x:row>
    <x:row r="31" ht="18" customHeight="1">
      <x:c r="A31" s="6" t="str">
        <x:v>A0030</x:v>
      </x:c>
      <x:c r="B31" s="6" t="str">
        <x:v>2024-02-02</x:v>
      </x:c>
      <x:c r="C31" s="6" t="str">
        <x:v>2024</x:v>
      </x:c>
      <x:c r="D31" s="6" t="str">
        <x:v>2024-Q1</x:v>
      </x:c>
      <x:c r="E31" s="6" t="str">
        <x:v>First 50%</x:v>
      </x:c>
      <x:c r="F31" s="6" t="str">
        <x:v>Long</x:v>
      </x:c>
      <x:c r="G31" s="6" t="str">
        <x:v>Long</x:v>
      </x:c>
      <x:c r="H31" s="6" t="str">
        <x:v>Midday</x:v>
      </x:c>
      <x:c r="I31" s="6" t="str">
        <x:v>Midday</x:v>
      </x:c>
      <x:c r="J31" s="6" t="str">
        <x:v>Bull</x:v>
      </x:c>
      <x:c r="K31" s="6" t="str">
        <x:v>Bull</x:v>
      </x:c>
      <x:c r="L31" s="6" t="str">
        <x:v>MID</x:v>
      </x:c>
      <x:c r="M31" s="7" t="str">
        <x:v>2024-02-02 13:00:00-06:00</x:v>
      </x:c>
      <x:c r="N31" s="6" t="str">
        <x:v>75.0</x:v>
      </x:c>
      <x:c r="O31" s="6" t="str">
        <x:v>75-79</x:v>
      </x:c>
      <x:c r="P31" s="6" t="str">
        <x:v>Matching BOS only</x:v>
      </x:c>
      <x:c r="Q31" s="6" t="str">
        <x:v>Bull BOS</x:v>
      </x:c>
      <x:c r="R31" s="6" t="str">
        <x:v>True</x:v>
      </x:c>
      <x:c r="S31" s="6" t="str">
        <x:v>False</x:v>
      </x:c>
      <x:c r="T31" s="6" t="str">
        <x:v>No recent matching sweep</x:v>
      </x:c>
      <x:c r="U31" s="6" t="str">
        <x:v>None</x:v>
      </x:c>
      <x:c r="V31" s="6" t="str">
        <x:v>None</x:v>
      </x:c>
      <x:c r="W31" s="6" t="str">
        <x:v>[]</x:v>
      </x:c>
      <x:c r="X31" s="8" t="str">
        <x:v>0</x:v>
      </x:c>
      <x:c r="Y31" s="8" t="str"/>
      <x:c r="Z31" s="6" t="str">
        <x:v>None</x:v>
      </x:c>
      <x:c r="AA31" s="6" t="str">
        <x:v>17526.25</x:v>
      </x:c>
      <x:c r="AB31" s="9" t="str">
        <x:v>0.14037444729565482</x:v>
      </x:c>
      <x:c r="AC31" s="9" t="str">
        <x:v>0.5614977891826193</x:v>
      </x:c>
      <x:c r="AD31" s="9" t="str">
        <x:v>0.9926478773049877</x:v>
      </x:c>
      <x:c r="AE31" s="6" t="str">
        <x:v>With trade</x:v>
      </x:c>
      <x:c r="AF31" s="7" t="str">
        <x:v>2024-02-02 13:00:00-06:00</x:v>
      </x:c>
      <x:c r="AG31" s="6" t="str">
        <x:v>Long</x:v>
      </x:c>
      <x:c r="AH31" s="6" t="str">
        <x:v>17526.25</x:v>
      </x:c>
      <x:c r="AI31" s="8" t="str">
        <x:v>0</x:v>
      </x:c>
      <x:c r="AJ31" s="6" t="str">
        <x:v>True</x:v>
      </x:c>
      <x:c r="AK31" s="6" t="str">
        <x:v>Same-bar Setup+BOS</x:v>
      </x:c>
      <x:c r="AL31" s="9" t="str">
        <x:v>0.5915780278888311</x:v>
      </x:c>
      <x:c r="AM31" s="9" t="str">
        <x:v>0.14037444729565482</x:v>
      </x:c>
      <x:c r="AN31" s="9" t="str">
        <x:v>0.5614977891826193</x:v>
      </x:c>
      <x:c r="AO31" s="9" t="str">
        <x:v>0.9926478773049877</x:v>
      </x:c>
      <x:c r="AP31" s="10" t="str">
        <x:v>0.5656565656565656</x:v>
      </x:c>
      <x:c r="AQ31" s="6" t="str">
        <x:v>0.37373737373737376</x:v>
      </x:c>
      <x:c r="AR31" s="6" t="str">
        <x:v>0.06060606060606061</x:v>
      </x:c>
      <x:c r="AS31" s="6" t="str">
        <x:v>With trade</x:v>
      </x:c>
      <x:c r="AT31" s="6" t="str">
        <x:v>0.8646979044990946</x:v>
      </x:c>
      <x:c r="AU31" s="7" t="str">
        <x:v>2024-02-02 13:05:00-06:00</x:v>
      </x:c>
      <x:c r="AV31" s="8" t="str">
        <x:v>1</x:v>
      </x:c>
      <x:c r="AW31" s="6" t="str">
        <x:v>Immediate retest (1 bar)</x:v>
      </x:c>
      <x:c r="AX31" s="6" t="str">
        <x:v>17524.25</x:v>
      </x:c>
      <x:c r="AY31" s="6" t="str">
        <x:v>2.0</x:v>
      </x:c>
      <x:c r="AZ31" s="9" t="str">
        <x:v>0.08311489302960895</x:v>
      </x:c>
      <x:c r="BA31" s="9" t="str">
        <x:v>0.3740170186332403</x:v>
      </x:c>
      <x:c r="BB31" s="9" t="str">
        <x:v>0.529857443063757</x:v>
      </x:c>
      <x:c r="BC31" s="9" t="str">
        <x:v>0.2285659558314246</x:v>
      </x:c>
      <x:c r="BD31" s="6" t="str">
        <x:v>0.13725490196078433</x:v>
      </x:c>
      <x:c r="BE31" s="6" t="str">
        <x:v>0.43137254901960786</x:v>
      </x:c>
      <x:c r="BF31" s="9" t="str">
        <x:v>0.2285659558314246</x:v>
      </x:c>
      <x:c r="BG31" s="9" t="str">
        <x:v>0.07272553140090783</x:v>
      </x:c>
      <x:c r="BH31" s="6" t="str">
        <x:v>With trade</x:v>
      </x:c>
      <x:c r="BI31" s="6" t="str">
        <x:v>Penetration + same-bar reclaim</x:v>
      </x:c>
      <x:c r="BJ31" s="6" t="str">
        <x:v>False</x:v>
      </x:c>
      <x:c r="BK31" s="10" t="str">
        <x:v>True</x:v>
      </x:c>
      <x:c r="BL31" s="6" t="str">
        <x:v>True</x:v>
      </x:c>
      <x:c r="BM31" s="7" t="str">
        <x:v>2024-02-02 13:10:00-06:00</x:v>
      </x:c>
      <x:c r="BN31" s="8" t="str">
        <x:v>1</x:v>
      </x:c>
      <x:c r="BO31" s="6" t="str">
        <x:v>Immediate confirmation (1 bar)</x:v>
      </x:c>
      <x:c r="BP31" s="9" t="str">
        <x:v>0.2942324525321601</x:v>
      </x:c>
      <x:c r="BQ31" s="9" t="str">
        <x:v>0.8511724519680347</x:v>
      </x:c>
      <x:c r="BR31" s="10" t="str">
        <x:v>0.345679012345679</x:v>
      </x:c>
      <x:c r="BS31" s="9" t="str">
        <x:v>0.6725313200735089</x:v>
      </x:c>
      <x:c r="BT31" s="9" t="str">
        <x:v>0.2942324525321601</x:v>
      </x:c>
      <x:c r="BU31" s="9" t="str">
        <x:v>0.19965773564682296</x:v>
      </x:c>
      <x:c r="BV31" s="6" t="str">
        <x:v>With trade</x:v>
      </x:c>
      <x:c r="BW31" s="7" t="str">
        <x:v>2024-02-02 13:10:00-06:00</x:v>
      </x:c>
      <x:c r="BX31" s="6" t="str">
        <x:v>17542.25</x:v>
      </x:c>
      <x:c r="BY31" s="9" t="str">
        <x:v>23.790713565951354</x:v>
      </x:c>
      <x:c r="BZ31" s="9" t="str">
        <x:v>0.52</x:v>
      </x:c>
      <x:c r="CA31" s="6" t="str">
        <x:v>17506.563929651074</x:v>
      </x:c>
      <x:c r="CB31" s="6" t="str">
        <x:v>35.68607034892557</x:v>
      </x:c>
      <x:c r="CC31" s="9" t="str">
        <x:v>1.4999999999999385</x:v>
      </x:c>
      <x:c r="CD31" s="6" t="str">
        <x:v>17613.622140697855</x:v>
      </x:c>
      <x:c r="CE31" s="6" t="str">
        <x:v>71.37214069785477</x:v>
      </x:c>
      <x:c r="CF31" s="6" t="str">
        <x:v>Fixed 2.00R target</x:v>
      </x:c>
      <x:c r="CG31" s="9" t="str">
        <x:v>0.02031605029388808</x:v>
      </x:c>
      <x:c r="CH31" s="9" t="str">
        <x:v>0.07706088042508956</x:v>
      </x:c>
      <x:c r="CI31" s="9" t="str">
        <x:v>0.056744830131201476</x:v>
      </x:c>
      <x:c r="CJ31" s="6" t="str">
        <x:v>Win</x:v>
      </x:c>
      <x:c r="CK31" s="9" t="str">
        <x:v>0.560442766727947</x:v>
      </x:c>
      <x:c r="CL31" s="9" t="str">
        <x:v>0.5043984900551524</x:v>
      </x:c>
      <x:c r="CM31" s="7" t="str">
        <x:v>2024-02-02 14:10:00-06:00</x:v>
      </x:c>
      <x:c r="CN31" s="6" t="str">
        <x:v>17545.0</x:v>
      </x:c>
      <x:c r="CO31" s="6" t="str">
        <x:v>TIME</x:v>
      </x:c>
      <x:c r="CP31" s="6" t="str">
        <x:v>F::Long::Same-bar Setup+BOS::Penetration + same-bar reclaim</x:v>
      </x:c>
    </x:row>
    <x:row r="32" ht="18" customHeight="1">
      <x:c r="A32" s="6" t="str">
        <x:v>A0031</x:v>
      </x:c>
      <x:c r="B32" s="6" t="str">
        <x:v>2024-02-05</x:v>
      </x:c>
      <x:c r="C32" s="6" t="str">
        <x:v>2024</x:v>
      </x:c>
      <x:c r="D32" s="6" t="str">
        <x:v>2024-Q1</x:v>
      </x:c>
      <x:c r="E32" s="6" t="str">
        <x:v>First 50%</x:v>
      </x:c>
      <x:c r="F32" s="6" t="str">
        <x:v>Long</x:v>
      </x:c>
      <x:c r="G32" s="6" t="str">
        <x:v>Long</x:v>
      </x:c>
      <x:c r="H32" s="6" t="str">
        <x:v>Premarket</x:v>
      </x:c>
      <x:c r="I32" s="6" t="str">
        <x:v>Premarket</x:v>
      </x:c>
      <x:c r="J32" s="6" t="str">
        <x:v>Bull</x:v>
      </x:c>
      <x:c r="K32" s="6" t="str">
        <x:v>Bull</x:v>
      </x:c>
      <x:c r="L32" s="6" t="str">
        <x:v>HIGH</x:v>
      </x:c>
      <x:c r="M32" s="7" t="str">
        <x:v>2024-02-05 06:10:00-06:00</x:v>
      </x:c>
      <x:c r="N32" s="6" t="str">
        <x:v>90.0</x:v>
      </x:c>
      <x:c r="O32" s="6" t="str">
        <x:v>90-94</x:v>
      </x:c>
      <x:c r="P32" s="6" t="str">
        <x:v>Matching BOS only</x:v>
      </x:c>
      <x:c r="Q32" s="6" t="str">
        <x:v>Bull CHoCH</x:v>
      </x:c>
      <x:c r="R32" s="6" t="str">
        <x:v>True</x:v>
      </x:c>
      <x:c r="S32" s="6" t="str">
        <x:v>False</x:v>
      </x:c>
      <x:c r="T32" s="6" t="str">
        <x:v>Recent SSL</x:v>
      </x:c>
      <x:c r="U32" s="6" t="str">
        <x:v>SSL</x:v>
      </x:c>
      <x:c r="V32" s="6" t="str">
        <x:v>Swing low / sell-side</x:v>
      </x:c>
      <x:c r="W32" s="6" t="str">
        <x:v>[17494.75]</x:v>
      </x:c>
      <x:c r="X32" s="8" t="str">
        <x:v>1</x:v>
      </x:c>
      <x:c r="Y32" s="8" t="str">
        <x:v>5.0</x:v>
      </x:c>
      <x:c r="Z32" s="6" t="str">
        <x:v>None</x:v>
      </x:c>
      <x:c r="AA32" s="6" t="str">
        <x:v>17509.5</x:v>
      </x:c>
      <x:c r="AB32" s="9" t="str">
        <x:v>0.2912328989886281</x:v>
      </x:c>
      <x:c r="AC32" s="9" t="str">
        <x:v>0.6883686703367573</x:v>
      </x:c>
      <x:c r="AD32" s="9" t="str">
        <x:v>1.0590287235950113</x:v>
      </x:c>
      <x:c r="AE32" s="6" t="str">
        <x:v>With trade</x:v>
      </x:c>
      <x:c r="AF32" s="7" t="str">
        <x:v>2024-02-05 06:10:00-06:00</x:v>
      </x:c>
      <x:c r="AG32" s="6" t="str">
        <x:v>Long</x:v>
      </x:c>
      <x:c r="AH32" s="6" t="str">
        <x:v>17509.5</x:v>
      </x:c>
      <x:c r="AI32" s="8" t="str">
        <x:v>0</x:v>
      </x:c>
      <x:c r="AJ32" s="6" t="str">
        <x:v>True</x:v>
      </x:c>
      <x:c r="AK32" s="6" t="str">
        <x:v>Same-bar Setup+BOS</x:v>
      </x:c>
      <x:c r="AL32" s="9" t="str">
        <x:v>0.661892952246882</x:v>
      </x:c>
      <x:c r="AM32" s="9" t="str">
        <x:v>0.2912328989886281</x:v>
      </x:c>
      <x:c r="AN32" s="9" t="str">
        <x:v>0.6883686703367573</x:v>
      </x:c>
      <x:c r="AO32" s="9" t="str">
        <x:v>1.0590287235950113</x:v>
      </x:c>
      <x:c r="AP32" s="10" t="str">
        <x:v>0.65</x:v>
      </x:c>
      <x:c r="AQ32" s="6" t="str">
        <x:v>0.05</x:v>
      </x:c>
      <x:c r="AR32" s="6" t="str">
        <x:v>0.3</x:v>
      </x:c>
      <x:c r="AS32" s="6" t="str">
        <x:v>With trade</x:v>
      </x:c>
      <x:c r="AT32" s="6" t="str">
        <x:v>1.71648987463838</x:v>
      </x:c>
      <x:c r="AU32" s="7" t="str">
        <x:v>2024-02-05 06:15:00-06:00</x:v>
      </x:c>
      <x:c r="AV32" s="8" t="str">
        <x:v>1</x:v>
      </x:c>
      <x:c r="AW32" s="6" t="str">
        <x:v>Immediate retest (1 bar)</x:v>
      </x:c>
      <x:c r="AX32" s="6" t="str">
        <x:v>17508.75</x:v>
      </x:c>
      <x:c r="AY32" s="6" t="str">
        <x:v>0.75</x:v>
      </x:c>
      <x:c r="AZ32" s="9" t="str">
        <x:v>0.08045731093931541</x:v>
      </x:c>
      <x:c r="BA32" s="9" t="str">
        <x:v>0.4291056583430155</x:v>
      </x:c>
      <x:c r="BB32" s="9" t="str">
        <x:v>0.8313922130395925</x:v>
      </x:c>
      <x:c r="BC32" s="9" t="str">
        <x:v>0.18773372552506928</x:v>
      </x:c>
      <x:c r="BD32" s="6" t="str">
        <x:v>0.3870967741935484</x:v>
      </x:c>
      <x:c r="BE32" s="6" t="str">
        <x:v>0.3870967741935484</x:v>
      </x:c>
      <x:c r="BF32" s="9" t="str">
        <x:v>0.32182924375726163</x:v>
      </x:c>
      <x:c r="BG32" s="9" t="str">
        <x:v>0.32182924375726163</x:v>
      </x:c>
      <x:c r="BH32" s="6" t="str">
        <x:v>With trade</x:v>
      </x:c>
      <x:c r="BI32" s="6" t="str">
        <x:v>Penetration + same-bar reclaim</x:v>
      </x:c>
      <x:c r="BJ32" s="6" t="str">
        <x:v>False</x:v>
      </x:c>
      <x:c r="BK32" s="10" t="str">
        <x:v>True</x:v>
      </x:c>
      <x:c r="BL32" s="6" t="str">
        <x:v>True</x:v>
      </x:c>
      <x:c r="BM32" s="7" t="str">
        <x:v>2024-02-05 06:20:00-06:00</x:v>
      </x:c>
      <x:c r="BN32" s="8" t="str">
        <x:v>1</x:v>
      </x:c>
      <x:c r="BO32" s="6" t="str">
        <x:v>Immediate confirmation (1 bar)</x:v>
      </x:c>
      <x:c r="BP32" s="9" t="str">
        <x:v>0.21263302101339523</x:v>
      </x:c>
      <x:c r="BQ32" s="9" t="str">
        <x:v>1.1163233603203249</x:v>
      </x:c>
      <x:c r="BR32" s="10" t="str">
        <x:v>0.19047619047619047</x:v>
      </x:c>
      <x:c r="BS32" s="9" t="str">
        <x:v>0.6378990630401857</x:v>
      </x:c>
      <x:c r="BT32" s="9" t="str">
        <x:v>0.21263302101339523</x:v>
      </x:c>
      <x:c r="BU32" s="9" t="str">
        <x:v>0.15947476576004643</x:v>
      </x:c>
      <x:c r="BV32" s="6" t="str">
        <x:v>With trade</x:v>
      </x:c>
      <x:c r="BW32" s="7" t="str">
        <x:v>2024-02-05 06:20:00-06:00</x:v>
      </x:c>
      <x:c r="BX32" s="6" t="str">
        <x:v>17515.5</x:v>
      </x:c>
      <x:c r="BY32" s="9" t="str">
        <x:v>9.405876803462272</x:v>
      </x:c>
      <x:c r="BZ32" s="9" t="str">
        <x:v>0.9</x:v>
      </x:c>
      <x:c r="CA32" s="6" t="str">
        <x:v>17501.391184794807</x:v>
      </x:c>
      <x:c r="CB32" s="6" t="str">
        <x:v>14.108815205192514</x:v>
      </x:c>
      <x:c r="CC32" s="9" t="str">
        <x:v>1.499999999999905</x:v>
      </x:c>
      <x:c r="CD32" s="6" t="str">
        <x:v>17543.717630410385</x:v>
      </x:c>
      <x:c r="CE32" s="6" t="str">
        <x:v>28.217630410385027</x:v>
      </x:c>
      <x:c r="CF32" s="6" t="str">
        <x:v>Fixed 2.00R target</x:v>
      </x:c>
      <x:c r="CG32" s="9" t="str">
        <x:v>0.05138631341157377</x:v>
      </x:c>
      <x:c r="CH32" s="9" t="str">
        <x:v>-1.0</x:v>
      </x:c>
      <x:c r="CI32" s="9" t="str">
        <x:v>-1.0513863134115737</x:v>
      </x:c>
      <x:c r="CJ32" s="6" t="str">
        <x:v>Loss</x:v>
      </x:c>
      <x:c r="CK32" s="9" t="str">
        <x:v>0.7442155735469305</x:v>
      </x:c>
      <x:c r="CL32" s="9" t="str">
        <x:v>1.3289563813338043</x:v>
      </x:c>
      <x:c r="CM32" s="7" t="str">
        <x:v>2024-02-05 07:20:00-06:00</x:v>
      </x:c>
      <x:c r="CN32" s="6" t="str">
        <x:v>17501.391184794807</x:v>
      </x:c>
      <x:c r="CO32" s="6" t="str">
        <x:v>STOP</x:v>
      </x:c>
      <x:c r="CP32" s="6" t="str">
        <x:v>F::Long::Same-bar Setup+BOS::Penetration + same-bar reclaim</x:v>
      </x:c>
    </x:row>
    <x:row r="33" ht="18" customHeight="1">
      <x:c r="A33" s="6" t="str">
        <x:v>A0032</x:v>
      </x:c>
      <x:c r="B33" s="6" t="str">
        <x:v>2024-02-06</x:v>
      </x:c>
      <x:c r="C33" s="6" t="str">
        <x:v>2024</x:v>
      </x:c>
      <x:c r="D33" s="6" t="str">
        <x:v>2024-Q1</x:v>
      </x:c>
      <x:c r="E33" s="6" t="str">
        <x:v>First 50%</x:v>
      </x:c>
      <x:c r="F33" s="6" t="str">
        <x:v>Long</x:v>
      </x:c>
      <x:c r="G33" s="6" t="str">
        <x:v>Long</x:v>
      </x:c>
      <x:c r="H33" s="6" t="str">
        <x:v>Premarket</x:v>
      </x:c>
      <x:c r="I33" s="6" t="str">
        <x:v>Premarket</x:v>
      </x:c>
      <x:c r="J33" s="6" t="str">
        <x:v>Bull</x:v>
      </x:c>
      <x:c r="K33" s="6" t="str">
        <x:v>Bull</x:v>
      </x:c>
      <x:c r="L33" s="6" t="str">
        <x:v>HIGH</x:v>
      </x:c>
      <x:c r="M33" s="7" t="str">
        <x:v>2024-02-06 08:00:00-06:00</x:v>
      </x:c>
      <x:c r="N33" s="6" t="str">
        <x:v>90.0</x:v>
      </x:c>
      <x:c r="O33" s="6" t="str">
        <x:v>90-94</x:v>
      </x:c>
      <x:c r="P33" s="6" t="str">
        <x:v>Matching BOS only</x:v>
      </x:c>
      <x:c r="Q33" s="6" t="str">
        <x:v>Bull CHoCH</x:v>
      </x:c>
      <x:c r="R33" s="6" t="str">
        <x:v>True</x:v>
      </x:c>
      <x:c r="S33" s="6" t="str">
        <x:v>False</x:v>
      </x:c>
      <x:c r="T33" s="6" t="str">
        <x:v>Recent SSL</x:v>
      </x:c>
      <x:c r="U33" s="6" t="str">
        <x:v>SSL</x:v>
      </x:c>
      <x:c r="V33" s="6" t="str">
        <x:v>Swing low / sell-side</x:v>
      </x:c>
      <x:c r="W33" s="6" t="str">
        <x:v>[17460.25,17462.0]</x:v>
      </x:c>
      <x:c r="X33" s="8" t="str">
        <x:v>2</x:v>
      </x:c>
      <x:c r="Y33" s="8" t="str">
        <x:v>20.0</x:v>
      </x:c>
      <x:c r="Z33" s="6" t="str">
        <x:v>None</x:v>
      </x:c>
      <x:c r="AA33" s="6" t="str">
        <x:v>17527.0</x:v>
      </x:c>
      <x:c r="AB33" s="9" t="str">
        <x:v>0.7257388499798961</x:v>
      </x:c>
      <x:c r="AC33" s="9" t="str">
        <x:v>1.1145275196119835</x:v>
      </x:c>
      <x:c r="AD33" s="9" t="str">
        <x:v>1.1145275196119835</x:v>
      </x:c>
      <x:c r="AE33" s="6" t="str">
        <x:v>With trade</x:v>
      </x:c>
      <x:c r="AF33" s="7" t="str">
        <x:v>2024-02-06 08:00:00-06:00</x:v>
      </x:c>
      <x:c r="AG33" s="6" t="str">
        <x:v>Long</x:v>
      </x:c>
      <x:c r="AH33" s="6" t="str">
        <x:v>17527.0</x:v>
      </x:c>
      <x:c r="AI33" s="8" t="str">
        <x:v>0</x:v>
      </x:c>
      <x:c r="AJ33" s="6" t="str">
        <x:v>True</x:v>
      </x:c>
      <x:c r="AK33" s="6" t="str">
        <x:v>Same-bar Setup+BOS</x:v>
      </x:c>
      <x:c r="AL33" s="9" t="str">
        <x:v>1.0626890303277052</x:v>
      </x:c>
      <x:c r="AM33" s="9" t="str">
        <x:v>0.7257388499798961</x:v>
      </x:c>
      <x:c r="AN33" s="9" t="str">
        <x:v>1.1145275196119835</x:v>
      </x:c>
      <x:c r="AO33" s="9" t="str">
        <x:v>1.1145275196119835</x:v>
      </x:c>
      <x:c r="AP33" s="10" t="str">
        <x:v>1.0</x:v>
      </x:c>
      <x:c r="AQ33" s="6" t="str">
        <x:v>0.0</x:v>
      </x:c>
      <x:c r="AR33" s="6" t="str">
        <x:v>0.0</x:v>
      </x:c>
      <x:c r="AS33" s="6" t="str">
        <x:v>With trade</x:v>
      </x:c>
      <x:c r="AT33" s="6" t="str">
        <x:v>1.154127100073046</x:v>
      </x:c>
      <x:c r="AU33" s="7" t="str">
        <x:v>2024-02-06 08:05:00-06:00</x:v>
      </x:c>
      <x:c r="AV33" s="8" t="str">
        <x:v>1</x:v>
      </x:c>
      <x:c r="AW33" s="6" t="str">
        <x:v>Immediate retest (1 bar)</x:v>
      </x:c>
      <x:c r="AX33" s="6" t="str">
        <x:v>17525.0</x:v>
      </x:c>
      <x:c r="AY33" s="6" t="str">
        <x:v>2.0</x:v>
      </x:c>
      <x:c r="AZ33" s="9" t="str">
        <x:v>0.2023275522353435</x:v>
      </x:c>
      <x:c r="BA33" s="9" t="str">
        <x:v>-0.025290944029417936</x:v>
      </x:c>
      <x:c r="BB33" s="9" t="str">
        <x:v>1.3151290895297327</x:v>
      </x:c>
      <x:c r="BC33" s="9" t="str">
        <x:v>0.7334373768531202</x:v>
      </x:c>
      <x:c r="BD33" s="6" t="str">
        <x:v>0.3076923076923077</x:v>
      </x:c>
      <x:c r="BE33" s="6" t="str">
        <x:v>0.1346153846153846</x:v>
      </x:c>
      <x:c r="BF33" s="9" t="str">
        <x:v>0.17703660820592557</x:v>
      </x:c>
      <x:c r="BG33" s="9" t="str">
        <x:v>0.404655104470687</x:v>
      </x:c>
      <x:c r="BH33" s="6" t="str">
        <x:v>Against trade</x:v>
      </x:c>
      <x:c r="BI33" s="6" t="str">
        <x:v>Penetration without same-bar reclaim</x:v>
      </x:c>
      <x:c r="BJ33" s="6" t="str">
        <x:v>False</x:v>
      </x:c>
      <x:c r="BK33" s="10" t="str">
        <x:v>True</x:v>
      </x:c>
      <x:c r="BL33" s="6" t="str">
        <x:v>False</x:v>
      </x:c>
      <x:c r="BM33" s="7" t="str">
        <x:v>2024-02-06 08:10:00-06:00</x:v>
      </x:c>
      <x:c r="BN33" s="8" t="str">
        <x:v>1</x:v>
      </x:c>
      <x:c r="BO33" s="6" t="str">
        <x:v>Immediate confirmation (1 bar)</x:v>
      </x:c>
      <x:c r="BP33" s="9" t="str">
        <x:v>0.8042828326671216</x:v>
      </x:c>
      <x:c r="BQ33" s="9" t="str">
        <x:v>1.0807550563964448</x:v>
      </x:c>
      <x:c r="BR33" s="10" t="str">
        <x:v>0.7441860465116279</x:v>
      </x:c>
      <x:c r="BS33" s="9" t="str">
        <x:v>0.8294166711879692</x:v>
      </x:c>
      <x:c r="BT33" s="9" t="str">
        <x:v>0.8545505097088167</x:v>
      </x:c>
      <x:c r="BU33" s="9" t="str">
        <x:v>0.1508030311250853</x:v>
      </x:c>
      <x:c r="BV33" s="6" t="str">
        <x:v>With trade</x:v>
      </x:c>
      <x:c r="BW33" s="7" t="str">
        <x:v>2024-02-06 08:10:00-06:00</x:v>
      </x:c>
      <x:c r="BX33" s="6" t="str">
        <x:v>17535.25</x:v>
      </x:c>
      <x:c r="BY33" s="9" t="str">
        <x:v>9.946749669479837</x:v>
      </x:c>
      <x:c r="BZ33" s="9" t="str">
        <x:v>0.75</x:v>
      </x:c>
      <x:c r="CA33" s="6" t="str">
        <x:v>17520.32987549578</x:v>
      </x:c>
      <x:c r="CB33" s="6" t="str">
        <x:v>14.92012450422044</x:v>
      </x:c>
      <x:c r="CC33" s="9" t="str">
        <x:v>1.5000000000000686</x:v>
      </x:c>
      <x:c r="CD33" s="6" t="str">
        <x:v>17565.09024900844</x:v>
      </x:c>
      <x:c r="CE33" s="6" t="str">
        <x:v>29.84024900844088</x:v>
      </x:c>
      <x:c r="CF33" s="6" t="str">
        <x:v>Fixed 2.00R target</x:v>
      </x:c>
      <x:c r="CG33" s="9" t="str">
        <x:v>0.04859208780696971</x:v>
      </x:c>
      <x:c r="CH33" s="9" t="str">
        <x:v>-1.0</x:v>
      </x:c>
      <x:c r="CI33" s="9" t="str">
        <x:v>-1.0485920878069697</x:v>
      </x:c>
      <x:c r="CJ33" s="6" t="str">
        <x:v>Loss</x:v>
      </x:c>
      <x:c r="CK33" s="9" t="str">
        <x:v>1.290203710736782</x:v>
      </x:c>
      <x:c r="CL33" s="9" t="str">
        <x:v>1.8431481581954028</x:v>
      </x:c>
      <x:c r="CM33" s="7" t="str">
        <x:v>2024-02-06 08:30:00-06:00</x:v>
      </x:c>
      <x:c r="CN33" s="6" t="str">
        <x:v>17520.32987549578</x:v>
      </x:c>
      <x:c r="CO33" s="6" t="str">
        <x:v>STOP</x:v>
      </x:c>
      <x:c r="CP33" s="6" t="str">
        <x:v>F::Long::Same-bar Setup+BOS::Penetration without same-bar reclaim</x:v>
      </x:c>
    </x:row>
    <x:row r="34" ht="18" customHeight="1">
      <x:c r="A34" s="6" t="str">
        <x:v>A0033</x:v>
      </x:c>
      <x:c r="B34" s="6" t="str">
        <x:v>2024-02-08</x:v>
      </x:c>
      <x:c r="C34" s="6" t="str">
        <x:v>2024</x:v>
      </x:c>
      <x:c r="D34" s="6" t="str">
        <x:v>2024-Q1</x:v>
      </x:c>
      <x:c r="E34" s="6" t="str">
        <x:v>First 50%</x:v>
      </x:c>
      <x:c r="F34" s="6" t="str">
        <x:v>Short</x:v>
      </x:c>
      <x:c r="G34" s="6" t="str">
        <x:v>Short</x:v>
      </x:c>
      <x:c r="H34" s="6" t="str">
        <x:v>Morning</x:v>
      </x:c>
      <x:c r="I34" s="6" t="str">
        <x:v>Morning</x:v>
      </x:c>
      <x:c r="J34" s="6" t="str">
        <x:v>Bull</x:v>
      </x:c>
      <x:c r="K34" s="6" t="str">
        <x:v>Bull</x:v>
      </x:c>
      <x:c r="L34" s="6" t="str">
        <x:v>MID</x:v>
      </x:c>
      <x:c r="M34" s="7" t="str">
        <x:v>2024-02-08 11:45:00-06:00</x:v>
      </x:c>
      <x:c r="N34" s="6" t="str">
        <x:v>85.0</x:v>
      </x:c>
      <x:c r="O34" s="6" t="str">
        <x:v>85-89</x:v>
      </x:c>
      <x:c r="P34" s="6" t="str">
        <x:v>Matching BOS only</x:v>
      </x:c>
      <x:c r="Q34" s="6" t="str">
        <x:v>Bear CHoCH</x:v>
      </x:c>
      <x:c r="R34" s="6" t="str">
        <x:v>True</x:v>
      </x:c>
      <x:c r="S34" s="6" t="str">
        <x:v>False</x:v>
      </x:c>
      <x:c r="T34" s="6" t="str">
        <x:v>Recent BSL</x:v>
      </x:c>
      <x:c r="U34" s="6" t="str">
        <x:v>BSL</x:v>
      </x:c>
      <x:c r="V34" s="6" t="str">
        <x:v>Swing high / buy-side</x:v>
      </x:c>
      <x:c r="W34" s="6" t="str">
        <x:v>[17681.0,17676.75]</x:v>
      </x:c>
      <x:c r="X34" s="8" t="str">
        <x:v>2</x:v>
      </x:c>
      <x:c r="Y34" s="8" t="str">
        <x:v>4.0</x:v>
      </x:c>
      <x:c r="Z34" s="6" t="str">
        <x:v>None</x:v>
      </x:c>
      <x:c r="AA34" s="6" t="str">
        <x:v>17650.0</x:v>
      </x:c>
      <x:c r="AB34" s="9" t="str">
        <x:v>0.3321581382379767</x:v>
      </x:c>
      <x:c r="AC34" s="9" t="str">
        <x:v>0.5812767419164592</x:v>
      </x:c>
      <x:c r="AD34" s="9" t="str">
        <x:v>1.0296902285377276</x:v>
      </x:c>
      <x:c r="AE34" s="6" t="str">
        <x:v>With trade</x:v>
      </x:c>
      <x:c r="AF34" s="7" t="str">
        <x:v>2024-02-08 11:45:00-06:00</x:v>
      </x:c>
      <x:c r="AG34" s="6" t="str">
        <x:v>Short</x:v>
      </x:c>
      <x:c r="AH34" s="6" t="str">
        <x:v>17650.0</x:v>
      </x:c>
      <x:c r="AI34" s="8" t="str">
        <x:v>0</x:v>
      </x:c>
      <x:c r="AJ34" s="6" t="str">
        <x:v>True</x:v>
      </x:c>
      <x:c r="AK34" s="6" t="str">
        <x:v>Same-bar Setup+BOS</x:v>
      </x:c>
      <x:c r="AL34" s="9" t="str">
        <x:v>0.597884648828358</x:v>
      </x:c>
      <x:c r="AM34" s="9" t="str">
        <x:v>0.3321581382379767</x:v>
      </x:c>
      <x:c r="AN34" s="9" t="str">
        <x:v>0.5812767419164592</x:v>
      </x:c>
      <x:c r="AO34" s="9" t="str">
        <x:v>1.0296902285377276</x:v>
      </x:c>
      <x:c r="AP34" s="10" t="str">
        <x:v>0.5645161290322581</x:v>
      </x:c>
      <x:c r="AQ34" s="6" t="str">
        <x:v>0.1935483870967742</x:v>
      </x:c>
      <x:c r="AR34" s="6" t="str">
        <x:v>0.24193548387096775</x:v>
      </x:c>
      <x:c r="AS34" s="6" t="str">
        <x:v>With trade</x:v>
      </x:c>
      <x:c r="AT34" s="6" t="str">
        <x:v>1.3822302628272778</x:v>
      </x:c>
      <x:c r="AU34" s="7" t="str">
        <x:v>2024-02-08 11:50:00-06:00</x:v>
      </x:c>
      <x:c r="AV34" s="8" t="str">
        <x:v>1</x:v>
      </x:c>
      <x:c r="AW34" s="6" t="str">
        <x:v>Immediate retest (1 bar)</x:v>
      </x:c>
      <x:c r="AX34" s="6" t="str">
        <x:v>17655.0</x:v>
      </x:c>
      <x:c r="AY34" s="6" t="str">
        <x:v>5.0</x:v>
      </x:c>
      <x:c r="AZ34" s="9" t="str">
        <x:v>0.3394928301445512</x:v>
      </x:c>
      <x:c r="BA34" s="9" t="str">
        <x:v>0.06789856602891026</x:v>
      </x:c>
      <x:c r="BB34" s="9" t="str">
        <x:v>0.7129349433035577</x:v>
      </x:c>
      <x:c r="BC34" s="9" t="str">
        <x:v>0.2885689056228686</x:v>
      </x:c>
      <x:c r="BD34" s="6" t="str">
        <x:v>0.5714285714285714</x:v>
      </x:c>
      <x:c r="BE34" s="6" t="str">
        <x:v>0.023809523809523808</x:v>
      </x:c>
      <x:c r="BF34" s="9" t="str">
        <x:v>0.4073913961734615</x:v>
      </x:c>
      <x:c r="BG34" s="9" t="str">
        <x:v>0.016974641507227564</x:v>
      </x:c>
      <x:c r="BH34" s="6" t="str">
        <x:v>Against trade</x:v>
      </x:c>
      <x:c r="BI34" s="6" t="str">
        <x:v>Penetration + same-bar reclaim</x:v>
      </x:c>
      <x:c r="BJ34" s="6" t="str">
        <x:v>False</x:v>
      </x:c>
      <x:c r="BK34" s="10" t="str">
        <x:v>True</x:v>
      </x:c>
      <x:c r="BL34" s="6" t="str">
        <x:v>True</x:v>
      </x:c>
      <x:c r="BM34" s="7" t="str">
        <x:v>2024-02-08 11:55:00-06:00</x:v>
      </x:c>
      <x:c r="BN34" s="8" t="str">
        <x:v>1</x:v>
      </x:c>
      <x:c r="BO34" s="6" t="str">
        <x:v>Immediate confirmation (1 bar)</x:v>
      </x:c>
      <x:c r="BP34" s="9" t="str">
        <x:v>0.376597967587275</x:v>
      </x:c>
      <x:c r="BQ34" s="9" t="str">
        <x:v>0.8730225612250466</x:v>
      </x:c>
      <x:c r="BR34" s="10" t="str">
        <x:v>0.43137254901960786</x:v>
      </x:c>
      <x:c r="BS34" s="9" t="str">
        <x:v>0.46218841476620115</x:v>
      </x:c>
      <x:c r="BT34" s="9" t="str">
        <x:v>0.39371605702306023</x:v>
      </x:c>
      <x:c r="BU34" s="9" t="str">
        <x:v>0.0</x:v>
      </x:c>
      <x:c r="BV34" s="6" t="str">
        <x:v>With trade</x:v>
      </x:c>
      <x:c r="BW34" s="7" t="str">
        <x:v>2024-02-08 11:55:00-06:00</x:v>
      </x:c>
      <x:c r="BX34" s="6" t="str">
        <x:v>17643.25</x:v>
      </x:c>
      <x:c r="BY34" s="9" t="str">
        <x:v>14.60443356940156</x:v>
      </x:c>
      <x:c r="BZ34" s="9" t="str">
        <x:v>0.64</x:v>
      </x:c>
      <x:c r="CA34" s="6" t="str">
        <x:v>17665.156650354103</x:v>
      </x:c>
      <x:c r="CB34" s="6" t="str">
        <x:v>21.906650354103476</x:v>
      </x:c>
      <x:c r="CC34" s="9" t="str">
        <x:v>1.5000000000000777</x:v>
      </x:c>
      <x:c r="CD34" s="6" t="str">
        <x:v>17599.436699291797</x:v>
      </x:c>
      <x:c r="CE34" s="6" t="str">
        <x:v>43.813300708203315</x:v>
      </x:c>
      <x:c r="CF34" s="6" t="str">
        <x:v>Fixed 2.00R target</x:v>
      </x:c>
      <x:c r="CG34" s="9" t="str">
        <x:v>0.033094972909183056</x:v>
      </x:c>
      <x:c r="CH34" s="9" t="str">
        <x:v>-1.0</x:v>
      </x:c>
      <x:c r="CI34" s="9" t="str">
        <x:v>-1.033094972909183</x:v>
      </x:c>
      <x:c r="CJ34" s="6" t="str">
        <x:v>Loss</x:v>
      </x:c>
      <x:c r="CK34" s="9" t="str">
        <x:v>0.21682913285326832</x:v>
      </x:c>
      <x:c r="CL34" s="9" t="str">
        <x:v>1.358035095238891</x:v>
      </x:c>
      <x:c r="CM34" s="7" t="str">
        <x:v>2024-02-08 12:00:00-06:00</x:v>
      </x:c>
      <x:c r="CN34" s="6" t="str">
        <x:v>17665.156650354103</x:v>
      </x:c>
      <x:c r="CO34" s="6" t="str">
        <x:v>STOP</x:v>
      </x:c>
      <x:c r="CP34" s="6" t="str">
        <x:v>F::Short::Same-bar Setup+BOS::Penetration + same-bar reclaim</x:v>
      </x:c>
    </x:row>
    <x:row r="35" ht="18" customHeight="1">
      <x:c r="A35" s="6" t="str">
        <x:v>A0034</x:v>
      </x:c>
      <x:c r="B35" s="6" t="str">
        <x:v>2024-02-09</x:v>
      </x:c>
      <x:c r="C35" s="6" t="str">
        <x:v>2024</x:v>
      </x:c>
      <x:c r="D35" s="6" t="str">
        <x:v>2024-Q1</x:v>
      </x:c>
      <x:c r="E35" s="6" t="str">
        <x:v>First 50%</x:v>
      </x:c>
      <x:c r="F35" s="6" t="str">
        <x:v>Long</x:v>
      </x:c>
      <x:c r="G35" s="6" t="str">
        <x:v>Long</x:v>
      </x:c>
      <x:c r="H35" s="6" t="str">
        <x:v>Morning</x:v>
      </x:c>
      <x:c r="I35" s="6" t="str">
        <x:v>Morning</x:v>
      </x:c>
      <x:c r="J35" s="6" t="str">
        <x:v>Bull</x:v>
      </x:c>
      <x:c r="K35" s="6" t="str">
        <x:v>Bull</x:v>
      </x:c>
      <x:c r="L35" s="6" t="str">
        <x:v>MID</x:v>
      </x:c>
      <x:c r="M35" s="7" t="str">
        <x:v>2024-02-09 11:40:00-06:00</x:v>
      </x:c>
      <x:c r="N35" s="6" t="str">
        <x:v>75.0</x:v>
      </x:c>
      <x:c r="O35" s="6" t="str">
        <x:v>75-79</x:v>
      </x:c>
      <x:c r="P35" s="6" t="str">
        <x:v>Matching BOS only</x:v>
      </x:c>
      <x:c r="Q35" s="6" t="str">
        <x:v>Bull BOS</x:v>
      </x:c>
      <x:c r="R35" s="6" t="str">
        <x:v>True</x:v>
      </x:c>
      <x:c r="S35" s="6" t="str">
        <x:v>False</x:v>
      </x:c>
      <x:c r="T35" s="6" t="str">
        <x:v>No recent matching sweep</x:v>
      </x:c>
      <x:c r="U35" s="6" t="str">
        <x:v>None</x:v>
      </x:c>
      <x:c r="V35" s="6" t="str">
        <x:v>None</x:v>
      </x:c>
      <x:c r="W35" s="6" t="str">
        <x:v>[]</x:v>
      </x:c>
      <x:c r="X35" s="8" t="str">
        <x:v>0</x:v>
      </x:c>
      <x:c r="Y35" s="8" t="str"/>
      <x:c r="Z35" s="6" t="str">
        <x:v>None</x:v>
      </x:c>
      <x:c r="AA35" s="6" t="str">
        <x:v>17791.75</x:v>
      </x:c>
      <x:c r="AB35" s="9" t="str">
        <x:v>0.21941193789927138</x:v>
      </x:c>
      <x:c r="AC35" s="9" t="str">
        <x:v>0.6582358136978141</x:v>
      </x:c>
      <x:c r="AD35" s="9" t="str">
        <x:v>0.7313731263309046</x:v>
      </x:c>
      <x:c r="AE35" s="6" t="str">
        <x:v>With trade</x:v>
      </x:c>
      <x:c r="AF35" s="7" t="str">
        <x:v>2024-02-09 11:40:00-06:00</x:v>
      </x:c>
      <x:c r="AG35" s="6" t="str">
        <x:v>Long</x:v>
      </x:c>
      <x:c r="AH35" s="6" t="str">
        <x:v>17791.75</x:v>
      </x:c>
      <x:c r="AI35" s="8" t="str">
        <x:v>0</x:v>
      </x:c>
      <x:c r="AJ35" s="6" t="str">
        <x:v>True</x:v>
      </x:c>
      <x:c r="AK35" s="6" t="str">
        <x:v>Same-bar Setup+BOS</x:v>
      </x:c>
      <x:c r="AL35" s="9" t="str">
        <x:v>0.6948044700143593</x:v>
      </x:c>
      <x:c r="AM35" s="9" t="str">
        <x:v>0.21941193789927138</x:v>
      </x:c>
      <x:c r="AN35" s="9" t="str">
        <x:v>0.6582358136978141</x:v>
      </x:c>
      <x:c r="AO35" s="9" t="str">
        <x:v>0.7313731263309046</x:v>
      </x:c>
      <x:c r="AP35" s="10" t="str">
        <x:v>0.9</x:v>
      </x:c>
      <x:c r="AQ35" s="6" t="str">
        <x:v>0.1</x:v>
      </x:c>
      <x:c r="AR35" s="6" t="str">
        <x:v>0.0</x:v>
      </x:c>
      <x:c r="AS35" s="6" t="str">
        <x:v>With trade</x:v>
      </x:c>
      <x:c r="AT35" s="6" t="str">
        <x:v>0.5653246953570877</x:v>
      </x:c>
      <x:c r="AU35" s="7" t="str">
        <x:v>2024-02-09 11:45:00-06:00</x:v>
      </x:c>
      <x:c r="AV35" s="8" t="str">
        <x:v>1</x:v>
      </x:c>
      <x:c r="AW35" s="6" t="str">
        <x:v>Immediate retest (1 bar)</x:v>
      </x:c>
      <x:c r="AX35" s="6" t="str">
        <x:v>17791.0</x:v>
      </x:c>
      <x:c r="AY35" s="6" t="str">
        <x:v>0.75</x:v>
      </x:c>
      <x:c r="AZ35" s="9" t="str">
        <x:v>0.05615037850872714</x:v>
      </x:c>
      <x:c r="BA35" s="9" t="str">
        <x:v>0.5615037850872714</x:v>
      </x:c>
      <x:c r="BB35" s="9" t="str">
        <x:v>0.692521334940968</x:v>
      </x:c>
      <x:c r="BC35" s="9" t="str">
        <x:v>0.3181854782161204</x:v>
      </x:c>
      <x:c r="BD35" s="6" t="str">
        <x:v>0.10810810810810811</x:v>
      </x:c>
      <x:c r="BE35" s="6" t="str">
        <x:v>0.43243243243243246</x:v>
      </x:c>
      <x:c r="BF35" s="9" t="str">
        <x:v>0.2994686853798781</x:v>
      </x:c>
      <x:c r="BG35" s="9" t="str">
        <x:v>0.07486717134496952</x:v>
      </x:c>
      <x:c r="BH35" s="6" t="str">
        <x:v>With trade</x:v>
      </x:c>
      <x:c r="BI35" s="6" t="str">
        <x:v>Penetration + same-bar reclaim</x:v>
      </x:c>
      <x:c r="BJ35" s="6" t="str">
        <x:v>False</x:v>
      </x:c>
      <x:c r="BK35" s="10" t="str">
        <x:v>True</x:v>
      </x:c>
      <x:c r="BL35" s="6" t="str">
        <x:v>True</x:v>
      </x:c>
      <x:c r="BM35" s="7" t="str">
        <x:v>2024-02-09 11:50:00-06:00</x:v>
      </x:c>
      <x:c r="BN35" s="8" t="str">
        <x:v>1</x:v>
      </x:c>
      <x:c r="BO35" s="6" t="str">
        <x:v>Immediate confirmation (1 bar)</x:v>
      </x:c>
      <x:c r="BP35" s="9" t="str">
        <x:v>0.791518457376504</x:v>
      </x:c>
      <x:c r="BQ35" s="9" t="str">
        <x:v>1.214888795043006</x:v>
      </x:c>
      <x:c r="BR35" s="10" t="str">
        <x:v>0.6515151515151515</x:v>
      </x:c>
      <x:c r="BS35" s="9" t="str">
        <x:v>1.3437406369415068</x:v>
      </x:c>
      <x:c r="BT35" s="9" t="str">
        <x:v>0.791518457376504</x:v>
      </x:c>
      <x:c r="BU35" s="9" t="str">
        <x:v>0.14725924788400074</x:v>
      </x:c>
      <x:c r="BV35" s="6" t="str">
        <x:v>With trade</x:v>
      </x:c>
      <x:c r="BW35" s="7" t="str">
        <x:v>2024-02-09 11:50:00-06:00</x:v>
      </x:c>
      <x:c r="BX35" s="6" t="str">
        <x:v>17810.0</x:v>
      </x:c>
      <x:c r="BY35" s="9" t="str">
        <x:v>13.58148998272382</x:v>
      </x:c>
      <x:c r="BZ35" s="9" t="str">
        <x:v>0.61</x:v>
      </x:c>
      <x:c r="CA35" s="6" t="str">
        <x:v>17789.627765025914</x:v>
      </x:c>
      <x:c r="CB35" s="6" t="str">
        <x:v>20.372234974085586</x:v>
      </x:c>
      <x:c r="CC35" s="9" t="str">
        <x:v>1.4999999999999893</x:v>
      </x:c>
      <x:c r="CD35" s="6" t="str">
        <x:v>17850.74446994817</x:v>
      </x:c>
      <x:c r="CE35" s="6" t="str">
        <x:v>40.74446994817117</x:v>
      </x:c>
      <x:c r="CF35" s="6" t="str">
        <x:v>Fixed 2.00R target</x:v>
      </x:c>
      <x:c r="CG35" s="9" t="str">
        <x:v>0.0355876515719671</x:v>
      </x:c>
      <x:c r="CH35" s="9" t="str">
        <x:v>0.6749382194683368</x:v>
      </x:c>
      <x:c r="CI35" s="9" t="str">
        <x:v>0.6393505678963697</x:v>
      </x:c>
      <x:c r="CJ35" s="6" t="str">
        <x:v>Win</x:v>
      </x:c>
      <x:c r="CK35" s="9" t="str">
        <x:v>1.0553579431686795</x:v>
      </x:c>
      <x:c r="CL35" s="9" t="str">
        <x:v>0.2086172678356692</x:v>
      </x:c>
      <x:c r="CM35" s="7" t="str">
        <x:v>2024-02-09 12:50:00-06:00</x:v>
      </x:c>
      <x:c r="CN35" s="6" t="str">
        <x:v>17823.75</x:v>
      </x:c>
      <x:c r="CO35" s="6" t="str">
        <x:v>TIME</x:v>
      </x:c>
      <x:c r="CP35" s="6" t="str">
        <x:v>F::Long::Same-bar Setup+BOS::Penetration + same-bar reclaim</x:v>
      </x:c>
    </x:row>
    <x:row r="36" ht="18" customHeight="1">
      <x:c r="A36" s="6" t="str">
        <x:v>A0035</x:v>
      </x:c>
      <x:c r="B36" s="6" t="str">
        <x:v>2024-02-13</x:v>
      </x:c>
      <x:c r="C36" s="6" t="str">
        <x:v>2024</x:v>
      </x:c>
      <x:c r="D36" s="6" t="str">
        <x:v>2024-Q1</x:v>
      </x:c>
      <x:c r="E36" s="6" t="str">
        <x:v>First 50%</x:v>
      </x:c>
      <x:c r="F36" s="6" t="str">
        <x:v>Long</x:v>
      </x:c>
      <x:c r="G36" s="6" t="str">
        <x:v>Long</x:v>
      </x:c>
      <x:c r="H36" s="6" t="str">
        <x:v>Premarket</x:v>
      </x:c>
      <x:c r="I36" s="6" t="str">
        <x:v>Premarket</x:v>
      </x:c>
      <x:c r="J36" s="6" t="str">
        <x:v>Bear</x:v>
      </x:c>
      <x:c r="K36" s="6" t="str">
        <x:v>Bear</x:v>
      </x:c>
      <x:c r="L36" s="6" t="str">
        <x:v>MID</x:v>
      </x:c>
      <x:c r="M36" s="7" t="str">
        <x:v>2024-02-13 07:05:00-06:00</x:v>
      </x:c>
      <x:c r="N36" s="6" t="str">
        <x:v>75.0</x:v>
      </x:c>
      <x:c r="O36" s="6" t="str">
        <x:v>75-79</x:v>
      </x:c>
      <x:c r="P36" s="6" t="str">
        <x:v>Matching BOS only</x:v>
      </x:c>
      <x:c r="Q36" s="6" t="str">
        <x:v>Bull CHoCH</x:v>
      </x:c>
      <x:c r="R36" s="6" t="str">
        <x:v>True</x:v>
      </x:c>
      <x:c r="S36" s="6" t="str">
        <x:v>False</x:v>
      </x:c>
      <x:c r="T36" s="6" t="str">
        <x:v>Recent SSL</x:v>
      </x:c>
      <x:c r="U36" s="6" t="str">
        <x:v>SSL</x:v>
      </x:c>
      <x:c r="V36" s="6" t="str">
        <x:v>Swing low / sell-side</x:v>
      </x:c>
      <x:c r="W36" s="6" t="str">
        <x:v>[17594.75]</x:v>
      </x:c>
      <x:c r="X36" s="8" t="str">
        <x:v>1</x:v>
      </x:c>
      <x:c r="Y36" s="8" t="str">
        <x:v>13.0</x:v>
      </x:c>
      <x:c r="Z36" s="6" t="str">
        <x:v>None</x:v>
      </x:c>
      <x:c r="AA36" s="6" t="str">
        <x:v>17624.5</x:v>
      </x:c>
      <x:c r="AB36" s="9" t="str">
        <x:v>0.3977419131009965</x:v>
      </x:c>
      <x:c r="AC36" s="9" t="str">
        <x:v>0.772087243078405</x:v>
      </x:c>
      <x:c r="AD36" s="9" t="str">
        <x:v>1.0060530743142853</x:v>
      </x:c>
      <x:c r="AE36" s="6" t="str">
        <x:v>With trade</x:v>
      </x:c>
      <x:c r="AF36" s="7" t="str">
        <x:v>2024-02-13 07:05:00-06:00</x:v>
      </x:c>
      <x:c r="AG36" s="6" t="str">
        <x:v>Long</x:v>
      </x:c>
      <x:c r="AH36" s="6" t="str">
        <x:v>17624.5</x:v>
      </x:c>
      <x:c r="AI36" s="8" t="str">
        <x:v>0</x:v>
      </x:c>
      <x:c r="AJ36" s="6" t="str">
        <x:v>True</x:v>
      </x:c>
      <x:c r="AK36" s="6" t="str">
        <x:v>Same-bar Setup+BOS</x:v>
      </x:c>
      <x:c r="AL36" s="9" t="str">
        <x:v>0.795483826201993</x:v>
      </x:c>
      <x:c r="AM36" s="9" t="str">
        <x:v>0.3977419131009965</x:v>
      </x:c>
      <x:c r="AN36" s="9" t="str">
        <x:v>0.772087243078405</x:v>
      </x:c>
      <x:c r="AO36" s="9" t="str">
        <x:v>1.0060530743142853</x:v>
      </x:c>
      <x:c r="AP36" s="10" t="str">
        <x:v>0.7674418604651163</x:v>
      </x:c>
      <x:c r="AQ36" s="6" t="str">
        <x:v>0.09302325581395349</x:v>
      </x:c>
      <x:c r="AR36" s="6" t="str">
        <x:v>0.13953488372093023</x:v>
      </x:c>
      <x:c r="AS36" s="6" t="str">
        <x:v>With trade</x:v>
      </x:c>
      <x:c r="AT36" s="6" t="str">
        <x:v>0.9889038488323506</x:v>
      </x:c>
      <x:c r="AU36" s="7" t="str">
        <x:v>2024-02-13 07:15:00-06:00</x:v>
      </x:c>
      <x:c r="AV36" s="8" t="str">
        <x:v>2</x:v>
      </x:c>
      <x:c r="AW36" s="6" t="str">
        <x:v>Delayed retest (2+ bars)</x:v>
      </x:c>
      <x:c r="AX36" s="6" t="str">
        <x:v>17622.75</x:v>
      </x:c>
      <x:c r="AY36" s="6" t="str">
        <x:v>1.75</x:v>
      </x:c>
      <x:c r="AZ36" s="9" t="str">
        <x:v>0.17209637918438808</x:v>
      </x:c>
      <x:c r="BA36" s="9" t="str">
        <x:v>0.09834078810536462</x:v>
      </x:c>
      <x:c r="BB36" s="9" t="str">
        <x:v>0.8358966988955993</x:v>
      </x:c>
      <x:c r="BC36" s="9" t="str">
        <x:v>0.5654595316058466</x:v>
      </x:c>
      <x:c r="BD36" s="6" t="str">
        <x:v>0.0</x:v>
      </x:c>
      <x:c r="BE36" s="6" t="str">
        <x:v>0.3235294117647059</x:v>
      </x:c>
      <x:c r="BF36" s="9" t="str">
        <x:v>0.2704371672897527</x:v>
      </x:c>
      <x:c r="BG36" s="9" t="str">
        <x:v>0.0</x:v>
      </x:c>
      <x:c r="BH36" s="6" t="str">
        <x:v>Against trade</x:v>
      </x:c>
      <x:c r="BI36" s="6" t="str">
        <x:v>Penetration + same-bar reclaim</x:v>
      </x:c>
      <x:c r="BJ36" s="6" t="str">
        <x:v>False</x:v>
      </x:c>
      <x:c r="BK36" s="10" t="str">
        <x:v>True</x:v>
      </x:c>
      <x:c r="BL36" s="6" t="str">
        <x:v>True</x:v>
      </x:c>
      <x:c r="BM36" s="7" t="str">
        <x:v>2024-02-13 07:20:00-06:00</x:v>
      </x:c>
      <x:c r="BN36" s="8" t="str">
        <x:v>1</x:v>
      </x:c>
      <x:c r="BO36" s="6" t="str">
        <x:v>Immediate confirmation (1 bar)</x:v>
      </x:c>
      <x:c r="BP36" s="9" t="str">
        <x:v>1.0847602895015471</x:v>
      </x:c>
      <x:c r="BQ36" s="9" t="str">
        <x:v>1.2535007789795656</x:v>
      </x:c>
      <x:c r="BR36" s="10" t="str">
        <x:v>0.8653846153846154</x:v>
      </x:c>
      <x:c r="BS36" s="9" t="str">
        <x:v>1.2535007789795656</x:v>
      </x:c>
      <x:c r="BT36" s="9" t="str">
        <x:v>1.1570776421349835</x:v>
      </x:c>
      <x:c r="BU36" s="9" t="str">
        <x:v>0.07231735263343647</x:v>
      </x:c>
      <x:c r="BV36" s="6" t="str">
        <x:v>With trade</x:v>
      </x:c>
      <x:c r="BW36" s="7" t="str">
        <x:v>2024-02-13 07:20:00-06:00</x:v>
      </x:c>
      <x:c r="BX36" s="6" t="str">
        <x:v>17637.5</x:v>
      </x:c>
      <x:c r="BY36" s="9" t="str">
        <x:v>10.370954863373024</x:v>
      </x:c>
      <x:c r="BZ36" s="9" t="str">
        <x:v>0.66</x:v>
      </x:c>
      <x:c r="CA36" s="6" t="str">
        <x:v>17621.94356770494</x:v>
      </x:c>
      <x:c r="CB36" s="6" t="str">
        <x:v>15.556432295059494</x:v>
      </x:c>
      <x:c r="CC36" s="9" t="str">
        <x:v>1.499999999999996</x:v>
      </x:c>
      <x:c r="CD36" s="6" t="str">
        <x:v>17668.61286459012</x:v>
      </x:c>
      <x:c r="CE36" s="6" t="str">
        <x:v>31.11286459011899</x:v>
      </x:c>
      <x:c r="CF36" s="6" t="str">
        <x:v>Fixed 2.00R target</x:v>
      </x:c>
      <x:c r="CG36" s="9" t="str">
        <x:v>0.04660451614154808</x:v>
      </x:c>
      <x:c r="CH36" s="9" t="str">
        <x:v>-1.0</x:v>
      </x:c>
      <x:c r="CI36" s="9" t="str">
        <x:v>-1.046604516141548</x:v>
      </x:c>
      <x:c r="CJ36" s="6" t="str">
        <x:v>Loss</x:v>
      </x:c>
      <x:c r="CK36" s="9" t="str">
        <x:v>1.2374302561721386</x:v>
      </x:c>
      <x:c r="CL36" s="9" t="str">
        <x:v>11.136872305549247</x:v>
      </x:c>
      <x:c r="CM36" s="7" t="str">
        <x:v>2024-02-13 07:30:00-06:00</x:v>
      </x:c>
      <x:c r="CN36" s="6" t="str">
        <x:v>17621.94356770494</x:v>
      </x:c>
      <x:c r="CO36" s="6" t="str">
        <x:v>STOP</x:v>
      </x:c>
      <x:c r="CP36" s="6" t="str">
        <x:v>F::Long::Same-bar Setup+BOS::Penetration + same-bar reclaim</x:v>
      </x:c>
    </x:row>
    <x:row r="37" ht="18" customHeight="1">
      <x:c r="A37" s="6" t="str">
        <x:v>A0036</x:v>
      </x:c>
      <x:c r="B37" s="6" t="str">
        <x:v>2024-02-13</x:v>
      </x:c>
      <x:c r="C37" s="6" t="str">
        <x:v>2024</x:v>
      </x:c>
      <x:c r="D37" s="6" t="str">
        <x:v>2024-Q1</x:v>
      </x:c>
      <x:c r="E37" s="6" t="str">
        <x:v>First 50%</x:v>
      </x:c>
      <x:c r="F37" s="6" t="str">
        <x:v>Short</x:v>
      </x:c>
      <x:c r="G37" s="6" t="str">
        <x:v>Short</x:v>
      </x:c>
      <x:c r="H37" s="6" t="str">
        <x:v>Midday</x:v>
      </x:c>
      <x:c r="I37" s="6" t="str">
        <x:v>Midday</x:v>
      </x:c>
      <x:c r="J37" s="6" t="str">
        <x:v>Bear</x:v>
      </x:c>
      <x:c r="K37" s="6" t="str">
        <x:v>Bear</x:v>
      </x:c>
      <x:c r="L37" s="6" t="str">
        <x:v>MID</x:v>
      </x:c>
      <x:c r="M37" s="7" t="str">
        <x:v>2024-02-13 12:45:00-06:00</x:v>
      </x:c>
      <x:c r="N37" s="6" t="str">
        <x:v>75.0</x:v>
      </x:c>
      <x:c r="O37" s="6" t="str">
        <x:v>75-79</x:v>
      </x:c>
      <x:c r="P37" s="6" t="str">
        <x:v>Matching BOS only</x:v>
      </x:c>
      <x:c r="Q37" s="6" t="str">
        <x:v>Bear BOS</x:v>
      </x:c>
      <x:c r="R37" s="6" t="str">
        <x:v>True</x:v>
      </x:c>
      <x:c r="S37" s="6" t="str">
        <x:v>False</x:v>
      </x:c>
      <x:c r="T37" s="6" t="str">
        <x:v>No recent matching sweep</x:v>
      </x:c>
      <x:c r="U37" s="6" t="str">
        <x:v>None</x:v>
      </x:c>
      <x:c r="V37" s="6" t="str">
        <x:v>None</x:v>
      </x:c>
      <x:c r="W37" s="6" t="str">
        <x:v>[]</x:v>
      </x:c>
      <x:c r="X37" s="8" t="str">
        <x:v>0</x:v>
      </x:c>
      <x:c r="Y37" s="8" t="str"/>
      <x:c r="Z37" s="6" t="str">
        <x:v>None</x:v>
      </x:c>
      <x:c r="AA37" s="6" t="str">
        <x:v>17450.5</x:v>
      </x:c>
      <x:c r="AB37" s="9" t="str">
        <x:v>0.09960806196191307</x:v>
      </x:c>
      <x:c r="AC37" s="9" t="str">
        <x:v>0.6599034104976741</x:v>
      </x:c>
      <x:c r="AD37" s="9" t="str">
        <x:v>1.2451007745239135</x:v>
      </x:c>
      <x:c r="AE37" s="6" t="str">
        <x:v>With trade</x:v>
      </x:c>
      <x:c r="AF37" s="7" t="str">
        <x:v>2024-02-13 12:45:00-06:00</x:v>
      </x:c>
      <x:c r="AG37" s="6" t="str">
        <x:v>Short</x:v>
      </x:c>
      <x:c r="AH37" s="6" t="str">
        <x:v>17450.5</x:v>
      </x:c>
      <x:c r="AI37" s="8" t="str">
        <x:v>0</x:v>
      </x:c>
      <x:c r="AJ37" s="6" t="str">
        <x:v>True</x:v>
      </x:c>
      <x:c r="AK37" s="6" t="str">
        <x:v>Same-bar Setup+BOS</x:v>
      </x:c>
      <x:c r="AL37" s="9" t="str">
        <x:v>0.6599034104976741</x:v>
      </x:c>
      <x:c r="AM37" s="9" t="str">
        <x:v>0.09960806196191307</x:v>
      </x:c>
      <x:c r="AN37" s="9" t="str">
        <x:v>0.6599034104976741</x:v>
      </x:c>
      <x:c r="AO37" s="9" t="str">
        <x:v>1.2451007745239135</x:v>
      </x:c>
      <x:c r="AP37" s="10" t="str">
        <x:v>0.53</x:v>
      </x:c>
      <x:c r="AQ37" s="6" t="str">
        <x:v>0.25</x:v>
      </x:c>
      <x:c r="AR37" s="6" t="str">
        <x:v>0.22</x:v>
      </x:c>
      <x:c r="AS37" s="6" t="str">
        <x:v>With trade</x:v>
      </x:c>
      <x:c r="AT37" s="6" t="str">
        <x:v>1.2207802757976403</x:v>
      </x:c>
      <x:c r="AU37" s="7" t="str">
        <x:v>2024-02-13 12:50:00-06:00</x:v>
      </x:c>
      <x:c r="AV37" s="8" t="str">
        <x:v>1</x:v>
      </x:c>
      <x:c r="AW37" s="6" t="str">
        <x:v>Immediate retest (1 bar)</x:v>
      </x:c>
      <x:c r="AX37" s="6" t="str">
        <x:v>17451.0</x:v>
      </x:c>
      <x:c r="AY37" s="6" t="str">
        <x:v>0.5</x:v>
      </x:c>
      <x:c r="AZ37" s="9" t="str">
        <x:v>0.025545296409781502</x:v>
      </x:c>
      <x:c r="BA37" s="9" t="str">
        <x:v>0.5875418174249746</x:v>
      </x:c>
      <x:c r="BB37" s="9" t="str">
        <x:v>0.6641777066543191</x:v>
      </x:c>
      <x:c r="BC37" s="9" t="str">
        <x:v>0.4725879835809578</x:v>
      </x:c>
      <x:c r="BD37" s="6" t="str">
        <x:v>0.21153846153846154</x:v>
      </x:c>
      <x:c r="BE37" s="6" t="str">
        <x:v>0.07692307692307693</x:v>
      </x:c>
      <x:c r="BF37" s="9" t="str">
        <x:v>0.14049913025379826</x:v>
      </x:c>
      <x:c r="BG37" s="9" t="str">
        <x:v>0.051090592819563005</x:v>
      </x:c>
      <x:c r="BH37" s="6" t="str">
        <x:v>With trade</x:v>
      </x:c>
      <x:c r="BI37" s="6" t="str">
        <x:v>Penetration + same-bar reclaim</x:v>
      </x:c>
      <x:c r="BJ37" s="6" t="str">
        <x:v>False</x:v>
      </x:c>
      <x:c r="BK37" s="10" t="str">
        <x:v>True</x:v>
      </x:c>
      <x:c r="BL37" s="6" t="str">
        <x:v>True</x:v>
      </x:c>
      <x:c r="BM37" s="7" t="str">
        <x:v>2024-02-13 13:00:00-06:00</x:v>
      </x:c>
      <x:c r="BN37" s="8" t="str">
        <x:v>2</x:v>
      </x:c>
      <x:c r="BO37" s="6" t="str">
        <x:v>Delayed confirmation (2+ bars)</x:v>
      </x:c>
      <x:c r="BP37" s="9" t="str">
        <x:v>1.48176635820074</x:v>
      </x:c>
      <x:c r="BQ37" s="9" t="str">
        <x:v>1.6073397783872434</x:v>
      </x:c>
      <x:c r="BR37" s="10" t="str">
        <x:v>0.921875</x:v>
      </x:c>
      <x:c r="BS37" s="9" t="str">
        <x:v>1.808257250685649</x:v>
      </x:c>
      <x:c r="BT37" s="9" t="str">
        <x:v>1.2306195178277333</x:v>
      </x:c>
      <x:c r="BU37" s="9" t="str">
        <x:v>0.012557342018650339</x:v>
      </x:c>
      <x:c r="BV37" s="6" t="str">
        <x:v>With trade</x:v>
      </x:c>
      <x:c r="BW37" s="7" t="str">
        <x:v>2024-02-13 13:00:00-06:00</x:v>
      </x:c>
      <x:c r="BX37" s="6" t="str">
        <x:v>17414.5</x:v>
      </x:c>
      <x:c r="BY37" s="9" t="str">
        <x:v>19.90867172596689</x:v>
      </x:c>
      <x:c r="BZ37" s="9" t="str">
        <x:v>0.37</x:v>
      </x:c>
      <x:c r="CA37" s="6" t="str">
        <x:v>17444.36300758895</x:v>
      </x:c>
      <x:c r="CB37" s="6" t="str">
        <x:v>29.863007588948676</x:v>
      </x:c>
      <x:c r="CC37" s="9" t="str">
        <x:v>1.4999999999999167</x:v>
      </x:c>
      <x:c r="CD37" s="6" t="str">
        <x:v>17354.7739848221</x:v>
      </x:c>
      <x:c r="CE37" s="6" t="str">
        <x:v>59.72601517790099</x:v>
      </x:c>
      <x:c r="CF37" s="6" t="str">
        <x:v>Fixed 2.00R target</x:v>
      </x:c>
      <x:c r="CG37" s="9" t="str">
        <x:v>0.02427752790272534</x:v>
      </x:c>
      <x:c r="CH37" s="9" t="str">
        <x:v>2.0</x:v>
      </x:c>
      <x:c r="CI37" s="9" t="str">
        <x:v>1.9757224720972746</x:v>
      </x:c>
      <x:c r="CJ37" s="6" t="str">
        <x:v>Win</x:v>
      </x:c>
      <x:c r="CK37" s="9" t="str">
        <x:v>2.0845187750960723</x:v>
      </x:c>
      <x:c r="CL37" s="9" t="str">
        <x:v>0.7199542757359928</x:v>
      </x:c>
      <x:c r="CM37" s="7" t="str">
        <x:v>2024-02-13 14:00:00-06:00</x:v>
      </x:c>
      <x:c r="CN37" s="6" t="str">
        <x:v>17354.7739848221</x:v>
      </x:c>
      <x:c r="CO37" s="6" t="str">
        <x:v>TARGET</x:v>
      </x:c>
      <x:c r="CP37" s="6" t="str">
        <x:v>F::Short::Same-bar Setup+BOS::Penetration + same-bar reclaim</x:v>
      </x:c>
    </x:row>
    <x:row r="38" ht="18" customHeight="1">
      <x:c r="A38" s="6" t="str">
        <x:v>A0037</x:v>
      </x:c>
      <x:c r="B38" s="6" t="str">
        <x:v>2024-02-14</x:v>
      </x:c>
      <x:c r="C38" s="6" t="str">
        <x:v>2024</x:v>
      </x:c>
      <x:c r="D38" s="6" t="str">
        <x:v>2024-Q1</x:v>
      </x:c>
      <x:c r="E38" s="6" t="str">
        <x:v>First 50%</x:v>
      </x:c>
      <x:c r="F38" s="6" t="str">
        <x:v>Short</x:v>
      </x:c>
      <x:c r="G38" s="6" t="str">
        <x:v>Short</x:v>
      </x:c>
      <x:c r="H38" s="6" t="str">
        <x:v>Opening</x:v>
      </x:c>
      <x:c r="I38" s="6" t="str">
        <x:v>Opening</x:v>
      </x:c>
      <x:c r="J38" s="6" t="str">
        <x:v>Bear</x:v>
      </x:c>
      <x:c r="K38" s="6" t="str">
        <x:v>Bear</x:v>
      </x:c>
      <x:c r="L38" s="6" t="str">
        <x:v>HIGH</x:v>
      </x:c>
      <x:c r="M38" s="7" t="str">
        <x:v>2024-02-14 10:00:00-06:00</x:v>
      </x:c>
      <x:c r="N38" s="6" t="str">
        <x:v>85.0</x:v>
      </x:c>
      <x:c r="O38" s="6" t="str">
        <x:v>85-89</x:v>
      </x:c>
      <x:c r="P38" s="6" t="str">
        <x:v>Matching BOS only</x:v>
      </x:c>
      <x:c r="Q38" s="6" t="str">
        <x:v>Bear CHoCH</x:v>
      </x:c>
      <x:c r="R38" s="6" t="str">
        <x:v>True</x:v>
      </x:c>
      <x:c r="S38" s="6" t="str">
        <x:v>False</x:v>
      </x:c>
      <x:c r="T38" s="6" t="str">
        <x:v>Recent BSL</x:v>
      </x:c>
      <x:c r="U38" s="6" t="str">
        <x:v>BSL</x:v>
      </x:c>
      <x:c r="V38" s="6" t="str">
        <x:v>Equal high / buy-side | Swing high / buy-side</x:v>
      </x:c>
      <x:c r="W38" s="6" t="str">
        <x:v>[17598.5,17598.0,17586.75]</x:v>
      </x:c>
      <x:c r="X38" s="8" t="str">
        <x:v>3</x:v>
      </x:c>
      <x:c r="Y38" s="8" t="str">
        <x:v>18.0</x:v>
      </x:c>
      <x:c r="Z38" s="6" t="str">
        <x:v>None</x:v>
      </x:c>
      <x:c r="AA38" s="6" t="str">
        <x:v>17529.75</x:v>
      </x:c>
      <x:c r="AB38" s="9" t="str">
        <x:v>0.7913064085584063</x:v>
      </x:c>
      <x:c r="AC38" s="9" t="str">
        <x:v>0.8407630590933066</x:v>
      </x:c>
      <x:c r="AD38" s="9" t="str">
        <x:v>1.533156166581912</x:v>
      </x:c>
      <x:c r="AE38" s="6" t="str">
        <x:v>With trade</x:v>
      </x:c>
      <x:c r="AF38" s="7" t="str">
        <x:v>2024-02-14 10:00:00-06:00</x:v>
      </x:c>
      <x:c r="AG38" s="6" t="str">
        <x:v>Short</x:v>
      </x:c>
      <x:c r="AH38" s="6" t="str">
        <x:v>17529.75</x:v>
      </x:c>
      <x:c r="AI38" s="8" t="str">
        <x:v>0</x:v>
      </x:c>
      <x:c r="AJ38" s="6" t="str">
        <x:v>True</x:v>
      </x:c>
      <x:c r="AK38" s="6" t="str">
        <x:v>Same-bar Setup+BOS</x:v>
      </x:c>
      <x:c r="AL38" s="9" t="str">
        <x:v>0.8506543892002867</x:v>
      </x:c>
      <x:c r="AM38" s="9" t="str">
        <x:v>0.7913064085584063</x:v>
      </x:c>
      <x:c r="AN38" s="9" t="str">
        <x:v>0.8407630590933066</x:v>
      </x:c>
      <x:c r="AO38" s="9" t="str">
        <x:v>1.533156166581912</x:v>
      </x:c>
      <x:c r="AP38" s="10" t="str">
        <x:v>0.5483870967741935</x:v>
      </x:c>
      <x:c r="AQ38" s="6" t="str">
        <x:v>0.0</x:v>
      </x:c>
      <x:c r="AR38" s="6" t="str">
        <x:v>0.45161290322580644</x:v>
      </x:c>
      <x:c r="AS38" s="6" t="str">
        <x:v>With trade</x:v>
      </x:c>
      <x:c r="AT38" s="6" t="str">
        <x:v>1.7611458032625817</x:v>
      </x:c>
      <x:c r="AU38" s="7" t="str">
        <x:v>2024-02-14 10:05:00-06:00</x:v>
      </x:c>
      <x:c r="AV38" s="8" t="str">
        <x:v>1</x:v>
      </x:c>
      <x:c r="AW38" s="6" t="str">
        <x:v>Immediate retest (1 bar)</x:v>
      </x:c>
      <x:c r="AX38" s="6" t="str">
        <x:v>17529.5</x:v>
      </x:c>
      <x:c r="AY38" s="6" t="str">
        <x:v>0.0</x:v>
      </x:c>
      <x:c r="AZ38" s="9" t="str">
        <x:v>0.0</x:v>
      </x:c>
      <x:c r="BA38" s="9" t="str">
        <x:v>0.5062816176955686</x:v>
      </x:c>
      <x:c r="BB38" s="9" t="str">
        <x:v>0.9530006921328349</x:v>
      </x:c>
      <x:c r="BC38" s="9" t="str">
        <x:v>0.2779585352054102</x:v>
      </x:c>
      <x:c r="BD38" s="6" t="str">
        <x:v>0.5208333333333334</x:v>
      </x:c>
      <x:c r="BE38" s="6" t="str">
        <x:v>0.1875</x:v>
      </x:c>
      <x:c r="BF38" s="9" t="str">
        <x:v>0.4963545271525182</x:v>
      </x:c>
      <x:c r="BG38" s="9" t="str">
        <x:v>0.17868762977490654</x:v>
      </x:c>
      <x:c r="BH38" s="6" t="str">
        <x:v>Against trade</x:v>
      </x:c>
      <x:c r="BI38" s="6" t="str">
        <x:v>Tolerance-only shallow touch</x:v>
      </x:c>
      <x:c r="BJ38" s="6" t="str">
        <x:v>True</x:v>
      </x:c>
      <x:c r="BK38" s="10" t="str">
        <x:v>False</x:v>
      </x:c>
      <x:c r="BL38" s="6" t="str">
        <x:v>True</x:v>
      </x:c>
      <x:c r="BM38" s="7" t="str">
        <x:v>2024-02-14 10:10:00-06:00</x:v>
      </x:c>
      <x:c r="BN38" s="8" t="str">
        <x:v>1</x:v>
      </x:c>
      <x:c r="BO38" s="6" t="str">
        <x:v>Immediate confirmation (1 bar)</x:v>
      </x:c>
      <x:c r="BP38" s="9" t="str">
        <x:v>0.34108468775156886</x:v>
      </x:c>
      <x:c r="BQ38" s="9" t="str">
        <x:v>0.8627436219598507</x:v>
      </x:c>
      <x:c r="BR38" s="10" t="str">
        <x:v>0.3953488372093023</x:v>
      </x:c>
      <x:c r="BS38" s="9" t="str">
        <x:v>0.8426798167979936</x:v>
      </x:c>
      <x:c r="BT38" s="9" t="str">
        <x:v>0.33105278517064035</x:v>
      </x:c>
      <x:c r="BU38" s="9" t="str">
        <x:v>0.4714994213036393</x:v>
      </x:c>
      <x:c r="BV38" s="6" t="str">
        <x:v>With trade</x:v>
      </x:c>
      <x:c r="BW38" s="7" t="str">
        <x:v>2024-02-14 10:10:00-06:00</x:v>
      </x:c>
      <x:c r="BX38" s="6" t="str">
        <x:v>17508.75</x:v>
      </x:c>
      <x:c r="BY38" s="9" t="str">
        <x:v>24.920497182186693</x:v>
      </x:c>
      <x:c r="BZ38" s="9" t="str">
        <x:v>0.98</x:v>
      </x:c>
      <x:c r="CA38" s="6" t="str">
        <x:v>17546.13074577328</x:v>
      </x:c>
      <x:c r="CB38" s="6" t="str">
        <x:v>37.38074577328007</x:v>
      </x:c>
      <x:c r="CC38" s="9" t="str">
        <x:v>1.500000000000001</x:v>
      </x:c>
      <x:c r="CD38" s="6" t="str">
        <x:v>17433.98850845344</x:v>
      </x:c>
      <x:c r="CE38" s="6" t="str">
        <x:v>74.76149154656014</x:v>
      </x:c>
      <x:c r="CF38" s="6" t="str">
        <x:v>Fixed 2.00R target</x:v>
      </x:c>
      <x:c r="CG38" s="9" t="str">
        <x:v>0.019395011656461743</x:v>
      </x:c>
      <x:c r="CH38" s="9" t="str">
        <x:v>-1.0</x:v>
      </x:c>
      <x:c r="CI38" s="9" t="str">
        <x:v>-1.0193950116564618</x:v>
      </x:c>
      <x:c r="CJ38" s="6" t="str">
        <x:v>Loss</x:v>
      </x:c>
      <x:c r="CK38" s="9" t="str">
        <x:v>0.48153132388456743</x:v>
      </x:c>
      <x:c r="CL38" s="9" t="str">
        <x:v>1.0366299333626106</x:v>
      </x:c>
      <x:c r="CM38" s="7" t="str">
        <x:v>2024-02-14 10:25:00-06:00</x:v>
      </x:c>
      <x:c r="CN38" s="6" t="str">
        <x:v>17546.13074577328</x:v>
      </x:c>
      <x:c r="CO38" s="6" t="str">
        <x:v>STOP</x:v>
      </x:c>
      <x:c r="CP38" s="6" t="str">
        <x:v>F::Short::Same-bar Setup+BOS::Tolerance-only shallow touch</x:v>
      </x:c>
    </x:row>
    <x:row r="39" ht="18" customHeight="1">
      <x:c r="A39" s="6" t="str">
        <x:v>A0038</x:v>
      </x:c>
      <x:c r="B39" s="6" t="str">
        <x:v>2024-02-15</x:v>
      </x:c>
      <x:c r="C39" s="6" t="str">
        <x:v>2024</x:v>
      </x:c>
      <x:c r="D39" s="6" t="str">
        <x:v>2024-Q1</x:v>
      </x:c>
      <x:c r="E39" s="6" t="str">
        <x:v>First 50%</x:v>
      </x:c>
      <x:c r="F39" s="6" t="str">
        <x:v>Short</x:v>
      </x:c>
      <x:c r="G39" s="6" t="str">
        <x:v>Short</x:v>
      </x:c>
      <x:c r="H39" s="6" t="str">
        <x:v>Overnight</x:v>
      </x:c>
      <x:c r="I39" s="6" t="str">
        <x:v>Overnight</x:v>
      </x:c>
      <x:c r="J39" s="6" t="str">
        <x:v>Bull</x:v>
      </x:c>
      <x:c r="K39" s="6" t="str">
        <x:v>Bull</x:v>
      </x:c>
      <x:c r="L39" s="6" t="str">
        <x:v>HIGH</x:v>
      </x:c>
      <x:c r="M39" s="7" t="str">
        <x:v>2024-02-15 03:05:00-06:00</x:v>
      </x:c>
      <x:c r="N39" s="6" t="str">
        <x:v>90.0</x:v>
      </x:c>
      <x:c r="O39" s="6" t="str">
        <x:v>90-94</x:v>
      </x:c>
      <x:c r="P39" s="6" t="str">
        <x:v>Matching BOS only</x:v>
      </x:c>
      <x:c r="Q39" s="6" t="str">
        <x:v>Bear CHoCH</x:v>
      </x:c>
      <x:c r="R39" s="6" t="str">
        <x:v>True</x:v>
      </x:c>
      <x:c r="S39" s="6" t="str">
        <x:v>False</x:v>
      </x:c>
      <x:c r="T39" s="6" t="str">
        <x:v>Recent BSL</x:v>
      </x:c>
      <x:c r="U39" s="6" t="str">
        <x:v>BSL</x:v>
      </x:c>
      <x:c r="V39" s="6" t="str">
        <x:v>Swing high / buy-side</x:v>
      </x:c>
      <x:c r="W39" s="6" t="str">
        <x:v>[17710.0]</x:v>
      </x:c>
      <x:c r="X39" s="8" t="str">
        <x:v>1</x:v>
      </x:c>
      <x:c r="Y39" s="8" t="str">
        <x:v>8.0</x:v>
      </x:c>
      <x:c r="Z39" s="6" t="str">
        <x:v>None</x:v>
      </x:c>
      <x:c r="AA39" s="6" t="str">
        <x:v>17692.25</x:v>
      </x:c>
      <x:c r="AB39" s="9" t="str">
        <x:v>0.49480106761185544</x:v>
      </x:c>
      <x:c r="AC39" s="9" t="str">
        <x:v>1.1933437512991807</x:v>
      </x:c>
      <x:c r="AD39" s="9" t="str">
        <x:v>1.4844032028355663</x:v>
      </x:c>
      <x:c r="AE39" s="6" t="str">
        <x:v>With trade</x:v>
      </x:c>
      <x:c r="AF39" s="7" t="str">
        <x:v>2024-02-15 03:05:00-06:00</x:v>
      </x:c>
      <x:c r="AG39" s="6" t="str">
        <x:v>Short</x:v>
      </x:c>
      <x:c r="AH39" s="6" t="str">
        <x:v>17692.25</x:v>
      </x:c>
      <x:c r="AI39" s="8" t="str">
        <x:v>0</x:v>
      </x:c>
      <x:c r="AJ39" s="6" t="str">
        <x:v>True</x:v>
      </x:c>
      <x:c r="AK39" s="6" t="str">
        <x:v>Same-bar Setup+BOS</x:v>
      </x:c>
      <x:c r="AL39" s="9" t="str">
        <x:v>1.1642378061455423</x:v>
      </x:c>
      <x:c r="AM39" s="9" t="str">
        <x:v>0.49480106761185544</x:v>
      </x:c>
      <x:c r="AN39" s="9" t="str">
        <x:v>1.1933437512991807</x:v>
      </x:c>
      <x:c r="AO39" s="9" t="str">
        <x:v>1.4844032028355663</x:v>
      </x:c>
      <x:c r="AP39" s="10" t="str">
        <x:v>0.803921568627451</x:v>
      </x:c>
      <x:c r="AQ39" s="6" t="str">
        <x:v>0.0</x:v>
      </x:c>
      <x:c r="AR39" s="6" t="str">
        <x:v>0.19607843137254902</x:v>
      </x:c>
      <x:c r="AS39" s="6" t="str">
        <x:v>With trade</x:v>
      </x:c>
      <x:c r="AT39" s="6" t="str">
        <x:v>1.7640766313332685</x:v>
      </x:c>
      <x:c r="AU39" s="7" t="str">
        <x:v>2024-02-15 03:20:00-06:00</x:v>
      </x:c>
      <x:c r="AV39" s="8" t="str">
        <x:v>3</x:v>
      </x:c>
      <x:c r="AW39" s="6" t="str">
        <x:v>Delayed retest (2+ bars)</x:v>
      </x:c>
      <x:c r="AX39" s="6" t="str">
        <x:v>17694.0</x:v>
      </x:c>
      <x:c r="AY39" s="6" t="str">
        <x:v>1.75</x:v>
      </x:c>
      <x:c r="AZ39" s="9" t="str">
        <x:v>0.19410870661591204</x:v>
      </x:c>
      <x:c r="BA39" s="9" t="str">
        <x:v>0.027729815230844574</x:v>
      </x:c>
      <x:c r="BB39" s="9" t="str">
        <x:v>1.2755715006188504</x:v>
      </x:c>
      <x:c r="BC39" s="9" t="str">
        <x:v>0.7764348264636481</x:v>
      </x:c>
      <x:c r="BD39" s="6" t="str">
        <x:v>0.17391304347826086</x:v>
      </x:c>
      <x:c r="BE39" s="6" t="str">
        <x:v>0.21739130434782608</x:v>
      </x:c>
      <x:c r="BF39" s="9" t="str">
        <x:v>0.2218385218467566</x:v>
      </x:c>
      <x:c r="BG39" s="9" t="str">
        <x:v>0.27729815230844573</x:v>
      </x:c>
      <x:c r="BH39" s="6" t="str">
        <x:v>Against trade</x:v>
      </x:c>
      <x:c r="BI39" s="6" t="str">
        <x:v>Penetration + same-bar reclaim</x:v>
      </x:c>
      <x:c r="BJ39" s="6" t="str">
        <x:v>False</x:v>
      </x:c>
      <x:c r="BK39" s="10" t="str">
        <x:v>True</x:v>
      </x:c>
      <x:c r="BL39" s="6" t="str">
        <x:v>True</x:v>
      </x:c>
      <x:c r="BM39" s="7" t="str">
        <x:v>2024-02-15 03:25:00-06:00</x:v>
      </x:c>
      <x:c r="BN39" s="8" t="str">
        <x:v>1</x:v>
      </x:c>
      <x:c r="BO39" s="6" t="str">
        <x:v>Immediate confirmation (1 bar)</x:v>
      </x:c>
      <x:c r="BP39" s="9" t="str">
        <x:v>0.1650912666587688</x:v>
      </x:c>
      <x:c r="BQ39" s="9" t="str">
        <x:v>1.100608444391792</x:v>
      </x:c>
      <x:c r="BR39" s="10" t="str">
        <x:v>0.15</x:v>
      </x:c>
      <x:c r="BS39" s="9" t="str">
        <x:v>0.2201216888783584</x:v>
      </x:c>
      <x:c r="BT39" s="9" t="str">
        <x:v>0.1926064777685636</x:v>
      </x:c>
      <x:c r="BU39" s="9" t="str">
        <x:v>0.3301825333175376</x:v>
      </x:c>
      <x:c r="BV39" s="6" t="str">
        <x:v>With trade</x:v>
      </x:c>
      <x:c r="BW39" s="7" t="str">
        <x:v>2024-02-15 03:25:00-06:00</x:v>
      </x:c>
      <x:c r="BX39" s="6" t="str">
        <x:v>17690.25</x:v>
      </x:c>
      <x:c r="BY39" s="9" t="str">
        <x:v>9.085883404725381</x:v>
      </x:c>
      <x:c r="BZ39" s="9" t="str">
        <x:v>1.0</x:v>
      </x:c>
      <x:c r="CA39" s="6" t="str">
        <x:v>17703.878825107087</x:v>
      </x:c>
      <x:c r="CB39" s="6" t="str">
        <x:v>13.628825107087323</x:v>
      </x:c>
      <x:c r="CC39" s="9" t="str">
        <x:v>1.4999999999999176</x:v>
      </x:c>
      <x:c r="CD39" s="6" t="str">
        <x:v>17662.992349785825</x:v>
      </x:c>
      <x:c r="CE39" s="6" t="str">
        <x:v>27.257650214174646</x:v>
      </x:c>
      <x:c r="CF39" s="6" t="str">
        <x:v>Fixed 2.00R target</x:v>
      </x:c>
      <x:c r="CG39" s="9" t="str">
        <x:v>0.05319607481227287</x:v>
      </x:c>
      <x:c r="CH39" s="9" t="str">
        <x:v>1.0272345480990057</x:v>
      </x:c>
      <x:c r="CI39" s="9" t="str">
        <x:v>0.9740384732867329</x:v>
      </x:c>
      <x:c r="CJ39" s="6" t="str">
        <x:v>Win</x:v>
      </x:c>
      <x:c r="CK39" s="9" t="str">
        <x:v>1.6142257184413835</x:v>
      </x:c>
      <x:c r="CL39" s="9" t="str">
        <x:v>0.03668694814639508</x:v>
      </x:c>
      <x:c r="CM39" s="7" t="str">
        <x:v>2024-02-15 04:25:00-06:00</x:v>
      </x:c>
      <x:c r="CN39" s="6" t="str">
        <x:v>17676.25</x:v>
      </x:c>
      <x:c r="CO39" s="6" t="str">
        <x:v>TIME</x:v>
      </x:c>
      <x:c r="CP39" s="6" t="str">
        <x:v>F::Short::Same-bar Setup+BOS::Penetration + same-bar reclaim</x:v>
      </x:c>
    </x:row>
    <x:row r="40" ht="18" customHeight="1">
      <x:c r="A40" s="6" t="str">
        <x:v>A0039</x:v>
      </x:c>
      <x:c r="B40" s="6" t="str">
        <x:v>2024-02-19</x:v>
      </x:c>
      <x:c r="C40" s="6" t="str">
        <x:v>2024</x:v>
      </x:c>
      <x:c r="D40" s="6" t="str">
        <x:v>2024-Q1</x:v>
      </x:c>
      <x:c r="E40" s="6" t="str">
        <x:v>First 50%</x:v>
      </x:c>
      <x:c r="F40" s="6" t="str">
        <x:v>Short</x:v>
      </x:c>
      <x:c r="G40" s="6" t="str">
        <x:v>Short</x:v>
      </x:c>
      <x:c r="H40" s="6" t="str">
        <x:v>Premarket</x:v>
      </x:c>
      <x:c r="I40" s="6" t="str">
        <x:v>Premarket</x:v>
      </x:c>
      <x:c r="J40" s="6" t="str">
        <x:v>Bear</x:v>
      </x:c>
      <x:c r="K40" s="6" t="str">
        <x:v>Bear</x:v>
      </x:c>
      <x:c r="L40" s="6" t="str">
        <x:v>HIGH</x:v>
      </x:c>
      <x:c r="M40" s="7" t="str">
        <x:v>2024-02-19 04:25:00-06:00</x:v>
      </x:c>
      <x:c r="N40" s="6" t="str">
        <x:v>90.0</x:v>
      </x:c>
      <x:c r="O40" s="6" t="str">
        <x:v>90-94</x:v>
      </x:c>
      <x:c r="P40" s="6" t="str">
        <x:v>Matching BOS only</x:v>
      </x:c>
      <x:c r="Q40" s="6" t="str">
        <x:v>Bear BOS</x:v>
      </x:c>
      <x:c r="R40" s="6" t="str">
        <x:v>True</x:v>
      </x:c>
      <x:c r="S40" s="6" t="str">
        <x:v>False</x:v>
      </x:c>
      <x:c r="T40" s="6" t="str">
        <x:v>Recent BSL</x:v>
      </x:c>
      <x:c r="U40" s="6" t="str">
        <x:v>BSL</x:v>
      </x:c>
      <x:c r="V40" s="6" t="str">
        <x:v>Swing high / buy-side</x:v>
      </x:c>
      <x:c r="W40" s="6" t="str">
        <x:v>[17573.0]</x:v>
      </x:c>
      <x:c r="X40" s="8" t="str">
        <x:v>1</x:v>
      </x:c>
      <x:c r="Y40" s="8" t="str">
        <x:v>14.0</x:v>
      </x:c>
      <x:c r="Z40" s="6" t="str">
        <x:v>None</x:v>
      </x:c>
      <x:c r="AA40" s="6" t="str">
        <x:v>17559.0</x:v>
      </x:c>
      <x:c r="AB40" s="9" t="str">
        <x:v>0.664977424525456</x:v>
      </x:c>
      <x:c r="AC40" s="9" t="str">
        <x:v>1.163710492919548</x:v>
      </x:c>
      <x:c r="AD40" s="9" t="str">
        <x:v>1.9284345311238227</x:v>
      </x:c>
      <x:c r="AE40" s="6" t="str">
        <x:v>With trade</x:v>
      </x:c>
      <x:c r="AF40" s="7" t="str">
        <x:v>2024-02-19 04:25:00-06:00</x:v>
      </x:c>
      <x:c r="AG40" s="6" t="str">
        <x:v>Short</x:v>
      </x:c>
      <x:c r="AH40" s="6" t="str">
        <x:v>17559.0</x:v>
      </x:c>
      <x:c r="AI40" s="8" t="str">
        <x:v>0</x:v>
      </x:c>
      <x:c r="AJ40" s="6" t="str">
        <x:v>True</x:v>
      </x:c>
      <x:c r="AK40" s="6" t="str">
        <x:v>Same-bar Setup+BOS</x:v>
      </x:c>
      <x:c r="AL40" s="9" t="str">
        <x:v>1.0972127504670026</x:v>
      </x:c>
      <x:c r="AM40" s="9" t="str">
        <x:v>0.664977424525456</x:v>
      </x:c>
      <x:c r="AN40" s="9" t="str">
        <x:v>1.163710492919548</x:v>
      </x:c>
      <x:c r="AO40" s="9" t="str">
        <x:v>1.9284345311238227</x:v>
      </x:c>
      <x:c r="AP40" s="10" t="str">
        <x:v>0.603448275862069</x:v>
      </x:c>
      <x:c r="AQ40" s="6" t="str">
        <x:v>0.10344827586206896</x:v>
      </x:c>
      <x:c r="AR40" s="6" t="str">
        <x:v>0.29310344827586204</x:v>
      </x:c>
      <x:c r="AS40" s="6" t="str">
        <x:v>With trade</x:v>
      </x:c>
      <x:c r="AT40" s="6" t="str">
        <x:v>2.3102732065825213</x:v>
      </x:c>
      <x:c r="AU40" s="7" t="str">
        <x:v>2024-02-19 04:30:00-06:00</x:v>
      </x:c>
      <x:c r="AV40" s="8" t="str">
        <x:v>1</x:v>
      </x:c>
      <x:c r="AW40" s="6" t="str">
        <x:v>Immediate retest (1 bar)</x:v>
      </x:c>
      <x:c r="AX40" s="6" t="str">
        <x:v>17561.5</x:v>
      </x:c>
      <x:c r="AY40" s="6" t="str">
        <x:v>2.5</x:v>
      </x:c>
      <x:c r="AZ40" s="9" t="str">
        <x:v>0.33254890036449686</x:v>
      </x:c>
      <x:c r="BA40" s="9" t="str">
        <x:v>0.2327842302551478</x:v>
      </x:c>
      <x:c r="BB40" s="9" t="str">
        <x:v>0.9976467010934905</x:v>
      </x:c>
      <x:c r="BC40" s="9" t="str">
        <x:v>0.4323135704738459</x:v>
      </x:c>
      <x:c r="BD40" s="6" t="str">
        <x:v>0.5666666666666667</x:v>
      </x:c>
      <x:c r="BE40" s="6" t="str">
        <x:v>0.0</x:v>
      </x:c>
      <x:c r="BF40" s="9" t="str">
        <x:v>0.5653331306196446</x:v>
      </x:c>
      <x:c r="BG40" s="9" t="str">
        <x:v>0.0</x:v>
      </x:c>
      <x:c r="BH40" s="6" t="str">
        <x:v>Against trade</x:v>
      </x:c>
      <x:c r="BI40" s="6" t="str">
        <x:v>Penetration + same-bar reclaim</x:v>
      </x:c>
      <x:c r="BJ40" s="6" t="str">
        <x:v>False</x:v>
      </x:c>
      <x:c r="BK40" s="10" t="str">
        <x:v>True</x:v>
      </x:c>
      <x:c r="BL40" s="6" t="str">
        <x:v>True</x:v>
      </x:c>
      <x:c r="BM40" s="7" t="str">
        <x:v>2024-02-19 04:35:00-06:00</x:v>
      </x:c>
      <x:c r="BN40" s="8" t="str">
        <x:v>1</x:v>
      </x:c>
      <x:c r="BO40" s="6" t="str">
        <x:v>Immediate confirmation (1 bar)</x:v>
      </x:c>
      <x:c r="BP40" s="9" t="str">
        <x:v>0.852618854485155</x:v>
      </x:c>
      <x:c r="BQ40" s="9" t="str">
        <x:v>1.1805491831332915</x:v>
      </x:c>
      <x:c r="BR40" s="10" t="str">
        <x:v>0.7222222222222222</x:v>
      </x:c>
      <x:c r="BS40" s="9" t="str">
        <x:v>1.0165840188092232</x:v>
      </x:c>
      <x:c r="BT40" s="9" t="str">
        <x:v>0.7870327887555277</x:v>
      </x:c>
      <x:c r="BU40" s="9" t="str">
        <x:v>0.2951372957833229</x:v>
      </x:c>
      <x:c r="BV40" s="6" t="str">
        <x:v>With trade</x:v>
      </x:c>
      <x:c r="BW40" s="7" t="str">
        <x:v>2024-02-19 04:35:00-06:00</x:v>
      </x:c>
      <x:c r="BX40" s="6" t="str">
        <x:v>17551.25</x:v>
      </x:c>
      <x:c r="BY40" s="9" t="str">
        <x:v>7.623570562399722</x:v>
      </x:c>
      <x:c r="BZ40" s="9" t="str">
        <x:v>0.7</x:v>
      </x:c>
      <x:c r="CA40" s="6" t="str">
        <x:v>17562.685355843598</x:v>
      </x:c>
      <x:c r="CB40" s="6" t="str">
        <x:v>11.43535584359779</x:v>
      </x:c>
      <x:c r="CC40" s="9" t="str">
        <x:v>1.4999999999997649</x:v>
      </x:c>
      <x:c r="CD40" s="6" t="str">
        <x:v>17528.3792883128</x:v>
      </x:c>
      <x:c r="CE40" s="6" t="str">
        <x:v>22.87071168719922</x:v>
      </x:c>
      <x:c r="CF40" s="6" t="str">
        <x:v>Fixed 2.00R target</x:v>
      </x:c>
      <x:c r="CG40" s="9" t="str">
        <x:v>0.06339986353864967</x:v>
      </x:c>
      <x:c r="CH40" s="9" t="str">
        <x:v>-1.0</x:v>
      </x:c>
      <x:c r="CI40" s="9" t="str">
        <x:v>-1.0633998635386497</x:v>
      </x:c>
      <x:c r="CJ40" s="6" t="str">
        <x:v>Loss</x:v>
      </x:c>
      <x:c r="CK40" s="9" t="str">
        <x:v>0.24048224100867116</x:v>
      </x:c>
      <x:c r="CL40" s="9" t="str">
        <x:v>1.0712390735840807</x:v>
      </x:c>
      <x:c r="CM40" s="7" t="str">
        <x:v>2024-02-19 05:00:00-06:00</x:v>
      </x:c>
      <x:c r="CN40" s="6" t="str">
        <x:v>17562.685355843598</x:v>
      </x:c>
      <x:c r="CO40" s="6" t="str">
        <x:v>STOP</x:v>
      </x:c>
      <x:c r="CP40" s="6" t="str">
        <x:v>F::Short::Same-bar Setup+BOS::Penetration + same-bar reclaim</x:v>
      </x:c>
    </x:row>
    <x:row r="41" ht="18" customHeight="1">
      <x:c r="A41" s="6" t="str">
        <x:v>A0040</x:v>
      </x:c>
      <x:c r="B41" s="6" t="str">
        <x:v>2024-02-20</x:v>
      </x:c>
      <x:c r="C41" s="6" t="str">
        <x:v>2024</x:v>
      </x:c>
      <x:c r="D41" s="6" t="str">
        <x:v>2024-Q1</x:v>
      </x:c>
      <x:c r="E41" s="6" t="str">
        <x:v>First 50%</x:v>
      </x:c>
      <x:c r="F41" s="6" t="str">
        <x:v>Long</x:v>
      </x:c>
      <x:c r="G41" s="6" t="str">
        <x:v>Long</x:v>
      </x:c>
      <x:c r="H41" s="6" t="str">
        <x:v>Overnight</x:v>
      </x:c>
      <x:c r="I41" s="6" t="str">
        <x:v>Overnight</x:v>
      </x:c>
      <x:c r="J41" s="6" t="str">
        <x:v>Bear</x:v>
      </x:c>
      <x:c r="K41" s="6" t="str">
        <x:v>Bear</x:v>
      </x:c>
      <x:c r="L41" s="6" t="str">
        <x:v>LOW</x:v>
      </x:c>
      <x:c r="M41" s="7" t="str">
        <x:v>2024-02-19 23:30:00-06:00</x:v>
      </x:c>
      <x:c r="N41" s="6" t="str">
        <x:v>75.0</x:v>
      </x:c>
      <x:c r="O41" s="6" t="str">
        <x:v>75-79</x:v>
      </x:c>
      <x:c r="P41" s="6" t="str">
        <x:v>Matching liquidity sweep only</x:v>
      </x:c>
      <x:c r="Q41" s="6" t="str">
        <x:v>Recent bull structure</x:v>
      </x:c>
      <x:c r="R41" s="6" t="str">
        <x:v>False</x:v>
      </x:c>
      <x:c r="S41" s="6" t="str">
        <x:v>True</x:v>
      </x:c>
      <x:c r="T41" s="6" t="str">
        <x:v>Recent SSL</x:v>
      </x:c>
      <x:c r="U41" s="6" t="str">
        <x:v>SSL</x:v>
      </x:c>
      <x:c r="V41" s="6" t="str">
        <x:v>Swing low / sell-side</x:v>
      </x:c>
      <x:c r="W41" s="6" t="str">
        <x:v>[17460.75]</x:v>
      </x:c>
      <x:c r="X41" s="8" t="str">
        <x:v>1</x:v>
      </x:c>
      <x:c r="Y41" s="8" t="str">
        <x:v>0.0</x:v>
      </x:c>
      <x:c r="Z41" s="6" t="str">
        <x:v>Sweep above CRT reference</x:v>
      </x:c>
      <x:c r="AA41" s="6" t="str">
        <x:v>17481.75</x:v>
      </x:c>
      <x:c r="AB41" s="9" t="str">
        <x:v>-3.328522290877479</x:v>
      </x:c>
      <x:c r="AC41" s="9" t="str">
        <x:v>0.8426638711082225</x:v>
      </x:c>
      <x:c r="AD41" s="9" t="str">
        <x:v>1.6010613551056228</x:v>
      </x:c>
      <x:c r="AE41" s="6" t="str">
        <x:v>Against trade</x:v>
      </x:c>
      <x:c r="AF41" s="7" t="str">
        <x:v>2024-02-20 00:15:00-06:00</x:v>
      </x:c>
      <x:c r="AG41" s="6" t="str">
        <x:v>Long</x:v>
      </x:c>
      <x:c r="AH41" s="6" t="str">
        <x:v>17481.75</x:v>
      </x:c>
      <x:c r="AI41" s="8" t="str">
        <x:v>9</x:v>
      </x:c>
      <x:c r="AJ41" s="6" t="str">
        <x:v>False</x:v>
      </x:c>
      <x:c r="AK41" s="6" t="str">
        <x:v>Delayed BOS</x:v>
      </x:c>
      <x:c r="AL41" s="9" t="str">
        <x:v>0.88005647393351</x:v>
      </x:c>
      <x:c r="AM41" s="9" t="str">
        <x:v>0.8417931489798792</x:v>
      </x:c>
      <x:c r="AN41" s="9" t="str">
        <x:v>0.88005647393351</x:v>
      </x:c>
      <x:c r="AO41" s="9" t="str">
        <x:v>1.4157430232843422</x:v>
      </x:c>
      <x:c r="AP41" s="10" t="str">
        <x:v>0.6216216216216216</x:v>
      </x:c>
      <x:c r="AQ41" s="6" t="str">
        <x:v>0.3783783783783784</x:v>
      </x:c>
      <x:c r="AR41" s="6" t="str">
        <x:v>0.0</x:v>
      </x:c>
      <x:c r="AS41" s="6" t="str">
        <x:v>With trade</x:v>
      </x:c>
      <x:c r="AT41" s="6" t="str">
        <x:v>2.8576493529516043</x:v>
      </x:c>
      <x:c r="AU41" s="7" t="str">
        <x:v>2024-02-20 00:50:00-06:00</x:v>
      </x:c>
      <x:c r="AV41" s="8" t="str">
        <x:v>7</x:v>
      </x:c>
      <x:c r="AW41" s="6" t="str">
        <x:v>Delayed retest (2+ bars)</x:v>
      </x:c>
      <x:c r="AX41" s="6" t="str">
        <x:v>17481.75</x:v>
      </x:c>
      <x:c r="AY41" s="6" t="str">
        <x:v>0.0</x:v>
      </x:c>
      <x:c r="AZ41" s="9" t="str">
        <x:v>0.0</x:v>
      </x:c>
      <x:c r="BA41" s="9" t="str">
        <x:v>1.0905705995686799</x:v>
      </x:c>
      <x:c r="BB41" s="9" t="str">
        <x:v>1.2463663995070626</x:v>
      </x:c>
      <x:c r="BC41" s="9" t="str">
        <x:v>0.15579579993838283</x:v>
      </x:c>
      <x:c r="BD41" s="6" t="str">
        <x:v>0.125</x:v>
      </x:c>
      <x:c r="BE41" s="6" t="str">
        <x:v>0.75</x:v>
      </x:c>
      <x:c r="BF41" s="9" t="str">
        <x:v>0.9347747996302971</x:v>
      </x:c>
      <x:c r="BG41" s="9" t="str">
        <x:v>0.15579579993838283</x:v>
      </x:c>
      <x:c r="BH41" s="6" t="str">
        <x:v>With trade</x:v>
      </x:c>
      <x:c r="BI41" s="6" t="str">
        <x:v>Exact BOS touch</x:v>
      </x:c>
      <x:c r="BJ41" s="6" t="str">
        <x:v>True</x:v>
      </x:c>
      <x:c r="BK41" s="10" t="str">
        <x:v>False</x:v>
      </x:c>
      <x:c r="BL41" s="6" t="str">
        <x:v>True</x:v>
      </x:c>
      <x:c r="BM41" s="7" t="str">
        <x:v>2024-02-20 00:55:00-06:00</x:v>
      </x:c>
      <x:c r="BN41" s="8" t="str">
        <x:v>1</x:v>
      </x:c>
      <x:c r="BO41" s="6" t="str">
        <x:v>Immediate confirmation (1 bar)</x:v>
      </x:c>
      <x:c r="BP41" s="9" t="str">
        <x:v>0.5757048756978712</x:v>
      </x:c>
      <x:c r="BQ41" s="9" t="str">
        <x:v>1.1897900764422673</x:v>
      </x:c>
      <x:c r="BR41" s="10" t="str">
        <x:v>0.4838709677419355</x:v>
      </x:c>
      <x:c r="BS41" s="9" t="str">
        <x:v>1.6119736519540395</x:v>
      </x:c>
      <x:c r="BT41" s="9" t="str">
        <x:v>0.5373245506513465</x:v>
      </x:c>
      <x:c r="BU41" s="9" t="str">
        <x:v>0.34542292541872277</x:v>
      </x:c>
      <x:c r="BV41" s="6" t="str">
        <x:v>With trade</x:v>
      </x:c>
      <x:c r="BW41" s="7" t="str">
        <x:v>2024-02-20 00:55:00-06:00</x:v>
      </x:c>
      <x:c r="BX41" s="6" t="str">
        <x:v>17492.25</x:v>
      </x:c>
      <x:c r="BY41" s="9" t="str">
        <x:v>6.5137541096108285</x:v>
      </x:c>
      <x:c r="BZ41" s="9" t="str">
        <x:v>0.31</x:v>
      </x:c>
      <x:c r="CA41" s="6" t="str">
        <x:v>17482.479368835582</x:v>
      </x:c>
      <x:c r="CB41" s="6" t="str">
        <x:v>9.770631164417864</x:v>
      </x:c>
      <x:c r="CC41" s="9" t="str">
        <x:v>1.500000000000249</x:v>
      </x:c>
      <x:c r="CD41" s="6" t="str">
        <x:v>17511.791262328832</x:v>
      </x:c>
      <x:c r="CE41" s="6" t="str">
        <x:v>19.54126232883209</x:v>
      </x:c>
      <x:c r="CF41" s="6" t="str">
        <x:v>Fixed 2.00R target</x:v>
      </x:c>
      <x:c r="CG41" s="9" t="str">
        <x:v>0.07420196175660221</x:v>
      </x:c>
      <x:c r="CH41" s="9" t="str">
        <x:v>1.0490622179383433</x:v>
      </x:c>
      <x:c r="CI41" s="9" t="str">
        <x:v>0.9748602561817411</x:v>
      </x:c>
      <x:c r="CJ41" s="6" t="str">
        <x:v>Win</x:v>
      </x:c>
      <x:c r="CK41" s="9" t="str">
        <x:v>1.9701900190546102</x:v>
      </x:c>
      <x:c r="CL41" s="9" t="str">
        <x:v>0.86995403438775</x:v>
      </x:c>
      <x:c r="CM41" s="7" t="str">
        <x:v>2024-02-20 01:55:00-06:00</x:v>
      </x:c>
      <x:c r="CN41" s="6" t="str">
        <x:v>17502.5</x:v>
      </x:c>
      <x:c r="CO41" s="6" t="str">
        <x:v>TIME</x:v>
      </x:c>
      <x:c r="CP41" s="6" t="str">
        <x:v>F::Long::Delayed BOS::Exact BOS touch</x:v>
      </x:c>
    </x:row>
    <x:row r="42" ht="18" customHeight="1">
      <x:c r="A42" s="6" t="str">
        <x:v>A0041</x:v>
      </x:c>
      <x:c r="B42" s="6" t="str">
        <x:v>2024-02-21</x:v>
      </x:c>
      <x:c r="C42" s="6" t="str">
        <x:v>2024</x:v>
      </x:c>
      <x:c r="D42" s="6" t="str">
        <x:v>2024-Q1</x:v>
      </x:c>
      <x:c r="E42" s="6" t="str">
        <x:v>First 50%</x:v>
      </x:c>
      <x:c r="F42" s="6" t="str">
        <x:v>Short</x:v>
      </x:c>
      <x:c r="G42" s="6" t="str">
        <x:v>Short</x:v>
      </x:c>
      <x:c r="H42" s="6" t="str">
        <x:v>Overnight</x:v>
      </x:c>
      <x:c r="I42" s="6" t="str">
        <x:v>Overnight</x:v>
      </x:c>
      <x:c r="J42" s="6" t="str">
        <x:v>Bear</x:v>
      </x:c>
      <x:c r="K42" s="6" t="str">
        <x:v>Bear</x:v>
      </x:c>
      <x:c r="L42" s="6" t="str">
        <x:v>HIGH</x:v>
      </x:c>
      <x:c r="M42" s="7" t="str">
        <x:v>2024-02-21 02:10:00-06:00</x:v>
      </x:c>
      <x:c r="N42" s="6" t="str">
        <x:v>90.0</x:v>
      </x:c>
      <x:c r="O42" s="6" t="str">
        <x:v>90-94</x:v>
      </x:c>
      <x:c r="P42" s="6" t="str">
        <x:v>Matching BOS only</x:v>
      </x:c>
      <x:c r="Q42" s="6" t="str">
        <x:v>Bear CHoCH</x:v>
      </x:c>
      <x:c r="R42" s="6" t="str">
        <x:v>True</x:v>
      </x:c>
      <x:c r="S42" s="6" t="str">
        <x:v>False</x:v>
      </x:c>
      <x:c r="T42" s="6" t="str">
        <x:v>Recent BSL</x:v>
      </x:c>
      <x:c r="U42" s="6" t="str">
        <x:v>BSL</x:v>
      </x:c>
      <x:c r="V42" s="6" t="str">
        <x:v>Swing high / buy-side</x:v>
      </x:c>
      <x:c r="W42" s="6" t="str">
        <x:v>[17369.75]</x:v>
      </x:c>
      <x:c r="X42" s="8" t="str">
        <x:v>1</x:v>
      </x:c>
      <x:c r="Y42" s="8" t="str">
        <x:v>8.0</x:v>
      </x:c>
      <x:c r="Z42" s="6" t="str">
        <x:v>None</x:v>
      </x:c>
      <x:c r="AA42" s="6" t="str">
        <x:v>17342.5</x:v>
      </x:c>
      <x:c r="AB42" s="9" t="str">
        <x:v>0.05553990290433585</x:v>
      </x:c>
      <x:c r="AC42" s="9" t="str">
        <x:v>1.2496478153475568</x:v>
      </x:c>
      <x:c r="AD42" s="9" t="str">
        <x:v>1.943896601651755</x:v>
      </x:c>
      <x:c r="AE42" s="6" t="str">
        <x:v>With trade</x:v>
      </x:c>
      <x:c r="AF42" s="7" t="str">
        <x:v>2024-02-21 02:10:00-06:00</x:v>
      </x:c>
      <x:c r="AG42" s="6" t="str">
        <x:v>Short</x:v>
      </x:c>
      <x:c r="AH42" s="6" t="str">
        <x:v>17342.5</x:v>
      </x:c>
      <x:c r="AI42" s="8" t="str">
        <x:v>0</x:v>
      </x:c>
      <x:c r="AJ42" s="6" t="str">
        <x:v>True</x:v>
      </x:c>
      <x:c r="AK42" s="6" t="str">
        <x:v>Same-bar Setup+BOS</x:v>
      </x:c>
      <x:c r="AL42" s="9" t="str">
        <x:v>1.2496478153475568</x:v>
      </x:c>
      <x:c r="AM42" s="9" t="str">
        <x:v>0.05553990290433585</x:v>
      </x:c>
      <x:c r="AN42" s="9" t="str">
        <x:v>1.2496478153475568</x:v>
      </x:c>
      <x:c r="AO42" s="9" t="str">
        <x:v>1.943896601651755</x:v>
      </x:c>
      <x:c r="AP42" s="10" t="str">
        <x:v>0.6428571428571429</x:v>
      </x:c>
      <x:c r="AQ42" s="6" t="str">
        <x:v>0.0</x:v>
      </x:c>
      <x:c r="AR42" s="6" t="str">
        <x:v>0.35714285714285715</x:v>
      </x:c>
      <x:c r="AS42" s="6" t="str">
        <x:v>With trade</x:v>
      </x:c>
      <x:c r="AT42" s="6" t="str">
        <x:v>2.858342959151528</x:v>
      </x:c>
      <x:c r="AU42" s="7" t="str">
        <x:v>2024-02-21 02:15:00-06:00</x:v>
      </x:c>
      <x:c r="AV42" s="8" t="str">
        <x:v>1</x:v>
      </x:c>
      <x:c r="AW42" s="6" t="str">
        <x:v>Immediate retest (1 bar)</x:v>
      </x:c>
      <x:c r="AX42" s="6" t="str">
        <x:v>17343.25</x:v>
      </x:c>
      <x:c r="AY42" s="6" t="str">
        <x:v>0.75</x:v>
      </x:c>
      <x:c r="AZ42" s="9" t="str">
        <x:v>0.07484871269505732</x:v>
      </x:c>
      <x:c r="BA42" s="9" t="str">
        <x:v>1.6716212501896135</x:v>
      </x:c>
      <x:c r="BB42" s="9" t="str">
        <x:v>2.3203100935467766</x:v>
      </x:c>
      <x:c r="BC42" s="9" t="str">
        <x:v>1.596772537494556</x:v>
      </x:c>
      <x:c r="BD42" s="6" t="str">
        <x:v>0.06451612903225806</x:v>
      </x:c>
      <x:c r="BE42" s="6" t="str">
        <x:v>0.24731182795698925</x:v>
      </x:c>
      <x:c r="BF42" s="9" t="str">
        <x:v>0.14969742539011463</x:v>
      </x:c>
      <x:c r="BG42" s="9" t="str">
        <x:v>0.573840130662106</x:v>
      </x:c>
      <x:c r="BH42" s="6" t="str">
        <x:v>With trade</x:v>
      </x:c>
      <x:c r="BI42" s="6" t="str">
        <x:v>Penetration + same-bar reclaim</x:v>
      </x:c>
      <x:c r="BJ42" s="6" t="str">
        <x:v>False</x:v>
      </x:c>
      <x:c r="BK42" s="10" t="str">
        <x:v>True</x:v>
      </x:c>
      <x:c r="BL42" s="6" t="str">
        <x:v>True</x:v>
      </x:c>
      <x:c r="BM42" s="7" t="str">
        <x:v>2024-02-21 02:20:00-06:00</x:v>
      </x:c>
      <x:c r="BN42" s="8" t="str">
        <x:v>1</x:v>
      </x:c>
      <x:c r="BO42" s="6" t="str">
        <x:v>Immediate confirmation (1 bar)</x:v>
      </x:c>
      <x:c r="BP42" s="9" t="str">
        <x:v>0.5694422585869424</x:v>
      </x:c>
      <x:c r="BQ42" s="9" t="str">
        <x:v>1.6371464934374593</x:v>
      </x:c>
      <x:c r="BR42" s="10" t="str">
        <x:v>0.34782608695652173</x:v>
      </x:c>
      <x:c r="BS42" s="9" t="str">
        <x:v>2.0642281873776662</x:v>
      </x:c>
      <x:c r="BT42" s="9" t="str">
        <x:v>0.47453521548911864</x:v>
      </x:c>
      <x:c r="BU42" s="9" t="str">
        <x:v>0.5219887370380305</x:v>
      </x:c>
      <x:c r="BV42" s="6" t="str">
        <x:v>With trade</x:v>
      </x:c>
      <x:c r="BW42" s="7" t="str">
        <x:v>2024-02-21 02:20:00-06:00</x:v>
      </x:c>
      <x:c r="BX42" s="6" t="str">
        <x:v>17320.75</x:v>
      </x:c>
      <x:c r="BY42" s="9" t="str">
        <x:v>10.536625811524525</x:v>
      </x:c>
      <x:c r="BZ42" s="9" t="str">
        <x:v>0.99</x:v>
      </x:c>
      <x:c r="CA42" s="6" t="str">
        <x:v>17336.554938717287</x:v>
      </x:c>
      <x:c r="CB42" s="6" t="str">
        <x:v>15.80493871728686</x:v>
      </x:c>
      <x:c r="CC42" s="9" t="str">
        <x:v>1.5000000000000069</x:v>
      </x:c>
      <x:c r="CD42" s="6" t="str">
        <x:v>17289.140122565426</x:v>
      </x:c>
      <x:c r="CE42" s="6" t="str">
        <x:v>31.60987743457372</x:v>
      </x:c>
      <x:c r="CF42" s="6" t="str">
        <x:v>Fixed 2.00R target</x:v>
      </x:c>
      <x:c r="CG42" s="9" t="str">
        <x:v>0.04587173749728126</x:v>
      </x:c>
      <x:c r="CH42" s="9" t="str">
        <x:v>0.15817840516303955</x:v>
      </x:c>
      <x:c r="CI42" s="9" t="str">
        <x:v>0.11230666766575828</x:v>
      </x:c>
      <x:c r="CJ42" s="6" t="str">
        <x:v>Win</x:v>
      </x:c>
      <x:c r="CK42" s="9" t="str">
        <x:v>1.2654272413043106</x:v>
      </x:c>
      <x:c r="CL42" s="9" t="str">
        <x:v>0.4587173749728126</x:v>
      </x:c>
      <x:c r="CM42" s="7" t="str">
        <x:v>2024-02-21 03:20:00-06:00</x:v>
      </x:c>
      <x:c r="CN42" s="6" t="str">
        <x:v>17318.25</x:v>
      </x:c>
      <x:c r="CO42" s="6" t="str">
        <x:v>TIME</x:v>
      </x:c>
      <x:c r="CP42" s="6" t="str">
        <x:v>F::Short::Same-bar Setup+BOS::Penetration + same-bar reclaim</x:v>
      </x:c>
    </x:row>
    <x:row r="43" ht="18" customHeight="1">
      <x:c r="A43" s="6" t="str">
        <x:v>A0042</x:v>
      </x:c>
      <x:c r="B43" s="6" t="str">
        <x:v>2024-02-21</x:v>
      </x:c>
      <x:c r="C43" s="6" t="str">
        <x:v>2024</x:v>
      </x:c>
      <x:c r="D43" s="6" t="str">
        <x:v>2024-Q1</x:v>
      </x:c>
      <x:c r="E43" s="6" t="str">
        <x:v>First 50%</x:v>
      </x:c>
      <x:c r="F43" s="6" t="str">
        <x:v>Long</x:v>
      </x:c>
      <x:c r="G43" s="6" t="str">
        <x:v>Long</x:v>
      </x:c>
      <x:c r="H43" s="6" t="str">
        <x:v>Afternoon</x:v>
      </x:c>
      <x:c r="I43" s="6" t="str">
        <x:v>Afternoon</x:v>
      </x:c>
      <x:c r="J43" s="6" t="str">
        <x:v>Bear</x:v>
      </x:c>
      <x:c r="K43" s="6" t="str">
        <x:v>Bear</x:v>
      </x:c>
      <x:c r="L43" s="6" t="str">
        <x:v>HIGH</x:v>
      </x:c>
      <x:c r="M43" s="7" t="str">
        <x:v>2024-02-21 14:35:00-06:00</x:v>
      </x:c>
      <x:c r="N43" s="6" t="str">
        <x:v>100.0</x:v>
      </x:c>
      <x:c r="O43" s="6" t="str">
        <x:v>95+</x:v>
      </x:c>
      <x:c r="P43" s="6" t="str">
        <x:v>Matching BOS only</x:v>
      </x:c>
      <x:c r="Q43" s="6" t="str">
        <x:v>Bull CHoCH</x:v>
      </x:c>
      <x:c r="R43" s="6" t="str">
        <x:v>True</x:v>
      </x:c>
      <x:c r="S43" s="6" t="str">
        <x:v>False</x:v>
      </x:c>
      <x:c r="T43" s="6" t="str">
        <x:v>Recent SSL</x:v>
      </x:c>
      <x:c r="U43" s="6" t="str">
        <x:v>SSL</x:v>
      </x:c>
      <x:c r="V43" s="6" t="str">
        <x:v>Swing low / sell-side</x:v>
      </x:c>
      <x:c r="W43" s="6" t="str">
        <x:v>[17191.0]</x:v>
      </x:c>
      <x:c r="X43" s="8" t="str">
        <x:v>1</x:v>
      </x:c>
      <x:c r="Y43" s="8" t="str">
        <x:v>14.0</x:v>
      </x:c>
      <x:c r="Z43" s="6" t="str">
        <x:v>None</x:v>
      </x:c>
      <x:c r="AA43" s="6" t="str">
        <x:v>17274.0</x:v>
      </x:c>
      <x:c r="AB43" s="9" t="str">
        <x:v>0.03097865217869964</x:v>
      </x:c>
      <x:c r="AC43" s="9" t="str">
        <x:v>1.5799112611136816</x:v>
      </x:c>
      <x:c r="AD43" s="9" t="str">
        <x:v>1.900024000293578</x:v>
      </x:c>
      <x:c r="AE43" s="6" t="str">
        <x:v>With trade</x:v>
      </x:c>
      <x:c r="AF43" s="7" t="str">
        <x:v>2024-02-21 14:35:00-06:00</x:v>
      </x:c>
      <x:c r="AG43" s="6" t="str">
        <x:v>Long</x:v>
      </x:c>
      <x:c r="AH43" s="6" t="str">
        <x:v>17274.0</x:v>
      </x:c>
      <x:c r="AI43" s="8" t="str">
        <x:v>0</x:v>
      </x:c>
      <x:c r="AJ43" s="6" t="str">
        <x:v>True</x:v>
      </x:c>
      <x:c r="AK43" s="6" t="str">
        <x:v>Same-bar Setup+BOS</x:v>
      </x:c>
      <x:c r="AL43" s="9" t="str">
        <x:v>1.6005636958994813</x:v>
      </x:c>
      <x:c r="AM43" s="9" t="str">
        <x:v>0.03097865217869964</x:v>
      </x:c>
      <x:c r="AN43" s="9" t="str">
        <x:v>1.5799112611136816</x:v>
      </x:c>
      <x:c r="AO43" s="9" t="str">
        <x:v>1.900024000293578</x:v>
      </x:c>
      <x:c r="AP43" s="10" t="str">
        <x:v>0.8315217391304348</x:v>
      </x:c>
      <x:c r="AQ43" s="6" t="str">
        <x:v>0.11413043478260869</x:v>
      </x:c>
      <x:c r="AR43" s="6" t="str">
        <x:v>0.05434782608695652</x:v>
      </x:c>
      <x:c r="AS43" s="6" t="str">
        <x:v>With trade</x:v>
      </x:c>
      <x:c r="AT43" s="6" t="str">
        <x:v>1.554029419861755</x:v>
      </x:c>
      <x:c r="AU43" s="7" t="str">
        <x:v>2024-02-21 14:40:00-06:00</x:v>
      </x:c>
      <x:c r="AV43" s="8" t="str">
        <x:v>1</x:v>
      </x:c>
      <x:c r="AW43" s="6" t="str">
        <x:v>Immediate retest (1 bar)</x:v>
      </x:c>
      <x:c r="AX43" s="6" t="str">
        <x:v>17272.5</x:v>
      </x:c>
      <x:c r="AY43" s="6" t="str">
        <x:v>1.5</x:v>
      </x:c>
      <x:c r="AZ43" s="9" t="str">
        <x:v>0.062225381154339635</x:v>
      </x:c>
      <x:c r="BA43" s="9" t="str">
        <x:v>0.25927242147641516</x:v>
      </x:c>
      <x:c r="BB43" s="9" t="str">
        <x:v>0.9437516141741511</x:v>
      </x:c>
      <x:c r="BC43" s="9" t="str">
        <x:v>0.23853062775830194</x:v>
      </x:c>
      <x:c r="BD43" s="6" t="str">
        <x:v>0.6593406593406593</x:v>
      </x:c>
      <x:c r="BE43" s="6" t="str">
        <x:v>0.08791208791208792</x:v>
      </x:c>
      <x:c r="BF43" s="9" t="str">
        <x:v>0.08296717487245285</x:v>
      </x:c>
      <x:c r="BG43" s="9" t="str">
        <x:v>0.6222538115433963</x:v>
      </x:c>
      <x:c r="BH43" s="6" t="str">
        <x:v>With trade</x:v>
      </x:c>
      <x:c r="BI43" s="6" t="str">
        <x:v>Penetration + same-bar reclaim</x:v>
      </x:c>
      <x:c r="BJ43" s="6" t="str">
        <x:v>False</x:v>
      </x:c>
      <x:c r="BK43" s="10" t="str">
        <x:v>True</x:v>
      </x:c>
      <x:c r="BL43" s="6" t="str">
        <x:v>True</x:v>
      </x:c>
      <x:c r="BM43" s="7" t="str">
        <x:v>2024-02-21 14:45:00-06:00</x:v>
      </x:c>
      <x:c r="BN43" s="8" t="str">
        <x:v>1</x:v>
      </x:c>
      <x:c r="BO43" s="6" t="str">
        <x:v>Immediate confirmation (1 bar)</x:v>
      </x:c>
      <x:c r="BP43" s="9" t="str">
        <x:v>0.36800385529476576</x:v>
      </x:c>
      <x:c r="BQ43" s="9" t="str">
        <x:v>0.8201228775140494</x:v>
      </x:c>
      <x:c r="BR43" s="10" t="str">
        <x:v>0.44871794871794873</x:v>
      </x:c>
      <x:c r="BS43" s="9" t="str">
        <x:v>0.6203493560683194</x:v>
      </x:c>
      <x:c r="BT43" s="9" t="str">
        <x:v>0.357489459429201</x:v>
      </x:c>
      <x:c r="BU43" s="9" t="str">
        <x:v>0.357489459429201</x:v>
      </x:c>
      <x:c r="BV43" s="6" t="str">
        <x:v>With trade</x:v>
      </x:c>
      <x:c r="BW43" s="7" t="str">
        <x:v>2024-02-21 14:45:00-06:00</x:v>
      </x:c>
      <x:c r="BX43" s="6" t="str">
        <x:v>17288.75</x:v>
      </x:c>
      <x:c r="BY43" s="9" t="str">
        <x:v>23.776924817788597</x:v>
      </x:c>
      <x:c r="BZ43" s="9" t="str">
        <x:v>0.85</x:v>
      </x:c>
      <x:c r="CA43" s="6" t="str">
        <x:v>17253.084612773317</x:v>
      </x:c>
      <x:c r="CB43" s="6" t="str">
        <x:v>35.66538722668338</x:v>
      </x:c>
      <x:c r="CC43" s="9" t="str">
        <x:v>1.5000000000000204</x:v>
      </x:c>
      <x:c r="CD43" s="6" t="str">
        <x:v>17360.080774453367</x:v>
      </x:c>
      <x:c r="CE43" s="6" t="str">
        <x:v>71.33077445336676</x:v>
      </x:c>
      <x:c r="CF43" s="6" t="str">
        <x:v>Fixed 2.00R target</x:v>
      </x:c>
      <x:c r="CG43" s="9" t="str">
        <x:v>0.020327832006758216</x:v>
      </x:c>
      <x:c r="CH43" s="9" t="str">
        <x:v>-1.0</x:v>
      </x:c>
      <x:c r="CI43" s="9" t="str">
        <x:v>-1.0203278320067581</x:v>
      </x:c>
      <x:c r="CJ43" s="6" t="str">
        <x:v>Loss</x:v>
      </x:c>
      <x:c r="CK43" s="9" t="str">
        <x:v>3.259462718325024</x:v>
      </x:c>
      <x:c r="CL43" s="9" t="str">
        <x:v>2.516445410491793</x:v>
      </x:c>
      <x:c r="CM43" s="7" t="str">
        <x:v>2024-02-21 15:20:00-06:00</x:v>
      </x:c>
      <x:c r="CN43" s="6" t="str">
        <x:v>17253.084612773317</x:v>
      </x:c>
      <x:c r="CO43" s="6" t="str">
        <x:v>STOP</x:v>
      </x:c>
      <x:c r="CP43" s="6" t="str">
        <x:v>F::Long::Same-bar Setup+BOS::Penetration + same-bar reclaim</x:v>
      </x:c>
    </x:row>
    <x:row r="44" ht="18" customHeight="1">
      <x:c r="A44" s="6" t="str">
        <x:v>A0043</x:v>
      </x:c>
      <x:c r="B44" s="6" t="str">
        <x:v>2024-02-22</x:v>
      </x:c>
      <x:c r="C44" s="6" t="str">
        <x:v>2024</x:v>
      </x:c>
      <x:c r="D44" s="6" t="str">
        <x:v>2024-Q1</x:v>
      </x:c>
      <x:c r="E44" s="6" t="str">
        <x:v>First 50%</x:v>
      </x:c>
      <x:c r="F44" s="6" t="str">
        <x:v>Long</x:v>
      </x:c>
      <x:c r="G44" s="6" t="str">
        <x:v>Long</x:v>
      </x:c>
      <x:c r="H44" s="6" t="str">
        <x:v>Overnight</x:v>
      </x:c>
      <x:c r="I44" s="6" t="str">
        <x:v>Overnight</x:v>
      </x:c>
      <x:c r="J44" s="6" t="str">
        <x:v>Bull</x:v>
      </x:c>
      <x:c r="K44" s="6" t="str">
        <x:v>Bull</x:v>
      </x:c>
      <x:c r="L44" s="6" t="str">
        <x:v>MID</x:v>
      </x:c>
      <x:c r="M44" s="7" t="str">
        <x:v>2024-02-22 00:40:00-06:00</x:v>
      </x:c>
      <x:c r="N44" s="6" t="str">
        <x:v>75.0</x:v>
      </x:c>
      <x:c r="O44" s="6" t="str">
        <x:v>75-79</x:v>
      </x:c>
      <x:c r="P44" s="6" t="str">
        <x:v>Matching BOS only</x:v>
      </x:c>
      <x:c r="Q44" s="6" t="str">
        <x:v>Bull BOS</x:v>
      </x:c>
      <x:c r="R44" s="6" t="str">
        <x:v>True</x:v>
      </x:c>
      <x:c r="S44" s="6" t="str">
        <x:v>False</x:v>
      </x:c>
      <x:c r="T44" s="6" t="str">
        <x:v>Recent SSL</x:v>
      </x:c>
      <x:c r="U44" s="6" t="str">
        <x:v>SSL</x:v>
      </x:c>
      <x:c r="V44" s="6" t="str">
        <x:v>Swing low / sell-side</x:v>
      </x:c>
      <x:c r="W44" s="6" t="str">
        <x:v>[17577.75]</x:v>
      </x:c>
      <x:c r="X44" s="8" t="str">
        <x:v>1</x:v>
      </x:c>
      <x:c r="Y44" s="8" t="str">
        <x:v>10.0</x:v>
      </x:c>
      <x:c r="Z44" s="6" t="str">
        <x:v>Sweep above CRT reference</x:v>
      </x:c>
      <x:c r="AA44" s="6" t="str">
        <x:v>17603.5</x:v>
      </x:c>
      <x:c r="AB44" s="9" t="str">
        <x:v>0.34512237532119777</x:v>
      </x:c>
      <x:c r="AC44" s="9" t="str">
        <x:v>0.4141468503854373</x:v>
      </x:c>
      <x:c r="AD44" s="9" t="str">
        <x:v>1.5185384514132703</x:v>
      </x:c>
      <x:c r="AE44" s="6" t="str">
        <x:v>With trade</x:v>
      </x:c>
      <x:c r="AF44" s="7" t="str">
        <x:v>2024-02-22 00:40:00-06:00</x:v>
      </x:c>
      <x:c r="AG44" s="6" t="str">
        <x:v>Long</x:v>
      </x:c>
      <x:c r="AH44" s="6" t="str">
        <x:v>17603.5</x:v>
      </x:c>
      <x:c r="AI44" s="8" t="str">
        <x:v>0</x:v>
      </x:c>
      <x:c r="AJ44" s="6" t="str">
        <x:v>True</x:v>
      </x:c>
      <x:c r="AK44" s="6" t="str">
        <x:v>Same-bar Setup+BOS</x:v>
      </x:c>
      <x:c r="AL44" s="9" t="str">
        <x:v>0.4141468503854373</x:v>
      </x:c>
      <x:c r="AM44" s="9" t="str">
        <x:v>0.34512237532119777</x:v>
      </x:c>
      <x:c r="AN44" s="9" t="str">
        <x:v>0.4141468503854373</x:v>
      </x:c>
      <x:c r="AO44" s="9" t="str">
        <x:v>1.5185384514132703</x:v>
      </x:c>
      <x:c r="AP44" s="10" t="str">
        <x:v>0.2727272727272727</x:v>
      </x:c>
      <x:c r="AQ44" s="6" t="str">
        <x:v>0.38636363636363635</x:v>
      </x:c>
      <x:c r="AR44" s="6" t="str">
        <x:v>0.3409090909090909</x:v>
      </x:c>
      <x:c r="AS44" s="6" t="str">
        <x:v>With trade</x:v>
      </x:c>
      <x:c r="AT44" s="6" t="str">
        <x:v>1.8340342599240949</x:v>
      </x:c>
      <x:c r="AU44" s="7" t="str">
        <x:v>2024-02-22 00:45:00-06:00</x:v>
      </x:c>
      <x:c r="AV44" s="8" t="str">
        <x:v>1</x:v>
      </x:c>
      <x:c r="AW44" s="6" t="str">
        <x:v>Immediate retest (1 bar)</x:v>
      </x:c>
      <x:c r="AX44" s="6" t="str">
        <x:v>17602.25</x:v>
      </x:c>
      <x:c r="AY44" s="6" t="str">
        <x:v>1.25</x:v>
      </x:c>
      <x:c r="AZ44" s="9" t="str">
        <x:v>0.17128400115268588</x:v>
      </x:c>
      <x:c r="BA44" s="9" t="str">
        <x:v>0.4795952032275205</x:v>
      </x:c>
      <x:c r="BB44" s="9" t="str">
        <x:v>1.0962176073771897</x:v>
      </x:c>
      <x:c r="BC44" s="9" t="str">
        <x:v>0.1370272009221487</x:v>
      </x:c>
      <x:c r="BD44" s="6" t="str">
        <x:v>0.40625</x:v>
      </x:c>
      <x:c r="BE44" s="6" t="str">
        <x:v>0.46875</x:v>
      </x:c>
      <x:c r="BF44" s="9" t="str">
        <x:v>0.5138520034580577</x:v>
      </x:c>
      <x:c r="BG44" s="9" t="str">
        <x:v>0.4453384029969833</x:v>
      </x:c>
      <x:c r="BH44" s="6" t="str">
        <x:v>With trade</x:v>
      </x:c>
      <x:c r="BI44" s="6" t="str">
        <x:v>Penetration + same-bar reclaim</x:v>
      </x:c>
      <x:c r="BJ44" s="6" t="str">
        <x:v>False</x:v>
      </x:c>
      <x:c r="BK44" s="10" t="str">
        <x:v>True</x:v>
      </x:c>
      <x:c r="BL44" s="6" t="str">
        <x:v>True</x:v>
      </x:c>
      <x:c r="BM44" s="7" t="str">
        <x:v>2024-02-22 00:50:00-06:00</x:v>
      </x:c>
      <x:c r="BN44" s="8" t="str">
        <x:v>1</x:v>
      </x:c>
      <x:c r="BO44" s="6" t="str">
        <x:v>Immediate confirmation (1 bar)</x:v>
      </x:c>
      <x:c r="BP44" s="9" t="str">
        <x:v>0.36537333388792587</x:v>
      </x:c>
      <x:c r="BQ44" s="9" t="str">
        <x:v>1.3950618202993532</x:v>
      </x:c>
      <x:c r="BR44" s="10" t="str">
        <x:v>0.2619047619047619</x:v>
      </x:c>
      <x:c r="BS44" s="9" t="str">
        <x:v>0.7639624254020267</x:v>
      </x:c>
      <x:c r="BT44" s="9" t="str">
        <x:v>0.2989418186355757</x:v>
      </x:c>
      <x:c r="BU44" s="9" t="str">
        <x:v>0.033215757626175076</x:v>
      </x:c>
      <x:c r="BV44" s="6" t="str">
        <x:v>With trade</x:v>
      </x:c>
      <x:c r="BW44" s="7" t="str">
        <x:v>2024-02-22 00:50:00-06:00</x:v>
      </x:c>
      <x:c r="BX44" s="6" t="str">
        <x:v>17609.25</x:v>
      </x:c>
      <x:c r="BY44" s="9" t="str">
        <x:v>7.526548176730192</x:v>
      </x:c>
      <x:c r="BZ44" s="9" t="str">
        <x:v>0.39</x:v>
      </x:c>
      <x:c r="CA44" s="6" t="str">
        <x:v>17597.960177734905</x:v>
      </x:c>
      <x:c r="CB44" s="6" t="str">
        <x:v>11.289822265094699</x:v>
      </x:c>
      <x:c r="CC44" s="9" t="str">
        <x:v>1.4999999999999216</x:v>
      </x:c>
      <x:c r="CD44" s="6" t="str">
        <x:v>17631.82964453019</x:v>
      </x:c>
      <x:c r="CE44" s="6" t="str">
        <x:v>22.579644530189398</x:v>
      </x:c>
      <x:c r="CF44" s="6" t="str">
        <x:v>Fixed 2.00R target</x:v>
      </x:c>
      <x:c r="CG44" s="9" t="str">
        <x:v>0.0642171314106085</x:v>
      </x:c>
      <x:c r="CH44" s="9" t="str">
        <x:v>1.262198789794653</x:v>
      </x:c>
      <x:c r="CI44" s="9" t="str">
        <x:v>1.1979816583840444</x:v>
      </x:c>
      <x:c r="CJ44" s="6" t="str">
        <x:v>Win</x:v>
      </x:c>
      <x:c r="CK44" s="9" t="str">
        <x:v>1.6829317197262916</x:v>
      </x:c>
      <x:c r="CL44" s="9" t="str">
        <x:v>0.9078973751154995</x:v>
      </x:c>
      <x:c r="CM44" s="7" t="str">
        <x:v>2024-02-22 01:50:00-06:00</x:v>
      </x:c>
      <x:c r="CN44" s="6" t="str">
        <x:v>17623.5</x:v>
      </x:c>
      <x:c r="CO44" s="6" t="str">
        <x:v>TIME</x:v>
      </x:c>
      <x:c r="CP44" s="6" t="str">
        <x:v>F::Long::Same-bar Setup+BOS::Penetration + same-bar reclaim</x:v>
      </x:c>
    </x:row>
    <x:row r="45" ht="18" customHeight="1">
      <x:c r="A45" s="6" t="str">
        <x:v>A0044</x:v>
      </x:c>
      <x:c r="B45" s="6" t="str">
        <x:v>2024-02-22</x:v>
      </x:c>
      <x:c r="C45" s="6" t="str">
        <x:v>2024</x:v>
      </x:c>
      <x:c r="D45" s="6" t="str">
        <x:v>2024-Q1</x:v>
      </x:c>
      <x:c r="E45" s="6" t="str">
        <x:v>First 50%</x:v>
      </x:c>
      <x:c r="F45" s="6" t="str">
        <x:v>Long</x:v>
      </x:c>
      <x:c r="G45" s="6" t="str">
        <x:v>Long</x:v>
      </x:c>
      <x:c r="H45" s="6" t="str">
        <x:v>Premarket</x:v>
      </x:c>
      <x:c r="I45" s="6" t="str">
        <x:v>Premarket</x:v>
      </x:c>
      <x:c r="J45" s="6" t="str">
        <x:v>Bull</x:v>
      </x:c>
      <x:c r="K45" s="6" t="str">
        <x:v>Bull</x:v>
      </x:c>
      <x:c r="L45" s="6" t="str">
        <x:v>HIGH</x:v>
      </x:c>
      <x:c r="M45" s="7" t="str">
        <x:v>2024-02-22 08:45:00-06:00</x:v>
      </x:c>
      <x:c r="N45" s="6" t="str">
        <x:v>90.0</x:v>
      </x:c>
      <x:c r="O45" s="6" t="str">
        <x:v>90-94</x:v>
      </x:c>
      <x:c r="P45" s="6" t="str">
        <x:v>Matching BOS only</x:v>
      </x:c>
      <x:c r="Q45" s="6" t="str">
        <x:v>Bull CHoCH</x:v>
      </x:c>
      <x:c r="R45" s="6" t="str">
        <x:v>True</x:v>
      </x:c>
      <x:c r="S45" s="6" t="str">
        <x:v>False</x:v>
      </x:c>
      <x:c r="T45" s="6" t="str">
        <x:v>Recent SSL</x:v>
      </x:c>
      <x:c r="U45" s="6" t="str">
        <x:v>SSL</x:v>
      </x:c>
      <x:c r="V45" s="6" t="str">
        <x:v>Swing low / sell-side</x:v>
      </x:c>
      <x:c r="W45" s="6" t="str">
        <x:v>[17655.25]</x:v>
      </x:c>
      <x:c r="X45" s="8" t="str">
        <x:v>1</x:v>
      </x:c>
      <x:c r="Y45" s="8" t="str">
        <x:v>3.0</x:v>
      </x:c>
      <x:c r="Z45" s="6" t="str">
        <x:v>None</x:v>
      </x:c>
      <x:c r="AA45" s="6" t="str">
        <x:v>17690.5</x:v>
      </x:c>
      <x:c r="AB45" s="9" t="str">
        <x:v>2.1817989577777905</x:v>
      </x:c>
      <x:c r="AC45" s="9" t="str">
        <x:v>2.2597203491269973</x:v>
      </x:c>
      <x:c r="AD45" s="9" t="str">
        <x:v>2.4934845231746174</x:v>
      </x:c>
      <x:c r="AE45" s="6" t="str">
        <x:v>With trade</x:v>
      </x:c>
      <x:c r="AF45" s="7" t="str">
        <x:v>2024-02-22 08:45:00-06:00</x:v>
      </x:c>
      <x:c r="AG45" s="6" t="str">
        <x:v>Long</x:v>
      </x:c>
      <x:c r="AH45" s="6" t="str">
        <x:v>17690.5</x:v>
      </x:c>
      <x:c r="AI45" s="8" t="str">
        <x:v>0</x:v>
      </x:c>
      <x:c r="AJ45" s="6" t="str">
        <x:v>True</x:v>
      </x:c>
      <x:c r="AK45" s="6" t="str">
        <x:v>Same-bar Setup+BOS</x:v>
      </x:c>
      <x:c r="AL45" s="9" t="str">
        <x:v>2.2597203491269973</x:v>
      </x:c>
      <x:c r="AM45" s="9" t="str">
        <x:v>2.1817989577777905</x:v>
      </x:c>
      <x:c r="AN45" s="9" t="str">
        <x:v>2.2597203491269973</x:v>
      </x:c>
      <x:c r="AO45" s="9" t="str">
        <x:v>2.4934845231746174</x:v>
      </x:c>
      <x:c r="AP45" s="10" t="str">
        <x:v>0.90625</x:v>
      </x:c>
      <x:c r="AQ45" s="6" t="str">
        <x:v>0.08854166666666667</x:v>
      </x:c>
      <x:c r="AR45" s="6" t="str">
        <x:v>0.005208333333333333</x:v>
      </x:c>
      <x:c r="AS45" s="6" t="str">
        <x:v>With trade</x:v>
      </x:c>
      <x:c r="AT45" s="6" t="str">
        <x:v>3.9658021409584023</x:v>
      </x:c>
      <x:c r="AU45" s="7" t="str">
        <x:v>2024-02-22 08:50:00-06:00</x:v>
      </x:c>
      <x:c r="AV45" s="8" t="str">
        <x:v>1</x:v>
      </x:c>
      <x:c r="AW45" s="6" t="str">
        <x:v>Immediate retest (1 bar)</x:v>
      </x:c>
      <x:c r="AX45" s="6" t="str">
        <x:v>17678.25</x:v>
      </x:c>
      <x:c r="AY45" s="6" t="str">
        <x:v>12.25</x:v>
      </x:c>
      <x:c r="AZ45" s="9" t="str">
        <x:v>0.521273102142546</x:v>
      </x:c>
      <x:c r="BA45" s="9" t="str">
        <x:v>-0.09574403916903905</x:v>
      </x:c>
      <x:c r="BB45" s="9" t="str">
        <x:v>3.351041370916367</x:v>
      </x:c>
      <x:c r="BC45" s="9" t="str">
        <x:v>1.8936043302321057</x:v>
      </x:c>
      <x:c r="BD45" s="6" t="str">
        <x:v>0.30793650793650795</x:v>
      </x:c>
      <x:c r="BE45" s="6" t="str">
        <x:v>0.12698412698412698</x:v>
      </x:c>
      <x:c r="BF45" s="9" t="str">
        <x:v>0.4255290629735069</x:v>
      </x:c>
      <x:c r="BG45" s="9" t="str">
        <x:v>1.0319079777107543</x:v>
      </x:c>
      <x:c r="BH45" s="6" t="str">
        <x:v>Against trade</x:v>
      </x:c>
      <x:c r="BI45" s="6" t="str">
        <x:v>Penetration without same-bar reclaim</x:v>
      </x:c>
      <x:c r="BJ45" s="6" t="str">
        <x:v>False</x:v>
      </x:c>
      <x:c r="BK45" s="10" t="str">
        <x:v>True</x:v>
      </x:c>
      <x:c r="BL45" s="6" t="str">
        <x:v>False</x:v>
      </x:c>
      <x:c r="BM45" s="7" t="str">
        <x:v>2024-02-22 08:55:00-06:00</x:v>
      </x:c>
      <x:c r="BN45" s="8" t="str">
        <x:v>1</x:v>
      </x:c>
      <x:c r="BO45" s="6" t="str">
        <x:v>Immediate confirmation (1 bar)</x:v>
      </x:c>
      <x:c r="BP45" s="9" t="str">
        <x:v>0.8790143958252745</x:v>
      </x:c>
      <x:c r="BQ45" s="9" t="str">
        <x:v>0.900453771333208</x:v>
      </x:c>
      <x:c r="BR45" s="10" t="str">
        <x:v>0.9761904761904762</x:v>
      </x:c>
      <x:c r="BS45" s="9" t="str">
        <x:v>0.771817518285607</x:v>
      </x:c>
      <x:c r="BT45" s="9" t="str">
        <x:v>0.8682947080713078</x:v>
      </x:c>
      <x:c r="BU45" s="9" t="str">
        <x:v>0.0</x:v>
      </x:c>
      <x:c r="BV45" s="6" t="str">
        <x:v>With trade</x:v>
      </x:c>
      <x:c r="BW45" s="7" t="str">
        <x:v>2024-02-22 08:55:00-06:00</x:v>
      </x:c>
      <x:c r="BX45" s="6" t="str">
        <x:v>17708.5</x:v>
      </x:c>
      <x:c r="BY45" s="9" t="str">
        <x:v>23.321574819890518</x:v>
      </x:c>
      <x:c r="BZ45" s="9" t="str">
        <x:v>0.99</x:v>
      </x:c>
      <x:c r="CA45" s="6" t="str">
        <x:v>17673.517637770165</x:v>
      </x:c>
      <x:c r="CB45" s="6" t="str">
        <x:v>34.98236222983542</x:v>
      </x:c>
      <x:c r="CC45" s="9" t="str">
        <x:v>1.4999999999999845</x:v>
      </x:c>
      <x:c r="CD45" s="6" t="str">
        <x:v>17778.46472445967</x:v>
      </x:c>
      <x:c r="CE45" s="6" t="str">
        <x:v>69.96472445967083</x:v>
      </x:c>
      <x:c r="CF45" s="6" t="str">
        <x:v>Fixed 2.00R target</x:v>
      </x:c>
      <x:c r="CG45" s="9" t="str">
        <x:v>0.020724729657669288</x:v>
      </x:c>
      <x:c r="CH45" s="9" t="str">
        <x:v>-0.22154021358197976</x:v>
      </x:c>
      <x:c r="CI45" s="9" t="str">
        <x:v>-0.24226494323964903</x:v>
      </x:c>
      <x:c r="CJ45" s="6" t="str">
        <x:v>Loss</x:v>
      </x:c>
      <x:c r="CK45" s="9" t="str">
        <x:v>1.522195661063296</x:v>
      </x:c>
      <x:c r="CL45" s="9" t="str">
        <x:v>0.7646710597829703</x:v>
      </x:c>
      <x:c r="CM45" s="7" t="str">
        <x:v>2024-02-22 09:55:00-06:00</x:v>
      </x:c>
      <x:c r="CN45" s="6" t="str">
        <x:v>17700.75</x:v>
      </x:c>
      <x:c r="CO45" s="6" t="str">
        <x:v>TIME</x:v>
      </x:c>
      <x:c r="CP45" s="6" t="str">
        <x:v>F::Long::Same-bar Setup+BOS::Penetration without same-bar reclaim</x:v>
      </x:c>
    </x:row>
    <x:row r="46" ht="18" customHeight="1">
      <x:c r="A46" s="6" t="str">
        <x:v>A0045</x:v>
      </x:c>
      <x:c r="B46" s="6" t="str">
        <x:v>2024-02-23</x:v>
      </x:c>
      <x:c r="C46" s="6" t="str">
        <x:v>2024</x:v>
      </x:c>
      <x:c r="D46" s="6" t="str">
        <x:v>2024-Q1</x:v>
      </x:c>
      <x:c r="E46" s="6" t="str">
        <x:v>First 50%</x:v>
      </x:c>
      <x:c r="F46" s="6" t="str">
        <x:v>Long</x:v>
      </x:c>
      <x:c r="G46" s="6" t="str">
        <x:v>Long</x:v>
      </x:c>
      <x:c r="H46" s="6" t="str">
        <x:v>Premarket</x:v>
      </x:c>
      <x:c r="I46" s="6" t="str">
        <x:v>Premarket</x:v>
      </x:c>
      <x:c r="J46" s="6" t="str">
        <x:v>Bull</x:v>
      </x:c>
      <x:c r="K46" s="6" t="str">
        <x:v>Bull</x:v>
      </x:c>
      <x:c r="L46" s="6" t="str">
        <x:v>HIGH</x:v>
      </x:c>
      <x:c r="M46" s="7" t="str">
        <x:v>2024-02-23 07:05:00-06:00</x:v>
      </x:c>
      <x:c r="N46" s="6" t="str">
        <x:v>90.0</x:v>
      </x:c>
      <x:c r="O46" s="6" t="str">
        <x:v>90-94</x:v>
      </x:c>
      <x:c r="P46" s="6" t="str">
        <x:v>Matching BOS only</x:v>
      </x:c>
      <x:c r="Q46" s="6" t="str">
        <x:v>Bull BOS</x:v>
      </x:c>
      <x:c r="R46" s="6" t="str">
        <x:v>True</x:v>
      </x:c>
      <x:c r="S46" s="6" t="str">
        <x:v>False</x:v>
      </x:c>
      <x:c r="T46" s="6" t="str">
        <x:v>Recent SSL</x:v>
      </x:c>
      <x:c r="U46" s="6" t="str">
        <x:v>SSL</x:v>
      </x:c>
      <x:c r="V46" s="6" t="str">
        <x:v>Swing low / sell-side</x:v>
      </x:c>
      <x:c r="W46" s="6" t="str">
        <x:v>[17808.5]</x:v>
      </x:c>
      <x:c r="X46" s="8" t="str">
        <x:v>1</x:v>
      </x:c>
      <x:c r="Y46" s="8" t="str">
        <x:v>9.0</x:v>
      </x:c>
      <x:c r="Z46" s="6" t="str">
        <x:v>None</x:v>
      </x:c>
      <x:c r="AA46" s="6" t="str">
        <x:v>17833.0</x:v>
      </x:c>
      <x:c r="AB46" s="9" t="str">
        <x:v>0.49651470468647474</x:v>
      </x:c>
      <x:c r="AC46" s="9" t="str">
        <x:v>1.4895441140594243</x:v>
      </x:c>
      <x:c r="AD46" s="9" t="str">
        <x:v>1.810818334738908</x:v>
      </x:c>
      <x:c r="AE46" s="6" t="str">
        <x:v>With trade</x:v>
      </x:c>
      <x:c r="AF46" s="7" t="str">
        <x:v>2024-02-23 07:05:00-06:00</x:v>
      </x:c>
      <x:c r="AG46" s="6" t="str">
        <x:v>Long</x:v>
      </x:c>
      <x:c r="AH46" s="6" t="str">
        <x:v>17833.0</x:v>
      </x:c>
      <x:c r="AI46" s="8" t="str">
        <x:v>0</x:v>
      </x:c>
      <x:c r="AJ46" s="6" t="str">
        <x:v>True</x:v>
      </x:c>
      <x:c r="AK46" s="6" t="str">
        <x:v>Same-bar Setup+BOS</x:v>
      </x:c>
      <x:c r="AL46" s="9" t="str">
        <x:v>1.4895441140594243</x:v>
      </x:c>
      <x:c r="AM46" s="9" t="str">
        <x:v>0.49651470468647474</x:v>
      </x:c>
      <x:c r="AN46" s="9" t="str">
        <x:v>1.4895441140594243</x:v>
      </x:c>
      <x:c r="AO46" s="9" t="str">
        <x:v>1.810818334738908</x:v>
      </x:c>
      <x:c r="AP46" s="10" t="str">
        <x:v>0.8225806451612904</x:v>
      </x:c>
      <x:c r="AQ46" s="6" t="str">
        <x:v>0.11290322580645161</x:v>
      </x:c>
      <x:c r="AR46" s="6" t="str">
        <x:v>0.06451612903225806</x:v>
      </x:c>
      <x:c r="AS46" s="6" t="str">
        <x:v>With trade</x:v>
      </x:c>
      <x:c r="AT46" s="6" t="str">
        <x:v>1.8804879944051596</x:v>
      </x:c>
      <x:c r="AU46" s="7" t="str">
        <x:v>2024-02-23 07:10:00-06:00</x:v>
      </x:c>
      <x:c r="AV46" s="8" t="str">
        <x:v>1</x:v>
      </x:c>
      <x:c r="AW46" s="6" t="str">
        <x:v>Immediate retest (1 bar)</x:v>
      </x:c>
      <x:c r="AX46" s="6" t="str">
        <x:v>17832.25</x:v>
      </x:c>
      <x:c r="AY46" s="6" t="str">
        <x:v>0.75</x:v>
      </x:c>
      <x:c r="AZ46" s="9" t="str">
        <x:v>0.08972391409285944</x:v>
      </x:c>
      <x:c r="BA46" s="9" t="str">
        <x:v>0.4486195704642972</x:v>
      </x:c>
      <x:c r="BB46" s="9" t="str">
        <x:v>0.687883341378589</x:v>
      </x:c>
      <x:c r="BC46" s="9" t="str">
        <x:v>0.029907971364286478</x:v>
      </x:c>
      <x:c r="BD46" s="6" t="str">
        <x:v>0.17391304347826086</x:v>
      </x:c>
      <x:c r="BE46" s="6" t="str">
        <x:v>0.782608695652174</x:v>
      </x:c>
      <x:c r="BF46" s="9" t="str">
        <x:v>0.5383434845571566</x:v>
      </x:c>
      <x:c r="BG46" s="9" t="str">
        <x:v>0.11963188545714591</x:v>
      </x:c>
      <x:c r="BH46" s="6" t="str">
        <x:v>Against trade</x:v>
      </x:c>
      <x:c r="BI46" s="6" t="str">
        <x:v>Penetration + same-bar reclaim</x:v>
      </x:c>
      <x:c r="BJ46" s="6" t="str">
        <x:v>False</x:v>
      </x:c>
      <x:c r="BK46" s="10" t="str">
        <x:v>True</x:v>
      </x:c>
      <x:c r="BL46" s="6" t="str">
        <x:v>True</x:v>
      </x:c>
      <x:c r="BM46" s="7" t="str">
        <x:v>2024-02-23 07:15:00-06:00</x:v>
      </x:c>
      <x:c r="BN46" s="8" t="str">
        <x:v>1</x:v>
      </x:c>
      <x:c r="BO46" s="6" t="str">
        <x:v>Immediate confirmation (1 bar)</x:v>
      </x:c>
      <x:c r="BP46" s="9" t="str">
        <x:v>0.597439468925435</x:v>
      </x:c>
      <x:c r="BQ46" s="9" t="str">
        <x:v>1.0156470971732394</x:v>
      </x:c>
      <x:c r="BR46" s="10" t="str">
        <x:v>0.5882352941176471</x:v>
      </x:c>
      <x:c r="BS46" s="9" t="str">
        <x:v>1.0156470971732394</x:v>
      </x:c>
      <x:c r="BT46" s="9" t="str">
        <x:v>0.5675674954791633</x:v>
      </x:c>
      <x:c r="BU46" s="9" t="str">
        <x:v>0.20910381412390225</x:v>
      </x:c>
      <x:c r="BV46" s="6" t="str">
        <x:v>With trade</x:v>
      </x:c>
      <x:c r="BW46" s="7" t="str">
        <x:v>2024-02-23 07:15:00-06:00</x:v>
      </x:c>
      <x:c r="BX46" s="6" t="str">
        <x:v>17841.5</x:v>
      </x:c>
      <x:c r="BY46" s="9" t="str">
        <x:v>8.369048682024786</x:v>
      </x:c>
      <x:c r="BZ46" s="9" t="str">
        <x:v>0.95</x:v>
      </x:c>
      <x:c r="CA46" s="6" t="str">
        <x:v>17828.946426976963</x:v>
      </x:c>
      <x:c r="CB46" s="6" t="str">
        <x:v>12.553573023036734</x:v>
      </x:c>
      <x:c r="CC46" s="9" t="str">
        <x:v>1.4999999999999467</x:v>
      </x:c>
      <x:c r="CD46" s="6" t="str">
        <x:v>17866.607146046073</x:v>
      </x:c>
      <x:c r="CE46" s="6" t="str">
        <x:v>25.107146046073467</x:v>
      </x:c>
      <x:c r="CF46" s="6" t="str">
        <x:v>Fixed 2.00R target</x:v>
      </x:c>
      <x:c r="CG46" s="9" t="str">
        <x:v>0.05775248199612743</x:v>
      </x:c>
      <x:c r="CH46" s="9" t="str">
        <x:v>2.0</x:v>
      </x:c>
      <x:c r="CI46" s="9" t="str">
        <x:v>1.9422475180038725</x:v>
      </x:c>
      <x:c r="CJ46" s="6" t="str">
        <x:v>Win</x:v>
      </x:c>
      <x:c r="CK46" s="9" t="str">
        <x:v>2.2304406839883697</x:v>
      </x:c>
      <x:c r="CL46" s="9" t="str">
        <x:v>0.0</x:v>
      </x:c>
      <x:c r="CM46" s="7" t="str">
        <x:v>2024-02-23 07:35:00-06:00</x:v>
      </x:c>
      <x:c r="CN46" s="6" t="str">
        <x:v>17866.607146046073</x:v>
      </x:c>
      <x:c r="CO46" s="6" t="str">
        <x:v>TARGET</x:v>
      </x:c>
      <x:c r="CP46" s="6" t="str">
        <x:v>F::Long::Same-bar Setup+BOS::Penetration + same-bar reclaim</x:v>
      </x:c>
    </x:row>
    <x:row r="47" ht="18" customHeight="1">
      <x:c r="A47" s="6" t="str">
        <x:v>A0046</x:v>
      </x:c>
      <x:c r="B47" s="6" t="str">
        <x:v>2024-02-26</x:v>
      </x:c>
      <x:c r="C47" s="6" t="str">
        <x:v>2024</x:v>
      </x:c>
      <x:c r="D47" s="6" t="str">
        <x:v>2024-Q1</x:v>
      </x:c>
      <x:c r="E47" s="6" t="str">
        <x:v>First 50%</x:v>
      </x:c>
      <x:c r="F47" s="6" t="str">
        <x:v>Long</x:v>
      </x:c>
      <x:c r="G47" s="6" t="str">
        <x:v>Long</x:v>
      </x:c>
      <x:c r="H47" s="6" t="str">
        <x:v>Premarket</x:v>
      </x:c>
      <x:c r="I47" s="6" t="str">
        <x:v>Premarket</x:v>
      </x:c>
      <x:c r="J47" s="6" t="str">
        <x:v>Bull</x:v>
      </x:c>
      <x:c r="K47" s="6" t="str">
        <x:v>Bull</x:v>
      </x:c>
      <x:c r="L47" s="6" t="str">
        <x:v>HIGH</x:v>
      </x:c>
      <x:c r="M47" s="7" t="str">
        <x:v>2024-02-26 07:10:00-06:00</x:v>
      </x:c>
      <x:c r="N47" s="6" t="str">
        <x:v>75.0</x:v>
      </x:c>
      <x:c r="O47" s="6" t="str">
        <x:v>75-79</x:v>
      </x:c>
      <x:c r="P47" s="6" t="str">
        <x:v>Matching BOS only</x:v>
      </x:c>
      <x:c r="Q47" s="6" t="str">
        <x:v>Bull CHoCH</x:v>
      </x:c>
      <x:c r="R47" s="6" t="str">
        <x:v>True</x:v>
      </x:c>
      <x:c r="S47" s="6" t="str">
        <x:v>False</x:v>
      </x:c>
      <x:c r="T47" s="6" t="str">
        <x:v>Recent SSL</x:v>
      </x:c>
      <x:c r="U47" s="6" t="str">
        <x:v>SSL</x:v>
      </x:c>
      <x:c r="V47" s="6" t="str">
        <x:v>Swing low / sell-side</x:v>
      </x:c>
      <x:c r="W47" s="6" t="str">
        <x:v>[17761.75]</x:v>
      </x:c>
      <x:c r="X47" s="8" t="str">
        <x:v>1</x:v>
      </x:c>
      <x:c r="Y47" s="8" t="str">
        <x:v>1.0</x:v>
      </x:c>
      <x:c r="Z47" s="6" t="str">
        <x:v>None</x:v>
      </x:c>
      <x:c r="AA47" s="6" t="str">
        <x:v>17779.75</x:v>
      </x:c>
      <x:c r="AB47" s="9" t="str">
        <x:v>0.341018316029792</x:v>
      </x:c>
      <x:c r="AC47" s="9" t="str">
        <x:v>0.7388730180645493</x:v>
      </x:c>
      <x:c r="AD47" s="9" t="str">
        <x:v>0.9946367550868933</x:v>
      </x:c>
      <x:c r="AE47" s="6" t="str">
        <x:v>With trade</x:v>
      </x:c>
      <x:c r="AF47" s="7" t="str">
        <x:v>2024-02-26 07:10:00-06:00</x:v>
      </x:c>
      <x:c r="AG47" s="6" t="str">
        <x:v>Long</x:v>
      </x:c>
      <x:c r="AH47" s="6" t="str">
        <x:v>17779.75</x:v>
      </x:c>
      <x:c r="AI47" s="8" t="str">
        <x:v>0</x:v>
      </x:c>
      <x:c r="AJ47" s="6" t="str">
        <x:v>True</x:v>
      </x:c>
      <x:c r="AK47" s="6" t="str">
        <x:v>Same-bar Setup+BOS</x:v>
      </x:c>
      <x:c r="AL47" s="9" t="str">
        <x:v>0.682036632059584</x:v>
      </x:c>
      <x:c r="AM47" s="9" t="str">
        <x:v>0.341018316029792</x:v>
      </x:c>
      <x:c r="AN47" s="9" t="str">
        <x:v>0.7388730180645493</x:v>
      </x:c>
      <x:c r="AO47" s="9" t="str">
        <x:v>0.9946367550868933</x:v>
      </x:c>
      <x:c r="AP47" s="10" t="str">
        <x:v>0.7428571428571429</x:v>
      </x:c>
      <x:c r="AQ47" s="6" t="str">
        <x:v>0.02857142857142857</x:v>
      </x:c>
      <x:c r="AR47" s="6" t="str">
        <x:v>0.22857142857142856</x:v>
      </x:c>
      <x:c r="AS47" s="6" t="str">
        <x:v>With trade</x:v>
      </x:c>
      <x:c r="AT47" s="6" t="str">
        <x:v>1.466597077244259</x:v>
      </x:c>
      <x:c r="AU47" s="7" t="str">
        <x:v>2024-02-26 07:15:00-06:00</x:v>
      </x:c>
      <x:c r="AV47" s="8" t="str">
        <x:v>1</x:v>
      </x:c>
      <x:c r="AW47" s="6" t="str">
        <x:v>Immediate retest (1 bar)</x:v>
      </x:c>
      <x:c r="AX47" s="6" t="str">
        <x:v>17778.0</x:v>
      </x:c>
      <x:c r="AY47" s="6" t="str">
        <x:v>1.75</x:v>
      </x:c>
      <x:c r="AZ47" s="9" t="str">
        <x:v>0.19582241460237357</x:v>
      </x:c>
      <x:c r="BA47" s="9" t="str">
        <x:v>0.8392389197244582</x:v>
      </x:c>
      <x:c r="BB47" s="9" t="str">
        <x:v>1.2029091182717233</x:v>
      </x:c>
      <x:c r="BC47" s="9" t="str">
        <x:v>0.5035433518346749</x:v>
      </x:c>
      <x:c r="BD47" s="6" t="str">
        <x:v>0.13953488372093023</x:v>
      </x:c>
      <x:c r="BE47" s="6" t="str">
        <x:v>0.4418604651162791</x:v>
      </x:c>
      <x:c r="BF47" s="9" t="str">
        <x:v>0.5315179824921569</x:v>
      </x:c>
      <x:c r="BG47" s="9" t="str">
        <x:v>0.16784778394489164</x:v>
      </x:c>
      <x:c r="BH47" s="6" t="str">
        <x:v>With trade</x:v>
      </x:c>
      <x:c r="BI47" s="6" t="str">
        <x:v>Penetration + same-bar reclaim</x:v>
      </x:c>
      <x:c r="BJ47" s="6" t="str">
        <x:v>False</x:v>
      </x:c>
      <x:c r="BK47" s="10" t="str">
        <x:v>True</x:v>
      </x:c>
      <x:c r="BL47" s="6" t="str">
        <x:v>True</x:v>
      </x:c>
      <x:c r="BM47" s="7" t="str">
        <x:v>2024-02-26 07:20:00-06:00</x:v>
      </x:c>
      <x:c r="BN47" s="8" t="str">
        <x:v>1</x:v>
      </x:c>
      <x:c r="BO47" s="6" t="str">
        <x:v>Immediate confirmation (1 bar)</x:v>
      </x:c>
      <x:c r="BP47" s="9" t="str">
        <x:v>1.1718747850509204</x:v>
      </x:c>
      <x:c r="BQ47" s="9" t="str">
        <x:v>1.3353921969184905</x:v>
      </x:c>
      <x:c r="BR47" s="10" t="str">
        <x:v>0.8775510204081632</x:v>
      </x:c>
      <x:c r="BS47" s="9" t="str">
        <x:v>1.9894618443887717</x:v>
      </x:c>
      <x:c r="BT47" s="9" t="str">
        <x:v>1.1718747850509204</x:v>
      </x:c>
      <x:c r="BU47" s="9" t="str">
        <x:v>0.08175870593378513</x:v>
      </x:c>
      <x:c r="BV47" s="6" t="str">
        <x:v>With trade</x:v>
      </x:c>
      <x:c r="BW47" s="7" t="str">
        <x:v>2024-02-26 07:20:00-06:00</x:v>
      </x:c>
      <x:c r="BX47" s="6" t="str">
        <x:v>17798.0</x:v>
      </x:c>
      <x:c r="BY47" s="9" t="str">
        <x:v>9.173335015935931</x:v>
      </x:c>
      <x:c r="BZ47" s="9" t="str">
        <x:v>1.0</x:v>
      </x:c>
      <x:c r="CA47" s="6" t="str">
        <x:v>17784.239997476096</x:v>
      </x:c>
      <x:c r="CB47" s="6" t="str">
        <x:v>13.760002523904404</x:v>
      </x:c>
      <x:c r="CC47" s="9" t="str">
        <x:v>1.5000000000000553</x:v>
      </x:c>
      <x:c r="CD47" s="6" t="str">
        <x:v>17825.52000504781</x:v>
      </x:c>
      <x:c r="CE47" s="6" t="str">
        <x:v>27.52000504780881</x:v>
      </x:c>
      <x:c r="CF47" s="6" t="str">
        <x:v>Fixed 2.00R target</x:v>
      </x:c>
      <x:c r="CG47" s="9" t="str">
        <x:v>0.052688943823992924</x:v>
      </x:c>
      <x:c r="CH47" s="9" t="str">
        <x:v>-0.7994184580192325</x:v>
      </x:c>
      <x:c r="CI47" s="9" t="str">
        <x:v>-0.8521074018432254</x:v>
      </x:c>
      <x:c r="CJ47" s="6" t="str">
        <x:v>Loss</x:v>
      </x:c>
      <x:c r="CK47" s="9" t="str">
        <x:v>1.2172962883474228</x:v>
      </x:c>
      <x:c r="CL47" s="9" t="str">
        <x:v>0.944767268568149</x:v>
      </x:c>
      <x:c r="CM47" s="7" t="str">
        <x:v>2024-02-26 08:20:00-06:00</x:v>
      </x:c>
      <x:c r="CN47" s="6" t="str">
        <x:v>17787.0</x:v>
      </x:c>
      <x:c r="CO47" s="6" t="str">
        <x:v>TIME</x:v>
      </x:c>
      <x:c r="CP47" s="6" t="str">
        <x:v>F::Long::Same-bar Setup+BOS::Penetration + same-bar reclaim</x:v>
      </x:c>
    </x:row>
    <x:row r="48" ht="18" customHeight="1">
      <x:c r="A48" s="6" t="str">
        <x:v>A0047</x:v>
      </x:c>
      <x:c r="B48" s="6" t="str">
        <x:v>2024-02-27</x:v>
      </x:c>
      <x:c r="C48" s="6" t="str">
        <x:v>2024</x:v>
      </x:c>
      <x:c r="D48" s="6" t="str">
        <x:v>2024-Q1</x:v>
      </x:c>
      <x:c r="E48" s="6" t="str">
        <x:v>First 50%</x:v>
      </x:c>
      <x:c r="F48" s="6" t="str">
        <x:v>Short</x:v>
      </x:c>
      <x:c r="G48" s="6" t="str">
        <x:v>Short</x:v>
      </x:c>
      <x:c r="H48" s="6" t="str">
        <x:v>Premarket</x:v>
      </x:c>
      <x:c r="I48" s="6" t="str">
        <x:v>Premarket</x:v>
      </x:c>
      <x:c r="J48" s="6" t="str">
        <x:v>Bull</x:v>
      </x:c>
      <x:c r="K48" s="6" t="str">
        <x:v>Bull</x:v>
      </x:c>
      <x:c r="L48" s="6" t="str">
        <x:v>HIGH</x:v>
      </x:c>
      <x:c r="M48" s="7" t="str">
        <x:v>2024-02-27 07:15:00-06:00</x:v>
      </x:c>
      <x:c r="N48" s="6" t="str">
        <x:v>90.0</x:v>
      </x:c>
      <x:c r="O48" s="6" t="str">
        <x:v>90-94</x:v>
      </x:c>
      <x:c r="P48" s="6" t="str">
        <x:v>Matching BOS only</x:v>
      </x:c>
      <x:c r="Q48" s="6" t="str">
        <x:v>Bear CHoCH</x:v>
      </x:c>
      <x:c r="R48" s="6" t="str">
        <x:v>True</x:v>
      </x:c>
      <x:c r="S48" s="6" t="str">
        <x:v>False</x:v>
      </x:c>
      <x:c r="T48" s="6" t="str">
        <x:v>Recent BSL</x:v>
      </x:c>
      <x:c r="U48" s="6" t="str">
        <x:v>BSL</x:v>
      </x:c>
      <x:c r="V48" s="6" t="str">
        <x:v>Swing high / buy-side</x:v>
      </x:c>
      <x:c r="W48" s="6" t="str">
        <x:v>[17806.75]</x:v>
      </x:c>
      <x:c r="X48" s="8" t="str">
        <x:v>1</x:v>
      </x:c>
      <x:c r="Y48" s="8" t="str">
        <x:v>14.0</x:v>
      </x:c>
      <x:c r="Z48" s="6" t="str">
        <x:v>None</x:v>
      </x:c>
      <x:c r="AA48" s="6" t="str">
        <x:v>17785.75</x:v>
      </x:c>
      <x:c r="AB48" s="9" t="str">
        <x:v>0.7172664710717336</x:v>
      </x:c>
      <x:c r="AC48" s="9" t="str">
        <x:v>2.0690378973223087</x:v>
      </x:c>
      <x:c r="AD48" s="9" t="str">
        <x:v>2.7587171964297448</x:v>
      </x:c>
      <x:c r="AE48" s="6" t="str">
        <x:v>With trade</x:v>
      </x:c>
      <x:c r="AF48" s="7" t="str">
        <x:v>2024-02-27 07:15:00-06:00</x:v>
      </x:c>
      <x:c r="AG48" s="6" t="str">
        <x:v>Short</x:v>
      </x:c>
      <x:c r="AH48" s="6" t="str">
        <x:v>17785.75</x:v>
      </x:c>
      <x:c r="AI48" s="8" t="str">
        <x:v>0</x:v>
      </x:c>
      <x:c r="AJ48" s="6" t="str">
        <x:v>True</x:v>
      </x:c>
      <x:c r="AK48" s="6" t="str">
        <x:v>Same-bar Setup+BOS</x:v>
      </x:c>
      <x:c r="AL48" s="9" t="str">
        <x:v>2.041450725358011</x:v>
      </x:c>
      <x:c r="AM48" s="9" t="str">
        <x:v>0.7172664710717336</x:v>
      </x:c>
      <x:c r="AN48" s="9" t="str">
        <x:v>2.0690378973223087</x:v>
      </x:c>
      <x:c r="AO48" s="9" t="str">
        <x:v>2.7587171964297448</x:v>
      </x:c>
      <x:c r="AP48" s="10" t="str">
        <x:v>0.75</x:v>
      </x:c>
      <x:c r="AQ48" s="6" t="str">
        <x:v>0.02</x:v>
      </x:c>
      <x:c r="AR48" s="6" t="str">
        <x:v>0.23</x:v>
      </x:c>
      <x:c r="AS48" s="6" t="str">
        <x:v>With trade</x:v>
      </x:c>
      <x:c r="AT48" s="6" t="str">
        <x:v>3.788546255506608</x:v>
      </x:c>
      <x:c r="AU48" s="7" t="str">
        <x:v>2024-02-27 07:20:00-06:00</x:v>
      </x:c>
      <x:c r="AV48" s="8" t="str">
        <x:v>1</x:v>
      </x:c>
      <x:c r="AW48" s="6" t="str">
        <x:v>Immediate retest (1 bar)</x:v>
      </x:c>
      <x:c r="AX48" s="6" t="str">
        <x:v>17785.75</x:v>
      </x:c>
      <x:c r="AY48" s="6" t="str">
        <x:v>0.0</x:v>
      </x:c>
      <x:c r="AZ48" s="9" t="str">
        <x:v>0.0</x:v>
      </x:c>
      <x:c r="BA48" s="9" t="str">
        <x:v>0.19020501819273228</x:v>
      </x:c>
      <x:c r="BB48" s="9" t="str">
        <x:v>1.1955744000686028</x:v>
      </x:c>
      <x:c r="BC48" s="9" t="str">
        <x:v>0.46192647275377835</x:v>
      </x:c>
      <x:c r="BD48" s="6" t="str">
        <x:v>0.1590909090909091</x:v>
      </x:c>
      <x:c r="BE48" s="6" t="str">
        <x:v>0.45454545454545453</x:v>
      </x:c>
      <x:c r="BF48" s="9" t="str">
        <x:v>0.19020501819273228</x:v>
      </x:c>
      <x:c r="BG48" s="9" t="str">
        <x:v>0.5434429091220923</x:v>
      </x:c>
      <x:c r="BH48" s="6" t="str">
        <x:v>Against trade</x:v>
      </x:c>
      <x:c r="BI48" s="6" t="str">
        <x:v>Exact BOS touch</x:v>
      </x:c>
      <x:c r="BJ48" s="6" t="str">
        <x:v>True</x:v>
      </x:c>
      <x:c r="BK48" s="10" t="str">
        <x:v>False</x:v>
      </x:c>
      <x:c r="BL48" s="6" t="str">
        <x:v>True</x:v>
      </x:c>
      <x:c r="BM48" s="7" t="str">
        <x:v>2024-02-27 07:25:00-06:00</x:v>
      </x:c>
      <x:c r="BN48" s="8" t="str">
        <x:v>1</x:v>
      </x:c>
      <x:c r="BO48" s="6" t="str">
        <x:v>Immediate confirmation (1 bar)</x:v>
      </x:c>
      <x:c r="BP48" s="9" t="str">
        <x:v>0.0278645160016028</x:v>
      </x:c>
      <x:c r="BQ48" s="9" t="str">
        <x:v>0.6687483840384671</x:v>
      </x:c>
      <x:c r="BR48" s="10" t="str">
        <x:v>0.041666666666666664</x:v>
      </x:c>
      <x:c r="BS48" s="9" t="str">
        <x:v>0.2229161280128224</x:v>
      </x:c>
      <x:c r="BT48" s="9" t="str">
        <x:v>0.0278645160016028</x:v>
      </x:c>
      <x:c r="BU48" s="9" t="str">
        <x:v>0.3065096760176308</x:v>
      </x:c>
      <x:c r="BV48" s="6" t="str">
        <x:v>With trade</x:v>
      </x:c>
      <x:c r="BW48" s="7" t="str">
        <x:v>2024-02-27 07:25:00-06:00</x:v>
      </x:c>
      <x:c r="BX48" s="6" t="str">
        <x:v>17783.75</x:v>
      </x:c>
      <x:c r="BY48" s="9" t="str">
        <x:v>8.971984296645228</x:v>
      </x:c>
      <x:c r="BZ48" s="9" t="str">
        <x:v>0.85</x:v>
      </x:c>
      <x:c r="CA48" s="6" t="str">
        <x:v>17797.207976444966</x:v>
      </x:c>
      <x:c r="CB48" s="6" t="str">
        <x:v>13.457976444966334</x:v>
      </x:c>
      <x:c r="CC48" s="9" t="str">
        <x:v>1.499999999999832</x:v>
      </x:c>
      <x:c r="CD48" s="6" t="str">
        <x:v>17756.834047110064</x:v>
      </x:c>
      <x:c r="CE48" s="6" t="str">
        <x:v>26.915952889936307</x:v>
      </x:c>
      <x:c r="CF48" s="6" t="str">
        <x:v>Fixed 2.00R target</x:v>
      </x:c>
      <x:c r="CG48" s="9" t="str">
        <x:v>0.05387139760310478</x:v>
      </x:c>
      <x:c r="CH48" s="9" t="str">
        <x:v>-1.0</x:v>
      </x:c>
      <x:c r="CI48" s="9" t="str">
        <x:v>-1.0538713976031049</x:v>
      </x:c>
      <x:c r="CJ48" s="6" t="str">
        <x:v>Loss</x:v>
      </x:c>
      <x:c r="CK48" s="9" t="str">
        <x:v>0.5201376320299772</x:v>
      </x:c>
      <x:c r="CL48" s="9" t="str">
        <x:v>1.5789892400910022</x:v>
      </x:c>
      <x:c r="CM48" s="7" t="str">
        <x:v>2024-02-27 07:35:00-06:00</x:v>
      </x:c>
      <x:c r="CN48" s="6" t="str">
        <x:v>17797.207976444966</x:v>
      </x:c>
      <x:c r="CO48" s="6" t="str">
        <x:v>STOP</x:v>
      </x:c>
      <x:c r="CP48" s="6" t="str">
        <x:v>F::Short::Same-bar Setup+BOS::Exact BOS touch</x:v>
      </x:c>
    </x:row>
    <x:row r="49" ht="18" customHeight="1">
      <x:c r="A49" s="6" t="str">
        <x:v>A0048</x:v>
      </x:c>
      <x:c r="B49" s="6" t="str">
        <x:v>2024-02-27</x:v>
      </x:c>
      <x:c r="C49" s="6" t="str">
        <x:v>2024</x:v>
      </x:c>
      <x:c r="D49" s="6" t="str">
        <x:v>2024-Q1</x:v>
      </x:c>
      <x:c r="E49" s="6" t="str">
        <x:v>First 50%</x:v>
      </x:c>
      <x:c r="F49" s="6" t="str">
        <x:v>Short</x:v>
      </x:c>
      <x:c r="G49" s="6" t="str">
        <x:v>Short</x:v>
      </x:c>
      <x:c r="H49" s="6" t="str">
        <x:v>Midday</x:v>
      </x:c>
      <x:c r="I49" s="6" t="str">
        <x:v>Morning</x:v>
      </x:c>
      <x:c r="J49" s="6" t="str">
        <x:v>Neutral</x:v>
      </x:c>
      <x:c r="K49" s="6" t="str">
        <x:v>Bull</x:v>
      </x:c>
      <x:c r="L49" s="6" t="str">
        <x:v>HIGH</x:v>
      </x:c>
      <x:c r="M49" s="7" t="str">
        <x:v>2024-02-27 11:35:00-06:00</x:v>
      </x:c>
      <x:c r="N49" s="6" t="str">
        <x:v>75.0</x:v>
      </x:c>
      <x:c r="O49" s="6" t="str">
        <x:v>75-79</x:v>
      </x:c>
      <x:c r="P49" s="6" t="str">
        <x:v>Matching BOS only</x:v>
      </x:c>
      <x:c r="Q49" s="6" t="str">
        <x:v>Bear BOS</x:v>
      </x:c>
      <x:c r="R49" s="6" t="str">
        <x:v>True</x:v>
      </x:c>
      <x:c r="S49" s="6" t="str">
        <x:v>False</x:v>
      </x:c>
      <x:c r="T49" s="6" t="str">
        <x:v>No recent matching sweep</x:v>
      </x:c>
      <x:c r="U49" s="6" t="str">
        <x:v>None</x:v>
      </x:c>
      <x:c r="V49" s="6" t="str">
        <x:v>None</x:v>
      </x:c>
      <x:c r="W49" s="6" t="str">
        <x:v>[]</x:v>
      </x:c>
      <x:c r="X49" s="8" t="str">
        <x:v>0</x:v>
      </x:c>
      <x:c r="Y49" s="8" t="str"/>
      <x:c r="Z49" s="6" t="str">
        <x:v>None</x:v>
      </x:c>
      <x:c r="AA49" s="6" t="str">
        <x:v>17751.75</x:v>
      </x:c>
      <x:c r="AB49" s="9" t="str">
        <x:v>0.8164160534051615</x:v>
      </x:c>
      <x:c r="AC49" s="9" t="str">
        <x:v>1.1510127966039982</x:v>
      </x:c>
      <x:c r="AD49" s="9" t="str">
        <x:v>1.3651547122512537</x:v>
      </x:c>
      <x:c r="AE49" s="6" t="str">
        <x:v>With trade</x:v>
      </x:c>
      <x:c r="AF49" s="7" t="str">
        <x:v>2024-02-27 11:35:00-06:00</x:v>
      </x:c>
      <x:c r="AG49" s="6" t="str">
        <x:v>Short</x:v>
      </x:c>
      <x:c r="AH49" s="6" t="str">
        <x:v>17751.75</x:v>
      </x:c>
      <x:c r="AI49" s="8" t="str">
        <x:v>0</x:v>
      </x:c>
      <x:c r="AJ49" s="6" t="str">
        <x:v>True</x:v>
      </x:c>
      <x:c r="AK49" s="6" t="str">
        <x:v>Same-bar Setup+BOS</x:v>
      </x:c>
      <x:c r="AL49" s="9" t="str">
        <x:v>1.1643966663319516</x:v>
      </x:c>
      <x:c r="AM49" s="9" t="str">
        <x:v>0.8164160534051615</x:v>
      </x:c>
      <x:c r="AN49" s="9" t="str">
        <x:v>1.1510127966039982</x:v>
      </x:c>
      <x:c r="AO49" s="9" t="str">
        <x:v>1.3651547122512537</x:v>
      </x:c>
      <x:c r="AP49" s="10" t="str">
        <x:v>0.8431372549019608</x:v>
      </x:c>
      <x:c r="AQ49" s="6" t="str">
        <x:v>0.11764705882352941</x:v>
      </x:c>
      <x:c r="AR49" s="6" t="str">
        <x:v>0.0392156862745098</x:v>
      </x:c>
      <x:c r="AS49" s="6" t="str">
        <x:v>With trade</x:v>
      </x:c>
      <x:c r="AT49" s="6" t="str">
        <x:v>1.1837774051301162</x:v>
      </x:c>
      <x:c r="AU49" s="7" t="str">
        <x:v>2024-02-27 12:20:00-06:00</x:v>
      </x:c>
      <x:c r="AV49" s="8" t="str">
        <x:v>9</x:v>
      </x:c>
      <x:c r="AW49" s="6" t="str">
        <x:v>Delayed retest (2+ bars)</x:v>
      </x:c>
      <x:c r="AX49" s="6" t="str">
        <x:v>17755.0</x:v>
      </x:c>
      <x:c r="AY49" s="6" t="str">
        <x:v>3.25</x:v>
      </x:c>
      <x:c r="AZ49" s="9" t="str">
        <x:v>0.17437243757266047</x:v>
      </x:c>
      <x:c r="BA49" s="9" t="str">
        <x:v>0.32191834628798854</x:v>
      </x:c>
      <x:c r="BB49" s="9" t="str">
        <x:v>1.3547397072952851</x:v>
      </x:c>
      <x:c r="BC49" s="9" t="str">
        <x:v>0.6170101637186447</x:v>
      </x:c>
      <x:c r="BD49" s="6" t="str">
        <x:v>0.36633663366336633</x:v>
      </x:c>
      <x:c r="BE49" s="6" t="str">
        <x:v>0.1782178217821782</x:v>
      </x:c>
      <x:c r="BF49" s="9" t="str">
        <x:v>0.496290783860649</x:v>
      </x:c>
      <x:c r="BG49" s="9" t="str">
        <x:v>0.2414387597159914</x:v>
      </x:c>
      <x:c r="BH49" s="6" t="str">
        <x:v>Against trade</x:v>
      </x:c>
      <x:c r="BI49" s="6" t="str">
        <x:v>Penetration + same-bar reclaim</x:v>
      </x:c>
      <x:c r="BJ49" s="6" t="str">
        <x:v>False</x:v>
      </x:c>
      <x:c r="BK49" s="10" t="str">
        <x:v>True</x:v>
      </x:c>
      <x:c r="BL49" s="6" t="str">
        <x:v>True</x:v>
      </x:c>
      <x:c r="BM49" s="7" t="str">
        <x:v>2024-02-27 12:25:00-06:00</x:v>
      </x:c>
      <x:c r="BN49" s="8" t="str">
        <x:v>1</x:v>
      </x:c>
      <x:c r="BO49" s="6" t="str">
        <x:v>Immediate confirmation (1 bar)</x:v>
      </x:c>
      <x:c r="BP49" s="9" t="str">
        <x:v>0.9603549417034324</x:v>
      </x:c>
      <x:c r="BQ49" s="9" t="str">
        <x:v>1.2497769789291242</x:v>
      </x:c>
      <x:c r="BR49" s="10" t="str">
        <x:v>0.7684210526315789</x:v>
      </x:c>
      <x:c r="BS49" s="9" t="str">
        <x:v>1.276088073222369</x:v>
      </x:c>
      <x:c r="BT49" s="9" t="str">
        <x:v>0.9603549417034324</x:v>
      </x:c>
      <x:c r="BU49" s="9" t="str">
        <x:v>0.19733320719933542</x:v>
      </x:c>
      <x:c r="BV49" s="6" t="str">
        <x:v>With trade</x:v>
      </x:c>
      <x:c r="BW49" s="7" t="str">
        <x:v>2024-02-27 12:25:00-06:00</x:v>
      </x:c>
      <x:c r="BX49" s="6" t="str">
        <x:v>17727.5</x:v>
      </x:c>
      <x:c r="BY49" s="9" t="str">
        <x:v>19.00339052520416</x:v>
      </x:c>
      <x:c r="BZ49" s="9" t="str">
        <x:v>0.77</x:v>
      </x:c>
      <x:c r="CA49" s="6" t="str">
        <x:v>17756.005085787805</x:v>
      </x:c>
      <x:c r="CB49" s="6" t="str">
        <x:v>28.505085787805</x:v>
      </x:c>
      <x:c r="CC49" s="9" t="str">
        <x:v>1.4999999999999347</x:v>
      </x:c>
      <x:c r="CD49" s="6" t="str">
        <x:v>17670.489828424386</x:v>
      </x:c>
      <x:c r="CE49" s="6" t="str">
        <x:v>57.01017157561364</x:v>
      </x:c>
      <x:c r="CF49" s="6" t="str">
        <x:v>Fixed 2.00R target</x:v>
      </x:c>
      <x:c r="CG49" s="9" t="str">
        <x:v>0.025434057816804335</x:v>
      </x:c>
      <x:c r="CH49" s="9" t="str">
        <x:v>-1.0</x:v>
      </x:c>
      <x:c r="CI49" s="9" t="str">
        <x:v>-1.0254340578168044</x:v>
      </x:c>
      <x:c r="CJ49" s="6" t="str">
        <x:v>Loss</x:v>
      </x:c>
      <x:c r="CK49" s="9" t="str">
        <x:v>0.1490962009950599</x:v>
      </x:c>
      <x:c r="CL49" s="9" t="str">
        <x:v>1.0962955955519111</x:v>
      </x:c>
      <x:c r="CM49" s="7" t="str">
        <x:v>2024-02-27 12:55:00-06:00</x:v>
      </x:c>
      <x:c r="CN49" s="6" t="str">
        <x:v>17756.005085787805</x:v>
      </x:c>
      <x:c r="CO49" s="6" t="str">
        <x:v>STOP</x:v>
      </x:c>
      <x:c r="CP49" s="6" t="str">
        <x:v>F::Short::Same-bar Setup+BOS::Penetration + same-bar reclaim</x:v>
      </x:c>
    </x:row>
    <x:row r="50" ht="18" customHeight="1">
      <x:c r="A50" s="6" t="str">
        <x:v>A0049</x:v>
      </x:c>
      <x:c r="B50" s="6" t="str">
        <x:v>2024-02-27</x:v>
      </x:c>
      <x:c r="C50" s="6" t="str">
        <x:v>2024</x:v>
      </x:c>
      <x:c r="D50" s="6" t="str">
        <x:v>2024-Q1</x:v>
      </x:c>
      <x:c r="E50" s="6" t="str">
        <x:v>First 50%</x:v>
      </x:c>
      <x:c r="F50" s="6" t="str">
        <x:v>Long</x:v>
      </x:c>
      <x:c r="G50" s="6" t="str">
        <x:v>Long</x:v>
      </x:c>
      <x:c r="H50" s="6" t="str">
        <x:v>Overnight</x:v>
      </x:c>
      <x:c r="I50" s="6" t="str">
        <x:v>Overnight</x:v>
      </x:c>
      <x:c r="J50" s="6" t="str">
        <x:v>Bull</x:v>
      </x:c>
      <x:c r="K50" s="6" t="str">
        <x:v>Bull</x:v>
      </x:c>
      <x:c r="L50" s="6" t="str">
        <x:v>LOW</x:v>
      </x:c>
      <x:c r="M50" s="7" t="str">
        <x:v>2024-02-27 21:45:00-06:00</x:v>
      </x:c>
      <x:c r="N50" s="6" t="str">
        <x:v>90.0</x:v>
      </x:c>
      <x:c r="O50" s="6" t="str">
        <x:v>90-94</x:v>
      </x:c>
      <x:c r="P50" s="6" t="str">
        <x:v>Matching BOS only</x:v>
      </x:c>
      <x:c r="Q50" s="6" t="str">
        <x:v>Bull BOS</x:v>
      </x:c>
      <x:c r="R50" s="6" t="str">
        <x:v>True</x:v>
      </x:c>
      <x:c r="S50" s="6" t="str">
        <x:v>False</x:v>
      </x:c>
      <x:c r="T50" s="6" t="str">
        <x:v>Recent SSL</x:v>
      </x:c>
      <x:c r="U50" s="6" t="str">
        <x:v>SSL</x:v>
      </x:c>
      <x:c r="V50" s="6" t="str">
        <x:v>Swing low / sell-side</x:v>
      </x:c>
      <x:c r="W50" s="6" t="str">
        <x:v>[17792.5]</x:v>
      </x:c>
      <x:c r="X50" s="8" t="str">
        <x:v>1</x:v>
      </x:c>
      <x:c r="Y50" s="8" t="str">
        <x:v>6.0</x:v>
      </x:c>
      <x:c r="Z50" s="6" t="str">
        <x:v>None</x:v>
      </x:c>
      <x:c r="AA50" s="6" t="str">
        <x:v>17799.75</x:v>
      </x:c>
      <x:c r="AB50" s="9" t="str">
        <x:v>0.5992676664216837</x:v>
      </x:c>
      <x:c r="AC50" s="9" t="str">
        <x:v>0.8656088514979876</x:v>
      </x:c>
      <x:c r="AD50" s="9" t="str">
        <x:v>1.4648765179196712</x:v>
      </x:c>
      <x:c r="AE50" s="6" t="str">
        <x:v>With trade</x:v>
      </x:c>
      <x:c r="AF50" s="7" t="str">
        <x:v>2024-02-27 21:45:00-06:00</x:v>
      </x:c>
      <x:c r="AG50" s="6" t="str">
        <x:v>Long</x:v>
      </x:c>
      <x:c r="AH50" s="6" t="str">
        <x:v>17799.75</x:v>
      </x:c>
      <x:c r="AI50" s="8" t="str">
        <x:v>0</x:v>
      </x:c>
      <x:c r="AJ50" s="6" t="str">
        <x:v>True</x:v>
      </x:c>
      <x:c r="AK50" s="6" t="str">
        <x:v>Same-bar Setup+BOS</x:v>
      </x:c>
      <x:c r="AL50" s="9" t="str">
        <x:v>0.9987794440361395</x:v>
      </x:c>
      <x:c r="AM50" s="9" t="str">
        <x:v>0.5992676664216837</x:v>
      </x:c>
      <x:c r="AN50" s="9" t="str">
        <x:v>0.8656088514979876</x:v>
      </x:c>
      <x:c r="AO50" s="9" t="str">
        <x:v>1.4648765179196712</x:v>
      </x:c>
      <x:c r="AP50" s="10" t="str">
        <x:v>0.5909090909090909</x:v>
      </x:c>
      <x:c r="AQ50" s="6" t="str">
        <x:v>0.3181818181818182</x:v>
      </x:c>
      <x:c r="AR50" s="6" t="str">
        <x:v>0.09090909090909091</x:v>
      </x:c>
      <x:c r="AS50" s="6" t="str">
        <x:v>With trade</x:v>
      </x:c>
      <x:c r="AT50" s="6" t="str">
        <x:v>2.16236722306525</x:v>
      </x:c>
      <x:c r="AU50" s="7" t="str">
        <x:v>2024-02-27 21:50:00-06:00</x:v>
      </x:c>
      <x:c r="AV50" s="8" t="str">
        <x:v>1</x:v>
      </x:c>
      <x:c r="AW50" s="6" t="str">
        <x:v>Immediate retest (1 bar)</x:v>
      </x:c>
      <x:c r="AX50" s="6" t="str">
        <x:v>17800.0</x:v>
      </x:c>
      <x:c r="AY50" s="6" t="str">
        <x:v>0.0</x:v>
      </x:c>
      <x:c r="AZ50" s="9" t="str">
        <x:v>0.0</x:v>
      </x:c>
      <x:c r="BA50" s="9" t="str">
        <x:v>0.20266524164613603</x:v>
      </x:c>
      <x:c r="BB50" s="9" t="str">
        <x:v>0.8106609665845441</x:v>
      </x:c>
      <x:c r="BC50" s="9" t="str">
        <x:v>0.5404406443896961</x:v>
      </x:c>
      <x:c r="BD50" s="6" t="str">
        <x:v>0.16666666666666666</x:v>
      </x:c>
      <x:c r="BE50" s="6" t="str">
        <x:v>0.16666666666666666</x:v>
      </x:c>
      <x:c r="BF50" s="9" t="str">
        <x:v>0.13511016109742402</x:v>
      </x:c>
      <x:c r="BG50" s="9" t="str">
        <x:v>0.13511016109742402</x:v>
      </x:c>
      <x:c r="BH50" s="6" t="str">
        <x:v>Against trade</x:v>
      </x:c>
      <x:c r="BI50" s="6" t="str">
        <x:v>Tolerance-only shallow touch</x:v>
      </x:c>
      <x:c r="BJ50" s="6" t="str">
        <x:v>True</x:v>
      </x:c>
      <x:c r="BK50" s="10" t="str">
        <x:v>False</x:v>
      </x:c>
      <x:c r="BL50" s="6" t="str">
        <x:v>True</x:v>
      </x:c>
      <x:c r="BM50" s="7" t="str">
        <x:v>2024-02-27 21:55:00-06:00</x:v>
      </x:c>
      <x:c r="BN50" s="8" t="str">
        <x:v>1</x:v>
      </x:c>
      <x:c r="BO50" s="6" t="str">
        <x:v>Immediate confirmation (1 bar)</x:v>
      </x:c>
      <x:c r="BP50" s="9" t="str">
        <x:v>0.8816310369141441</x:v>
      </x:c>
      <x:c r="BQ50" s="9" t="str">
        <x:v>0.9494488089844629</x:v>
      </x:c>
      <x:c r="BR50" s="10" t="str">
        <x:v>0.9285714285714286</x:v>
      </x:c>
      <x:c r="BS50" s="9" t="str">
        <x:v>0.9494488089844629</x:v>
      </x:c>
      <x:c r="BT50" s="9" t="str">
        <x:v>0.7459954927735065</x:v>
      </x:c>
      <x:c r="BU50" s="9" t="str">
        <x:v>0.0</x:v>
      </x:c>
      <x:c r="BV50" s="6" t="str">
        <x:v>With trade</x:v>
      </x:c>
      <x:c r="BW50" s="7" t="str">
        <x:v>2024-02-27 21:55:00-06:00</x:v>
      </x:c>
      <x:c r="BX50" s="6" t="str">
        <x:v>17803.25</x:v>
      </x:c>
      <x:c r="BY50" s="9" t="str">
        <x:v>3.6863493501494036</x:v>
      </x:c>
      <x:c r="BZ50" s="9" t="str">
        <x:v>0.03</x:v>
      </x:c>
      <x:c r="CA50" s="6" t="str">
        <x:v>17797.720475974776</x:v>
      </x:c>
      <x:c r="CB50" s="6" t="str">
        <x:v>5.529524025223509</x:v>
      </x:c>
      <x:c r="CC50" s="9" t="str">
        <x:v>1.4999999999998381</x:v>
      </x:c>
      <x:c r="CD50" s="6" t="str">
        <x:v>17814.309048050447</x:v>
      </x:c>
      <x:c r="CE50" s="6" t="str">
        <x:v>11.059048050447018</x:v>
      </x:c>
      <x:c r="CF50" s="6" t="str">
        <x:v>Fixed 2.00R target</x:v>
      </x:c>
      <x:c r="CG50" s="9" t="str">
        <x:v>0.13111435933596377</x:v>
      </x:c>
      <x:c r="CH50" s="9" t="str">
        <x:v>-1.0</x:v>
      </x:c>
      <x:c r="CI50" s="9" t="str">
        <x:v>-1.1311143593359638</x:v>
      </x:c>
      <x:c r="CJ50" s="6" t="str">
        <x:v>Loss</x:v>
      </x:c>
      <x:c r="CK50" s="9" t="str">
        <x:v>0.0</x:v>
      </x:c>
      <x:c r="CL50" s="9" t="str">
        <x:v>1.0850843531252174</x:v>
      </x:c>
      <x:c r="CM50" s="7" t="str">
        <x:v>2024-02-27 22:10:00-06:00</x:v>
      </x:c>
      <x:c r="CN50" s="6" t="str">
        <x:v>17797.720475974776</x:v>
      </x:c>
      <x:c r="CO50" s="6" t="str">
        <x:v>STOP</x:v>
      </x:c>
      <x:c r="CP50" s="6" t="str">
        <x:v>F::Long::Same-bar Setup+BOS::Tolerance-only shallow touch</x:v>
      </x:c>
    </x:row>
    <x:row r="51" ht="18" customHeight="1">
      <x:c r="A51" s="6" t="str">
        <x:v>A0050</x:v>
      </x:c>
      <x:c r="B51" s="6" t="str">
        <x:v>2024-02-27</x:v>
      </x:c>
      <x:c r="C51" s="6" t="str">
        <x:v>2024</x:v>
      </x:c>
      <x:c r="D51" s="6" t="str">
        <x:v>2024-Q1</x:v>
      </x:c>
      <x:c r="E51" s="6" t="str">
        <x:v>First 50%</x:v>
      </x:c>
      <x:c r="F51" s="6" t="str">
        <x:v>Short</x:v>
      </x:c>
      <x:c r="G51" s="6" t="str">
        <x:v>Short</x:v>
      </x:c>
      <x:c r="H51" s="6" t="str">
        <x:v>Overnight</x:v>
      </x:c>
      <x:c r="I51" s="6" t="str">
        <x:v>Overnight</x:v>
      </x:c>
      <x:c r="J51" s="6" t="str">
        <x:v>Bull</x:v>
      </x:c>
      <x:c r="K51" s="6" t="str">
        <x:v>Bull</x:v>
      </x:c>
      <x:c r="L51" s="6" t="str">
        <x:v>LOW</x:v>
      </x:c>
      <x:c r="M51" s="7" t="str">
        <x:v>2024-02-27 23:25:00-06:00</x:v>
      </x:c>
      <x:c r="N51" s="6" t="str">
        <x:v>90.0</x:v>
      </x:c>
      <x:c r="O51" s="6" t="str">
        <x:v>90-94</x:v>
      </x:c>
      <x:c r="P51" s="6" t="str">
        <x:v>Matching BOS only</x:v>
      </x:c>
      <x:c r="Q51" s="6" t="str">
        <x:v>Bear BOS</x:v>
      </x:c>
      <x:c r="R51" s="6" t="str">
        <x:v>True</x:v>
      </x:c>
      <x:c r="S51" s="6" t="str">
        <x:v>False</x:v>
      </x:c>
      <x:c r="T51" s="6" t="str">
        <x:v>Recent BSL</x:v>
      </x:c>
      <x:c r="U51" s="6" t="str">
        <x:v>BSL</x:v>
      </x:c>
      <x:c r="V51" s="6" t="str">
        <x:v>Equal high / buy-side</x:v>
      </x:c>
      <x:c r="W51" s="6" t="str">
        <x:v>[17802.0]</x:v>
      </x:c>
      <x:c r="X51" s="8" t="str">
        <x:v>1</x:v>
      </x:c>
      <x:c r="Y51" s="8" t="str">
        <x:v>19.0</x:v>
      </x:c>
      <x:c r="Z51" s="6" t="str">
        <x:v>None</x:v>
      </x:c>
      <x:c r="AA51" s="6" t="str">
        <x:v>17784.75</x:v>
      </x:c>
      <x:c r="AB51" s="9" t="str">
        <x:v>0.1312519753064881</x:v>
      </x:c>
      <x:c r="AC51" s="9" t="str">
        <x:v>1.0500158024519048</x:v>
      </x:c>
      <x:c r="AD51" s="9" t="str">
        <x:v>1.4437717283713691</x:v>
      </x:c>
      <x:c r="AE51" s="6" t="str">
        <x:v>With trade</x:v>
      </x:c>
      <x:c r="AF51" s="7" t="str">
        <x:v>2024-02-27 23:25:00-06:00</x:v>
      </x:c>
      <x:c r="AG51" s="6" t="str">
        <x:v>Short</x:v>
      </x:c>
      <x:c r="AH51" s="6" t="str">
        <x:v>17784.75</x:v>
      </x:c>
      <x:c r="AI51" s="8" t="str">
        <x:v>0</x:v>
      </x:c>
      <x:c r="AJ51" s="6" t="str">
        <x:v>True</x:v>
      </x:c>
      <x:c r="AK51" s="6" t="str">
        <x:v>Same-bar Setup+BOS</x:v>
      </x:c>
      <x:c r="AL51" s="9" t="str">
        <x:v>1.0500158024519048</x:v>
      </x:c>
      <x:c r="AM51" s="9" t="str">
        <x:v>0.1312519753064881</x:v>
      </x:c>
      <x:c r="AN51" s="9" t="str">
        <x:v>1.0500158024519048</x:v>
      </x:c>
      <x:c r="AO51" s="9" t="str">
        <x:v>1.4437717283713691</x:v>
      </x:c>
      <x:c r="AP51" s="10" t="str">
        <x:v>0.7272727272727273</x:v>
      </x:c>
      <x:c r="AQ51" s="6" t="str">
        <x:v>0.13636363636363635</x:v>
      </x:c>
      <x:c r="AR51" s="6" t="str">
        <x:v>0.13636363636363635</x:v>
      </x:c>
      <x:c r="AS51" s="6" t="str">
        <x:v>With trade</x:v>
      </x:c>
      <x:c r="AT51" s="6" t="str">
        <x:v>1.7364341085271318</x:v>
      </x:c>
      <x:c r="AU51" s="7" t="str">
        <x:v>2024-02-27 23:30:00-06:00</x:v>
      </x:c>
      <x:c r="AV51" s="8" t="str">
        <x:v>1</x:v>
      </x:c>
      <x:c r="AW51" s="6" t="str">
        <x:v>Immediate retest (1 bar)</x:v>
      </x:c>
      <x:c r="AX51" s="6" t="str">
        <x:v>17787.5</x:v>
      </x:c>
      <x:c r="AY51" s="6" t="str">
        <x:v>2.75</x:v>
      </x:c>
      <x:c r="AZ51" s="9" t="str">
        <x:v>0.7193160663090422</x:v>
      </x:c>
      <x:c r="BA51" s="9" t="str">
        <x:v>0.06539236966445838</x:v>
      </x:c>
      <x:c r="BB51" s="9" t="str">
        <x:v>1.0462779146313341</x:v>
      </x:c>
      <x:c r="BC51" s="9" t="str">
        <x:v>0.06539236966445838</x:v>
      </x:c>
      <x:c r="BD51" s="6" t="str">
        <x:v>0.6875</x:v>
      </x:c>
      <x:c r="BE51" s="6" t="str">
        <x:v>0.25</x:v>
      </x:c>
      <x:c r="BF51" s="9" t="str">
        <x:v>0.7193160663090422</x:v>
      </x:c>
      <x:c r="BG51" s="9" t="str">
        <x:v>0.26156947865783353</x:v>
      </x:c>
      <x:c r="BH51" s="6" t="str">
        <x:v>With trade</x:v>
      </x:c>
      <x:c r="BI51" s="6" t="str">
        <x:v>Penetration + same-bar reclaim</x:v>
      </x:c>
      <x:c r="BJ51" s="6" t="str">
        <x:v>False</x:v>
      </x:c>
      <x:c r="BK51" s="10" t="str">
        <x:v>True</x:v>
      </x:c>
      <x:c r="BL51" s="6" t="str">
        <x:v>True</x:v>
      </x:c>
      <x:c r="BM51" s="7" t="str">
        <x:v>2024-02-27 23:35:00-06:00</x:v>
      </x:c>
      <x:c r="BN51" s="8" t="str">
        <x:v>1</x:v>
      </x:c>
      <x:c r="BO51" s="6" t="str">
        <x:v>Immediate confirmation (1 bar)</x:v>
      </x:c>
      <x:c r="BP51" s="9" t="str">
        <x:v>0.2619270924886429</x:v>
      </x:c>
      <x:c r="BQ51" s="9" t="str">
        <x:v>0.9167448237102501</x:v>
      </x:c>
      <x:c r="BR51" s="10" t="str">
        <x:v>0.2857142857142857</x:v>
      </x:c>
      <x:c r="BS51" s="9" t="str">
        <x:v>0.3928906387329643</x:v>
      </x:c>
      <x:c r="BT51" s="9" t="str">
        <x:v>0.3274088656108036</x:v>
      </x:c>
      <x:c r="BU51" s="9" t="str">
        <x:v>0.0</x:v>
      </x:c>
      <x:c r="BV51" s="6" t="str">
        <x:v>With trade</x:v>
      </x:c>
      <x:c r="BW51" s="7" t="str">
        <x:v>2024-02-27 23:35:00-06:00</x:v>
      </x:c>
      <x:c r="BX51" s="6" t="str">
        <x:v>17783.25</x:v>
      </x:c>
      <x:c r="BY51" s="9" t="str">
        <x:v>3.8178562992423544</x:v>
      </x:c>
      <x:c r="BZ51" s="9" t="str">
        <x:v>0.25</x:v>
      </x:c>
      <x:c r="CA51" s="6" t="str">
        <x:v>17788.976784448863</x:v>
      </x:c>
      <x:c r="CB51" s="6" t="str">
        <x:v>5.726784448863327</x:v>
      </x:c>
      <x:c r="CC51" s="9" t="str">
        <x:v>1.4999999999999465</x:v>
      </x:c>
      <x:c r="CD51" s="6" t="str">
        <x:v>17771.796431102273</x:v>
      </x:c>
      <x:c r="CE51" s="6" t="str">
        <x:v>11.453568897726655</x:v>
      </x:c>
      <x:c r="CF51" s="6" t="str">
        <x:v>Fixed 2.00R target</x:v>
      </x:c>
      <x:c r="CG51" s="9" t="str">
        <x:v>0.12659809470284858</x:v>
      </x:c>
      <x:c r="CH51" s="9" t="str">
        <x:v>2.0</x:v>
      </x:c>
      <x:c r="CI51" s="9" t="str">
        <x:v>1.8734019052971513</x:v>
      </x:c>
      <x:c r="CJ51" s="6" t="str">
        <x:v>Win</x:v>
      </x:c>
      <x:c r="CK51" s="9" t="str">
        <x:v>2.5319618940569715</x:v>
      </x:c>
      <x:c r="CL51" s="9" t="str">
        <x:v>0.5675087003920798</x:v>
      </x:c>
      <x:c r="CM51" s="7" t="str">
        <x:v>2024-02-28 00:20:00-06:00</x:v>
      </x:c>
      <x:c r="CN51" s="6" t="str">
        <x:v>17771.796431102273</x:v>
      </x:c>
      <x:c r="CO51" s="6" t="str">
        <x:v>TARGET</x:v>
      </x:c>
      <x:c r="CP51" s="6" t="str">
        <x:v>F::Short::Same-bar Setup+BOS::Penetration + same-bar reclaim</x:v>
      </x:c>
    </x:row>
    <x:row r="52" ht="18" customHeight="1">
      <x:c r="A52" s="6" t="str">
        <x:v>A0051</x:v>
      </x:c>
      <x:c r="B52" s="6" t="str">
        <x:v>2024-02-28</x:v>
      </x:c>
      <x:c r="C52" s="6" t="str">
        <x:v>2024</x:v>
      </x:c>
      <x:c r="D52" s="6" t="str">
        <x:v>2024-Q1</x:v>
      </x:c>
      <x:c r="E52" s="6" t="str">
        <x:v>First 50%</x:v>
      </x:c>
      <x:c r="F52" s="6" t="str">
        <x:v>Short</x:v>
      </x:c>
      <x:c r="G52" s="6" t="str">
        <x:v>Short</x:v>
      </x:c>
      <x:c r="H52" s="6" t="str">
        <x:v>Premarket</x:v>
      </x:c>
      <x:c r="I52" s="6" t="str">
        <x:v>Premarket</x:v>
      </x:c>
      <x:c r="J52" s="6" t="str">
        <x:v>Bear</x:v>
      </x:c>
      <x:c r="K52" s="6" t="str">
        <x:v>Bear</x:v>
      </x:c>
      <x:c r="L52" s="6" t="str">
        <x:v>HIGH</x:v>
      </x:c>
      <x:c r="M52" s="7" t="str">
        <x:v>2024-02-28 08:45:00-06:00</x:v>
      </x:c>
      <x:c r="N52" s="6" t="str">
        <x:v>90.0</x:v>
      </x:c>
      <x:c r="O52" s="6" t="str">
        <x:v>90-94</x:v>
      </x:c>
      <x:c r="P52" s="6" t="str">
        <x:v>Matching BOS only</x:v>
      </x:c>
      <x:c r="Q52" s="6" t="str">
        <x:v>Bear BOS</x:v>
      </x:c>
      <x:c r="R52" s="6" t="str">
        <x:v>True</x:v>
      </x:c>
      <x:c r="S52" s="6" t="str">
        <x:v>False</x:v>
      </x:c>
      <x:c r="T52" s="6" t="str">
        <x:v>Recent BSL</x:v>
      </x:c>
      <x:c r="U52" s="6" t="str">
        <x:v>BSL</x:v>
      </x:c>
      <x:c r="V52" s="6" t="str">
        <x:v>Swing high / buy-side</x:v>
      </x:c>
      <x:c r="W52" s="6" t="str">
        <x:v>[17744.75,17739.5]</x:v>
      </x:c>
      <x:c r="X52" s="8" t="str">
        <x:v>2</x:v>
      </x:c>
      <x:c r="Y52" s="8" t="str">
        <x:v>15.0</x:v>
      </x:c>
      <x:c r="Z52" s="6" t="str">
        <x:v>None</x:v>
      </x:c>
      <x:c r="AA52" s="6" t="str">
        <x:v>17705.5</x:v>
      </x:c>
      <x:c r="AB52" s="9" t="str">
        <x:v>0.7800003773676736</x:v>
      </x:c>
      <x:c r="AC52" s="9" t="str">
        <x:v>1.0352732281425485</x:v>
      </x:c>
      <x:c r="AD52" s="9" t="str">
        <x:v>1.4040006792618125</x:v>
      </x:c>
      <x:c r="AE52" s="6" t="str">
        <x:v>With trade</x:v>
      </x:c>
      <x:c r="AF52" s="7" t="str">
        <x:v>2024-02-28 08:45:00-06:00</x:v>
      </x:c>
      <x:c r="AG52" s="6" t="str">
        <x:v>Short</x:v>
      </x:c>
      <x:c r="AH52" s="6" t="str">
        <x:v>17705.5</x:v>
      </x:c>
      <x:c r="AI52" s="8" t="str">
        <x:v>0</x:v>
      </x:c>
      <x:c r="AJ52" s="6" t="str">
        <x:v>True</x:v>
      </x:c>
      <x:c r="AK52" s="6" t="str">
        <x:v>Same-bar Setup+BOS</x:v>
      </x:c>
      <x:c r="AL52" s="9" t="str">
        <x:v>0.9927277530134028</x:v>
      </x:c>
      <x:c r="AM52" s="9" t="str">
        <x:v>0.7800003773676736</x:v>
      </x:c>
      <x:c r="AN52" s="9" t="str">
        <x:v>1.0352732281425485</x:v>
      </x:c>
      <x:c r="AO52" s="9" t="str">
        <x:v>1.4040006792618125</x:v>
      </x:c>
      <x:c r="AP52" s="10" t="str">
        <x:v>0.7373737373737373</x:v>
      </x:c>
      <x:c r="AQ52" s="6" t="str">
        <x:v>0.010101010101010102</x:v>
      </x:c>
      <x:c r="AR52" s="6" t="str">
        <x:v>0.25252525252525254</x:v>
      </x:c>
      <x:c r="AS52" s="6" t="str">
        <x:v>With trade</x:v>
      </x:c>
      <x:c r="AT52" s="6" t="str">
        <x:v>3.3584172033909514</x:v>
      </x:c>
      <x:c r="AU52" s="7" t="str">
        <x:v>2024-02-28 09:10:00-06:00</x:v>
      </x:c>
      <x:c r="AV52" s="8" t="str">
        <x:v>5</x:v>
      </x:c>
      <x:c r="AW52" s="6" t="str">
        <x:v>Delayed retest (2+ bars)</x:v>
      </x:c>
      <x:c r="AX52" s="6" t="str">
        <x:v>17710.5</x:v>
      </x:c>
      <x:c r="AY52" s="6" t="str">
        <x:v>5.0</x:v>
      </x:c>
      <x:c r="AZ52" s="9" t="str">
        <x:v>0.25029935220467525</x:v>
      </x:c>
      <x:c r="BA52" s="9" t="str">
        <x:v>0.4755687691888829</x:v>
      </x:c>
      <x:c r="BB52" s="9" t="str">
        <x:v>0.838502829885662</x:v>
      </x:c>
      <x:c r="BC52" s="9" t="str">
        <x:v>0.050059870440935045</x:v>
      </x:c>
      <x:c r="BD52" s="6" t="str">
        <x:v>0.8059701492537313</x:v>
      </x:c>
      <x:c r="BE52" s="6" t="str">
        <x:v>0.13432835820895522</x:v>
      </x:c>
      <x:c r="BF52" s="9" t="str">
        <x:v>0.6758082509526231</x:v>
      </x:c>
      <x:c r="BG52" s="9" t="str">
        <x:v>0.11263470849210386</x:v>
      </x:c>
      <x:c r="BH52" s="6" t="str">
        <x:v>With trade</x:v>
      </x:c>
      <x:c r="BI52" s="6" t="str">
        <x:v>Penetration + same-bar reclaim</x:v>
      </x:c>
      <x:c r="BJ52" s="6" t="str">
        <x:v>False</x:v>
      </x:c>
      <x:c r="BK52" s="10" t="str">
        <x:v>True</x:v>
      </x:c>
      <x:c r="BL52" s="6" t="str">
        <x:v>True</x:v>
      </x:c>
      <x:c r="BM52" s="7" t="str">
        <x:v>2024-02-28 09:20:00-06:00</x:v>
      </x:c>
      <x:c r="BN52" s="8" t="str">
        <x:v>2</x:v>
      </x:c>
      <x:c r="BO52" s="6" t="str">
        <x:v>Delayed confirmation (2+ bars)</x:v>
      </x:c>
      <x:c r="BP52" s="9" t="str">
        <x:v>0.589914193951787</x:v>
      </x:c>
      <x:c r="BQ52" s="9" t="str">
        <x:v>1.0543147296159598</x:v>
      </x:c>
      <x:c r="BR52" s="10" t="str">
        <x:v>0.5595238095238095</x:v>
      </x:c>
      <x:c r="BS52" s="9" t="str">
        <x:v>0.8911469738420613</x:v>
      </x:c>
      <x:c r="BT52" s="9" t="str">
        <x:v>0.41419507234912706</x:v>
      </x:c>
      <x:c r="BU52" s="9" t="str">
        <x:v>0.3137841457190357</x:v>
      </x:c>
      <x:c r="BV52" s="6" t="str">
        <x:v>With trade</x:v>
      </x:c>
      <x:c r="BW52" s="7" t="str">
        <x:v>2024-02-28 09:20:00-06:00</x:v>
      </x:c>
      <x:c r="BX52" s="6" t="str">
        <x:v>17687.75</x:v>
      </x:c>
      <x:c r="BY52" s="9" t="str">
        <x:v>19.918151013264673</x:v>
      </x:c>
      <x:c r="BZ52" s="9" t="str">
        <x:v>0.98</x:v>
      </x:c>
      <x:c r="CA52" s="6" t="str">
        <x:v>17717.627226519897</x:v>
      </x:c>
      <x:c r="CB52" s="6" t="str">
        <x:v>29.877226519896794</x:v>
      </x:c>
      <x:c r="CC52" s="9" t="str">
        <x:v>1.4999999999999891</x:v>
      </x:c>
      <x:c r="CD52" s="6" t="str">
        <x:v>17627.995546960206</x:v>
      </x:c>
      <x:c r="CE52" s="6" t="str">
        <x:v>59.75445303979359</x:v>
      </x:c>
      <x:c r="CF52" s="6" t="str">
        <x:v>Fixed 2.00R target</x:v>
      </x:c>
      <x:c r="CG52" s="9" t="str">
        <x:v>0.0242659739356056</x:v>
      </x:c>
      <x:c r="CH52" s="9" t="str">
        <x:v>-1.0</x:v>
      </x:c>
      <x:c r="CI52" s="9" t="str">
        <x:v>-1.0242659739356057</x:v>
      </x:c>
      <x:c r="CJ52" s="6" t="str">
        <x:v>Loss</x:v>
      </x:c>
      <x:c r="CK52" s="9" t="str">
        <x:v>0.4602167470545889</x:v>
      </x:c>
      <x:c r="CL52" s="9" t="str">
        <x:v>1.0041092663009215</x:v>
      </x:c>
      <x:c r="CM52" s="7" t="str">
        <x:v>2024-02-28 09:55:00-06:00</x:v>
      </x:c>
      <x:c r="CN52" s="6" t="str">
        <x:v>17717.627226519897</x:v>
      </x:c>
      <x:c r="CO52" s="6" t="str">
        <x:v>STOP</x:v>
      </x:c>
      <x:c r="CP52" s="6" t="str">
        <x:v>F::Short::Same-bar Setup+BOS::Penetration + same-bar reclaim</x:v>
      </x:c>
    </x:row>
    <x:row r="53" ht="18" customHeight="1">
      <x:c r="A53" s="6" t="str">
        <x:v>A0052</x:v>
      </x:c>
      <x:c r="B53" s="6" t="str">
        <x:v>2024-03-01</x:v>
      </x:c>
      <x:c r="C53" s="6" t="str">
        <x:v>2024</x:v>
      </x:c>
      <x:c r="D53" s="6" t="str">
        <x:v>2024-Q1</x:v>
      </x:c>
      <x:c r="E53" s="6" t="str">
        <x:v>First 50%</x:v>
      </x:c>
      <x:c r="F53" s="6" t="str">
        <x:v>Long</x:v>
      </x:c>
      <x:c r="G53" s="6" t="str">
        <x:v>Long</x:v>
      </x:c>
      <x:c r="H53" s="6" t="str">
        <x:v>Premarket</x:v>
      </x:c>
      <x:c r="I53" s="6" t="str">
        <x:v>Premarket</x:v>
      </x:c>
      <x:c r="J53" s="6" t="str">
        <x:v>Bull</x:v>
      </x:c>
      <x:c r="K53" s="6" t="str">
        <x:v>Bull</x:v>
      </x:c>
      <x:c r="L53" s="6" t="str">
        <x:v>HIGH</x:v>
      </x:c>
      <x:c r="M53" s="7" t="str">
        <x:v>2024-03-01 08:30:00-06:00</x:v>
      </x:c>
      <x:c r="N53" s="6" t="str">
        <x:v>90.0</x:v>
      </x:c>
      <x:c r="O53" s="6" t="str">
        <x:v>90-94</x:v>
      </x:c>
      <x:c r="P53" s="6" t="str">
        <x:v>Matching BOS only</x:v>
      </x:c>
      <x:c r="Q53" s="6" t="str">
        <x:v>Bull BOS</x:v>
      </x:c>
      <x:c r="R53" s="6" t="str">
        <x:v>True</x:v>
      </x:c>
      <x:c r="S53" s="6" t="str">
        <x:v>False</x:v>
      </x:c>
      <x:c r="T53" s="6" t="str">
        <x:v>Recent SSL</x:v>
      </x:c>
      <x:c r="U53" s="6" t="str">
        <x:v>SSL</x:v>
      </x:c>
      <x:c r="V53" s="6" t="str">
        <x:v>Swing low / sell-side</x:v>
      </x:c>
      <x:c r="W53" s="6" t="str">
        <x:v>[17861.0]</x:v>
      </x:c>
      <x:c r="X53" s="8" t="str">
        <x:v>1</x:v>
      </x:c>
      <x:c r="Y53" s="8" t="str">
        <x:v>11.0</x:v>
      </x:c>
      <x:c r="Z53" s="6" t="str">
        <x:v>None</x:v>
      </x:c>
      <x:c r="AA53" s="6" t="str">
        <x:v>17897.25</x:v>
      </x:c>
      <x:c r="AB53" s="9" t="str">
        <x:v>1.6471344978814448</x:v>
      </x:c>
      <x:c r="AC53" s="9" t="str">
        <x:v>2.6284061136406036</x:v>
      </x:c>
      <x:c r="AD53" s="9" t="str">
        <x:v>3.55710960712695</x:v>
      </x:c>
      <x:c r="AE53" s="6" t="str">
        <x:v>With trade</x:v>
      </x:c>
      <x:c r="AF53" s="7" t="str">
        <x:v>2024-03-01 08:30:00-06:00</x:v>
      </x:c>
      <x:c r="AG53" s="6" t="str">
        <x:v>Long</x:v>
      </x:c>
      <x:c r="AH53" s="6" t="str">
        <x:v>17897.25</x:v>
      </x:c>
      <x:c r="AI53" s="8" t="str">
        <x:v>0</x:v>
      </x:c>
      <x:c r="AJ53" s="6" t="str">
        <x:v>True</x:v>
      </x:c>
      <x:c r="AK53" s="6" t="str">
        <x:v>Same-bar Setup+BOS</x:v>
      </x:c>
      <x:c r="AL53" s="9" t="str">
        <x:v>2.6284061136406036</x:v>
      </x:c>
      <x:c r="AM53" s="9" t="str">
        <x:v>1.6471344978814448</x:v>
      </x:c>
      <x:c r="AN53" s="9" t="str">
        <x:v>2.6284061136406036</x:v>
      </x:c>
      <x:c r="AO53" s="9" t="str">
        <x:v>3.55710960712695</x:v>
      </x:c>
      <x:c r="AP53" s="10" t="str">
        <x:v>0.7389162561576355</x:v>
      </x:c>
      <x:c r="AQ53" s="6" t="str">
        <x:v>0.20689655172413793</x:v>
      </x:c>
      <x:c r="AR53" s="6" t="str">
        <x:v>0.054187192118226604</x:v>
      </x:c>
      <x:c r="AS53" s="6" t="str">
        <x:v>With trade</x:v>
      </x:c>
      <x:c r="AT53" s="6" t="str">
        <x:v>14.514354156529551</x:v>
      </x:c>
      <x:c r="AU53" s="7" t="str">
        <x:v>2024-03-01 08:35:00-06:00</x:v>
      </x:c>
      <x:c r="AV53" s="8" t="str">
        <x:v>1</x:v>
      </x:c>
      <x:c r="AW53" s="6" t="str">
        <x:v>Immediate retest (1 bar)</x:v>
      </x:c>
      <x:c r="AX53" s="6" t="str">
        <x:v>17892.25</x:v>
      </x:c>
      <x:c r="AY53" s="6" t="str">
        <x:v>5.0</x:v>
      </x:c>
      <x:c r="AZ53" s="9" t="str">
        <x:v>0.3229920190415961</x:v>
      </x:c>
      <x:c r="BA53" s="9" t="str">
        <x:v>1.1466216675976661</x:v>
      </x:c>
      <x:c r="BB53" s="9" t="str">
        <x:v>2.0187001190099756</x:v>
      </x:c>
      <x:c r="BC53" s="9" t="str">
        <x:v>0.3875904228499153</x:v>
      </x:c>
      <x:c r="BD53" s="6" t="str">
        <x:v>0.08</x:v>
      </x:c>
      <x:c r="BE53" s="6" t="str">
        <x:v>0.728</x:v>
      </x:c>
      <x:c r="BF53" s="9" t="str">
        <x:v>1.4696136866392622</x:v>
      </x:c>
      <x:c r="BG53" s="9" t="str">
        <x:v>0.16149600952079804</x:v>
      </x:c>
      <x:c r="BH53" s="6" t="str">
        <x:v>Against trade</x:v>
      </x:c>
      <x:c r="BI53" s="6" t="str">
        <x:v>Penetration + same-bar reclaim</x:v>
      </x:c>
      <x:c r="BJ53" s="6" t="str">
        <x:v>False</x:v>
      </x:c>
      <x:c r="BK53" s="10" t="str">
        <x:v>True</x:v>
      </x:c>
      <x:c r="BL53" s="6" t="str">
        <x:v>True</x:v>
      </x:c>
      <x:c r="BM53" s="7" t="str">
        <x:v>2024-03-01 08:40:00-06:00</x:v>
      </x:c>
      <x:c r="BN53" s="8" t="str">
        <x:v>1</x:v>
      </x:c>
      <x:c r="BO53" s="6" t="str">
        <x:v>Immediate confirmation (1 bar)</x:v>
      </x:c>
      <x:c r="BP53" s="9" t="str">
        <x:v>0.40559095311389604</x:v>
      </x:c>
      <x:c r="BQ53" s="9" t="str">
        <x:v>1.9077796683505481</x:v>
      </x:c>
      <x:c r="BR53" s="10" t="str">
        <x:v>0.2125984251968504</x:v>
      </x:c>
      <x:c r="BS53" s="9" t="str">
        <x:v>1.472144940931919</x:v>
      </x:c>
      <x:c r="BT53" s="9" t="str">
        <x:v>0.40559095311389604</x:v>
      </x:c>
      <x:c r="BU53" s="9" t="str">
        <x:v>0.9463788905990907</x:v>
      </x:c>
      <x:c r="BV53" s="6" t="str">
        <x:v>With trade</x:v>
      </x:c>
      <x:c r="BW53" s="7" t="str">
        <x:v>2024-03-01 08:40:00-06:00</x:v>
      </x:c>
      <x:c r="BX53" s="6" t="str">
        <x:v>17921.75</x:v>
      </x:c>
      <x:c r="BY53" s="9" t="str">
        <x:v>16.642383041774846</x:v>
      </x:c>
      <x:c r="BZ53" s="9" t="str">
        <x:v>1.0</x:v>
      </x:c>
      <x:c r="CA53" s="6" t="str">
        <x:v>17896.786425437338</x:v>
      </x:c>
      <x:c r="CB53" s="6" t="str">
        <x:v>24.96357456266196</x:v>
      </x:c>
      <x:c r="CC53" s="9" t="str">
        <x:v>1.4999999999999816</x:v>
      </x:c>
      <x:c r="CD53" s="6" t="str">
        <x:v>17971.677149125324</x:v>
      </x:c>
      <x:c r="CE53" s="6" t="str">
        <x:v>49.92714912532392</x:v>
      </x:c>
      <x:c r="CF53" s="6" t="str">
        <x:v>Fixed 2.00R target</x:v>
      </x:c>
      <x:c r="CG53" s="9" t="str">
        <x:v>0.029042315161242296</x:v>
      </x:c>
      <x:c r="CH53" s="9" t="str">
        <x:v>-1.0</x:v>
      </x:c>
      <x:c r="CI53" s="9" t="str">
        <x:v>-1.0290423151612422</x:v>
      </x:c>
      <x:c r="CJ53" s="6" t="str">
        <x:v>Loss</x:v>
      </x:c>
      <x:c r="CK53" s="9" t="str">
        <x:v>0.10014591434911137</x:v>
      </x:c>
      <x:c r="CL53" s="9" t="str">
        <x:v>1.5923200381508706</x:v>
      </x:c>
      <x:c r="CM53" s="7" t="str">
        <x:v>2024-03-01 08:45:00-06:00</x:v>
      </x:c>
      <x:c r="CN53" s="6" t="str">
        <x:v>17896.786425437338</x:v>
      </x:c>
      <x:c r="CO53" s="6" t="str">
        <x:v>STOP</x:v>
      </x:c>
      <x:c r="CP53" s="6" t="str">
        <x:v>F::Long::Same-bar Setup+BOS::Penetration + same-bar reclaim</x:v>
      </x:c>
    </x:row>
    <x:row r="54" ht="18" customHeight="1">
      <x:c r="A54" s="6" t="str">
        <x:v>A0053</x:v>
      </x:c>
      <x:c r="B54" s="6" t="str">
        <x:v>2024-03-01</x:v>
      </x:c>
      <x:c r="C54" s="6" t="str">
        <x:v>2024</x:v>
      </x:c>
      <x:c r="D54" s="6" t="str">
        <x:v>2024-Q1</x:v>
      </x:c>
      <x:c r="E54" s="6" t="str">
        <x:v>First 50%</x:v>
      </x:c>
      <x:c r="F54" s="6" t="str">
        <x:v>Long</x:v>
      </x:c>
      <x:c r="G54" s="6" t="str">
        <x:v>Long</x:v>
      </x:c>
      <x:c r="H54" s="6" t="str">
        <x:v>Opening</x:v>
      </x:c>
      <x:c r="I54" s="6" t="str">
        <x:v>Premarket</x:v>
      </x:c>
      <x:c r="J54" s="6" t="str">
        <x:v>Bull</x:v>
      </x:c>
      <x:c r="K54" s="6" t="str">
        <x:v>Bull</x:v>
      </x:c>
      <x:c r="L54" s="6" t="str">
        <x:v>HIGH</x:v>
      </x:c>
      <x:c r="M54" s="7" t="str">
        <x:v>2024-03-01 09:05:00-06:00</x:v>
      </x:c>
      <x:c r="N54" s="6" t="str">
        <x:v>90.0</x:v>
      </x:c>
      <x:c r="O54" s="6" t="str">
        <x:v>90-94</x:v>
      </x:c>
      <x:c r="P54" s="6" t="str">
        <x:v>Matching BOS only</x:v>
      </x:c>
      <x:c r="Q54" s="6" t="str">
        <x:v>Bull BOS</x:v>
      </x:c>
      <x:c r="R54" s="6" t="str">
        <x:v>True</x:v>
      </x:c>
      <x:c r="S54" s="6" t="str">
        <x:v>False</x:v>
      </x:c>
      <x:c r="T54" s="6" t="str">
        <x:v>Recent SSL</x:v>
      </x:c>
      <x:c r="U54" s="6" t="str">
        <x:v>SSL</x:v>
      </x:c>
      <x:c r="V54" s="6" t="str">
        <x:v>Swing low / sell-side</x:v>
      </x:c>
      <x:c r="W54" s="6" t="str">
        <x:v>[17861.0]</x:v>
      </x:c>
      <x:c r="X54" s="8" t="str">
        <x:v>1</x:v>
      </x:c>
      <x:c r="Y54" s="8" t="str">
        <x:v>18.0</x:v>
      </x:c>
      <x:c r="Z54" s="6" t="str">
        <x:v>None</x:v>
      </x:c>
      <x:c r="AA54" s="6" t="str">
        <x:v>17931.25</x:v>
      </x:c>
      <x:c r="AB54" s="9" t="str">
        <x:v>1.2151231547607746</x:v>
      </x:c>
      <x:c r="AC54" s="9" t="str">
        <x:v>1.961251407684057</x:v>
      </x:c>
      <x:c r="AD54" s="9" t="str">
        <x:v>2.0571821830599077</x:v>
      </x:c>
      <x:c r="AE54" s="6" t="str">
        <x:v>With trade</x:v>
      </x:c>
      <x:c r="AF54" s="7" t="str">
        <x:v>2024-03-01 09:05:00-06:00</x:v>
      </x:c>
      <x:c r="AG54" s="6" t="str">
        <x:v>Long</x:v>
      </x:c>
      <x:c r="AH54" s="6" t="str">
        <x:v>17931.25</x:v>
      </x:c>
      <x:c r="AI54" s="8" t="str">
        <x:v>0</x:v>
      </x:c>
      <x:c r="AJ54" s="6" t="str">
        <x:v>True</x:v>
      </x:c>
      <x:c r="AK54" s="6" t="str">
        <x:v>Same-bar Setup+BOS</x:v>
      </x:c>
      <x:c r="AL54" s="9" t="str">
        <x:v>1.961251407684057</x:v>
      </x:c>
      <x:c r="AM54" s="9" t="str">
        <x:v>1.2151231547607746</x:v>
      </x:c>
      <x:c r="AN54" s="9" t="str">
        <x:v>1.961251407684057</x:v>
      </x:c>
      <x:c r="AO54" s="9" t="str">
        <x:v>2.0571821830599077</x:v>
      </x:c>
      <x:c r="AP54" s="10" t="str">
        <x:v>0.9533678756476683</x:v>
      </x:c>
      <x:c r="AQ54" s="6" t="str">
        <x:v>0.031088082901554404</x:v>
      </x:c>
      <x:c r="AR54" s="6" t="str">
        <x:v>0.015544041450777202</x:v>
      </x:c>
      <x:c r="AS54" s="6" t="str">
        <x:v>With trade</x:v>
      </x:c>
      <x:c r="AT54" s="6" t="str">
        <x:v>2.198001490353106</x:v>
      </x:c>
      <x:c r="AU54" s="7" t="str">
        <x:v>2024-03-01 09:30:00-06:00</x:v>
      </x:c>
      <x:c r="AV54" s="8" t="str">
        <x:v>5</x:v>
      </x:c>
      <x:c r="AW54" s="6" t="str">
        <x:v>Delayed retest (2+ bars)</x:v>
      </x:c>
      <x:c r="AX54" s="6" t="str">
        <x:v>17930.5</x:v>
      </x:c>
      <x:c r="AY54" s="6" t="str">
        <x:v>0.75</x:v>
      </x:c>
      <x:c r="AZ54" s="9" t="str">
        <x:v>0.030514253385835775</x:v>
      </x:c>
      <x:c r="BA54" s="9" t="str">
        <x:v>0.38651387622058647</x:v>
      </x:c>
      <x:c r="BB54" s="9" t="str">
        <x:v>1.6579411006304103</x:v>
      </x:c>
      <x:c r="BC54" s="9" t="str">
        <x:v>1.0578274507089735</x:v>
      </x:c>
      <x:c r="BD54" s="6" t="str">
        <x:v>0.11042944785276074</x:v>
      </x:c>
      <x:c r="BE54" s="6" t="str">
        <x:v>0.25153374233128833</x:v>
      </x:c>
      <x:c r="BF54" s="9" t="str">
        <x:v>0.41702812960642227</x:v>
      </x:c>
      <x:c r="BG54" s="9" t="str">
        <x:v>0.18308552031501465</x:v>
      </x:c>
      <x:c r="BH54" s="6" t="str">
        <x:v>Against trade</x:v>
      </x:c>
      <x:c r="BI54" s="6" t="str">
        <x:v>Penetration + same-bar reclaim</x:v>
      </x:c>
      <x:c r="BJ54" s="6" t="str">
        <x:v>False</x:v>
      </x:c>
      <x:c r="BK54" s="10" t="str">
        <x:v>True</x:v>
      </x:c>
      <x:c r="BL54" s="6" t="str">
        <x:v>True</x:v>
      </x:c>
      <x:c r="BM54" s="7" t="str">
        <x:v>2024-03-01 09:35:00-06:00</x:v>
      </x:c>
      <x:c r="BN54" s="8" t="str">
        <x:v>1</x:v>
      </x:c>
      <x:c r="BO54" s="6" t="str">
        <x:v>Immediate confirmation (1 bar)</x:v>
      </x:c>
      <x:c r="BP54" s="9" t="str">
        <x:v>0.14625869783965612</x:v>
      </x:c>
      <x:c r="BQ54" s="9" t="str">
        <x:v>0.6477170904327628</x:v>
      </x:c>
      <x:c r="BR54" s="10" t="str">
        <x:v>0.22580645161290322</x:v>
      </x:c>
      <x:c r="BS54" s="9" t="str">
        <x:v>0.5745877415129348</x:v>
      </x:c>
      <x:c r="BT54" s="9" t="str">
        <x:v>0.1775998473767253</x:v>
      </x:c>
      <x:c r="BU54" s="9" t="str">
        <x:v>0.08357639876551778</x:v>
      </x:c>
      <x:c r="BV54" s="6" t="str">
        <x:v>With trade</x:v>
      </x:c>
      <x:c r="BW54" s="7" t="str">
        <x:v>2024-03-01 09:35:00-06:00</x:v>
      </x:c>
      <x:c r="BX54" s="6" t="str">
        <x:v>17945.0</x:v>
      </x:c>
      <x:c r="BY54" s="9" t="str">
        <x:v>23.930200744963976</x:v>
      </x:c>
      <x:c r="BZ54" s="9" t="str">
        <x:v>0.99</x:v>
      </x:c>
      <x:c r="CA54" s="6" t="str">
        <x:v>17909.104698882555</x:v>
      </x:c>
      <x:c r="CB54" s="6" t="str">
        <x:v>35.89530111744534</x:v>
      </x:c>
      <x:c r="CC54" s="9" t="str">
        <x:v>1.499999999999974</x:v>
      </x:c>
      <x:c r="CD54" s="6" t="str">
        <x:v>18016.79060223489</x:v>
      </x:c>
      <x:c r="CE54" s="6" t="str">
        <x:v>71.79060223489068</x:v>
      </x:c>
      <x:c r="CF54" s="6" t="str">
        <x:v>Fixed 2.00R target</x:v>
      </x:c>
      <x:c r="CG54" s="9" t="str">
        <x:v>0.020197629701667146</x:v>
      </x:c>
      <x:c r="CH54" s="9" t="str">
        <x:v>2.0</x:v>
      </x:c>
      <x:c r="CI54" s="9" t="str">
        <x:v>1.979802370298333</x:v>
      </x:c>
      <x:c r="CJ54" s="6" t="str">
        <x:v>Win</x:v>
      </x:c>
      <x:c r="CK54" s="9" t="str">
        <x:v>2.1451275683149937</x:v>
      </x:c>
      <x:c r="CL54" s="9" t="str">
        <x:v>0.13929399794253206</x:v>
      </x:c>
      <x:c r="CM54" s="7" t="str">
        <x:v>2024-03-01 10:05:00-06:00</x:v>
      </x:c>
      <x:c r="CN54" s="6" t="str">
        <x:v>18016.79060223489</x:v>
      </x:c>
      <x:c r="CO54" s="6" t="str">
        <x:v>TARGET</x:v>
      </x:c>
      <x:c r="CP54" s="6" t="str">
        <x:v>F::Long::Same-bar Setup+BOS::Penetration + same-bar reclaim</x:v>
      </x:c>
    </x:row>
    <x:row r="55" ht="18" customHeight="1">
      <x:c r="A55" s="6" t="str">
        <x:v>A0054</x:v>
      </x:c>
      <x:c r="B55" s="6" t="str">
        <x:v>2024-03-04</x:v>
      </x:c>
      <x:c r="C55" s="6" t="str">
        <x:v>2024</x:v>
      </x:c>
      <x:c r="D55" s="6" t="str">
        <x:v>2024-Q1</x:v>
      </x:c>
      <x:c r="E55" s="6" t="str">
        <x:v>First 50%</x:v>
      </x:c>
      <x:c r="F55" s="6" t="str">
        <x:v>Short</x:v>
      </x:c>
      <x:c r="G55" s="6" t="str">
        <x:v>Short</x:v>
      </x:c>
      <x:c r="H55" s="6" t="str">
        <x:v>Overnight</x:v>
      </x:c>
      <x:c r="I55" s="6" t="str">
        <x:v>Overnight</x:v>
      </x:c>
      <x:c r="J55" s="6" t="str">
        <x:v>Bull</x:v>
      </x:c>
      <x:c r="K55" s="6" t="str">
        <x:v>Bull</x:v>
      </x:c>
      <x:c r="L55" s="6" t="str">
        <x:v>HIGH</x:v>
      </x:c>
      <x:c r="M55" s="7" t="str">
        <x:v>2024-03-04 03:25:00-06:00</x:v>
      </x:c>
      <x:c r="N55" s="6" t="str">
        <x:v>90.0</x:v>
      </x:c>
      <x:c r="O55" s="6" t="str">
        <x:v>90-94</x:v>
      </x:c>
      <x:c r="P55" s="6" t="str">
        <x:v>Matching BOS only</x:v>
      </x:c>
      <x:c r="Q55" s="6" t="str">
        <x:v>Bear CHoCH</x:v>
      </x:c>
      <x:c r="R55" s="6" t="str">
        <x:v>True</x:v>
      </x:c>
      <x:c r="S55" s="6" t="str">
        <x:v>False</x:v>
      </x:c>
      <x:c r="T55" s="6" t="str">
        <x:v>Recent BSL</x:v>
      </x:c>
      <x:c r="U55" s="6" t="str">
        <x:v>BSL</x:v>
      </x:c>
      <x:c r="V55" s="6" t="str">
        <x:v>Swing high / buy-side</x:v>
      </x:c>
      <x:c r="W55" s="6" t="str">
        <x:v>[18159.5,18157.75]</x:v>
      </x:c>
      <x:c r="X55" s="8" t="str">
        <x:v>2</x:v>
      </x:c>
      <x:c r="Y55" s="8" t="str">
        <x:v>4.0</x:v>
      </x:c>
      <x:c r="Z55" s="6" t="str">
        <x:v>None</x:v>
      </x:c>
      <x:c r="AA55" s="6" t="str">
        <x:v>18134.25</x:v>
      </x:c>
      <x:c r="AB55" s="9" t="str">
        <x:v>0.4603710295045218</x:v>
      </x:c>
      <x:c r="AC55" s="9" t="str">
        <x:v>0.8593592550751074</x:v>
      </x:c>
      <x:c r="AD55" s="9" t="str">
        <x:v>1.1355818727778204</x:v>
      </x:c>
      <x:c r="AE55" s="6" t="str">
        <x:v>With trade</x:v>
      </x:c>
      <x:c r="AF55" s="7" t="str">
        <x:v>2024-03-04 03:25:00-06:00</x:v>
      </x:c>
      <x:c r="AG55" s="6" t="str">
        <x:v>Short</x:v>
      </x:c>
      <x:c r="AH55" s="6" t="str">
        <x:v>18134.25</x:v>
      </x:c>
      <x:c r="AI55" s="8" t="str">
        <x:v>0</x:v>
      </x:c>
      <x:c r="AJ55" s="6" t="str">
        <x:v>True</x:v>
      </x:c>
      <x:c r="AK55" s="6" t="str">
        <x:v>Same-bar Setup+BOS</x:v>
      </x:c>
      <x:c r="AL55" s="9" t="str">
        <x:v>0.8593592550751074</x:v>
      </x:c>
      <x:c r="AM55" s="9" t="str">
        <x:v>0.4603710295045218</x:v>
      </x:c>
      <x:c r="AN55" s="9" t="str">
        <x:v>0.8593592550751074</x:v>
      </x:c>
      <x:c r="AO55" s="9" t="str">
        <x:v>1.1355818727778204</x:v>
      </x:c>
      <x:c r="AP55" s="10" t="str">
        <x:v>0.7567567567567568</x:v>
      </x:c>
      <x:c r="AQ55" s="6" t="str">
        <x:v>0.16216216216216217</x:v>
      </x:c>
      <x:c r="AR55" s="6" t="str">
        <x:v>0.08108108108108109</x:v>
      </x:c>
      <x:c r="AS55" s="6" t="str">
        <x:v>With trade</x:v>
      </x:c>
      <x:c r="AT55" s="6" t="str">
        <x:v>1.1488593467914001</x:v>
      </x:c>
      <x:c r="AU55" s="7" t="str">
        <x:v>2024-03-04 03:30:00-06:00</x:v>
      </x:c>
      <x:c r="AV55" s="8" t="str">
        <x:v>1</x:v>
      </x:c>
      <x:c r="AW55" s="6" t="str">
        <x:v>Immediate retest (1 bar)</x:v>
      </x:c>
      <x:c r="AX55" s="6" t="str">
        <x:v>18134.25</x:v>
      </x:c>
      <x:c r="AY55" s="6" t="str">
        <x:v>0.0</x:v>
      </x:c>
      <x:c r="AZ55" s="9" t="str">
        <x:v>0.0</x:v>
      </x:c>
      <x:c r="BA55" s="9" t="str">
        <x:v>0.6383375130574261</x:v>
      </x:c>
      <x:c r="BB55" s="9" t="str">
        <x:v>1.1246899039583222</x:v>
      </x:c>
      <x:c r="BC55" s="9" t="str">
        <x:v>0.18238214658783602</x:v>
      </x:c>
      <x:c r="BD55" s="6" t="str">
        <x:v>0.40540540540540543</x:v>
      </x:c>
      <x:c r="BE55" s="6" t="str">
        <x:v>0.43243243243243246</x:v>
      </x:c>
      <x:c r="BF55" s="9" t="str">
        <x:v>0.45595536646959006</x:v>
      </x:c>
      <x:c r="BG55" s="9" t="str">
        <x:v>0.48635239090089605</x:v>
      </x:c>
      <x:c r="BH55" s="6" t="str">
        <x:v>With trade</x:v>
      </x:c>
      <x:c r="BI55" s="6" t="str">
        <x:v>Exact BOS touch</x:v>
      </x:c>
      <x:c r="BJ55" s="6" t="str">
        <x:v>True</x:v>
      </x:c>
      <x:c r="BK55" s="10" t="str">
        <x:v>False</x:v>
      </x:c>
      <x:c r="BL55" s="6" t="str">
        <x:v>True</x:v>
      </x:c>
      <x:c r="BM55" s="7" t="str">
        <x:v>2024-03-04 03:35:00-06:00</x:v>
      </x:c>
      <x:c r="BN55" s="8" t="str">
        <x:v>1</x:v>
      </x:c>
      <x:c r="BO55" s="6" t="str">
        <x:v>Immediate confirmation (1 bar)</x:v>
      </x:c>
      <x:c r="BP55" s="9" t="str">
        <x:v>0.49158011068090907</x:v>
      </x:c>
      <x:c r="BQ55" s="9" t="str">
        <x:v>0.8602651936915908</x:v>
      </x:c>
      <x:c r="BR55" s="10" t="str">
        <x:v>0.5714285714285714</x:v>
      </x:c>
      <x:c r="BS55" s="9" t="str">
        <x:v>1.013883978279375</x:v>
      </x:c>
      <x:c r="BT55" s="9" t="str">
        <x:v>0.36868508301068176</x:v>
      </x:c>
      <x:c r="BU55" s="9" t="str">
        <x:v>0.0</x:v>
      </x:c>
      <x:c r="BV55" s="6" t="str">
        <x:v>With trade</x:v>
      </x:c>
      <x:c r="BW55" s="7" t="str">
        <x:v>2024-03-04 03:35:00-06:00</x:v>
      </x:c>
      <x:c r="BX55" s="6" t="str">
        <x:v>18126.0</x:v>
      </x:c>
      <x:c r="BY55" s="9" t="str">
        <x:v>8.13702571175922</x:v>
      </x:c>
      <x:c r="BZ55" s="9" t="str">
        <x:v>0.98</x:v>
      </x:c>
      <x:c r="CA55" s="6" t="str">
        <x:v>18138.20553856764</x:v>
      </x:c>
      <x:c r="CB55" s="6" t="str">
        <x:v>12.20553856763945</x:v>
      </x:c>
      <x:c r="CC55" s="9" t="str">
        <x:v>1.5000000000000764</x:v>
      </x:c>
      <x:c r="CD55" s="6" t="str">
        <x:v>18101.58892286472</x:v>
      </x:c>
      <x:c r="CE55" s="6" t="str">
        <x:v>24.4110771352789</x:v>
      </x:c>
      <x:c r="CF55" s="6" t="str">
        <x:v>Fixed 2.00R target</x:v>
      </x:c>
      <x:c r="CG55" s="9" t="str">
        <x:v>0.05939926337394016</x:v>
      </x:c>
      <x:c r="CH55" s="9" t="str">
        <x:v>1.0446077351969318</x:v>
      </x:c>
      <x:c r="CI55" s="9" t="str">
        <x:v>0.9852084718229916</x:v>
      </x:c>
      <x:c r="CJ55" s="6" t="str">
        <x:v>Win</x:v>
      </x:c>
      <x:c r="CK55" s="9" t="str">
        <x:v>1.7000478827713905</x:v>
      </x:c>
      <x:c r="CL55" s="9" t="str">
        <x:v>0.43013259684577354</x:v>
      </x:c>
      <x:c r="CM55" s="7" t="str">
        <x:v>2024-03-04 04:35:00-06:00</x:v>
      </x:c>
      <x:c r="CN55" s="6" t="str">
        <x:v>18113.25</x:v>
      </x:c>
      <x:c r="CO55" s="6" t="str">
        <x:v>TIME</x:v>
      </x:c>
      <x:c r="CP55" s="6" t="str">
        <x:v>F::Short::Same-bar Setup+BOS::Exact BOS touch</x:v>
      </x:c>
    </x:row>
    <x:row r="56" ht="18" customHeight="1">
      <x:c r="A56" s="6" t="str">
        <x:v>A0055</x:v>
      </x:c>
      <x:c r="B56" s="6" t="str">
        <x:v>2024-03-04</x:v>
      </x:c>
      <x:c r="C56" s="6" t="str">
        <x:v>2024</x:v>
      </x:c>
      <x:c r="D56" s="6" t="str">
        <x:v>2024-Q1</x:v>
      </x:c>
      <x:c r="E56" s="6" t="str">
        <x:v>First 50%</x:v>
      </x:c>
      <x:c r="F56" s="6" t="str">
        <x:v>Long</x:v>
      </x:c>
      <x:c r="G56" s="6" t="str">
        <x:v>Long</x:v>
      </x:c>
      <x:c r="H56" s="6" t="str">
        <x:v>Premarket</x:v>
      </x:c>
      <x:c r="I56" s="6" t="str">
        <x:v>Premarket</x:v>
      </x:c>
      <x:c r="J56" s="6" t="str">
        <x:v>Bull</x:v>
      </x:c>
      <x:c r="K56" s="6" t="str">
        <x:v>Bull</x:v>
      </x:c>
      <x:c r="L56" s="6" t="str">
        <x:v>HIGH</x:v>
      </x:c>
      <x:c r="M56" s="7" t="str">
        <x:v>2024-03-04 05:55:00-06:00</x:v>
      </x:c>
      <x:c r="N56" s="6" t="str">
        <x:v>90.0</x:v>
      </x:c>
      <x:c r="O56" s="6" t="str">
        <x:v>90-94</x:v>
      </x:c>
      <x:c r="P56" s="6" t="str">
        <x:v>Matching BOS only</x:v>
      </x:c>
      <x:c r="Q56" s="6" t="str">
        <x:v>Bull CHoCH</x:v>
      </x:c>
      <x:c r="R56" s="6" t="str">
        <x:v>True</x:v>
      </x:c>
      <x:c r="S56" s="6" t="str">
        <x:v>False</x:v>
      </x:c>
      <x:c r="T56" s="6" t="str">
        <x:v>Recent SSL</x:v>
      </x:c>
      <x:c r="U56" s="6" t="str">
        <x:v>SSL</x:v>
      </x:c>
      <x:c r="V56" s="6" t="str">
        <x:v>Swing low / sell-side</x:v>
      </x:c>
      <x:c r="W56" s="6" t="str">
        <x:v>[18101.75]</x:v>
      </x:c>
      <x:c r="X56" s="8" t="str">
        <x:v>1</x:v>
      </x:c>
      <x:c r="Y56" s="8" t="str">
        <x:v>10.0</x:v>
      </x:c>
      <x:c r="Z56" s="6" t="str">
        <x:v>None</x:v>
      </x:c>
      <x:c r="AA56" s="6" t="str">
        <x:v>18120.5</x:v>
      </x:c>
      <x:c r="AB56" s="9" t="str">
        <x:v>0.09720747354301486</x:v>
      </x:c>
      <x:c r="AC56" s="9" t="str">
        <x:v>0.680452314801104</x:v>
      </x:c>
      <x:c r="AD56" s="9" t="str">
        <x:v>1.1340871913351733</x:v>
      </x:c>
      <x:c r="AE56" s="6" t="str">
        <x:v>With trade</x:v>
      </x:c>
      <x:c r="AF56" s="7" t="str">
        <x:v>2024-03-04 05:55:00-06:00</x:v>
      </x:c>
      <x:c r="AG56" s="6" t="str">
        <x:v>Long</x:v>
      </x:c>
      <x:c r="AH56" s="6" t="str">
        <x:v>18120.5</x:v>
      </x:c>
      <x:c r="AI56" s="8" t="str">
        <x:v>0</x:v>
      </x:c>
      <x:c r="AJ56" s="6" t="str">
        <x:v>True</x:v>
      </x:c>
      <x:c r="AK56" s="6" t="str">
        <x:v>Same-bar Setup+BOS</x:v>
      </x:c>
      <x:c r="AL56" s="9" t="str">
        <x:v>0.712854805982109</x:v>
      </x:c>
      <x:c r="AM56" s="9" t="str">
        <x:v>0.09720747354301486</x:v>
      </x:c>
      <x:c r="AN56" s="9" t="str">
        <x:v>0.680452314801104</x:v>
      </x:c>
      <x:c r="AO56" s="9" t="str">
        <x:v>1.1340871913351733</x:v>
      </x:c>
      <x:c r="AP56" s="10" t="str">
        <x:v>0.6</x:v>
      </x:c>
      <x:c r="AQ56" s="6" t="str">
        <x:v>0.2571428571428571</x:v>
      </x:c>
      <x:c r="AR56" s="6" t="str">
        <x:v>0.14285714285714285</x:v>
      </x:c>
      <x:c r="AS56" s="6" t="str">
        <x:v>With trade</x:v>
      </x:c>
      <x:c r="AT56" s="6" t="str">
        <x:v>0.8193668528864059</x:v>
      </x:c>
      <x:c r="AU56" s="7" t="str">
        <x:v>2024-03-04 06:00:00-06:00</x:v>
      </x:c>
      <x:c r="AV56" s="8" t="str">
        <x:v>1</x:v>
      </x:c>
      <x:c r="AW56" s="6" t="str">
        <x:v>Immediate retest (1 bar)</x:v>
      </x:c>
      <x:c r="AX56" s="6" t="str">
        <x:v>18115.75</x:v>
      </x:c>
      <x:c r="AY56" s="6" t="str">
        <x:v>4.75</x:v>
      </x:c>
      <x:c r="AZ56" s="9" t="str">
        <x:v>0.5830728429473563</x:v>
      </x:c>
      <x:c r="BA56" s="9" t="str">
        <x:v>0.9513293753351603</x:v>
      </x:c>
      <x:c r="BB56" s="9" t="str">
        <x:v>1.6878424401107681</x:v>
      </x:c>
      <x:c r="BC56" s="9" t="str">
        <x:v>0.7978891535069086</x:v>
      </x:c>
      <x:c r="BD56" s="6" t="str">
        <x:v>0.09090909090909091</x:v>
      </x:c>
      <x:c r="BE56" s="6" t="str">
        <x:v>0.43636363636363634</x:v>
      </x:c>
      <x:c r="BF56" s="9" t="str">
        <x:v>0.736513064775608</x:v>
      </x:c>
      <x:c r="BG56" s="9" t="str">
        <x:v>0.15344022182825165</x:v>
      </x:c>
      <x:c r="BH56" s="6" t="str">
        <x:v>With trade</x:v>
      </x:c>
      <x:c r="BI56" s="6" t="str">
        <x:v>Penetration + same-bar reclaim</x:v>
      </x:c>
      <x:c r="BJ56" s="6" t="str">
        <x:v>False</x:v>
      </x:c>
      <x:c r="BK56" s="10" t="str">
        <x:v>True</x:v>
      </x:c>
      <x:c r="BL56" s="6" t="str">
        <x:v>True</x:v>
      </x:c>
      <x:c r="BM56" s="7" t="str">
        <x:v>2024-03-04 06:10:00-06:00</x:v>
      </x:c>
      <x:c r="BN56" s="8" t="str">
        <x:v>2</x:v>
      </x:c>
      <x:c r="BO56" s="6" t="str">
        <x:v>Delayed confirmation (2+ bars)</x:v>
      </x:c>
      <x:c r="BP56" s="9" t="str">
        <x:v>1.063560842388373</x:v>
      </x:c>
      <x:c r="BQ56" s="9" t="str">
        <x:v>1.3978228214247188</x:v>
      </x:c>
      <x:c r="BR56" s="10" t="str">
        <x:v>0.7608695652173914</x:v>
      </x:c>
      <x:c r="BS56" s="9" t="str">
        <x:v>1.3978228214247188</x:v>
      </x:c>
      <x:c r="BT56" s="9" t="str">
        <x:v>0.455811789595017</x:v>
      </x:c>
      <x:c r="BU56" s="9" t="str">
        <x:v>0.2430996211173424</x:v>
      </x:c>
      <x:c r="BV56" s="6" t="str">
        <x:v>With trade</x:v>
      </x:c>
      <x:c r="BW56" s="7" t="str">
        <x:v>2024-03-04 06:10:00-06:00</x:v>
      </x:c>
      <x:c r="BX56" s="6" t="str">
        <x:v>18132.0</x:v>
      </x:c>
      <x:c r="BY56" s="9" t="str">
        <x:v>8.22707987288312</x:v>
      </x:c>
      <x:c r="BZ56" s="9" t="str">
        <x:v>0.91</x:v>
      </x:c>
      <x:c r="CA56" s="6" t="str">
        <x:v>18119.659380190675</x:v>
      </x:c>
      <x:c r="CB56" s="6" t="str">
        <x:v>12.34061980932529</x:v>
      </x:c>
      <x:c r="CC56" s="9" t="str">
        <x:v>1.5000000000000742</x:v>
      </x:c>
      <x:c r="CD56" s="6" t="str">
        <x:v>18156.68123961865</x:v>
      </x:c>
      <x:c r="CE56" s="6" t="str">
        <x:v>24.68123961865058</x:v>
      </x:c>
      <x:c r="CF56" s="6" t="str">
        <x:v>Fixed 2.00R target</x:v>
      </x:c>
      <x:c r="CG56" s="9" t="str">
        <x:v>0.05874907510335484</x:v>
      </x:c>
      <x:c r="CH56" s="9" t="str">
        <x:v>-1.0</x:v>
      </x:c>
      <x:c r="CI56" s="9" t="str">
        <x:v>-1.0587490751033548</x:v>
      </x:c>
      <x:c r="CJ56" s="6" t="str">
        <x:v>Loss</x:v>
      </x:c>
      <x:c r="CK56" s="9" t="str">
        <x:v>0.607749052793326</x:v>
      </x:c>
      <x:c r="CL56" s="9" t="str">
        <x:v>1.0331733897486541</x:v>
      </x:c>
      <x:c r="CM56" s="7" t="str">
        <x:v>2024-03-04 06:55:00-06:00</x:v>
      </x:c>
      <x:c r="CN56" s="6" t="str">
        <x:v>18119.659380190675</x:v>
      </x:c>
      <x:c r="CO56" s="6" t="str">
        <x:v>STOP</x:v>
      </x:c>
      <x:c r="CP56" s="6" t="str">
        <x:v>F::Long::Same-bar Setup+BOS::Penetration + same-bar reclaim</x:v>
      </x:c>
    </x:row>
    <x:row r="57" ht="18" customHeight="1">
      <x:c r="A57" s="6" t="str">
        <x:v>A0056</x:v>
      </x:c>
      <x:c r="B57" s="6" t="str">
        <x:v>2024-03-04</x:v>
      </x:c>
      <x:c r="C57" s="6" t="str">
        <x:v>2024</x:v>
      </x:c>
      <x:c r="D57" s="6" t="str">
        <x:v>2024-Q1</x:v>
      </x:c>
      <x:c r="E57" s="6" t="str">
        <x:v>First 50%</x:v>
      </x:c>
      <x:c r="F57" s="6" t="str">
        <x:v>Short</x:v>
      </x:c>
      <x:c r="G57" s="6" t="str">
        <x:v>Short</x:v>
      </x:c>
      <x:c r="H57" s="6" t="str">
        <x:v>Afternoon</x:v>
      </x:c>
      <x:c r="I57" s="6" t="str">
        <x:v>Afternoon</x:v>
      </x:c>
      <x:c r="J57" s="6" t="str">
        <x:v>Bull</x:v>
      </x:c>
      <x:c r="K57" s="6" t="str">
        <x:v>Bull</x:v>
      </x:c>
      <x:c r="L57" s="6" t="str">
        <x:v>HIGH</x:v>
      </x:c>
      <x:c r="M57" s="7" t="str">
        <x:v>2024-03-04 14:45:00-06:00</x:v>
      </x:c>
      <x:c r="N57" s="6" t="str">
        <x:v>75.0</x:v>
      </x:c>
      <x:c r="O57" s="6" t="str">
        <x:v>75-79</x:v>
      </x:c>
      <x:c r="P57" s="6" t="str">
        <x:v>Matching BOS only</x:v>
      </x:c>
      <x:c r="Q57" s="6" t="str">
        <x:v>Bear CHoCH</x:v>
      </x:c>
      <x:c r="R57" s="6" t="str">
        <x:v>True</x:v>
      </x:c>
      <x:c r="S57" s="6" t="str">
        <x:v>False</x:v>
      </x:c>
      <x:c r="T57" s="6" t="str">
        <x:v>No recent matching sweep</x:v>
      </x:c>
      <x:c r="U57" s="6" t="str">
        <x:v>None</x:v>
      </x:c>
      <x:c r="V57" s="6" t="str">
        <x:v>None</x:v>
      </x:c>
      <x:c r="W57" s="6" t="str">
        <x:v>[]</x:v>
      </x:c>
      <x:c r="X57" s="8" t="str">
        <x:v>0</x:v>
      </x:c>
      <x:c r="Y57" s="8" t="str"/>
      <x:c r="Z57" s="6" t="str">
        <x:v>None</x:v>
      </x:c>
      <x:c r="AA57" s="6" t="str">
        <x:v>18057.0</x:v>
      </x:c>
      <x:c r="AB57" s="9" t="str">
        <x:v>0.47135647119144936</x:v>
      </x:c>
      <x:c r="AC57" s="9" t="str">
        <x:v>1.5711882373048314</x:v>
      </x:c>
      <x:c r="AD57" s="9" t="str">
        <x:v>1.9508920613201655</x:v>
      </x:c>
      <x:c r="AE57" s="6" t="str">
        <x:v>With trade</x:v>
      </x:c>
      <x:c r="AF57" s="7" t="str">
        <x:v>2024-03-04 14:45:00-06:00</x:v>
      </x:c>
      <x:c r="AG57" s="6" t="str">
        <x:v>Short</x:v>
      </x:c>
      <x:c r="AH57" s="6" t="str">
        <x:v>18057.0</x:v>
      </x:c>
      <x:c r="AI57" s="8" t="str">
        <x:v>0</x:v>
      </x:c>
      <x:c r="AJ57" s="6" t="str">
        <x:v>True</x:v>
      </x:c>
      <x:c r="AK57" s="6" t="str">
        <x:v>Same-bar Setup+BOS</x:v>
      </x:c>
      <x:c r="AL57" s="9" t="str">
        <x:v>1.5580950019939577</x:v>
      </x:c>
      <x:c r="AM57" s="9" t="str">
        <x:v>0.47135647119144936</x:v>
      </x:c>
      <x:c r="AN57" s="9" t="str">
        <x:v>1.5711882373048314</x:v>
      </x:c>
      <x:c r="AO57" s="9" t="str">
        <x:v>1.9508920613201655</x:v>
      </x:c>
      <x:c r="AP57" s="10" t="str">
        <x:v>0.8053691275167785</x:v>
      </x:c>
      <x:c r="AQ57" s="6" t="str">
        <x:v>0.006711409395973154</x:v>
      </x:c>
      <x:c r="AR57" s="6" t="str">
        <x:v>0.18791946308724833</x:v>
      </x:c>
      <x:c r="AS57" s="6" t="str">
        <x:v>With trade</x:v>
      </x:c>
      <x:c r="AT57" s="6" t="str">
        <x:v>2.1446126481079477</x:v>
      </x:c>
      <x:c r="AU57" s="7" t="str">
        <x:v>2024-03-04 14:50:00-06:00</x:v>
      </x:c>
      <x:c r="AV57" s="8" t="str">
        <x:v>1</x:v>
      </x:c>
      <x:c r="AW57" s="6" t="str">
        <x:v>Immediate retest (1 bar)</x:v>
      </x:c>
      <x:c r="AX57" s="6" t="str">
        <x:v>18059.75</x:v>
      </x:c>
      <x:c r="AY57" s="6" t="str">
        <x:v>2.75</x:v>
      </x:c>
      <x:c r="AZ57" s="9" t="str">
        <x:v>0.14313875660185646</x:v>
      </x:c>
      <x:c r="BA57" s="9" t="str">
        <x:v>0.37736581285943976</x:v>
      </x:c>
      <x:c r="BB57" s="9" t="str">
        <x:v>1.0800469816321896</x:v>
      </x:c>
      <x:c r="BC57" s="9" t="str">
        <x:v>0.10410091389225924</x:v>
      </x:c>
      <x:c r="BD57" s="6" t="str">
        <x:v>0.4819277108433735</x:v>
      </x:c>
      <x:c r="BE57" s="6" t="str">
        <x:v>0.42168674698795183</x:v>
      </x:c>
      <x:c r="BF57" s="9" t="str">
        <x:v>0.5205045694612962</x:v>
      </x:c>
      <x:c r="BG57" s="9" t="str">
        <x:v>0.45544149827863417</x:v>
      </x:c>
      <x:c r="BH57" s="6" t="str">
        <x:v>Against trade</x:v>
      </x:c>
      <x:c r="BI57" s="6" t="str">
        <x:v>Penetration + same-bar reclaim</x:v>
      </x:c>
      <x:c r="BJ57" s="6" t="str">
        <x:v>False</x:v>
      </x:c>
      <x:c r="BK57" s="10" t="str">
        <x:v>True</x:v>
      </x:c>
      <x:c r="BL57" s="6" t="str">
        <x:v>True</x:v>
      </x:c>
      <x:c r="BM57" s="7" t="str">
        <x:v>2024-03-04 14:55:00-06:00</x:v>
      </x:c>
      <x:c r="BN57" s="8" t="str">
        <x:v>1</x:v>
      </x:c>
      <x:c r="BO57" s="6" t="str">
        <x:v>Immediate confirmation (1 bar)</x:v>
      </x:c>
      <x:c r="BP57" s="9" t="str">
        <x:v>0.2656469329129093</x:v>
      </x:c>
      <x:c r="BQ57" s="9" t="str">
        <x:v>0.7305290655105006</x:v>
      </x:c>
      <x:c r="BR57" s="10" t="str">
        <x:v>0.36363636363636365</x:v>
      </x:c>
      <x:c r="BS57" s="9" t="str">
        <x:v>0.6242702923453368</x:v>
      </x:c>
      <x:c r="BT57" s="9" t="str">
        <x:v>0.23908223962161837</x:v>
      </x:c>
      <x:c r="BU57" s="9" t="str">
        <x:v>0.2922116262042002</x:v>
      </x:c>
      <x:c r="BV57" s="6" t="str">
        <x:v>With trade</x:v>
      </x:c>
      <x:c r="BW57" s="7" t="str">
        <x:v>2024-03-04 14:55:00-06:00</x:v>
      </x:c>
      <x:c r="BX57" s="6" t="str">
        <x:v>18045.25</x:v>
      </x:c>
      <x:c r="BY57" s="9" t="str">
        <x:v>18.82197526308056</x:v>
      </x:c>
      <x:c r="BZ57" s="9" t="str">
        <x:v>0.98</x:v>
      </x:c>
      <x:c r="CA57" s="6" t="str">
        <x:v>18073.48296289462</x:v>
      </x:c>
      <x:c r="CB57" s="6" t="str">
        <x:v>28.23296289462087</x:v>
      </x:c>
      <x:c r="CC57" s="9" t="str">
        <x:v>1.5000000000000016</x:v>
      </x:c>
      <x:c r="CD57" s="6" t="str">
        <x:v>17988.78407421076</x:v>
      </x:c>
      <x:c r="CE57" s="6" t="str">
        <x:v>56.46592578924174</x:v>
      </x:c>
      <x:c r="CF57" s="6" t="str">
        <x:v>Fixed 2.00R target</x:v>
      </x:c>
      <x:c r="CG57" s="9" t="str">
        <x:v>0.02567920351491454</x:v>
      </x:c>
      <x:c r="CH57" s="9" t="str">
        <x:v>0.5047291725345276</x:v>
      </x:c>
      <x:c r="CI57" s="9" t="str">
        <x:v>0.4790499690196131</x:v>
      </x:c>
      <x:c r="CJ57" s="6" t="str">
        <x:v>Win</x:v>
      </x:c>
      <x:c r="CK57" s="9" t="str">
        <x:v>0.8589250830850725</x:v>
      </x:c>
      <x:c r="CL57" s="9" t="str">
        <x:v>0.10625877316516362</x:v>
      </x:c>
      <x:c r="CM57" s="7" t="str">
        <x:v>2024-03-04 15:55:00-06:00</x:v>
      </x:c>
      <x:c r="CN57" s="6" t="str">
        <x:v>18031.0</x:v>
      </x:c>
      <x:c r="CO57" s="6" t="str">
        <x:v>TIME</x:v>
      </x:c>
      <x:c r="CP57" s="6" t="str">
        <x:v>F::Short::Same-bar Setup+BOS::Penetration + same-bar reclaim</x:v>
      </x:c>
    </x:row>
    <x:row r="58" ht="18" customHeight="1">
      <x:c r="A58" s="6" t="str">
        <x:v>A0057</x:v>
      </x:c>
      <x:c r="B58" s="6" t="str">
        <x:v>2024-03-05</x:v>
      </x:c>
      <x:c r="C58" s="6" t="str">
        <x:v>2024</x:v>
      </x:c>
      <x:c r="D58" s="6" t="str">
        <x:v>2024-Q1</x:v>
      </x:c>
      <x:c r="E58" s="6" t="str">
        <x:v>First 50%</x:v>
      </x:c>
      <x:c r="F58" s="6" t="str">
        <x:v>Short</x:v>
      </x:c>
      <x:c r="G58" s="6" t="str">
        <x:v>Short</x:v>
      </x:c>
      <x:c r="H58" s="6" t="str">
        <x:v>Afternoon</x:v>
      </x:c>
      <x:c r="I58" s="6" t="str">
        <x:v>Midday</x:v>
      </x:c>
      <x:c r="J58" s="6" t="str">
        <x:v>Bear</x:v>
      </x:c>
      <x:c r="K58" s="6" t="str">
        <x:v>Bear</x:v>
      </x:c>
      <x:c r="L58" s="6" t="str">
        <x:v>MID</x:v>
      </x:c>
      <x:c r="M58" s="7" t="str">
        <x:v>2024-03-05 13:40:00-06:00</x:v>
      </x:c>
      <x:c r="N58" s="6" t="str">
        <x:v>75.0</x:v>
      </x:c>
      <x:c r="O58" s="6" t="str">
        <x:v>75-79</x:v>
      </x:c>
      <x:c r="P58" s="6" t="str">
        <x:v>Matching BOS only</x:v>
      </x:c>
      <x:c r="Q58" s="6" t="str">
        <x:v>Bear BOS</x:v>
      </x:c>
      <x:c r="R58" s="6" t="str">
        <x:v>True</x:v>
      </x:c>
      <x:c r="S58" s="6" t="str">
        <x:v>False</x:v>
      </x:c>
      <x:c r="T58" s="6" t="str">
        <x:v>No recent matching sweep</x:v>
      </x:c>
      <x:c r="U58" s="6" t="str">
        <x:v>None</x:v>
      </x:c>
      <x:c r="V58" s="6" t="str">
        <x:v>None</x:v>
      </x:c>
      <x:c r="W58" s="6" t="str">
        <x:v>[]</x:v>
      </x:c>
      <x:c r="X58" s="8" t="str">
        <x:v>0</x:v>
      </x:c>
      <x:c r="Y58" s="8" t="str"/>
      <x:c r="Z58" s="6" t="str">
        <x:v>None</x:v>
      </x:c>
      <x:c r="AA58" s="6" t="str">
        <x:v>17662.5</x:v>
      </x:c>
      <x:c r="AB58" s="9" t="str">
        <x:v>0.6768701863618478</x:v>
      </x:c>
      <x:c r="AC58" s="9" t="str">
        <x:v>0.6768701863618478</x:v>
      </x:c>
      <x:c r="AD58" s="9" t="str">
        <x:v>1.1357652279631005</x:v>
      </x:c>
      <x:c r="AE58" s="6" t="str">
        <x:v>With trade</x:v>
      </x:c>
      <x:c r="AF58" s="7" t="str">
        <x:v>2024-03-05 13:40:00-06:00</x:v>
      </x:c>
      <x:c r="AG58" s="6" t="str">
        <x:v>Short</x:v>
      </x:c>
      <x:c r="AH58" s="6" t="str">
        <x:v>17662.5</x:v>
      </x:c>
      <x:c r="AI58" s="8" t="str">
        <x:v>0</x:v>
      </x:c>
      <x:c r="AJ58" s="6" t="str">
        <x:v>True</x:v>
      </x:c>
      <x:c r="AK58" s="6" t="str">
        <x:v>Same-bar Setup+BOS</x:v>
      </x:c>
      <x:c r="AL58" s="9" t="str">
        <x:v>0.6768701863618478</x:v>
      </x:c>
      <x:c r="AM58" s="9" t="str">
        <x:v>0.6768701863618478</x:v>
      </x:c>
      <x:c r="AN58" s="9" t="str">
        <x:v>0.6768701863618478</x:v>
      </x:c>
      <x:c r="AO58" s="9" t="str">
        <x:v>1.1357652279631005</x:v>
      </x:c>
      <x:c r="AP58" s="10" t="str">
        <x:v>0.5959595959595959</x:v>
      </x:c>
      <x:c r="AQ58" s="6" t="str">
        <x:v>0.26262626262626265</x:v>
      </x:c>
      <x:c r="AR58" s="6" t="str">
        <x:v>0.1414141414141414</x:v>
      </x:c>
      <x:c r="AS58" s="6" t="str">
        <x:v>With trade</x:v>
      </x:c>
      <x:c r="AT58" s="6" t="str">
        <x:v>1.054036145125128</x:v>
      </x:c>
      <x:c r="AU58" s="7" t="str">
        <x:v>2024-03-05 14:00:00-06:00</x:v>
      </x:c>
      <x:c r="AV58" s="8" t="str">
        <x:v>4</x:v>
      </x:c>
      <x:c r="AW58" s="6" t="str">
        <x:v>Delayed retest (2+ bars)</x:v>
      </x:c>
      <x:c r="AX58" s="6" t="str">
        <x:v>17662.0</x:v>
      </x:c>
      <x:c r="AY58" s="6" t="str">
        <x:v>0.0</x:v>
      </x:c>
      <x:c r="AZ58" s="9" t="str">
        <x:v>0.0</x:v>
      </x:c>
      <x:c r="BA58" s="9" t="str">
        <x:v>0.1350911606192283</x:v>
      </x:c>
      <x:c r="BB58" s="9" t="str">
        <x:v>0.9702001535380942</x:v>
      </x:c>
      <x:c r="BC58" s="9" t="str">
        <x:v>0.7859849345118738</x:v>
      </x:c>
      <x:c r="BD58" s="6" t="str">
        <x:v>0.11392405063291139</x:v>
      </x:c>
      <x:c r="BE58" s="6" t="str">
        <x:v>0.0759493670886076</x:v>
      </x:c>
      <x:c r="BF58" s="9" t="str">
        <x:v>0.11052913141573224</x:v>
      </x:c>
      <x:c r="BG58" s="9" t="str">
        <x:v>0.07368608761048816</x:v>
      </x:c>
      <x:c r="BH58" s="6" t="str">
        <x:v>Against trade</x:v>
      </x:c>
      <x:c r="BI58" s="6" t="str">
        <x:v>Tolerance-only shallow touch</x:v>
      </x:c>
      <x:c r="BJ58" s="6" t="str">
        <x:v>True</x:v>
      </x:c>
      <x:c r="BK58" s="10" t="str">
        <x:v>False</x:v>
      </x:c>
      <x:c r="BL58" s="6" t="str">
        <x:v>True</x:v>
      </x:c>
      <x:c r="BM58" s="7" t="str">
        <x:v>2024-03-05 14:05:00-06:00</x:v>
      </x:c>
      <x:c r="BN58" s="8" t="str">
        <x:v>1</x:v>
      </x:c>
      <x:c r="BO58" s="6" t="str">
        <x:v>Immediate confirmation (1 bar)</x:v>
      </x:c>
      <x:c r="BP58" s="9" t="str">
        <x:v>0.7206932271217248</x:v>
      </x:c>
      <x:c r="BQ58" s="9" t="str">
        <x:v>1.2852362550337426</x:v>
      </x:c>
      <x:c r="BR58" s="10" t="str">
        <x:v>0.5607476635514018</x:v>
      </x:c>
      <x:c r="BS58" s="9" t="str">
        <x:v>0.8287972111899835</x:v>
      </x:c>
      <x:c r="BT58" s="9" t="str">
        <x:v>0.6966701195510007</x:v>
      </x:c>
      <x:c r="BU58" s="9" t="str">
        <x:v>0.4684505976291211</x:v>
      </x:c>
      <x:c r="BV58" s="6" t="str">
        <x:v>With trade</x:v>
      </x:c>
      <x:c r="BW58" s="7" t="str">
        <x:v>2024-03-05 14:05:00-06:00</x:v>
      </x:c>
      <x:c r="BX58" s="6" t="str">
        <x:v>17645.25</x:v>
      </x:c>
      <x:c r="BY58" s="9" t="str">
        <x:v>20.813293972397087</x:v>
      </x:c>
      <x:c r="BZ58" s="9" t="str">
        <x:v>0.45</x:v>
      </x:c>
      <x:c r="CA58" s="6" t="str">
        <x:v>17676.469940958596</x:v>
      </x:c>
      <x:c r="CB58" s="6" t="str">
        <x:v>31.219940958595544</x:v>
      </x:c>
      <x:c r="CC58" s="9" t="str">
        <x:v>1.4999999999999958</x:v>
      </x:c>
      <x:c r="CD58" s="6" t="str">
        <x:v>17582.81011808281</x:v>
      </x:c>
      <x:c r="CE58" s="6" t="str">
        <x:v>62.43988191719109</x:v>
      </x:c>
      <x:c r="CF58" s="6" t="str">
        <x:v>Fixed 2.00R target</x:v>
      </x:c>
      <x:c r="CG58" s="9" t="str">
        <x:v>0.023222337318366752</x:v>
      </x:c>
      <x:c r="CH58" s="9" t="str">
        <x:v>-1.0</x:v>
      </x:c>
      <x:c r="CI58" s="9" t="str">
        <x:v>-1.0232223373183666</x:v>
      </x:c>
      <x:c r="CJ58" s="6" t="str">
        <x:v>Loss</x:v>
      </x:c>
      <x:c r="CK58" s="9" t="str">
        <x:v>0.8328010624517732</x:v>
      </x:c>
      <x:c r="CL58" s="9" t="str">
        <x:v>1.3693171315312809</x:v>
      </x:c>
      <x:c r="CM58" s="7" t="str">
        <x:v>2024-03-05 14:45:00-06:00</x:v>
      </x:c>
      <x:c r="CN58" s="6" t="str">
        <x:v>17676.469940958596</x:v>
      </x:c>
      <x:c r="CO58" s="6" t="str">
        <x:v>STOP</x:v>
      </x:c>
      <x:c r="CP58" s="6" t="str">
        <x:v>F::Short::Same-bar Setup+BOS::Tolerance-only shallow touch</x:v>
      </x:c>
    </x:row>
    <x:row r="59" ht="18" customHeight="1">
      <x:c r="A59" s="6" t="str">
        <x:v>A0058</x:v>
      </x:c>
      <x:c r="B59" s="6" t="str">
        <x:v>2024-03-05</x:v>
      </x:c>
      <x:c r="C59" s="6" t="str">
        <x:v>2024</x:v>
      </x:c>
      <x:c r="D59" s="6" t="str">
        <x:v>2024-Q1</x:v>
      </x:c>
      <x:c r="E59" s="6" t="str">
        <x:v>First 50%</x:v>
      </x:c>
      <x:c r="F59" s="6" t="str">
        <x:v>Long</x:v>
      </x:c>
      <x:c r="G59" s="6" t="str">
        <x:v>Long</x:v>
      </x:c>
      <x:c r="H59" s="6" t="str">
        <x:v>Afternoon</x:v>
      </x:c>
      <x:c r="I59" s="6" t="str">
        <x:v>Afternoon</x:v>
      </x:c>
      <x:c r="J59" s="6" t="str">
        <x:v>Bear</x:v>
      </x:c>
      <x:c r="K59" s="6" t="str">
        <x:v>Bear</x:v>
      </x:c>
      <x:c r="L59" s="6" t="str">
        <x:v>HIGH</x:v>
      </x:c>
      <x:c r="M59" s="7" t="str">
        <x:v>2024-03-05 14:45:00-06:00</x:v>
      </x:c>
      <x:c r="N59" s="6" t="str">
        <x:v>100.0</x:v>
      </x:c>
      <x:c r="O59" s="6" t="str">
        <x:v>95+</x:v>
      </x:c>
      <x:c r="P59" s="6" t="str">
        <x:v>Matching BOS only</x:v>
      </x:c>
      <x:c r="Q59" s="6" t="str">
        <x:v>Bull CHoCH</x:v>
      </x:c>
      <x:c r="R59" s="6" t="str">
        <x:v>True</x:v>
      </x:c>
      <x:c r="S59" s="6" t="str">
        <x:v>False</x:v>
      </x:c>
      <x:c r="T59" s="6" t="str">
        <x:v>Recent SSL</x:v>
      </x:c>
      <x:c r="U59" s="6" t="str">
        <x:v>SSL</x:v>
      </x:c>
      <x:c r="V59" s="6" t="str">
        <x:v>Swing low / sell-side</x:v>
      </x:c>
      <x:c r="W59" s="6" t="str">
        <x:v>[17644.5,17646.25]</x:v>
      </x:c>
      <x:c r="X59" s="8" t="str">
        <x:v>2</x:v>
      </x:c>
      <x:c r="Y59" s="8" t="str">
        <x:v>13.0</x:v>
      </x:c>
      <x:c r="Z59" s="6" t="str">
        <x:v>None</x:v>
      </x:c>
      <x:c r="AA59" s="6" t="str">
        <x:v>17670.0</x:v>
      </x:c>
      <x:c r="AB59" s="9" t="str">
        <x:v>0.7002217266976852</x:v>
      </x:c>
      <x:c r="AC59" s="9" t="str">
        <x:v>1.1086844006046683</x:v>
      </x:c>
      <x:c r="AD59" s="9" t="str">
        <x:v>1.4237841776186266</x:v>
      </x:c>
      <x:c r="AE59" s="6" t="str">
        <x:v>With trade</x:v>
      </x:c>
      <x:c r="AF59" s="7" t="str">
        <x:v>2024-03-05 14:45:00-06:00</x:v>
      </x:c>
      <x:c r="AG59" s="6" t="str">
        <x:v>Long</x:v>
      </x:c>
      <x:c r="AH59" s="6" t="str">
        <x:v>17670.0</x:v>
      </x:c>
      <x:c r="AI59" s="8" t="str">
        <x:v>0</x:v>
      </x:c>
      <x:c r="AJ59" s="6" t="str">
        <x:v>True</x:v>
      </x:c>
      <x:c r="AK59" s="6" t="str">
        <x:v>Same-bar Setup+BOS</x:v>
      </x:c>
      <x:c r="AL59" s="9" t="str">
        <x:v>1.1203547627162964</x:v>
      </x:c>
      <x:c r="AM59" s="9" t="str">
        <x:v>0.7002217266976852</x:v>
      </x:c>
      <x:c r="AN59" s="9" t="str">
        <x:v>1.1086844006046683</x:v>
      </x:c>
      <x:c r="AO59" s="9" t="str">
        <x:v>1.4237841776186266</x:v>
      </x:c>
      <x:c r="AP59" s="10" t="str">
        <x:v>0.7786885245901639</x:v>
      </x:c>
      <x:c r="AQ59" s="6" t="str">
        <x:v>0.09836065573770492</x:v>
      </x:c>
      <x:c r="AR59" s="6" t="str">
        <x:v>0.12295081967213115</x:v>
      </x:c>
      <x:c r="AS59" s="6" t="str">
        <x:v>With trade</x:v>
      </x:c>
      <x:c r="AT59" s="6" t="str">
        <x:v>1.3638726279642457</x:v>
      </x:c>
      <x:c r="AU59" s="7" t="str">
        <x:v>2024-03-05 14:50:00-06:00</x:v>
      </x:c>
      <x:c r="AV59" s="8" t="str">
        <x:v>1</x:v>
      </x:c>
      <x:c r="AW59" s="6" t="str">
        <x:v>Immediate retest (1 bar)</x:v>
      </x:c>
      <x:c r="AX59" s="6" t="str">
        <x:v>17669.0</x:v>
      </x:c>
      <x:c r="AY59" s="6" t="str">
        <x:v>1.0</x:v>
      </x:c>
      <x:c r="AZ59" s="9" t="str">
        <x:v>0.045457022222223906</x:v>
      </x:c>
      <x:c r="BA59" s="9" t="str">
        <x:v>1.2159753444444896</x:v>
      </x:c>
      <x:c r="BB59" s="9" t="str">
        <x:v>1.3409821555556052</x:v>
      </x:c>
      <x:c r="BC59" s="9" t="str">
        <x:v>0.5341200111111309</x:v>
      </x:c>
      <x:c r="BD59" s="6" t="str">
        <x:v>0.059322033898305086</x:v>
      </x:c>
      <x:c r="BE59" s="6" t="str">
        <x:v>0.5423728813559322</x:v>
      </x:c>
      <x:c r="BF59" s="9" t="str">
        <x:v>0.7273123555555825</x:v>
      </x:c>
      <x:c r="BG59" s="9" t="str">
        <x:v>0.07954978888889183</x:v>
      </x:c>
      <x:c r="BH59" s="6" t="str">
        <x:v>With trade</x:v>
      </x:c>
      <x:c r="BI59" s="6" t="str">
        <x:v>Penetration + same-bar reclaim</x:v>
      </x:c>
      <x:c r="BJ59" s="6" t="str">
        <x:v>False</x:v>
      </x:c>
      <x:c r="BK59" s="10" t="str">
        <x:v>True</x:v>
      </x:c>
      <x:c r="BL59" s="6" t="str">
        <x:v>True</x:v>
      </x:c>
      <x:c r="BM59" s="7" t="str">
        <x:v>2024-03-05 14:55:00-06:00</x:v>
      </x:c>
      <x:c r="BN59" s="8" t="str">
        <x:v>1</x:v>
      </x:c>
      <x:c r="BO59" s="6" t="str">
        <x:v>Immediate confirmation (1 bar)</x:v>
      </x:c>
      <x:c r="BP59" s="9" t="str">
        <x:v>0.940585813508763</x:v>
      </x:c>
      <x:c r="BQ59" s="9" t="str">
        <x:v>1.6325110096531406</x:v>
      </x:c>
      <x:c r="BR59" s="10" t="str">
        <x:v>0.5761589403973509</x:v>
      </x:c>
      <x:c r="BS59" s="9" t="str">
        <x:v>2.097398250812644</x:v>
      </x:c>
      <x:c r="BT59" s="9" t="str">
        <x:v>0.940585813508763</x:v>
      </x:c>
      <x:c r="BU59" s="9" t="str">
        <x:v>0.48650990353901535</x:v>
      </x:c>
      <x:c r="BV59" s="6" t="str">
        <x:v>With trade</x:v>
      </x:c>
      <x:c r="BW59" s="7" t="str">
        <x:v>2024-03-05 14:55:00-06:00</x:v>
      </x:c>
      <x:c r="BX59" s="6" t="str">
        <x:v>17718.5</x:v>
      </x:c>
      <x:c r="BY59" s="9" t="str">
        <x:v>23.123886930490436</x:v>
      </x:c>
      <x:c r="BZ59" s="9" t="str">
        <x:v>0.74</x:v>
      </x:c>
      <x:c r="CA59" s="6" t="str">
        <x:v>17683.814169604266</x:v>
      </x:c>
      <x:c r="CB59" s="6" t="str">
        <x:v>34.68583039573423</x:v>
      </x:c>
      <x:c r="CC59" s="9" t="str">
        <x:v>1.4999999999999385</x:v>
      </x:c>
      <x:c r="CD59" s="6" t="str">
        <x:v>17787.871660791472</x:v>
      </x:c>
      <x:c r="CE59" s="6" t="str">
        <x:v>69.3716607914721</x:v>
      </x:c>
      <x:c r="CF59" s="6" t="str">
        <x:v>Fixed 2.00R target</x:v>
      </x:c>
      <x:c r="CG59" s="9" t="str">
        <x:v>0.02090190696686226</x:v>
      </x:c>
      <x:c r="CH59" s="9" t="str">
        <x:v>1.48475615005981</x:v>
      </x:c>
      <x:c r="CI59" s="9" t="str">
        <x:v>1.4638542430929478</x:v>
      </x:c>
      <x:c r="CJ59" s="6" t="str">
        <x:v>Win</x:v>
      </x:c>
      <x:c r="CK59" s="9" t="str">
        <x:v>1.6361147867164596</x:v>
      </x:c>
      <x:c r="CL59" s="9" t="str">
        <x:v>0.07207554126504227</x:v>
      </x:c>
      <x:c r="CM59" s="7" t="str">
        <x:v>2024-03-05 15:55:00-06:00</x:v>
      </x:c>
      <x:c r="CN59" s="6" t="str">
        <x:v>17770.0</x:v>
      </x:c>
      <x:c r="CO59" s="6" t="str">
        <x:v>TIME</x:v>
      </x:c>
      <x:c r="CP59" s="6" t="str">
        <x:v>F::Long::Same-bar Setup+BOS::Penetration + same-bar reclaim</x:v>
      </x:c>
    </x:row>
    <x:row r="60" ht="18" customHeight="1">
      <x:c r="A60" s="6" t="str">
        <x:v>A0059</x:v>
      </x:c>
      <x:c r="B60" s="6" t="str">
        <x:v>2024-03-06</x:v>
      </x:c>
      <x:c r="C60" s="6" t="str">
        <x:v>2024</x:v>
      </x:c>
      <x:c r="D60" s="6" t="str">
        <x:v>2024-Q1</x:v>
      </x:c>
      <x:c r="E60" s="6" t="str">
        <x:v>First 50%</x:v>
      </x:c>
      <x:c r="F60" s="6" t="str">
        <x:v>Long</x:v>
      </x:c>
      <x:c r="G60" s="6" t="str">
        <x:v>Long</x:v>
      </x:c>
      <x:c r="H60" s="6" t="str">
        <x:v>Overnight</x:v>
      </x:c>
      <x:c r="I60" s="6" t="str">
        <x:v>Overnight</x:v>
      </x:c>
      <x:c r="J60" s="6" t="str">
        <x:v>Bear</x:v>
      </x:c>
      <x:c r="K60" s="6" t="str">
        <x:v>Bear</x:v>
      </x:c>
      <x:c r="L60" s="6" t="str">
        <x:v>LOW</x:v>
      </x:c>
      <x:c r="M60" s="7" t="str">
        <x:v>2024-03-06 21:40:00-06:00</x:v>
      </x:c>
      <x:c r="N60" s="6" t="str">
        <x:v>90.0</x:v>
      </x:c>
      <x:c r="O60" s="6" t="str">
        <x:v>90-94</x:v>
      </x:c>
      <x:c r="P60" s="6" t="str">
        <x:v>Matching BOS only</x:v>
      </x:c>
      <x:c r="Q60" s="6" t="str">
        <x:v>Bull CHoCH</x:v>
      </x:c>
      <x:c r="R60" s="6" t="str">
        <x:v>True</x:v>
      </x:c>
      <x:c r="S60" s="6" t="str">
        <x:v>False</x:v>
      </x:c>
      <x:c r="T60" s="6" t="str">
        <x:v>Recent SSL</x:v>
      </x:c>
      <x:c r="U60" s="6" t="str">
        <x:v>SSL</x:v>
      </x:c>
      <x:c r="V60" s="6" t="str">
        <x:v>Swing low / sell-side</x:v>
      </x:c>
      <x:c r="W60" s="6" t="str">
        <x:v>[17735.5,17739.0]</x:v>
      </x:c>
      <x:c r="X60" s="8" t="str">
        <x:v>2</x:v>
      </x:c>
      <x:c r="Y60" s="8" t="str">
        <x:v>18.0</x:v>
      </x:c>
      <x:c r="Z60" s="6" t="str">
        <x:v>None</x:v>
      </x:c>
      <x:c r="AA60" s="6" t="str">
        <x:v>17743.25</x:v>
      </x:c>
      <x:c r="AB60" s="9" t="str">
        <x:v>0.47963375144509524</x:v>
      </x:c>
      <x:c r="AC60" s="9" t="str">
        <x:v>0.7993895857418254</x:v>
      </x:c>
      <x:c r="AD60" s="9" t="str">
        <x:v>0.9592675028901905</x:v>
      </x:c>
      <x:c r="AE60" s="6" t="str">
        <x:v>With trade</x:v>
      </x:c>
      <x:c r="AF60" s="7" t="str">
        <x:v>2024-03-06 21:40:00-06:00</x:v>
      </x:c>
      <x:c r="AG60" s="6" t="str">
        <x:v>Long</x:v>
      </x:c>
      <x:c r="AH60" s="6" t="str">
        <x:v>17743.25</x:v>
      </x:c>
      <x:c r="AI60" s="8" t="str">
        <x:v>0</x:v>
      </x:c>
      <x:c r="AJ60" s="6" t="str">
        <x:v>True</x:v>
      </x:c>
      <x:c r="AK60" s="6" t="str">
        <x:v>Same-bar Setup+BOS</x:v>
      </x:c>
      <x:c r="AL60" s="9" t="str">
        <x:v>0.8793285443160079</x:v>
      </x:c>
      <x:c r="AM60" s="9" t="str">
        <x:v>0.47963375144509524</x:v>
      </x:c>
      <x:c r="AN60" s="9" t="str">
        <x:v>0.7993895857418254</x:v>
      </x:c>
      <x:c r="AO60" s="9" t="str">
        <x:v>0.9592675028901905</x:v>
      </x:c>
      <x:c r="AP60" s="10" t="str">
        <x:v>0.8333333333333334</x:v>
      </x:c>
      <x:c r="AQ60" s="6" t="str">
        <x:v>0.1111111111111111</x:v>
      </x:c>
      <x:c r="AR60" s="6" t="str">
        <x:v>0.05555555555555555</x:v>
      </x:c>
      <x:c r="AS60" s="6" t="str">
        <x:v>With trade</x:v>
      </x:c>
      <x:c r="AT60" s="6" t="str">
        <x:v>1.722436530008074</x:v>
      </x:c>
      <x:c r="AU60" s="7" t="str">
        <x:v>2024-03-06 21:45:00-06:00</x:v>
      </x:c>
      <x:c r="AV60" s="8" t="str">
        <x:v>1</x:v>
      </x:c>
      <x:c r="AW60" s="6" t="str">
        <x:v>Immediate retest (1 bar)</x:v>
      </x:c>
      <x:c r="AX60" s="6" t="str">
        <x:v>17742.5</x:v>
      </x:c>
      <x:c r="AY60" s="6" t="str">
        <x:v>0.75</x:v>
      </x:c>
      <x:c r="AZ60" s="9" t="str">
        <x:v>0.08125798894281913</x:v>
      </x:c>
      <x:c r="BA60" s="9" t="str">
        <x:v>0.6229779152282799</x:v>
      </x:c>
      <x:c r="BB60" s="9" t="str">
        <x:v>0.7854938931139183</x:v>
      </x:c>
      <x:c r="BC60" s="9" t="str">
        <x:v>0.16251597788563826</x:v>
      </x:c>
      <x:c r="BD60" s="6" t="str">
        <x:v>0.10344827586206896</x:v>
      </x:c>
      <x:c r="BE60" s="6" t="str">
        <x:v>0.6896551724137931</x:v>
      </x:c>
      <x:c r="BF60" s="9" t="str">
        <x:v>0.5417199262854608</x:v>
      </x:c>
      <x:c r="BG60" s="9" t="str">
        <x:v>0.08125798894281913</x:v>
      </x:c>
      <x:c r="BH60" s="6" t="str">
        <x:v>With trade</x:v>
      </x:c>
      <x:c r="BI60" s="6" t="str">
        <x:v>Penetration + same-bar reclaim</x:v>
      </x:c>
      <x:c r="BJ60" s="6" t="str">
        <x:v>False</x:v>
      </x:c>
      <x:c r="BK60" s="10" t="str">
        <x:v>True</x:v>
      </x:c>
      <x:c r="BL60" s="6" t="str">
        <x:v>True</x:v>
      </x:c>
      <x:c r="BM60" s="7" t="str">
        <x:v>2024-03-06 21:50:00-06:00</x:v>
      </x:c>
      <x:c r="BN60" s="8" t="str">
        <x:v>1</x:v>
      </x:c>
      <x:c r="BO60" s="6" t="str">
        <x:v>Immediate confirmation (1 bar)</x:v>
      </x:c>
      <x:c r="BP60" s="9" t="str">
        <x:v>0.5115848894175797</x:v>
      </x:c>
      <x:c r="BQ60" s="9" t="str">
        <x:v>1.0770208198264837</x:v>
      </x:c>
      <x:c r="BR60" s="10" t="str">
        <x:v>0.475</x:v>
      </x:c>
      <x:c r="BS60" s="9" t="str">
        <x:v>1.1577973813134699</x:v>
      </x:c>
      <x:c r="BT60" s="9" t="str">
        <x:v>0.5385104099132418</x:v>
      </x:c>
      <x:c r="BU60" s="9" t="str">
        <x:v>0.05385104099132418</x:v>
      </x:c>
      <x:c r="BV60" s="6" t="str">
        <x:v>With trade</x:v>
      </x:c>
      <x:c r="BW60" s="7" t="str">
        <x:v>2024-03-06 21:50:00-06:00</x:v>
      </x:c>
      <x:c r="BX60" s="6" t="str">
        <x:v>17754.0</x:v>
      </x:c>
      <x:c r="BY60" s="9" t="str">
        <x:v>9.284871579001674</x:v>
      </x:c>
      <x:c r="BZ60" s="9" t="str">
        <x:v>0.01</x:v>
      </x:c>
      <x:c r="CA60" s="6" t="str">
        <x:v>17740.072692631496</x:v>
      </x:c>
      <x:c r="CB60" s="6" t="str">
        <x:v>13.927307368503534</x:v>
      </x:c>
      <x:c r="CC60" s="9" t="str">
        <x:v>1.5000000000001101</x:v>
      </x:c>
      <x:c r="CD60" s="6" t="str">
        <x:v>17781.854614737003</x:v>
      </x:c>
      <x:c r="CE60" s="6" t="str">
        <x:v>27.85461473700343</x:v>
      </x:c>
      <x:c r="CF60" s="6" t="str">
        <x:v>Fixed 2.00R target</x:v>
      </x:c>
      <x:c r="CG60" s="9" t="str">
        <x:v>0.05205600629160955</x:v>
      </x:c>
      <x:c r="CH60" s="9" t="str">
        <x:v>0.46670902192480956</x:v>
      </x:c>
      <x:c r="CI60" s="9" t="str">
        <x:v>0.4146530156332</x:v>
      </x:c>
      <x:c r="CJ60" s="6" t="str">
        <x:v>Win</x:v>
      </x:c>
      <x:c r="CK60" s="9" t="str">
        <x:v>0.9513683908466573</x:v>
      </x:c>
      <x:c r="CL60" s="9" t="str">
        <x:v>0.7539145738784832</x:v>
      </x:c>
      <x:c r="CM60" s="7" t="str">
        <x:v>2024-03-06 22:50:00-06:00</x:v>
      </x:c>
      <x:c r="CN60" s="6" t="str">
        <x:v>17760.5</x:v>
      </x:c>
      <x:c r="CO60" s="6" t="str">
        <x:v>TIME</x:v>
      </x:c>
      <x:c r="CP60" s="6" t="str">
        <x:v>F::Long::Same-bar Setup+BOS::Penetration + same-bar reclaim</x:v>
      </x:c>
    </x:row>
    <x:row r="61" ht="18" customHeight="1">
      <x:c r="A61" s="6" t="str">
        <x:v>A0060</x:v>
      </x:c>
      <x:c r="B61" s="6" t="str">
        <x:v>2024-03-07</x:v>
      </x:c>
      <x:c r="C61" s="6" t="str">
        <x:v>2024</x:v>
      </x:c>
      <x:c r="D61" s="6" t="str">
        <x:v>2024-Q1</x:v>
      </x:c>
      <x:c r="E61" s="6" t="str">
        <x:v>First 50%</x:v>
      </x:c>
      <x:c r="F61" s="6" t="str">
        <x:v>Short</x:v>
      </x:c>
      <x:c r="G61" s="6" t="str">
        <x:v>Short</x:v>
      </x:c>
      <x:c r="H61" s="6" t="str">
        <x:v>Afternoon</x:v>
      </x:c>
      <x:c r="I61" s="6" t="str">
        <x:v>Midday</x:v>
      </x:c>
      <x:c r="J61" s="6" t="str">
        <x:v>Bull</x:v>
      </x:c>
      <x:c r="K61" s="6" t="str">
        <x:v>Bull</x:v>
      </x:c>
      <x:c r="L61" s="6" t="str">
        <x:v>MID</x:v>
      </x:c>
      <x:c r="M61" s="7" t="str">
        <x:v>2024-03-07 13:55:00-06:00</x:v>
      </x:c>
      <x:c r="N61" s="6" t="str">
        <x:v>100.0</x:v>
      </x:c>
      <x:c r="O61" s="6" t="str">
        <x:v>95+</x:v>
      </x:c>
      <x:c r="P61" s="6" t="str">
        <x:v>Matching BOS only</x:v>
      </x:c>
      <x:c r="Q61" s="6" t="str">
        <x:v>Bear CHoCH</x:v>
      </x:c>
      <x:c r="R61" s="6" t="str">
        <x:v>True</x:v>
      </x:c>
      <x:c r="S61" s="6" t="str">
        <x:v>False</x:v>
      </x:c>
      <x:c r="T61" s="6" t="str">
        <x:v>Recent BSL</x:v>
      </x:c>
      <x:c r="U61" s="6" t="str">
        <x:v>BSL</x:v>
      </x:c>
      <x:c r="V61" s="6" t="str">
        <x:v>Swing high / buy-side</x:v>
      </x:c>
      <x:c r="W61" s="6" t="str">
        <x:v>[18137.75]</x:v>
      </x:c>
      <x:c r="X61" s="8" t="str">
        <x:v>1</x:v>
      </x:c>
      <x:c r="Y61" s="8" t="str">
        <x:v>14.0</x:v>
      </x:c>
      <x:c r="Z61" s="6" t="str">
        <x:v>None</x:v>
      </x:c>
      <x:c r="AA61" s="6" t="str">
        <x:v>18119.25</x:v>
      </x:c>
      <x:c r="AB61" s="9" t="str">
        <x:v>0.376157994165854</x:v>
      </x:c>
      <x:c r="AC61" s="9" t="str">
        <x:v>1.7008883214456005</x:v>
      </x:c>
      <x:c r="AD61" s="9" t="str">
        <x:v>2.1915291834010624</x:v>
      </x:c>
      <x:c r="AE61" s="6" t="str">
        <x:v>With trade</x:v>
      </x:c>
      <x:c r="AF61" s="7" t="str">
        <x:v>2024-03-07 13:55:00-06:00</x:v>
      </x:c>
      <x:c r="AG61" s="6" t="str">
        <x:v>Short</x:v>
      </x:c>
      <x:c r="AH61" s="6" t="str">
        <x:v>18119.25</x:v>
      </x:c>
      <x:c r="AI61" s="8" t="str">
        <x:v>0</x:v>
      </x:c>
      <x:c r="AJ61" s="6" t="str">
        <x:v>True</x:v>
      </x:c>
      <x:c r="AK61" s="6" t="str">
        <x:v>Same-bar Setup+BOS</x:v>
      </x:c>
      <x:c r="AL61" s="9" t="str">
        <x:v>1.717243016844116</x:v>
      </x:c>
      <x:c r="AM61" s="9" t="str">
        <x:v>0.376157994165854</x:v>
      </x:c>
      <x:c r="AN61" s="9" t="str">
        <x:v>1.7008883214456005</x:v>
      </x:c>
      <x:c r="AO61" s="9" t="str">
        <x:v>2.1915291834010624</x:v>
      </x:c>
      <x:c r="AP61" s="10" t="str">
        <x:v>0.7761194029850746</x:v>
      </x:c>
      <x:c r="AQ61" s="6" t="str">
        <x:v>0.07462686567164178</x:v>
      </x:c>
      <x:c r="AR61" s="6" t="str">
        <x:v>0.14925373134328357</x:v>
      </x:c>
      <x:c r="AS61" s="6" t="str">
        <x:v>With trade</x:v>
      </x:c>
      <x:c r="AT61" s="6" t="str">
        <x:v>1.846480743691899</x:v>
      </x:c>
      <x:c r="AU61" s="7" t="str">
        <x:v>2024-03-07 14:40:00-06:00</x:v>
      </x:c>
      <x:c r="AV61" s="8" t="str">
        <x:v>9</x:v>
      </x:c>
      <x:c r="AW61" s="6" t="str">
        <x:v>Delayed retest (2+ bars)</x:v>
      </x:c>
      <x:c r="AX61" s="6" t="str">
        <x:v>18121.5</x:v>
      </x:c>
      <x:c r="AY61" s="6" t="str">
        <x:v>2.25</x:v>
      </x:c>
      <x:c r="AZ61" s="9" t="str">
        <x:v>0.13431970423625414</x:v>
      </x:c>
      <x:c r="BA61" s="9" t="str">
        <x:v>0.014924411581806015</x:v>
      </x:c>
      <x:c r="BB61" s="9" t="str">
        <x:v>0.9253135180719729</x:v>
      </x:c>
      <x:c r="BC61" s="9" t="str">
        <x:v>0.6865229327630767</x:v>
      </x:c>
      <x:c r="BD61" s="6" t="str">
        <x:v>0.16129032258064516</x:v>
      </x:c>
      <x:c r="BE61" s="6" t="str">
        <x:v>0.0967741935483871</x:v>
      </x:c>
      <x:c r="BF61" s="9" t="str">
        <x:v>0.14924411581806016</x:v>
      </x:c>
      <x:c r="BG61" s="9" t="str">
        <x:v>0.0895464694908361</x:v>
      </x:c>
      <x:c r="BH61" s="6" t="str">
        <x:v>Against trade</x:v>
      </x:c>
      <x:c r="BI61" s="6" t="str">
        <x:v>Penetration + same-bar reclaim</x:v>
      </x:c>
      <x:c r="BJ61" s="6" t="str">
        <x:v>False</x:v>
      </x:c>
      <x:c r="BK61" s="10" t="str">
        <x:v>True</x:v>
      </x:c>
      <x:c r="BL61" s="6" t="str">
        <x:v>True</x:v>
      </x:c>
      <x:c r="BM61" s="7" t="str">
        <x:v>2024-03-07 14:45:00-06:00</x:v>
      </x:c>
      <x:c r="BN61" s="8" t="str">
        <x:v>1</x:v>
      </x:c>
      <x:c r="BO61" s="6" t="str">
        <x:v>Immediate confirmation (1 bar)</x:v>
      </x:c>
      <x:c r="BP61" s="9" t="str">
        <x:v>1.0891482161197639</x:v>
      </x:c>
      <x:c r="BQ61" s="9" t="str">
        <x:v>1.3505437879885072</x:v>
      </x:c>
      <x:c r="BR61" s="10" t="str">
        <x:v>0.8064516129032258</x:v>
      </x:c>
      <x:c r="BS61" s="9" t="str">
        <x:v>1.118192168549624</x:v>
      </x:c>
      <x:c r="BT61" s="9" t="str">
        <x:v>1.1036701923346939</x:v>
      </x:c>
      <x:c r="BU61" s="9" t="str">
        <x:v>0.11617580971944147</x:v>
      </x:c>
      <x:c r="BV61" s="6" t="str">
        <x:v>With trade</x:v>
      </x:c>
      <x:c r="BW61" s="7" t="str">
        <x:v>2024-03-07 14:45:00-06:00</x:v>
      </x:c>
      <x:c r="BX61" s="6" t="str">
        <x:v>18100.0</x:v>
      </x:c>
      <x:c r="BY61" s="9" t="str">
        <x:v>17.215287802425443</x:v>
      </x:c>
      <x:c r="BZ61" s="9" t="str">
        <x:v>0.49</x:v>
      </x:c>
      <x:c r="CA61" s="6" t="str">
        <x:v>18125.82293170364</x:v>
      </x:c>
      <x:c r="CB61" s="6" t="str">
        <x:v>25.82293170363846</x:v>
      </x:c>
      <x:c r="CC61" s="9" t="str">
        <x:v>1.500000000000017</x:v>
      </x:c>
      <x:c r="CD61" s="6" t="str">
        <x:v>18048.354136592723</x:v>
      </x:c>
      <x:c r="CE61" s="6" t="str">
        <x:v>51.64586340727692</x:v>
      </x:c>
      <x:c r="CF61" s="6" t="str">
        <x:v>Fixed 2.00R target</x:v>
      </x:c>
      <x:c r="CG61" s="9" t="str">
        <x:v>0.028075820682198036</x:v>
      </x:c>
      <x:c r="CH61" s="9" t="str">
        <x:v>-1.0</x:v>
      </x:c>
      <x:c r="CI61" s="9" t="str">
        <x:v>-1.028075820682198</x:v>
      </x:c>
      <x:c r="CJ61" s="6" t="str">
        <x:v>Loss</x:v>
      </x:c>
      <x:c r="CK61" s="9" t="str">
        <x:v>0.3291647942050804</x:v>
      </x:c>
      <x:c r="CL61" s="9" t="str">
        <x:v>1.0359009699983412</x:v>
      </x:c>
      <x:c r="CM61" s="7" t="str">
        <x:v>2024-03-07 14:55:00-06:00</x:v>
      </x:c>
      <x:c r="CN61" s="6" t="str">
        <x:v>18125.82293170364</x:v>
      </x:c>
      <x:c r="CO61" s="6" t="str">
        <x:v>STOP</x:v>
      </x:c>
      <x:c r="CP61" s="6" t="str">
        <x:v>F::Short::Same-bar Setup+BOS::Penetration + same-bar reclaim</x:v>
      </x:c>
    </x:row>
    <x:row r="62" ht="18" customHeight="1">
      <x:c r="A62" s="6" t="str">
        <x:v>A0061</x:v>
      </x:c>
      <x:c r="B62" s="6" t="str">
        <x:v>2024-03-08</x:v>
      </x:c>
      <x:c r="C62" s="6" t="str">
        <x:v>2024</x:v>
      </x:c>
      <x:c r="D62" s="6" t="str">
        <x:v>2024-Q1</x:v>
      </x:c>
      <x:c r="E62" s="6" t="str">
        <x:v>First 50%</x:v>
      </x:c>
      <x:c r="F62" s="6" t="str">
        <x:v>Long</x:v>
      </x:c>
      <x:c r="G62" s="6" t="str">
        <x:v>Long</x:v>
      </x:c>
      <x:c r="H62" s="6" t="str">
        <x:v>Overnight</x:v>
      </x:c>
      <x:c r="I62" s="6" t="str">
        <x:v>Overnight</x:v>
      </x:c>
      <x:c r="J62" s="6" t="str">
        <x:v>Bull</x:v>
      </x:c>
      <x:c r="K62" s="6" t="str">
        <x:v>Bull</x:v>
      </x:c>
      <x:c r="L62" s="6" t="str">
        <x:v>MID</x:v>
      </x:c>
      <x:c r="M62" s="7" t="str">
        <x:v>2024-03-08 01:35:00-06:00</x:v>
      </x:c>
      <x:c r="N62" s="6" t="str">
        <x:v>90.0</x:v>
      </x:c>
      <x:c r="O62" s="6" t="str">
        <x:v>90-94</x:v>
      </x:c>
      <x:c r="P62" s="6" t="str">
        <x:v>Matching BOS only</x:v>
      </x:c>
      <x:c r="Q62" s="6" t="str">
        <x:v>Bull CHoCH</x:v>
      </x:c>
      <x:c r="R62" s="6" t="str">
        <x:v>True</x:v>
      </x:c>
      <x:c r="S62" s="6" t="str">
        <x:v>False</x:v>
      </x:c>
      <x:c r="T62" s="6" t="str">
        <x:v>Recent SSL</x:v>
      </x:c>
      <x:c r="U62" s="6" t="str">
        <x:v>SSL</x:v>
      </x:c>
      <x:c r="V62" s="6" t="str">
        <x:v>Swing low / sell-side</x:v>
      </x:c>
      <x:c r="W62" s="6" t="str">
        <x:v>[18063.5]</x:v>
      </x:c>
      <x:c r="X62" s="8" t="str">
        <x:v>1</x:v>
      </x:c>
      <x:c r="Y62" s="8" t="str">
        <x:v>7.0</x:v>
      </x:c>
      <x:c r="Z62" s="6" t="str">
        <x:v>None</x:v>
      </x:c>
      <x:c r="AA62" s="6" t="str">
        <x:v>18082.25</x:v>
      </x:c>
      <x:c r="AB62" s="9" t="str">
        <x:v>0.21215799117092293</x:v>
      </x:c>
      <x:c r="AC62" s="9" t="str">
        <x:v>0.9193512950739994</x:v>
      </x:c>
      <x:c r="AD62" s="9" t="str">
        <x:v>1.6265445989770757</x:v>
      </x:c>
      <x:c r="AE62" s="6" t="str">
        <x:v>With trade</x:v>
      </x:c>
      <x:c r="AF62" s="7" t="str">
        <x:v>2024-03-08 01:35:00-06:00</x:v>
      </x:c>
      <x:c r="AG62" s="6" t="str">
        <x:v>Long</x:v>
      </x:c>
      <x:c r="AH62" s="6" t="str">
        <x:v>18082.25</x:v>
      </x:c>
      <x:c r="AI62" s="8" t="str">
        <x:v>0</x:v>
      </x:c>
      <x:c r="AJ62" s="6" t="str">
        <x:v>True</x:v>
      </x:c>
      <x:c r="AK62" s="6" t="str">
        <x:v>Same-bar Setup+BOS</x:v>
      </x:c>
      <x:c r="AL62" s="9" t="str">
        <x:v>0.9547109602691531</x:v>
      </x:c>
      <x:c r="AM62" s="9" t="str">
        <x:v>0.21215799117092293</x:v>
      </x:c>
      <x:c r="AN62" s="9" t="str">
        <x:v>0.9193512950739994</x:v>
      </x:c>
      <x:c r="AO62" s="9" t="str">
        <x:v>1.6265445989770757</x:v>
      </x:c>
      <x:c r="AP62" s="10" t="str">
        <x:v>0.5652173913043478</x:v>
      </x:c>
      <x:c r="AQ62" s="6" t="str">
        <x:v>0.0</x:v>
      </x:c>
      <x:c r="AR62" s="6" t="str">
        <x:v>0.43478260869565216</x:v>
      </x:c>
      <x:c r="AS62" s="6" t="str">
        <x:v>With trade</x:v>
      </x:c>
      <x:c r="AT62" s="6" t="str">
        <x:v>1.833369029770829</x:v>
      </x:c>
      <x:c r="AU62" s="7" t="str">
        <x:v>2024-03-08 01:40:00-06:00</x:v>
      </x:c>
      <x:c r="AV62" s="8" t="str">
        <x:v>1</x:v>
      </x:c>
      <x:c r="AW62" s="6" t="str">
        <x:v>Immediate retest (1 bar)</x:v>
      </x:c>
      <x:c r="AX62" s="6" t="str">
        <x:v>18082.75</x:v>
      </x:c>
      <x:c r="AY62" s="6" t="str">
        <x:v>0.0</x:v>
      </x:c>
      <x:c r="AZ62" s="9" t="str">
        <x:v>0.0</x:v>
      </x:c>
      <x:c r="BA62" s="9" t="str">
        <x:v>0.42677446864123136</x:v>
      </x:c>
      <x:c r="BB62" s="9" t="str">
        <x:v>0.9246780153893346</x:v>
      </x:c>
      <x:c r="BC62" s="9" t="str">
        <x:v>0.17782269526717973</x:v>
      </x:c>
      <x:c r="BD62" s="6" t="str">
        <x:v>0.6153846153846154</x:v>
      </x:c>
      <x:c r="BE62" s="6" t="str">
        <x:v>0.19230769230769232</x:v>
      </x:c>
      <x:c r="BF62" s="9" t="str">
        <x:v>0.17782269526717973</x:v>
      </x:c>
      <x:c r="BG62" s="9" t="str">
        <x:v>0.5690326248549751</x:v>
      </x:c>
      <x:c r="BH62" s="6" t="str">
        <x:v>With trade</x:v>
      </x:c>
      <x:c r="BI62" s="6" t="str">
        <x:v>Tolerance-only shallow touch</x:v>
      </x:c>
      <x:c r="BJ62" s="6" t="str">
        <x:v>True</x:v>
      </x:c>
      <x:c r="BK62" s="10" t="str">
        <x:v>False</x:v>
      </x:c>
      <x:c r="BL62" s="6" t="str">
        <x:v>True</x:v>
      </x:c>
      <x:c r="BM62" s="7" t="str">
        <x:v>2024-03-08 01:50:00-06:00</x:v>
      </x:c>
      <x:c r="BN62" s="8" t="str">
        <x:v>2</x:v>
      </x:c>
      <x:c r="BO62" s="6" t="str">
        <x:v>Delayed confirmation (2+ bars)</x:v>
      </x:c>
      <x:c r="BP62" s="9" t="str">
        <x:v>0.2125842510422355</x:v>
      </x:c>
      <x:c r="BQ62" s="9" t="str">
        <x:v>0.9211984211830205</x:v>
      </x:c>
      <x:c r="BR62" s="10" t="str">
        <x:v>0.23076923076923078</x:v>
      </x:c>
      <x:c r="BS62" s="9" t="str">
        <x:v>0.38973779357743177</x:v>
      </x:c>
      <x:c r="BT62" s="9" t="str">
        <x:v>-0.03543070850703925</x:v>
      </x:c>
      <x:c r="BU62" s="9" t="str">
        <x:v>0.6023220446196672</x:v>
      </x:c>
      <x:c r="BV62" s="6" t="str">
        <x:v>With trade</x:v>
      </x:c>
      <x:c r="BW62" s="7" t="str">
        <x:v>2024-03-08 01:50:00-06:00</x:v>
      </x:c>
      <x:c r="BX62" s="6" t="str">
        <x:v>18085.0</x:v>
      </x:c>
      <x:c r="BY62" s="9" t="str">
        <x:v>7.056025988030436</x:v>
      </x:c>
      <x:c r="BZ62" s="9" t="str">
        <x:v>0.61</x:v>
      </x:c>
      <x:c r="CA62" s="6" t="str">
        <x:v>18074.415961017956</x:v>
      </x:c>
      <x:c r="CB62" s="6" t="str">
        <x:v>10.584038982044149</x:v>
      </x:c>
      <x:c r="CC62" s="9" t="str">
        <x:v>1.4999999999997866</x:v>
      </x:c>
      <x:c r="CD62" s="6" t="str">
        <x:v>18106.168077964092</x:v>
      </x:c>
      <x:c r="CE62" s="6" t="str">
        <x:v>21.168077964091935</x:v>
      </x:c>
      <x:c r="CF62" s="6" t="str">
        <x:v>Fixed 2.00R target</x:v>
      </x:c>
      <x:c r="CG62" s="9" t="str">
        <x:v>0.06849936978028563</x:v>
      </x:c>
      <x:c r="CH62" s="9" t="str">
        <x:v>2.0</x:v>
      </x:c>
      <x:c r="CI62" s="9" t="str">
        <x:v>1.9315006302197144</x:v>
      </x:c>
      <x:c r="CJ62" s="6" t="str">
        <x:v>Win</x:v>
      </x:c>
      <x:c r="CK62" s="9" t="str">
        <x:v>3.0706614039438382</x:v>
      </x:c>
      <x:c r="CL62" s="9" t="str">
        <x:v>0.8267165318310334</x:v>
      </x:c>
      <x:c r="CM62" s="7" t="str">
        <x:v>2024-03-08 02:10:00-06:00</x:v>
      </x:c>
      <x:c r="CN62" s="6" t="str">
        <x:v>18106.168077964092</x:v>
      </x:c>
      <x:c r="CO62" s="6" t="str">
        <x:v>TARGET</x:v>
      </x:c>
      <x:c r="CP62" s="6" t="str">
        <x:v>F::Long::Same-bar Setup+BOS::Tolerance-only shallow touch</x:v>
      </x:c>
    </x:row>
    <x:row r="63" ht="18" customHeight="1">
      <x:c r="A63" s="6" t="str">
        <x:v>A0062</x:v>
      </x:c>
      <x:c r="B63" s="6" t="str">
        <x:v>2024-03-08</x:v>
      </x:c>
      <x:c r="C63" s="6" t="str">
        <x:v>2024</x:v>
      </x:c>
      <x:c r="D63" s="6" t="str">
        <x:v>2024-Q1</x:v>
      </x:c>
      <x:c r="E63" s="6" t="str">
        <x:v>First 50%</x:v>
      </x:c>
      <x:c r="F63" s="6" t="str">
        <x:v>Long</x:v>
      </x:c>
      <x:c r="G63" s="6" t="str">
        <x:v>Long</x:v>
      </x:c>
      <x:c r="H63" s="6" t="str">
        <x:v>Premarket</x:v>
      </x:c>
      <x:c r="I63" s="6" t="str">
        <x:v>Premarket</x:v>
      </x:c>
      <x:c r="J63" s="6" t="str">
        <x:v>Bull</x:v>
      </x:c>
      <x:c r="K63" s="6" t="str">
        <x:v>Bull</x:v>
      </x:c>
      <x:c r="L63" s="6" t="str">
        <x:v>HIGH</x:v>
      </x:c>
      <x:c r="M63" s="7" t="str">
        <x:v>2024-03-08 07:30:00-06:00</x:v>
      </x:c>
      <x:c r="N63" s="6" t="str">
        <x:v>90.0</x:v>
      </x:c>
      <x:c r="O63" s="6" t="str">
        <x:v>90-94</x:v>
      </x:c>
      <x:c r="P63" s="6" t="str">
        <x:v>Matching BOS + liquidity sweep</x:v>
      </x:c>
      <x:c r="Q63" s="6" t="str">
        <x:v>Bull CHoCH</x:v>
      </x:c>
      <x:c r="R63" s="6" t="str">
        <x:v>True</x:v>
      </x:c>
      <x:c r="S63" s="6" t="str">
        <x:v>True</x:v>
      </x:c>
      <x:c r="T63" s="6" t="str">
        <x:v>Recent SSL</x:v>
      </x:c>
      <x:c r="U63" s="6" t="str">
        <x:v>SSL</x:v>
      </x:c>
      <x:c r="V63" s="6" t="str">
        <x:v>Swing low / sell-side</x:v>
      </x:c>
      <x:c r="W63" s="6" t="str">
        <x:v>[18035.0,18038.25]</x:v>
      </x:c>
      <x:c r="X63" s="8" t="str">
        <x:v>2</x:v>
      </x:c>
      <x:c r="Y63" s="8" t="str">
        <x:v>0.0</x:v>
      </x:c>
      <x:c r="Z63" s="6" t="str">
        <x:v>Sweep below CRT reference</x:v>
      </x:c>
      <x:c r="AA63" s="6" t="str">
        <x:v>18088.25</x:v>
      </x:c>
      <x:c r="AB63" s="9" t="str">
        <x:v>0.6547021017848473</x:v>
      </x:c>
      <x:c r="AC63" s="9" t="str">
        <x:v>1.7061933561665719</x:v>
      </x:c>
      <x:c r="AD63" s="9" t="str">
        <x:v>6.26926861103066</x:v>
      </x:c>
      <x:c r="AE63" s="6" t="str">
        <x:v>With trade</x:v>
      </x:c>
      <x:c r="AF63" s="7" t="str">
        <x:v>2024-03-08 07:30:00-06:00</x:v>
      </x:c>
      <x:c r="AG63" s="6" t="str">
        <x:v>Long</x:v>
      </x:c>
      <x:c r="AH63" s="6" t="str">
        <x:v>18088.25</x:v>
      </x:c>
      <x:c r="AI63" s="8" t="str">
        <x:v>0</x:v>
      </x:c>
      <x:c r="AJ63" s="6" t="str">
        <x:v>True</x:v>
      </x:c>
      <x:c r="AK63" s="6" t="str">
        <x:v>Same-bar Setup+BOS</x:v>
      </x:c>
      <x:c r="AL63" s="9" t="str">
        <x:v>1.3094042035696947</x:v>
      </x:c>
      <x:c r="AM63" s="9" t="str">
        <x:v>0.6547021017848473</x:v>
      </x:c>
      <x:c r="AN63" s="9" t="str">
        <x:v>1.7061933561665719</x:v>
      </x:c>
      <x:c r="AO63" s="9" t="str">
        <x:v>6.26926861103066</x:v>
      </x:c>
      <x:c r="AP63" s="10" t="str">
        <x:v>0.2721518987341772</x:v>
      </x:c>
      <x:c r="AQ63" s="6" t="str">
        <x:v>0.3227848101265823</x:v>
      </x:c>
      <x:c r="AR63" s="6" t="str">
        <x:v>0.4050632911392405</x:v>
      </x:c>
      <x:c r="AS63" s="6" t="str">
        <x:v>With trade</x:v>
      </x:c>
      <x:c r="AT63" s="6" t="str">
        <x:v>16.16302000187811</x:v>
      </x:c>
      <x:c r="AU63" s="7" t="str">
        <x:v>2024-03-08 07:35:00-06:00</x:v>
      </x:c>
      <x:c r="AV63" s="8" t="str">
        <x:v>1</x:v>
      </x:c>
      <x:c r="AW63" s="6" t="str">
        <x:v>Immediate retest (1 bar)</x:v>
      </x:c>
      <x:c r="AX63" s="6" t="str">
        <x:v>18088.0</x:v>
      </x:c>
      <x:c r="AY63" s="6" t="str">
        <x:v>0.25</x:v>
      </x:c>
      <x:c r="AZ63" s="9" t="str">
        <x:v>0.009494617148418516</x:v>
      </x:c>
      <x:c r="BA63" s="9" t="str">
        <x:v>1.0159240348807812</x:v>
      </x:c>
      <x:c r="BB63" s="9" t="str">
        <x:v>1.5571172123406365</x:v>
      </x:c>
      <x:c r="BC63" s="9" t="str">
        <x:v>0.4082685373819962</x:v>
      </x:c>
      <x:c r="BD63" s="6" t="str">
        <x:v>0.34146341463414637</x:v>
      </x:c>
      <x:c r="BE63" s="6" t="str">
        <x:v>0.39634146341463417</x:v>
      </x:c>
      <x:c r="BF63" s="9" t="str">
        <x:v>0.6171501146472035</x:v>
      </x:c>
      <x:c r="BG63" s="9" t="str">
        <x:v>0.5316985603114369</x:v>
      </x:c>
      <x:c r="BH63" s="6" t="str">
        <x:v>With trade</x:v>
      </x:c>
      <x:c r="BI63" s="6" t="str">
        <x:v>Penetration + same-bar reclaim</x:v>
      </x:c>
      <x:c r="BJ63" s="6" t="str">
        <x:v>False</x:v>
      </x:c>
      <x:c r="BK63" s="10" t="str">
        <x:v>True</x:v>
      </x:c>
      <x:c r="BL63" s="6" t="str">
        <x:v>True</x:v>
      </x:c>
      <x:c r="BM63" s="7" t="str">
        <x:v>2024-03-08 07:40:00-06:00</x:v>
      </x:c>
      <x:c r="BN63" s="8" t="str">
        <x:v>1</x:v>
      </x:c>
      <x:c r="BO63" s="6" t="str">
        <x:v>Immediate confirmation (1 bar)</x:v>
      </x:c>
      <x:c r="BP63" s="9" t="str">
        <x:v>0.7704564501651875</x:v>
      </x:c>
      <x:c r="BQ63" s="9" t="str">
        <x:v>1.2902824888308562</x:v>
      </x:c>
      <x:c r="BR63" s="10" t="str">
        <x:v>0.5971223021582733</x:v>
      </x:c>
      <x:c r="BS63" s="9" t="str">
        <x:v>1.7544128804966317</x:v>
      </x:c>
      <x:c r="BT63" s="9" t="str">
        <x:v>0.761173842331872</x:v>
      </x:c>
      <x:c r="BU63" s="9" t="str">
        <x:v>0.21349998016625676</x:v>
      </x:c>
      <x:c r="BV63" s="6" t="str">
        <x:v>With trade</x:v>
      </x:c>
      <x:c r="BW63" s="7" t="str">
        <x:v>2024-03-08 07:40:00-06:00</x:v>
      </x:c>
      <x:c r="BX63" s="6" t="str">
        <x:v>18135.5</x:v>
      </x:c>
      <x:c r="BY63" s="9" t="str">
        <x:v>26.93208681107304</x:v>
      </x:c>
      <x:c r="BZ63" s="9" t="str">
        <x:v>1.0</x:v>
      </x:c>
      <x:c r="CA63" s="6" t="str">
        <x:v>18095.10186978339</x:v>
      </x:c>
      <x:c r="CB63" s="6" t="str">
        <x:v>40.3981302166103</x:v>
      </x:c>
      <x:c r="CC63" s="9" t="str">
        <x:v>1.5000000000000273</x:v>
      </x:c>
      <x:c r="CD63" s="6" t="str">
        <x:v>18216.29626043322</x:v>
      </x:c>
      <x:c r="CE63" s="6" t="str">
        <x:v>80.7962604332206</x:v>
      </x:c>
      <x:c r="CF63" s="6" t="str">
        <x:v>Fixed 2.00R target</x:v>
      </x:c>
      <x:c r="CG63" s="9" t="str">
        <x:v>0.017946375144409662</x:v>
      </x:c>
      <x:c r="CH63" s="9" t="str">
        <x:v>-1.0</x:v>
      </x:c>
      <x:c r="CI63" s="9" t="str">
        <x:v>-1.0179463751444096</x:v>
      </x:c>
      <x:c r="CJ63" s="6" t="str">
        <x:v>Loss</x:v>
      </x:c>
      <x:c r="CK63" s="9" t="str">
        <x:v>0.6559709535542843</x:v>
      </x:c>
      <x:c r="CL63" s="9" t="str">
        <x:v>1.0891593191090003</x:v>
      </x:c>
      <x:c r="CM63" s="7" t="str">
        <x:v>2024-03-08 08:25:00-06:00</x:v>
      </x:c>
      <x:c r="CN63" s="6" t="str">
        <x:v>18095.10186978339</x:v>
      </x:c>
      <x:c r="CO63" s="6" t="str">
        <x:v>STOP</x:v>
      </x:c>
      <x:c r="CP63" s="6" t="str">
        <x:v>F::Long::Same-bar Setup+BOS::Penetration + same-bar reclaim</x:v>
      </x:c>
    </x:row>
    <x:row r="64" ht="18" customHeight="1">
      <x:c r="A64" s="6" t="str">
        <x:v>A0063</x:v>
      </x:c>
      <x:c r="B64" s="6" t="str">
        <x:v>2024-03-08</x:v>
      </x:c>
      <x:c r="C64" s="6" t="str">
        <x:v>2024</x:v>
      </x:c>
      <x:c r="D64" s="6" t="str">
        <x:v>2024-Q1</x:v>
      </x:c>
      <x:c r="E64" s="6" t="str">
        <x:v>First 50%</x:v>
      </x:c>
      <x:c r="F64" s="6" t="str">
        <x:v>Long</x:v>
      </x:c>
      <x:c r="G64" s="6" t="str">
        <x:v>Long</x:v>
      </x:c>
      <x:c r="H64" s="6" t="str">
        <x:v>Opening</x:v>
      </x:c>
      <x:c r="I64" s="6" t="str">
        <x:v>Premarket</x:v>
      </x:c>
      <x:c r="J64" s="6" t="str">
        <x:v>Bull</x:v>
      </x:c>
      <x:c r="K64" s="6" t="str">
        <x:v>Bull</x:v>
      </x:c>
      <x:c r="L64" s="6" t="str">
        <x:v>HIGH</x:v>
      </x:c>
      <x:c r="M64" s="7" t="str">
        <x:v>2024-03-08 08:55:00-06:00</x:v>
      </x:c>
      <x:c r="N64" s="6" t="str">
        <x:v>75.0</x:v>
      </x:c>
      <x:c r="O64" s="6" t="str">
        <x:v>75-79</x:v>
      </x:c>
      <x:c r="P64" s="6" t="str">
        <x:v>Matching BOS only</x:v>
      </x:c>
      <x:c r="Q64" s="6" t="str">
        <x:v>Bull BOS</x:v>
      </x:c>
      <x:c r="R64" s="6" t="str">
        <x:v>True</x:v>
      </x:c>
      <x:c r="S64" s="6" t="str">
        <x:v>False</x:v>
      </x:c>
      <x:c r="T64" s="6" t="str">
        <x:v>Recent SSL</x:v>
      </x:c>
      <x:c r="U64" s="6" t="str">
        <x:v>SSL</x:v>
      </x:c>
      <x:c r="V64" s="6" t="str">
        <x:v>Swing low / sell-side</x:v>
      </x:c>
      <x:c r="W64" s="6" t="str">
        <x:v>[18035.0,18038.25]</x:v>
      </x:c>
      <x:c r="X64" s="8" t="str">
        <x:v>2</x:v>
      </x:c>
      <x:c r="Y64" s="8" t="str">
        <x:v>17.0</x:v>
      </x:c>
      <x:c r="Z64" s="6" t="str">
        <x:v>None</x:v>
      </x:c>
      <x:c r="AA64" s="6" t="str">
        <x:v>18162.0</x:v>
      </x:c>
      <x:c r="AB64" s="9" t="str">
        <x:v>0.38717574870744087</x:v>
      </x:c>
      <x:c r="AC64" s="9" t="str">
        <x:v>0.5452066665472127</x:v>
      </x:c>
      <x:c r="AD64" s="9" t="str">
        <x:v>0.711139130278973</x:v>
      </x:c>
      <x:c r="AE64" s="6" t="str">
        <x:v>With trade</x:v>
      </x:c>
      <x:c r="AF64" s="7" t="str">
        <x:v>2024-03-08 08:55:00-06:00</x:v>
      </x:c>
      <x:c r="AG64" s="6" t="str">
        <x:v>Long</x:v>
      </x:c>
      <x:c r="AH64" s="6" t="str">
        <x:v>18162.0</x:v>
      </x:c>
      <x:c r="AI64" s="8" t="str">
        <x:v>0</x:v>
      </x:c>
      <x:c r="AJ64" s="6" t="str">
        <x:v>True</x:v>
      </x:c>
      <x:c r="AK64" s="6" t="str">
        <x:v>Same-bar Setup+BOS</x:v>
      </x:c>
      <x:c r="AL64" s="9" t="str">
        <x:v>0.5452066665472127</x:v>
      </x:c>
      <x:c r="AM64" s="9" t="str">
        <x:v>0.38717574870744087</x:v>
      </x:c>
      <x:c r="AN64" s="9" t="str">
        <x:v>0.5452066665472127</x:v>
      </x:c>
      <x:c r="AO64" s="9" t="str">
        <x:v>0.711139130278973</x:v>
      </x:c>
      <x:c r="AP64" s="10" t="str">
        <x:v>0.7666666666666667</x:v>
      </x:c>
      <x:c r="AQ64" s="6" t="str">
        <x:v>0.1111111111111111</x:v>
      </x:c>
      <x:c r="AR64" s="6" t="str">
        <x:v>0.12222222222222222</x:v>
      </x:c>
      <x:c r="AS64" s="6" t="str">
        <x:v>With trade</x:v>
      </x:c>
      <x:c r="AT64" s="6" t="str">
        <x:v>1.4115641729032946</x:v>
      </x:c>
      <x:c r="AU64" s="7" t="str">
        <x:v>2024-03-08 09:35:00-06:00</x:v>
      </x:c>
      <x:c r="AV64" s="8" t="str">
        <x:v>8</x:v>
      </x:c>
      <x:c r="AW64" s="6" t="str">
        <x:v>Delayed retest (2+ bars)</x:v>
      </x:c>
      <x:c r="AX64" s="6" t="str">
        <x:v>18154.75</x:v>
      </x:c>
      <x:c r="AY64" s="6" t="str">
        <x:v>7.25</x:v>
      </x:c>
      <x:c r="AZ64" s="9" t="str">
        <x:v>0.228998766790091</x:v>
      </x:c>
      <x:c r="BA64" s="9" t="str">
        <x:v>0.18161971159214113</x:v>
      </x:c>
      <x:c r="BB64" s="9" t="str">
        <x:v>1.6345774043292702</x:v>
      </x:c>
      <x:c r="BC64" s="9" t="str">
        <x:v>1.0818217603531886</x:v>
      </x:c>
      <x:c r="BD64" s="6" t="str">
        <x:v>0.08695652173913043</x:v>
      </x:c>
      <x:c r="BE64" s="6" t="str">
        <x:v>0.25120772946859904</x:v>
      </x:c>
      <x:c r="BF64" s="9" t="str">
        <x:v>0.41061847838223214</x:v>
      </x:c>
      <x:c r="BG64" s="9" t="str">
        <x:v>0.1421371655938496</x:v>
      </x:c>
      <x:c r="BH64" s="6" t="str">
        <x:v>Against trade</x:v>
      </x:c>
      <x:c r="BI64" s="6" t="str">
        <x:v>Penetration + same-bar reclaim</x:v>
      </x:c>
      <x:c r="BJ64" s="6" t="str">
        <x:v>False</x:v>
      </x:c>
      <x:c r="BK64" s="10" t="str">
        <x:v>True</x:v>
      </x:c>
      <x:c r="BL64" s="6" t="str">
        <x:v>True</x:v>
      </x:c>
      <x:c r="BM64" s="7" t="str">
        <x:v>2024-03-08 09:40:00-06:00</x:v>
      </x:c>
      <x:c r="BN64" s="8" t="str">
        <x:v>1</x:v>
      </x:c>
      <x:c r="BO64" s="6" t="str">
        <x:v>Immediate confirmation (1 bar)</x:v>
      </x:c>
      <x:c r="BP64" s="9" t="str">
        <x:v>0.3108870866986304</x:v>
      </x:c>
      <x:c r="BQ64" s="9" t="str">
        <x:v>1.2046874609571927</x:v>
      </x:c>
      <x:c r="BR64" s="10" t="str">
        <x:v>0.25806451612903225</x:v>
      </x:c>
      <x:c r="BS64" s="9" t="str">
        <x:v>0.49741933871780863</x:v>
      </x:c>
      <x:c r="BT64" s="9" t="str">
        <x:v>0.31865926386609617</x:v>
      </x:c>
      <x:c r="BU64" s="9" t="str">
        <x:v>0.6373185277321923</x:v>
      </x:c>
      <x:c r="BV64" s="6" t="str">
        <x:v>With trade</x:v>
      </x:c>
      <x:c r="BW64" s="7" t="str">
        <x:v>2024-03-08 09:40:00-06:00</x:v>
      </x:c>
      <x:c r="BX64" s="6" t="str">
        <x:v>18178.0</x:v>
      </x:c>
      <x:c r="BY64" s="9" t="str">
        <x:v>32.16601920070698</x:v>
      </x:c>
      <x:c r="BZ64" s="9" t="str">
        <x:v>0.98</x:v>
      </x:c>
      <x:c r="CA64" s="6" t="str">
        <x:v>18129.75097119894</x:v>
      </x:c>
      <x:c r="CB64" s="6" t="str">
        <x:v>48.24902880105947</x:v>
      </x:c>
      <x:c r="CC64" s="9" t="str">
        <x:v>1.499999999999969</x:v>
      </x:c>
      <x:c r="CD64" s="6" t="str">
        <x:v>18274.498057602123</x:v>
      </x:c>
      <x:c r="CE64" s="6" t="str">
        <x:v>96.49805760212257</x:v>
      </x:c>
      <x:c r="CF64" s="6" t="str">
        <x:v>Fixed 2.00R target</x:v>
      </x:c>
      <x:c r="CG64" s="9" t="str">
        <x:v>0.015026209190434113</x:v>
      </x:c>
      <x:c r="CH64" s="9" t="str">
        <x:v>-1.0</x:v>
      </x:c>
      <x:c r="CI64" s="9" t="str">
        <x:v>-1.015026209190434</x:v>
      </x:c>
      <x:c r="CJ64" s="6" t="str">
        <x:v>Loss</x:v>
      </x:c>
      <x:c r="CK64" s="9" t="str">
        <x:v>0.1606249947942957</x:v>
      </x:c>
      <x:c r="CL64" s="9" t="str">
        <x:v>1.7202418797324572</x:v>
      </x:c>
      <x:c r="CM64" s="7" t="str">
        <x:v>2024-03-08 10:00:00-06:00</x:v>
      </x:c>
      <x:c r="CN64" s="6" t="str">
        <x:v>18129.75097119894</x:v>
      </x:c>
      <x:c r="CO64" s="6" t="str">
        <x:v>STOP</x:v>
      </x:c>
      <x:c r="CP64" s="6" t="str">
        <x:v>F::Long::Same-bar Setup+BOS::Penetration + same-bar reclaim</x:v>
      </x:c>
    </x:row>
    <x:row r="65" ht="18" customHeight="1">
      <x:c r="A65" s="6" t="str">
        <x:v>A0064</x:v>
      </x:c>
      <x:c r="B65" s="6" t="str">
        <x:v>2024-03-08</x:v>
      </x:c>
      <x:c r="C65" s="6" t="str">
        <x:v>2024</x:v>
      </x:c>
      <x:c r="D65" s="6" t="str">
        <x:v>2024-Q1</x:v>
      </x:c>
      <x:c r="E65" s="6" t="str">
        <x:v>First 50%</x:v>
      </x:c>
      <x:c r="F65" s="6" t="str">
        <x:v>Short</x:v>
      </x:c>
      <x:c r="G65" s="6" t="str">
        <x:v>Short</x:v>
      </x:c>
      <x:c r="H65" s="6" t="str">
        <x:v>Opening</x:v>
      </x:c>
      <x:c r="I65" s="6" t="str">
        <x:v>Opening</x:v>
      </x:c>
      <x:c r="J65" s="6" t="str">
        <x:v>Bull</x:v>
      </x:c>
      <x:c r="K65" s="6" t="str">
        <x:v>Bull</x:v>
      </x:c>
      <x:c r="L65" s="6" t="str">
        <x:v>HIGH</x:v>
      </x:c>
      <x:c r="M65" s="7" t="str">
        <x:v>2024-03-08 10:05:00-06:00</x:v>
      </x:c>
      <x:c r="N65" s="6" t="str">
        <x:v>75.0</x:v>
      </x:c>
      <x:c r="O65" s="6" t="str">
        <x:v>75-79</x:v>
      </x:c>
      <x:c r="P65" s="6" t="str">
        <x:v>Matching BOS only</x:v>
      </x:c>
      <x:c r="Q65" s="6" t="str">
        <x:v>Bear CHoCH</x:v>
      </x:c>
      <x:c r="R65" s="6" t="str">
        <x:v>True</x:v>
      </x:c>
      <x:c r="S65" s="6" t="str">
        <x:v>False</x:v>
      </x:c>
      <x:c r="T65" s="6" t="str">
        <x:v>No recent matching sweep</x:v>
      </x:c>
      <x:c r="U65" s="6" t="str">
        <x:v>None</x:v>
      </x:c>
      <x:c r="V65" s="6" t="str">
        <x:v>None</x:v>
      </x:c>
      <x:c r="W65" s="6" t="str">
        <x:v>[]</x:v>
      </x:c>
      <x:c r="X65" s="8" t="str">
        <x:v>0</x:v>
      </x:c>
      <x:c r="Y65" s="8" t="str"/>
      <x:c r="Z65" s="6" t="str">
        <x:v>None</x:v>
      </x:c>
      <x:c r="AA65" s="6" t="str">
        <x:v>18074.75</x:v>
      </x:c>
      <x:c r="AB65" s="9" t="str">
        <x:v>0.565869945354841</x:v>
      </x:c>
      <x:c r="AC65" s="9" t="str">
        <x:v>1.2782003471544645</x:v>
      </x:c>
      <x:c r="AD65" s="9" t="str">
        <x:v>1.5711212600440294</x:v>
      </x:c>
      <x:c r="AE65" s="6" t="str">
        <x:v>With trade</x:v>
      </x:c>
      <x:c r="AF65" s="7" t="str">
        <x:v>2024-03-08 10:05:00-06:00</x:v>
      </x:c>
      <x:c r="AG65" s="6" t="str">
        <x:v>Short</x:v>
      </x:c>
      <x:c r="AH65" s="6" t="str">
        <x:v>18074.75</x:v>
      </x:c>
      <x:c r="AI65" s="8" t="str">
        <x:v>0</x:v>
      </x:c>
      <x:c r="AJ65" s="6" t="str">
        <x:v>True</x:v>
      </x:c>
      <x:c r="AK65" s="6" t="str">
        <x:v>Same-bar Setup+BOS</x:v>
      </x:c>
      <x:c r="AL65" s="9" t="str">
        <x:v>1.2915149341039902</x:v>
      </x:c>
      <x:c r="AM65" s="9" t="str">
        <x:v>0.565869945354841</x:v>
      </x:c>
      <x:c r="AN65" s="9" t="str">
        <x:v>1.2782003471544645</x:v>
      </x:c>
      <x:c r="AO65" s="9" t="str">
        <x:v>1.5711212600440294</x:v>
      </x:c>
      <x:c r="AP65" s="10" t="str">
        <x:v>0.8135593220338984</x:v>
      </x:c>
      <x:c r="AQ65" s="6" t="str">
        <x:v>0.15677966101694915</x:v>
      </x:c>
      <x:c r="AR65" s="6" t="str">
        <x:v>0.029661016949152543</x:v>
      </x:c>
      <x:c r="AS65" s="6" t="str">
        <x:v>With trade</x:v>
      </x:c>
      <x:c r="AT65" s="6" t="str">
        <x:v>1.659972643079309</x:v>
      </x:c>
      <x:c r="AU65" s="7" t="str">
        <x:v>2024-03-08 10:10:00-06:00</x:v>
      </x:c>
      <x:c r="AV65" s="8" t="str">
        <x:v>1</x:v>
      </x:c>
      <x:c r="AW65" s="6" t="str">
        <x:v>Immediate retest (1 bar)</x:v>
      </x:c>
      <x:c r="AX65" s="6" t="str">
        <x:v>18080.0</x:v>
      </x:c>
      <x:c r="AY65" s="6" t="str">
        <x:v>5.25</x:v>
      </x:c>
      <x:c r="AZ65" s="9" t="str">
        <x:v>0.14028420787087062</x:v>
      </x:c>
      <x:c r="BA65" s="9" t="str">
        <x:v>-0.020040601124410088</x:v>
      </x:c>
      <x:c r="BB65" s="9" t="str">
        <x:v>0.9552686535968808</x:v>
      </x:c>
      <x:c r="BC65" s="9" t="str">
        <x:v>0.5945378333574993</x:v>
      </x:c>
      <x:c r="BD65" s="6" t="str">
        <x:v>0.1258741258741259</x:v>
      </x:c>
      <x:c r="BE65" s="6" t="str">
        <x:v>0.2517482517482518</x:v>
      </x:c>
      <x:c r="BF65" s="9" t="str">
        <x:v>0.12024360674646054</x:v>
      </x:c>
      <x:c r="BG65" s="9" t="str">
        <x:v>0.24048721349292107</x:v>
      </x:c>
      <x:c r="BH65" s="6" t="str">
        <x:v>Against trade</x:v>
      </x:c>
      <x:c r="BI65" s="6" t="str">
        <x:v>Penetration without same-bar reclaim</x:v>
      </x:c>
      <x:c r="BJ65" s="6" t="str">
        <x:v>False</x:v>
      </x:c>
      <x:c r="BK65" s="10" t="str">
        <x:v>True</x:v>
      </x:c>
      <x:c r="BL65" s="6" t="str">
        <x:v>False</x:v>
      </x:c>
      <x:c r="BM65" s="7" t="str">
        <x:v>2024-03-08 10:15:00-06:00</x:v>
      </x:c>
      <x:c r="BN65" s="8" t="str">
        <x:v>1</x:v>
      </x:c>
      <x:c r="BO65" s="6" t="str">
        <x:v>Immediate confirmation (1 bar)</x:v>
      </x:c>
      <x:c r="BP65" s="9" t="str">
        <x:v>0.9140022247750408</x:v>
      </x:c>
      <x:c r="BQ65" s="9" t="str">
        <x:v>1.4739895033343968</x:v>
      </x:c>
      <x:c r="BR65" s="10" t="str">
        <x:v>0.6200873362445415</x:v>
      </x:c>
      <x:c r="BS65" s="9" t="str">
        <x:v>0.8753824124606024</x:v>
      </x:c>
      <x:c r="BT65" s="9" t="str">
        <x:v>0.8946923186178216</x:v>
      </x:c>
      <x:c r="BU65" s="9" t="str">
        <x:v>0.025746541542958894</x:v>
      </x:c>
      <x:c r="BV65" s="6" t="str">
        <x:v>With trade</x:v>
      </x:c>
      <x:c r="BW65" s="7" t="str">
        <x:v>2024-03-08 10:15:00-06:00</x:v>
      </x:c>
      <x:c r="BX65" s="6" t="str">
        <x:v>18040.75</x:v>
      </x:c>
      <x:c r="BY65" s="9" t="str">
        <x:v>38.84016804087917</x:v>
      </x:c>
      <x:c r="BZ65" s="9" t="str">
        <x:v>1.0</x:v>
      </x:c>
      <x:c r="CA65" s="6" t="str">
        <x:v>18099.010252061318</x:v>
      </x:c>
      <x:c r="CB65" s="6" t="str">
        <x:v>58.26025206131817</x:v>
      </x:c>
      <x:c r="CC65" s="9" t="str">
        <x:v>1.499999999999985</x:v>
      </x:c>
      <x:c r="CD65" s="6" t="str">
        <x:v>17924.229495877364</x:v>
      </x:c>
      <x:c r="CE65" s="6" t="str">
        <x:v>116.52050412263634</x:v>
      </x:c>
      <x:c r="CF65" s="6" t="str">
        <x:v>Fixed 2.00R target</x:v>
      </x:c>
      <x:c r="CG65" s="9" t="str">
        <x:v>0.012444161745763592</x:v>
      </x:c>
      <x:c r="CH65" s="9" t="str">
        <x:v>2.0</x:v>
      </x:c>
      <x:c r="CI65" s="9" t="str">
        <x:v>1.9875558382542364</x:v>
      </x:c>
      <x:c r="CJ65" s="6" t="str">
        <x:v>Win</x:v>
      </x:c>
      <x:c r="CK65" s="9" t="str">
        <x:v>2.167000579865729</x:v>
      </x:c>
      <x:c r="CL65" s="9" t="str">
        <x:v>0.39478030365870703</x:v>
      </x:c>
      <x:c r="CM65" s="7" t="str">
        <x:v>2024-03-08 11:10:00-06:00</x:v>
      </x:c>
      <x:c r="CN65" s="6" t="str">
        <x:v>17924.229495877364</x:v>
      </x:c>
      <x:c r="CO65" s="6" t="str">
        <x:v>TARGET</x:v>
      </x:c>
      <x:c r="CP65" s="6" t="str">
        <x:v>F::Short::Same-bar Setup+BOS::Penetration without same-bar reclaim</x:v>
      </x:c>
    </x:row>
    <x:row r="66" ht="18" customHeight="1">
      <x:c r="A66" s="6" t="str">
        <x:v>A0065</x:v>
      </x:c>
      <x:c r="B66" s="6" t="str">
        <x:v>2024-03-11</x:v>
      </x:c>
      <x:c r="C66" s="6" t="str">
        <x:v>2024</x:v>
      </x:c>
      <x:c r="D66" s="6" t="str">
        <x:v>2024-Q1</x:v>
      </x:c>
      <x:c r="E66" s="6" t="str">
        <x:v>First 50%</x:v>
      </x:c>
      <x:c r="F66" s="6" t="str">
        <x:v>Short</x:v>
      </x:c>
      <x:c r="G66" s="6" t="str">
        <x:v>Short</x:v>
      </x:c>
      <x:c r="H66" s="6" t="str">
        <x:v>Overnight</x:v>
      </x:c>
      <x:c r="I66" s="6" t="str">
        <x:v>Overnight</x:v>
      </x:c>
      <x:c r="J66" s="6" t="str">
        <x:v>Bear</x:v>
      </x:c>
      <x:c r="K66" s="6" t="str">
        <x:v>Bear</x:v>
      </x:c>
      <x:c r="L66" s="6" t="str">
        <x:v>HIGH</x:v>
      </x:c>
      <x:c r="M66" s="7" t="str">
        <x:v>2024-03-11 03:00:00-05:00</x:v>
      </x:c>
      <x:c r="N66" s="6" t="str">
        <x:v>90.0</x:v>
      </x:c>
      <x:c r="O66" s="6" t="str">
        <x:v>90-94</x:v>
      </x:c>
      <x:c r="P66" s="6" t="str">
        <x:v>Matching BOS only</x:v>
      </x:c>
      <x:c r="Q66" s="6" t="str">
        <x:v>Bear CHoCH</x:v>
      </x:c>
      <x:c r="R66" s="6" t="str">
        <x:v>True</x:v>
      </x:c>
      <x:c r="S66" s="6" t="str">
        <x:v>False</x:v>
      </x:c>
      <x:c r="T66" s="6" t="str">
        <x:v>Recent BSL</x:v>
      </x:c>
      <x:c r="U66" s="6" t="str">
        <x:v>BSL</x:v>
      </x:c>
      <x:c r="V66" s="6" t="str">
        <x:v>Swing high / buy-side</x:v>
      </x:c>
      <x:c r="W66" s="6" t="str">
        <x:v>[17820.5]</x:v>
      </x:c>
      <x:c r="X66" s="8" t="str">
        <x:v>1</x:v>
      </x:c>
      <x:c r="Y66" s="8" t="str">
        <x:v>12.0</x:v>
      </x:c>
      <x:c r="Z66" s="6" t="str">
        <x:v>Sweep above CRT reference</x:v>
      </x:c>
      <x:c r="AA66" s="6" t="str">
        <x:v>17797.25</x:v>
      </x:c>
      <x:c r="AB66" s="9" t="str">
        <x:v>0.9190077756740557</x:v>
      </x:c>
      <x:c r="AC66" s="9" t="str">
        <x:v>1.8920748322701146</x:v>
      </x:c>
      <x:c r="AD66" s="9" t="str">
        <x:v>3.13543829347619</x:v>
      </x:c>
      <x:c r="AE66" s="6" t="str">
        <x:v>With trade</x:v>
      </x:c>
      <x:c r="AF66" s="7" t="str">
        <x:v>2024-03-11 03:00:00-05:00</x:v>
      </x:c>
      <x:c r="AG66" s="6" t="str">
        <x:v>Short</x:v>
      </x:c>
      <x:c r="AH66" s="6" t="str">
        <x:v>17797.25</x:v>
      </x:c>
      <x:c r="AI66" s="8" t="str">
        <x:v>0</x:v>
      </x:c>
      <x:c r="AJ66" s="6" t="str">
        <x:v>True</x:v>
      </x:c>
      <x:c r="AK66" s="6" t="str">
        <x:v>Same-bar Setup+BOS</x:v>
      </x:c>
      <x:c r="AL66" s="9" t="str">
        <x:v>1.910094592577449</x:v>
      </x:c>
      <x:c r="AM66" s="9" t="str">
        <x:v>0.9190077756740557</x:v>
      </x:c>
      <x:c r="AN66" s="9" t="str">
        <x:v>1.8920748322701146</x:v>
      </x:c>
      <x:c r="AO66" s="9" t="str">
        <x:v>3.13543829347619</x:v>
      </x:c>
      <x:c r="AP66" s="10" t="str">
        <x:v>0.603448275862069</x:v>
      </x:c>
      <x:c r="AQ66" s="6" t="str">
        <x:v>0.39080459770114945</x:v>
      </x:c>
      <x:c r="AR66" s="6" t="str">
        <x:v>0.005747126436781609</x:v>
      </x:c>
      <x:c r="AS66" s="6" t="str">
        <x:v>With trade</x:v>
      </x:c>
      <x:c r="AT66" s="6" t="str">
        <x:v>3.3765801729873584</x:v>
      </x:c>
      <x:c r="AU66" s="7" t="str">
        <x:v>2024-03-11 03:05:00-05:00</x:v>
      </x:c>
      <x:c r="AV66" s="8" t="str">
        <x:v>1</x:v>
      </x:c>
      <x:c r="AW66" s="6" t="str">
        <x:v>Immediate retest (1 bar)</x:v>
      </x:c>
      <x:c r="AX66" s="6" t="str">
        <x:v>17806.0</x:v>
      </x:c>
      <x:c r="AY66" s="6" t="str">
        <x:v>8.75</x:v>
      </x:c>
      <x:c r="AZ66" s="9" t="str">
        <x:v>0.5453957116344972</x:v>
      </x:c>
      <x:c r="BA66" s="9" t="str">
        <x:v>1.3868633810134356</x:v>
      </x:c>
      <x:c r="BB66" s="9" t="str">
        <x:v>2.758144027408743</x:v>
      </x:c>
      <x:c r="BC66" s="9" t="str">
        <x:v>0.6388921193432682</x:v>
      </x:c>
      <x:c r="BD66" s="6" t="str">
        <x:v>0.4689265536723164</x:v>
      </x:c>
      <x:c r="BE66" s="6" t="str">
        <x:v>0.2994350282485876</x:v>
      </x:c>
      <x:c r="BF66" s="9" t="str">
        <x:v>1.2933669733046647</x:v>
      </x:c>
      <x:c r="BG66" s="9" t="str">
        <x:v>0.82588493476081</x:v>
      </x:c>
      <x:c r="BH66" s="6" t="str">
        <x:v>With trade</x:v>
      </x:c>
      <x:c r="BI66" s="6" t="str">
        <x:v>Penetration + same-bar reclaim</x:v>
      </x:c>
      <x:c r="BJ66" s="6" t="str">
        <x:v>False</x:v>
      </x:c>
      <x:c r="BK66" s="10" t="str">
        <x:v>True</x:v>
      </x:c>
      <x:c r="BL66" s="6" t="str">
        <x:v>True</x:v>
      </x:c>
      <x:c r="BM66" s="7" t="str">
        <x:v>2024-03-11 03:10:00-05:00</x:v>
      </x:c>
      <x:c r="BN66" s="8" t="str">
        <x:v>1</x:v>
      </x:c>
      <x:c r="BO66" s="6" t="str">
        <x:v>Immediate confirmation (1 bar)</x:v>
      </x:c>
      <x:c r="BP66" s="9" t="str">
        <x:v>1.1538585232929635</x:v>
      </x:c>
      <x:c r="BQ66" s="9" t="str">
        <x:v>1.4985175627181342</x:v>
      </x:c>
      <x:c r="BR66" s="10" t="str">
        <x:v>0.77</x:v>
      </x:c>
      <x:c r="BS66" s="9" t="str">
        <x:v>2.4725539784849215</x:v>
      </x:c>
      <x:c r="BT66" s="9" t="str">
        <x:v>1.138873347665782</x:v>
      </x:c>
      <x:c r="BU66" s="9" t="str">
        <x:v>0.014985175627181343</x:v>
      </x:c>
      <x:c r="BV66" s="6" t="str">
        <x:v>With trade</x:v>
      </x:c>
      <x:c r="BW66" s="7" t="str">
        <x:v>2024-03-11 03:10:00-05:00</x:v>
      </x:c>
      <x:c r="BX66" s="6" t="str">
        <x:v>17756.0</x:v>
      </x:c>
      <x:c r="BY66" s="9" t="str">
        <x:v>16.683154486793565</x:v>
      </x:c>
      <x:c r="BZ66" s="9" t="str">
        <x:v>1.0</x:v>
      </x:c>
      <x:c r="CA66" s="6" t="str">
        <x:v>17781.02473173019</x:v>
      </x:c>
      <x:c r="CB66" s="6" t="str">
        <x:v>25.02473173019098</x:v>
      </x:c>
      <x:c r="CC66" s="9" t="str">
        <x:v>1.5000000000000377</x:v>
      </x:c>
      <x:c r="CD66" s="6" t="str">
        <x:v>17705.950536539618</x:v>
      </x:c>
      <x:c r="CE66" s="6" t="str">
        <x:v>50.04946346038196</x:v>
      </x:c>
      <x:c r="CF66" s="6" t="str">
        <x:v>Fixed 2.00R target</x:v>
      </x:c>
      <x:c r="CG66" s="9" t="str">
        <x:v>0.0289713395458832</x:v>
      </x:c>
      <x:c r="CH66" s="9" t="str">
        <x:v>-1.0</x:v>
      </x:c>
      <x:c r="CI66" s="9" t="str">
        <x:v>-1.0289713395458833</x:v>
      </x:c>
      <x:c r="CJ66" s="6" t="str">
        <x:v>Loss</x:v>
      </x:c>
      <x:c r="CK66" s="9" t="str">
        <x:v>1.2187942843440518</x:v>
      </x:c>
      <x:c r="CL66" s="9" t="str">
        <x:v>1.2487646355984137</x:v>
      </x:c>
      <x:c r="CM66" s="7" t="str">
        <x:v>2024-03-11 03:20:00-05:00</x:v>
      </x:c>
      <x:c r="CN66" s="6" t="str">
        <x:v>17781.02473173019</x:v>
      </x:c>
      <x:c r="CO66" s="6" t="str">
        <x:v>STOP</x:v>
      </x:c>
      <x:c r="CP66" s="6" t="str">
        <x:v>F::Short::Same-bar Setup+BOS::Penetration + same-bar reclaim</x:v>
      </x:c>
    </x:row>
    <x:row r="67" ht="18" customHeight="1">
      <x:c r="A67" s="6" t="str">
        <x:v>A0066</x:v>
      </x:c>
      <x:c r="B67" s="6" t="str">
        <x:v>2024-03-11</x:v>
      </x:c>
      <x:c r="C67" s="6" t="str">
        <x:v>2024</x:v>
      </x:c>
      <x:c r="D67" s="6" t="str">
        <x:v>2024-Q1</x:v>
      </x:c>
      <x:c r="E67" s="6" t="str">
        <x:v>First 50%</x:v>
      </x:c>
      <x:c r="F67" s="6" t="str">
        <x:v>Short</x:v>
      </x:c>
      <x:c r="G67" s="6" t="str">
        <x:v>Short</x:v>
      </x:c>
      <x:c r="H67" s="6" t="str">
        <x:v>Premarket</x:v>
      </x:c>
      <x:c r="I67" s="6" t="str">
        <x:v>Premarket</x:v>
      </x:c>
      <x:c r="J67" s="6" t="str">
        <x:v>Bear</x:v>
      </x:c>
      <x:c r="K67" s="6" t="str">
        <x:v>Bear</x:v>
      </x:c>
      <x:c r="L67" s="6" t="str">
        <x:v>HIGH</x:v>
      </x:c>
      <x:c r="M67" s="7" t="str">
        <x:v>2024-03-11 06:45:00-05:00</x:v>
      </x:c>
      <x:c r="N67" s="6" t="str">
        <x:v>90.0</x:v>
      </x:c>
      <x:c r="O67" s="6" t="str">
        <x:v>90-94</x:v>
      </x:c>
      <x:c r="P67" s="6" t="str">
        <x:v>Matching BOS only</x:v>
      </x:c>
      <x:c r="Q67" s="6" t="str">
        <x:v>Bear CHoCH</x:v>
      </x:c>
      <x:c r="R67" s="6" t="str">
        <x:v>True</x:v>
      </x:c>
      <x:c r="S67" s="6" t="str">
        <x:v>False</x:v>
      </x:c>
      <x:c r="T67" s="6" t="str">
        <x:v>Recent BSL</x:v>
      </x:c>
      <x:c r="U67" s="6" t="str">
        <x:v>BSL</x:v>
      </x:c>
      <x:c r="V67" s="6" t="str">
        <x:v>Swing high / buy-side</x:v>
      </x:c>
      <x:c r="W67" s="6" t="str">
        <x:v>[17821.0]</x:v>
      </x:c>
      <x:c r="X67" s="8" t="str">
        <x:v>1</x:v>
      </x:c>
      <x:c r="Y67" s="8" t="str">
        <x:v>13.0</x:v>
      </x:c>
      <x:c r="Z67" s="6" t="str">
        <x:v>None</x:v>
      </x:c>
      <x:c r="AA67" s="6" t="str">
        <x:v>17774.25</x:v>
      </x:c>
      <x:c r="AB67" s="9" t="str">
        <x:v>0.2150133917310508</x:v>
      </x:c>
      <x:c r="AC67" s="9" t="str">
        <x:v>1.0904250580646149</x:v>
      </x:c>
      <x:c r="AD67" s="9" t="str">
        <x:v>1.4590194438892734</x:v>
      </x:c>
      <x:c r="AE67" s="6" t="str">
        <x:v>With trade</x:v>
      </x:c>
      <x:c r="AF67" s="7" t="str">
        <x:v>2024-03-11 06:45:00-05:00</x:v>
      </x:c>
      <x:c r="AG67" s="6" t="str">
        <x:v>Short</x:v>
      </x:c>
      <x:c r="AH67" s="6" t="str">
        <x:v>17774.25</x:v>
      </x:c>
      <x:c r="AI67" s="8" t="str">
        <x:v>0</x:v>
      </x:c>
      <x:c r="AJ67" s="6" t="str">
        <x:v>True</x:v>
      </x:c>
      <x:c r="AK67" s="6" t="str">
        <x:v>Same-bar Setup+BOS</x:v>
      </x:c>
      <x:c r="AL67" s="9" t="str">
        <x:v>1.136499356292697</x:v>
      </x:c>
      <x:c r="AM67" s="9" t="str">
        <x:v>0.2150133917310508</x:v>
      </x:c>
      <x:c r="AN67" s="9" t="str">
        <x:v>1.0904250580646149</x:v>
      </x:c>
      <x:c r="AO67" s="9" t="str">
        <x:v>1.4590194438892734</x:v>
      </x:c>
      <x:c r="AP67" s="10" t="str">
        <x:v>0.7473684210526316</x:v>
      </x:c>
      <x:c r="AQ67" s="6" t="str">
        <x:v>0.24210526315789474</x:v>
      </x:c>
      <x:c r="AR67" s="6" t="str">
        <x:v>0.010526315789473684</x:v>
      </x:c>
      <x:c r="AS67" s="6" t="str">
        <x:v>With trade</x:v>
      </x:c>
      <x:c r="AT67" s="6" t="str">
        <x:v>1.2537819193997337</x:v>
      </x:c>
      <x:c r="AU67" s="7" t="str">
        <x:v>2024-03-11 06:50:00-05:00</x:v>
      </x:c>
      <x:c r="AV67" s="8" t="str">
        <x:v>1</x:v>
      </x:c>
      <x:c r="AW67" s="6" t="str">
        <x:v>Immediate retest (1 bar)</x:v>
      </x:c>
      <x:c r="AX67" s="6" t="str">
        <x:v>17775.25</x:v>
      </x:c>
      <x:c r="AY67" s="6" t="str">
        <x:v>1.0</x:v>
      </x:c>
      <x:c r="AZ67" s="9" t="str">
        <x:v>0.061778862480165155</x:v>
      </x:c>
      <x:c r="BA67" s="9" t="str">
        <x:v>0.7413463497619819</x:v>
      </x:c>
      <x:c r="BB67" s="9" t="str">
        <x:v>0.9266829372024773</x:v>
      </x:c>
      <x:c r="BC67" s="9" t="str">
        <x:v>0.5714544779415277</x:v>
      </x:c>
      <x:c r="BD67" s="6" t="str">
        <x:v>0.25</x:v>
      </x:c>
      <x:c r="BE67" s="6" t="str">
        <x:v>0.13333333333333333</x:v>
      </x:c>
      <x:c r="BF67" s="9" t="str">
        <x:v>0.23167073430061932</x:v>
      </x:c>
      <x:c r="BG67" s="9" t="str">
        <x:v>0.12355772496033031</x:v>
      </x:c>
      <x:c r="BH67" s="6" t="str">
        <x:v>With trade</x:v>
      </x:c>
      <x:c r="BI67" s="6" t="str">
        <x:v>Penetration + same-bar reclaim</x:v>
      </x:c>
      <x:c r="BJ67" s="6" t="str">
        <x:v>False</x:v>
      </x:c>
      <x:c r="BK67" s="10" t="str">
        <x:v>True</x:v>
      </x:c>
      <x:c r="BL67" s="6" t="str">
        <x:v>True</x:v>
      </x:c>
      <x:c r="BM67" s="7" t="str">
        <x:v>2024-03-11 07:00:00-05:00</x:v>
      </x:c>
      <x:c r="BN67" s="8" t="str">
        <x:v>2</x:v>
      </x:c>
      <x:c r="BO67" s="6" t="str">
        <x:v>Delayed confirmation (2+ bars)</x:v>
      </x:c>
      <x:c r="BP67" s="9" t="str">
        <x:v>1.6370125528361474</x:v>
      </x:c>
      <x:c r="BQ67" s="9" t="str">
        <x:v>1.9098479783088387</x:v>
      </x:c>
      <x:c r="BR67" s="10" t="str">
        <x:v>0.8571428571428571</x:v>
      </x:c>
      <x:c r="BS67" s="9" t="str">
        <x:v>1.952927256015053</x:v>
      </x:c>
      <x:c r="BT67" s="9" t="str">
        <x:v>1.2636588127156225</x:v>
      </x:c>
      <x:c r="BU67" s="9" t="str">
        <x:v>0.071798796177024</x:v>
      </x:c>
      <x:c r="BV67" s="6" t="str">
        <x:v>With trade</x:v>
      </x:c>
      <x:c r="BW67" s="7" t="str">
        <x:v>2024-03-11 07:00:00-05:00</x:v>
      </x:c>
      <x:c r="BX67" s="6" t="str">
        <x:v>17740.25</x:v>
      </x:c>
      <x:c r="BY67" s="9" t="str">
        <x:v>17.40976265003182</x:v>
      </x:c>
      <x:c r="BZ67" s="9" t="str">
        <x:v>0.81</x:v>
      </x:c>
      <x:c r="CA67" s="6" t="str">
        <x:v>17766.36464397505</x:v>
      </x:c>
      <x:c r="CB67" s="6" t="str">
        <x:v>26.11464397504824</x:v>
      </x:c>
      <x:c r="CC67" s="9" t="str">
        <x:v>1.5000000000000293</x:v>
      </x:c>
      <x:c r="CD67" s="6" t="str">
        <x:v>17688.020712049904</x:v>
      </x:c>
      <x:c r="CE67" s="6" t="str">
        <x:v>52.22928795009648</x:v>
      </x:c>
      <x:c r="CF67" s="6" t="str">
        <x:v>Fixed 2.00R target</x:v>
      </x:c>
      <x:c r="CG67" s="9" t="str">
        <x:v>0.027762201188448743</x:v>
      </x:c>
      <x:c r="CH67" s="9" t="str">
        <x:v>0.019146345647206405</x:v>
      </x:c>
      <x:c r="CI67" s="9" t="str">
        <x:v>-0.008615855541242338</x:v>
      </x:c>
      <x:c r="CJ67" s="6" t="str">
        <x:v>Loss</x:v>
      </x:c>
      <x:c r="CK67" s="9" t="str">
        <x:v>1.225366121421186</x:v>
      </x:c>
      <x:c r="CL67" s="9" t="str">
        <x:v>0.650975752005005</x:v>
      </x:c>
      <x:c r="CM67" s="7" t="str">
        <x:v>2024-03-11 08:00:00-05:00</x:v>
      </x:c>
      <x:c r="CN67" s="6" t="str">
        <x:v>17739.75</x:v>
      </x:c>
      <x:c r="CO67" s="6" t="str">
        <x:v>TIME</x:v>
      </x:c>
      <x:c r="CP67" s="6" t="str">
        <x:v>F::Short::Same-bar Setup+BOS::Penetration + same-bar reclaim</x:v>
      </x:c>
    </x:row>
    <x:row r="68" ht="18" customHeight="1">
      <x:c r="A68" s="6" t="str">
        <x:v>A0067</x:v>
      </x:c>
      <x:c r="B68" s="6" t="str">
        <x:v>2024-03-11</x:v>
      </x:c>
      <x:c r="C68" s="6" t="str">
        <x:v>2024</x:v>
      </x:c>
      <x:c r="D68" s="6" t="str">
        <x:v>2024-Q1</x:v>
      </x:c>
      <x:c r="E68" s="6" t="str">
        <x:v>First 50%</x:v>
      </x:c>
      <x:c r="F68" s="6" t="str">
        <x:v>Long</x:v>
      </x:c>
      <x:c r="G68" s="6" t="str">
        <x:v>Long</x:v>
      </x:c>
      <x:c r="H68" s="6" t="str">
        <x:v>Opening</x:v>
      </x:c>
      <x:c r="I68" s="6" t="str">
        <x:v>Opening</x:v>
      </x:c>
      <x:c r="J68" s="6" t="str">
        <x:v>Bear</x:v>
      </x:c>
      <x:c r="K68" s="6" t="str">
        <x:v>Bear</x:v>
      </x:c>
      <x:c r="L68" s="6" t="str">
        <x:v>HIGH</x:v>
      </x:c>
      <x:c r="M68" s="7" t="str">
        <x:v>2024-03-11 09:50:00-05:00</x:v>
      </x:c>
      <x:c r="N68" s="6" t="str">
        <x:v>75.0</x:v>
      </x:c>
      <x:c r="O68" s="6" t="str">
        <x:v>75-79</x:v>
      </x:c>
      <x:c r="P68" s="6" t="str">
        <x:v>Matching BOS only</x:v>
      </x:c>
      <x:c r="Q68" s="6" t="str">
        <x:v>Bull CHoCH</x:v>
      </x:c>
      <x:c r="R68" s="6" t="str">
        <x:v>True</x:v>
      </x:c>
      <x:c r="S68" s="6" t="str">
        <x:v>False</x:v>
      </x:c>
      <x:c r="T68" s="6" t="str">
        <x:v>No recent matching sweep</x:v>
      </x:c>
      <x:c r="U68" s="6" t="str">
        <x:v>None</x:v>
      </x:c>
      <x:c r="V68" s="6" t="str">
        <x:v>None</x:v>
      </x:c>
      <x:c r="W68" s="6" t="str">
        <x:v>[]</x:v>
      </x:c>
      <x:c r="X68" s="8" t="str">
        <x:v>0</x:v>
      </x:c>
      <x:c r="Y68" s="8" t="str"/>
      <x:c r="Z68" s="6" t="str">
        <x:v>None</x:v>
      </x:c>
      <x:c r="AA68" s="6" t="str">
        <x:v>17788.0</x:v>
      </x:c>
      <x:c r="AB68" s="9" t="str">
        <x:v>0.19047347280130703</x:v>
      </x:c>
      <x:c r="AC68" s="9" t="str">
        <x:v>1.1428408368078422</x:v>
      </x:c>
      <x:c r="AD68" s="9" t="str">
        <x:v>1.3469195576663855</x:v>
      </x:c>
      <x:c r="AE68" s="6" t="str">
        <x:v>With trade</x:v>
      </x:c>
      <x:c r="AF68" s="7" t="str">
        <x:v>2024-03-11 09:50:00-05:00</x:v>
      </x:c>
      <x:c r="AG68" s="6" t="str">
        <x:v>Long</x:v>
      </x:c>
      <x:c r="AH68" s="6" t="str">
        <x:v>17788.0</x:v>
      </x:c>
      <x:c r="AI68" s="8" t="str">
        <x:v>0</x:v>
      </x:c>
      <x:c r="AJ68" s="6" t="str">
        <x:v>True</x:v>
      </x:c>
      <x:c r="AK68" s="6" t="str">
        <x:v>Same-bar Setup+BOS</x:v>
      </x:c>
      <x:c r="AL68" s="9" t="str">
        <x:v>1.1564460848650784</x:v>
      </x:c>
      <x:c r="AM68" s="9" t="str">
        <x:v>0.19047347280130703</x:v>
      </x:c>
      <x:c r="AN68" s="9" t="str">
        <x:v>1.1428408368078422</x:v>
      </x:c>
      <x:c r="AO68" s="9" t="str">
        <x:v>1.3469195576663855</x:v>
      </x:c>
      <x:c r="AP68" s="10" t="str">
        <x:v>0.8484848484848485</x:v>
      </x:c>
      <x:c r="AQ68" s="6" t="str">
        <x:v>0.06060606060606061</x:v>
      </x:c>
      <x:c r="AR68" s="6" t="str">
        <x:v>0.09090909090909091</x:v>
      </x:c>
      <x:c r="AS68" s="6" t="str">
        <x:v>With trade</x:v>
      </x:c>
      <x:c r="AT68" s="6" t="str">
        <x:v>0.8424575760977153</x:v>
      </x:c>
      <x:c r="AU68" s="7" t="str">
        <x:v>2024-03-11 09:55:00-05:00</x:v>
      </x:c>
      <x:c r="AV68" s="8" t="str">
        <x:v>1</x:v>
      </x:c>
      <x:c r="AW68" s="6" t="str">
        <x:v>Immediate retest (1 bar)</x:v>
      </x:c>
      <x:c r="AX68" s="6" t="str">
        <x:v>17782.0</x:v>
      </x:c>
      <x:c r="AY68" s="6" t="str">
        <x:v>6.0</x:v>
      </x:c>
      <x:c r="AZ68" s="9" t="str">
        <x:v>0.16625208656459545</x:v>
      </x:c>
      <x:c r="BA68" s="9" t="str">
        <x:v>0.0</x:v>
      </x:c>
      <x:c r="BB68" s="9" t="str">
        <x:v>0.7619887300877292</x:v>
      </x:c>
      <x:c r="BC68" s="9" t="str">
        <x:v>0.2078151082057443</x:v>
      </x:c>
      <x:c r="BD68" s="6" t="str">
        <x:v>0.509090909090909</x:v>
      </x:c>
      <x:c r="BE68" s="6" t="str">
        <x:v>0.21818181818181817</x:v>
      </x:c>
      <x:c r="BF68" s="9" t="str">
        <x:v>0.16625208656459545</x:v>
      </x:c>
      <x:c r="BG68" s="9" t="str">
        <x:v>0.3879215353173894</x:v>
      </x:c>
      <x:c r="BH68" s="6" t="str">
        <x:v>Against trade</x:v>
      </x:c>
      <x:c r="BI68" s="6" t="str">
        <x:v>Penetration without same-bar reclaim</x:v>
      </x:c>
      <x:c r="BJ68" s="6" t="str">
        <x:v>False</x:v>
      </x:c>
      <x:c r="BK68" s="10" t="str">
        <x:v>True</x:v>
      </x:c>
      <x:c r="BL68" s="6" t="str">
        <x:v>False</x:v>
      </x:c>
      <x:c r="BM68" s="7" t="str">
        <x:v>2024-03-11 10:00:00-05:00</x:v>
      </x:c>
      <x:c r="BN68" s="8" t="str">
        <x:v>1</x:v>
      </x:c>
      <x:c r="BO68" s="6" t="str">
        <x:v>Immediate confirmation (1 bar)</x:v>
      </x:c>
      <x:c r="BP68" s="9" t="str">
        <x:v>0.1689572972027973</x:v>
      </x:c>
      <x:c r="BQ68" s="9" t="str">
        <x:v>0.7884673869463875</x:v>
      </x:c>
      <x:c r="BR68" s="10" t="str">
        <x:v>0.21428571428571427</x:v>
      </x:c>
      <x:c r="BS68" s="9" t="str">
        <x:v>0.16191740981934744</x:v>
      </x:c>
      <x:c r="BT68" s="9" t="str">
        <x:v>0.16191740981934744</x:v>
      </x:c>
      <x:c r="BU68" s="9" t="str">
        <x:v>0.3590342565559443</x:v>
      </x:c>
      <x:c r="BV68" s="6" t="str">
        <x:v>With trade</x:v>
      </x:c>
      <x:c r="BW68" s="7" t="str">
        <x:v>2024-03-11 10:00:00-05:00</x:v>
      </x:c>
      <x:c r="BX68" s="6" t="str">
        <x:v>17793.75</x:v>
      </x:c>
      <x:c r="BY68" s="9" t="str">
        <x:v>35.51193170898251</x:v>
      </x:c>
      <x:c r="BZ68" s="9" t="str">
        <x:v>0.94</x:v>
      </x:c>
      <x:c r="CA68" s="6" t="str">
        <x:v>17740.482102436526</x:v>
      </x:c>
      <x:c r="CB68" s="6" t="str">
        <x:v>53.267897563473525</x:v>
      </x:c>
      <x:c r="CC68" s="9" t="str">
        <x:v>1.4999999999999933</x:v>
      </x:c>
      <x:c r="CD68" s="6" t="str">
        <x:v>17900.285795126947</x:v>
      </x:c>
      <x:c r="CE68" s="6" t="str">
        <x:v>106.53579512694705</x:v>
      </x:c>
      <x:c r="CF68" s="6" t="str">
        <x:v>Fixed 2.00R target</x:v>
      </x:c>
      <x:c r="CG68" s="9" t="str">
        <x:v>0.013610448941336511</x:v>
      </x:c>
      <x:c r="CH68" s="9" t="str">
        <x:v>-1.0</x:v>
      </x:c>
      <x:c r="CI68" s="9" t="str">
        <x:v>-1.0136104489413365</x:v>
      </x:c>
      <x:c r="CJ68" s="6" t="str">
        <x:v>Loss</x:v>
      </x:c>
      <x:c r="CK68" s="9" t="str">
        <x:v>0.2111966215034976</x:v>
      </x:c>
      <x:c r="CL68" s="9" t="str">
        <x:v>1.2343269212315526</x:v>
      </x:c>
      <x:c r="CM68" s="7" t="str">
        <x:v>2024-03-11 10:10:00-05:00</x:v>
      </x:c>
      <x:c r="CN68" s="6" t="str">
        <x:v>17740.482102436526</x:v>
      </x:c>
      <x:c r="CO68" s="6" t="str">
        <x:v>STOP</x:v>
      </x:c>
      <x:c r="CP68" s="6" t="str">
        <x:v>F::Long::Same-bar Setup+BOS::Penetration without same-bar reclaim</x:v>
      </x:c>
    </x:row>
    <x:row r="69" ht="18" customHeight="1">
      <x:c r="A69" s="6" t="str">
        <x:v>A0068</x:v>
      </x:c>
      <x:c r="B69" s="6" t="str">
        <x:v>2024-03-11</x:v>
      </x:c>
      <x:c r="C69" s="6" t="str">
        <x:v>2024</x:v>
      </x:c>
      <x:c r="D69" s="6" t="str">
        <x:v>2024-Q1</x:v>
      </x:c>
      <x:c r="E69" s="6" t="str">
        <x:v>First 50%</x:v>
      </x:c>
      <x:c r="F69" s="6" t="str">
        <x:v>Long</x:v>
      </x:c>
      <x:c r="G69" s="6" t="str">
        <x:v>Long</x:v>
      </x:c>
      <x:c r="H69" s="6" t="str">
        <x:v>Afternoon</x:v>
      </x:c>
      <x:c r="I69" s="6" t="str">
        <x:v>Afternoon</x:v>
      </x:c>
      <x:c r="J69" s="6" t="str">
        <x:v>Bear</x:v>
      </x:c>
      <x:c r="K69" s="6" t="str">
        <x:v>Bear</x:v>
      </x:c>
      <x:c r="L69" s="6" t="str">
        <x:v>LOW</x:v>
      </x:c>
      <x:c r="M69" s="7" t="str">
        <x:v>2024-03-11 15:30:00-05:00</x:v>
      </x:c>
      <x:c r="N69" s="6" t="str">
        <x:v>75.0</x:v>
      </x:c>
      <x:c r="O69" s="6" t="str">
        <x:v>75-79</x:v>
      </x:c>
      <x:c r="P69" s="6" t="str">
        <x:v>Matching BOS only</x:v>
      </x:c>
      <x:c r="Q69" s="6" t="str">
        <x:v>Bull BOS</x:v>
      </x:c>
      <x:c r="R69" s="6" t="str">
        <x:v>True</x:v>
      </x:c>
      <x:c r="S69" s="6" t="str">
        <x:v>False</x:v>
      </x:c>
      <x:c r="T69" s="6" t="str">
        <x:v>No recent matching sweep</x:v>
      </x:c>
      <x:c r="U69" s="6" t="str">
        <x:v>None</x:v>
      </x:c>
      <x:c r="V69" s="6" t="str">
        <x:v>None</x:v>
      </x:c>
      <x:c r="W69" s="6" t="str">
        <x:v>[]</x:v>
      </x:c>
      <x:c r="X69" s="8" t="str">
        <x:v>0</x:v>
      </x:c>
      <x:c r="Y69" s="8" t="str"/>
      <x:c r="Z69" s="6" t="str">
        <x:v>None</x:v>
      </x:c>
      <x:c r="AA69" s="6" t="str">
        <x:v>17779.0</x:v>
      </x:c>
      <x:c r="AB69" s="9" t="str">
        <x:v>0.32449720556184874</x:v>
      </x:c>
      <x:c r="AC69" s="9" t="str">
        <x:v>0.7398536286810151</x:v>
      </x:c>
      <x:c r="AD69" s="9" t="str">
        <x:v>1.6354659160317175</x:v>
      </x:c>
      <x:c r="AE69" s="6" t="str">
        <x:v>With trade</x:v>
      </x:c>
      <x:c r="AF69" s="7" t="str">
        <x:v>2024-03-11 15:30:00-05:00</x:v>
      </x:c>
      <x:c r="AG69" s="6" t="str">
        <x:v>Long</x:v>
      </x:c>
      <x:c r="AH69" s="6" t="str">
        <x:v>17779.0</x:v>
      </x:c>
      <x:c r="AI69" s="8" t="str">
        <x:v>0</x:v>
      </x:c>
      <x:c r="AJ69" s="6" t="str">
        <x:v>True</x:v>
      </x:c>
      <x:c r="AK69" s="6" t="str">
        <x:v>Same-bar Setup+BOS</x:v>
      </x:c>
      <x:c r="AL69" s="9" t="str">
        <x:v>0.6489944111236975</x:v>
      </x:c>
      <x:c r="AM69" s="9" t="str">
        <x:v>0.32449720556184874</x:v>
      </x:c>
      <x:c r="AN69" s="9" t="str">
        <x:v>0.7398536286810151</x:v>
      </x:c>
      <x:c r="AO69" s="9" t="str">
        <x:v>1.6354659160317175</x:v>
      </x:c>
      <x:c r="AP69" s="10" t="str">
        <x:v>0.4523809523809524</x:v>
      </x:c>
      <x:c r="AQ69" s="6" t="str">
        <x:v>0.5476190476190477</x:v>
      </x:c>
      <x:c r="AR69" s="6" t="str">
        <x:v>0.0</x:v>
      </x:c>
      <x:c r="AS69" s="6" t="str">
        <x:v>With trade</x:v>
      </x:c>
      <x:c r="AT69" s="6" t="str">
        <x:v>0.6518490254062133</x:v>
      </x:c>
      <x:c r="AU69" s="7" t="str">
        <x:v>2024-03-11 15:50:00-05:00</x:v>
      </x:c>
      <x:c r="AV69" s="8" t="str">
        <x:v>4</x:v>
      </x:c>
      <x:c r="AW69" s="6" t="str">
        <x:v>Delayed retest (2+ bars)</x:v>
      </x:c>
      <x:c r="AX69" s="6" t="str">
        <x:v>17780.25</x:v>
      </x:c>
      <x:c r="AY69" s="6" t="str">
        <x:v>0.0</x:v>
      </x:c>
      <x:c r="AZ69" s="9" t="str">
        <x:v>0.0</x:v>
      </x:c>
      <x:c r="BA69" s="9" t="str">
        <x:v>0.3810628496771946</x:v>
      </x:c>
      <x:c r="BB69" s="9" t="str">
        <x:v>0.36582033569010686</x:v>
      </x:c>
      <x:c r="BC69" s="9" t="str">
        <x:v>0.18291016784505343</x:v>
      </x:c>
      <x:c r="BD69" s="6" t="str">
        <x:v>0.16666666666666666</x:v>
      </x:c>
      <x:c r="BE69" s="6" t="str">
        <x:v>0.3333333333333333</x:v>
      </x:c>
      <x:c r="BF69" s="9" t="str">
        <x:v>0.12194011189670229</x:v>
      </x:c>
      <x:c r="BG69" s="9" t="str">
        <x:v>0.06097005594835114</x:v>
      </x:c>
      <x:c r="BH69" s="6" t="str">
        <x:v>With trade</x:v>
      </x:c>
      <x:c r="BI69" s="6" t="str">
        <x:v>Tolerance-only shallow touch</x:v>
      </x:c>
      <x:c r="BJ69" s="6" t="str">
        <x:v>True</x:v>
      </x:c>
      <x:c r="BK69" s="10" t="str">
        <x:v>False</x:v>
      </x:c>
      <x:c r="BL69" s="6" t="str">
        <x:v>True</x:v>
      </x:c>
      <x:c r="BM69" s="7" t="str">
        <x:v>2024-03-11 15:55:00-05:00</x:v>
      </x:c>
      <x:c r="BN69" s="8" t="str">
        <x:v>1</x:v>
      </x:c>
      <x:c r="BO69" s="6" t="str">
        <x:v>Immediate confirmation (1 bar)</x:v>
      </x:c>
      <x:c r="BP69" s="9" t="str">
        <x:v>0.12743525324409843</x:v>
      </x:c>
      <x:c r="BQ69" s="9" t="str">
        <x:v>0.41416457304331994</x:v>
      </x:c>
      <x:c r="BR69" s="10" t="str">
        <x:v>0.3076923076923077</x:v>
      </x:c>
      <x:c r="BS69" s="9" t="str">
        <x:v>0.4460233863543446</x:v>
      </x:c>
      <x:c r="BT69" s="9" t="str">
        <x:v>0.04778821996653691</x:v>
      </x:c>
      <x:c r="BU69" s="9" t="str">
        <x:v>0.07964703327756152</x:v>
      </x:c>
      <x:c r="BV69" s="6" t="str">
        <x:v>With trade</x:v>
      </x:c>
      <x:c r="BW69" s="7" t="str">
        <x:v>2024-03-11 15:55:00-05:00</x:v>
      </x:c>
      <x:c r="BX69" s="6" t="str">
        <x:v>17786.0</x:v>
      </x:c>
      <x:c r="BY69" s="9" t="str">
        <x:v>15.69424432475572</x:v>
      </x:c>
      <x:c r="BZ69" s="9" t="str">
        <x:v>0.0</x:v>
      </x:c>
      <x:c r="CA69" s="6" t="str">
        <x:v>17762.458633512866</x:v>
      </x:c>
      <x:c r="CB69" s="6" t="str">
        <x:v>23.541366487133928</x:v>
      </x:c>
      <x:c r="CC69" s="9" t="str">
        <x:v>1.5000000000000222</x:v>
      </x:c>
      <x:c r="CD69" s="6" t="str">
        <x:v>17833.082732974268</x:v>
      </x:c>
      <x:c r="CE69" s="6" t="str">
        <x:v>47.082732974267856</x:v>
      </x:c>
      <x:c r="CF69" s="6" t="str">
        <x:v>Fixed 2.00R target</x:v>
      </x:c>
      <x:c r="CG69" s="9" t="str">
        <x:v>0.030796852867323338</x:v>
      </x:c>
      <x:c r="CH69" s="9" t="str">
        <x:v>2.0</x:v>
      </x:c>
      <x:c r="CI69" s="9" t="str">
        <x:v>1.9692031471326767</x:v>
      </x:c>
      <x:c r="CJ69" s="6" t="str">
        <x:v>Win</x:v>
      </x:c>
      <x:c r="CK69" s="9" t="str">
        <x:v>2.070822865216569</x:v>
      </x:c>
      <x:c r="CL69" s="9" t="str">
        <x:v>0.0</x:v>
      </x:c>
      <x:c r="CM69" s="7" t="str">
        <x:v>2024-03-11 17:15:00-05:00</x:v>
      </x:c>
      <x:c r="CN69" s="6" t="str">
        <x:v>17833.082732974268</x:v>
      </x:c>
      <x:c r="CO69" s="6" t="str">
        <x:v>TARGET</x:v>
      </x:c>
      <x:c r="CP69" s="6" t="str">
        <x:v>F::Long::Same-bar Setup+BOS::Tolerance-only shallow touch</x:v>
      </x:c>
    </x:row>
    <x:row r="70" ht="18" customHeight="1">
      <x:c r="A70" s="6" t="str">
        <x:v>A0069</x:v>
      </x:c>
      <x:c r="B70" s="6" t="str">
        <x:v>2024-03-14</x:v>
      </x:c>
      <x:c r="C70" s="6" t="str">
        <x:v>2024</x:v>
      </x:c>
      <x:c r="D70" s="6" t="str">
        <x:v>2024-Q1</x:v>
      </x:c>
      <x:c r="E70" s="6" t="str">
        <x:v>First 50%</x:v>
      </x:c>
      <x:c r="F70" s="6" t="str">
        <x:v>Short</x:v>
      </x:c>
      <x:c r="G70" s="6" t="str">
        <x:v>Short</x:v>
      </x:c>
      <x:c r="H70" s="6" t="str">
        <x:v>Afternoon</x:v>
      </x:c>
      <x:c r="I70" s="6" t="str">
        <x:v>Afternoon</x:v>
      </x:c>
      <x:c r="J70" s="6" t="str">
        <x:v>Bear</x:v>
      </x:c>
      <x:c r="K70" s="6" t="str">
        <x:v>Bear</x:v>
      </x:c>
      <x:c r="L70" s="6" t="str">
        <x:v>MID</x:v>
      </x:c>
      <x:c r="M70" s="7" t="str">
        <x:v>2024-03-14 14:05:00-05:00</x:v>
      </x:c>
      <x:c r="N70" s="6" t="str">
        <x:v>75.0</x:v>
      </x:c>
      <x:c r="O70" s="6" t="str">
        <x:v>75-79</x:v>
      </x:c>
      <x:c r="P70" s="6" t="str">
        <x:v>Matching BOS only</x:v>
      </x:c>
      <x:c r="Q70" s="6" t="str">
        <x:v>Bear CHoCH</x:v>
      </x:c>
      <x:c r="R70" s="6" t="str">
        <x:v>True</x:v>
      </x:c>
      <x:c r="S70" s="6" t="str">
        <x:v>False</x:v>
      </x:c>
      <x:c r="T70" s="6" t="str">
        <x:v>No recent matching sweep</x:v>
      </x:c>
      <x:c r="U70" s="6" t="str">
        <x:v>None</x:v>
      </x:c>
      <x:c r="V70" s="6" t="str">
        <x:v>None</x:v>
      </x:c>
      <x:c r="W70" s="6" t="str">
        <x:v>[]</x:v>
      </x:c>
      <x:c r="X70" s="8" t="str">
        <x:v>0</x:v>
      </x:c>
      <x:c r="Y70" s="8" t="str"/>
      <x:c r="Z70" s="6" t="str">
        <x:v>None</x:v>
      </x:c>
      <x:c r="AA70" s="6" t="str">
        <x:v>17750.25</x:v>
      </x:c>
      <x:c r="AB70" s="9" t="str">
        <x:v>0.4388353454378214</x:v>
      </x:c>
      <x:c r="AC70" s="9" t="str">
        <x:v>1.3847693122704585</x:v>
      </x:c>
      <x:c r="AD70" s="9" t="str">
        <x:v>1.7455894851860005</x:v>
      </x:c>
      <x:c r="AE70" s="6" t="str">
        <x:v>With trade</x:v>
      </x:c>
      <x:c r="AF70" s="7" t="str">
        <x:v>2024-03-14 14:05:00-05:00</x:v>
      </x:c>
      <x:c r="AG70" s="6" t="str">
        <x:v>Short</x:v>
      </x:c>
      <x:c r="AH70" s="6" t="str">
        <x:v>17750.25</x:v>
      </x:c>
      <x:c r="AI70" s="8" t="str">
        <x:v>0</x:v>
      </x:c>
      <x:c r="AJ70" s="6" t="str">
        <x:v>True</x:v>
      </x:c>
      <x:c r="AK70" s="6" t="str">
        <x:v>Same-bar Setup+BOS</x:v>
      </x:c>
      <x:c r="AL70" s="9" t="str">
        <x:v>1.3555136225746038</x:v>
      </x:c>
      <x:c r="AM70" s="9" t="str">
        <x:v>0.4388353454378214</x:v>
      </x:c>
      <x:c r="AN70" s="9" t="str">
        <x:v>1.3847693122704585</x:v>
      </x:c>
      <x:c r="AO70" s="9" t="str">
        <x:v>1.7455894851860005</x:v>
      </x:c>
      <x:c r="AP70" s="10" t="str">
        <x:v>0.7932960893854749</x:v>
      </x:c>
      <x:c r="AQ70" s="6" t="str">
        <x:v>0.0446927374301676</x:v>
      </x:c>
      <x:c r="AR70" s="6" t="str">
        <x:v>0.16201117318435754</x:v>
      </x:c>
      <x:c r="AS70" s="6" t="str">
        <x:v>With trade</x:v>
      </x:c>
      <x:c r="AT70" s="6" t="str">
        <x:v>2.131058825429903</x:v>
      </x:c>
      <x:c r="AU70" s="7" t="str">
        <x:v>2024-03-14 14:10:00-05:00</x:v>
      </x:c>
      <x:c r="AV70" s="8" t="str">
        <x:v>1</x:v>
      </x:c>
      <x:c r="AW70" s="6" t="str">
        <x:v>Immediate retest (1 bar)</x:v>
      </x:c>
      <x:c r="AX70" s="6" t="str">
        <x:v>17748.25</x:v>
      </x:c>
      <x:c r="AY70" s="6" t="str">
        <x:v>0.0</x:v>
      </x:c>
      <x:c r="AZ70" s="9" t="str">
        <x:v>0.0</x:v>
      </x:c>
      <x:c r="BA70" s="9" t="str">
        <x:v>0.9936857640841117</x:v>
      </x:c>
      <x:c r="BB70" s="9" t="str">
        <x:v>1.0131697986739963</x:v>
      </x:c>
      <x:c r="BC70" s="9" t="str">
        <x:v>0.5650370031066517</x:v>
      </x:c>
      <x:c r="BD70" s="6" t="str">
        <x:v>0.34615384615384615</x:v>
      </x:c>
      <x:c r="BE70" s="6" t="str">
        <x:v>0.09615384615384616</x:v>
      </x:c>
      <x:c r="BF70" s="9" t="str">
        <x:v>0.35071262261792174</x:v>
      </x:c>
      <x:c r="BG70" s="9" t="str">
        <x:v>0.0974201729494227</x:v>
      </x:c>
      <x:c r="BH70" s="6" t="str">
        <x:v>With trade</x:v>
      </x:c>
      <x:c r="BI70" s="6" t="str">
        <x:v>Tolerance-only shallow touch</x:v>
      </x:c>
      <x:c r="BJ70" s="6" t="str">
        <x:v>True</x:v>
      </x:c>
      <x:c r="BK70" s="10" t="str">
        <x:v>False</x:v>
      </x:c>
      <x:c r="BL70" s="6" t="str">
        <x:v>True</x:v>
      </x:c>
      <x:c r="BM70" s="7" t="str">
        <x:v>2024-03-14 14:20:00-05:00</x:v>
      </x:c>
      <x:c r="BN70" s="8" t="str">
        <x:v>2</x:v>
      </x:c>
      <x:c r="BO70" s="6" t="str">
        <x:v>Delayed confirmation (2+ bars)</x:v>
      </x:c>
      <x:c r="BP70" s="9" t="str">
        <x:v>0.22730325060426168</x:v>
      </x:c>
      <x:c r="BQ70" s="9" t="str">
        <x:v>0.7906200021017797</x:v>
      </x:c>
      <x:c r="BR70" s="10" t="str">
        <x:v>0.2875</x:v>
      </x:c>
      <x:c r="BS70" s="9" t="str">
        <x:v>1.0179232527060416</x:v>
      </x:c>
      <x:c r="BT70" s="9" t="str">
        <x:v>0.009882750026272247</x:v>
      </x:c>
      <x:c r="BU70" s="9" t="str">
        <x:v>0.5040202513398846</x:v>
      </x:c>
      <x:c r="BV70" s="6" t="str">
        <x:v>With trade</x:v>
      </x:c>
      <x:c r="BW70" s="7" t="str">
        <x:v>2024-03-14 14:20:00-05:00</x:v>
      </x:c>
      <x:c r="BX70" s="6" t="str">
        <x:v>17724.5</x:v>
      </x:c>
      <x:c r="BY70" s="9" t="str">
        <x:v>25.296602599013575</x:v>
      </x:c>
      <x:c r="BZ70" s="9" t="str">
        <x:v>0.56</x:v>
      </x:c>
      <x:c r="CA70" s="6" t="str">
        <x:v>17762.444903898522</x:v>
      </x:c>
      <x:c r="CB70" s="6" t="str">
        <x:v>37.94490389852217</x:v>
      </x:c>
      <x:c r="CC70" s="9" t="str">
        <x:v>1.5000000000000715</x:v>
      </x:c>
      <x:c r="CD70" s="6" t="str">
        <x:v>17648.61019220296</x:v>
      </x:c>
      <x:c r="CE70" s="6" t="str">
        <x:v>75.8898077970407</x:v>
      </x:c>
      <x:c r="CF70" s="6" t="str">
        <x:v>Fixed 2.00R target</x:v>
      </x:c>
      <x:c r="CG70" s="9" t="str">
        <x:v>0.0191066500507921</x:v>
      </x:c>
      <x:c r="CH70" s="9" t="str">
        <x:v>-1.0</x:v>
      </x:c>
      <x:c r="CI70" s="9" t="str">
        <x:v>-1.0191066500507922</x:v>
      </x:c>
      <x:c r="CJ70" s="6" t="str">
        <x:v>Loss</x:v>
      </x:c>
      <x:c r="CK70" s="9" t="str">
        <x:v>0.6061420016113356</x:v>
      </x:c>
      <x:c r="CL70" s="9" t="str">
        <x:v>1.1266335029949825</x:v>
      </x:c>
      <x:c r="CM70" s="7" t="str">
        <x:v>2024-03-14 14:45:00-05:00</x:v>
      </x:c>
      <x:c r="CN70" s="6" t="str">
        <x:v>17762.444903898522</x:v>
      </x:c>
      <x:c r="CO70" s="6" t="str">
        <x:v>STOP</x:v>
      </x:c>
      <x:c r="CP70" s="6" t="str">
        <x:v>F::Short::Same-bar Setup+BOS::Tolerance-only shallow touch</x:v>
      </x:c>
    </x:row>
    <x:row r="71" ht="18" customHeight="1">
      <x:c r="A71" s="6" t="str">
        <x:v>A0070</x:v>
      </x:c>
      <x:c r="B71" s="6" t="str">
        <x:v>2024-03-15</x:v>
      </x:c>
      <x:c r="C71" s="6" t="str">
        <x:v>2024</x:v>
      </x:c>
      <x:c r="D71" s="6" t="str">
        <x:v>2024-Q1</x:v>
      </x:c>
      <x:c r="E71" s="6" t="str">
        <x:v>First 50%</x:v>
      </x:c>
      <x:c r="F71" s="6" t="str">
        <x:v>Long</x:v>
      </x:c>
      <x:c r="G71" s="6" t="str">
        <x:v>Long</x:v>
      </x:c>
      <x:c r="H71" s="6" t="str">
        <x:v>Overnight</x:v>
      </x:c>
      <x:c r="I71" s="6" t="str">
        <x:v>Overnight</x:v>
      </x:c>
      <x:c r="J71" s="6" t="str">
        <x:v>Bear</x:v>
      </x:c>
      <x:c r="K71" s="6" t="str">
        <x:v>Bear</x:v>
      </x:c>
      <x:c r="L71" s="6" t="str">
        <x:v>HIGH</x:v>
      </x:c>
      <x:c r="M71" s="7" t="str">
        <x:v>2024-03-15 02:55:00-05:00</x:v>
      </x:c>
      <x:c r="N71" s="6" t="str">
        <x:v>75.0</x:v>
      </x:c>
      <x:c r="O71" s="6" t="str">
        <x:v>75-79</x:v>
      </x:c>
      <x:c r="P71" s="6" t="str">
        <x:v>Matching liquidity sweep only</x:v>
      </x:c>
      <x:c r="Q71" s="6" t="str">
        <x:v>Recent bull structure</x:v>
      </x:c>
      <x:c r="R71" s="6" t="str">
        <x:v>False</x:v>
      </x:c>
      <x:c r="S71" s="6" t="str">
        <x:v>True</x:v>
      </x:c>
      <x:c r="T71" s="6" t="str">
        <x:v>Recent SSL</x:v>
      </x:c>
      <x:c r="U71" s="6" t="str">
        <x:v>SSL</x:v>
      </x:c>
      <x:c r="V71" s="6" t="str">
        <x:v>Swing low / sell-side</x:v>
      </x:c>
      <x:c r="W71" s="6" t="str">
        <x:v>[17749.75]</x:v>
      </x:c>
      <x:c r="X71" s="8" t="str">
        <x:v>1</x:v>
      </x:c>
      <x:c r="Y71" s="8" t="str">
        <x:v>0.0</x:v>
      </x:c>
      <x:c r="Z71" s="6" t="str">
        <x:v>None</x:v>
      </x:c>
      <x:c r="AA71" s="6" t="str">
        <x:v>17772.0</x:v>
      </x:c>
      <x:c r="AB71" s="9" t="str">
        <x:v>-2.2912093254317107</x:v>
      </x:c>
      <x:c r="AC71" s="9" t="str">
        <x:v>1.2974317866902458</x:v>
      </x:c>
      <x:c r="AD71" s="9" t="str">
        <x:v>1.6010860346390268</x:v>
      </x:c>
      <x:c r="AE71" s="6" t="str">
        <x:v>Against trade</x:v>
      </x:c>
      <x:c r="AF71" s="7" t="str">
        <x:v>2024-03-15 03:05:00-05:00</x:v>
      </x:c>
      <x:c r="AG71" s="6" t="str">
        <x:v>Long</x:v>
      </x:c>
      <x:c r="AH71" s="6" t="str">
        <x:v>17783.0</x:v>
      </x:c>
      <x:c r="AI71" s="8" t="str">
        <x:v>2</x:v>
      </x:c>
      <x:c r="AJ71" s="6" t="str">
        <x:v>False</x:v>
      </x:c>
      <x:c r="AK71" s="6" t="str">
        <x:v>Delayed BOS</x:v>
      </x:c>
      <x:c r="AL71" s="9" t="str">
        <x:v>1.4921241405333745</x:v>
      </x:c>
      <x:c r="AM71" s="9" t="str">
        <x:v>0.07219955518709877</x:v>
      </x:c>
      <x:c r="AN71" s="9" t="str">
        <x:v>1.4921241405333745</x:v>
      </x:c>
      <x:c r="AO71" s="9" t="str">
        <x:v>1.7327893244903703</x:v>
      </x:c>
      <x:c r="AP71" s="10" t="str">
        <x:v>0.8611111111111112</x:v>
      </x:c>
      <x:c r="AQ71" s="6" t="str">
        <x:v>0.1388888888888889</x:v>
      </x:c>
      <x:c r="AR71" s="6" t="str">
        <x:v>0.0</x:v>
      </x:c>
      <x:c r="AS71" s="6" t="str">
        <x:v>With trade</x:v>
      </x:c>
      <x:c r="AT71" s="6" t="str">
        <x:v>2.986685858222382</x:v>
      </x:c>
      <x:c r="AU71" s="7" t="str">
        <x:v>2024-03-15 03:10:00-05:00</x:v>
      </x:c>
      <x:c r="AV71" s="8" t="str">
        <x:v>1</x:v>
      </x:c>
      <x:c r="AW71" s="6" t="str">
        <x:v>Immediate retest (1 bar)</x:v>
      </x:c>
      <x:c r="AX71" s="6" t="str">
        <x:v>17782.0</x:v>
      </x:c>
      <x:c r="AY71" s="6" t="str">
        <x:v>1.0</x:v>
      </x:c>
      <x:c r="AZ71" s="9" t="str">
        <x:v>0.09821640191214136</x:v>
      </x:c>
      <x:c r="BA71" s="9" t="str">
        <x:v>0.2455410047803534</x:v>
      </x:c>
      <x:c r="BB71" s="9" t="str">
        <x:v>0.7366230143410603</x:v>
      </x:c>
      <x:c r="BC71" s="9" t="str">
        <x:v>0.2455410047803534</x:v>
      </x:c>
      <x:c r="BD71" s="6" t="str">
        <x:v>0.5333333333333333</x:v>
      </x:c>
      <x:c r="BE71" s="6" t="str">
        <x:v>0.13333333333333333</x:v>
      </x:c>
      <x:c r="BF71" s="9" t="str">
        <x:v>0.09821640191214136</x:v>
      </x:c>
      <x:c r="BG71" s="9" t="str">
        <x:v>0.39286560764856543</x:v>
      </x:c>
      <x:c r="BH71" s="6" t="str">
        <x:v>With trade</x:v>
      </x:c>
      <x:c r="BI71" s="6" t="str">
        <x:v>Penetration + same-bar reclaim</x:v>
      </x:c>
      <x:c r="BJ71" s="6" t="str">
        <x:v>False</x:v>
      </x:c>
      <x:c r="BK71" s="10" t="str">
        <x:v>True</x:v>
      </x:c>
      <x:c r="BL71" s="6" t="str">
        <x:v>True</x:v>
      </x:c>
      <x:c r="BM71" s="7" t="str">
        <x:v>2024-03-15 03:20:00-05:00</x:v>
      </x:c>
      <x:c r="BN71" s="8" t="str">
        <x:v>2</x:v>
      </x:c>
      <x:c r="BO71" s="6" t="str">
        <x:v>Delayed confirmation (2+ bars)</x:v>
      </x:c>
      <x:c r="BP71" s="9" t="str">
        <x:v>0.25379524930756575</x:v>
      </x:c>
      <x:c r="BQ71" s="9" t="str">
        <x:v>0.5329700235458881</x:v>
      </x:c>
      <x:c r="BR71" s="10" t="str">
        <x:v>0.47619047619047616</x:v>
      </x:c>
      <x:c r="BS71" s="9" t="str">
        <x:v>0.25379524930756575</x:v>
      </x:c>
      <x:c r="BT71" s="9" t="str">
        <x:v>0.0</x:v>
      </x:c>
      <x:c r="BU71" s="9" t="str">
        <x:v>0.17765667451529604</x:v>
      </x:c>
      <x:c r="BV71" s="6" t="str">
        <x:v>With trade</x:v>
      </x:c>
      <x:c r="BW71" s="7" t="str">
        <x:v>2024-03-15 03:20:00-05:00</x:v>
      </x:c>
      <x:c r="BX71" s="6" t="str">
        <x:v>17785.5</x:v>
      </x:c>
      <x:c r="BY71" s="9" t="str">
        <x:v>9.850460191121764</x:v>
      </x:c>
      <x:c r="BZ71" s="9" t="str">
        <x:v>0.97</x:v>
      </x:c>
      <x:c r="CA71" s="6" t="str">
        <x:v>17770.724309713318</x:v>
      </x:c>
      <x:c r="CB71" s="6" t="str">
        <x:v>14.77569028668222</x:v>
      </x:c>
      <x:c r="CC71" s="9" t="str">
        <x:v>1.4999999999999567</x:v>
      </x:c>
      <x:c r="CD71" s="6" t="str">
        <x:v>17815.051380573364</x:v>
      </x:c>
      <x:c r="CE71" s="6" t="str">
        <x:v>29.55138057336444</x:v>
      </x:c>
      <x:c r="CF71" s="6" t="str">
        <x:v>Fixed 2.00R target</x:v>
      </x:c>
      <x:c r="CG71" s="9" t="str">
        <x:v>0.049067081532797464</x:v>
      </x:c>
      <x:c r="CH71" s="9" t="str">
        <x:v>2.0</x:v>
      </x:c>
      <x:c r="CI71" s="9" t="str">
        <x:v>1.9509329184672026</x:v>
      </x:c>
      <x:c r="CJ71" s="6" t="str">
        <x:v>Win</x:v>
      </x:c>
      <x:c r="CK71" s="9" t="str">
        <x:v>2.0303619944605846</x:v>
      </x:c>
      <x:c r="CL71" s="9" t="str">
        <x:v>0.6767873314868615</x:v>
      </x:c>
      <x:c r="CM71" s="7" t="str">
        <x:v>2024-03-15 04:05:00-05:00</x:v>
      </x:c>
      <x:c r="CN71" s="6" t="str">
        <x:v>17815.051380573364</x:v>
      </x:c>
      <x:c r="CO71" s="6" t="str">
        <x:v>TARGET</x:v>
      </x:c>
      <x:c r="CP71" s="6" t="str">
        <x:v>F::Long::Delayed BOS::Penetration + same-bar reclaim</x:v>
      </x:c>
    </x:row>
    <x:row r="72" ht="18" customHeight="1">
      <x:c r="A72" s="6" t="str">
        <x:v>A0071</x:v>
      </x:c>
      <x:c r="B72" s="6" t="str">
        <x:v>2024-03-19</x:v>
      </x:c>
      <x:c r="C72" s="6" t="str">
        <x:v>2024</x:v>
      </x:c>
      <x:c r="D72" s="6" t="str">
        <x:v>2024-Q1</x:v>
      </x:c>
      <x:c r="E72" s="6" t="str">
        <x:v>First 50%</x:v>
      </x:c>
      <x:c r="F72" s="6" t="str">
        <x:v>Long</x:v>
      </x:c>
      <x:c r="G72" s="6" t="str">
        <x:v>Long</x:v>
      </x:c>
      <x:c r="H72" s="6" t="str">
        <x:v>Morning</x:v>
      </x:c>
      <x:c r="I72" s="6" t="str">
        <x:v>Morning</x:v>
      </x:c>
      <x:c r="J72" s="6" t="str">
        <x:v>Bear</x:v>
      </x:c>
      <x:c r="K72" s="6" t="str">
        <x:v>Bear</x:v>
      </x:c>
      <x:c r="L72" s="6" t="str">
        <x:v>HIGH</x:v>
      </x:c>
      <x:c r="M72" s="7" t="str">
        <x:v>2024-03-19 10:30:00-05:00</x:v>
      </x:c>
      <x:c r="N72" s="6" t="str">
        <x:v>75.0</x:v>
      </x:c>
      <x:c r="O72" s="6" t="str">
        <x:v>75-79</x:v>
      </x:c>
      <x:c r="P72" s="6" t="str">
        <x:v>Matching BOS only</x:v>
      </x:c>
      <x:c r="Q72" s="6" t="str">
        <x:v>Bull BOS</x:v>
      </x:c>
      <x:c r="R72" s="6" t="str">
        <x:v>True</x:v>
      </x:c>
      <x:c r="S72" s="6" t="str">
        <x:v>False</x:v>
      </x:c>
      <x:c r="T72" s="6" t="str">
        <x:v>No recent matching sweep</x:v>
      </x:c>
      <x:c r="U72" s="6" t="str">
        <x:v>None</x:v>
      </x:c>
      <x:c r="V72" s="6" t="str">
        <x:v>None</x:v>
      </x:c>
      <x:c r="W72" s="6" t="str">
        <x:v>[]</x:v>
      </x:c>
      <x:c r="X72" s="8" t="str">
        <x:v>0</x:v>
      </x:c>
      <x:c r="Y72" s="8" t="str"/>
      <x:c r="Z72" s="6" t="str">
        <x:v>None</x:v>
      </x:c>
      <x:c r="AA72" s="6" t="str">
        <x:v>17687.0</x:v>
      </x:c>
      <x:c r="AB72" s="9" t="str">
        <x:v>0.25436239313275405</x:v>
      </x:c>
      <x:c r="AC72" s="9" t="str">
        <x:v>0.9220636751062334</x:v>
      </x:c>
      <x:c r="AD72" s="9" t="str">
        <x:v>1.123433903002997</x:v>
      </x:c>
      <x:c r="AE72" s="6" t="str">
        <x:v>With trade</x:v>
      </x:c>
      <x:c r="AF72" s="7" t="str">
        <x:v>2024-03-19 10:30:00-05:00</x:v>
      </x:c>
      <x:c r="AG72" s="6" t="str">
        <x:v>Long</x:v>
      </x:c>
      <x:c r="AH72" s="6" t="str">
        <x:v>17687.0</x:v>
      </x:c>
      <x:c r="AI72" s="8" t="str">
        <x:v>0</x:v>
      </x:c>
      <x:c r="AJ72" s="6" t="str">
        <x:v>True</x:v>
      </x:c>
      <x:c r="AK72" s="6" t="str">
        <x:v>Same-bar Setup+BOS</x:v>
      </x:c>
      <x:c r="AL72" s="9" t="str">
        <x:v>0.9432605412006296</x:v>
      </x:c>
      <x:c r="AM72" s="9" t="str">
        <x:v>0.25436239313275405</x:v>
      </x:c>
      <x:c r="AN72" s="9" t="str">
        <x:v>0.9220636751062334</x:v>
      </x:c>
      <x:c r="AO72" s="9" t="str">
        <x:v>1.123433903002997</x:v>
      </x:c>
      <x:c r="AP72" s="10" t="str">
        <x:v>0.8207547169811321</x:v>
      </x:c>
      <x:c r="AQ72" s="6" t="str">
        <x:v>0.1792452830188679</x:v>
      </x:c>
      <x:c r="AR72" s="6" t="str">
        <x:v>0.0</x:v>
      </x:c>
      <x:c r="AS72" s="6" t="str">
        <x:v>With trade</x:v>
      </x:c>
      <x:c r="AT72" s="6" t="str">
        <x:v>1.1834464043419268</x:v>
      </x:c>
      <x:c r="AU72" s="7" t="str">
        <x:v>2024-03-19 10:35:00-05:00</x:v>
      </x:c>
      <x:c r="AV72" s="8" t="str">
        <x:v>1</x:v>
      </x:c>
      <x:c r="AW72" s="6" t="str">
        <x:v>Immediate retest (1 bar)</x:v>
      </x:c>
      <x:c r="AX72" s="6" t="str">
        <x:v>17687.5</x:v>
      </x:c>
      <x:c r="AY72" s="6" t="str">
        <x:v>0.0</x:v>
      </x:c>
      <x:c r="AZ72" s="9" t="str">
        <x:v>0.0</x:v>
      </x:c>
      <x:c r="BA72" s="9" t="str">
        <x:v>0.10657763541628176</x:v>
      </x:c>
      <x:c r="BB72" s="9" t="str">
        <x:v>0.9272254281216514</x:v>
      </x:c>
      <x:c r="BC72" s="9" t="str">
        <x:v>0.1278931624995381</x:v>
      </x:c>
      <x:c r="BD72" s="6" t="str">
        <x:v>0.7701149425287356</x:v>
      </x:c>
      <x:c r="BE72" s="6" t="str">
        <x:v>0.09195402298850575</x:v>
      </x:c>
      <x:c r="BF72" s="9" t="str">
        <x:v>0.08526210833302542</x:v>
      </x:c>
      <x:c r="BG72" s="9" t="str">
        <x:v>0.7140701572890878</x:v>
      </x:c>
      <x:c r="BH72" s="6" t="str">
        <x:v>Against trade</x:v>
      </x:c>
      <x:c r="BI72" s="6" t="str">
        <x:v>Tolerance-only shallow touch</x:v>
      </x:c>
      <x:c r="BJ72" s="6" t="str">
        <x:v>True</x:v>
      </x:c>
      <x:c r="BK72" s="10" t="str">
        <x:v>False</x:v>
      </x:c>
      <x:c r="BL72" s="6" t="str">
        <x:v>True</x:v>
      </x:c>
      <x:c r="BM72" s="7" t="str">
        <x:v>2024-03-19 10:45:00-05:00</x:v>
      </x:c>
      <x:c r="BN72" s="8" t="str">
        <x:v>2</x:v>
      </x:c>
      <x:c r="BO72" s="6" t="str">
        <x:v>Delayed confirmation (2+ bars)</x:v>
      </x:c>
      <x:c r="BP72" s="9" t="str">
        <x:v>0.28072209233014617</x:v>
      </x:c>
      <x:c r="BQ72" s="9" t="str">
        <x:v>0.7186485563651742</x:v>
      </x:c>
      <x:c r="BR72" s="10" t="str">
        <x:v>0.390625</x:v>
      </x:c>
      <x:c r="BS72" s="9" t="str">
        <x:v>0.291950976023352</x:v>
      </x:c>
      <x:c r="BT72" s="9" t="str">
        <x:v>0.17966213909129355</x:v>
      </x:c>
      <x:c r="BU72" s="9" t="str">
        <x:v>0.39301092926220466</x:v>
      </x:c>
      <x:c r="BV72" s="6" t="str">
        <x:v>With trade</x:v>
      </x:c>
      <x:c r="BW72" s="7" t="str">
        <x:v>2024-03-19 10:45:00-05:00</x:v>
      </x:c>
      <x:c r="BX72" s="6" t="str">
        <x:v>17693.5</x:v>
      </x:c>
      <x:c r="BY72" s="9" t="str">
        <x:v>22.264011884927182</x:v>
      </x:c>
      <x:c r="BZ72" s="9" t="str">
        <x:v>0.77</x:v>
      </x:c>
      <x:c r="CA72" s="6" t="str">
        <x:v>17660.103982172608</x:v>
      </x:c>
      <x:c r="CB72" s="6" t="str">
        <x:v>33.396017827391915</x:v>
      </x:c>
      <x:c r="CC72" s="9" t="str">
        <x:v>1.5000000000000513</x:v>
      </x:c>
      <x:c r="CD72" s="6" t="str">
        <x:v>17760.29203565478</x:v>
      </x:c>
      <x:c r="CE72" s="6" t="str">
        <x:v>66.7920356547802</x:v>
      </x:c>
      <x:c r="CF72" s="6" t="str">
        <x:v>Fixed 2.00R target</x:v>
      </x:c>
      <x:c r="CG72" s="9" t="str">
        <x:v>0.021709175140197226</x:v>
      </x:c>
      <x:c r="CH72" s="9" t="str">
        <x:v>2.0</x:v>
      </x:c>
      <x:c r="CI72" s="9" t="str">
        <x:v>1.9782908248598028</x:v>
      </x:c>
      <x:c r="CJ72" s="6" t="str">
        <x:v>Win</x:v>
      </x:c>
      <x:c r="CK72" s="9" t="str">
        <x:v>2.10354421186049</x:v>
      </x:c>
      <x:c r="CL72" s="9" t="str">
        <x:v>0.6138456418952319</x:v>
      </x:c>
      <x:c r="CM72" s="7" t="str">
        <x:v>2024-03-19 11:35:00-05:00</x:v>
      </x:c>
      <x:c r="CN72" s="6" t="str">
        <x:v>17760.29203565478</x:v>
      </x:c>
      <x:c r="CO72" s="6" t="str">
        <x:v>TARGET</x:v>
      </x:c>
      <x:c r="CP72" s="6" t="str">
        <x:v>F::Long::Same-bar Setup+BOS::Tolerance-only shallow touch</x:v>
      </x:c>
    </x:row>
    <x:row r="73" ht="18" customHeight="1">
      <x:c r="A73" s="6" t="str">
        <x:v>A0072</x:v>
      </x:c>
      <x:c r="B73" s="6" t="str">
        <x:v>2024-03-20</x:v>
      </x:c>
      <x:c r="C73" s="6" t="str">
        <x:v>2024</x:v>
      </x:c>
      <x:c r="D73" s="6" t="str">
        <x:v>2024-Q1</x:v>
      </x:c>
      <x:c r="E73" s="6" t="str">
        <x:v>First 50%</x:v>
      </x:c>
      <x:c r="F73" s="6" t="str">
        <x:v>Long</x:v>
      </x:c>
      <x:c r="G73" s="6" t="str">
        <x:v>Long</x:v>
      </x:c>
      <x:c r="H73" s="6" t="str">
        <x:v>Premarket</x:v>
      </x:c>
      <x:c r="I73" s="6" t="str">
        <x:v>Premarket</x:v>
      </x:c>
      <x:c r="J73" s="6" t="str">
        <x:v>Bull</x:v>
      </x:c>
      <x:c r="K73" s="6" t="str">
        <x:v>Bull</x:v>
      </x:c>
      <x:c r="L73" s="6" t="str">
        <x:v>HIGH</x:v>
      </x:c>
      <x:c r="M73" s="7" t="str">
        <x:v>2024-03-20 05:30:00-05:00</x:v>
      </x:c>
      <x:c r="N73" s="6" t="str">
        <x:v>90.0</x:v>
      </x:c>
      <x:c r="O73" s="6" t="str">
        <x:v>90-94</x:v>
      </x:c>
      <x:c r="P73" s="6" t="str">
        <x:v>Matching BOS only</x:v>
      </x:c>
      <x:c r="Q73" s="6" t="str">
        <x:v>Bull CHoCH</x:v>
      </x:c>
      <x:c r="R73" s="6" t="str">
        <x:v>True</x:v>
      </x:c>
      <x:c r="S73" s="6" t="str">
        <x:v>False</x:v>
      </x:c>
      <x:c r="T73" s="6" t="str">
        <x:v>Recent SSL</x:v>
      </x:c>
      <x:c r="U73" s="6" t="str">
        <x:v>SSL</x:v>
      </x:c>
      <x:c r="V73" s="6" t="str">
        <x:v>Swing low / sell-side</x:v>
      </x:c>
      <x:c r="W73" s="6" t="str">
        <x:v>[17779.75]</x:v>
      </x:c>
      <x:c r="X73" s="8" t="str">
        <x:v>1</x:v>
      </x:c>
      <x:c r="Y73" s="8" t="str">
        <x:v>20.0</x:v>
      </x:c>
      <x:c r="Z73" s="6" t="str">
        <x:v>None</x:v>
      </x:c>
      <x:c r="AA73" s="6" t="str">
        <x:v>17819.0</x:v>
      </x:c>
      <x:c r="AB73" s="9" t="str">
        <x:v>0.658633497426965</x:v>
      </x:c>
      <x:c r="AC73" s="9" t="str">
        <x:v>2.2816946160862717</x:v>
      </x:c>
      <x:c r="AD73" s="9" t="str">
        <x:v>3.03441861314566</x:v>
      </x:c>
      <x:c r="AE73" s="6" t="str">
        <x:v>With trade</x:v>
      </x:c>
      <x:c r="AF73" s="7" t="str">
        <x:v>2024-03-20 05:30:00-05:00</x:v>
      </x:c>
      <x:c r="AG73" s="6" t="str">
        <x:v>Long</x:v>
      </x:c>
      <x:c r="AH73" s="6" t="str">
        <x:v>17819.0</x:v>
      </x:c>
      <x:c r="AI73" s="8" t="str">
        <x:v>0</x:v>
      </x:c>
      <x:c r="AJ73" s="6" t="str">
        <x:v>True</x:v>
      </x:c>
      <x:c r="AK73" s="6" t="str">
        <x:v>Same-bar Setup+BOS</x:v>
      </x:c>
      <x:c r="AL73" s="9" t="str">
        <x:v>2.2581719911781657</x:v>
      </x:c>
      <x:c r="AM73" s="9" t="str">
        <x:v>0.658633497426965</x:v>
      </x:c>
      <x:c r="AN73" s="9" t="str">
        <x:v>2.2816946160862717</x:v>
      </x:c>
      <x:c r="AO73" s="9" t="str">
        <x:v>3.03441861314566</x:v>
      </x:c>
      <x:c r="AP73" s="10" t="str">
        <x:v>0.751937984496124</x:v>
      </x:c>
      <x:c r="AQ73" s="6" t="str">
        <x:v>0.20930232558139536</x:v>
      </x:c>
      <x:c r="AR73" s="6" t="str">
        <x:v>0.03875968992248062</x:v>
      </x:c>
      <x:c r="AS73" s="6" t="str">
        <x:v>With trade</x:v>
      </x:c>
      <x:c r="AT73" s="6" t="str">
        <x:v>4.004486819966349</x:v>
      </x:c>
      <x:c r="AU73" s="7" t="str">
        <x:v>2024-03-20 05:35:00-05:00</x:v>
      </x:c>
      <x:c r="AV73" s="8" t="str">
        <x:v>1</x:v>
      </x:c>
      <x:c r="AW73" s="6" t="str">
        <x:v>Immediate retest (1 bar)</x:v>
      </x:c>
      <x:c r="AX73" s="6" t="str">
        <x:v>17815.75</x:v>
      </x:c>
      <x:c r="AY73" s="6" t="str">
        <x:v>3.25</x:v>
      </x:c>
      <x:c r="AZ73" s="9" t="str">
        <x:v>0.29323651121627226</x:v>
      </x:c>
      <x:c r="BA73" s="9" t="str">
        <x:v>0.2030098923804962</x:v>
      </x:c>
      <x:c r="BB73" s="9" t="str">
        <x:v>1.5338525202081934</x:v>
      </x:c>
      <x:c r="BC73" s="9" t="str">
        <x:v>0.4060197847609924</x:v>
      </x:c>
      <x:c r="BD73" s="6" t="str">
        <x:v>0.4117647058823529</x:v>
      </x:c>
      <x:c r="BE73" s="6" t="str">
        <x:v>0.3235294117647059</x:v>
      </x:c>
      <x:c r="BF73" s="9" t="str">
        <x:v>0.49624640359676847</x:v>
      </x:c>
      <x:c r="BG73" s="9" t="str">
        <x:v>0.6315863318504326</x:v>
      </x:c>
      <x:c r="BH73" s="6" t="str">
        <x:v>Against trade</x:v>
      </x:c>
      <x:c r="BI73" s="6" t="str">
        <x:v>Penetration + same-bar reclaim</x:v>
      </x:c>
      <x:c r="BJ73" s="6" t="str">
        <x:v>False</x:v>
      </x:c>
      <x:c r="BK73" s="10" t="str">
        <x:v>True</x:v>
      </x:c>
      <x:c r="BL73" s="6" t="str">
        <x:v>True</x:v>
      </x:c>
      <x:c r="BM73" s="7" t="str">
        <x:v>2024-03-20 05:40:00-05:00</x:v>
      </x:c>
      <x:c r="BN73" s="8" t="str">
        <x:v>1</x:v>
      </x:c>
      <x:c r="BO73" s="6" t="str">
        <x:v>Immediate confirmation (1 bar)</x:v>
      </x:c>
      <x:c r="BP73" s="9" t="str">
        <x:v>0.48092133152474015</x:v>
      </x:c>
      <x:c r="BQ73" s="9" t="str">
        <x:v>0.8015355525412335</x:v>
      </x:c>
      <x:c r="BR73" s="10" t="str">
        <x:v>0.6</x:v>
      </x:c>
      <x:c r="BS73" s="9" t="str">
        <x:v>0.6641294578198792</x:v>
      </x:c>
      <x:c r="BT73" s="9" t="str">
        <x:v>0.45802031573784774</x:v>
      </x:c>
      <x:c r="BU73" s="9" t="str">
        <x:v>0.0</x:v>
      </x:c>
      <x:c r="BV73" s="6" t="str">
        <x:v>With trade</x:v>
      </x:c>
      <x:c r="BW73" s="7" t="str">
        <x:v>2024-03-20 05:40:00-05:00</x:v>
      </x:c>
      <x:c r="BX73" s="6" t="str">
        <x:v>17826.25</x:v>
      </x:c>
      <x:c r="BY73" s="9" t="str">
        <x:v>10.916546336913573</x:v>
      </x:c>
      <x:c r="BZ73" s="9" t="str">
        <x:v>0.99</x:v>
      </x:c>
      <x:c r="CA73" s="6" t="str">
        <x:v>17809.87518049463</x:v>
      </x:c>
      <x:c r="CB73" s="6" t="str">
        <x:v>16.374819505370397</x:v>
      </x:c>
      <x:c r="CC73" s="9" t="str">
        <x:v>1.5000000000000033</x:v>
      </x:c>
      <x:c r="CD73" s="6" t="str">
        <x:v>17858.99963901074</x:v>
      </x:c>
      <x:c r="CE73" s="6" t="str">
        <x:v>32.74963901074079</x:v>
      </x:c>
      <x:c r="CF73" s="6" t="str">
        <x:v>Fixed 2.00R target</x:v>
      </x:c>
      <x:c r="CG73" s="9" t="str">
        <x:v>0.04427529718799185</x:v>
      </x:c>
      <x:c r="CH73" s="9" t="str">
        <x:v>2.0</x:v>
      </x:c>
      <x:c r="CI73" s="9" t="str">
        <x:v>1.9557247028120082</x:v>
      </x:c>
      <x:c r="CJ73" s="6" t="str">
        <x:v>Win</x:v>
      </x:c>
      <x:c r="CK73" s="9" t="str">
        <x:v>2.030556733104454</x:v>
      </x:c>
      <x:c r="CL73" s="9" t="str">
        <x:v>0.5190896911695596</x:v>
      </x:c>
      <x:c r="CM73" s="7" t="str">
        <x:v>2024-03-20 06:20:00-05:00</x:v>
      </x:c>
      <x:c r="CN73" s="6" t="str">
        <x:v>17858.99963901074</x:v>
      </x:c>
      <x:c r="CO73" s="6" t="str">
        <x:v>TARGET</x:v>
      </x:c>
      <x:c r="CP73" s="6" t="str">
        <x:v>F::Long::Same-bar Setup+BOS::Penetration + same-bar reclaim</x:v>
      </x:c>
    </x:row>
    <x:row r="74" ht="18" customHeight="1">
      <x:c r="A74" s="6" t="str">
        <x:v>A0073</x:v>
      </x:c>
      <x:c r="B74" s="6" t="str">
        <x:v>2024-03-20</x:v>
      </x:c>
      <x:c r="C74" s="6" t="str">
        <x:v>2024</x:v>
      </x:c>
      <x:c r="D74" s="6" t="str">
        <x:v>2024-Q1</x:v>
      </x:c>
      <x:c r="E74" s="6" t="str">
        <x:v>First 50%</x:v>
      </x:c>
      <x:c r="F74" s="6" t="str">
        <x:v>Short</x:v>
      </x:c>
      <x:c r="G74" s="6" t="str">
        <x:v>Short</x:v>
      </x:c>
      <x:c r="H74" s="6" t="str">
        <x:v>Premarket</x:v>
      </x:c>
      <x:c r="I74" s="6" t="str">
        <x:v>Premarket</x:v>
      </x:c>
      <x:c r="J74" s="6" t="str">
        <x:v>Bull</x:v>
      </x:c>
      <x:c r="K74" s="6" t="str">
        <x:v>Bull</x:v>
      </x:c>
      <x:c r="L74" s="6" t="str">
        <x:v>HIGH</x:v>
      </x:c>
      <x:c r="M74" s="7" t="str">
        <x:v>2024-03-20 08:35:00-05:00</x:v>
      </x:c>
      <x:c r="N74" s="6" t="str">
        <x:v>90.0</x:v>
      </x:c>
      <x:c r="O74" s="6" t="str">
        <x:v>90-94</x:v>
      </x:c>
      <x:c r="P74" s="6" t="str">
        <x:v>Matching BOS only</x:v>
      </x:c>
      <x:c r="Q74" s="6" t="str">
        <x:v>Bear CHoCH</x:v>
      </x:c>
      <x:c r="R74" s="6" t="str">
        <x:v>True</x:v>
      </x:c>
      <x:c r="S74" s="6" t="str">
        <x:v>False</x:v>
      </x:c>
      <x:c r="T74" s="6" t="str">
        <x:v>Recent BSL</x:v>
      </x:c>
      <x:c r="U74" s="6" t="str">
        <x:v>BSL</x:v>
      </x:c>
      <x:c r="V74" s="6" t="str">
        <x:v>Swing high / buy-side</x:v>
      </x:c>
      <x:c r="W74" s="6" t="str">
        <x:v>[17871.5]</x:v>
      </x:c>
      <x:c r="X74" s="8" t="str">
        <x:v>1</x:v>
      </x:c>
      <x:c r="Y74" s="8" t="str">
        <x:v>1.0</x:v>
      </x:c>
      <x:c r="Z74" s="6" t="str">
        <x:v>None</x:v>
      </x:c>
      <x:c r="AA74" s="6" t="str">
        <x:v>17822.75</x:v>
      </x:c>
      <x:c r="AB74" s="9" t="str">
        <x:v>0.5478968013644864</x:v>
      </x:c>
      <x:c r="AC74" s="9" t="str">
        <x:v>2.0888565552021046</x:v>
      </x:c>
      <x:c r="AD74" s="9" t="str">
        <x:v>2.4312920560549083</x:v>
      </x:c>
      <x:c r="AE74" s="6" t="str">
        <x:v>With trade</x:v>
      </x:c>
      <x:c r="AF74" s="7" t="str">
        <x:v>2024-03-20 08:35:00-05:00</x:v>
      </x:c>
      <x:c r="AG74" s="6" t="str">
        <x:v>Short</x:v>
      </x:c>
      <x:c r="AH74" s="6" t="str">
        <x:v>17822.75</x:v>
      </x:c>
      <x:c r="AI74" s="8" t="str">
        <x:v>0</x:v>
      </x:c>
      <x:c r="AJ74" s="6" t="str">
        <x:v>True</x:v>
      </x:c>
      <x:c r="AK74" s="6" t="str">
        <x:v>Same-bar Setup+BOS</x:v>
      </x:c>
      <x:c r="AL74" s="9" t="str">
        <x:v>2.0717347801594643</x:v>
      </x:c>
      <x:c r="AM74" s="9" t="str">
        <x:v>0.5478968013644864</x:v>
      </x:c>
      <x:c r="AN74" s="9" t="str">
        <x:v>2.0888565552021046</x:v>
      </x:c>
      <x:c r="AO74" s="9" t="str">
        <x:v>2.4312920560549083</x:v>
      </x:c>
      <x:c r="AP74" s="10" t="str">
        <x:v>0.8591549295774648</x:v>
      </x:c>
      <x:c r="AQ74" s="6" t="str">
        <x:v>0.07042253521126761</x:v>
      </x:c>
      <x:c r="AR74" s="6" t="str">
        <x:v>0.07042253521126761</x:v>
      </x:c>
      <x:c r="AS74" s="6" t="str">
        <x:v>With trade</x:v>
      </x:c>
      <x:c r="AT74" s="6" t="str">
        <x:v>7.1098849668694735</x:v>
      </x:c>
      <x:c r="AU74" s="7" t="str">
        <x:v>2024-03-20 08:40:00-05:00</x:v>
      </x:c>
      <x:c r="AV74" s="8" t="str">
        <x:v>1</x:v>
      </x:c>
      <x:c r="AW74" s="6" t="str">
        <x:v>Immediate retest (1 bar)</x:v>
      </x:c>
      <x:c r="AX74" s="6" t="str">
        <x:v>17826.0</x:v>
      </x:c>
      <x:c r="AY74" s="6" t="str">
        <x:v>3.25</x:v>
      </x:c>
      <x:c r="AZ74" s="9" t="str">
        <x:v>0.20082380312689474</x:v>
      </x:c>
      <x:c r="BA74" s="9" t="str">
        <x:v>1.6838303492947329</x:v>
      </x:c>
      <x:c r="BB74" s="9" t="str">
        <x:v>2.270853773819502</x:v>
      </x:c>
      <x:c r="BC74" s="9" t="str">
        <x:v>1.2049428187613684</x:v>
      </x:c>
      <x:c r="BD74" s="6" t="str">
        <x:v>0.29931972789115646</x:v>
      </x:c>
      <x:c r="BE74" s="6" t="str">
        <x:v>0.17006802721088435</x:v>
      </x:c>
      <x:c r="BF74" s="9" t="str">
        <x:v>0.6797113336602592</x:v>
      </x:c>
      <x:c r="BG74" s="9" t="str">
        <x:v>0.3861996213978745</x:v>
      </x:c>
      <x:c r="BH74" s="6" t="str">
        <x:v>With trade</x:v>
      </x:c>
      <x:c r="BI74" s="6" t="str">
        <x:v>Penetration + same-bar reclaim</x:v>
      </x:c>
      <x:c r="BJ74" s="6" t="str">
        <x:v>False</x:v>
      </x:c>
      <x:c r="BK74" s="10" t="str">
        <x:v>True</x:v>
      </x:c>
      <x:c r="BL74" s="6" t="str">
        <x:v>True</x:v>
      </x:c>
      <x:c r="BM74" s="7" t="str">
        <x:v>2024-03-20 08:55:00-05:00</x:v>
      </x:c>
      <x:c r="BN74" s="8" t="str">
        <x:v>3</x:v>
      </x:c>
      <x:c r="BO74" s="6" t="str">
        <x:v>Delayed confirmation (2+ bars)</x:v>
      </x:c>
      <x:c r="BP74" s="9" t="str">
        <x:v>0.5319679359530605</x:v>
      </x:c>
      <x:c r="BQ74" s="9" t="str">
        <x:v>0.8967459491780162</x:v>
      </x:c>
      <x:c r="BR74" s="10" t="str">
        <x:v>0.5932203389830508</x:v>
      </x:c>
      <x:c r="BS74" s="9" t="str">
        <x:v>1.459112052899823</x:v>
      </x:c>
      <x:c r="BT74" s="9" t="str">
        <x:v>-0.19758809049685103</x:v>
      </x:c>
      <x:c r="BU74" s="9" t="str">
        <x:v>0.3191807615718363</x:v>
      </x:c>
      <x:c r="BV74" s="6" t="str">
        <x:v>With trade</x:v>
      </x:c>
      <x:c r="BW74" s="7" t="str">
        <x:v>2024-03-20 08:55:00-05:00</x:v>
      </x:c>
      <x:c r="BX74" s="6" t="str">
        <x:v>17798.75</x:v>
      </x:c>
      <x:c r="BY74" s="9" t="str">
        <x:v>16.448359776278092</x:v>
      </x:c>
      <x:c r="BZ74" s="9" t="str">
        <x:v>0.98</x:v>
      </x:c>
      <x:c r="CA74" s="6" t="str">
        <x:v>17823.422539664418</x:v>
      </x:c>
      <x:c r="CB74" s="6" t="str">
        <x:v>24.672539664417855</x:v>
      </x:c>
      <x:c r="CC74" s="9" t="str">
        <x:v>1.5000000000000435</x:v>
      </x:c>
      <x:c r="CD74" s="6" t="str">
        <x:v>17749.404920671164</x:v>
      </x:c>
      <x:c r="CE74" s="6" t="str">
        <x:v>49.34507932883571</x:v>
      </x:c>
      <x:c r="CF74" s="6" t="str">
        <x:v>Fixed 2.00R target</x:v>
      </x:c>
      <x:c r="CG74" s="9" t="str">
        <x:v>0.02938489550978725</x:v>
      </x:c>
      <x:c r="CH74" s="9" t="str">
        <x:v>-1.0</x:v>
      </x:c>
      <x:c r="CI74" s="9" t="str">
        <x:v>-1.0293848955097873</x:v>
      </x:c>
      <x:c r="CJ74" s="6" t="str">
        <x:v>Loss</x:v>
      </x:c>
      <x:c r="CK74" s="9" t="str">
        <x:v>0.3343798454561997</x:v>
      </x:c>
      <x:c r="CL74" s="9" t="str">
        <x:v>1.1551303752123263</x:v>
      </x:c>
      <x:c r="CM74" s="7" t="str">
        <x:v>2024-03-20 09:20:00-05:00</x:v>
      </x:c>
      <x:c r="CN74" s="6" t="str">
        <x:v>17823.422539664418</x:v>
      </x:c>
      <x:c r="CO74" s="6" t="str">
        <x:v>STOP</x:v>
      </x:c>
      <x:c r="CP74" s="6" t="str">
        <x:v>F::Short::Same-bar Setup+BOS::Penetration + same-bar reclaim</x:v>
      </x:c>
    </x:row>
    <x:row r="75" ht="18" customHeight="1">
      <x:c r="A75" s="6" t="str">
        <x:v>A0074</x:v>
      </x:c>
      <x:c r="B75" s="6" t="str">
        <x:v>2024-03-20</x:v>
      </x:c>
      <x:c r="C75" s="6" t="str">
        <x:v>2024</x:v>
      </x:c>
      <x:c r="D75" s="6" t="str">
        <x:v>2024-Q1</x:v>
      </x:c>
      <x:c r="E75" s="6" t="str">
        <x:v>First 50%</x:v>
      </x:c>
      <x:c r="F75" s="6" t="str">
        <x:v>Long</x:v>
      </x:c>
      <x:c r="G75" s="6" t="str">
        <x:v>Long</x:v>
      </x:c>
      <x:c r="H75" s="6" t="str">
        <x:v>Midday</x:v>
      </x:c>
      <x:c r="I75" s="6" t="str">
        <x:v>Midday</x:v>
      </x:c>
      <x:c r="J75" s="6" t="str">
        <x:v>Bull</x:v>
      </x:c>
      <x:c r="K75" s="6" t="str">
        <x:v>Bull</x:v>
      </x:c>
      <x:c r="L75" s="6" t="str">
        <x:v>HIGH</x:v>
      </x:c>
      <x:c r="M75" s="7" t="str">
        <x:v>2024-03-20 12:40:00-05:00</x:v>
      </x:c>
      <x:c r="N75" s="6" t="str">
        <x:v>85.0</x:v>
      </x:c>
      <x:c r="O75" s="6" t="str">
        <x:v>85-89</x:v>
      </x:c>
      <x:c r="P75" s="6" t="str">
        <x:v>Matching liquidity sweep only</x:v>
      </x:c>
      <x:c r="Q75" s="6" t="str">
        <x:v>Recent bull structure</x:v>
      </x:c>
      <x:c r="R75" s="6" t="str">
        <x:v>False</x:v>
      </x:c>
      <x:c r="S75" s="6" t="str">
        <x:v>True</x:v>
      </x:c>
      <x:c r="T75" s="6" t="str">
        <x:v>Recent SSL</x:v>
      </x:c>
      <x:c r="U75" s="6" t="str">
        <x:v>SSL</x:v>
      </x:c>
      <x:c r="V75" s="6" t="str">
        <x:v>Swing low / sell-side</x:v>
      </x:c>
      <x:c r="W75" s="6" t="str">
        <x:v>[17789.25,17793.25]</x:v>
      </x:c>
      <x:c r="X75" s="8" t="str">
        <x:v>2</x:v>
      </x:c>
      <x:c r="Y75" s="8" t="str">
        <x:v>0.0</x:v>
      </x:c>
      <x:c r="Z75" s="6" t="str">
        <x:v>None</x:v>
      </x:c>
      <x:c r="AA75" s="6" t="str">
        <x:v>17831.75</x:v>
      </x:c>
      <x:c r="AB75" s="9" t="str">
        <x:v>-2.68746096483694</x:v>
      </x:c>
      <x:c r="AC75" s="9" t="str">
        <x:v>0.21078125214407373</x:v>
      </x:c>
      <x:c r="AD75" s="9" t="str">
        <x:v>0.807994799885616</x:v>
      </x:c>
      <x:c r="AE75" s="6" t="str">
        <x:v>Against trade</x:v>
      </x:c>
      <x:c r="AF75" s="7" t="str">
        <x:v>2024-03-20 13:00:00-05:00</x:v>
      </x:c>
      <x:c r="AG75" s="6" t="str">
        <x:v>Long</x:v>
      </x:c>
      <x:c r="AH75" s="6" t="str">
        <x:v>17831.75</x:v>
      </x:c>
      <x:c r="AI75" s="8" t="str">
        <x:v>4</x:v>
      </x:c>
      <x:c r="AJ75" s="6" t="str">
        <x:v>False</x:v>
      </x:c>
      <x:c r="AK75" s="6" t="str">
        <x:v>Delayed BOS</x:v>
      </x:c>
      <x:c r="AL75" s="9" t="str">
        <x:v>4.373325586435667</x:v>
      </x:c>
      <x:c r="AM75" s="9" t="str">
        <x:v>3.491205936898927</x:v>
      </x:c>
      <x:c r="AN75" s="9" t="str">
        <x:v>4.435446688515719</x:v>
      </x:c>
      <x:c r="AO75" s="9" t="str">
        <x:v>4.932415505156136</x:v>
      </x:c>
      <x:c r="AP75" s="10" t="str">
        <x:v>0.8992443324937027</x:v>
      </x:c>
      <x:c r="AQ75" s="6" t="str">
        <x:v>0.10075566750629723</x:v>
      </x:c>
      <x:c r="AR75" s="6" t="str">
        <x:v>0.0</x:v>
      </x:c>
      <x:c r="AS75" s="6" t="str">
        <x:v>With trade</x:v>
      </x:c>
      <x:c r="AT75" s="6" t="str">
        <x:v>9.896133513009225</x:v>
      </x:c>
      <x:c r="AU75" s="7" t="str">
        <x:v>2024-03-20 13:35:00-05:00</x:v>
      </x:c>
      <x:c r="AV75" s="8" t="str">
        <x:v>7</x:v>
      </x:c>
      <x:c r="AW75" s="6" t="str">
        <x:v>Delayed retest (2+ bars)</x:v>
      </x:c>
      <x:c r="AX75" s="6" t="str">
        <x:v>17826.5</x:v>
      </x:c>
      <x:c r="AY75" s="6" t="str">
        <x:v>5.25</x:v>
      </x:c>
      <x:c r="AZ75" s="9" t="str">
        <x:v>0.1385686847189372</x:v>
      </x:c>
      <x:c r="BA75" s="9" t="str">
        <x:v>1.9861511476381002</x:v>
      </x:c>
      <x:c r="BB75" s="9" t="str">
        <x:v>2.50083483373701</x:v>
      </x:c>
      <x:c r="BC75" s="9" t="str">
        <x:v>1.8343854453268833</x:v>
      </x:c>
      <x:c r="BD75" s="6" t="str">
        <x:v>0.1503957783641161</x:v>
      </x:c>
      <x:c r="BE75" s="6" t="str">
        <x:v>0.11609498680738786</x:v>
      </x:c>
      <x:c r="BF75" s="9" t="str">
        <x:v>0.2903343870301542</x:v>
      </x:c>
      <x:c r="BG75" s="9" t="str">
        <x:v>0.37611500137997245</x:v>
      </x:c>
      <x:c r="BH75" s="6" t="str">
        <x:v>With trade</x:v>
      </x:c>
      <x:c r="BI75" s="6" t="str">
        <x:v>Penetration + same-bar reclaim</x:v>
      </x:c>
      <x:c r="BJ75" s="6" t="str">
        <x:v>False</x:v>
      </x:c>
      <x:c r="BK75" s="10" t="str">
        <x:v>True</x:v>
      </x:c>
      <x:c r="BL75" s="6" t="str">
        <x:v>True</x:v>
      </x:c>
      <x:c r="BM75" s="7" t="str">
        <x:v>2024-03-20 13:40:00-05:00</x:v>
      </x:c>
      <x:c r="BN75" s="8" t="str">
        <x:v>1</x:v>
      </x:c>
      <x:c r="BO75" s="6" t="str">
        <x:v>Immediate confirmation (1 bar)</x:v>
      </x:c>
      <x:c r="BP75" s="9" t="str">
        <x:v>0.6819589946764332</x:v>
      </x:c>
      <x:c r="BQ75" s="9" t="str">
        <x:v>1.5596654785655462</x:v>
      </x:c>
      <x:c r="BR75" s="10" t="str">
        <x:v>0.43724696356275305</x:v>
      </x:c>
      <x:c r="BS75" s="9" t="str">
        <x:v>2.5699751003084104</x:v>
      </x:c>
      <x:c r="BT75" s="9" t="str">
        <x:v>0.6693301244046473</x:v>
      </x:c>
      <x:c r="BU75" s="9" t="str">
        <x:v>0.6377579487251829</x:v>
      </x:c>
      <x:c r="BV75" s="6" t="str">
        <x:v>With trade</x:v>
      </x:c>
      <x:c r="BW75" s="7" t="str">
        <x:v>2024-03-20 13:40:00-05:00</x:v>
      </x:c>
      <x:c r="BX75" s="6" t="str">
        <x:v>17933.5</x:v>
      </x:c>
      <x:c r="BY75" s="9" t="str">
        <x:v>39.59182327789459</x:v>
      </x:c>
      <x:c r="BZ75" s="9" t="str">
        <x:v>1.0</x:v>
      </x:c>
      <x:c r="CA75" s="6" t="str">
        <x:v>17874.112265083157</x:v>
      </x:c>
      <x:c r="CB75" s="6" t="str">
        <x:v>59.38773491684333</x:v>
      </x:c>
      <x:c r="CC75" s="9" t="str">
        <x:v>1.5000000000000364</x:v>
      </x:c>
      <x:c r="CD75" s="6" t="str">
        <x:v>18052.275469833683</x:v>
      </x:c>
      <x:c r="CE75" s="6" t="str">
        <x:v>118.77546983368302</x:v>
      </x:c>
      <x:c r="CF75" s="6" t="str">
        <x:v>Fixed 2.00R target</x:v>
      </x:c>
      <x:c r="CG75" s="9" t="str">
        <x:v>0.012207907929392643</x:v>
      </x:c>
      <x:c r="CH75" s="9" t="str">
        <x:v>0.9597941406557208</x:v>
      </x:c>
      <x:c r="CI75" s="9" t="str">
        <x:v>0.9475862327263281</x:v>
      </x:c>
      <x:c r="CJ75" s="6" t="str">
        <x:v>Win</x:v>
      </x:c>
      <x:c r="CK75" s="9" t="str">
        <x:v>1.759622591202112</x:v>
      </x:c>
      <x:c r="CL75" s="9" t="str">
        <x:v>0.0</x:v>
      </x:c>
      <x:c r="CM75" s="7" t="str">
        <x:v>2024-03-20 14:40:00-05:00</x:v>
      </x:c>
      <x:c r="CN75" s="6" t="str">
        <x:v>17990.5</x:v>
      </x:c>
      <x:c r="CO75" s="6" t="str">
        <x:v>TIME</x:v>
      </x:c>
      <x:c r="CP75" s="6" t="str">
        <x:v>F::Long::Delayed BOS::Penetration + same-bar reclaim</x:v>
      </x:c>
    </x:row>
    <x:row r="76" ht="18" customHeight="1">
      <x:c r="A76" s="6" t="str">
        <x:v>A0075</x:v>
      </x:c>
      <x:c r="B76" s="6" t="str">
        <x:v>2024-03-21</x:v>
      </x:c>
      <x:c r="C76" s="6" t="str">
        <x:v>2024</x:v>
      </x:c>
      <x:c r="D76" s="6" t="str">
        <x:v>2024-Q1</x:v>
      </x:c>
      <x:c r="E76" s="6" t="str">
        <x:v>First 50%</x:v>
      </x:c>
      <x:c r="F76" s="6" t="str">
        <x:v>Short</x:v>
      </x:c>
      <x:c r="G76" s="6" t="str">
        <x:v>Short</x:v>
      </x:c>
      <x:c r="H76" s="6" t="str">
        <x:v>Overnight</x:v>
      </x:c>
      <x:c r="I76" s="6" t="str">
        <x:v>Overnight</x:v>
      </x:c>
      <x:c r="J76" s="6" t="str">
        <x:v>Bull</x:v>
      </x:c>
      <x:c r="K76" s="6" t="str">
        <x:v>Bull</x:v>
      </x:c>
      <x:c r="L76" s="6" t="str">
        <x:v>LOW</x:v>
      </x:c>
      <x:c r="M76" s="7" t="str">
        <x:v>2024-03-21 20:35:00-05:00</x:v>
      </x:c>
      <x:c r="N76" s="6" t="str">
        <x:v>90.0</x:v>
      </x:c>
      <x:c r="O76" s="6" t="str">
        <x:v>90-94</x:v>
      </x:c>
      <x:c r="P76" s="6" t="str">
        <x:v>Matching BOS only</x:v>
      </x:c>
      <x:c r="Q76" s="6" t="str">
        <x:v>Bear CHoCH</x:v>
      </x:c>
      <x:c r="R76" s="6" t="str">
        <x:v>True</x:v>
      </x:c>
      <x:c r="S76" s="6" t="str">
        <x:v>False</x:v>
      </x:c>
      <x:c r="T76" s="6" t="str">
        <x:v>Recent BSL</x:v>
      </x:c>
      <x:c r="U76" s="6" t="str">
        <x:v>BSL</x:v>
      </x:c>
      <x:c r="V76" s="6" t="str">
        <x:v>Swing high / buy-side</x:v>
      </x:c>
      <x:c r="W76" s="6" t="str">
        <x:v>[18135.25]</x:v>
      </x:c>
      <x:c r="X76" s="8" t="str">
        <x:v>1</x:v>
      </x:c>
      <x:c r="Y76" s="8" t="str">
        <x:v>6.0</x:v>
      </x:c>
      <x:c r="Z76" s="6" t="str">
        <x:v>None</x:v>
      </x:c>
      <x:c r="AA76" s="6" t="str">
        <x:v>18118.25</x:v>
      </x:c>
      <x:c r="AB76" s="9" t="str">
        <x:v>0.501675238672514</x:v>
      </x:c>
      <x:c r="AC76" s="9" t="str">
        <x:v>2.759213812698827</x:v>
      </x:c>
      <x:c r="AD76" s="9" t="str">
        <x:v>3.010051432035084</x:v>
      </x:c>
      <x:c r="AE76" s="6" t="str">
        <x:v>With trade</x:v>
      </x:c>
      <x:c r="AF76" s="7" t="str">
        <x:v>2024-03-21 20:35:00-05:00</x:v>
      </x:c>
      <x:c r="AG76" s="6" t="str">
        <x:v>Short</x:v>
      </x:c>
      <x:c r="AH76" s="6" t="str">
        <x:v>18118.25</x:v>
      </x:c>
      <x:c r="AI76" s="8" t="str">
        <x:v>0</x:v>
      </x:c>
      <x:c r="AJ76" s="6" t="str">
        <x:v>True</x:v>
      </x:c>
      <x:c r="AK76" s="6" t="str">
        <x:v>Same-bar Setup+BOS</x:v>
      </x:c>
      <x:c r="AL76" s="9" t="str">
        <x:v>2.866715649557223</x:v>
      </x:c>
      <x:c r="AM76" s="9" t="str">
        <x:v>0.501675238672514</x:v>
      </x:c>
      <x:c r="AN76" s="9" t="str">
        <x:v>2.759213812698827</x:v>
      </x:c>
      <x:c r="AO76" s="9" t="str">
        <x:v>3.010051432035084</x:v>
      </x:c>
      <x:c r="AP76" s="10" t="str">
        <x:v>0.9166666666666666</x:v>
      </x:c>
      <x:c r="AQ76" s="6" t="str">
        <x:v>0.0</x:v>
      </x:c>
      <x:c r="AR76" s="6" t="str">
        <x:v>0.08333333333333333</x:v>
      </x:c>
      <x:c r="AS76" s="6" t="str">
        <x:v>With trade</x:v>
      </x:c>
      <x:c r="AT76" s="6" t="str">
        <x:v>3.6114450589083917</x:v>
      </x:c>
      <x:c r="AU76" s="7" t="str">
        <x:v>2024-03-21 20:40:00-05:00</x:v>
      </x:c>
      <x:c r="AV76" s="8" t="str">
        <x:v>1</x:v>
      </x:c>
      <x:c r="AW76" s="6" t="str">
        <x:v>Immediate retest (1 bar)</x:v>
      </x:c>
      <x:c r="AX76" s="6" t="str">
        <x:v>18119.5</x:v>
      </x:c>
      <x:c r="AY76" s="6" t="str">
        <x:v>1.25</x:v>
      </x:c>
      <x:c r="AZ76" s="9" t="str">
        <x:v>0.17641818221100125</x:v>
      </x:c>
      <x:c r="BA76" s="9" t="str">
        <x:v>0.03528363644220025</x:v>
      </x:c>
      <x:c r="BB76" s="9" t="str">
        <x:v>1.1996436390348084</x:v>
      </x:c>
      <x:c r="BC76" s="9" t="str">
        <x:v>0.49397091019080347</x:v>
      </x:c>
      <x:c r="BD76" s="6" t="str">
        <x:v>0.17647058823529413</x:v>
      </x:c>
      <x:c r="BE76" s="6" t="str">
        <x:v>0.4117647058823529</x:v>
      </x:c>
      <x:c r="BF76" s="9" t="str">
        <x:v>0.2117018186532015</x:v>
      </x:c>
      <x:c r="BG76" s="9" t="str">
        <x:v>0.49397091019080347</x:v>
      </x:c>
      <x:c r="BH76" s="6" t="str">
        <x:v>Against trade</x:v>
      </x:c>
      <x:c r="BI76" s="6" t="str">
        <x:v>Penetration + same-bar reclaim</x:v>
      </x:c>
      <x:c r="BJ76" s="6" t="str">
        <x:v>False</x:v>
      </x:c>
      <x:c r="BK76" s="10" t="str">
        <x:v>True</x:v>
      </x:c>
      <x:c r="BL76" s="6" t="str">
        <x:v>True</x:v>
      </x:c>
      <x:c r="BM76" s="7" t="str">
        <x:v>2024-03-21 20:45:00-05:00</x:v>
      </x:c>
      <x:c r="BN76" s="8" t="str">
        <x:v>1</x:v>
      </x:c>
      <x:c r="BO76" s="6" t="str">
        <x:v>Immediate confirmation (1 bar)</x:v>
      </x:c>
      <x:c r="BP76" s="9" t="str">
        <x:v>0.92095670118187</x:v>
      </x:c>
      <x:c r="BQ76" s="9" t="str">
        <x:v>1.4325993129495755</x:v>
      </x:c>
      <x:c r="BR76" s="10" t="str">
        <x:v>0.6428571428571429</x:v>
      </x:c>
      <x:c r="BS76" s="9" t="str">
        <x:v>0.92095670118187</x:v>
      </x:c>
      <x:c r="BT76" s="9" t="str">
        <x:v>0.8868471937306897</x:v>
      </x:c>
      <x:c r="BU76" s="9" t="str">
        <x:v>0.4775331043165252</x:v>
      </x:c>
      <x:c r="BV76" s="6" t="str">
        <x:v>With trade</x:v>
      </x:c>
      <x:c r="BW76" s="7" t="str">
        <x:v>2024-03-21 20:45:00-05:00</x:v>
      </x:c>
      <x:c r="BX76" s="6" t="str">
        <x:v>18111.5</x:v>
      </x:c>
      <x:c r="BY76" s="9" t="str">
        <x:v>7.329334800797561</x:v>
      </x:c>
      <x:c r="BZ76" s="9" t="str">
        <x:v>0.27</x:v>
      </x:c>
      <x:c r="CA76" s="6" t="str">
        <x:v>18122.494002201198</x:v>
      </x:c>
      <x:c r="CB76" s="6" t="str">
        <x:v>10.994002201197873</x:v>
      </x:c>
      <x:c r="CC76" s="9" t="str">
        <x:v>1.500000000000209</x:v>
      </x:c>
      <x:c r="CD76" s="6" t="str">
        <x:v>18089.511995597608</x:v>
      </x:c>
      <x:c r="CE76" s="6" t="str">
        <x:v>21.988004402392107</x:v>
      </x:c>
      <x:c r="CF76" s="6" t="str">
        <x:v>Fixed 2.00R target</x:v>
      </x:c>
      <x:c r="CG76" s="9" t="str">
        <x:v>0.06594504773893953</x:v>
      </x:c>
      <x:c r="CH76" s="9" t="str">
        <x:v>2.0</x:v>
      </x:c>
      <x:c r="CI76" s="9" t="str">
        <x:v>1.9340549522610604</x:v>
      </x:c>
      <x:c r="CJ76" s="6" t="str">
        <x:v>Win</x:v>
      </x:c>
      <x:c r="CK76" s="9" t="str">
        <x:v>3.160814357142274</x:v>
      </x:c>
      <x:c r="CL76" s="9" t="str">
        <x:v>0.29561573124352203</x:v>
      </x:c>
      <x:c r="CM76" s="7" t="str">
        <x:v>2024-03-21 21:35:00-05:00</x:v>
      </x:c>
      <x:c r="CN76" s="6" t="str">
        <x:v>18089.511995597608</x:v>
      </x:c>
      <x:c r="CO76" s="6" t="str">
        <x:v>TARGET</x:v>
      </x:c>
      <x:c r="CP76" s="6" t="str">
        <x:v>F::Short::Same-bar Setup+BOS::Penetration + same-bar reclaim</x:v>
      </x:c>
    </x:row>
    <x:row r="77" ht="18" customHeight="1">
      <x:c r="A77" s="6" t="str">
        <x:v>A0076</x:v>
      </x:c>
      <x:c r="B77" s="6" t="str">
        <x:v>2024-03-22</x:v>
      </x:c>
      <x:c r="C77" s="6" t="str">
        <x:v>2024</x:v>
      </x:c>
      <x:c r="D77" s="6" t="str">
        <x:v>2024-Q1</x:v>
      </x:c>
      <x:c r="E77" s="6" t="str">
        <x:v>First 50%</x:v>
      </x:c>
      <x:c r="F77" s="6" t="str">
        <x:v>Short</x:v>
      </x:c>
      <x:c r="G77" s="6" t="str">
        <x:v>Short</x:v>
      </x:c>
      <x:c r="H77" s="6" t="str">
        <x:v>Overnight</x:v>
      </x:c>
      <x:c r="I77" s="6" t="str">
        <x:v>Overnight</x:v>
      </x:c>
      <x:c r="J77" s="6" t="str">
        <x:v>Bull</x:v>
      </x:c>
      <x:c r="K77" s="6" t="str">
        <x:v>Bull</x:v>
      </x:c>
      <x:c r="L77" s="6" t="str">
        <x:v>MID</x:v>
      </x:c>
      <x:c r="M77" s="7" t="str">
        <x:v>2024-03-22 01:30:00-05:00</x:v>
      </x:c>
      <x:c r="N77" s="6" t="str">
        <x:v>90.0</x:v>
      </x:c>
      <x:c r="O77" s="6" t="str">
        <x:v>90-94</x:v>
      </x:c>
      <x:c r="P77" s="6" t="str">
        <x:v>Matching BOS only</x:v>
      </x:c>
      <x:c r="Q77" s="6" t="str">
        <x:v>Bear CHoCH</x:v>
      </x:c>
      <x:c r="R77" s="6" t="str">
        <x:v>True</x:v>
      </x:c>
      <x:c r="S77" s="6" t="str">
        <x:v>False</x:v>
      </x:c>
      <x:c r="T77" s="6" t="str">
        <x:v>Recent BSL</x:v>
      </x:c>
      <x:c r="U77" s="6" t="str">
        <x:v>BSL</x:v>
      </x:c>
      <x:c r="V77" s="6" t="str">
        <x:v>Swing high / buy-side</x:v>
      </x:c>
      <x:c r="W77" s="6" t="str">
        <x:v>[18125.75]</x:v>
      </x:c>
      <x:c r="X77" s="8" t="str">
        <x:v>1</x:v>
      </x:c>
      <x:c r="Y77" s="8" t="str">
        <x:v>3.0</x:v>
      </x:c>
      <x:c r="Z77" s="6" t="str">
        <x:v>None</x:v>
      </x:c>
      <x:c r="AA77" s="6" t="str">
        <x:v>18112.0</x:v>
      </x:c>
      <x:c r="AB77" s="9" t="str">
        <x:v>0.7955077888839058</x:v>
      </x:c>
      <x:c r="AC77" s="9" t="str">
        <x:v>1.3125878516584446</x:v>
      </x:c>
      <x:c r="AD77" s="9" t="str">
        <x:v>1.4319140199910305</x:v>
      </x:c>
      <x:c r="AE77" s="6" t="str">
        <x:v>With trade</x:v>
      </x:c>
      <x:c r="AF77" s="7" t="str">
        <x:v>2024-03-22 01:30:00-05:00</x:v>
      </x:c>
      <x:c r="AG77" s="6" t="str">
        <x:v>Short</x:v>
      </x:c>
      <x:c r="AH77" s="6" t="str">
        <x:v>18112.0</x:v>
      </x:c>
      <x:c r="AI77" s="8" t="str">
        <x:v>0</x:v>
      </x:c>
      <x:c r="AJ77" s="6" t="str">
        <x:v>True</x:v>
      </x:c>
      <x:c r="AK77" s="6" t="str">
        <x:v>Same-bar Setup+BOS</x:v>
      </x:c>
      <x:c r="AL77" s="9" t="str">
        <x:v>1.3125878516584446</x:v>
      </x:c>
      <x:c r="AM77" s="9" t="str">
        <x:v>0.7955077888839058</x:v>
      </x:c>
      <x:c r="AN77" s="9" t="str">
        <x:v>1.3125878516584446</x:v>
      </x:c>
      <x:c r="AO77" s="9" t="str">
        <x:v>1.4319140199910305</x:v>
      </x:c>
      <x:c r="AP77" s="10" t="str">
        <x:v>0.9166666666666666</x:v>
      </x:c>
      <x:c r="AQ77" s="6" t="str">
        <x:v>0.08333333333333333</x:v>
      </x:c>
      <x:c r="AR77" s="6" t="str">
        <x:v>0.0</x:v>
      </x:c>
      <x:c r="AS77" s="6" t="str">
        <x:v>With trade</x:v>
      </x:c>
      <x:c r="AT77" s="6" t="str">
        <x:v>2.318412162162162</x:v>
      </x:c>
      <x:c r="AU77" s="7" t="str">
        <x:v>2024-03-22 01:45:00-05:00</x:v>
      </x:c>
      <x:c r="AV77" s="8" t="str">
        <x:v>3</x:v>
      </x:c>
      <x:c r="AW77" s="6" t="str">
        <x:v>Delayed retest (2+ bars)</x:v>
      </x:c>
      <x:c r="AX77" s="6" t="str">
        <x:v>18112.5</x:v>
      </x:c>
      <x:c r="AY77" s="6" t="str">
        <x:v>0.5</x:v>
      </x:c>
      <x:c r="AZ77" s="9" t="str">
        <x:v>0.0770427705302431</x:v>
      </x:c>
      <x:c r="BA77" s="9" t="str">
        <x:v>0.0770427705302431</x:v>
      </x:c>
      <x:c r="BB77" s="9" t="str">
        <x:v>1.3097270990141328</x:v>
      </x:c>
      <x:c r="BC77" s="9" t="str">
        <x:v>1.117120172688525</x:v>
      </x:c>
      <x:c r="BD77" s="6" t="str">
        <x:v>0.11764705882352941</x:v>
      </x:c>
      <x:c r="BE77" s="6" t="str">
        <x:v>0.029411764705882353</x:v>
      </x:c>
      <x:c r="BF77" s="9" t="str">
        <x:v>0.1540855410604862</x:v>
      </x:c>
      <x:c r="BG77" s="9" t="str">
        <x:v>0.03852138526512155</x:v>
      </x:c>
      <x:c r="BH77" s="6" t="str">
        <x:v>Against trade</x:v>
      </x:c>
      <x:c r="BI77" s="6" t="str">
        <x:v>Penetration + same-bar reclaim</x:v>
      </x:c>
      <x:c r="BJ77" s="6" t="str">
        <x:v>False</x:v>
      </x:c>
      <x:c r="BK77" s="10" t="str">
        <x:v>True</x:v>
      </x:c>
      <x:c r="BL77" s="6" t="str">
        <x:v>True</x:v>
      </x:c>
      <x:c r="BM77" s="7" t="str">
        <x:v>2024-03-22 01:50:00-05:00</x:v>
      </x:c>
      <x:c r="BN77" s="8" t="str">
        <x:v>1</x:v>
      </x:c>
      <x:c r="BO77" s="6" t="str">
        <x:v>Immediate confirmation (1 bar)</x:v>
      </x:c>
      <x:c r="BP77" s="9" t="str">
        <x:v>0.38623365761058875</x:v>
      </x:c>
      <x:c r="BQ77" s="9" t="str">
        <x:v>0.9655841440264719</x:v>
      </x:c>
      <x:c r="BR77" s="10" t="str">
        <x:v>0.4</x:v>
      </x:c>
      <x:c r="BS77" s="9" t="str">
        <x:v>0.4248570233716476</x:v>
      </x:c>
      <x:c r="BT77" s="9" t="str">
        <x:v>0.34761029184952985</x:v>
      </x:c>
      <x:c r="BU77" s="9" t="str">
        <x:v>0.0</x:v>
      </x:c>
      <x:c r="BV77" s="6" t="str">
        <x:v>With trade</x:v>
      </x:c>
      <x:c r="BW77" s="7" t="str">
        <x:v>2024-03-22 01:50:00-05:00</x:v>
      </x:c>
      <x:c r="BX77" s="6" t="str">
        <x:v>18109.25</x:v>
      </x:c>
      <x:c r="BY77" s="9" t="str">
        <x:v>6.472765774650763</x:v>
      </x:c>
      <x:c r="BZ77" s="9" t="str">
        <x:v>0.44</x:v>
      </x:c>
      <x:c r="CA77" s="6" t="str">
        <x:v>18118.959148661976</x:v>
      </x:c>
      <x:c r="CB77" s="6" t="str">
        <x:v>9.709148661975632</x:v>
      </x:c>
      <x:c r="CC77" s="9" t="str">
        <x:v>1.499999999999921</x:v>
      </x:c>
      <x:c r="CD77" s="6" t="str">
        <x:v>18089.83170267605</x:v>
      </x:c>
      <x:c r="CE77" s="6" t="str">
        <x:v>19.418297323951265</x:v>
      </x:c>
      <x:c r="CF77" s="6" t="str">
        <x:v>Fixed 2.00R target</x:v>
      </x:c>
      <x:c r="CG77" s="9" t="str">
        <x:v>0.07467184047138443</x:v>
      </x:c>
      <x:c r="CH77" s="9" t="str">
        <x:v>2.0</x:v>
      </x:c>
      <x:c r="CI77" s="9" t="str">
        <x:v>1.9253281595286156</x:v>
      </x:c>
      <x:c r="CJ77" s="6" t="str">
        <x:v>Win</x:v>
      </x:c>
      <x:c r="CK77" s="9" t="str">
        <x:v>2.034163930082541</x:v>
      </x:c>
      <x:c r="CL77" s="9" t="str">
        <x:v>0.437731478625357</x:v>
      </x:c>
      <x:c r="CM77" s="7" t="str">
        <x:v>2024-03-22 02:10:00-05:00</x:v>
      </x:c>
      <x:c r="CN77" s="6" t="str">
        <x:v>18089.83170267605</x:v>
      </x:c>
      <x:c r="CO77" s="6" t="str">
        <x:v>TARGET</x:v>
      </x:c>
      <x:c r="CP77" s="6" t="str">
        <x:v>F::Short::Same-bar Setup+BOS::Penetration + same-bar reclaim</x:v>
      </x:c>
    </x:row>
    <x:row r="78" ht="18" customHeight="1">
      <x:c r="A78" s="6" t="str">
        <x:v>A0077</x:v>
      </x:c>
      <x:c r="B78" s="6" t="str">
        <x:v>2024-03-27</x:v>
      </x:c>
      <x:c r="C78" s="6" t="str">
        <x:v>2024</x:v>
      </x:c>
      <x:c r="D78" s="6" t="str">
        <x:v>2024-Q1</x:v>
      </x:c>
      <x:c r="E78" s="6" t="str">
        <x:v>First 50%</x:v>
      </x:c>
      <x:c r="F78" s="6" t="str">
        <x:v>Long</x:v>
      </x:c>
      <x:c r="G78" s="6" t="str">
        <x:v>Long</x:v>
      </x:c>
      <x:c r="H78" s="6" t="str">
        <x:v>Overnight</x:v>
      </x:c>
      <x:c r="I78" s="6" t="str">
        <x:v>Overnight</x:v>
      </x:c>
      <x:c r="J78" s="6" t="str">
        <x:v>Bear</x:v>
      </x:c>
      <x:c r="K78" s="6" t="str">
        <x:v>Bear</x:v>
      </x:c>
      <x:c r="L78" s="6" t="str">
        <x:v>LOW</x:v>
      </x:c>
      <x:c r="M78" s="7" t="str">
        <x:v>2024-03-27 19:10:00-05:00</x:v>
      </x:c>
      <x:c r="N78" s="6" t="str">
        <x:v>90.0</x:v>
      </x:c>
      <x:c r="O78" s="6" t="str">
        <x:v>90-94</x:v>
      </x:c>
      <x:c r="P78" s="6" t="str">
        <x:v>Matching BOS only</x:v>
      </x:c>
      <x:c r="Q78" s="6" t="str">
        <x:v>Bull BOS</x:v>
      </x:c>
      <x:c r="R78" s="6" t="str">
        <x:v>True</x:v>
      </x:c>
      <x:c r="S78" s="6" t="str">
        <x:v>False</x:v>
      </x:c>
      <x:c r="T78" s="6" t="str">
        <x:v>Recent SSL</x:v>
      </x:c>
      <x:c r="U78" s="6" t="str">
        <x:v>SSL</x:v>
      </x:c>
      <x:c r="V78" s="6" t="str">
        <x:v>Swing low / sell-side</x:v>
      </x:c>
      <x:c r="W78" s="6" t="str">
        <x:v>[18017.0]</x:v>
      </x:c>
      <x:c r="X78" s="8" t="str">
        <x:v>1</x:v>
      </x:c>
      <x:c r="Y78" s="8" t="str">
        <x:v>4.0</x:v>
      </x:c>
      <x:c r="Z78" s="6" t="str">
        <x:v>None</x:v>
      </x:c>
      <x:c r="AA78" s="6" t="str">
        <x:v>18033.25</x:v>
      </x:c>
      <x:c r="AB78" s="9" t="str">
        <x:v>0.30425027942040705</x:v>
      </x:c>
      <x:c r="AC78" s="9" t="str">
        <x:v>0.684563128695916</x:v>
      </x:c>
      <x:c r="AD78" s="9" t="str">
        <x:v>1.026844693043874</x:v>
      </x:c>
      <x:c r="AE78" s="6" t="str">
        <x:v>With trade</x:v>
      </x:c>
      <x:c r="AF78" s="7" t="str">
        <x:v>2024-03-27 19:10:00-05:00</x:v>
      </x:c>
      <x:c r="AG78" s="6" t="str">
        <x:v>Long</x:v>
      </x:c>
      <x:c r="AH78" s="6" t="str">
        <x:v>18033.25</x:v>
      </x:c>
      <x:c r="AI78" s="8" t="str">
        <x:v>0</x:v>
      </x:c>
      <x:c r="AJ78" s="6" t="str">
        <x:v>True</x:v>
      </x:c>
      <x:c r="AK78" s="6" t="str">
        <x:v>Same-bar Setup+BOS</x:v>
      </x:c>
      <x:c r="AL78" s="9" t="str">
        <x:v>0.684563128695916</x:v>
      </x:c>
      <x:c r="AM78" s="9" t="str">
        <x:v>0.30425027942040705</x:v>
      </x:c>
      <x:c r="AN78" s="9" t="str">
        <x:v>0.684563128695916</x:v>
      </x:c>
      <x:c r="AO78" s="9" t="str">
        <x:v>1.026844693043874</x:v>
      </x:c>
      <x:c r="AP78" s="10" t="str">
        <x:v>0.6666666666666666</x:v>
      </x:c>
      <x:c r="AQ78" s="6" t="str">
        <x:v>0.07407407407407407</x:v>
      </x:c>
      <x:c r="AR78" s="6" t="str">
        <x:v>0.25925925925925924</x:v>
      </x:c>
      <x:c r="AS78" s="6" t="str">
        <x:v>With trade</x:v>
      </x:c>
      <x:c r="AT78" s="6" t="str">
        <x:v>1.342151332425598</x:v>
      </x:c>
      <x:c r="AU78" s="7" t="str">
        <x:v>2024-03-27 19:15:00-05:00</x:v>
      </x:c>
      <x:c r="AV78" s="8" t="str">
        <x:v>1</x:v>
      </x:c>
      <x:c r="AW78" s="6" t="str">
        <x:v>Immediate retest (1 bar)</x:v>
      </x:c>
      <x:c r="AX78" s="6" t="str">
        <x:v>18033.0</x:v>
      </x:c>
      <x:c r="AY78" s="6" t="str">
        <x:v>0.25</x:v>
      </x:c>
      <x:c r="AZ78" s="9" t="str">
        <x:v>0.03795850033541446</x:v>
      </x:c>
      <x:c r="BA78" s="9" t="str">
        <x:v>0.07591700067082892</x:v>
      </x:c>
      <x:c r="BB78" s="9" t="str">
        <x:v>1.0248795090561904</x:v>
      </x:c>
      <x:c r="BC78" s="9" t="str">
        <x:v>0.15183400134165784</x:v>
      </x:c>
      <x:c r="BD78" s="6" t="str">
        <x:v>0.7407407407407407</x:v>
      </x:c>
      <x:c r="BE78" s="6" t="str">
        <x:v>0.1111111111111111</x:v>
      </x:c>
      <x:c r="BF78" s="9" t="str">
        <x:v>0.11387550100624338</x:v>
      </x:c>
      <x:c r="BG78" s="9" t="str">
        <x:v>0.7591700067082893</x:v>
      </x:c>
      <x:c r="BH78" s="6" t="str">
        <x:v>Against trade</x:v>
      </x:c>
      <x:c r="BI78" s="6" t="str">
        <x:v>Penetration + same-bar reclaim</x:v>
      </x:c>
      <x:c r="BJ78" s="6" t="str">
        <x:v>False</x:v>
      </x:c>
      <x:c r="BK78" s="10" t="str">
        <x:v>True</x:v>
      </x:c>
      <x:c r="BL78" s="6" t="str">
        <x:v>True</x:v>
      </x:c>
      <x:c r="BM78" s="7" t="str">
        <x:v>2024-03-27 19:20:00-05:00</x:v>
      </x:c>
      <x:c r="BN78" s="8" t="str">
        <x:v>1</x:v>
      </x:c>
      <x:c r="BO78" s="6" t="str">
        <x:v>Immediate confirmation (1 bar)</x:v>
      </x:c>
      <x:c r="BP78" s="9" t="str">
        <x:v>0.752920865141208</x:v>
      </x:c>
      <x:c r="BQ78" s="9" t="str">
        <x:v>1.7209619774656182</x:v>
      </x:c>
      <x:c r="BR78" s="10" t="str">
        <x:v>0.4375</x:v>
      </x:c>
      <x:c r="BS78" s="9" t="str">
        <x:v>0.7170674906106743</x:v>
      </x:c>
      <x:c r="BT78" s="9" t="str">
        <x:v>0.6453607415496069</x:v>
      </x:c>
      <x:c r="BU78" s="9" t="str">
        <x:v>0.35853374530533716</x:v>
      </x:c>
      <x:c r="BV78" s="6" t="str">
        <x:v>With trade</x:v>
      </x:c>
      <x:c r="BW78" s="7" t="str">
        <x:v>2024-03-27 19:20:00-05:00</x:v>
      </x:c>
      <x:c r="BX78" s="6" t="str">
        <x:v>18038.25</x:v>
      </x:c>
      <x:c r="BY78" s="9" t="str">
        <x:v>6.972844349339925</x:v>
      </x:c>
      <x:c r="BZ78" s="9" t="str">
        <x:v>0.07</x:v>
      </x:c>
      <x:c r="CA78" s="6" t="str">
        <x:v>18027.79073347599</x:v>
      </x:c>
      <x:c r="CB78" s="6" t="str">
        <x:v>10.459266524008854</x:v>
      </x:c>
      <x:c r="CC78" s="9" t="str">
        <x:v>1.4999999999998517</x:v>
      </x:c>
      <x:c r="CD78" s="6" t="str">
        <x:v>18059.16853304802</x:v>
      </x:c>
      <x:c r="CE78" s="6" t="str">
        <x:v>20.918533048021345</x:v>
      </x:c>
      <x:c r="CF78" s="6" t="str">
        <x:v>Fixed 2.00R target</x:v>
      </x:c>
      <x:c r="CG78" s="9" t="str">
        <x:v>0.06931652409237203</x:v>
      </x:c>
      <x:c r="CH78" s="9" t="str">
        <x:v>-0.11951124843511238</x:v>
      </x:c>
      <x:c r="CI78" s="9" t="str">
        <x:v>-0.1888277725274844</x:v>
      </x:c>
      <x:c r="CJ78" s="6" t="str">
        <x:v>Loss</x:v>
      </x:c>
      <x:c r="CK78" s="9" t="str">
        <x:v>0.6931652409237203</x:v>
      </x:c>
      <x:c r="CL78" s="9" t="str">
        <x:v>0.7170674906107452</x:v>
      </x:c>
      <x:c r="CM78" s="7" t="str">
        <x:v>2024-03-27 20:20:00-05:00</x:v>
      </x:c>
      <x:c r="CN78" s="6" t="str">
        <x:v>18037.0</x:v>
      </x:c>
      <x:c r="CO78" s="6" t="str">
        <x:v>TIME</x:v>
      </x:c>
      <x:c r="CP78" s="6" t="str">
        <x:v>F::Long::Same-bar Setup+BOS::Penetration + same-bar reclaim</x:v>
      </x:c>
    </x:row>
    <x:row r="79" ht="18" customHeight="1">
      <x:c r="A79" s="6" t="str">
        <x:v>A0078</x:v>
      </x:c>
      <x:c r="B79" s="6" t="str">
        <x:v>2024-03-28</x:v>
      </x:c>
      <x:c r="C79" s="6" t="str">
        <x:v>2024</x:v>
      </x:c>
      <x:c r="D79" s="6" t="str">
        <x:v>2024-Q1</x:v>
      </x:c>
      <x:c r="E79" s="6" t="str">
        <x:v>First 50%</x:v>
      </x:c>
      <x:c r="F79" s="6" t="str">
        <x:v>Long</x:v>
      </x:c>
      <x:c r="G79" s="6" t="str">
        <x:v>Long</x:v>
      </x:c>
      <x:c r="H79" s="6" t="str">
        <x:v>Afternoon</x:v>
      </x:c>
      <x:c r="I79" s="6" t="str">
        <x:v>Midday</x:v>
      </x:c>
      <x:c r="J79" s="6" t="str">
        <x:v>Neutral</x:v>
      </x:c>
      <x:c r="K79" s="6" t="str">
        <x:v>Bear</x:v>
      </x:c>
      <x:c r="L79" s="6" t="str">
        <x:v>MID</x:v>
      </x:c>
      <x:c r="M79" s="7" t="str">
        <x:v>2024-03-28 13:55:00-05:00</x:v>
      </x:c>
      <x:c r="N79" s="6" t="str">
        <x:v>100.0</x:v>
      </x:c>
      <x:c r="O79" s="6" t="str">
        <x:v>95+</x:v>
      </x:c>
      <x:c r="P79" s="6" t="str">
        <x:v>Matching BOS only</x:v>
      </x:c>
      <x:c r="Q79" s="6" t="str">
        <x:v>Bull CHoCH</x:v>
      </x:c>
      <x:c r="R79" s="6" t="str">
        <x:v>True</x:v>
      </x:c>
      <x:c r="S79" s="6" t="str">
        <x:v>False</x:v>
      </x:c>
      <x:c r="T79" s="6" t="str">
        <x:v>Recent SSL</x:v>
      </x:c>
      <x:c r="U79" s="6" t="str">
        <x:v>SSL</x:v>
      </x:c>
      <x:c r="V79" s="6" t="str">
        <x:v>Swing low / sell-side</x:v>
      </x:c>
      <x:c r="W79" s="6" t="str">
        <x:v>[17994.25]</x:v>
      </x:c>
      <x:c r="X79" s="8" t="str">
        <x:v>1</x:v>
      </x:c>
      <x:c r="Y79" s="8" t="str">
        <x:v>11.0</x:v>
      </x:c>
      <x:c r="Z79" s="6" t="str">
        <x:v>None</x:v>
      </x:c>
      <x:c r="AA79" s="6" t="str">
        <x:v>18021.0</x:v>
      </x:c>
      <x:c r="AB79" s="9" t="str">
        <x:v>1.1718170565823156</x:v>
      </x:c>
      <x:c r="AC79" s="9" t="str">
        <x:v>1.318294188655105</x:v>
      </x:c>
      <x:c r="AD79" s="9" t="str">
        <x:v>1.9855789014311458</x:v>
      </x:c>
      <x:c r="AE79" s="6" t="str">
        <x:v>With trade</x:v>
      </x:c>
      <x:c r="AF79" s="7" t="str">
        <x:v>2024-03-28 13:55:00-05:00</x:v>
      </x:c>
      <x:c r="AG79" s="6" t="str">
        <x:v>Long</x:v>
      </x:c>
      <x:c r="AH79" s="6" t="str">
        <x:v>18021.0</x:v>
      </x:c>
      <x:c r="AI79" s="8" t="str">
        <x:v>0</x:v>
      </x:c>
      <x:c r="AJ79" s="6" t="str">
        <x:v>True</x:v>
      </x:c>
      <x:c r="AK79" s="6" t="str">
        <x:v>Same-bar Setup+BOS</x:v>
      </x:c>
      <x:c r="AL79" s="9" t="str">
        <x:v>1.3508446624490582</x:v>
      </x:c>
      <x:c r="AM79" s="9" t="str">
        <x:v>1.1718170565823156</x:v>
      </x:c>
      <x:c r="AN79" s="9" t="str">
        <x:v>1.318294188655105</x:v>
      </x:c>
      <x:c r="AO79" s="9" t="str">
        <x:v>1.9855789014311458</x:v>
      </x:c>
      <x:c r="AP79" s="10" t="str">
        <x:v>0.6639344262295082</x:v>
      </x:c>
      <x:c r="AQ79" s="6" t="str">
        <x:v>0.2459016393442623</x:v>
      </x:c>
      <x:c r="AR79" s="6" t="str">
        <x:v>0.09016393442622951</x:v>
      </x:c>
      <x:c r="AS79" s="6" t="str">
        <x:v>With trade</x:v>
      </x:c>
      <x:c r="AT79" s="6" t="str">
        <x:v>2.474658140009524</x:v>
      </x:c>
      <x:c r="AU79" s="7" t="str">
        <x:v>2024-03-28 14:05:00-05:00</x:v>
      </x:c>
      <x:c r="AV79" s="8" t="str">
        <x:v>2</x:v>
      </x:c>
      <x:c r="AW79" s="6" t="str">
        <x:v>Delayed retest (2+ bars)</x:v>
      </x:c>
      <x:c r="AX79" s="6" t="str">
        <x:v>18014.0</x:v>
      </x:c>
      <x:c r="AY79" s="6" t="str">
        <x:v>7.0</x:v>
      </x:c>
      <x:c r="AZ79" s="9" t="str">
        <x:v>0.4289553143962629</x:v>
      </x:c>
      <x:c r="BA79" s="9" t="str">
        <x:v>0.6127933062803755</x:v>
      </x:c>
      <x:c r="BB79" s="9" t="str">
        <x:v>1.0723882859906573</x:v>
      </x:c>
      <x:c r="BC79" s="9" t="str">
        <x:v>0.3983156490822441</x:v>
      </x:c>
      <x:c r="BD79" s="6" t="str">
        <x:v>0.02857142857142857</x:v>
      </x:c>
      <x:c r="BE79" s="6" t="str">
        <x:v>0.6</x:v>
      </x:c>
      <x:c r="BF79" s="9" t="str">
        <x:v>0.6434329715943943</x:v>
      </x:c>
      <x:c r="BG79" s="9" t="str">
        <x:v>0.030639665314018776</x:v>
      </x:c>
      <x:c r="BH79" s="6" t="str">
        <x:v>With trade</x:v>
      </x:c>
      <x:c r="BI79" s="6" t="str">
        <x:v>Penetration + same-bar reclaim</x:v>
      </x:c>
      <x:c r="BJ79" s="6" t="str">
        <x:v>False</x:v>
      </x:c>
      <x:c r="BK79" s="10" t="str">
        <x:v>True</x:v>
      </x:c>
      <x:c r="BL79" s="6" t="str">
        <x:v>True</x:v>
      </x:c>
      <x:c r="BM79" s="7" t="str">
        <x:v>2024-03-28 14:15:00-05:00</x:v>
      </x:c>
      <x:c r="BN79" s="8" t="str">
        <x:v>2</x:v>
      </x:c>
      <x:c r="BO79" s="6" t="str">
        <x:v>Delayed confirmation (2+ bars)</x:v>
      </x:c>
      <x:c r="BP79" s="9" t="str">
        <x:v>0.623585593579495</x:v>
      </x:c>
      <x:c r="BQ79" s="9" t="str">
        <x:v>0.9197887505297551</x:v>
      </x:c>
      <x:c r="BR79" s="10" t="str">
        <x:v>0.6779661016949152</x:v>
      </x:c>
      <x:c r="BS79" s="9" t="str">
        <x:v>1.2315815473195026</x:v>
      </x:c>
      <x:c r="BT79" s="9" t="str">
        <x:v>0.6079959537400076</x:v>
      </x:c>
      <x:c r="BU79" s="9" t="str">
        <x:v>0.14030675855538638</x:v>
      </x:c>
      <x:c r="BV79" s="6" t="str">
        <x:v>With trade</x:v>
      </x:c>
      <x:c r="BW79" s="7" t="str">
        <x:v>2024-03-28 14:15:00-05:00</x:v>
      </x:c>
      <x:c r="BX79" s="6" t="str">
        <x:v>18040.75</x:v>
      </x:c>
      <x:c r="BY79" s="9" t="str">
        <x:v>16.03629093256978</x:v>
      </x:c>
      <x:c r="BZ79" s="9" t="str">
        <x:v>0.64</x:v>
      </x:c>
      <x:c r="CA79" s="6" t="str">
        <x:v>18016.695563601144</x:v>
      </x:c>
      <x:c r="CB79" s="6" t="str">
        <x:v>24.054436398855614</x:v>
      </x:c>
      <x:c r="CC79" s="9" t="str">
        <x:v>1.5000000000000588</x:v>
      </x:c>
      <x:c r="CD79" s="6" t="str">
        <x:v>18088.858872797708</x:v>
      </x:c>
      <x:c r="CE79" s="6" t="str">
        <x:v>48.10887279770759</x:v>
      </x:c>
      <x:c r="CF79" s="6" t="str">
        <x:v>Fixed 2.00R target</x:v>
      </x:c>
      <x:c r="CG79" s="9" t="str">
        <x:v>0.030139970356341077</x:v>
      </x:c>
      <x:c r="CH79" s="9" t="str">
        <x:v>-1.0</x:v>
      </x:c>
      <x:c r="CI79" s="9" t="str">
        <x:v>-1.030139970356341</x:v>
      </x:c>
      <x:c r="CJ79" s="6" t="str">
        <x:v>Loss</x:v>
      </x:c>
      <x:c r="CK79" s="9" t="str">
        <x:v>0.3741513561476823</x:v>
      </x:c>
      <x:c r="CL79" s="9" t="str">
        <x:v>1.143240254895696</x:v>
      </x:c>
      <x:c r="CM79" s="7" t="str">
        <x:v>2024-03-28 14:50:00-05:00</x:v>
      </x:c>
      <x:c r="CN79" s="6" t="str">
        <x:v>18016.695563601144</x:v>
      </x:c>
      <x:c r="CO79" s="6" t="str">
        <x:v>STOP</x:v>
      </x:c>
      <x:c r="CP79" s="6" t="str">
        <x:v>F::Long::Same-bar Setup+BOS::Penetration + same-bar reclaim</x:v>
      </x:c>
    </x:row>
    <x:row r="80" ht="18" customHeight="1">
      <x:c r="A80" s="6" t="str">
        <x:v>A0079</x:v>
      </x:c>
      <x:c r="B80" s="6" t="str">
        <x:v>2024-03-31</x:v>
      </x:c>
      <x:c r="C80" s="6" t="str">
        <x:v>2024</x:v>
      </x:c>
      <x:c r="D80" s="6" t="str">
        <x:v>2024-Q1</x:v>
      </x:c>
      <x:c r="E80" s="6" t="str">
        <x:v>First 50%</x:v>
      </x:c>
      <x:c r="F80" s="6" t="str">
        <x:v>Long</x:v>
      </x:c>
      <x:c r="G80" s="6" t="str">
        <x:v>Long</x:v>
      </x:c>
      <x:c r="H80" s="6" t="str">
        <x:v>Overnight</x:v>
      </x:c>
      <x:c r="I80" s="6" t="str">
        <x:v>Overnight</x:v>
      </x:c>
      <x:c r="J80" s="6" t="str">
        <x:v>Bull</x:v>
      </x:c>
      <x:c r="K80" s="6" t="str">
        <x:v>Bull</x:v>
      </x:c>
      <x:c r="L80" s="6" t="str">
        <x:v>LOW</x:v>
      </x:c>
      <x:c r="M80" s="7" t="str">
        <x:v>2024-03-31 23:45:00-05:00</x:v>
      </x:c>
      <x:c r="N80" s="6" t="str">
        <x:v>90.0</x:v>
      </x:c>
      <x:c r="O80" s="6" t="str">
        <x:v>90-94</x:v>
      </x:c>
      <x:c r="P80" s="6" t="str">
        <x:v>Matching BOS only</x:v>
      </x:c>
      <x:c r="Q80" s="6" t="str">
        <x:v>Bull CHoCH</x:v>
      </x:c>
      <x:c r="R80" s="6" t="str">
        <x:v>True</x:v>
      </x:c>
      <x:c r="S80" s="6" t="str">
        <x:v>False</x:v>
      </x:c>
      <x:c r="T80" s="6" t="str">
        <x:v>Recent SSL</x:v>
      </x:c>
      <x:c r="U80" s="6" t="str">
        <x:v>SSL</x:v>
      </x:c>
      <x:c r="V80" s="6" t="str">
        <x:v>Swing low / sell-side</x:v>
      </x:c>
      <x:c r="W80" s="6" t="str">
        <x:v>[18104.5]</x:v>
      </x:c>
      <x:c r="X80" s="8" t="str">
        <x:v>1</x:v>
      </x:c>
      <x:c r="Y80" s="8" t="str">
        <x:v>18.0</x:v>
      </x:c>
      <x:c r="Z80" s="6" t="str">
        <x:v>None</x:v>
      </x:c>
      <x:c r="AA80" s="6" t="str">
        <x:v>18128.5</x:v>
      </x:c>
      <x:c r="AB80" s="9" t="str">
        <x:v>0.3259772788056402</x:v>
      </x:c>
      <x:c r="AC80" s="9" t="str">
        <x:v>0.7062841040788871</x:v>
      </x:c>
      <x:c r="AD80" s="9" t="str">
        <x:v>1.086590929352134</x:v>
      </x:c>
      <x:c r="AE80" s="6" t="str">
        <x:v>With trade</x:v>
      </x:c>
      <x:c r="AF80" s="7" t="str">
        <x:v>2024-03-31 23:45:00-05:00</x:v>
      </x:c>
      <x:c r="AG80" s="6" t="str">
        <x:v>Long</x:v>
      </x:c>
      <x:c r="AH80" s="6" t="str">
        <x:v>18128.5</x:v>
      </x:c>
      <x:c r="AI80" s="8" t="str">
        <x:v>0</x:v>
      </x:c>
      <x:c r="AJ80" s="6" t="str">
        <x:v>True</x:v>
      </x:c>
      <x:c r="AK80" s="6" t="str">
        <x:v>Same-bar Setup+BOS</x:v>
      </x:c>
      <x:c r="AL80" s="9" t="str">
        <x:v>0.7062841040788871</x:v>
      </x:c>
      <x:c r="AM80" s="9" t="str">
        <x:v>0.3259772788056402</x:v>
      </x:c>
      <x:c r="AN80" s="9" t="str">
        <x:v>0.7062841040788871</x:v>
      </x:c>
      <x:c r="AO80" s="9" t="str">
        <x:v>1.086590929352134</x:v>
      </x:c>
      <x:c r="AP80" s="10" t="str">
        <x:v>0.65</x:v>
      </x:c>
      <x:c r="AQ80" s="6" t="str">
        <x:v>0.25</x:v>
      </x:c>
      <x:c r="AR80" s="6" t="str">
        <x:v>0.1</x:v>
      </x:c>
      <x:c r="AS80" s="6" t="str">
        <x:v>With trade</x:v>
      </x:c>
      <x:c r="AT80" s="6" t="str">
        <x:v>1.134397870924817</x:v>
      </x:c>
      <x:c r="AU80" s="7" t="str">
        <x:v>2024-03-31 23:50:00-05:00</x:v>
      </x:c>
      <x:c r="AV80" s="8" t="str">
        <x:v>1</x:v>
      </x:c>
      <x:c r="AW80" s="6" t="str">
        <x:v>Immediate retest (1 bar)</x:v>
      </x:c>
      <x:c r="AX80" s="6" t="str">
        <x:v>18127.75</x:v>
      </x:c>
      <x:c r="AY80" s="6" t="str">
        <x:v>0.75</x:v>
      </x:c>
      <x:c r="AZ80" s="9" t="str">
        <x:v>0.16916351968532103</x:v>
      </x:c>
      <x:c r="BA80" s="9" t="str">
        <x:v>0.0</x:v>
      </x:c>
      <x:c r="BB80" s="9" t="str">
        <x:v>0.5074905590559631</x:v>
      </x:c>
      <x:c r="BC80" s="9" t="str">
        <x:v>0.22555135958042805</x:v>
      </x:c>
      <x:c r="BD80" s="6" t="str">
        <x:v>0.2222222222222222</x:v>
      </x:c>
      <x:c r="BE80" s="6" t="str">
        <x:v>0.3333333333333333</x:v>
      </x:c>
      <x:c r="BF80" s="9" t="str">
        <x:v>0.16916351968532103</x:v>
      </x:c>
      <x:c r="BG80" s="9" t="str">
        <x:v>0.11277567979021402</x:v>
      </x:c>
      <x:c r="BH80" s="6" t="str">
        <x:v>Against trade</x:v>
      </x:c>
      <x:c r="BI80" s="6" t="str">
        <x:v>Penetration without same-bar reclaim</x:v>
      </x:c>
      <x:c r="BJ80" s="6" t="str">
        <x:v>False</x:v>
      </x:c>
      <x:c r="BK80" s="10" t="str">
        <x:v>True</x:v>
      </x:c>
      <x:c r="BL80" s="6" t="str">
        <x:v>False</x:v>
      </x:c>
      <x:c r="BM80" s="7" t="str">
        <x:v>2024-03-31 23:55:00-05:00</x:v>
      </x:c>
      <x:c r="BN80" s="8" t="str">
        <x:v>1</x:v>
      </x:c>
      <x:c r="BO80" s="6" t="str">
        <x:v>Immediate confirmation (1 bar)</x:v>
      </x:c>
      <x:c r="BP80" s="9" t="str">
        <x:v>0.17533155142623427</x:v>
      </x:c>
      <x:c r="BQ80" s="9" t="str">
        <x:v>0.5259946542787028</x:v>
      </x:c>
      <x:c r="BR80" s="10" t="str">
        <x:v>0.3333333333333333</x:v>
      </x:c>
      <x:c r="BS80" s="9" t="str">
        <x:v>0.29221925237705715</x:v>
      </x:c>
      <x:c r="BT80" s="9" t="str">
        <x:v>0.29221925237705715</x:v>
      </x:c>
      <x:c r="BU80" s="9" t="str">
        <x:v>0.2337754019016457</x:v>
      </x:c>
      <x:c r="BV80" s="6" t="str">
        <x:v>With trade</x:v>
      </x:c>
      <x:c r="BW80" s="7" t="str">
        <x:v>2024-03-31 23:55:00-05:00</x:v>
      </x:c>
      <x:c r="BX80" s="6" t="str">
        <x:v>18129.75</x:v>
      </x:c>
      <x:c r="BY80" s="9" t="str">
        <x:v>4.277610013138685</x:v>
      </x:c>
      <x:c r="BZ80" s="9" t="str">
        <x:v>0.0</x:v>
      </x:c>
      <x:c r="CA80" s="6" t="str">
        <x:v>18123.333584980293</x:v>
      </x:c>
      <x:c r="CB80" s="6" t="str">
        <x:v>6.416415019706619</x:v>
      </x:c>
      <x:c r="CC80" s="9" t="str">
        <x:v>1.4999999999996707</x:v>
      </x:c>
      <x:c r="CD80" s="6" t="str">
        <x:v>18142.582830039417</x:v>
      </x:c>
      <x:c r="CE80" s="6" t="str">
        <x:v>12.832830039416876</x:v>
      </x:c>
      <x:c r="CF80" s="6" t="str">
        <x:v>Fixed 2.00R target</x:v>
      </x:c>
      <x:c r="CG80" s="9" t="str">
        <x:v>0.11299144425248689</x:v>
      </x:c>
      <x:c r="CH80" s="9" t="str">
        <x:v>-1.0</x:v>
      </x:c>
      <x:c r="CI80" s="9" t="str">
        <x:v>-1.1129914442524869</x:v>
      </x:c>
      <x:c r="CJ80" s="6" t="str">
        <x:v>Loss</x:v>
      </x:c>
      <x:c r="CK80" s="9" t="str">
        <x:v>0.5065133707870102</x:v>
      </x:c>
      <x:c r="CL80" s="9" t="str">
        <x:v>1.3247272774429497</x:v>
      </x:c>
      <x:c r="CM80" s="7" t="str">
        <x:v>2024-04-01 00:15:00-05:00</x:v>
      </x:c>
      <x:c r="CN80" s="6" t="str">
        <x:v>18123.333584980293</x:v>
      </x:c>
      <x:c r="CO80" s="6" t="str">
        <x:v>STOP</x:v>
      </x:c>
      <x:c r="CP80" s="6" t="str">
        <x:v>F::Long::Same-bar Setup+BOS::Penetration without same-bar reclaim</x:v>
      </x:c>
    </x:row>
    <x:row r="81" ht="18" customHeight="1">
      <x:c r="A81" s="6" t="str">
        <x:v>A0080</x:v>
      </x:c>
      <x:c r="B81" s="6" t="str">
        <x:v>2024-04-02</x:v>
      </x:c>
      <x:c r="C81" s="6" t="str">
        <x:v>2024</x:v>
      </x:c>
      <x:c r="D81" s="6" t="str">
        <x:v>2024-Q2</x:v>
      </x:c>
      <x:c r="E81" s="6" t="str">
        <x:v>First 50%</x:v>
      </x:c>
      <x:c r="F81" s="6" t="str">
        <x:v>Short</x:v>
      </x:c>
      <x:c r="G81" s="6" t="str">
        <x:v>Short</x:v>
      </x:c>
      <x:c r="H81" s="6" t="str">
        <x:v>Overnight</x:v>
      </x:c>
      <x:c r="I81" s="6" t="str">
        <x:v>Overnight</x:v>
      </x:c>
      <x:c r="J81" s="6" t="str">
        <x:v>Bear</x:v>
      </x:c>
      <x:c r="K81" s="6" t="str">
        <x:v>Bear</x:v>
      </x:c>
      <x:c r="L81" s="6" t="str">
        <x:v>LOW</x:v>
      </x:c>
      <x:c r="M81" s="7" t="str">
        <x:v>2024-04-02 00:15:00-05:00</x:v>
      </x:c>
      <x:c r="N81" s="6" t="str">
        <x:v>90.0</x:v>
      </x:c>
      <x:c r="O81" s="6" t="str">
        <x:v>90-94</x:v>
      </x:c>
      <x:c r="P81" s="6" t="str">
        <x:v>Matching BOS only</x:v>
      </x:c>
      <x:c r="Q81" s="6" t="str">
        <x:v>Bear CHoCH</x:v>
      </x:c>
      <x:c r="R81" s="6" t="str">
        <x:v>True</x:v>
      </x:c>
      <x:c r="S81" s="6" t="str">
        <x:v>False</x:v>
      </x:c>
      <x:c r="T81" s="6" t="str">
        <x:v>Recent BSL</x:v>
      </x:c>
      <x:c r="U81" s="6" t="str">
        <x:v>BSL</x:v>
      </x:c>
      <x:c r="V81" s="6" t="str">
        <x:v>Swing high / buy-side</x:v>
      </x:c>
      <x:c r="W81" s="6" t="str">
        <x:v>[18030.25]</x:v>
      </x:c>
      <x:c r="X81" s="8" t="str">
        <x:v>1</x:v>
      </x:c>
      <x:c r="Y81" s="8" t="str">
        <x:v>20.0</x:v>
      </x:c>
      <x:c r="Z81" s="6" t="str">
        <x:v>None</x:v>
      </x:c>
      <x:c r="AA81" s="6" t="str">
        <x:v>18009.0</x:v>
      </x:c>
      <x:c r="AB81" s="9" t="str">
        <x:v>2.1211406706720095</x:v>
      </x:c>
      <x:c r="AC81" s="9" t="str">
        <x:v>2.410387125763647</x:v>
      </x:c>
      <x:c r="AD81" s="9" t="str">
        <x:v>2.6514258383400118</x:v>
      </x:c>
      <x:c r="AE81" s="6" t="str">
        <x:v>With trade</x:v>
      </x:c>
      <x:c r="AF81" s="7" t="str">
        <x:v>2024-04-02 00:15:00-05:00</x:v>
      </x:c>
      <x:c r="AG81" s="6" t="str">
        <x:v>Short</x:v>
      </x:c>
      <x:c r="AH81" s="6" t="str">
        <x:v>18009.0</x:v>
      </x:c>
      <x:c r="AI81" s="8" t="str">
        <x:v>0</x:v>
      </x:c>
      <x:c r="AJ81" s="6" t="str">
        <x:v>True</x:v>
      </x:c>
      <x:c r="AK81" s="6" t="str">
        <x:v>Same-bar Setup+BOS</x:v>
      </x:c>
      <x:c r="AL81" s="9" t="str">
        <x:v>2.410387125763647</x:v>
      </x:c>
      <x:c r="AM81" s="9" t="str">
        <x:v>2.1211406706720095</x:v>
      </x:c>
      <x:c r="AN81" s="9" t="str">
        <x:v>2.410387125763647</x:v>
      </x:c>
      <x:c r="AO81" s="9" t="str">
        <x:v>2.6514258383400118</x:v>
      </x:c>
      <x:c r="AP81" s="10" t="str">
        <x:v>0.9090909090909091</x:v>
      </x:c>
      <x:c r="AQ81" s="6" t="str">
        <x:v>0.0</x:v>
      </x:c>
      <x:c r="AR81" s="6" t="str">
        <x:v>0.09090909090909091</x:v>
      </x:c>
      <x:c r="AS81" s="6" t="str">
        <x:v>With trade</x:v>
      </x:c>
      <x:c r="AT81" s="6" t="str">
        <x:v>4.075682382133995</x:v>
      </x:c>
      <x:c r="AU81" s="7" t="str">
        <x:v>2024-04-02 00:45:00-05:00</x:v>
      </x:c>
      <x:c r="AV81" s="8" t="str">
        <x:v>6</x:v>
      </x:c>
      <x:c r="AW81" s="6" t="str">
        <x:v>Delayed retest (2+ bars)</x:v>
      </x:c>
      <x:c r="AX81" s="6" t="str">
        <x:v>18009.25</x:v>
      </x:c>
      <x:c r="AY81" s="6" t="str">
        <x:v>0.25</x:v>
      </x:c>
      <x:c r="AZ81" s="9" t="str">
        <x:v>0.046277711414868306</x:v>
      </x:c>
      <x:c r="BA81" s="9" t="str">
        <x:v>0.37022169131894644</x:v>
      </x:c>
      <x:c r="BB81" s="9" t="str">
        <x:v>1.665997610935259</x:v>
      </x:c>
      <x:c r="BC81" s="9" t="str">
        <x:v>0.5553325369784197</x:v>
      </x:c>
      <x:c r="BD81" s="6" t="str">
        <x:v>0.25</x:v>
      </x:c>
      <x:c r="BE81" s="6" t="str">
        <x:v>0.4166666666666667</x:v>
      </x:c>
      <x:c r="BF81" s="9" t="str">
        <x:v>0.41649940273381475</x:v>
      </x:c>
      <x:c r="BG81" s="9" t="str">
        <x:v>0.6941656712230246</x:v>
      </x:c>
      <x:c r="BH81" s="6" t="str">
        <x:v>Against trade</x:v>
      </x:c>
      <x:c r="BI81" s="6" t="str">
        <x:v>Penetration + same-bar reclaim</x:v>
      </x:c>
      <x:c r="BJ81" s="6" t="str">
        <x:v>False</x:v>
      </x:c>
      <x:c r="BK81" s="10" t="str">
        <x:v>True</x:v>
      </x:c>
      <x:c r="BL81" s="6" t="str">
        <x:v>True</x:v>
      </x:c>
      <x:c r="BM81" s="7" t="str">
        <x:v>2024-04-02 00:50:00-05:00</x:v>
      </x:c>
      <x:c r="BN81" s="8" t="str">
        <x:v>1</x:v>
      </x:c>
      <x:c r="BO81" s="6" t="str">
        <x:v>Immediate confirmation (1 bar)</x:v>
      </x:c>
      <x:c r="BP81" s="9" t="str">
        <x:v>0.047795799774055195</x:v>
      </x:c>
      <x:c r="BQ81" s="9" t="str">
        <x:v>0.5735495972886624</x:v>
      </x:c>
      <x:c r="BR81" s="10" t="str">
        <x:v>0.08333333333333333</x:v>
      </x:c>
      <x:c r="BS81" s="9" t="str">
        <x:v>0.4301621979664968</x:v>
      </x:c>
      <x:c r="BT81" s="9" t="str">
        <x:v>0.047795799774055195</x:v>
      </x:c>
      <x:c r="BU81" s="9" t="str">
        <x:v>0.238978998870276</x:v>
      </x:c>
      <x:c r="BV81" s="6" t="str">
        <x:v>With trade</x:v>
      </x:c>
      <x:c r="BW81" s="7" t="str">
        <x:v>2024-04-02 00:50:00-05:00</x:v>
      </x:c>
      <x:c r="BX81" s="6" t="str">
        <x:v>18006.75</x:v>
      </x:c>
      <x:c r="BY81" s="9" t="str">
        <x:v>5.230585138899726</x:v>
      </x:c>
      <x:c r="BZ81" s="9" t="str">
        <x:v>0.17</x:v>
      </x:c>
      <x:c r="CA81" s="6" t="str">
        <x:v>18014.59587770835</x:v>
      </x:c>
      <x:c r="CB81" s="6" t="str">
        <x:v>7.845877708350599</x:v>
      </x:c>
      <x:c r="CC81" s="9" t="str">
        <x:v>1.5000000000001932</x:v>
      </x:c>
      <x:c r="CD81" s="6" t="str">
        <x:v>17991.058244583302</x:v>
      </x:c>
      <x:c r="CE81" s="6" t="str">
        <x:v>15.69175541669756</x:v>
      </x:c>
      <x:c r="CF81" s="6" t="str">
        <x:v>Fixed 2.00R target</x:v>
      </x:c>
      <x:c r="CG81" s="9" t="str">
        <x:v>0.09240521289649482</x:v>
      </x:c>
      <x:c r="CH81" s="9" t="str">
        <x:v>-1.0</x:v>
      </x:c>
      <x:c r="CI81" s="9" t="str">
        <x:v>-1.0924052128964947</x:v>
      </x:c>
      <x:c r="CJ81" s="6" t="str">
        <x:v>Loss</x:v>
      </x:c>
      <x:c r="CK81" s="9" t="str">
        <x:v>0.06372773303206539</x:v>
      </x:c>
      <x:c r="CL81" s="9" t="str">
        <x:v>1.0515075950290789</x:v>
      </x:c>
      <x:c r="CM81" s="7" t="str">
        <x:v>2024-04-02 01:00:00-05:00</x:v>
      </x:c>
      <x:c r="CN81" s="6" t="str">
        <x:v>18014.59587770835</x:v>
      </x:c>
      <x:c r="CO81" s="6" t="str">
        <x:v>STOP</x:v>
      </x:c>
      <x:c r="CP81" s="6" t="str">
        <x:v>F::Short::Same-bar Setup+BOS::Penetration + same-bar reclaim</x:v>
      </x:c>
    </x:row>
    <x:row r="82" ht="18" customHeight="1">
      <x:c r="A82" s="6" t="str">
        <x:v>A0081</x:v>
      </x:c>
      <x:c r="B82" s="6" t="str">
        <x:v>2024-04-02</x:v>
      </x:c>
      <x:c r="C82" s="6" t="str">
        <x:v>2024</x:v>
      </x:c>
      <x:c r="D82" s="6" t="str">
        <x:v>2024-Q2</x:v>
      </x:c>
      <x:c r="E82" s="6" t="str">
        <x:v>First 50%</x:v>
      </x:c>
      <x:c r="F82" s="6" t="str">
        <x:v>Long</x:v>
      </x:c>
      <x:c r="G82" s="6" t="str">
        <x:v>Long</x:v>
      </x:c>
      <x:c r="H82" s="6" t="str">
        <x:v>Overnight</x:v>
      </x:c>
      <x:c r="I82" s="6" t="str">
        <x:v>Overnight</x:v>
      </x:c>
      <x:c r="J82" s="6" t="str">
        <x:v>Bear</x:v>
      </x:c>
      <x:c r="K82" s="6" t="str">
        <x:v>Bear</x:v>
      </x:c>
      <x:c r="L82" s="6" t="str">
        <x:v>LOW</x:v>
      </x:c>
      <x:c r="M82" s="7" t="str">
        <x:v>2024-04-02 22:40:00-05:00</x:v>
      </x:c>
      <x:c r="N82" s="6" t="str">
        <x:v>90.0</x:v>
      </x:c>
      <x:c r="O82" s="6" t="str">
        <x:v>90-94</x:v>
      </x:c>
      <x:c r="P82" s="6" t="str">
        <x:v>Matching BOS only</x:v>
      </x:c>
      <x:c r="Q82" s="6" t="str">
        <x:v>Bull CHoCH</x:v>
      </x:c>
      <x:c r="R82" s="6" t="str">
        <x:v>True</x:v>
      </x:c>
      <x:c r="S82" s="6" t="str">
        <x:v>False</x:v>
      </x:c>
      <x:c r="T82" s="6" t="str">
        <x:v>Recent SSL</x:v>
      </x:c>
      <x:c r="U82" s="6" t="str">
        <x:v>SSL</x:v>
      </x:c>
      <x:c r="V82" s="6" t="str">
        <x:v>Swing low / sell-side</x:v>
      </x:c>
      <x:c r="W82" s="6" t="str">
        <x:v>[17833.5]</x:v>
      </x:c>
      <x:c r="X82" s="8" t="str">
        <x:v>1</x:v>
      </x:c>
      <x:c r="Y82" s="8" t="str">
        <x:v>10.0</x:v>
      </x:c>
      <x:c r="Z82" s="6" t="str">
        <x:v>None</x:v>
      </x:c>
      <x:c r="AA82" s="6" t="str">
        <x:v>17847.25</x:v>
      </x:c>
      <x:c r="AB82" s="9" t="str">
        <x:v>0.4925565521700093</x:v>
      </x:c>
      <x:c r="AC82" s="9" t="str">
        <x:v>0.9851131043400186</x:v>
      </x:c>
      <x:c r="AD82" s="9" t="str">
        <x:v>1.0836244147740206</x:v>
      </x:c>
      <x:c r="AE82" s="6" t="str">
        <x:v>With trade</x:v>
      </x:c>
      <x:c r="AF82" s="7" t="str">
        <x:v>2024-04-02 22:40:00-05:00</x:v>
      </x:c>
      <x:c r="AG82" s="6" t="str">
        <x:v>Long</x:v>
      </x:c>
      <x:c r="AH82" s="6" t="str">
        <x:v>17847.25</x:v>
      </x:c>
      <x:c r="AI82" s="8" t="str">
        <x:v>0</x:v>
      </x:c>
      <x:c r="AJ82" s="6" t="str">
        <x:v>True</x:v>
      </x:c>
      <x:c r="AK82" s="6" t="str">
        <x:v>Same-bar Setup+BOS</x:v>
      </x:c>
      <x:c r="AL82" s="9" t="str">
        <x:v>1.0836244147740206</x:v>
      </x:c>
      <x:c r="AM82" s="9" t="str">
        <x:v>0.4925565521700093</x:v>
      </x:c>
      <x:c r="AN82" s="9" t="str">
        <x:v>0.9851131043400186</x:v>
      </x:c>
      <x:c r="AO82" s="9" t="str">
        <x:v>1.0836244147740206</x:v>
      </x:c>
      <x:c r="AP82" s="10" t="str">
        <x:v>0.9090909090909091</x:v>
      </x:c>
      <x:c r="AQ82" s="6" t="str">
        <x:v>0.09090909090909091</x:v>
      </x:c>
      <x:c r="AR82" s="6" t="str">
        <x:v>0.0</x:v>
      </x:c>
      <x:c r="AS82" s="6" t="str">
        <x:v>With trade</x:v>
      </x:c>
      <x:c r="AT82" s="6" t="str">
        <x:v>1.713856176396893</x:v>
      </x:c>
      <x:c r="AU82" s="7" t="str">
        <x:v>2024-04-02 22:45:00-05:00</x:v>
      </x:c>
      <x:c r="AV82" s="8" t="str">
        <x:v>1</x:v>
      </x:c>
      <x:c r="AW82" s="6" t="str">
        <x:v>Immediate retest (1 bar)</x:v>
      </x:c>
      <x:c r="AX82" s="6" t="str">
        <x:v>17847.5</x:v>
      </x:c>
      <x:c r="AY82" s="6" t="str">
        <x:v>0.0</x:v>
      </x:c>
      <x:c r="AZ82" s="9" t="str">
        <x:v>0.0</x:v>
      </x:c>
      <x:c r="BA82" s="9" t="str">
        <x:v>0.25461111204224574</x:v>
      </x:c>
      <x:c r="BB82" s="9" t="str">
        <x:v>0.5601444464929406</x:v>
      </x:c>
      <x:c r="BC82" s="9" t="str">
        <x:v>0.2036888896337966</x:v>
      </x:c>
      <x:c r="BD82" s="6" t="str">
        <x:v>0.2727272727272727</x:v>
      </x:c>
      <x:c r="BE82" s="6" t="str">
        <x:v>0.36363636363636365</x:v>
      </x:c>
      <x:c r="BF82" s="9" t="str">
        <x:v>0.2036888896337966</x:v>
      </x:c>
      <x:c r="BG82" s="9" t="str">
        <x:v>0.15276666722534746</x:v>
      </x:c>
      <x:c r="BH82" s="6" t="str">
        <x:v>Against trade</x:v>
      </x:c>
      <x:c r="BI82" s="6" t="str">
        <x:v>Tolerance-only shallow touch</x:v>
      </x:c>
      <x:c r="BJ82" s="6" t="str">
        <x:v>True</x:v>
      </x:c>
      <x:c r="BK82" s="10" t="str">
        <x:v>False</x:v>
      </x:c>
      <x:c r="BL82" s="6" t="str">
        <x:v>True</x:v>
      </x:c>
      <x:c r="BM82" s="7" t="str">
        <x:v>2024-04-02 22:50:00-05:00</x:v>
      </x:c>
      <x:c r="BN82" s="8" t="str">
        <x:v>1</x:v>
      </x:c>
      <x:c r="BO82" s="6" t="str">
        <x:v>Immediate confirmation (1 bar)</x:v>
      </x:c>
      <x:c r="BP82" s="9" t="str">
        <x:v>0.21029602347714468</x:v>
      </x:c>
      <x:c r="BQ82" s="9" t="str">
        <x:v>0.5783140645621478</x:v>
      </x:c>
      <x:c r="BR82" s="10" t="str">
        <x:v>0.36363636363636365</x:v>
      </x:c>
      <x:c r="BS82" s="9" t="str">
        <x:v>0.42059204695428937</x:v>
      </x:c>
      <x:c r="BT82" s="9" t="str">
        <x:v>0.1577220176078585</x:v>
      </x:c>
      <x:c r="BU82" s="9" t="str">
        <x:v>0.1577220176078585</x:v>
      </x:c>
      <x:c r="BV82" s="6" t="str">
        <x:v>With trade</x:v>
      </x:c>
      <x:c r="BW82" s="7" t="str">
        <x:v>2024-04-02 22:50:00-05:00</x:v>
      </x:c>
      <x:c r="BX82" s="6" t="str">
        <x:v>17849.25</x:v>
      </x:c>
      <x:c r="BY82" s="9" t="str">
        <x:v>4.755201660333257</x:v>
      </x:c>
      <x:c r="BZ82" s="9" t="str">
        <x:v>0.01</x:v>
      </x:c>
      <x:c r="CA82" s="6" t="str">
        <x:v>17842.1171975095</x:v>
      </x:c>
      <x:c r="CB82" s="6" t="str">
        <x:v>7.13280249050149</x:v>
      </x:c>
      <x:c r="CC82" s="9" t="str">
        <x:v>1.5000000000003375</x:v>
      </x:c>
      <x:c r="CD82" s="6" t="str">
        <x:v>17863.515604981</x:v>
      </x:c>
      <x:c r="CE82" s="6" t="str">
        <x:v>14.265604980999342</x:v>
      </x:c>
      <x:c r="CF82" s="6" t="str">
        <x:v>Fixed 2.00R target</x:v>
      </x:c>
      <x:c r="CG82" s="9" t="str">
        <x:v>0.1016430780139304</x:v>
      </x:c>
      <x:c r="CH82" s="9" t="str">
        <x:v>-1.0</x:v>
      </x:c>
      <x:c r="CI82" s="9" t="str">
        <x:v>-1.1016430780139304</x:v>
      </x:c>
      <x:c r="CJ82" s="6" t="str">
        <x:v>Loss</x:v>
      </x:c>
      <x:c r="CK82" s="9" t="str">
        <x:v>0.5607893959389263</x:v>
      </x:c>
      <x:c r="CL82" s="9" t="str">
        <x:v>1.4720721643396817</x:v>
      </x:c>
      <x:c r="CM82" s="7" t="str">
        <x:v>2024-04-02 23:15:00-05:00</x:v>
      </x:c>
      <x:c r="CN82" s="6" t="str">
        <x:v>17842.1171975095</x:v>
      </x:c>
      <x:c r="CO82" s="6" t="str">
        <x:v>STOP</x:v>
      </x:c>
      <x:c r="CP82" s="6" t="str">
        <x:v>F::Long::Same-bar Setup+BOS::Tolerance-only shallow touch</x:v>
      </x:c>
    </x:row>
    <x:row r="83" ht="18" customHeight="1">
      <x:c r="A83" s="6" t="str">
        <x:v>A0082</x:v>
      </x:c>
      <x:c r="B83" s="6" t="str">
        <x:v>2024-04-03</x:v>
      </x:c>
      <x:c r="C83" s="6" t="str">
        <x:v>2024</x:v>
      </x:c>
      <x:c r="D83" s="6" t="str">
        <x:v>2024-Q2</x:v>
      </x:c>
      <x:c r="E83" s="6" t="str">
        <x:v>First 50%</x:v>
      </x:c>
      <x:c r="F83" s="6" t="str">
        <x:v>Short</x:v>
      </x:c>
      <x:c r="G83" s="6" t="str">
        <x:v>Short</x:v>
      </x:c>
      <x:c r="H83" s="6" t="str">
        <x:v>Premarket</x:v>
      </x:c>
      <x:c r="I83" s="6" t="str">
        <x:v>Premarket</x:v>
      </x:c>
      <x:c r="J83" s="6" t="str">
        <x:v>Bear</x:v>
      </x:c>
      <x:c r="K83" s="6" t="str">
        <x:v>Bear</x:v>
      </x:c>
      <x:c r="L83" s="6" t="str">
        <x:v>HIGH</x:v>
      </x:c>
      <x:c r="M83" s="7" t="str">
        <x:v>2024-04-03 07:25:00-05:00</x:v>
      </x:c>
      <x:c r="N83" s="6" t="str">
        <x:v>90.0</x:v>
      </x:c>
      <x:c r="O83" s="6" t="str">
        <x:v>90-94</x:v>
      </x:c>
      <x:c r="P83" s="6" t="str">
        <x:v>Matching BOS only</x:v>
      </x:c>
      <x:c r="Q83" s="6" t="str">
        <x:v>Bear CHoCH</x:v>
      </x:c>
      <x:c r="R83" s="6" t="str">
        <x:v>True</x:v>
      </x:c>
      <x:c r="S83" s="6" t="str">
        <x:v>False</x:v>
      </x:c>
      <x:c r="T83" s="6" t="str">
        <x:v>Recent BSL</x:v>
      </x:c>
      <x:c r="U83" s="6" t="str">
        <x:v>BSL</x:v>
      </x:c>
      <x:c r="V83" s="6" t="str">
        <x:v>Swing high / buy-side</x:v>
      </x:c>
      <x:c r="W83" s="6" t="str">
        <x:v>[17856.25]</x:v>
      </x:c>
      <x:c r="X83" s="8" t="str">
        <x:v>1</x:v>
      </x:c>
      <x:c r="Y83" s="8" t="str">
        <x:v>5.0</x:v>
      </x:c>
      <x:c r="Z83" s="6" t="str">
        <x:v>None</x:v>
      </x:c>
      <x:c r="AA83" s="6" t="str">
        <x:v>17824.0</x:v>
      </x:c>
      <x:c r="AB83" s="9" t="str">
        <x:v>1.283706412919261</x:v>
      </x:c>
      <x:c r="AC83" s="9" t="str">
        <x:v>1.5650667226001949</x:v>
      </x:c>
      <x:c r="AD83" s="9" t="str">
        <x:v>2.198127419382296</x:v>
      </x:c>
      <x:c r="AE83" s="6" t="str">
        <x:v>With trade</x:v>
      </x:c>
      <x:c r="AF83" s="7" t="str">
        <x:v>2024-04-03 07:25:00-05:00</x:v>
      </x:c>
      <x:c r="AG83" s="6" t="str">
        <x:v>Short</x:v>
      </x:c>
      <x:c r="AH83" s="6" t="str">
        <x:v>17824.0</x:v>
      </x:c>
      <x:c r="AI83" s="8" t="str">
        <x:v>0</x:v>
      </x:c>
      <x:c r="AJ83" s="6" t="str">
        <x:v>True</x:v>
      </x:c>
      <x:c r="AK83" s="6" t="str">
        <x:v>Same-bar Setup+BOS</x:v>
      </x:c>
      <x:c r="AL83" s="9" t="str">
        <x:v>1.5826517419552533</x:v>
      </x:c>
      <x:c r="AM83" s="9" t="str">
        <x:v>1.283706412919261</x:v>
      </x:c>
      <x:c r="AN83" s="9" t="str">
        <x:v>1.5650667226001949</x:v>
      </x:c>
      <x:c r="AO83" s="9" t="str">
        <x:v>2.198127419382296</x:v>
      </x:c>
      <x:c r="AP83" s="10" t="str">
        <x:v>0.712</x:v>
      </x:c>
      <x:c r="AQ83" s="6" t="str">
        <x:v>0.128</x:v>
      </x:c>
      <x:c r="AR83" s="6" t="str">
        <x:v>0.16</x:v>
      </x:c>
      <x:c r="AS83" s="6" t="str">
        <x:v>With trade</x:v>
      </x:c>
      <x:c r="AT83" s="6" t="str">
        <x:v>4.108216432865731</x:v>
      </x:c>
      <x:c r="AU83" s="7" t="str">
        <x:v>2024-04-03 08:05:00-05:00</x:v>
      </x:c>
      <x:c r="AV83" s="8" t="str">
        <x:v>8</x:v>
      </x:c>
      <x:c r="AW83" s="6" t="str">
        <x:v>Delayed retest (2+ bars)</x:v>
      </x:c>
      <x:c r="AX83" s="6" t="str">
        <x:v>17823.25</x:v>
      </x:c>
      <x:c r="AY83" s="6" t="str">
        <x:v>0.0</x:v>
      </x:c>
      <x:c r="AZ83" s="9" t="str">
        <x:v>0.0</x:v>
      </x:c>
      <x:c r="BA83" s="9" t="str">
        <x:v>0.6980485502682929</x:v>
      </x:c>
      <x:c r="BB83" s="9" t="str">
        <x:v>0.9364065918233199</x:v>
      </x:c>
      <x:c r="BC83" s="9" t="str">
        <x:v>0.06810229758715053</x:v>
      </x:c>
      <x:c r="BD83" s="6" t="str">
        <x:v>0.6181818181818182</x:v>
      </x:c>
      <x:c r="BE83" s="6" t="str">
        <x:v>0.3090909090909091</x:v>
      </x:c>
      <x:c r="BF83" s="9" t="str">
        <x:v>0.5788695294907795</x:v>
      </x:c>
      <x:c r="BG83" s="9" t="str">
        <x:v>0.28943476474538976</x:v>
      </x:c>
      <x:c r="BH83" s="6" t="str">
        <x:v>With trade</x:v>
      </x:c>
      <x:c r="BI83" s="6" t="str">
        <x:v>Tolerance-only shallow touch</x:v>
      </x:c>
      <x:c r="BJ83" s="6" t="str">
        <x:v>True</x:v>
      </x:c>
      <x:c r="BK83" s="10" t="str">
        <x:v>False</x:v>
      </x:c>
      <x:c r="BL83" s="6" t="str">
        <x:v>True</x:v>
      </x:c>
      <x:c r="BM83" s="7" t="str">
        <x:v>2024-04-03 08:10:00-05:00</x:v>
      </x:c>
      <x:c r="BN83" s="8" t="str">
        <x:v>1</x:v>
      </x:c>
      <x:c r="BO83" s="6" t="str">
        <x:v>Immediate confirmation (1 bar)</x:v>
      </x:c>
      <x:c r="BP83" s="9" t="str">
        <x:v>0.9516345399430776</x:v>
      </x:c>
      <x:c r="BQ83" s="9" t="str">
        <x:v>1.21876002483938</x:v>
      </x:c>
      <x:c r="BR83" s="10" t="str">
        <x:v>0.7808219178082192</x:v>
      </x:c>
      <x:c r="BS83" s="9" t="str">
        <x:v>1.6695342806018905</x:v>
      </x:c>
      <x:c r="BT83" s="9" t="str">
        <x:v>0.9850252255551153</x:v>
      </x:c>
      <x:c r="BU83" s="9" t="str">
        <x:v>0.0</x:v>
      </x:c>
      <x:c r="BV83" s="6" t="str">
        <x:v>With trade</x:v>
      </x:c>
      <x:c r="BW83" s="7" t="str">
        <x:v>2024-04-03 08:10:00-05:00</x:v>
      </x:c>
      <x:c r="BX83" s="6" t="str">
        <x:v>17799.0</x:v>
      </x:c>
      <x:c r="BY83" s="9" t="str">
        <x:v>14.974235803644087</x:v>
      </x:c>
      <x:c r="BZ83" s="9" t="str">
        <x:v>1.0</x:v>
      </x:c>
      <x:c r="CA83" s="6" t="str">
        <x:v>17821.461353705465</x:v>
      </x:c>
      <x:c r="CB83" s="6" t="str">
        <x:v>22.461353705464717</x:v>
      </x:c>
      <x:c r="CC83" s="9" t="str">
        <x:v>1.4999999999999056</x:v>
      </x:c>
      <x:c r="CD83" s="6" t="str">
        <x:v>17754.077292589067</x:v>
      </x:c>
      <x:c r="CE83" s="6" t="str">
        <x:v>44.92270741093307</x:v>
      </x:c>
      <x:c r="CF83" s="6" t="str">
        <x:v>Fixed 2.00R target</x:v>
      </x:c>
      <x:c r="CG83" s="9" t="str">
        <x:v>0.032277662758305244</x:v>
      </x:c>
      <x:c r="CH83" s="9" t="str">
        <x:v>-1.0</x:v>
      </x:c>
      <x:c r="CI83" s="9" t="str">
        <x:v>-1.0322776627583052</x:v>
      </x:c>
      <x:c r="CJ83" s="6" t="str">
        <x:v>Loss</x:v>
      </x:c>
      <x:c r="CK83" s="9" t="str">
        <x:v>1.1686739964213968</x:v>
      </x:c>
      <x:c r="CL83" s="9" t="str">
        <x:v>1.1130228537346636</x:v>
      </x:c>
      <x:c r="CM83" s="7" t="str">
        <x:v>2024-04-03 08:35:00-05:00</x:v>
      </x:c>
      <x:c r="CN83" s="6" t="str">
        <x:v>17821.461353705465</x:v>
      </x:c>
      <x:c r="CO83" s="6" t="str">
        <x:v>STOP</x:v>
      </x:c>
      <x:c r="CP83" s="6" t="str">
        <x:v>F::Short::Same-bar Setup+BOS::Tolerance-only shallow touch</x:v>
      </x:c>
    </x:row>
    <x:row r="84" ht="18" customHeight="1">
      <x:c r="A84" s="6" t="str">
        <x:v>A0083</x:v>
      </x:c>
      <x:c r="B84" s="6" t="str">
        <x:v>2024-04-04</x:v>
      </x:c>
      <x:c r="C84" s="6" t="str">
        <x:v>2024</x:v>
      </x:c>
      <x:c r="D84" s="6" t="str">
        <x:v>2024-Q2</x:v>
      </x:c>
      <x:c r="E84" s="6" t="str">
        <x:v>First 50%</x:v>
      </x:c>
      <x:c r="F84" s="6" t="str">
        <x:v>Long</x:v>
      </x:c>
      <x:c r="G84" s="6" t="str">
        <x:v>Long</x:v>
      </x:c>
      <x:c r="H84" s="6" t="str">
        <x:v>Overnight</x:v>
      </x:c>
      <x:c r="I84" s="6" t="str">
        <x:v>Overnight</x:v>
      </x:c>
      <x:c r="J84" s="6" t="str">
        <x:v>Bull</x:v>
      </x:c>
      <x:c r="K84" s="6" t="str">
        <x:v>Bull</x:v>
      </x:c>
      <x:c r="L84" s="6" t="str">
        <x:v>HIGH</x:v>
      </x:c>
      <x:c r="M84" s="7" t="str">
        <x:v>2024-04-04 03:05:00-05:00</x:v>
      </x:c>
      <x:c r="N84" s="6" t="str">
        <x:v>90.0</x:v>
      </x:c>
      <x:c r="O84" s="6" t="str">
        <x:v>90-94</x:v>
      </x:c>
      <x:c r="P84" s="6" t="str">
        <x:v>Matching BOS only</x:v>
      </x:c>
      <x:c r="Q84" s="6" t="str">
        <x:v>Bull CHoCH</x:v>
      </x:c>
      <x:c r="R84" s="6" t="str">
        <x:v>True</x:v>
      </x:c>
      <x:c r="S84" s="6" t="str">
        <x:v>False</x:v>
      </x:c>
      <x:c r="T84" s="6" t="str">
        <x:v>Recent SSL</x:v>
      </x:c>
      <x:c r="U84" s="6" t="str">
        <x:v>SSL</x:v>
      </x:c>
      <x:c r="V84" s="6" t="str">
        <x:v>Swing low / sell-side</x:v>
      </x:c>
      <x:c r="W84" s="6" t="str">
        <x:v>[17958.5]</x:v>
      </x:c>
      <x:c r="X84" s="8" t="str">
        <x:v>1</x:v>
      </x:c>
      <x:c r="Y84" s="8" t="str">
        <x:v>13.0</x:v>
      </x:c>
      <x:c r="Z84" s="6" t="str">
        <x:v>None</x:v>
      </x:c>
      <x:c r="AA84" s="6" t="str">
        <x:v>17986.75</x:v>
      </x:c>
      <x:c r="AB84" s="9" t="str">
        <x:v>0.42434354448845185</x:v>
      </x:c>
      <x:c r="AC84" s="9" t="str">
        <x:v>0.8486870889769037</x:v>
      </x:c>
      <x:c r="AD84" s="9" t="str">
        <x:v>1.0184245067722846</x:v>
      </x:c>
      <x:c r="AE84" s="6" t="str">
        <x:v>With trade</x:v>
      </x:c>
      <x:c r="AF84" s="7" t="str">
        <x:v>2024-04-04 03:05:00-05:00</x:v>
      </x:c>
      <x:c r="AG84" s="6" t="str">
        <x:v>Long</x:v>
      </x:c>
      <x:c r="AH84" s="6" t="str">
        <x:v>17986.75</x:v>
      </x:c>
      <x:c r="AI84" s="8" t="str">
        <x:v>0</x:v>
      </x:c>
      <x:c r="AJ84" s="6" t="str">
        <x:v>True</x:v>
      </x:c>
      <x:c r="AK84" s="6" t="str">
        <x:v>Same-bar Setup+BOS</x:v>
      </x:c>
      <x:c r="AL84" s="9" t="str">
        <x:v>0.9052662282420306</x:v>
      </x:c>
      <x:c r="AM84" s="9" t="str">
        <x:v>0.42434354448845185</x:v>
      </x:c>
      <x:c r="AN84" s="9" t="str">
        <x:v>0.8486870889769037</x:v>
      </x:c>
      <x:c r="AO84" s="9" t="str">
        <x:v>1.0184245067722846</x:v>
      </x:c>
      <x:c r="AP84" s="10" t="str">
        <x:v>0.8333333333333334</x:v>
      </x:c>
      <x:c r="AQ84" s="6" t="str">
        <x:v>0.16666666666666666</x:v>
      </x:c>
      <x:c r="AR84" s="6" t="str">
        <x:v>0.0</x:v>
      </x:c>
      <x:c r="AS84" s="6" t="str">
        <x:v>With trade</x:v>
      </x:c>
      <x:c r="AT84" s="6" t="str">
        <x:v>1.957155787991552</x:v>
      </x:c>
      <x:c r="AU84" s="7" t="str">
        <x:v>2024-04-04 03:10:00-05:00</x:v>
      </x:c>
      <x:c r="AV84" s="8" t="str">
        <x:v>1</x:v>
      </x:c>
      <x:c r="AW84" s="6" t="str">
        <x:v>Immediate retest (1 bar)</x:v>
      </x:c>
      <x:c r="AX84" s="6" t="str">
        <x:v>17987.25</x:v>
      </x:c>
      <x:c r="AY84" s="6" t="str">
        <x:v>0.0</x:v>
      </x:c>
      <x:c r="AZ84" s="9" t="str">
        <x:v>0.0</x:v>
      </x:c>
      <x:c r="BA84" s="9" t="str">
        <x:v>0.11678020497069858</x:v>
      </x:c>
      <x:c r="BB84" s="9" t="str">
        <x:v>0.5839010248534929</x:v>
      </x:c>
      <x:c r="BC84" s="9" t="str">
        <x:v>0.2627554611840718</x:v>
      </x:c>
      <x:c r="BD84" s="6" t="str">
        <x:v>0.45</x:v>
      </x:c>
      <x:c r="BE84" s="6" t="str">
        <x:v>0.1</x:v>
      </x:c>
      <x:c r="BF84" s="9" t="str">
        <x:v>0.05839010248534929</x:v>
      </x:c>
      <x:c r="BG84" s="9" t="str">
        <x:v>0.2627554611840718</x:v>
      </x:c>
      <x:c r="BH84" s="6" t="str">
        <x:v>Against trade</x:v>
      </x:c>
      <x:c r="BI84" s="6" t="str">
        <x:v>Tolerance-only shallow touch</x:v>
      </x:c>
      <x:c r="BJ84" s="6" t="str">
        <x:v>True</x:v>
      </x:c>
      <x:c r="BK84" s="10" t="str">
        <x:v>False</x:v>
      </x:c>
      <x:c r="BL84" s="6" t="str">
        <x:v>True</x:v>
      </x:c>
      <x:c r="BM84" s="7" t="str">
        <x:v>2024-04-04 03:15:00-05:00</x:v>
      </x:c>
      <x:c r="BN84" s="8" t="str">
        <x:v>1</x:v>
      </x:c>
      <x:c r="BO84" s="6" t="str">
        <x:v>Immediate confirmation (1 bar)</x:v>
      </x:c>
      <x:c r="BP84" s="9" t="str">
        <x:v>0.8901588757808272</x:v>
      </x:c>
      <x:c r="BQ84" s="9" t="str">
        <x:v>1.6134129623527493</x:v>
      </x:c>
      <x:c r="BR84" s="10" t="str">
        <x:v>0.5517241379310345</x:v>
      </x:c>
      <x:c r="BS84" s="9" t="str">
        <x:v>0.9457938055171289</x:v>
      </x:c>
      <x:c r="BT84" s="9" t="str">
        <x:v>0.8345239460445255</x:v>
      </x:c>
      <x:c r="BU84" s="9" t="str">
        <x:v>0.6676191568356203</x:v>
      </x:c>
      <x:c r="BV84" s="6" t="str">
        <x:v>With trade</x:v>
      </x:c>
      <x:c r="BW84" s="7" t="str">
        <x:v>2024-04-04 03:15:00-05:00</x:v>
      </x:c>
      <x:c r="BX84" s="6" t="str">
        <x:v>17995.25</x:v>
      </x:c>
      <x:c r="BY84" s="9" t="str">
        <x:v>8.987159728068297</x:v>
      </x:c>
      <x:c r="BZ84" s="9" t="str">
        <x:v>0.87</x:v>
      </x:c>
      <x:c r="CA84" s="6" t="str">
        <x:v>17981.7692604079</x:v>
      </x:c>
      <x:c r="CB84" s="6" t="str">
        <x:v>13.4807395921016</x:v>
      </x:c>
      <x:c r="CC84" s="9" t="str">
        <x:v>1.4999999999999059</x:v>
      </x:c>
      <x:c r="CD84" s="6" t="str">
        <x:v>18022.211479184203</x:v>
      </x:c>
      <x:c r="CE84" s="6" t="str">
        <x:v>26.9614791842032</x:v>
      </x:c>
      <x:c r="CF84" s="6" t="str">
        <x:v>Fixed 2.00R target</x:v>
      </x:c>
      <x:c r="CG84" s="9" t="str">
        <x:v>0.05378043207842835</x:v>
      </x:c>
      <x:c r="CH84" s="9" t="str">
        <x:v>-1.0</x:v>
      </x:c>
      <x:c r="CI84" s="9" t="str">
        <x:v>-1.0537804320784283</x:v>
      </x:c>
      <x:c r="CJ84" s="6" t="str">
        <x:v>Loss</x:v>
      </x:c>
      <x:c r="CK84" s="9" t="str">
        <x:v>0.5007143676267467</x:v>
      </x:c>
      <x:c r="CL84" s="9" t="str">
        <x:v>1.075608641568567</x:v>
      </x:c>
      <x:c r="CM84" s="7" t="str">
        <x:v>2024-04-04 04:05:00-05:00</x:v>
      </x:c>
      <x:c r="CN84" s="6" t="str">
        <x:v>17981.7692604079</x:v>
      </x:c>
      <x:c r="CO84" s="6" t="str">
        <x:v>STOP</x:v>
      </x:c>
      <x:c r="CP84" s="6" t="str">
        <x:v>F::Long::Same-bar Setup+BOS::Tolerance-only shallow touch</x:v>
      </x:c>
    </x:row>
    <x:row r="85" ht="18" customHeight="1">
      <x:c r="A85" s="6" t="str">
        <x:v>A0084</x:v>
      </x:c>
      <x:c r="B85" s="6" t="str">
        <x:v>2024-04-05</x:v>
      </x:c>
      <x:c r="C85" s="6" t="str">
        <x:v>2024</x:v>
      </x:c>
      <x:c r="D85" s="6" t="str">
        <x:v>2024-Q2</x:v>
      </x:c>
      <x:c r="E85" s="6" t="str">
        <x:v>First 50%</x:v>
      </x:c>
      <x:c r="F85" s="6" t="str">
        <x:v>Long</x:v>
      </x:c>
      <x:c r="G85" s="6" t="str">
        <x:v>Long</x:v>
      </x:c>
      <x:c r="H85" s="6" t="str">
        <x:v>Premarket</x:v>
      </x:c>
      <x:c r="I85" s="6" t="str">
        <x:v>Premarket</x:v>
      </x:c>
      <x:c r="J85" s="6" t="str">
        <x:v>Neutral</x:v>
      </x:c>
      <x:c r="K85" s="6" t="str">
        <x:v>Bear</x:v>
      </x:c>
      <x:c r="L85" s="6" t="str">
        <x:v>HIGH</x:v>
      </x:c>
      <x:c r="M85" s="7" t="str">
        <x:v>2024-04-05 08:50:00-05:00</x:v>
      </x:c>
      <x:c r="N85" s="6" t="str">
        <x:v>90.0</x:v>
      </x:c>
      <x:c r="O85" s="6" t="str">
        <x:v>90-94</x:v>
      </x:c>
      <x:c r="P85" s="6" t="str">
        <x:v>Matching BOS only</x:v>
      </x:c>
      <x:c r="Q85" s="6" t="str">
        <x:v>Bull BOS</x:v>
      </x:c>
      <x:c r="R85" s="6" t="str">
        <x:v>True</x:v>
      </x:c>
      <x:c r="S85" s="6" t="str">
        <x:v>False</x:v>
      </x:c>
      <x:c r="T85" s="6" t="str">
        <x:v>Recent SSL</x:v>
      </x:c>
      <x:c r="U85" s="6" t="str">
        <x:v>SSL</x:v>
      </x:c>
      <x:c r="V85" s="6" t="str">
        <x:v>Swing low / sell-side</x:v>
      </x:c>
      <x:c r="W85" s="6" t="str">
        <x:v>[17593.5,17602.0,17637.0,17642.25,17649.75,17657.5,17660.5,17662.0,17673.0]</x:v>
      </x:c>
      <x:c r="X85" s="8" t="str">
        <x:v>9</x:v>
      </x:c>
      <x:c r="Y85" s="8" t="str">
        <x:v>16.0</x:v>
      </x:c>
      <x:c r="Z85" s="6" t="str">
        <x:v>None</x:v>
      </x:c>
      <x:c r="AA85" s="6" t="str">
        <x:v>17730.5</x:v>
      </x:c>
      <x:c r="AB85" s="9" t="str">
        <x:v>1.0428687671161314</x:v>
      </x:c>
      <x:c r="AC85" s="9" t="str">
        <x:v>1.1854191741320055</x:v>
      </x:c>
      <x:c r="AD85" s="9" t="str">
        <x:v>1.425504070158741</x:v>
      </x:c>
      <x:c r="AE85" s="6" t="str">
        <x:v>With trade</x:v>
      </x:c>
      <x:c r="AF85" s="7" t="str">
        <x:v>2024-04-05 08:50:00-05:00</x:v>
      </x:c>
      <x:c r="AG85" s="6" t="str">
        <x:v>Long</x:v>
      </x:c>
      <x:c r="AH85" s="6" t="str">
        <x:v>17730.5</x:v>
      </x:c>
      <x:c r="AI85" s="8" t="str">
        <x:v>0</x:v>
      </x:c>
      <x:c r="AJ85" s="6" t="str">
        <x:v>True</x:v>
      </x:c>
      <x:c r="AK85" s="6" t="str">
        <x:v>Same-bar Setup+BOS</x:v>
      </x:c>
      <x:c r="AL85" s="9" t="str">
        <x:v>1.1704138681303347</x:v>
      </x:c>
      <x:c r="AM85" s="9" t="str">
        <x:v>1.0428687671161314</x:v>
      </x:c>
      <x:c r="AN85" s="9" t="str">
        <x:v>1.1854191741320055</x:v>
      </x:c>
      <x:c r="AO85" s="9" t="str">
        <x:v>1.425504070158741</x:v>
      </x:c>
      <x:c r="AP85" s="10" t="str">
        <x:v>0.8315789473684211</x:v>
      </x:c>
      <x:c r="AQ85" s="6" t="str">
        <x:v>0.04736842105263158</x:v>
      </x:c>
      <x:c r="AR85" s="6" t="str">
        <x:v>0.12105263157894737</x:v>
      </x:c>
      <x:c r="AS85" s="6" t="str">
        <x:v>With trade</x:v>
      </x:c>
      <x:c r="AT85" s="6" t="str">
        <x:v>2.176524218173398</x:v>
      </x:c>
      <x:c r="AU85" s="7" t="str">
        <x:v>2024-04-05 09:00:00-05:00</x:v>
      </x:c>
      <x:c r="AV85" s="8" t="str">
        <x:v>2</x:v>
      </x:c>
      <x:c r="AW85" s="6" t="str">
        <x:v>Delayed retest (2+ bars)</x:v>
      </x:c>
      <x:c r="AX85" s="6" t="str">
        <x:v>17728.25</x:v>
      </x:c>
      <x:c r="AY85" s="6" t="str">
        <x:v>2.25</x:v>
      </x:c>
      <x:c r="AZ85" s="9" t="str">
        <x:v>0.06930865889393671</x:v>
      </x:c>
      <x:c r="BA85" s="9" t="str">
        <x:v>0.6853856268400408</x:v>
      </x:c>
      <x:c r="BB85" s="9" t="str">
        <x:v>0.8086010204292616</x:v>
      </x:c>
      <x:c r="BC85" s="9" t="str">
        <x:v>0.1848230903838312</x:v>
      </x:c>
      <x:c r="BD85" s="6" t="str">
        <x:v>0.06666666666666667</x:v>
      </x:c>
      <x:c r="BE85" s="6" t="str">
        <x:v>0.7047619047619048</x:v>
      </x:c>
      <x:c r="BF85" s="9" t="str">
        <x:v>0.5698711953501463</x:v>
      </x:c>
      <x:c r="BG85" s="9" t="str">
        <x:v>0.053906734695284106</x:v>
      </x:c>
      <x:c r="BH85" s="6" t="str">
        <x:v>With trade</x:v>
      </x:c>
      <x:c r="BI85" s="6" t="str">
        <x:v>Penetration + same-bar reclaim</x:v>
      </x:c>
      <x:c r="BJ85" s="6" t="str">
        <x:v>False</x:v>
      </x:c>
      <x:c r="BK85" s="10" t="str">
        <x:v>True</x:v>
      </x:c>
      <x:c r="BL85" s="6" t="str">
        <x:v>True</x:v>
      </x:c>
      <x:c r="BM85" s="7" t="str">
        <x:v>2024-04-05 09:10:00-05:00</x:v>
      </x:c>
      <x:c r="BN85" s="8" t="str">
        <x:v>2</x:v>
      </x:c>
      <x:c r="BO85" s="6" t="str">
        <x:v>Delayed confirmation (2+ bars)</x:v>
      </x:c>
      <x:c r="BP85" s="9" t="str">
        <x:v>0.8127456963171624</x:v>
      </x:c>
      <x:c r="BQ85" s="9" t="str">
        <x:v>1.5274013948029432</x:v>
      </x:c>
      <x:c r="BR85" s="10" t="str">
        <x:v>0.5321100917431193</x:v>
      </x:c>
      <x:c r="BS85" s="9" t="str">
        <x:v>1.3732599696393435</x:v>
      </x:c>
      <x:c r="BT85" s="9" t="str">
        <x:v>0.7496878405684171</x:v>
      </x:c>
      <x:c r="BU85" s="9" t="str">
        <x:v>0.3433149924098359</x:v>
      </x:c>
      <x:c r="BV85" s="6" t="str">
        <x:v>With trade</x:v>
      </x:c>
      <x:c r="BW85" s="7" t="str">
        <x:v>2024-04-05 09:10:00-05:00</x:v>
      </x:c>
      <x:c r="BX85" s="6" t="str">
        <x:v>17779.5</x:v>
      </x:c>
      <x:c r="BY85" s="9" t="str">
        <x:v>35.68151776307058</x:v>
      </x:c>
      <x:c r="BZ85" s="9" t="str">
        <x:v>1.0</x:v>
      </x:c>
      <x:c r="CA85" s="6" t="str">
        <x:v>17725.977723355394</x:v>
      </x:c>
      <x:c r="CB85" s="6" t="str">
        <x:v>53.52227664460588</x:v>
      </x:c>
      <x:c r="CC85" s="9" t="str">
        <x:v>1.5000000000000002</x:v>
      </x:c>
      <x:c r="CD85" s="6" t="str">
        <x:v>17886.54455328921</x:v>
      </x:c>
      <x:c r="CE85" s="6" t="str">
        <x:v>107.04455328921176</x:v>
      </x:c>
      <x:c r="CF85" s="6" t="str">
        <x:v>Fixed 2.00R target</x:v>
      </x:c>
      <x:c r="CG85" s="9" t="str">
        <x:v>0.013545761605286038</x:v>
      </x:c>
      <x:c r="CH85" s="9" t="str">
        <x:v>-1.0</x:v>
      </x:c>
      <x:c r="CI85" s="9" t="str">
        <x:v>-1.013545761605286</x:v>
      </x:c>
      <x:c r="CJ85" s="6" t="str">
        <x:v>Loss</x:v>
      </x:c>
      <x:c r="CK85" s="9" t="str">
        <x:v>0.1728252342743391</x:v>
      </x:c>
      <x:c r="CL85" s="9" t="str">
        <x:v>1.0743190238675133</x:v>
      </x:c>
      <x:c r="CM85" s="7" t="str">
        <x:v>2024-04-05 09:25:00-05:00</x:v>
      </x:c>
      <x:c r="CN85" s="6" t="str">
        <x:v>17725.977723355394</x:v>
      </x:c>
      <x:c r="CO85" s="6" t="str">
        <x:v>STOP</x:v>
      </x:c>
      <x:c r="CP85" s="6" t="str">
        <x:v>F::Long::Same-bar Setup+BOS::Penetration + same-bar reclaim</x:v>
      </x:c>
    </x:row>
    <x:row r="86" ht="18" customHeight="1">
      <x:c r="A86" s="6" t="str">
        <x:v>A0085</x:v>
      </x:c>
      <x:c r="B86" s="6" t="str">
        <x:v>2024-04-09</x:v>
      </x:c>
      <x:c r="C86" s="6" t="str">
        <x:v>2024</x:v>
      </x:c>
      <x:c r="D86" s="6" t="str">
        <x:v>2024-Q2</x:v>
      </x:c>
      <x:c r="E86" s="6" t="str">
        <x:v>First 50%</x:v>
      </x:c>
      <x:c r="F86" s="6" t="str">
        <x:v>Short</x:v>
      </x:c>
      <x:c r="G86" s="6" t="str">
        <x:v>Short</x:v>
      </x:c>
      <x:c r="H86" s="6" t="str">
        <x:v>Overnight</x:v>
      </x:c>
      <x:c r="I86" s="6" t="str">
        <x:v>Overnight</x:v>
      </x:c>
      <x:c r="J86" s="6" t="str">
        <x:v>Neutral</x:v>
      </x:c>
      <x:c r="K86" s="6" t="str">
        <x:v>Bull</x:v>
      </x:c>
      <x:c r="L86" s="6" t="str">
        <x:v>HIGH</x:v>
      </x:c>
      <x:c r="M86" s="7" t="str">
        <x:v>2024-04-09 02:35:00-05:00</x:v>
      </x:c>
      <x:c r="N86" s="6" t="str">
        <x:v>90.0</x:v>
      </x:c>
      <x:c r="O86" s="6" t="str">
        <x:v>90-94</x:v>
      </x:c>
      <x:c r="P86" s="6" t="str">
        <x:v>Matching BOS only</x:v>
      </x:c>
      <x:c r="Q86" s="6" t="str">
        <x:v>Bear CHoCH</x:v>
      </x:c>
      <x:c r="R86" s="6" t="str">
        <x:v>True</x:v>
      </x:c>
      <x:c r="S86" s="6" t="str">
        <x:v>False</x:v>
      </x:c>
      <x:c r="T86" s="6" t="str">
        <x:v>Recent BSL</x:v>
      </x:c>
      <x:c r="U86" s="6" t="str">
        <x:v>BSL</x:v>
      </x:c>
      <x:c r="V86" s="6" t="str">
        <x:v>Swing high / buy-side</x:v>
      </x:c>
      <x:c r="W86" s="6" t="str">
        <x:v>[17872.25]</x:v>
      </x:c>
      <x:c r="X86" s="8" t="str">
        <x:v>1</x:v>
      </x:c>
      <x:c r="Y86" s="8" t="str">
        <x:v>3.0</x:v>
      </x:c>
      <x:c r="Z86" s="6" t="str">
        <x:v>None</x:v>
      </x:c>
      <x:c r="AA86" s="6" t="str">
        <x:v>17850.0</x:v>
      </x:c>
      <x:c r="AB86" s="9" t="str">
        <x:v>0.9002080337990731</x:v>
      </x:c>
      <x:c r="AC86" s="9" t="str">
        <x:v>2.4005547567975283</x:v>
      </x:c>
      <x:c r="AD86" s="9" t="str">
        <x:v>2.733965139686074</x:v>
      </x:c>
      <x:c r="AE86" s="6" t="str">
        <x:v>With trade</x:v>
      </x:c>
      <x:c r="AF86" s="7" t="str">
        <x:v>2024-04-09 02:35:00-05:00</x:v>
      </x:c>
      <x:c r="AG86" s="6" t="str">
        <x:v>Short</x:v>
      </x:c>
      <x:c r="AH86" s="6" t="str">
        <x:v>17850.0</x:v>
      </x:c>
      <x:c r="AI86" s="8" t="str">
        <x:v>0</x:v>
      </x:c>
      <x:c r="AJ86" s="6" t="str">
        <x:v>True</x:v>
      </x:c>
      <x:c r="AK86" s="6" t="str">
        <x:v>Same-bar Setup+BOS</x:v>
      </x:c>
      <x:c r="AL86" s="9" t="str">
        <x:v>2.4005547567975283</x:v>
      </x:c>
      <x:c r="AM86" s="9" t="str">
        <x:v>0.9002080337990731</x:v>
      </x:c>
      <x:c r="AN86" s="9" t="str">
        <x:v>2.4005547567975283</x:v>
      </x:c>
      <x:c r="AO86" s="9" t="str">
        <x:v>2.733965139686074</x:v>
      </x:c>
      <x:c r="AP86" s="10" t="str">
        <x:v>0.8780487804878049</x:v>
      </x:c>
      <x:c r="AQ86" s="6" t="str">
        <x:v>0.036585365853658534</x:v>
      </x:c>
      <x:c r="AR86" s="6" t="str">
        <x:v>0.08536585365853659</x:v>
      </x:c>
      <x:c r="AS86" s="6" t="str">
        <x:v>With trade</x:v>
      </x:c>
      <x:c r="AT86" s="6" t="str">
        <x:v>3.7415248374152483</x:v>
      </x:c>
      <x:c r="AU86" s="7" t="str">
        <x:v>2024-04-09 03:20:00-05:00</x:v>
      </x:c>
      <x:c r="AV86" s="8" t="str">
        <x:v>9</x:v>
      </x:c>
      <x:c r="AW86" s="6" t="str">
        <x:v>Delayed retest (2+ bars)</x:v>
      </x:c>
      <x:c r="AX86" s="6" t="str">
        <x:v>17850.25</x:v>
      </x:c>
      <x:c r="AY86" s="6" t="str">
        <x:v>0.25</x:v>
      </x:c>
      <x:c r="AZ86" s="9" t="str">
        <x:v>0.023678620156740406</x:v>
      </x:c>
      <x:c r="BA86" s="9" t="str">
        <x:v>0.2604648217241445</x:v>
      </x:c>
      <x:c r="BB86" s="9" t="str">
        <x:v>0.876108945799395</x:v>
      </x:c>
      <x:c r="BC86" s="9" t="str">
        <x:v>0.4972510232915485</x:v>
      </x:c>
      <x:c r="BD86" s="6" t="str">
        <x:v>0.32432432432432434</x:v>
      </x:c>
      <x:c r="BE86" s="6" t="str">
        <x:v>0.10810810810810811</x:v>
      </x:c>
      <x:c r="BF86" s="9" t="str">
        <x:v>0.28414344188088486</x:v>
      </x:c>
      <x:c r="BG86" s="9" t="str">
        <x:v>0.09471448062696163</x:v>
      </x:c>
      <x:c r="BH86" s="6" t="str">
        <x:v>Against trade</x:v>
      </x:c>
      <x:c r="BI86" s="6" t="str">
        <x:v>Penetration + same-bar reclaim</x:v>
      </x:c>
      <x:c r="BJ86" s="6" t="str">
        <x:v>False</x:v>
      </x:c>
      <x:c r="BK86" s="10" t="str">
        <x:v>True</x:v>
      </x:c>
      <x:c r="BL86" s="6" t="str">
        <x:v>True</x:v>
      </x:c>
      <x:c r="BM86" s="7" t="str">
        <x:v>2024-04-09 03:30:00-05:00</x:v>
      </x:c>
      <x:c r="BN86" s="8" t="str">
        <x:v>2</x:v>
      </x:c>
      <x:c r="BO86" s="6" t="str">
        <x:v>Delayed confirmation (2+ bars)</x:v>
      </x:c>
      <x:c r="BP86" s="9" t="str">
        <x:v>1.0239555962125413</x:v>
      </x:c>
      <x:c r="BQ86" s="9" t="str">
        <x:v>1.466118240031593</x:v>
      </x:c>
      <x:c r="BR86" s="10" t="str">
        <x:v>0.6984126984126984</x:v>
      </x:c>
      <x:c r="BS86" s="9" t="str">
        <x:v>1.0006838781168017</x:v>
      </x:c>
      <x:c r="BT86" s="9" t="str">
        <x:v>0.7446949790636663</x:v>
      </x:c>
      <x:c r="BU86" s="9" t="str">
        <x:v>0.11635859047869786</x:v>
      </x:c>
      <x:c r="BV86" s="6" t="str">
        <x:v>With trade</x:v>
      </x:c>
      <x:c r="BW86" s="7" t="str">
        <x:v>2024-04-09 03:30:00-05:00</x:v>
      </x:c>
      <x:c r="BX86" s="6" t="str">
        <x:v>17839.25</x:v>
      </x:c>
      <x:c r="BY86" s="9" t="str">
        <x:v>10.742653334468171</x:v>
      </x:c>
      <x:c r="BZ86" s="9" t="str">
        <x:v>1.0</x:v>
      </x:c>
      <x:c r="CA86" s="6" t="str">
        <x:v>17855.3639800017</x:v>
      </x:c>
      <x:c r="CB86" s="6" t="str">
        <x:v>16.11398000170084</x:v>
      </x:c>
      <x:c r="CC86" s="9" t="str">
        <x:v>1.4999999999998679</x:v>
      </x:c>
      <x:c r="CD86" s="6" t="str">
        <x:v>17807.022039996595</x:v>
      </x:c>
      <x:c r="CE86" s="6" t="str">
        <x:v>32.227960003405315</x:v>
      </x:c>
      <x:c r="CF86" s="6" t="str">
        <x:v>Fixed 2.00R target</x:v>
      </x:c>
      <x:c r="CG86" s="9" t="str">
        <x:v>0.044991988318433804</x:v>
      </x:c>
      <x:c r="CH86" s="9" t="str">
        <x:v>-1.0</x:v>
      </x:c>
      <x:c r="CI86" s="9" t="str">
        <x:v>-1.0449919883184338</x:v>
      </x:c>
      <x:c r="CJ86" s="6" t="str">
        <x:v>Loss</x:v>
      </x:c>
      <x:c r="CK86" s="9" t="str">
        <x:v>0.46543436191483245</x:v>
      </x:c>
      <x:c r="CL86" s="9" t="str">
        <x:v>1.1170424685955977</x:v>
      </x:c>
      <x:c r="CM86" s="7" t="str">
        <x:v>2024-04-09 04:15:00-05:00</x:v>
      </x:c>
      <x:c r="CN86" s="6" t="str">
        <x:v>17855.3639800017</x:v>
      </x:c>
      <x:c r="CO86" s="6" t="str">
        <x:v>STOP</x:v>
      </x:c>
      <x:c r="CP86" s="6" t="str">
        <x:v>F::Short::Same-bar Setup+BOS::Penetration + same-bar reclaim</x:v>
      </x:c>
    </x:row>
    <x:row r="87" ht="18" customHeight="1">
      <x:c r="A87" s="6" t="str">
        <x:v>A0086</x:v>
      </x:c>
      <x:c r="B87" s="6" t="str">
        <x:v>2024-04-09</x:v>
      </x:c>
      <x:c r="C87" s="6" t="str">
        <x:v>2024</x:v>
      </x:c>
      <x:c r="D87" s="6" t="str">
        <x:v>2024-Q2</x:v>
      </x:c>
      <x:c r="E87" s="6" t="str">
        <x:v>First 50%</x:v>
      </x:c>
      <x:c r="F87" s="6" t="str">
        <x:v>Short</x:v>
      </x:c>
      <x:c r="G87" s="6" t="str">
        <x:v>Short</x:v>
      </x:c>
      <x:c r="H87" s="6" t="str">
        <x:v>Opening</x:v>
      </x:c>
      <x:c r="I87" s="6" t="str">
        <x:v>Opening</x:v>
      </x:c>
      <x:c r="J87" s="6" t="str">
        <x:v>Neutral</x:v>
      </x:c>
      <x:c r="K87" s="6" t="str">
        <x:v>Bull</x:v>
      </x:c>
      <x:c r="L87" s="6" t="str">
        <x:v>HIGH</x:v>
      </x:c>
      <x:c r="M87" s="7" t="str">
        <x:v>2024-04-09 09:30:00-05:00</x:v>
      </x:c>
      <x:c r="N87" s="6" t="str">
        <x:v>100.0</x:v>
      </x:c>
      <x:c r="O87" s="6" t="str">
        <x:v>95+</x:v>
      </x:c>
      <x:c r="P87" s="6" t="str">
        <x:v>Matching BOS only</x:v>
      </x:c>
      <x:c r="Q87" s="6" t="str">
        <x:v>Bear CHoCH</x:v>
      </x:c>
      <x:c r="R87" s="6" t="str">
        <x:v>True</x:v>
      </x:c>
      <x:c r="S87" s="6" t="str">
        <x:v>False</x:v>
      </x:c>
      <x:c r="T87" s="6" t="str">
        <x:v>Recent BSL</x:v>
      </x:c>
      <x:c r="U87" s="6" t="str">
        <x:v>BSL</x:v>
      </x:c>
      <x:c r="V87" s="6" t="str">
        <x:v>Swing high / buy-side</x:v>
      </x:c>
      <x:c r="W87" s="6" t="str">
        <x:v>[17925.75]</x:v>
      </x:c>
      <x:c r="X87" s="8" t="str">
        <x:v>1</x:v>
      </x:c>
      <x:c r="Y87" s="8" t="str">
        <x:v>15.0</x:v>
      </x:c>
      <x:c r="Z87" s="6" t="str">
        <x:v>None</x:v>
      </x:c>
      <x:c r="AA87" s="6" t="str">
        <x:v>17793.75</x:v>
      </x:c>
      <x:c r="AB87" s="9" t="str">
        <x:v>0.4584630218004236</x:v>
      </x:c>
      <x:c r="AC87" s="9" t="str">
        <x:v>1.4532412766503993</x:v>
      </x:c>
      <x:c r="AD87" s="9" t="str">
        <x:v>2.0068570010886466</x:v>
      </x:c>
      <x:c r="AE87" s="6" t="str">
        <x:v>With trade</x:v>
      </x:c>
      <x:c r="AF87" s="7" t="str">
        <x:v>2024-04-09 09:30:00-05:00</x:v>
      </x:c>
      <x:c r="AG87" s="6" t="str">
        <x:v>Short</x:v>
      </x:c>
      <x:c r="AH87" s="6" t="str">
        <x:v>17793.75</x:v>
      </x:c>
      <x:c r="AI87" s="8" t="str">
        <x:v>0</x:v>
      </x:c>
      <x:c r="AJ87" s="6" t="str">
        <x:v>True</x:v>
      </x:c>
      <x:c r="AK87" s="6" t="str">
        <x:v>Same-bar Setup+BOS</x:v>
      </x:c>
      <x:c r="AL87" s="9" t="str">
        <x:v>1.435940785261704</x:v>
      </x:c>
      <x:c r="AM87" s="9" t="str">
        <x:v>0.4584630218004236</x:v>
      </x:c>
      <x:c r="AN87" s="9" t="str">
        <x:v>1.4532412766503993</x:v>
      </x:c>
      <x:c r="AO87" s="9" t="str">
        <x:v>2.0068570010886466</x:v>
      </x:c>
      <x:c r="AP87" s="10" t="str">
        <x:v>0.7241379310344828</x:v>
      </x:c>
      <x:c r="AQ87" s="6" t="str">
        <x:v>0.03017241379310345</x:v>
      </x:c>
      <x:c r="AR87" s="6" t="str">
        <x:v>0.24568965517241378</x:v>
      </x:c>
      <x:c r="AS87" s="6" t="str">
        <x:v>With trade</x:v>
      </x:c>
      <x:c r="AT87" s="6" t="str">
        <x:v>3.580788323087544</x:v>
      </x:c>
      <x:c r="AU87" s="7" t="str">
        <x:v>2024-04-09 10:15:00-05:00</x:v>
      </x:c>
      <x:c r="AV87" s="8" t="str">
        <x:v>9</x:v>
      </x:c>
      <x:c r="AW87" s="6" t="str">
        <x:v>Delayed retest (2+ bars)</x:v>
      </x:c>
      <x:c r="AX87" s="6" t="str">
        <x:v>17796.25</x:v>
      </x:c>
      <x:c r="AY87" s="6" t="str">
        <x:v>2.5</x:v>
      </x:c>
      <x:c r="AZ87" s="9" t="str">
        <x:v>0.07541374798052686</x:v>
      </x:c>
      <x:c r="BA87" s="9" t="str">
        <x:v>0.12820337156689568</x:v>
      </x:c>
      <x:c r="BB87" s="9" t="str">
        <x:v>1.1689130936981664</x:v>
      </x:c>
      <x:c r="BC87" s="9" t="str">
        <x:v>0.9652959741507439</x:v>
      </x:c>
      <x:c r="BD87" s="6" t="str">
        <x:v>0.17419354838709677</x:v>
      </x:c>
      <x:c r="BE87" s="6" t="str">
        <x:v>0.0</x:v>
      </x:c>
      <x:c r="BF87" s="9" t="str">
        <x:v>0.20361711954742254</x:v>
      </x:c>
      <x:c r="BG87" s="9" t="str">
        <x:v>0.0</x:v>
      </x:c>
      <x:c r="BH87" s="6" t="str">
        <x:v>Against trade</x:v>
      </x:c>
      <x:c r="BI87" s="6" t="str">
        <x:v>Penetration + same-bar reclaim</x:v>
      </x:c>
      <x:c r="BJ87" s="6" t="str">
        <x:v>False</x:v>
      </x:c>
      <x:c r="BK87" s="10" t="str">
        <x:v>True</x:v>
      </x:c>
      <x:c r="BL87" s="6" t="str">
        <x:v>True</x:v>
      </x:c>
      <x:c r="BM87" s="7" t="str">
        <x:v>2024-04-09 10:20:00-05:00</x:v>
      </x:c>
      <x:c r="BN87" s="8" t="str">
        <x:v>1</x:v>
      </x:c>
      <x:c r="BO87" s="6" t="str">
        <x:v>Immediate confirmation (1 bar)</x:v>
      </x:c>
      <x:c r="BP87" s="9" t="str">
        <x:v>0.25457019351571486</x:v>
      </x:c>
      <x:c r="BQ87" s="9" t="str">
        <x:v>0.7019965942403046</x:v>
      </x:c>
      <x:c r="BR87" s="10" t="str">
        <x:v>0.3626373626373626</x:v>
      </x:c>
      <x:c r="BS87" s="9" t="str">
        <x:v>0.39342666270610477</x:v>
      </x:c>
      <x:c r="BT87" s="9" t="str">
        <x:v>0.26228444180406985</x:v>
      </x:c>
      <x:c r="BU87" s="9" t="str">
        <x:v>0.007714248288354996</x:v>
      </x:c>
      <x:c r="BV87" s="6" t="str">
        <x:v>With trade</x:v>
      </x:c>
      <x:c r="BW87" s="7" t="str">
        <x:v>2024-04-09 10:20:00-05:00</x:v>
      </x:c>
      <x:c r="BX87" s="6" t="str">
        <x:v>17781.0</x:v>
      </x:c>
      <x:c r="BY87" s="9" t="str">
        <x:v>32.407564633016314</x:v>
      </x:c>
      <x:c r="BZ87" s="9" t="str">
        <x:v>0.93</x:v>
      </x:c>
      <x:c r="CA87" s="6" t="str">
        <x:v>17829.611346949525</x:v>
      </x:c>
      <x:c r="CB87" s="6" t="str">
        <x:v>48.611346949524886</x:v>
      </x:c>
      <x:c r="CC87" s="9" t="str">
        <x:v>1.5000000000000129</x:v>
      </x:c>
      <x:c r="CD87" s="6" t="str">
        <x:v>17683.77730610095</x:v>
      </x:c>
      <x:c r="CE87" s="6" t="str">
        <x:v>97.22269389904977</x:v>
      </x:c>
      <x:c r="CF87" s="6" t="str">
        <x:v>Fixed 2.00R target</x:v>
      </x:c>
      <x:c r="CG87" s="9" t="str">
        <x:v>0.014914213357486198</x:v>
      </x:c>
      <x:c r="CH87" s="9" t="str">
        <x:v>-1.0</x:v>
      </x:c>
      <x:c r="CI87" s="9" t="str">
        <x:v>-1.0149142133574862</x:v>
      </x:c>
      <x:c r="CJ87" s="6" t="str">
        <x:v>Loss</x:v>
      </x:c>
      <x:c r="CK87" s="9" t="str">
        <x:v>0.6737110171829972</x:v>
      </x:c>
      <x:c r="CL87" s="9" t="str">
        <x:v>1.1211374179075833</x:v>
      </x:c>
      <x:c r="CM87" s="7" t="str">
        <x:v>2024-04-09 11:10:00-05:00</x:v>
      </x:c>
      <x:c r="CN87" s="6" t="str">
        <x:v>17829.611346949525</x:v>
      </x:c>
      <x:c r="CO87" s="6" t="str">
        <x:v>STOP</x:v>
      </x:c>
      <x:c r="CP87" s="6" t="str">
        <x:v>F::Short::Same-bar Setup+BOS::Penetration + same-bar reclaim</x:v>
      </x:c>
    </x:row>
    <x:row r="88" ht="18" customHeight="1">
      <x:c r="A88" s="6" t="str">
        <x:v>A0087</x:v>
      </x:c>
      <x:c r="B88" s="6" t="str">
        <x:v>2024-04-10</x:v>
      </x:c>
      <x:c r="C88" s="6" t="str">
        <x:v>2024</x:v>
      </x:c>
      <x:c r="D88" s="6" t="str">
        <x:v>2024-Q2</x:v>
      </x:c>
      <x:c r="E88" s="6" t="str">
        <x:v>First 50%</x:v>
      </x:c>
      <x:c r="F88" s="6" t="str">
        <x:v>Long</x:v>
      </x:c>
      <x:c r="G88" s="6" t="str">
        <x:v>Long</x:v>
      </x:c>
      <x:c r="H88" s="6" t="str">
        <x:v>Overnight</x:v>
      </x:c>
      <x:c r="I88" s="6" t="str">
        <x:v>Overnight</x:v>
      </x:c>
      <x:c r="J88" s="6" t="str">
        <x:v>Bear</x:v>
      </x:c>
      <x:c r="K88" s="6" t="str">
        <x:v>Bear</x:v>
      </x:c>
      <x:c r="L88" s="6" t="str">
        <x:v>LOW</x:v>
      </x:c>
      <x:c r="M88" s="7" t="str">
        <x:v>2024-04-10 20:50:00-05:00</x:v>
      </x:c>
      <x:c r="N88" s="6" t="str">
        <x:v>75.0</x:v>
      </x:c>
      <x:c r="O88" s="6" t="str">
        <x:v>75-79</x:v>
      </x:c>
      <x:c r="P88" s="6" t="str">
        <x:v>Matching BOS only</x:v>
      </x:c>
      <x:c r="Q88" s="6" t="str">
        <x:v>Bull CHoCH</x:v>
      </x:c>
      <x:c r="R88" s="6" t="str">
        <x:v>True</x:v>
      </x:c>
      <x:c r="S88" s="6" t="str">
        <x:v>False</x:v>
      </x:c>
      <x:c r="T88" s="6" t="str">
        <x:v>Recent SSL</x:v>
      </x:c>
      <x:c r="U88" s="6" t="str">
        <x:v>SSL</x:v>
      </x:c>
      <x:c r="V88" s="6" t="str">
        <x:v>Swing low / sell-side</x:v>
      </x:c>
      <x:c r="W88" s="6" t="str">
        <x:v>[17699.0]</x:v>
      </x:c>
      <x:c r="X88" s="8" t="str">
        <x:v>1</x:v>
      </x:c>
      <x:c r="Y88" s="8" t="str">
        <x:v>6.0</x:v>
      </x:c>
      <x:c r="Z88" s="6" t="str">
        <x:v>None</x:v>
      </x:c>
      <x:c r="AA88" s="6" t="str">
        <x:v>17717.0</x:v>
      </x:c>
      <x:c r="AB88" s="9" t="str">
        <x:v>0.4642634521674864</x:v>
      </x:c>
      <x:c r="AC88" s="9" t="str">
        <x:v>0.55131284944889</x:v>
      </x:c>
      <x:c r="AD88" s="9" t="str">
        <x:v>1.0736092331373122</x:v>
      </x:c>
      <x:c r="AE88" s="6" t="str">
        <x:v>With trade</x:v>
      </x:c>
      <x:c r="AF88" s="7" t="str">
        <x:v>2024-04-10 20:50:00-05:00</x:v>
      </x:c>
      <x:c r="AG88" s="6" t="str">
        <x:v>Long</x:v>
      </x:c>
      <x:c r="AH88" s="6" t="str">
        <x:v>17717.0</x:v>
      </x:c>
      <x:c r="AI88" s="8" t="str">
        <x:v>0</x:v>
      </x:c>
      <x:c r="AJ88" s="6" t="str">
        <x:v>True</x:v>
      </x:c>
      <x:c r="AK88" s="6" t="str">
        <x:v>Same-bar Setup+BOS</x:v>
      </x:c>
      <x:c r="AL88" s="9" t="str">
        <x:v>0.6093457809698258</x:v>
      </x:c>
      <x:c r="AM88" s="9" t="str">
        <x:v>0.4642634521674864</x:v>
      </x:c>
      <x:c r="AN88" s="9" t="str">
        <x:v>0.55131284944889</x:v>
      </x:c>
      <x:c r="AO88" s="9" t="str">
        <x:v>1.0736092331373122</x:v>
      </x:c>
      <x:c r="AP88" s="10" t="str">
        <x:v>0.5135135135135135</x:v>
      </x:c>
      <x:c r="AQ88" s="6" t="str">
        <x:v>0.43243243243243246</x:v>
      </x:c>
      <x:c r="AR88" s="6" t="str">
        <x:v>0.05405405405405406</x:v>
      </x:c>
      <x:c r="AS88" s="6" t="str">
        <x:v>With trade</x:v>
      </x:c>
      <x:c r="AT88" s="6" t="str">
        <x:v>1.6866250632484399</x:v>
      </x:c>
      <x:c r="AU88" s="7" t="str">
        <x:v>2024-04-10 20:55:00-05:00</x:v>
      </x:c>
      <x:c r="AV88" s="8" t="str">
        <x:v>1</x:v>
      </x:c>
      <x:c r="AW88" s="6" t="str">
        <x:v>Immediate retest (1 bar)</x:v>
      </x:c>
      <x:c r="AX88" s="6" t="str">
        <x:v>17716.0</x:v>
      </x:c>
      <x:c r="AY88" s="6" t="str">
        <x:v>1.0</x:v>
      </x:c>
      <x:c r="AZ88" s="9" t="str">
        <x:v>0.11889054344423551</x:v>
      </x:c>
      <x:c r="BA88" s="9" t="str">
        <x:v>0.20805845102741213</x:v>
      </x:c>
      <x:c r="BB88" s="9" t="str">
        <x:v>0.6836206248043541</x:v>
      </x:c>
      <x:c r="BC88" s="9" t="str">
        <x:v>0.2675037227495299</x:v>
      </x:c>
      <x:c r="BD88" s="6" t="str">
        <x:v>0.13043478260869565</x:v>
      </x:c>
      <x:c r="BE88" s="6" t="str">
        <x:v>0.4782608695652174</x:v>
      </x:c>
      <x:c r="BF88" s="9" t="str">
        <x:v>0.32694899447164766</x:v>
      </x:c>
      <x:c r="BG88" s="9" t="str">
        <x:v>0.08916790758317664</x:v>
      </x:c>
      <x:c r="BH88" s="6" t="str">
        <x:v>Against trade</x:v>
      </x:c>
      <x:c r="BI88" s="6" t="str">
        <x:v>Penetration + same-bar reclaim</x:v>
      </x:c>
      <x:c r="BJ88" s="6" t="str">
        <x:v>False</x:v>
      </x:c>
      <x:c r="BK88" s="10" t="str">
        <x:v>True</x:v>
      </x:c>
      <x:c r="BL88" s="6" t="str">
        <x:v>True</x:v>
      </x:c>
      <x:c r="BM88" s="7" t="str">
        <x:v>2024-04-10 21:00:00-05:00</x:v>
      </x:c>
      <x:c r="BN88" s="8" t="str">
        <x:v>1</x:v>
      </x:c>
      <x:c r="BO88" s="6" t="str">
        <x:v>Immediate confirmation (1 bar)</x:v>
      </x:c>
      <x:c r="BP88" s="9" t="str">
        <x:v>0.03074375124878118</x:v>
      </x:c>
      <x:c r="BQ88" s="9" t="str">
        <x:v>0.5533875224780612</x:v>
      </x:c>
      <x:c r="BR88" s="10" t="str">
        <x:v>0.05555555555555555</x:v>
      </x:c>
      <x:c r="BS88" s="9" t="str">
        <x:v>0.2766937612390306</x:v>
      </x:c>
      <x:c r="BT88" s="9" t="str">
        <x:v>0.06148750249756236</x:v>
      </x:c>
      <x:c r="BU88" s="9" t="str">
        <x:v>0.1537187562439059</x:v>
      </x:c>
      <x:c r="BV88" s="6" t="str">
        <x:v>With trade</x:v>
      </x:c>
      <x:c r="BW88" s="7" t="str">
        <x:v>2024-04-10 21:00:00-05:00</x:v>
      </x:c>
      <x:c r="BX88" s="6" t="str">
        <x:v>17719.25</x:v>
      </x:c>
      <x:c r="BY88" s="9" t="str">
        <x:v>8.131733761992077</x:v>
      </x:c>
      <x:c r="BZ88" s="9" t="str">
        <x:v>0.0</x:v>
      </x:c>
      <x:c r="CA88" s="6" t="str">
        <x:v>17707.052399357013</x:v>
      </x:c>
      <x:c r="CB88" s="6" t="str">
        <x:v>12.1976006429868</x:v>
      </x:c>
      <x:c r="CC88" s="9" t="str">
        <x:v>1.4999999999998381</x:v>
      </x:c>
      <x:c r="CD88" s="6" t="str">
        <x:v>17743.645201285977</x:v>
      </x:c>
      <x:c r="CE88" s="6" t="str">
        <x:v>24.395201285977237</x:v>
      </x:c>
      <x:c r="CF88" s="6" t="str">
        <x:v>Fixed 2.00R target</x:v>
      </x:c>
      <x:c r="CG88" s="9" t="str">
        <x:v>0.059437919080983365</x:v>
      </x:c>
      <x:c r="CH88" s="9" t="str">
        <x:v>0.6763625274731859</x:v>
      </x:c>
      <x:c r="CI88" s="9" t="str">
        <x:v>0.6169246083922025</x:v>
      </x:c>
      <x:c r="CJ88" s="6" t="str">
        <x:v>Win</x:v>
      </x:c>
      <x:c r="CK88" s="9" t="str">
        <x:v>1.2912375524489488</x:v>
      </x:c>
      <x:c r="CL88" s="9" t="str">
        <x:v>0.0</x:v>
      </x:c>
      <x:c r="CM88" s="7" t="str">
        <x:v>2024-04-10 22:00:00-05:00</x:v>
      </x:c>
      <x:c r="CN88" s="6" t="str">
        <x:v>17727.5</x:v>
      </x:c>
      <x:c r="CO88" s="6" t="str">
        <x:v>TIME</x:v>
      </x:c>
      <x:c r="CP88" s="6" t="str">
        <x:v>F::Long::Same-bar Setup+BOS::Penetration + same-bar reclaim</x:v>
      </x:c>
    </x:row>
    <x:row r="89" ht="18" customHeight="1">
      <x:c r="A89" s="6" t="str">
        <x:v>A0088</x:v>
      </x:c>
      <x:c r="B89" s="6" t="str">
        <x:v>2024-04-12</x:v>
      </x:c>
      <x:c r="C89" s="6" t="str">
        <x:v>2024</x:v>
      </x:c>
      <x:c r="D89" s="6" t="str">
        <x:v>2024-Q2</x:v>
      </x:c>
      <x:c r="E89" s="6" t="str">
        <x:v>First 50%</x:v>
      </x:c>
      <x:c r="F89" s="6" t="str">
        <x:v>Short</x:v>
      </x:c>
      <x:c r="G89" s="6" t="str">
        <x:v>Short</x:v>
      </x:c>
      <x:c r="H89" s="6" t="str">
        <x:v>Overnight</x:v>
      </x:c>
      <x:c r="I89" s="6" t="str">
        <x:v>Overnight</x:v>
      </x:c>
      <x:c r="J89" s="6" t="str">
        <x:v>Bull</x:v>
      </x:c>
      <x:c r="K89" s="6" t="str">
        <x:v>Bull</x:v>
      </x:c>
      <x:c r="L89" s="6" t="str">
        <x:v>HIGH</x:v>
      </x:c>
      <x:c r="M89" s="7" t="str">
        <x:v>2024-04-12 02:20:00-05:00</x:v>
      </x:c>
      <x:c r="N89" s="6" t="str">
        <x:v>90.0</x:v>
      </x:c>
      <x:c r="O89" s="6" t="str">
        <x:v>90-94</x:v>
      </x:c>
      <x:c r="P89" s="6" t="str">
        <x:v>Matching BOS only</x:v>
      </x:c>
      <x:c r="Q89" s="6" t="str">
        <x:v>Bear CHoCH</x:v>
      </x:c>
      <x:c r="R89" s="6" t="str">
        <x:v>True</x:v>
      </x:c>
      <x:c r="S89" s="6" t="str">
        <x:v>False</x:v>
      </x:c>
      <x:c r="T89" s="6" t="str">
        <x:v>Recent BSL</x:v>
      </x:c>
      <x:c r="U89" s="6" t="str">
        <x:v>BSL</x:v>
      </x:c>
      <x:c r="V89" s="6" t="str">
        <x:v>Swing high / buy-side</x:v>
      </x:c>
      <x:c r="W89" s="6" t="str">
        <x:v>[18035.75]</x:v>
      </x:c>
      <x:c r="X89" s="8" t="str">
        <x:v>1</x:v>
      </x:c>
      <x:c r="Y89" s="8" t="str">
        <x:v>15.0</x:v>
      </x:c>
      <x:c r="Z89" s="6" t="str">
        <x:v>None</x:v>
      </x:c>
      <x:c r="AA89" s="6" t="str">
        <x:v>18020.5</x:v>
      </x:c>
      <x:c r="AB89" s="9" t="str">
        <x:v>0.3747215263891179</x:v>
      </x:c>
      <x:c r="AC89" s="9" t="str">
        <x:v>1.0665151135690278</x:v>
      </x:c>
      <x:c r="AD89" s="9" t="str">
        <x:v>1.8447828991464263</x:v>
      </x:c>
      <x:c r="AE89" s="6" t="str">
        <x:v>With trade</x:v>
      </x:c>
      <x:c r="AF89" s="7" t="str">
        <x:v>2024-04-12 02:20:00-05:00</x:v>
      </x:c>
      <x:c r="AG89" s="6" t="str">
        <x:v>Short</x:v>
      </x:c>
      <x:c r="AH89" s="6" t="str">
        <x:v>18020.5</x:v>
      </x:c>
      <x:c r="AI89" s="8" t="str">
        <x:v>0</x:v>
      </x:c>
      <x:c r="AJ89" s="6" t="str">
        <x:v>True</x:v>
      </x:c>
      <x:c r="AK89" s="6" t="str">
        <x:v>Same-bar Setup+BOS</x:v>
      </x:c>
      <x:c r="AL89" s="9" t="str">
        <x:v>1.0953398463681907</x:v>
      </x:c>
      <x:c r="AM89" s="9" t="str">
        <x:v>0.3747215263891179</x:v>
      </x:c>
      <x:c r="AN89" s="9" t="str">
        <x:v>1.0665151135690278</x:v>
      </x:c>
      <x:c r="AO89" s="9" t="str">
        <x:v>1.8447828991464263</x:v>
      </x:c>
      <x:c r="AP89" s="10" t="str">
        <x:v>0.578125</x:v>
      </x:c>
      <x:c r="AQ89" s="6" t="str">
        <x:v>0.296875</x:v>
      </x:c>
      <x:c r="AR89" s="6" t="str">
        <x:v>0.125</x:v>
      </x:c>
      <x:c r="AS89" s="6" t="str">
        <x:v>With trade</x:v>
      </x:c>
      <x:c r="AT89" s="6" t="str">
        <x:v>1.8736861347226033</x:v>
      </x:c>
      <x:c r="AU89" s="7" t="str">
        <x:v>2024-04-12 02:25:00-05:00</x:v>
      </x:c>
      <x:c r="AV89" s="8" t="str">
        <x:v>1</x:v>
      </x:c>
      <x:c r="AW89" s="6" t="str">
        <x:v>Immediate retest (1 bar)</x:v>
      </x:c>
      <x:c r="AX89" s="6" t="str">
        <x:v>18020.5</x:v>
      </x:c>
      <x:c r="AY89" s="6" t="str">
        <x:v>0.0</x:v>
      </x:c>
      <x:c r="AZ89" s="9" t="str">
        <x:v>0.0</x:v>
      </x:c>
      <x:c r="BA89" s="9" t="str">
        <x:v>0.028985412502580608</x:v>
      </x:c>
      <x:c r="BB89" s="9" t="str">
        <x:v>0.9275332000825794</x:v>
      </x:c>
      <x:c r="BC89" s="9" t="str">
        <x:v>0.43478118753870915</x:v>
      </x:c>
      <x:c r="BD89" s="6" t="str">
        <x:v>0.03125</x:v>
      </x:c>
      <x:c r="BE89" s="6" t="str">
        <x:v>0.5</x:v>
      </x:c>
      <x:c r="BF89" s="9" t="str">
        <x:v>0.028985412502580608</x:v>
      </x:c>
      <x:c r="BG89" s="9" t="str">
        <x:v>0.4637666000412897</x:v>
      </x:c>
      <x:c r="BH89" s="6" t="str">
        <x:v>Against trade</x:v>
      </x:c>
      <x:c r="BI89" s="6" t="str">
        <x:v>Exact BOS touch</x:v>
      </x:c>
      <x:c r="BJ89" s="6" t="str">
        <x:v>True</x:v>
      </x:c>
      <x:c r="BK89" s="10" t="str">
        <x:v>False</x:v>
      </x:c>
      <x:c r="BL89" s="6" t="str">
        <x:v>True</x:v>
      </x:c>
      <x:c r="BM89" s="7" t="str">
        <x:v>2024-04-12 02:30:00-05:00</x:v>
      </x:c>
      <x:c r="BN89" s="8" t="str">
        <x:v>1</x:v>
      </x:c>
      <x:c r="BO89" s="6" t="str">
        <x:v>Immediate confirmation (1 bar)</x:v>
      </x:c>
      <x:c r="BP89" s="9" t="str">
        <x:v>0.11463629875798066</x:v>
      </x:c>
      <x:c r="BQ89" s="9" t="str">
        <x:v>1.1463629875798067</x:v>
      </x:c>
      <x:c r="BR89" s="10" t="str">
        <x:v>0.1</x:v>
      </x:c>
      <x:c r="BS89" s="9" t="str">
        <x:v>0.14329537344747584</x:v>
      </x:c>
      <x:c r="BT89" s="9" t="str">
        <x:v>0.11463629875798066</x:v>
      </x:c>
      <x:c r="BU89" s="9" t="str">
        <x:v>0.8024540913058646</x:v>
      </x:c>
      <x:c r="BV89" s="6" t="str">
        <x:v>With trade</x:v>
      </x:c>
      <x:c r="BW89" s="7" t="str">
        <x:v>2024-04-12 02:30:00-05:00</x:v>
      </x:c>
      <x:c r="BX89" s="6" t="str">
        <x:v>18019.25</x:v>
      </x:c>
      <x:c r="BY89" s="9" t="str">
        <x:v>8.723240464272079</x:v>
      </x:c>
      <x:c r="BZ89" s="9" t="str">
        <x:v>1.0</x:v>
      </x:c>
      <x:c r="CA89" s="6" t="str">
        <x:v>18032.334860696406</x:v>
      </x:c>
      <x:c r="CB89" s="6" t="str">
        <x:v>13.084860696406395</x:v>
      </x:c>
      <x:c r="CC89" s="9" t="str">
        <x:v>1.4999999999998024</x:v>
      </x:c>
      <x:c r="CD89" s="6" t="str">
        <x:v>17993.080278607184</x:v>
      </x:c>
      <x:c r="CE89" s="6" t="str">
        <x:v>26.169721392816427</x:v>
      </x:c>
      <x:c r="CF89" s="6" t="str">
        <x:v>Fixed 2.00R target</x:v>
      </x:c>
      <x:c r="CG89" s="9" t="str">
        <x:v>0.05540754439969795</x:v>
      </x:c>
      <x:c r="CH89" s="9" t="str">
        <x:v>0.6113935933758969</x:v>
      </x:c>
      <x:c r="CI89" s="9" t="str">
        <x:v>0.555986048976199</x:v>
      </x:c>
      <x:c r="CJ89" s="6" t="str">
        <x:v>Win</x:v>
      </x:c>
      <x:c r="CK89" s="9" t="str">
        <x:v>1.6622263319909385</x:v>
      </x:c>
      <x:c r="CL89" s="9" t="str">
        <x:v>0.2865907468949894</x:v>
      </x:c>
      <x:c r="CM89" s="7" t="str">
        <x:v>2024-04-12 03:30:00-05:00</x:v>
      </x:c>
      <x:c r="CN89" s="6" t="str">
        <x:v>18011.25</x:v>
      </x:c>
      <x:c r="CO89" s="6" t="str">
        <x:v>TIME</x:v>
      </x:c>
      <x:c r="CP89" s="6" t="str">
        <x:v>F::Short::Same-bar Setup+BOS::Exact BOS touch</x:v>
      </x:c>
    </x:row>
    <x:row r="90" ht="18" customHeight="1">
      <x:c r="A90" s="6" t="str">
        <x:v>A0089</x:v>
      </x:c>
      <x:c r="B90" s="6" t="str">
        <x:v>2024-04-17</x:v>
      </x:c>
      <x:c r="C90" s="6" t="str">
        <x:v>2024</x:v>
      </x:c>
      <x:c r="D90" s="6" t="str">
        <x:v>2024-Q2</x:v>
      </x:c>
      <x:c r="E90" s="6" t="str">
        <x:v>First 50%</x:v>
      </x:c>
      <x:c r="F90" s="6" t="str">
        <x:v>Long</x:v>
      </x:c>
      <x:c r="G90" s="6" t="str">
        <x:v>Long</x:v>
      </x:c>
      <x:c r="H90" s="6" t="str">
        <x:v>Overnight</x:v>
      </x:c>
      <x:c r="I90" s="6" t="str">
        <x:v>Overnight</x:v>
      </x:c>
      <x:c r="J90" s="6" t="str">
        <x:v>Bear</x:v>
      </x:c>
      <x:c r="K90" s="6" t="str">
        <x:v>Bear</x:v>
      </x:c>
      <x:c r="L90" s="6" t="str">
        <x:v>LOW</x:v>
      </x:c>
      <x:c r="M90" s="7" t="str">
        <x:v>2024-04-17 19:15:00-05:00</x:v>
      </x:c>
      <x:c r="N90" s="6" t="str">
        <x:v>90.0</x:v>
      </x:c>
      <x:c r="O90" s="6" t="str">
        <x:v>90-94</x:v>
      </x:c>
      <x:c r="P90" s="6" t="str">
        <x:v>Matching BOS only</x:v>
      </x:c>
      <x:c r="Q90" s="6" t="str">
        <x:v>Bull BOS</x:v>
      </x:c>
      <x:c r="R90" s="6" t="str">
        <x:v>True</x:v>
      </x:c>
      <x:c r="S90" s="6" t="str">
        <x:v>False</x:v>
      </x:c>
      <x:c r="T90" s="6" t="str">
        <x:v>Recent SSL</x:v>
      </x:c>
      <x:c r="U90" s="6" t="str">
        <x:v>SSL</x:v>
      </x:c>
      <x:c r="V90" s="6" t="str">
        <x:v>Swing low / sell-side</x:v>
      </x:c>
      <x:c r="W90" s="6" t="str">
        <x:v>[17214.5]</x:v>
      </x:c>
      <x:c r="X90" s="8" t="str">
        <x:v>1</x:v>
      </x:c>
      <x:c r="Y90" s="8" t="str">
        <x:v>11.0</x:v>
      </x:c>
      <x:c r="Z90" s="6" t="str">
        <x:v>None</x:v>
      </x:c>
      <x:c r="AA90" s="6" t="str">
        <x:v>17228.25</x:v>
      </x:c>
      <x:c r="AB90" s="9" t="str">
        <x:v>0.5172375888402191</x:v>
      </x:c>
      <x:c r="AC90" s="9" t="str">
        <x:v>1.064900918200451</x:v>
      </x:c>
      <x:c r="AD90" s="9" t="str">
        <x:v>1.7342672096407346</x:v>
      </x:c>
      <x:c r="AE90" s="6" t="str">
        <x:v>With trade</x:v>
      </x:c>
      <x:c r="AF90" s="7" t="str">
        <x:v>2024-04-17 19:15:00-05:00</x:v>
      </x:c>
      <x:c r="AG90" s="6" t="str">
        <x:v>Long</x:v>
      </x:c>
      <x:c r="AH90" s="6" t="str">
        <x:v>17228.25</x:v>
      </x:c>
      <x:c r="AI90" s="8" t="str">
        <x:v>0</x:v>
      </x:c>
      <x:c r="AJ90" s="6" t="str">
        <x:v>True</x:v>
      </x:c>
      <x:c r="AK90" s="6" t="str">
        <x:v>Same-bar Setup+BOS</x:v>
      </x:c>
      <x:c r="AL90" s="9" t="str">
        <x:v>1.1561781397604898</x:v>
      </x:c>
      <x:c r="AM90" s="9" t="str">
        <x:v>0.5172375888402191</x:v>
      </x:c>
      <x:c r="AN90" s="9" t="str">
        <x:v>1.064900918200451</x:v>
      </x:c>
      <x:c r="AO90" s="9" t="str">
        <x:v>1.7342672096407346</x:v>
      </x:c>
      <x:c r="AP90" s="10" t="str">
        <x:v>0.6140350877192983</x:v>
      </x:c>
      <x:c r="AQ90" s="6" t="str">
        <x:v>0.3333333333333333</x:v>
      </x:c>
      <x:c r="AR90" s="6" t="str">
        <x:v>0.05263157894736842</x:v>
      </x:c>
      <x:c r="AS90" s="6" t="str">
        <x:v>With trade</x:v>
      </x:c>
      <x:c r="AT90" s="6" t="str">
        <x:v>2.9271708683473388</x:v>
      </x:c>
      <x:c r="AU90" s="7" t="str">
        <x:v>2024-04-17 19:20:00-05:00</x:v>
      </x:c>
      <x:c r="AV90" s="8" t="str">
        <x:v>1</x:v>
      </x:c>
      <x:c r="AW90" s="6" t="str">
        <x:v>Immediate retest (1 bar)</x:v>
      </x:c>
      <x:c r="AX90" s="6" t="str">
        <x:v>17226.0</x:v>
      </x:c>
      <x:c r="AY90" s="6" t="str">
        <x:v>2.25</x:v>
      </x:c>
      <x:c r="AZ90" s="9" t="str">
        <x:v>0.2713939192171989</x:v>
      </x:c>
      <x:c r="BA90" s="9" t="str">
        <x:v>0.15077439956511052</x:v>
      </x:c>
      <x:c r="BB90" s="9" t="str">
        <x:v>1.1157305567818179</x:v>
      </x:c>
      <x:c r="BC90" s="9" t="str">
        <x:v>0.30154879913022103</x:v>
      </x:c>
      <x:c r="BD90" s="6" t="str">
        <x:v>0.35135135135135137</x:v>
      </x:c>
      <x:c r="BE90" s="6" t="str">
        <x:v>0.3783783783783784</x:v>
      </x:c>
      <x:c r="BF90" s="9" t="str">
        <x:v>0.4221683187823094</x:v>
      </x:c>
      <x:c r="BG90" s="9" t="str">
        <x:v>0.3920134388692873</x:v>
      </x:c>
      <x:c r="BH90" s="6" t="str">
        <x:v>Against trade</x:v>
      </x:c>
      <x:c r="BI90" s="6" t="str">
        <x:v>Penetration + same-bar reclaim</x:v>
      </x:c>
      <x:c r="BJ90" s="6" t="str">
        <x:v>False</x:v>
      </x:c>
      <x:c r="BK90" s="10" t="str">
        <x:v>True</x:v>
      </x:c>
      <x:c r="BL90" s="6" t="str">
        <x:v>True</x:v>
      </x:c>
      <x:c r="BM90" s="7" t="str">
        <x:v>2024-04-17 19:25:00-05:00</x:v>
      </x:c>
      <x:c r="BN90" s="8" t="str">
        <x:v>1</x:v>
      </x:c>
      <x:c r="BO90" s="6" t="str">
        <x:v>Immediate confirmation (1 bar)</x:v>
      </x:c>
      <x:c r="BP90" s="9" t="str">
        <x:v>0.71778358265046</x:v>
      </x:c>
      <x:c r="BQ90" s="9" t="str">
        <x:v>1.1065830232527927</x:v>
      </x:c>
      <x:c r="BR90" s="10" t="str">
        <x:v>0.6486486486486487</x:v>
      </x:c>
      <x:c r="BS90" s="9" t="str">
        <x:v>0.8075065304817676</x:v>
      </x:c>
      <x:c r="BT90" s="9" t="str">
        <x:v>0.6579682840962551</x:v>
      </x:c>
      <x:c r="BU90" s="9" t="str">
        <x:v>0.0</x:v>
      </x:c>
      <x:c r="BV90" s="6" t="str">
        <x:v>With trade</x:v>
      </x:c>
      <x:c r="BW90" s="7" t="str">
        <x:v>2024-04-17 19:25:00-05:00</x:v>
      </x:c>
      <x:c r="BX90" s="6" t="str">
        <x:v>17235.0</x:v>
      </x:c>
      <x:c r="BY90" s="9" t="str">
        <x:v>8.359065524798757</x:v>
      </x:c>
      <x:c r="BZ90" s="9" t="str">
        <x:v>0.08</x:v>
      </x:c>
      <x:c r="CA90" s="6" t="str">
        <x:v>17222.4614017128</x:v>
      </x:c>
      <x:c r="CB90" s="6" t="str">
        <x:v>12.53859828719942</x:v>
      </x:c>
      <x:c r="CC90" s="9" t="str">
        <x:v>1.5000000000001537</x:v>
      </x:c>
      <x:c r="CD90" s="6" t="str">
        <x:v>17260.077196574395</x:v>
      </x:c>
      <x:c r="CE90" s="6" t="str">
        <x:v>25.077196574395202</x:v>
      </x:c>
      <x:c r="CF90" s="6" t="str">
        <x:v>Fixed 2.00R target</x:v>
      </x:c>
      <x:c r="CG90" s="9" t="str">
        <x:v>0.057821455269058915</x:v>
      </x:c>
      <x:c r="CH90" s="9" t="str">
        <x:v>0.37883022417663176</x:v>
      </x:c>
      <x:c r="CI90" s="9" t="str">
        <x:v>0.32100876890757285</x:v>
      </x:c>
      <x:c r="CJ90" s="6" t="str">
        <x:v>Win</x:v>
      </x:c>
      <x:c r="CK90" s="9" t="str">
        <x:v>0.7177835826503866</x:v>
      </x:c>
      <x:c r="CL90" s="9" t="str">
        <x:v>0.8573526126101839</x:v>
      </x:c>
      <x:c r="CM90" s="7" t="str">
        <x:v>2024-04-17 20:25:00-05:00</x:v>
      </x:c>
      <x:c r="CN90" s="6" t="str">
        <x:v>17239.75</x:v>
      </x:c>
      <x:c r="CO90" s="6" t="str">
        <x:v>TIME</x:v>
      </x:c>
      <x:c r="CP90" s="6" t="str">
        <x:v>F::Long::Same-bar Setup+BOS::Penetration + same-bar reclaim</x:v>
      </x:c>
    </x:row>
    <x:row r="91" ht="18" customHeight="1">
      <x:c r="A91" s="6" t="str">
        <x:v>A0090</x:v>
      </x:c>
      <x:c r="B91" s="6" t="str">
        <x:v>2024-04-18</x:v>
      </x:c>
      <x:c r="C91" s="6" t="str">
        <x:v>2024</x:v>
      </x:c>
      <x:c r="D91" s="6" t="str">
        <x:v>2024-Q2</x:v>
      </x:c>
      <x:c r="E91" s="6" t="str">
        <x:v>First 50%</x:v>
      </x:c>
      <x:c r="F91" s="6" t="str">
        <x:v>Long</x:v>
      </x:c>
      <x:c r="G91" s="6" t="str">
        <x:v>Long</x:v>
      </x:c>
      <x:c r="H91" s="6" t="str">
        <x:v>Overnight</x:v>
      </x:c>
      <x:c r="I91" s="6" t="str">
        <x:v>Overnight</x:v>
      </x:c>
      <x:c r="J91" s="6" t="str">
        <x:v>Bear</x:v>
      </x:c>
      <x:c r="K91" s="6" t="str">
        <x:v>Bear</x:v>
      </x:c>
      <x:c r="L91" s="6" t="str">
        <x:v>MID</x:v>
      </x:c>
      <x:c r="M91" s="7" t="str">
        <x:v>2024-04-18 00:30:00-05:00</x:v>
      </x:c>
      <x:c r="N91" s="6" t="str">
        <x:v>90.0</x:v>
      </x:c>
      <x:c r="O91" s="6" t="str">
        <x:v>90-94</x:v>
      </x:c>
      <x:c r="P91" s="6" t="str">
        <x:v>Matching BOS only</x:v>
      </x:c>
      <x:c r="Q91" s="6" t="str">
        <x:v>Bull CHoCH</x:v>
      </x:c>
      <x:c r="R91" s="6" t="str">
        <x:v>True</x:v>
      </x:c>
      <x:c r="S91" s="6" t="str">
        <x:v>False</x:v>
      </x:c>
      <x:c r="T91" s="6" t="str">
        <x:v>Recent SSL</x:v>
      </x:c>
      <x:c r="U91" s="6" t="str">
        <x:v>SSL</x:v>
      </x:c>
      <x:c r="V91" s="6" t="str">
        <x:v>Swing low / sell-side</x:v>
      </x:c>
      <x:c r="W91" s="6" t="str">
        <x:v>[17264.25]</x:v>
      </x:c>
      <x:c r="X91" s="8" t="str">
        <x:v>1</x:v>
      </x:c>
      <x:c r="Y91" s="8" t="str">
        <x:v>9.0</x:v>
      </x:c>
      <x:c r="Z91" s="6" t="str">
        <x:v>None</x:v>
      </x:c>
      <x:c r="AA91" s="6" t="str">
        <x:v>17276.75</x:v>
      </x:c>
      <x:c r="AB91" s="9" t="str">
        <x:v>1.3281376478542866</x:v>
      </x:c>
      <x:c r="AC91" s="9" t="str">
        <x:v>2.41161836057752</x:v>
      </x:c>
      <x:c r="AD91" s="9" t="str">
        <x:v>3.7397560084318067</x:v>
      </x:c>
      <x:c r="AE91" s="6" t="str">
        <x:v>With trade</x:v>
      </x:c>
      <x:c r="AF91" s="7" t="str">
        <x:v>2024-04-18 00:30:00-05:00</x:v>
      </x:c>
      <x:c r="AG91" s="6" t="str">
        <x:v>Long</x:v>
      </x:c>
      <x:c r="AH91" s="6" t="str">
        <x:v>17276.75</x:v>
      </x:c>
      <x:c r="AI91" s="8" t="str">
        <x:v>0</x:v>
      </x:c>
      <x:c r="AJ91" s="6" t="str">
        <x:v>True</x:v>
      </x:c>
      <x:c r="AK91" s="6" t="str">
        <x:v>Same-bar Setup+BOS</x:v>
      </x:c>
      <x:c r="AL91" s="9" t="str">
        <x:v>2.3766673698445127</x:v>
      </x:c>
      <x:c r="AM91" s="9" t="str">
        <x:v>1.3281376478542866</x:v>
      </x:c>
      <x:c r="AN91" s="9" t="str">
        <x:v>2.41161836057752</x:v>
      </x:c>
      <x:c r="AO91" s="9" t="str">
        <x:v>3.7397560084318067</x:v>
      </x:c>
      <x:c r="AP91" s="10" t="str">
        <x:v>0.6448598130841121</x:v>
      </x:c>
      <x:c r="AQ91" s="6" t="str">
        <x:v>0.35514018691588783</x:v>
      </x:c>
      <x:c r="AR91" s="6" t="str">
        <x:v>0.0</x:v>
      </x:c>
      <x:c r="AS91" s="6" t="str">
        <x:v>With trade</x:v>
      </x:c>
      <x:c r="AT91" s="6" t="str">
        <x:v>8.307992202729045</x:v>
      </x:c>
      <x:c r="AU91" s="7" t="str">
        <x:v>2024-04-18 00:35:00-05:00</x:v>
      </x:c>
      <x:c r="AV91" s="8" t="str">
        <x:v>1</x:v>
      </x:c>
      <x:c r="AW91" s="6" t="str">
        <x:v>Immediate retest (1 bar)</x:v>
      </x:c>
      <x:c r="AX91" s="6" t="str">
        <x:v>17276.25</x:v>
      </x:c>
      <x:c r="AY91" s="6" t="str">
        <x:v>0.5</x:v>
      </x:c>
      <x:c r="AZ91" s="9" t="str">
        <x:v>0.06796951291419732</x:v>
      </x:c>
      <x:c r="BA91" s="9" t="str">
        <x:v>0.6457103726848746</x:v>
      </x:c>
      <x:c r="BB91" s="9" t="str">
        <x:v>1.325405501826848</x:v>
      </x:c>
      <x:c r="BC91" s="9" t="str">
        <x:v>0.50977134685648</x:v>
      </x:c>
      <x:c r="BD91" s="6" t="str">
        <x:v>0.07692307692307693</x:v>
      </x:c>
      <x:c r="BE91" s="6" t="str">
        <x:v>0.5384615384615384</x:v>
      </x:c>
      <x:c r="BF91" s="9" t="str">
        <x:v>0.7136798855990719</x:v>
      </x:c>
      <x:c r="BG91" s="9" t="str">
        <x:v>0.101954269371296</x:v>
      </x:c>
      <x:c r="BH91" s="6" t="str">
        <x:v>Against trade</x:v>
      </x:c>
      <x:c r="BI91" s="6" t="str">
        <x:v>Penetration + same-bar reclaim</x:v>
      </x:c>
      <x:c r="BJ91" s="6" t="str">
        <x:v>False</x:v>
      </x:c>
      <x:c r="BK91" s="10" t="str">
        <x:v>True</x:v>
      </x:c>
      <x:c r="BL91" s="6" t="str">
        <x:v>True</x:v>
      </x:c>
      <x:c r="BM91" s="7" t="str">
        <x:v>2024-04-18 00:40:00-05:00</x:v>
      </x:c>
      <x:c r="BN91" s="8" t="str">
        <x:v>1</x:v>
      </x:c>
      <x:c r="BO91" s="6" t="str">
        <x:v>Immediate confirmation (1 bar)</x:v>
      </x:c>
      <x:c r="BP91" s="9" t="str">
        <x:v>0.9987528858252889</x:v>
      </x:c>
      <x:c r="BQ91" s="9" t="str">
        <x:v>1.2650869887120326</x:v>
      </x:c>
      <x:c r="BR91" s="10" t="str">
        <x:v>0.7894736842105263</x:v>
      </x:c>
      <x:c r="BS91" s="9" t="str">
        <x:v>1.6645881430421483</x:v>
      </x:c>
      <x:c r="BT91" s="9" t="str">
        <x:v>1.0320446486861319</x:v>
      </x:c>
      <x:c r="BU91" s="9" t="str">
        <x:v>0.03329176286084296</x:v>
      </x:c>
      <x:c r="BV91" s="6" t="str">
        <x:v>With trade</x:v>
      </x:c>
      <x:c r="BW91" s="7" t="str">
        <x:v>2024-04-18 00:40:00-05:00</x:v>
      </x:c>
      <x:c r="BX91" s="6" t="str">
        <x:v>17289.25</x:v>
      </x:c>
      <x:c r="BY91" s="9" t="str">
        <x:v>7.50936503557895</x:v>
      </x:c>
      <x:c r="BZ91" s="9" t="str">
        <x:v>0.5</x:v>
      </x:c>
      <x:c r="CA91" s="6" t="str">
        <x:v>17277.98595244663</x:v>
      </x:c>
      <x:c r="CB91" s="6" t="str">
        <x:v>11.264047553369892</x:v>
      </x:c>
      <x:c r="CC91" s="9" t="str">
        <x:v>1.5000000000001952</x:v>
      </x:c>
      <x:c r="CD91" s="6" t="str">
        <x:v>17311.778095106736</x:v>
      </x:c>
      <x:c r="CE91" s="6" t="str">
        <x:v>22.528095106736146</x:v>
      </x:c>
      <x:c r="CF91" s="6" t="str">
        <x:v>Fixed 2.00R target</x:v>
      </x:c>
      <x:c r="CG91" s="9" t="str">
        <x:v>0.06436407486428802</x:v>
      </x:c>
      <x:c r="CH91" s="9" t="str">
        <x:v>1.0209473943991842</x:v>
      </x:c>
      <x:c r="CI91" s="9" t="str">
        <x:v>0.9565833195348963</x:v>
      </x:c>
      <x:c r="CJ91" s="6" t="str">
        <x:v>Win</x:v>
      </x:c>
      <x:c r="CK91" s="9" t="str">
        <x:v>1.9309222459286406</x:v>
      </x:c>
      <x:c r="CL91" s="9" t="str">
        <x:v>0.7768078000862347</x:v>
      </x:c>
      <x:c r="CM91" s="7" t="str">
        <x:v>2024-04-18 01:40:00-05:00</x:v>
      </x:c>
      <x:c r="CN91" s="6" t="str">
        <x:v>17300.75</x:v>
      </x:c>
      <x:c r="CO91" s="6" t="str">
        <x:v>TIME</x:v>
      </x:c>
      <x:c r="CP91" s="6" t="str">
        <x:v>F::Long::Same-bar Setup+BOS::Penetration + same-bar reclaim</x:v>
      </x:c>
    </x:row>
    <x:row r="92" ht="18" customHeight="1">
      <x:c r="A92" s="6" t="str">
        <x:v>A0091</x:v>
      </x:c>
      <x:c r="B92" s="6" t="str">
        <x:v>2024-04-18</x:v>
      </x:c>
      <x:c r="C92" s="6" t="str">
        <x:v>2024</x:v>
      </x:c>
      <x:c r="D92" s="6" t="str">
        <x:v>2024-Q2</x:v>
      </x:c>
      <x:c r="E92" s="6" t="str">
        <x:v>First 50%</x:v>
      </x:c>
      <x:c r="F92" s="6" t="str">
        <x:v>Short</x:v>
      </x:c>
      <x:c r="G92" s="6" t="str">
        <x:v>Short</x:v>
      </x:c>
      <x:c r="H92" s="6" t="str">
        <x:v>Premarket</x:v>
      </x:c>
      <x:c r="I92" s="6" t="str">
        <x:v>Premarket</x:v>
      </x:c>
      <x:c r="J92" s="6" t="str">
        <x:v>Bear</x:v>
      </x:c>
      <x:c r="K92" s="6" t="str">
        <x:v>Bear</x:v>
      </x:c>
      <x:c r="L92" s="6" t="str">
        <x:v>MID</x:v>
      </x:c>
      <x:c r="M92" s="7" t="str">
        <x:v>2024-04-18 07:10:00-05:00</x:v>
      </x:c>
      <x:c r="N92" s="6" t="str">
        <x:v>75.0</x:v>
      </x:c>
      <x:c r="O92" s="6" t="str">
        <x:v>75-79</x:v>
      </x:c>
      <x:c r="P92" s="6" t="str">
        <x:v>Matching BOS only</x:v>
      </x:c>
      <x:c r="Q92" s="6" t="str">
        <x:v>Bear BOS</x:v>
      </x:c>
      <x:c r="R92" s="6" t="str">
        <x:v>True</x:v>
      </x:c>
      <x:c r="S92" s="6" t="str">
        <x:v>False</x:v>
      </x:c>
      <x:c r="T92" s="6" t="str">
        <x:v>Recent BSL</x:v>
      </x:c>
      <x:c r="U92" s="6" t="str">
        <x:v>BSL</x:v>
      </x:c>
      <x:c r="V92" s="6" t="str">
        <x:v>Swing high / buy-side</x:v>
      </x:c>
      <x:c r="W92" s="6" t="str">
        <x:v>[17264.25]</x:v>
      </x:c>
      <x:c r="X92" s="8" t="str">
        <x:v>1</x:v>
      </x:c>
      <x:c r="Y92" s="8" t="str">
        <x:v>5.0</x:v>
      </x:c>
      <x:c r="Z92" s="6" t="str">
        <x:v>None</x:v>
      </x:c>
      <x:c r="AA92" s="6" t="str">
        <x:v>17234.75</x:v>
      </x:c>
      <x:c r="AB92" s="9" t="str">
        <x:v>0.04091392939543006</x:v>
      </x:c>
      <x:c r="AC92" s="9" t="str">
        <x:v>0.36822536455887056</x:v>
      </x:c>
      <x:c r="AD92" s="9" t="str">
        <x:v>0.9410203760948914</x:v>
      </x:c>
      <x:c r="AE92" s="6" t="str">
        <x:v>With trade</x:v>
      </x:c>
      <x:c r="AF92" s="7" t="str">
        <x:v>2024-04-18 07:10:00-05:00</x:v>
      </x:c>
      <x:c r="AG92" s="6" t="str">
        <x:v>Short</x:v>
      </x:c>
      <x:c r="AH92" s="6" t="str">
        <x:v>17234.75</x:v>
      </x:c>
      <x:c r="AI92" s="8" t="str">
        <x:v>0</x:v>
      </x:c>
      <x:c r="AJ92" s="6" t="str">
        <x:v>True</x:v>
      </x:c>
      <x:c r="AK92" s="6" t="str">
        <x:v>Same-bar Setup+BOS</x:v>
      </x:c>
      <x:c r="AL92" s="9" t="str">
        <x:v>0.3886823292565856</x:v>
      </x:c>
      <x:c r="AM92" s="9" t="str">
        <x:v>0.04091392939543006</x:v>
      </x:c>
      <x:c r="AN92" s="9" t="str">
        <x:v>0.36822536455887056</x:v>
      </x:c>
      <x:c r="AO92" s="9" t="str">
        <x:v>0.9410203760948914</x:v>
      </x:c>
      <x:c r="AP92" s="10" t="str">
        <x:v>0.391304347826087</x:v>
      </x:c>
      <x:c r="AQ92" s="6" t="str">
        <x:v>0.10869565217391304</x:v>
      </x:c>
      <x:c r="AR92" s="6" t="str">
        <x:v>0.5</x:v>
      </x:c>
      <x:c r="AS92" s="6" t="str">
        <x:v>With trade</x:v>
      </x:c>
      <x:c r="AT92" s="6" t="str">
        <x:v>1.1311918342839988</x:v>
      </x:c>
      <x:c r="AU92" s="7" t="str">
        <x:v>2024-04-18 07:15:00-05:00</x:v>
      </x:c>
      <x:c r="AV92" s="8" t="str">
        <x:v>1</x:v>
      </x:c>
      <x:c r="AW92" s="6" t="str">
        <x:v>Immediate retest (1 bar)</x:v>
      </x:c>
      <x:c r="AX92" s="6" t="str">
        <x:v>17236.5</x:v>
      </x:c>
      <x:c r="AY92" s="6" t="str">
        <x:v>1.75</x:v>
      </x:c>
      <x:c r="AZ92" s="9" t="str">
        <x:v>0.1466011580598913</x:v>
      </x:c>
      <x:c r="BA92" s="9" t="str">
        <x:v>0.356031383859736</x:v>
      </x:c>
      <x:c r="BB92" s="9" t="str">
        <x:v>0.6911197451394875</x:v>
      </x:c>
      <x:c r="BC92" s="9" t="str">
        <x:v>0.2932023161197826</x:v>
      </x:c>
      <x:c r="BD92" s="6" t="str">
        <x:v>0.30303030303030304</x:v>
      </x:c>
      <x:c r="BE92" s="6" t="str">
        <x:v>0.2727272727272727</x:v>
      </x:c>
      <x:c r="BF92" s="9" t="str">
        <x:v>0.20943022579984472</x:v>
      </x:c>
      <x:c r="BG92" s="9" t="str">
        <x:v>0.18848720321986023</x:v>
      </x:c>
      <x:c r="BH92" s="6" t="str">
        <x:v>With trade</x:v>
      </x:c>
      <x:c r="BI92" s="6" t="str">
        <x:v>Penetration + same-bar reclaim</x:v>
      </x:c>
      <x:c r="BJ92" s="6" t="str">
        <x:v>False</x:v>
      </x:c>
      <x:c r="BK92" s="10" t="str">
        <x:v>True</x:v>
      </x:c>
      <x:c r="BL92" s="6" t="str">
        <x:v>True</x:v>
      </x:c>
      <x:c r="BM92" s="7" t="str">
        <x:v>2024-04-18 07:20:00-05:00</x:v>
      </x:c>
      <x:c r="BN92" s="8" t="str">
        <x:v>1</x:v>
      </x:c>
      <x:c r="BO92" s="6" t="str">
        <x:v>Immediate confirmation (1 bar)</x:v>
      </x:c>
      <x:c r="BP92" s="9" t="str">
        <x:v>0.515667606186676</x:v>
      </x:c>
      <x:c r="BQ92" s="9" t="str">
        <x:v>1.196348846353088</x:v>
      </x:c>
      <x:c r="BR92" s="10" t="str">
        <x:v>0.43103448275862066</x:v>
      </x:c>
      <x:c r="BS92" s="9" t="str">
        <x:v>0.8456948741461485</x:v>
      </x:c>
      <x:c r="BT92" s="9" t="str">
        <x:v>0.49504090193920885</x:v>
      </x:c>
      <x:c r="BU92" s="9" t="str">
        <x:v>0.4744141976917418</x:v>
      </x:c>
      <x:c r="BV92" s="6" t="str">
        <x:v>With trade</x:v>
      </x:c>
      <x:c r="BW92" s="7" t="str">
        <x:v>2024-04-18 07:20:00-05:00</x:v>
      </x:c>
      <x:c r="BX92" s="6" t="str">
        <x:v>17224.5</x:v>
      </x:c>
      <x:c r="BY92" s="9" t="str">
        <x:v>12.12021062602379</x:v>
      </x:c>
      <x:c r="BZ92" s="9" t="str">
        <x:v>0.65</x:v>
      </x:c>
      <x:c r="CA92" s="6" t="str">
        <x:v>17242.680315939037</x:v>
      </x:c>
      <x:c r="CB92" s="6" t="str">
        <x:v>18.180315939036518</x:v>
      </x:c>
      <x:c r="CC92" s="9" t="str">
        <x:v>1.5000000000000688</x:v>
      </x:c>
      <x:c r="CD92" s="6" t="str">
        <x:v>17188.139368121927</x:v>
      </x:c>
      <x:c r="CE92" s="6" t="str">
        <x:v>36.360631878073036</x:v>
      </x:c>
      <x:c r="CF92" s="6" t="str">
        <x:v>Fixed 2.00R target</x:v>
      </x:c>
      <x:c r="CG92" s="9" t="str">
        <x:v>0.03987829487843444</x:v>
      </x:c>
      <x:c r="CH92" s="9" t="str">
        <x:v>-1.0</x:v>
      </x:c>
      <x:c r="CI92" s="9" t="str">
        <x:v>-1.0398782948784344</x:v>
      </x:c>
      <x:c r="CJ92" s="6" t="str">
        <x:v>Loss</x:v>
      </x:c>
      <x:c r="CK92" s="9" t="str">
        <x:v>0.7700636252387341</x:v>
      </x:c>
      <x:c r="CL92" s="9" t="str">
        <x:v>1.1825977101880558</x:v>
      </x:c>
      <x:c r="CM92" s="7" t="str">
        <x:v>2024-04-18 07:30:00-05:00</x:v>
      </x:c>
      <x:c r="CN92" s="6" t="str">
        <x:v>17242.680315939037</x:v>
      </x:c>
      <x:c r="CO92" s="6" t="str">
        <x:v>STOP</x:v>
      </x:c>
      <x:c r="CP92" s="6" t="str">
        <x:v>F::Short::Same-bar Setup+BOS::Penetration + same-bar reclaim</x:v>
      </x:c>
    </x:row>
    <x:row r="93" ht="18" customHeight="1">
      <x:c r="A93" s="6" t="str">
        <x:v>A0092</x:v>
      </x:c>
      <x:c r="B93" s="6" t="str">
        <x:v>2024-04-19</x:v>
      </x:c>
      <x:c r="C93" s="6" t="str">
        <x:v>2024</x:v>
      </x:c>
      <x:c r="D93" s="6" t="str">
        <x:v>2024-Q2</x:v>
      </x:c>
      <x:c r="E93" s="6" t="str">
        <x:v>First 50%</x:v>
      </x:c>
      <x:c r="F93" s="6" t="str">
        <x:v>Short</x:v>
      </x:c>
      <x:c r="G93" s="6" t="str">
        <x:v>Short</x:v>
      </x:c>
      <x:c r="H93" s="6" t="str">
        <x:v>Midday</x:v>
      </x:c>
      <x:c r="I93" s="6" t="str">
        <x:v>Midday</x:v>
      </x:c>
      <x:c r="J93" s="6" t="str">
        <x:v>Bear</x:v>
      </x:c>
      <x:c r="K93" s="6" t="str">
        <x:v>Bear</x:v>
      </x:c>
      <x:c r="L93" s="6" t="str">
        <x:v>HIGH</x:v>
      </x:c>
      <x:c r="M93" s="7" t="str">
        <x:v>2024-04-19 13:00:00-05:00</x:v>
      </x:c>
      <x:c r="N93" s="6" t="str">
        <x:v>75.0</x:v>
      </x:c>
      <x:c r="O93" s="6" t="str">
        <x:v>75-79</x:v>
      </x:c>
      <x:c r="P93" s="6" t="str">
        <x:v>Matching BOS only</x:v>
      </x:c>
      <x:c r="Q93" s="6" t="str">
        <x:v>Bear CHoCH</x:v>
      </x:c>
      <x:c r="R93" s="6" t="str">
        <x:v>True</x:v>
      </x:c>
      <x:c r="S93" s="6" t="str">
        <x:v>False</x:v>
      </x:c>
      <x:c r="T93" s="6" t="str">
        <x:v>No recent matching sweep</x:v>
      </x:c>
      <x:c r="U93" s="6" t="str">
        <x:v>None</x:v>
      </x:c>
      <x:c r="V93" s="6" t="str">
        <x:v>None</x:v>
      </x:c>
      <x:c r="W93" s="6" t="str">
        <x:v>[]</x:v>
      </x:c>
      <x:c r="X93" s="8" t="str">
        <x:v>0</x:v>
      </x:c>
      <x:c r="Y93" s="8" t="str"/>
      <x:c r="Z93" s="6" t="str">
        <x:v>None</x:v>
      </x:c>
      <x:c r="AA93" s="6" t="str">
        <x:v>16796.0</x:v>
      </x:c>
      <x:c r="AB93" s="9" t="str">
        <x:v>0.2073157420743453</x:v>
      </x:c>
      <x:c r="AC93" s="9" t="str">
        <x:v>1.1994696505729978</x:v>
      </x:c>
      <x:c r="AD93" s="9" t="str">
        <x:v>1.4956349963934912</x:v>
      </x:c>
      <x:c r="AE93" s="6" t="str">
        <x:v>With trade</x:v>
      </x:c>
      <x:c r="AF93" s="7" t="str">
        <x:v>2024-04-19 13:00:00-05:00</x:v>
      </x:c>
      <x:c r="AG93" s="6" t="str">
        <x:v>Short</x:v>
      </x:c>
      <x:c r="AH93" s="6" t="str">
        <x:v>16796.0</x:v>
      </x:c>
      <x:c r="AI93" s="8" t="str">
        <x:v>0</x:v>
      </x:c>
      <x:c r="AJ93" s="6" t="str">
        <x:v>True</x:v>
      </x:c>
      <x:c r="AK93" s="6" t="str">
        <x:v>Same-bar Setup+BOS</x:v>
      </x:c>
      <x:c r="AL93" s="9" t="str">
        <x:v>1.1994696505729978</x:v>
      </x:c>
      <x:c r="AM93" s="9" t="str">
        <x:v>0.2073157420743453</x:v>
      </x:c>
      <x:c r="AN93" s="9" t="str">
        <x:v>1.1994696505729978</x:v>
      </x:c>
      <x:c r="AO93" s="9" t="str">
        <x:v>1.4956349963934912</x:v>
      </x:c>
      <x:c r="AP93" s="10" t="str">
        <x:v>0.801980198019802</x:v>
      </x:c>
      <x:c r="AQ93" s="6" t="str">
        <x:v>0.04950495049504951</x:v>
      </x:c>
      <x:c r="AR93" s="6" t="str">
        <x:v>0.1485148514851485</x:v>
      </x:c>
      <x:c r="AS93" s="6" t="str">
        <x:v>With trade</x:v>
      </x:c>
      <x:c r="AT93" s="6" t="str">
        <x:v>1.5144149320133762</x:v>
      </x:c>
      <x:c r="AU93" s="7" t="str">
        <x:v>2024-04-19 13:05:00-05:00</x:v>
      </x:c>
      <x:c r="AV93" s="8" t="str">
        <x:v>1</x:v>
      </x:c>
      <x:c r="AW93" s="6" t="str">
        <x:v>Immediate retest (1 bar)</x:v>
      </x:c>
      <x:c r="AX93" s="6" t="str">
        <x:v>16819.25</x:v>
      </x:c>
      <x:c r="AY93" s="6" t="str">
        <x:v>23.25</x:v>
      </x:c>
      <x:c r="AZ93" s="9" t="str">
        <x:v>0.660653475525535</x:v>
      </x:c>
      <x:c r="BA93" s="9" t="str">
        <x:v>0.22021782517517832</x:v>
      </x:c>
      <x:c r="BB93" s="9" t="str">
        <x:v>1.527317174602043</x:v>
      </x:c>
      <x:c r="BC93" s="9" t="str">
        <x:v>0.028415203248410105</x:v>
      </x:c>
      <x:c r="BD93" s="6" t="str">
        <x:v>0.5581395348837209</x:v>
      </x:c>
      <x:c r="BE93" s="6" t="str">
        <x:v>0.4232558139534884</x:v>
      </x:c>
      <x:c r="BF93" s="9" t="str">
        <x:v>0.8524560974523031</x:v>
      </x:c>
      <x:c r="BG93" s="9" t="str">
        <x:v>0.6464458739013299</x:v>
      </x:c>
      <x:c r="BH93" s="6" t="str">
        <x:v>With trade</x:v>
      </x:c>
      <x:c r="BI93" s="6" t="str">
        <x:v>Penetration + same-bar reclaim</x:v>
      </x:c>
      <x:c r="BJ93" s="6" t="str">
        <x:v>False</x:v>
      </x:c>
      <x:c r="BK93" s="10" t="str">
        <x:v>True</x:v>
      </x:c>
      <x:c r="BL93" s="6" t="str">
        <x:v>True</x:v>
      </x:c>
      <x:c r="BM93" s="7" t="str">
        <x:v>2024-04-19 13:10:00-05:00</x:v>
      </x:c>
      <x:c r="BN93" s="8" t="str">
        <x:v>1</x:v>
      </x:c>
      <x:c r="BO93" s="6" t="str">
        <x:v>Immediate confirmation (1 bar)</x:v>
      </x:c>
      <x:c r="BP93" s="9" t="str">
        <x:v>0.057880949512282176</x:v>
      </x:c>
      <x:c r="BQ93" s="9" t="str">
        <x:v>0.7596874623487035</x:v>
      </x:c>
      <x:c r="BR93" s="10" t="str">
        <x:v>0.0761904761904762</x:v>
      </x:c>
      <x:c r="BS93" s="9" t="str">
        <x:v>0.2676993914943051</x:v>
      </x:c>
      <x:c r="BT93" s="9" t="str">
        <x:v>0.04341071213421163</x:v>
      </x:c>
      <x:c r="BU93" s="9" t="str">
        <x:v>0.6366904446351039</x:v>
      </x:c>
      <x:c r="BV93" s="6" t="str">
        <x:v>With trade</x:v>
      </x:c>
      <x:c r="BW93" s="7" t="str">
        <x:v>2024-04-19 13:10:00-05:00</x:v>
      </x:c>
      <x:c r="BX93" s="6" t="str">
        <x:v>16786.75</x:v>
      </x:c>
      <x:c r="BY93" s="9" t="str">
        <x:v>34.553683325039536</x:v>
      </x:c>
      <x:c r="BZ93" s="9" t="str">
        <x:v>0.92</x:v>
      </x:c>
      <x:c r="CA93" s="6" t="str">
        <x:v>16838.58052498756</x:v>
      </x:c>
      <x:c r="CB93" s="6" t="str">
        <x:v>51.83052498755933</x:v>
      </x:c>
      <x:c r="CC93" s="9" t="str">
        <x:v>1.5000000000000007</x:v>
      </x:c>
      <x:c r="CD93" s="6" t="str">
        <x:v>16683.08895002488</x:v>
      </x:c>
      <x:c r="CE93" s="6" t="str">
        <x:v>103.66104997511866</x:v>
      </x:c>
      <x:c r="CF93" s="6" t="str">
        <x:v>Fixed 2.00R target</x:v>
      </x:c>
      <x:c r="CG93" s="9" t="str">
        <x:v>0.013987896132134853</x:v>
      </x:c>
      <x:c r="CH93" s="9" t="str">
        <x:v>2.0</x:v>
      </x:c>
      <x:c r="CI93" s="9" t="str">
        <x:v>1.986012103867865</x:v>
      </x:c>
      <x:c r="CJ93" s="6" t="str">
        <x:v>Win</x:v>
      </x:c>
      <x:c r="CK93" s="9" t="str">
        <x:v>2.2091229063854354</x:v>
      </x:c>
      <x:c r="CL93" s="9" t="str">
        <x:v>0.36175593445176346</x:v>
      </x:c>
      <x:c r="CM93" s="7" t="str">
        <x:v>2024-04-19 13:45:00-05:00</x:v>
      </x:c>
      <x:c r="CN93" s="6" t="str">
        <x:v>16683.08895002488</x:v>
      </x:c>
      <x:c r="CO93" s="6" t="str">
        <x:v>TARGET</x:v>
      </x:c>
      <x:c r="CP93" s="6" t="str">
        <x:v>F::Short::Same-bar Setup+BOS::Penetration + same-bar reclaim</x:v>
      </x:c>
    </x:row>
    <x:row r="94" ht="18" customHeight="1">
      <x:c r="A94" s="6" t="str">
        <x:v>A0093</x:v>
      </x:c>
      <x:c r="B94" s="6" t="str">
        <x:v>2024-04-23</x:v>
      </x:c>
      <x:c r="C94" s="6" t="str">
        <x:v>2024</x:v>
      </x:c>
      <x:c r="D94" s="6" t="str">
        <x:v>2024-Q2</x:v>
      </x:c>
      <x:c r="E94" s="6" t="str">
        <x:v>First 50%</x:v>
      </x:c>
      <x:c r="F94" s="6" t="str">
        <x:v>Long</x:v>
      </x:c>
      <x:c r="G94" s="6" t="str">
        <x:v>Long</x:v>
      </x:c>
      <x:c r="H94" s="6" t="str">
        <x:v>Midday</x:v>
      </x:c>
      <x:c r="I94" s="6" t="str">
        <x:v>Midday</x:v>
      </x:c>
      <x:c r="J94" s="6" t="str">
        <x:v>Bull</x:v>
      </x:c>
      <x:c r="K94" s="6" t="str">
        <x:v>Bull</x:v>
      </x:c>
      <x:c r="L94" s="6" t="str">
        <x:v>MID</x:v>
      </x:c>
      <x:c r="M94" s="7" t="str">
        <x:v>2024-04-23 12:40:00-05:00</x:v>
      </x:c>
      <x:c r="N94" s="6" t="str">
        <x:v>75.0</x:v>
      </x:c>
      <x:c r="O94" s="6" t="str">
        <x:v>75-79</x:v>
      </x:c>
      <x:c r="P94" s="6" t="str">
        <x:v>Matching BOS only</x:v>
      </x:c>
      <x:c r="Q94" s="6" t="str">
        <x:v>Bull BOS</x:v>
      </x:c>
      <x:c r="R94" s="6" t="str">
        <x:v>True</x:v>
      </x:c>
      <x:c r="S94" s="6" t="str">
        <x:v>False</x:v>
      </x:c>
      <x:c r="T94" s="6" t="str">
        <x:v>No recent matching sweep</x:v>
      </x:c>
      <x:c r="U94" s="6" t="str">
        <x:v>None</x:v>
      </x:c>
      <x:c r="V94" s="6" t="str">
        <x:v>None</x:v>
      </x:c>
      <x:c r="W94" s="6" t="str">
        <x:v>[]</x:v>
      </x:c>
      <x:c r="X94" s="8" t="str">
        <x:v>0</x:v>
      </x:c>
      <x:c r="Y94" s="8" t="str"/>
      <x:c r="Z94" s="6" t="str">
        <x:v>None</x:v>
      </x:c>
      <x:c r="AA94" s="6" t="str">
        <x:v>17154.0</x:v>
      </x:c>
      <x:c r="AB94" s="9" t="str">
        <x:v>0.23239922091293214</x:v>
      </x:c>
      <x:c r="AC94" s="9" t="str">
        <x:v>0.6584644592533077</x:v>
      </x:c>
      <x:c r="AD94" s="9" t="str">
        <x:v>1.2136403758786456</x:v>
      </x:c>
      <x:c r="AE94" s="6" t="str">
        <x:v>With trade</x:v>
      </x:c>
      <x:c r="AF94" s="7" t="str">
        <x:v>2024-04-23 12:40:00-05:00</x:v>
      </x:c>
      <x:c r="AG94" s="6" t="str">
        <x:v>Long</x:v>
      </x:c>
      <x:c r="AH94" s="6" t="str">
        <x:v>17154.0</x:v>
      </x:c>
      <x:c r="AI94" s="8" t="str">
        <x:v>0</x:v>
      </x:c>
      <x:c r="AJ94" s="6" t="str">
        <x:v>True</x:v>
      </x:c>
      <x:c r="AK94" s="6" t="str">
        <x:v>Same-bar Setup+BOS</x:v>
      </x:c>
      <x:c r="AL94" s="9" t="str">
        <x:v>0.6713755270818039</x:v>
      </x:c>
      <x:c r="AM94" s="9" t="str">
        <x:v>0.23239922091293214</x:v>
      </x:c>
      <x:c r="AN94" s="9" t="str">
        <x:v>0.6584644592533077</x:v>
      </x:c>
      <x:c r="AO94" s="9" t="str">
        <x:v>1.2136403758786456</x:v>
      </x:c>
      <x:c r="AP94" s="10" t="str">
        <x:v>0.5425531914893617</x:v>
      </x:c>
      <x:c r="AQ94" s="6" t="str">
        <x:v>0.3191489361702128</x:v>
      </x:c>
      <x:c r="AR94" s="6" t="str">
        <x:v>0.13829787234042554</x:v>
      </x:c>
      <x:c r="AS94" s="6" t="str">
        <x:v>With trade</x:v>
      </x:c>
      <x:c r="AT94" s="6" t="str">
        <x:v>1.4148543994513187</x:v>
      </x:c>
      <x:c r="AU94" s="7" t="str">
        <x:v>2024-04-23 12:45:00-05:00</x:v>
      </x:c>
      <x:c r="AV94" s="8" t="str">
        <x:v>1</x:v>
      </x:c>
      <x:c r="AW94" s="6" t="str">
        <x:v>Immediate retest (1 bar)</x:v>
      </x:c>
      <x:c r="AX94" s="6" t="str">
        <x:v>17150.5</x:v>
      </x:c>
      <x:c r="AY94" s="6" t="str">
        <x:v>3.5</x:v>
      </x:c>
      <x:c r="AZ94" s="9" t="str">
        <x:v>0.18099747127861246</x:v>
      </x:c>
      <x:c r="BA94" s="9" t="str">
        <x:v>0.5429924138358374</x:v>
      </x:c>
      <x:c r="BB94" s="9" t="str">
        <x:v>0.9825577012267533</x:v>
      </x:c>
      <x:c r="BC94" s="9" t="str">
        <x:v>0.28442459772353385</x:v>
      </x:c>
      <x:c r="BD94" s="6" t="str">
        <x:v>0.2631578947368421</x:v>
      </x:c>
      <x:c r="BE94" s="6" t="str">
        <x:v>0.4473684210526316</x:v>
      </x:c>
      <x:c r="BF94" s="9" t="str">
        <x:v>0.43956528739091594</x:v>
      </x:c>
      <x:c r="BG94" s="9" t="str">
        <x:v>0.2585678161123035</x:v>
      </x:c>
      <x:c r="BH94" s="6" t="str">
        <x:v>With trade</x:v>
      </x:c>
      <x:c r="BI94" s="6" t="str">
        <x:v>Penetration + same-bar reclaim</x:v>
      </x:c>
      <x:c r="BJ94" s="6" t="str">
        <x:v>False</x:v>
      </x:c>
      <x:c r="BK94" s="10" t="str">
        <x:v>True</x:v>
      </x:c>
      <x:c r="BL94" s="6" t="str">
        <x:v>True</x:v>
      </x:c>
      <x:c r="BM94" s="7" t="str">
        <x:v>2024-04-23 12:50:00-05:00</x:v>
      </x:c>
      <x:c r="BN94" s="8" t="str">
        <x:v>1</x:v>
      </x:c>
      <x:c r="BO94" s="6" t="str">
        <x:v>Immediate confirmation (1 bar)</x:v>
      </x:c>
      <x:c r="BP94" s="9" t="str">
        <x:v>0.4035186416086359</x:v>
      </x:c>
      <x:c r="BQ94" s="9" t="str">
        <x:v>0.9111711262130489</x:v>
      </x:c>
      <x:c r="BR94" s="10" t="str">
        <x:v>0.44285714285714284</x:v>
      </x:c>
      <x:c r="BS94" s="9" t="str">
        <x:v>0.9502213173364652</x:v>
      </x:c>
      <x:c r="BT94" s="9" t="str">
        <x:v>0.4035186416086359</x:v>
      </x:c>
      <x:c r="BU94" s="9" t="str">
        <x:v>0.24731787711497039</x:v>
      </x:c>
      <x:c r="BV94" s="6" t="str">
        <x:v>With trade</x:v>
      </x:c>
      <x:c r="BW94" s="7" t="str">
        <x:v>2024-04-23 12:50:00-05:00</x:v>
      </x:c>
      <x:c r="BX94" s="6" t="str">
        <x:v>17172.25</x:v>
      </x:c>
      <x:c r="BY94" s="9" t="str">
        <x:v>19.2060519660367</x:v>
      </x:c>
      <x:c r="BZ94" s="9" t="str">
        <x:v>0.52</x:v>
      </x:c>
      <x:c r="CA94" s="6" t="str">
        <x:v>17143.440922050944</x:v>
      </x:c>
      <x:c r="CB94" s="6" t="str">
        <x:v>28.80907794905579</x:v>
      </x:c>
      <x:c r="CC94" s="9" t="str">
        <x:v>1.5000000000000386</x:v>
      </x:c>
      <x:c r="CD94" s="6" t="str">
        <x:v>17229.86815589811</x:v>
      </x:c>
      <x:c r="CE94" s="6" t="str">
        <x:v>57.61815589811158</x:v>
      </x:c>
      <x:c r="CF94" s="6" t="str">
        <x:v>Fixed 2.00R target</x:v>
      </x:c>
      <x:c r="CG94" s="9" t="str">
        <x:v>0.025165678723978797</x:v>
      </x:c>
      <x:c r="CH94" s="9" t="str">
        <x:v>-0.052066921497888496</x:v>
      </x:c>
      <x:c r="CI94" s="9" t="str">
        <x:v>-0.07723260022186729</x:v>
      </x:c>
      <x:c r="CJ94" s="6" t="str">
        <x:v>Loss</x:v>
      </x:c>
      <x:c r="CK94" s="9" t="str">
        <x:v>0.876459845214434</x:v>
      </x:c>
      <x:c r="CL94" s="9" t="str">
        <x:v>0.3991797314838016</x:v>
      </x:c>
      <x:c r="CM94" s="7" t="str">
        <x:v>2024-04-23 13:50:00-05:00</x:v>
      </x:c>
      <x:c r="CN94" s="6" t="str">
        <x:v>17170.75</x:v>
      </x:c>
      <x:c r="CO94" s="6" t="str">
        <x:v>TIME</x:v>
      </x:c>
      <x:c r="CP94" s="6" t="str">
        <x:v>F::Long::Same-bar Setup+BOS::Penetration + same-bar reclaim</x:v>
      </x:c>
    </x:row>
    <x:row r="95" ht="18" customHeight="1">
      <x:c r="A95" s="6" t="str">
        <x:v>A0094</x:v>
      </x:c>
      <x:c r="B95" s="6" t="str">
        <x:v>2024-04-24</x:v>
      </x:c>
      <x:c r="C95" s="6" t="str">
        <x:v>2024</x:v>
      </x:c>
      <x:c r="D95" s="6" t="str">
        <x:v>2024-Q2</x:v>
      </x:c>
      <x:c r="E95" s="6" t="str">
        <x:v>First 50%</x:v>
      </x:c>
      <x:c r="F95" s="6" t="str">
        <x:v>Short</x:v>
      </x:c>
      <x:c r="G95" s="6" t="str">
        <x:v>Short</x:v>
      </x:c>
      <x:c r="H95" s="6" t="str">
        <x:v>Opening</x:v>
      </x:c>
      <x:c r="I95" s="6" t="str">
        <x:v>Opening</x:v>
      </x:c>
      <x:c r="J95" s="6" t="str">
        <x:v>Bull</x:v>
      </x:c>
      <x:c r="K95" s="6" t="str">
        <x:v>Bull</x:v>
      </x:c>
      <x:c r="L95" s="6" t="str">
        <x:v>HIGH</x:v>
      </x:c>
      <x:c r="M95" s="7" t="str">
        <x:v>2024-04-24 09:35:00-05:00</x:v>
      </x:c>
      <x:c r="N95" s="6" t="str">
        <x:v>85.0</x:v>
      </x:c>
      <x:c r="O95" s="6" t="str">
        <x:v>85-89</x:v>
      </x:c>
      <x:c r="P95" s="6" t="str">
        <x:v>Matching BOS only</x:v>
      </x:c>
      <x:c r="Q95" s="6" t="str">
        <x:v>Bear CHoCH</x:v>
      </x:c>
      <x:c r="R95" s="6" t="str">
        <x:v>True</x:v>
      </x:c>
      <x:c r="S95" s="6" t="str">
        <x:v>False</x:v>
      </x:c>
      <x:c r="T95" s="6" t="str">
        <x:v>Recent BSL</x:v>
      </x:c>
      <x:c r="U95" s="6" t="str">
        <x:v>BSL</x:v>
      </x:c>
      <x:c r="V95" s="6" t="str">
        <x:v>Swing high / buy-side</x:v>
      </x:c>
      <x:c r="W95" s="6" t="str">
        <x:v>[17311.0]</x:v>
      </x:c>
      <x:c r="X95" s="8" t="str">
        <x:v>1</x:v>
      </x:c>
      <x:c r="Y95" s="8" t="str">
        <x:v>12.0</x:v>
      </x:c>
      <x:c r="Z95" s="6" t="str">
        <x:v>None</x:v>
      </x:c>
      <x:c r="AA95" s="6" t="str">
        <x:v>17251.75</x:v>
      </x:c>
      <x:c r="AB95" s="9" t="str">
        <x:v>0.04639268917634404</x:v>
      </x:c>
      <x:c r="AC95" s="9" t="str">
        <x:v>0.5752693457866661</x:v>
      </x:c>
      <x:c r="AD95" s="9" t="str">
        <x:v>0.8907396321858055</x:v>
      </x:c>
      <x:c r="AE95" s="6" t="str">
        <x:v>With trade</x:v>
      </x:c>
      <x:c r="AF95" s="7" t="str">
        <x:v>2024-04-24 09:35:00-05:00</x:v>
      </x:c>
      <x:c r="AG95" s="6" t="str">
        <x:v>Short</x:v>
      </x:c>
      <x:c r="AH95" s="6" t="str">
        <x:v>17251.75</x:v>
      </x:c>
      <x:c r="AI95" s="8" t="str">
        <x:v>0</x:v>
      </x:c>
      <x:c r="AJ95" s="6" t="str">
        <x:v>True</x:v>
      </x:c>
      <x:c r="AK95" s="6" t="str">
        <x:v>Same-bar Setup+BOS</x:v>
      </x:c>
      <x:c r="AL95" s="9" t="str">
        <x:v>0.5567122701161284</x:v>
      </x:c>
      <x:c r="AM95" s="9" t="str">
        <x:v>0.04639268917634404</x:v>
      </x:c>
      <x:c r="AN95" s="9" t="str">
        <x:v>0.5752693457866661</x:v>
      </x:c>
      <x:c r="AO95" s="9" t="str">
        <x:v>0.8907396321858055</x:v>
      </x:c>
      <x:c r="AP95" s="10" t="str">
        <x:v>0.6458333333333334</x:v>
      </x:c>
      <x:c r="AQ95" s="6" t="str">
        <x:v>0.13541666666666666</x:v>
      </x:c>
      <x:c r="AR95" s="6" t="str">
        <x:v>0.21875</x:v>
      </x:c>
      <x:c r="AS95" s="6" t="str">
        <x:v>With trade</x:v>
      </x:c>
      <x:c r="AT95" s="6" t="str">
        <x:v>1.0007999400044996</x:v>
      </x:c>
      <x:c r="AU95" s="7" t="str">
        <x:v>2024-04-24 09:40:00-05:00</x:v>
      </x:c>
      <x:c r="AV95" s="8" t="str">
        <x:v>1</x:v>
      </x:c>
      <x:c r="AW95" s="6" t="str">
        <x:v>Immediate retest (1 bar)</x:v>
      </x:c>
      <x:c r="AX95" s="6" t="str">
        <x:v>17259.0</x:v>
      </x:c>
      <x:c r="AY95" s="6" t="str">
        <x:v>7.25</x:v>
      </x:c>
      <x:c r="AZ95" s="9" t="str">
        <x:v>0.27155686178234945</x:v>
      </x:c>
      <x:c r="BA95" s="9" t="str">
        <x:v>0.18728059433265482</x:v>
      </x:c>
      <x:c r="BB95" s="9" t="str">
        <x:v>0.8802187933634776</x:v>
      </x:c>
      <x:c r="BC95" s="9" t="str">
        <x:v>0.14982447546612385</x:v>
      </x:c>
      <x:c r="BD95" s="6" t="str">
        <x:v>0.35106382978723405</x:v>
      </x:c>
      <x:c r="BE95" s="6" t="str">
        <x:v>0.4787234042553192</x:v>
      </x:c>
      <x:c r="BF95" s="9" t="str">
        <x:v>0.30901298064888044</x:v>
      </x:c>
      <x:c r="BG95" s="9" t="str">
        <x:v>0.4213813372484733</x:v>
      </x:c>
      <x:c r="BH95" s="6" t="str">
        <x:v>With trade</x:v>
      </x:c>
      <x:c r="BI95" s="6" t="str">
        <x:v>Penetration + same-bar reclaim</x:v>
      </x:c>
      <x:c r="BJ95" s="6" t="str">
        <x:v>False</x:v>
      </x:c>
      <x:c r="BK95" s="10" t="str">
        <x:v>True</x:v>
      </x:c>
      <x:c r="BL95" s="6" t="str">
        <x:v>True</x:v>
      </x:c>
      <x:c r="BM95" s="7" t="str">
        <x:v>2024-04-24 09:50:00-05:00</x:v>
      </x:c>
      <x:c r="BN95" s="8" t="str">
        <x:v>2</x:v>
      </x:c>
      <x:c r="BO95" s="6" t="str">
        <x:v>Delayed confirmation (2+ bars)</x:v>
      </x:c>
      <x:c r="BP95" s="9" t="str">
        <x:v>0.729257603778747</x:v>
      </x:c>
      <x:c r="BQ95" s="9" t="str">
        <x:v>1.0097412975398037</x:v>
      </x:c>
      <x:c r="BR95" s="10" t="str">
        <x:v>0.7222222222222222</x:v>
      </x:c>
      <x:c r="BS95" s="9" t="str">
        <x:v>0.6825103214852376</x:v>
      </x:c>
      <x:c r="BT95" s="9" t="str">
        <x:v>0.4955211923111999</x:v>
      </x:c>
      <x:c r="BU95" s="9" t="str">
        <x:v>0.03739782583480754</x:v>
      </x:c>
      <x:c r="BV95" s="6" t="str">
        <x:v>With trade</x:v>
      </x:c>
      <x:c r="BW95" s="7" t="str">
        <x:v>2024-04-24 09:50:00-05:00</x:v>
      </x:c>
      <x:c r="BX95" s="6" t="str">
        <x:v>17233.5</x:v>
      </x:c>
      <x:c r="BY95" s="9" t="str">
        <x:v>26.739522356651626</x:v>
      </x:c>
      <x:c r="BZ95" s="9" t="str">
        <x:v>0.94</x:v>
      </x:c>
      <x:c r="CA95" s="6" t="str">
        <x:v>17273.609283534977</x:v>
      </x:c>
      <x:c r="CB95" s="6" t="str">
        <x:v>40.109283534977294</x:v>
      </x:c>
      <x:c r="CC95" s="9" t="str">
        <x:v>1.4999999999999944</x:v>
      </x:c>
      <x:c r="CD95" s="6" t="str">
        <x:v>17153.281432930045</x:v>
      </x:c>
      <x:c r="CE95" s="6" t="str">
        <x:v>80.21856706995459</x:v>
      </x:c>
      <x:c r="CF95" s="6" t="str">
        <x:v>Fixed 2.00R target</x:v>
      </x:c>
      <x:c r="CG95" s="9" t="str">
        <x:v>0.018075615820157043</x:v>
      </x:c>
      <x:c r="CH95" s="9" t="str">
        <x:v>2.0</x:v>
      </x:c>
      <x:c r="CI95" s="9" t="str">
        <x:v>1.9819243841798428</x:v>
      </x:c>
      <x:c r="CJ95" s="6" t="str">
        <x:v>Win</x:v>
      </x:c>
      <x:c r="CK95" s="9" t="str">
        <x:v>2.069346362859358</x:v>
      </x:c>
      <x:c r="CL95" s="9" t="str">
        <x:v>0.19322210014650631</x:v>
      </x:c>
      <x:c r="CM95" s="7" t="str">
        <x:v>2024-04-24 10:45:00-05:00</x:v>
      </x:c>
      <x:c r="CN95" s="6" t="str">
        <x:v>17153.281432930045</x:v>
      </x:c>
      <x:c r="CO95" s="6" t="str">
        <x:v>TARGET</x:v>
      </x:c>
      <x:c r="CP95" s="6" t="str">
        <x:v>F::Short::Same-bar Setup+BOS::Penetration + same-bar reclaim</x:v>
      </x:c>
    </x:row>
    <x:row r="96" ht="18" customHeight="1">
      <x:c r="A96" s="6" t="str">
        <x:v>A0095</x:v>
      </x:c>
      <x:c r="B96" s="6" t="str">
        <x:v>2024-04-25</x:v>
      </x:c>
      <x:c r="C96" s="6" t="str">
        <x:v>2024</x:v>
      </x:c>
      <x:c r="D96" s="6" t="str">
        <x:v>2024-Q2</x:v>
      </x:c>
      <x:c r="E96" s="6" t="str">
        <x:v>First 50%</x:v>
      </x:c>
      <x:c r="F96" s="6" t="str">
        <x:v>Long</x:v>
      </x:c>
      <x:c r="G96" s="6" t="str">
        <x:v>Long</x:v>
      </x:c>
      <x:c r="H96" s="6" t="str">
        <x:v>Overnight</x:v>
      </x:c>
      <x:c r="I96" s="6" t="str">
        <x:v>Overnight</x:v>
      </x:c>
      <x:c r="J96" s="6" t="str">
        <x:v>Bear</x:v>
      </x:c>
      <x:c r="K96" s="6" t="str">
        <x:v>Bear</x:v>
      </x:c>
      <x:c r="L96" s="6" t="str">
        <x:v>HIGH</x:v>
      </x:c>
      <x:c r="M96" s="7" t="str">
        <x:v>2024-04-25 01:50:00-05:00</x:v>
      </x:c>
      <x:c r="N96" s="6" t="str">
        <x:v>90.0</x:v>
      </x:c>
      <x:c r="O96" s="6" t="str">
        <x:v>90-94</x:v>
      </x:c>
      <x:c r="P96" s="6" t="str">
        <x:v>Matching BOS only</x:v>
      </x:c>
      <x:c r="Q96" s="6" t="str">
        <x:v>Bull CHoCH</x:v>
      </x:c>
      <x:c r="R96" s="6" t="str">
        <x:v>True</x:v>
      </x:c>
      <x:c r="S96" s="6" t="str">
        <x:v>False</x:v>
      </x:c>
      <x:c r="T96" s="6" t="str">
        <x:v>Recent SSL</x:v>
      </x:c>
      <x:c r="U96" s="6" t="str">
        <x:v>SSL</x:v>
      </x:c>
      <x:c r="V96" s="6" t="str">
        <x:v>Swing low / sell-side</x:v>
      </x:c>
      <x:c r="W96" s="6" t="str">
        <x:v>[16953.75]</x:v>
      </x:c>
      <x:c r="X96" s="8" t="str">
        <x:v>1</x:v>
      </x:c>
      <x:c r="Y96" s="8" t="str">
        <x:v>4.0</x:v>
      </x:c>
      <x:c r="Z96" s="6" t="str">
        <x:v>None</x:v>
      </x:c>
      <x:c r="AA96" s="6" t="str">
        <x:v>16979.75</x:v>
      </x:c>
      <x:c r="AB96" s="9" t="str">
        <x:v>1.3496382513800926</x:v>
      </x:c>
      <x:c r="AC96" s="9" t="str">
        <x:v>1.6735514317113147</x:v>
      </x:c>
      <x:c r="AD96" s="9" t="str">
        <x:v>1.7545297267941204</x:v>
      </x:c>
      <x:c r="AE96" s="6" t="str">
        <x:v>With trade</x:v>
      </x:c>
      <x:c r="AF96" s="7" t="str">
        <x:v>2024-04-25 01:50:00-05:00</x:v>
      </x:c>
      <x:c r="AG96" s="6" t="str">
        <x:v>Long</x:v>
      </x:c>
      <x:c r="AH96" s="6" t="str">
        <x:v>16979.75</x:v>
      </x:c>
      <x:c r="AI96" s="8" t="str">
        <x:v>0</x:v>
      </x:c>
      <x:c r="AJ96" s="6" t="str">
        <x:v>True</x:v>
      </x:c>
      <x:c r="AK96" s="6" t="str">
        <x:v>Same-bar Setup+BOS</x:v>
      </x:c>
      <x:c r="AL96" s="9" t="str">
        <x:v>1.5655803716009074</x:v>
      </x:c>
      <x:c r="AM96" s="9" t="str">
        <x:v>1.3496382513800926</x:v>
      </x:c>
      <x:c r="AN96" s="9" t="str">
        <x:v>1.6735514317113147</x:v>
      </x:c>
      <x:c r="AO96" s="9" t="str">
        <x:v>1.7545297267941204</x:v>
      </x:c>
      <x:c r="AP96" s="10" t="str">
        <x:v>0.9538461538461539</x:v>
      </x:c>
      <x:c r="AQ96" s="6" t="str">
        <x:v>0.046153846153846156</x:v>
      </x:c>
      <x:c r="AR96" s="6" t="str">
        <x:v>0.0</x:v>
      </x:c>
      <x:c r="AS96" s="6" t="str">
        <x:v>With trade</x:v>
      </x:c>
      <x:c r="AT96" s="6" t="str">
        <x:v>2.563206766571665</x:v>
      </x:c>
      <x:c r="AU96" s="7" t="str">
        <x:v>2024-04-25 02:20:00-05:00</x:v>
      </x:c>
      <x:c r="AV96" s="8" t="str">
        <x:v>6</x:v>
      </x:c>
      <x:c r="AW96" s="6" t="str">
        <x:v>Delayed retest (2+ bars)</x:v>
      </x:c>
      <x:c r="AX96" s="6" t="str">
        <x:v>16973.5</x:v>
      </x:c>
      <x:c r="AY96" s="6" t="str">
        <x:v>6.25</x:v>
      </x:c>
      <x:c r="AZ96" s="9" t="str">
        <x:v>0.5947510462096904</x:v>
      </x:c>
      <x:c r="BA96" s="9" t="str">
        <x:v>0.33306058587742665</x:v>
      </x:c>
      <x:c r="BB96" s="9" t="str">
        <x:v>2.0935236826581103</x:v>
      </x:c>
      <x:c r="BC96" s="9" t="str">
        <x:v>1.0467618413290551</x:v>
      </x:c>
      <x:c r="BD96" s="6" t="str">
        <x:v>0.056818181818181816</x:v>
      </x:c>
      <x:c r="BE96" s="6" t="str">
        <x:v>0.4431818181818182</x:v>
      </x:c>
      <x:c r="BF96" s="9" t="str">
        <x:v>0.9278116320871171</x:v>
      </x:c>
      <x:c r="BG96" s="9" t="str">
        <x:v>0.1189502092419381</x:v>
      </x:c>
      <x:c r="BH96" s="6" t="str">
        <x:v>Against trade</x:v>
      </x:c>
      <x:c r="BI96" s="6" t="str">
        <x:v>Penetration + same-bar reclaim</x:v>
      </x:c>
      <x:c r="BJ96" s="6" t="str">
        <x:v>False</x:v>
      </x:c>
      <x:c r="BK96" s="10" t="str">
        <x:v>True</x:v>
      </x:c>
      <x:c r="BL96" s="6" t="str">
        <x:v>True</x:v>
      </x:c>
      <x:c r="BM96" s="7" t="str">
        <x:v>2024-04-25 02:30:00-05:00</x:v>
      </x:c>
      <x:c r="BN96" s="8" t="str">
        <x:v>2</x:v>
      </x:c>
      <x:c r="BO96" s="6" t="str">
        <x:v>Delayed confirmation (2+ bars)</x:v>
      </x:c>
      <x:c r="BP96" s="9" t="str">
        <x:v>1.33070927321288</x:v>
      </x:c>
      <x:c r="BQ96" s="9" t="str">
        <x:v>1.33070927321288</x:v>
      </x:c>
      <x:c r="BR96" s="10" t="str">
        <x:v>1.0</x:v>
      </x:c>
      <x:c r="BS96" s="9" t="str">
        <x:v>1.3536525365441365</x:v>
      </x:c>
      <x:c r="BT96" s="9" t="str">
        <x:v>1.032446849906545</x:v>
      </x:c>
      <x:c r="BU96" s="9" t="str">
        <x:v>0.0</x:v>
      </x:c>
      <x:c r="BV96" s="6" t="str">
        <x:v>With trade</x:v>
      </x:c>
      <x:c r="BW96" s="7" t="str">
        <x:v>2024-04-25 02:30:00-05:00</x:v>
      </x:c>
      <x:c r="BX96" s="6" t="str">
        <x:v>16994.5</x:v>
      </x:c>
      <x:c r="BY96" s="9" t="str">
        <x:v>10.896444694483138</x:v>
      </x:c>
      <x:c r="BZ96" s="9" t="str">
        <x:v>0.77</x:v>
      </x:c>
      <x:c r="CA96" s="6" t="str">
        <x:v>16978.155332958275</x:v>
      </x:c>
      <x:c r="CB96" s="6" t="str">
        <x:v>16.344667041725188</x:v>
      </x:c>
      <x:c r="CC96" s="9" t="str">
        <x:v>1.5000000000000442</x:v>
      </x:c>
      <x:c r="CD96" s="6" t="str">
        <x:v>17027.18933408345</x:v>
      </x:c>
      <x:c r="CE96" s="6" t="str">
        <x:v>32.689334083450376</x:v>
      </x:c>
      <x:c r="CF96" s="6" t="str">
        <x:v>Fixed 2.00R target</x:v>
      </x:c>
      <x:c r="CG96" s="9" t="str">
        <x:v>0.04435697577376137</x:v>
      </x:c>
      <x:c r="CH96" s="9" t="str">
        <x:v>2.0</x:v>
      </x:c>
      <x:c r="CI96" s="9" t="str">
        <x:v>1.9556430242262386</x:v>
      </x:c>
      <x:c r="CJ96" s="6" t="str">
        <x:v>Win</x:v>
      </x:c>
      <x:c r="CK96" s="9" t="str">
        <x:v>2.248439806463076</x:v>
      </x:c>
      <x:c r="CL96" s="9" t="str">
        <x:v>0.36709221330009406</x:v>
      </x:c>
      <x:c r="CM96" s="7" t="str">
        <x:v>2024-04-25 03:10:00-05:00</x:v>
      </x:c>
      <x:c r="CN96" s="6" t="str">
        <x:v>17027.18933408345</x:v>
      </x:c>
      <x:c r="CO96" s="6" t="str">
        <x:v>TARGET</x:v>
      </x:c>
      <x:c r="CP96" s="6" t="str">
        <x:v>F::Long::Same-bar Setup+BOS::Penetration + same-bar reclaim</x:v>
      </x:c>
    </x:row>
    <x:row r="97" ht="18" customHeight="1">
      <x:c r="A97" s="6" t="str">
        <x:v>A0096</x:v>
      </x:c>
      <x:c r="B97" s="6" t="str">
        <x:v>2024-04-26</x:v>
      </x:c>
      <x:c r="C97" s="6" t="str">
        <x:v>2024</x:v>
      </x:c>
      <x:c r="D97" s="6" t="str">
        <x:v>2024-Q2</x:v>
      </x:c>
      <x:c r="E97" s="6" t="str">
        <x:v>First 50%</x:v>
      </x:c>
      <x:c r="F97" s="6" t="str">
        <x:v>Long</x:v>
      </x:c>
      <x:c r="G97" s="6" t="str">
        <x:v>Long</x:v>
      </x:c>
      <x:c r="H97" s="6" t="str">
        <x:v>Midday</x:v>
      </x:c>
      <x:c r="I97" s="6" t="str">
        <x:v>Morning</x:v>
      </x:c>
      <x:c r="J97" s="6" t="str">
        <x:v>Bull</x:v>
      </x:c>
      <x:c r="K97" s="6" t="str">
        <x:v>Bull</x:v>
      </x:c>
      <x:c r="L97" s="6" t="str">
        <x:v>MID</x:v>
      </x:c>
      <x:c r="M97" s="7" t="str">
        <x:v>2024-04-26 11:55:00-05:00</x:v>
      </x:c>
      <x:c r="N97" s="6" t="str">
        <x:v>75.0</x:v>
      </x:c>
      <x:c r="O97" s="6" t="str">
        <x:v>75-79</x:v>
      </x:c>
      <x:c r="P97" s="6" t="str">
        <x:v>Matching BOS only</x:v>
      </x:c>
      <x:c r="Q97" s="6" t="str">
        <x:v>Bull BOS</x:v>
      </x:c>
      <x:c r="R97" s="6" t="str">
        <x:v>True</x:v>
      </x:c>
      <x:c r="S97" s="6" t="str">
        <x:v>False</x:v>
      </x:c>
      <x:c r="T97" s="6" t="str">
        <x:v>No recent matching sweep</x:v>
      </x:c>
      <x:c r="U97" s="6" t="str">
        <x:v>None</x:v>
      </x:c>
      <x:c r="V97" s="6" t="str">
        <x:v>None</x:v>
      </x:c>
      <x:c r="W97" s="6" t="str">
        <x:v>[]</x:v>
      </x:c>
      <x:c r="X97" s="8" t="str">
        <x:v>0</x:v>
      </x:c>
      <x:c r="Y97" s="8" t="str"/>
      <x:c r="Z97" s="6" t="str">
        <x:v>None</x:v>
      </x:c>
      <x:c r="AA97" s="6" t="str">
        <x:v>17416.5</x:v>
      </x:c>
      <x:c r="AB97" s="9" t="str">
        <x:v>0.3214040702455577</x:v>
      </x:c>
      <x:c r="AC97" s="9" t="str">
        <x:v>0.6042396520616485</x:v>
      </x:c>
      <x:c r="AD97" s="9" t="str">
        <x:v>0.6170958148714709</x:v>
      </x:c>
      <x:c r="AE97" s="6" t="str">
        <x:v>With trade</x:v>
      </x:c>
      <x:c r="AF97" s="7" t="str">
        <x:v>2024-04-26 11:55:00-05:00</x:v>
      </x:c>
      <x:c r="AG97" s="6" t="str">
        <x:v>Long</x:v>
      </x:c>
      <x:c r="AH97" s="6" t="str">
        <x:v>17416.5</x:v>
      </x:c>
      <x:c r="AI97" s="8" t="str">
        <x:v>0</x:v>
      </x:c>
      <x:c r="AJ97" s="6" t="str">
        <x:v>True</x:v>
      </x:c>
      <x:c r="AK97" s="6" t="str">
        <x:v>Same-bar Setup+BOS</x:v>
      </x:c>
      <x:c r="AL97" s="9" t="str">
        <x:v>0.6170958148714709</x:v>
      </x:c>
      <x:c r="AM97" s="9" t="str">
        <x:v>0.3214040702455577</x:v>
      </x:c>
      <x:c r="AN97" s="9" t="str">
        <x:v>0.6042396520616485</x:v>
      </x:c>
      <x:c r="AO97" s="9" t="str">
        <x:v>0.6170958148714709</x:v>
      </x:c>
      <x:c r="AP97" s="10" t="str">
        <x:v>0.9791666666666666</x:v>
      </x:c>
      <x:c r="AQ97" s="6" t="str">
        <x:v>0.020833333333333332</x:v>
      </x:c>
      <x:c r="AR97" s="6" t="str">
        <x:v>0.0</x:v>
      </x:c>
      <x:c r="AS97" s="6" t="str">
        <x:v>With trade</x:v>
      </x:c>
      <x:c r="AT97" s="6" t="str">
        <x:v>0.8478815282072764</x:v>
      </x:c>
      <x:c r="AU97" s="7" t="str">
        <x:v>2024-04-26 12:00:00-05:00</x:v>
      </x:c>
      <x:c r="AV97" s="8" t="str">
        <x:v>1</x:v>
      </x:c>
      <x:c r="AW97" s="6" t="str">
        <x:v>Immediate retest (1 bar)</x:v>
      </x:c>
      <x:c r="AX97" s="6" t="str">
        <x:v>17412.75</x:v>
      </x:c>
      <x:c r="AY97" s="6" t="str">
        <x:v>3.75</x:v>
      </x:c>
      <x:c r="AZ97" s="9" t="str">
        <x:v>0.19387212856364688</x:v>
      </x:c>
      <x:c r="BA97" s="9" t="str">
        <x:v>0.06462404285454897</x:v>
      </x:c>
      <x:c r="BB97" s="9" t="str">
        <x:v>0.9305862171055052</x:v>
      </x:c>
      <x:c r="BC97" s="9" t="str">
        <x:v>0.25849617141819586</x:v>
      </x:c>
      <x:c r="BD97" s="6" t="str">
        <x:v>0.4444444444444444</x:v>
      </x:c>
      <x:c r="BE97" s="6" t="str">
        <x:v>0.2777777777777778</x:v>
      </x:c>
      <x:c r="BF97" s="9" t="str">
        <x:v>0.25849617141819586</x:v>
      </x:c>
      <x:c r="BG97" s="9" t="str">
        <x:v>0.41359387426911337</x:v>
      </x:c>
      <x:c r="BH97" s="6" t="str">
        <x:v>Against trade</x:v>
      </x:c>
      <x:c r="BI97" s="6" t="str">
        <x:v>Penetration + same-bar reclaim</x:v>
      </x:c>
      <x:c r="BJ97" s="6" t="str">
        <x:v>False</x:v>
      </x:c>
      <x:c r="BK97" s="10" t="str">
        <x:v>True</x:v>
      </x:c>
      <x:c r="BL97" s="6" t="str">
        <x:v>True</x:v>
      </x:c>
      <x:c r="BM97" s="7" t="str">
        <x:v>2024-04-26 12:05:00-05:00</x:v>
      </x:c>
      <x:c r="BN97" s="8" t="str">
        <x:v>1</x:v>
      </x:c>
      <x:c r="BO97" s="6" t="str">
        <x:v>Immediate confirmation (1 bar)</x:v>
      </x:c>
      <x:c r="BP97" s="9" t="str">
        <x:v>0.02657006285623449</x:v>
      </x:c>
      <x:c r="BQ97" s="9" t="str">
        <x:v>0.6376815085496278</x:v>
      </x:c>
      <x:c r="BR97" s="10" t="str">
        <x:v>0.041666666666666664</x:v>
      </x:c>
      <x:c r="BS97" s="9" t="str">
        <x:v>0.09299521999682073</x:v>
      </x:c>
      <x:c r="BT97" s="9" t="str">
        <x:v>0.02657006285623449</x:v>
      </x:c>
      <x:c r="BU97" s="9" t="str">
        <x:v>0.18599043999364145</x:v>
      </x:c>
      <x:c r="BV97" s="6" t="str">
        <x:v>With trade</x:v>
      </x:c>
      <x:c r="BW97" s="7" t="str">
        <x:v>2024-04-26 12:05:00-05:00</x:v>
      </x:c>
      <x:c r="BX97" s="6" t="str">
        <x:v>17418.25</x:v>
      </x:c>
      <x:c r="BY97" s="9" t="str">
        <x:v>18.81817151526528</x:v>
      </x:c>
      <x:c r="BZ97" s="9" t="str">
        <x:v>0.45</x:v>
      </x:c>
      <x:c r="CA97" s="6" t="str">
        <x:v>17390.022742727102</x:v>
      </x:c>
      <x:c r="CB97" s="6" t="str">
        <x:v>28.227257272897987</x:v>
      </x:c>
      <x:c r="CC97" s="9" t="str">
        <x:v>1.5000000000000036</x:v>
      </x:c>
      <x:c r="CD97" s="6" t="str">
        <x:v>17474.704514545796</x:v>
      </x:c>
      <x:c r="CE97" s="6" t="str">
        <x:v>56.45451454579597</x:v>
      </x:c>
      <x:c r="CF97" s="6" t="str">
        <x:v>Fixed 2.00R target</x:v>
      </x:c>
      <x:c r="CG97" s="9" t="str">
        <x:v>0.02568439409435995</x:v>
      </x:c>
      <x:c r="CH97" s="9" t="str">
        <x:v>-0.6022547580746485</x:v>
      </x:c>
      <x:c r="CI97" s="9" t="str">
        <x:v>-0.6279391521690084</x:v>
      </x:c>
      <x:c r="CJ97" s="6" t="str">
        <x:v>Loss</x:v>
      </x:c>
      <x:c r="CK97" s="9" t="str">
        <x:v>0.8325286361620122</x:v>
      </x:c>
      <x:c r="CL97" s="9" t="str">
        <x:v>0.7262483847370744</x:v>
      </x:c>
      <x:c r="CM97" s="7" t="str">
        <x:v>2024-04-26 13:05:00-05:00</x:v>
      </x:c>
      <x:c r="CN97" s="6" t="str">
        <x:v>17401.25</x:v>
      </x:c>
      <x:c r="CO97" s="6" t="str">
        <x:v>TIME</x:v>
      </x:c>
      <x:c r="CP97" s="6" t="str">
        <x:v>F::Long::Same-bar Setup+BOS::Penetration + same-bar reclaim</x:v>
      </x:c>
    </x:row>
    <x:row r="98" ht="18" customHeight="1">
      <x:c r="A98" s="6" t="str">
        <x:v>A0097</x:v>
      </x:c>
      <x:c r="B98" s="6" t="str">
        <x:v>2024-04-29</x:v>
      </x:c>
      <x:c r="C98" s="6" t="str">
        <x:v>2024</x:v>
      </x:c>
      <x:c r="D98" s="6" t="str">
        <x:v>2024-Q2</x:v>
      </x:c>
      <x:c r="E98" s="6" t="str">
        <x:v>First 50%</x:v>
      </x:c>
      <x:c r="F98" s="6" t="str">
        <x:v>Long</x:v>
      </x:c>
      <x:c r="G98" s="6" t="str">
        <x:v>Long</x:v>
      </x:c>
      <x:c r="H98" s="6" t="str">
        <x:v>Overnight</x:v>
      </x:c>
      <x:c r="I98" s="6" t="str">
        <x:v>Overnight</x:v>
      </x:c>
      <x:c r="J98" s="6" t="str">
        <x:v>Bull</x:v>
      </x:c>
      <x:c r="K98" s="6" t="str">
        <x:v>Bull</x:v>
      </x:c>
      <x:c r="L98" s="6" t="str">
        <x:v>LOW</x:v>
      </x:c>
      <x:c r="M98" s="7" t="str">
        <x:v>2024-04-29 00:40:00-05:00</x:v>
      </x:c>
      <x:c r="N98" s="6" t="str">
        <x:v>90.0</x:v>
      </x:c>
      <x:c r="O98" s="6" t="str">
        <x:v>90-94</x:v>
      </x:c>
      <x:c r="P98" s="6" t="str">
        <x:v>Matching BOS only</x:v>
      </x:c>
      <x:c r="Q98" s="6" t="str">
        <x:v>Bull BOS</x:v>
      </x:c>
      <x:c r="R98" s="6" t="str">
        <x:v>True</x:v>
      </x:c>
      <x:c r="S98" s="6" t="str">
        <x:v>False</x:v>
      </x:c>
      <x:c r="T98" s="6" t="str">
        <x:v>Recent SSL</x:v>
      </x:c>
      <x:c r="U98" s="6" t="str">
        <x:v>SSL</x:v>
      </x:c>
      <x:c r="V98" s="6" t="str">
        <x:v>Swing low / sell-side</x:v>
      </x:c>
      <x:c r="W98" s="6" t="str">
        <x:v>[17439.0]</x:v>
      </x:c>
      <x:c r="X98" s="8" t="str">
        <x:v>1</x:v>
      </x:c>
      <x:c r="Y98" s="8" t="str">
        <x:v>19.0</x:v>
      </x:c>
      <x:c r="Z98" s="6" t="str">
        <x:v>None</x:v>
      </x:c>
      <x:c r="AA98" s="6" t="str">
        <x:v>17457.0</x:v>
      </x:c>
      <x:c r="AB98" s="9" t="str">
        <x:v>0.22760243587870932</x:v>
      </x:c>
      <x:c r="AC98" s="9" t="str">
        <x:v>0.8193687691633535</x:v>
      </x:c>
      <x:c r="AD98" s="9" t="str">
        <x:v>1.3200941280965142</x:v>
      </x:c>
      <x:c r="AE98" s="6" t="str">
        <x:v>With trade</x:v>
      </x:c>
      <x:c r="AF98" s="7" t="str">
        <x:v>2024-04-29 00:40:00-05:00</x:v>
      </x:c>
      <x:c r="AG98" s="6" t="str">
        <x:v>Long</x:v>
      </x:c>
      <x:c r="AH98" s="6" t="str">
        <x:v>17457.0</x:v>
      </x:c>
      <x:c r="AI98" s="8" t="str">
        <x:v>0</x:v>
      </x:c>
      <x:c r="AJ98" s="6" t="str">
        <x:v>True</x:v>
      </x:c>
      <x:c r="AK98" s="6" t="str">
        <x:v>Same-bar Setup+BOS</x:v>
      </x:c>
      <x:c r="AL98" s="9" t="str">
        <x:v>0.8193687691633535</x:v>
      </x:c>
      <x:c r="AM98" s="9" t="str">
        <x:v>0.22760243587870932</x:v>
      </x:c>
      <x:c r="AN98" s="9" t="str">
        <x:v>0.8193687691633535</x:v>
      </x:c>
      <x:c r="AO98" s="9" t="str">
        <x:v>1.3200941280965142</x:v>
      </x:c>
      <x:c r="AP98" s="10" t="str">
        <x:v>0.6206896551724138</x:v>
      </x:c>
      <x:c r="AQ98" s="6" t="str">
        <x:v>0.13793103448275862</x:v>
      </x:c>
      <x:c r="AR98" s="6" t="str">
        <x:v>0.2413793103448276</x:v>
      </x:c>
      <x:c r="AS98" s="6" t="str">
        <x:v>With trade</x:v>
      </x:c>
      <x:c r="AT98" s="6" t="str">
        <x:v>1.2608381502890174</x:v>
      </x:c>
      <x:c r="AU98" s="7" t="str">
        <x:v>2024-04-29 00:45:00-05:00</x:v>
      </x:c>
      <x:c r="AV98" s="8" t="str">
        <x:v>1</x:v>
      </x:c>
      <x:c r="AW98" s="6" t="str">
        <x:v>Immediate retest (1 bar)</x:v>
      </x:c>
      <x:c r="AX98" s="6" t="str">
        <x:v>17453.25</x:v>
      </x:c>
      <x:c r="AY98" s="6" t="str">
        <x:v>3.75</x:v>
      </x:c>
      <x:c r="AZ98" s="9" t="str">
        <x:v>0.6872049409876246</x:v>
      </x:c>
      <x:c r="BA98" s="9" t="str">
        <x:v>-0.09162732546501662</x:v>
      </x:c>
      <x:c r="BB98" s="9" t="str">
        <x:v>0.8704595919176579</x:v>
      </x:c>
      <x:c r="BC98" s="9" t="str">
        <x:v>0.27488197639504985</x:v>
      </x:c>
      <x:c r="BD98" s="6" t="str">
        <x:v>0.0</x:v>
      </x:c>
      <x:c r="BE98" s="6" t="str">
        <x:v>0.6842105263157895</x:v>
      </x:c>
      <x:c r="BF98" s="9" t="str">
        <x:v>0.595577615522608</x:v>
      </x:c>
      <x:c r="BG98" s="9" t="str">
        <x:v>0.0</x:v>
      </x:c>
      <x:c r="BH98" s="6" t="str">
        <x:v>Against trade</x:v>
      </x:c>
      <x:c r="BI98" s="6" t="str">
        <x:v>Penetration without same-bar reclaim</x:v>
      </x:c>
      <x:c r="BJ98" s="6" t="str">
        <x:v>False</x:v>
      </x:c>
      <x:c r="BK98" s="10" t="str">
        <x:v>True</x:v>
      </x:c>
      <x:c r="BL98" s="6" t="str">
        <x:v>False</x:v>
      </x:c>
      <x:c r="BM98" s="7" t="str">
        <x:v>2024-04-29 00:55:00-05:00</x:v>
      </x:c>
      <x:c r="BN98" s="8" t="str">
        <x:v>2</x:v>
      </x:c>
      <x:c r="BO98" s="6" t="str">
        <x:v>Delayed confirmation (2+ bars)</x:v>
      </x:c>
      <x:c r="BP98" s="9" t="str">
        <x:v>0.8283183634269387</x:v>
      </x:c>
      <x:c r="BQ98" s="9" t="str">
        <x:v>1.1770839901330181</x:v>
      </x:c>
      <x:c r="BR98" s="10" t="str">
        <x:v>0.7037037037037037</x:v>
      </x:c>
      <x:c r="BS98" s="9" t="str">
        <x:v>0.7847226600886787</x:v>
      </x:c>
      <x:c r="BT98" s="9" t="str">
        <x:v>0.8719140667651987</x:v>
      </x:c>
      <x:c r="BU98" s="9" t="str">
        <x:v>0.21797851669129967</x:v>
      </x:c>
      <x:c r="BV98" s="6" t="str">
        <x:v>With trade</x:v>
      </x:c>
      <x:c r="BW98" s="7" t="str">
        <x:v>2024-04-29 00:55:00-05:00</x:v>
      </x:c>
      <x:c r="BX98" s="6" t="str">
        <x:v>17461.5</x:v>
      </x:c>
      <x:c r="BY98" s="9" t="str">
        <x:v>5.7345100745420945</x:v>
      </x:c>
      <x:c r="BZ98" s="9" t="str">
        <x:v>0.26</x:v>
      </x:c>
      <x:c r="CA98" s="6" t="str">
        <x:v>17452.898234888187</x:v>
      </x:c>
      <x:c r="CB98" s="6" t="str">
        <x:v>8.60176511181271</x:v>
      </x:c>
      <x:c r="CC98" s="9" t="str">
        <x:v>1.4999999999999247</x:v>
      </x:c>
      <x:c r="CD98" s="6" t="str">
        <x:v>17478.703530223625</x:v>
      </x:c>
      <x:c r="CE98" s="6" t="str">
        <x:v>17.20353022362542</x:v>
      </x:c>
      <x:c r="CF98" s="6" t="str">
        <x:v>Fixed 2.00R target</x:v>
      </x:c>
      <x:c r="CG98" s="9" t="str">
        <x:v>0.08428502645397343</x:v>
      </x:c>
      <x:c r="CH98" s="9" t="str">
        <x:v>-1.0</x:v>
      </x:c>
      <x:c r="CI98" s="9" t="str">
        <x:v>-1.0842850264539734</x:v>
      </x:c>
      <x:c r="CJ98" s="6" t="str">
        <x:v>Loss</x:v>
      </x:c>
      <x:c r="CK98" s="9" t="str">
        <x:v>0.17438281335304848</x:v>
      </x:c>
      <x:c r="CL98" s="9" t="str">
        <x:v>1.9763385513345493</x:v>
      </x:c>
      <x:c r="CM98" s="7" t="str">
        <x:v>2024-04-29 01:00:00-05:00</x:v>
      </x:c>
      <x:c r="CN98" s="6" t="str">
        <x:v>17452.898234888187</x:v>
      </x:c>
      <x:c r="CO98" s="6" t="str">
        <x:v>STOP</x:v>
      </x:c>
      <x:c r="CP98" s="6" t="str">
        <x:v>F::Long::Same-bar Setup+BOS::Penetration without same-bar reclaim</x:v>
      </x:c>
    </x:row>
    <x:row r="99" ht="18" customHeight="1">
      <x:c r="A99" s="6" t="str">
        <x:v>A0098</x:v>
      </x:c>
      <x:c r="B99" s="6" t="str">
        <x:v>2024-04-29</x:v>
      </x:c>
      <x:c r="C99" s="6" t="str">
        <x:v>2024</x:v>
      </x:c>
      <x:c r="D99" s="6" t="str">
        <x:v>2024-Q2</x:v>
      </x:c>
      <x:c r="E99" s="6" t="str">
        <x:v>First 50%</x:v>
      </x:c>
      <x:c r="F99" s="6" t="str">
        <x:v>Long</x:v>
      </x:c>
      <x:c r="G99" s="6" t="str">
        <x:v>Long</x:v>
      </x:c>
      <x:c r="H99" s="6" t="str">
        <x:v>Midday</x:v>
      </x:c>
      <x:c r="I99" s="6" t="str">
        <x:v>Midday</x:v>
      </x:c>
      <x:c r="J99" s="6" t="str">
        <x:v>Bull</x:v>
      </x:c>
      <x:c r="K99" s="6" t="str">
        <x:v>Bull</x:v>
      </x:c>
      <x:c r="L99" s="6" t="str">
        <x:v>MID</x:v>
      </x:c>
      <x:c r="M99" s="7" t="str">
        <x:v>2024-04-29 12:25:00-05:00</x:v>
      </x:c>
      <x:c r="N99" s="6" t="str">
        <x:v>75.0</x:v>
      </x:c>
      <x:c r="O99" s="6" t="str">
        <x:v>75-79</x:v>
      </x:c>
      <x:c r="P99" s="6" t="str">
        <x:v>Matching BOS only</x:v>
      </x:c>
      <x:c r="Q99" s="6" t="str">
        <x:v>Bull CHoCH</x:v>
      </x:c>
      <x:c r="R99" s="6" t="str">
        <x:v>True</x:v>
      </x:c>
      <x:c r="S99" s="6" t="str">
        <x:v>False</x:v>
      </x:c>
      <x:c r="T99" s="6" t="str">
        <x:v>No recent matching sweep</x:v>
      </x:c>
      <x:c r="U99" s="6" t="str">
        <x:v>None</x:v>
      </x:c>
      <x:c r="V99" s="6" t="str">
        <x:v>None</x:v>
      </x:c>
      <x:c r="W99" s="6" t="str">
        <x:v>[]</x:v>
      </x:c>
      <x:c r="X99" s="8" t="str">
        <x:v>0</x:v>
      </x:c>
      <x:c r="Y99" s="8" t="str"/>
      <x:c r="Z99" s="6" t="str">
        <x:v>None</x:v>
      </x:c>
      <x:c r="AA99" s="6" t="str">
        <x:v>17454.0</x:v>
      </x:c>
      <x:c r="AB99" s="9" t="str">
        <x:v>0.6485345831372901</x:v>
      </x:c>
      <x:c r="AC99" s="9" t="str">
        <x:v>0.9264779759104145</x:v>
      </x:c>
      <x:c r="AD99" s="9" t="str">
        <x:v>0.9882431743044421</x:v>
      </x:c>
      <x:c r="AE99" s="6" t="str">
        <x:v>With trade</x:v>
      </x:c>
      <x:c r="AF99" s="7" t="str">
        <x:v>2024-04-29 12:25:00-05:00</x:v>
      </x:c>
      <x:c r="AG99" s="6" t="str">
        <x:v>Long</x:v>
      </x:c>
      <x:c r="AH99" s="6" t="str">
        <x:v>17454.0</x:v>
      </x:c>
      <x:c r="AI99" s="8" t="str">
        <x:v>0</x:v>
      </x:c>
      <x:c r="AJ99" s="6" t="str">
        <x:v>True</x:v>
      </x:c>
      <x:c r="AK99" s="6" t="str">
        <x:v>Same-bar Setup+BOS</x:v>
      </x:c>
      <x:c r="AL99" s="9" t="str">
        <x:v>0.9419192755089213</x:v>
      </x:c>
      <x:c r="AM99" s="9" t="str">
        <x:v>0.6485345831372901</x:v>
      </x:c>
      <x:c r="AN99" s="9" t="str">
        <x:v>0.9264779759104145</x:v>
      </x:c>
      <x:c r="AO99" s="9" t="str">
        <x:v>0.9882431743044421</x:v>
      </x:c>
      <x:c r="AP99" s="10" t="str">
        <x:v>0.9375</x:v>
      </x:c>
      <x:c r="AQ99" s="6" t="str">
        <x:v>0.03125</x:v>
      </x:c>
      <x:c r="AR99" s="6" t="str">
        <x:v>0.03125</x:v>
      </x:c>
      <x:c r="AS99" s="6" t="str">
        <x:v>With trade</x:v>
      </x:c>
      <x:c r="AT99" s="6" t="str">
        <x:v>1.3940009168904315</x:v>
      </x:c>
      <x:c r="AU99" s="7" t="str">
        <x:v>2024-04-29 12:30:00-05:00</x:v>
      </x:c>
      <x:c r="AV99" s="8" t="str">
        <x:v>1</x:v>
      </x:c>
      <x:c r="AW99" s="6" t="str">
        <x:v>Immediate retest (1 bar)</x:v>
      </x:c>
      <x:c r="AX99" s="6" t="str">
        <x:v>17452.75</x:v>
      </x:c>
      <x:c r="AY99" s="6" t="str">
        <x:v>1.25</x:v>
      </x:c>
      <x:c r="AZ99" s="9" t="str">
        <x:v>0.0777002460022303</x:v>
      </x:c>
      <x:c r="BA99" s="9" t="str">
        <x:v>0.7303823124209649</x:v>
      </x:c>
      <x:c r="BB99" s="9" t="str">
        <x:v>0.9168629028263175</x:v>
      </x:c>
      <x:c r="BC99" s="9" t="str">
        <x:v>0.062160196801784244</x:v>
      </x:c>
      <x:c r="BD99" s="6" t="str">
        <x:v>0.11864406779661017</x:v>
      </x:c>
      <x:c r="BE99" s="6" t="str">
        <x:v>0.8135593220338984</x:v>
      </x:c>
      <x:c r="BF99" s="9" t="str">
        <x:v>0.7459223616214109</x:v>
      </x:c>
      <x:c r="BG99" s="9" t="str">
        <x:v>0.10878034440312243</x:v>
      </x:c>
      <x:c r="BH99" s="6" t="str">
        <x:v>With trade</x:v>
      </x:c>
      <x:c r="BI99" s="6" t="str">
        <x:v>Penetration + same-bar reclaim</x:v>
      </x:c>
      <x:c r="BJ99" s="6" t="str">
        <x:v>False</x:v>
      </x:c>
      <x:c r="BK99" s="10" t="str">
        <x:v>True</x:v>
      </x:c>
      <x:c r="BL99" s="6" t="str">
        <x:v>True</x:v>
      </x:c>
      <x:c r="BM99" s="7" t="str">
        <x:v>2024-04-29 12:40:00-05:00</x:v>
      </x:c>
      <x:c r="BN99" s="8" t="str">
        <x:v>2</x:v>
      </x:c>
      <x:c r="BO99" s="6" t="str">
        <x:v>Delayed confirmation (2+ bars)</x:v>
      </x:c>
      <x:c r="BP99" s="9" t="str">
        <x:v>0.1506388516335704</x:v>
      </x:c>
      <x:c r="BQ99" s="9" t="str">
        <x:v>0.48539185526372686</x:v>
      </x:c>
      <x:c r="BR99" s="10" t="str">
        <x:v>0.3103448275862069</x:v>
      </x:c>
      <x:c r="BS99" s="9" t="str">
        <x:v>0.7197189578048363</x:v>
      </x:c>
      <x:c r="BT99" s="9" t="str">
        <x:v>-0.06695060072603129</x:v>
      </x:c>
      <x:c r="BU99" s="9" t="str">
        <x:v>0.10042590108904693</x:v>
      </x:c>
      <x:c r="BV99" s="6" t="str">
        <x:v>With trade</x:v>
      </x:c>
      <x:c r="BW99" s="7" t="str">
        <x:v>2024-04-29 12:40:00-05:00</x:v>
      </x:c>
      <x:c r="BX99" s="6" t="str">
        <x:v>17464.75</x:v>
      </x:c>
      <x:c r="BY99" s="9" t="str">
        <x:v>14.936385770339871</x:v>
      </x:c>
      <x:c r="BZ99" s="9" t="str">
        <x:v>0.51</x:v>
      </x:c>
      <x:c r="CA99" s="6" t="str">
        <x:v>17442.34542134449</x:v>
      </x:c>
      <x:c r="CB99" s="6" t="str">
        <x:v>22.404578655510704</x:v>
      </x:c>
      <x:c r="CC99" s="9" t="str">
        <x:v>1.50000000000006</x:v>
      </x:c>
      <x:c r="CD99" s="6" t="str">
        <x:v>17509.55915731102</x:v>
      </x:c>
      <x:c r="CE99" s="6" t="str">
        <x:v>44.80915731102141</x:v>
      </x:c>
      <x:c r="CF99" s="6" t="str">
        <x:v>Fixed 2.00R target</x:v>
      </x:c>
      <x:c r="CG99" s="9" t="str">
        <x:v>0.032359457017580494</x:v>
      </x:c>
      <x:c r="CH99" s="9" t="str">
        <x:v>-1.0</x:v>
      </x:c>
      <x:c r="CI99" s="9" t="str">
        <x:v>-1.0323594570175805</x:v>
      </x:c>
      <x:c r="CJ99" s="6" t="str">
        <x:v>Loss</x:v>
      </x:c>
      <x:c r="CK99" s="9" t="str">
        <x:v>0.31243613672146686</x:v>
      </x:c>
      <x:c r="CL99" s="9" t="str">
        <x:v>1.327853581066234</x:v>
      </x:c>
      <x:c r="CM99" s="7" t="str">
        <x:v>2024-04-29 13:00:00-05:00</x:v>
      </x:c>
      <x:c r="CN99" s="6" t="str">
        <x:v>17442.34542134449</x:v>
      </x:c>
      <x:c r="CO99" s="6" t="str">
        <x:v>STOP</x:v>
      </x:c>
      <x:c r="CP99" s="6" t="str">
        <x:v>F::Long::Same-bar Setup+BOS::Penetration + same-bar reclaim</x:v>
      </x:c>
    </x:row>
    <x:row r="100" ht="18" customHeight="1">
      <x:c r="A100" s="6" t="str">
        <x:v>A0099</x:v>
      </x:c>
      <x:c r="B100" s="6" t="str">
        <x:v>2024-04-29</x:v>
      </x:c>
      <x:c r="C100" s="6" t="str">
        <x:v>2024</x:v>
      </x:c>
      <x:c r="D100" s="6" t="str">
        <x:v>2024-Q2</x:v>
      </x:c>
      <x:c r="E100" s="6" t="str">
        <x:v>First 50%</x:v>
      </x:c>
      <x:c r="F100" s="6" t="str">
        <x:v>Long</x:v>
      </x:c>
      <x:c r="G100" s="6" t="str">
        <x:v>Long</x:v>
      </x:c>
      <x:c r="H100" s="6" t="str">
        <x:v>Afternoon</x:v>
      </x:c>
      <x:c r="I100" s="6" t="str">
        <x:v>Afternoon</x:v>
      </x:c>
      <x:c r="J100" s="6" t="str">
        <x:v>Bull</x:v>
      </x:c>
      <x:c r="K100" s="6" t="str">
        <x:v>Bull</x:v>
      </x:c>
      <x:c r="L100" s="6" t="str">
        <x:v>HIGH</x:v>
      </x:c>
      <x:c r="M100" s="7" t="str">
        <x:v>2024-04-29 14:50:00-05:00</x:v>
      </x:c>
      <x:c r="N100" s="6" t="str">
        <x:v>100.0</x:v>
      </x:c>
      <x:c r="O100" s="6" t="str">
        <x:v>95+</x:v>
      </x:c>
      <x:c r="P100" s="6" t="str">
        <x:v>Matching BOS only</x:v>
      </x:c>
      <x:c r="Q100" s="6" t="str">
        <x:v>Bull CHoCH</x:v>
      </x:c>
      <x:c r="R100" s="6" t="str">
        <x:v>True</x:v>
      </x:c>
      <x:c r="S100" s="6" t="str">
        <x:v>False</x:v>
      </x:c>
      <x:c r="T100" s="6" t="str">
        <x:v>Recent SSL</x:v>
      </x:c>
      <x:c r="U100" s="6" t="str">
        <x:v>SSL</x:v>
      </x:c>
      <x:c r="V100" s="6" t="str">
        <x:v>Swing low / sell-side</x:v>
      </x:c>
      <x:c r="W100" s="6" t="str">
        <x:v>[17354.5]</x:v>
      </x:c>
      <x:c r="X100" s="8" t="str">
        <x:v>1</x:v>
      </x:c>
      <x:c r="Y100" s="8" t="str">
        <x:v>10.0</x:v>
      </x:c>
      <x:c r="Z100" s="6" t="str">
        <x:v>None</x:v>
      </x:c>
      <x:c r="AA100" s="6" t="str">
        <x:v>17431.5</x:v>
      </x:c>
      <x:c r="AB100" s="9" t="str">
        <x:v>0.1417344791277853</x:v>
      </x:c>
      <x:c r="AC100" s="9" t="str">
        <x:v>1.5118344440297098</x:v>
      </x:c>
      <x:c r="AD100" s="9" t="str">
        <x:v>1.8307370220672268</x:v>
      </x:c>
      <x:c r="AE100" s="6" t="str">
        <x:v>With trade</x:v>
      </x:c>
      <x:c r="AF100" s="7" t="str">
        <x:v>2024-04-29 14:50:00-05:00</x:v>
      </x:c>
      <x:c r="AG100" s="6" t="str">
        <x:v>Long</x:v>
      </x:c>
      <x:c r="AH100" s="6" t="str">
        <x:v>17431.5</x:v>
      </x:c>
      <x:c r="AI100" s="8" t="str">
        <x:v>0</x:v>
      </x:c>
      <x:c r="AJ100" s="6" t="str">
        <x:v>True</x:v>
      </x:c>
      <x:c r="AK100" s="6" t="str">
        <x:v>Same-bar Setup+BOS</x:v>
      </x:c>
      <x:c r="AL100" s="9" t="str">
        <x:v>1.5472680638116563</x:v>
      </x:c>
      <x:c r="AM100" s="9" t="str">
        <x:v>0.1417344791277853</x:v>
      </x:c>
      <x:c r="AN100" s="9" t="str">
        <x:v>1.5118344440297098</x:v>
      </x:c>
      <x:c r="AO100" s="9" t="str">
        <x:v>1.8307370220672268</x:v>
      </x:c>
      <x:c r="AP100" s="10" t="str">
        <x:v>0.8258064516129032</x:v>
      </x:c>
      <x:c r="AQ100" s="6" t="str">
        <x:v>0.11612903225806452</x:v>
      </x:c>
      <x:c r="AR100" s="6" t="str">
        <x:v>0.05806451612903226</x:v>
      </x:c>
      <x:c r="AS100" s="6" t="str">
        <x:v>With trade</x:v>
      </x:c>
      <x:c r="AT100" s="6" t="str">
        <x:v>1.4911016746982204</x:v>
      </x:c>
      <x:c r="AU100" s="7" t="str">
        <x:v>2024-04-29 14:55:00-05:00</x:v>
      </x:c>
      <x:c r="AV100" s="8" t="str">
        <x:v>1</x:v>
      </x:c>
      <x:c r="AW100" s="6" t="str">
        <x:v>Immediate retest (1 bar)</x:v>
      </x:c>
      <x:c r="AX100" s="6" t="str">
        <x:v>17432.0</x:v>
      </x:c>
      <x:c r="AY100" s="6" t="str">
        <x:v>0.0</x:v>
      </x:c>
      <x:c r="AZ100" s="9" t="str">
        <x:v>0.0</x:v>
      </x:c>
      <x:c r="BA100" s="9" t="str">
        <x:v>0.6549570464198129</x:v>
      </x:c>
      <x:c r="BB100" s="9" t="str">
        <x:v>0.8931232451179267</x:v>
      </x:c>
      <x:c r="BC100" s="9" t="str">
        <x:v>0.500149017266039</x:v>
      </x:c>
      <x:c r="BD100" s="6" t="str">
        <x:v>0.29333333333333333</x:v>
      </x:c>
      <x:c r="BE100" s="6" t="str">
        <x:v>0.14666666666666667</x:v>
      </x:c>
      <x:c r="BF100" s="9" t="str">
        <x:v>0.13099140928396258</x:v>
      </x:c>
      <x:c r="BG100" s="9" t="str">
        <x:v>0.26198281856792516</x:v>
      </x:c>
      <x:c r="BH100" s="6" t="str">
        <x:v>With trade</x:v>
      </x:c>
      <x:c r="BI100" s="6" t="str">
        <x:v>Tolerance-only shallow touch</x:v>
      </x:c>
      <x:c r="BJ100" s="6" t="str">
        <x:v>True</x:v>
      </x:c>
      <x:c r="BK100" s="10" t="str">
        <x:v>False</x:v>
      </x:c>
      <x:c r="BL100" s="6" t="str">
        <x:v>True</x:v>
      </x:c>
      <x:c r="BM100" s="7" t="str">
        <x:v>2024-04-29 15:00:00-05:00</x:v>
      </x:c>
      <x:c r="BN100" s="8" t="str">
        <x:v>1</x:v>
      </x:c>
      <x:c r="BO100" s="6" t="str">
        <x:v>Immediate confirmation (1 bar)</x:v>
      </x:c>
      <x:c r="BP100" s="9" t="str">
        <x:v>0.5708699970066868</x:v>
      </x:c>
      <x:c r="BQ100" s="9" t="str">
        <x:v>1.281544891239501</x:v>
      </x:c>
      <x:c r="BR100" s="10" t="str">
        <x:v>0.44545454545454544</x:v>
      </x:c>
      <x:c r="BS100" s="9" t="str">
        <x:v>1.2116424426264374</x:v>
      </x:c>
      <x:c r="BT100" s="9" t="str">
        <x:v>0.5708699970066868</x:v>
      </x:c>
      <x:c r="BU100" s="9" t="str">
        <x:v>0.023300816204354566</x:v>
      </x:c>
      <x:c r="BV100" s="6" t="str">
        <x:v>With trade</x:v>
      </x:c>
      <x:c r="BW100" s="7" t="str">
        <x:v>2024-04-29 15:00:00-05:00</x:v>
      </x:c>
      <x:c r="BX100" s="6" t="str">
        <x:v>17457.5</x:v>
      </x:c>
      <x:c r="BY100" s="9" t="str">
        <x:v>21.458475772473484</x:v>
      </x:c>
      <x:c r="BZ100" s="9" t="str">
        <x:v>0.76</x:v>
      </x:c>
      <x:c r="CA100" s="6" t="str">
        <x:v>17425.31228634129</x:v>
      </x:c>
      <x:c r="CB100" s="6" t="str">
        <x:v>32.18771365870998</x:v>
      </x:c>
      <x:c r="CC100" s="9" t="str">
        <x:v>1.4999999999999887</x:v>
      </x:c>
      <x:c r="CD100" s="6" t="str">
        <x:v>17521.87542731742</x:v>
      </x:c>
      <x:c r="CE100" s="6" t="str">
        <x:v>64.37542731741996</x:v>
      </x:c>
      <x:c r="CF100" s="6" t="str">
        <x:v>Fixed 2.00R target</x:v>
      </x:c>
      <x:c r="CG100" s="9" t="str">
        <x:v>0.02252412233087625</x:v>
      </x:c>
      <x:c r="CH100" s="9" t="str">
        <x:v>-0.2640759169826851</x:v>
      </x:c>
      <x:c r="CI100" s="9" t="str">
        <x:v>-0.28660003931356137</x:v>
      </x:c>
      <x:c r="CJ100" s="6" t="str">
        <x:v>Loss</x:v>
      </x:c>
      <x:c r="CK100" s="9" t="str">
        <x:v>0.24077510077833233</x:v>
      </x:c>
      <x:c r="CL100" s="9" t="str">
        <x:v>0.2873767331870418</x:v>
      </x:c>
      <x:c r="CM100" s="7" t="str">
        <x:v>2024-04-29 17:00:00-05:00</x:v>
      </x:c>
      <x:c r="CN100" s="6" t="str">
        <x:v>17449.0</x:v>
      </x:c>
      <x:c r="CO100" s="6" t="str">
        <x:v>TIME</x:v>
      </x:c>
      <x:c r="CP100" s="6" t="str">
        <x:v>F::Long::Same-bar Setup+BOS::Tolerance-only shallow touch</x:v>
      </x:c>
    </x:row>
    <x:row r="101" ht="18" customHeight="1">
      <x:c r="A101" s="6" t="str">
        <x:v>A0100</x:v>
      </x:c>
      <x:c r="B101" s="6" t="str">
        <x:v>2024-04-29</x:v>
      </x:c>
      <x:c r="C101" s="6" t="str">
        <x:v>2024</x:v>
      </x:c>
      <x:c r="D101" s="6" t="str">
        <x:v>2024-Q2</x:v>
      </x:c>
      <x:c r="E101" s="6" t="str">
        <x:v>First 50%</x:v>
      </x:c>
      <x:c r="F101" s="6" t="str">
        <x:v>Short</x:v>
      </x:c>
      <x:c r="G101" s="6" t="str">
        <x:v>Short</x:v>
      </x:c>
      <x:c r="H101" s="6" t="str">
        <x:v>Overnight</x:v>
      </x:c>
      <x:c r="I101" s="6" t="str">
        <x:v>Overnight</x:v>
      </x:c>
      <x:c r="J101" s="6" t="str">
        <x:v>Bull</x:v>
      </x:c>
      <x:c r="K101" s="6" t="str">
        <x:v>Bull</x:v>
      </x:c>
      <x:c r="L101" s="6" t="str">
        <x:v>LOW</x:v>
      </x:c>
      <x:c r="M101" s="7" t="str">
        <x:v>2024-04-29 23:15:00-05:00</x:v>
      </x:c>
      <x:c r="N101" s="6" t="str">
        <x:v>75.0</x:v>
      </x:c>
      <x:c r="O101" s="6" t="str">
        <x:v>75-79</x:v>
      </x:c>
      <x:c r="P101" s="6" t="str">
        <x:v>Matching BOS only</x:v>
      </x:c>
      <x:c r="Q101" s="6" t="str">
        <x:v>Bear CHoCH</x:v>
      </x:c>
      <x:c r="R101" s="6" t="str">
        <x:v>True</x:v>
      </x:c>
      <x:c r="S101" s="6" t="str">
        <x:v>False</x:v>
      </x:c>
      <x:c r="T101" s="6" t="str">
        <x:v>Recent BSL</x:v>
      </x:c>
      <x:c r="U101" s="6" t="str">
        <x:v>BSL</x:v>
      </x:c>
      <x:c r="V101" s="6" t="str">
        <x:v>Swing high / buy-side</x:v>
      </x:c>
      <x:c r="W101" s="6" t="str">
        <x:v>[17457.25]</x:v>
      </x:c>
      <x:c r="X101" s="8" t="str">
        <x:v>1</x:v>
      </x:c>
      <x:c r="Y101" s="8" t="str">
        <x:v>20.0</x:v>
      </x:c>
      <x:c r="Z101" s="6" t="str">
        <x:v>None</x:v>
      </x:c>
      <x:c r="AA101" s="6" t="str">
        <x:v>17447.5</x:v>
      </x:c>
      <x:c r="AB101" s="9" t="str">
        <x:v>0.08080412700791301</x:v>
      </x:c>
      <x:c r="AC101" s="9" t="str">
        <x:v>0.5656288890553911</x:v>
      </x:c>
      <x:c r="AD101" s="9" t="str">
        <x:v>1.050453651102869</x:v>
      </x:c>
      <x:c r="AE101" s="6" t="str">
        <x:v>With trade</x:v>
      </x:c>
      <x:c r="AF101" s="7" t="str">
        <x:v>2024-04-29 23:15:00-05:00</x:v>
      </x:c>
      <x:c r="AG101" s="6" t="str">
        <x:v>Short</x:v>
      </x:c>
      <x:c r="AH101" s="6" t="str">
        <x:v>17447.5</x:v>
      </x:c>
      <x:c r="AI101" s="8" t="str">
        <x:v>0</x:v>
      </x:c>
      <x:c r="AJ101" s="6" t="str">
        <x:v>True</x:v>
      </x:c>
      <x:c r="AK101" s="6" t="str">
        <x:v>Same-bar Setup+BOS</x:v>
      </x:c>
      <x:c r="AL101" s="9" t="str">
        <x:v>0.40402063503956503</x:v>
      </x:c>
      <x:c r="AM101" s="9" t="str">
        <x:v>0.08080412700791301</x:v>
      </x:c>
      <x:c r="AN101" s="9" t="str">
        <x:v>0.5656288890553911</x:v>
      </x:c>
      <x:c r="AO101" s="9" t="str">
        <x:v>1.050453651102869</x:v>
      </x:c>
      <x:c r="AP101" s="10" t="str">
        <x:v>0.5384615384615384</x:v>
      </x:c>
      <x:c r="AQ101" s="6" t="str">
        <x:v>0.15384615384615385</x:v>
      </x:c>
      <x:c r="AR101" s="6" t="str">
        <x:v>0.3076923076923077</x:v>
      </x:c>
      <x:c r="AS101" s="6" t="str">
        <x:v>With trade</x:v>
      </x:c>
      <x:c r="AT101" s="6" t="str">
        <x:v>1.8457752255947497</x:v>
      </x:c>
      <x:c r="AU101" s="7" t="str">
        <x:v>2024-04-29 23:20:00-05:00</x:v>
      </x:c>
      <x:c r="AV101" s="8" t="str">
        <x:v>1</x:v>
      </x:c>
      <x:c r="AW101" s="6" t="str">
        <x:v>Immediate retest (1 bar)</x:v>
      </x:c>
      <x:c r="AX101" s="6" t="str">
        <x:v>17447.75</x:v>
      </x:c>
      <x:c r="AY101" s="6" t="str">
        <x:v>0.25</x:v>
      </x:c>
      <x:c r="AZ101" s="9" t="str">
        <x:v>0.08289769031798797</x:v>
      </x:c>
      <x:c r="BA101" s="9" t="str">
        <x:v>0.33159076127195186</x:v>
      </x:c>
      <x:c r="BB101" s="9" t="str">
        <x:v>0.6631815225439037</x:v>
      </x:c>
      <x:c r="BC101" s="9" t="str">
        <x:v>0.2486930709539639</x:v>
      </x:c>
      <x:c r="BD101" s="6" t="str">
        <x:v>0.25</x:v>
      </x:c>
      <x:c r="BE101" s="6" t="str">
        <x:v>0.375</x:v>
      </x:c>
      <x:c r="BF101" s="9" t="str">
        <x:v>0.16579538063597593</x:v>
      </x:c>
      <x:c r="BG101" s="9" t="str">
        <x:v>0.2486930709539639</x:v>
      </x:c>
      <x:c r="BH101" s="6" t="str">
        <x:v>With trade</x:v>
      </x:c>
      <x:c r="BI101" s="6" t="str">
        <x:v>Penetration + same-bar reclaim</x:v>
      </x:c>
      <x:c r="BJ101" s="6" t="str">
        <x:v>False</x:v>
      </x:c>
      <x:c r="BK101" s="10" t="str">
        <x:v>True</x:v>
      </x:c>
      <x:c r="BL101" s="6" t="str">
        <x:v>True</x:v>
      </x:c>
      <x:c r="BM101" s="7" t="str">
        <x:v>2024-04-29 23:30:00-05:00</x:v>
      </x:c>
      <x:c r="BN101" s="8" t="str">
        <x:v>2</x:v>
      </x:c>
      <x:c r="BO101" s="6" t="str">
        <x:v>Delayed confirmation (2+ bars)</x:v>
      </x:c>
      <x:c r="BP101" s="9" t="str">
        <x:v>0.5894337919072405</x:v>
      </x:c>
      <x:c r="BQ101" s="9" t="str">
        <x:v>1.3472772386451213</x:v>
      </x:c>
      <x:c r="BR101" s="10" t="str">
        <x:v>0.4375</x:v>
      </x:c>
      <x:c r="BS101" s="9" t="str">
        <x:v>0.5894337919072405</x:v>
      </x:c>
      <x:c r="BT101" s="9" t="str">
        <x:v>0.2526144822459602</x:v>
      </x:c>
      <x:c r="BU101" s="9" t="str">
        <x:v>0.4210241370766004</x:v>
      </x:c>
      <x:c r="BV101" s="6" t="str">
        <x:v>With trade</x:v>
      </x:c>
      <x:c r="BW101" s="7" t="str">
        <x:v>2024-04-29 23:30:00-05:00</x:v>
      </x:c>
      <x:c r="BX101" s="6" t="str">
        <x:v>17445.75</x:v>
      </x:c>
      <x:c r="BY101" s="9" t="str">
        <x:v>2.9689509221001673</x:v>
      </x:c>
      <x:c r="BZ101" s="9" t="str">
        <x:v>0.01</x:v>
      </x:c>
      <x:c r="CA101" s="6" t="str">
        <x:v>17450.203426383152</x:v>
      </x:c>
      <x:c r="CB101" s="6" t="str">
        <x:v>4.453426383151964</x:v>
      </x:c>
      <x:c r="CC101" s="9" t="str">
        <x:v>1.5000000000005769</x:v>
      </x:c>
      <x:c r="CD101" s="6" t="str">
        <x:v>17436.8431472337</x:v>
      </x:c>
      <x:c r="CE101" s="6" t="str">
        <x:v>8.90685276630029</x:v>
      </x:c>
      <x:c r="CF101" s="6" t="str">
        <x:v>Fixed 2.00R target</x:v>
      </x:c>
      <x:c r="CG101" s="9" t="str">
        <x:v>0.1627959996695562</x:v>
      </x:c>
      <x:c r="CH101" s="9" t="str">
        <x:v>2.0</x:v>
      </x:c>
      <x:c r="CI101" s="9" t="str">
        <x:v>1.8372040003304437</x:v>
      </x:c>
      <x:c r="CJ101" s="6" t="str">
        <x:v>Win</x:v>
      </x:c>
      <x:c r="CK101" s="9" t="str">
        <x:v>2.0770524095770964</x:v>
      </x:c>
      <x:c r="CL101" s="9" t="str">
        <x:v>0.280682758050959</x:v>
      </x:c>
      <x:c r="CM101" s="7" t="str">
        <x:v>2024-04-30 00:10:00-05:00</x:v>
      </x:c>
      <x:c r="CN101" s="6" t="str">
        <x:v>17436.8431472337</x:v>
      </x:c>
      <x:c r="CO101" s="6" t="str">
        <x:v>TARGET</x:v>
      </x:c>
      <x:c r="CP101" s="6" t="str">
        <x:v>F::Short::Same-bar Setup+BOS::Penetration + same-bar reclaim</x:v>
      </x:c>
    </x:row>
    <x:row r="102" ht="18" customHeight="1">
      <x:c r="A102" s="6" t="str">
        <x:v>A0101</x:v>
      </x:c>
      <x:c r="B102" s="6" t="str">
        <x:v>2024-05-03</x:v>
      </x:c>
      <x:c r="C102" s="6" t="str">
        <x:v>2024</x:v>
      </x:c>
      <x:c r="D102" s="6" t="str">
        <x:v>2024-Q2</x:v>
      </x:c>
      <x:c r="E102" s="6" t="str">
        <x:v>First 50%</x:v>
      </x:c>
      <x:c r="F102" s="6" t="str">
        <x:v>Long</x:v>
      </x:c>
      <x:c r="G102" s="6" t="str">
        <x:v>Long</x:v>
      </x:c>
      <x:c r="H102" s="6" t="str">
        <x:v>Midday</x:v>
      </x:c>
      <x:c r="I102" s="6" t="str">
        <x:v>Midday</x:v>
      </x:c>
      <x:c r="J102" s="6" t="str">
        <x:v>Bull</x:v>
      </x:c>
      <x:c r="K102" s="6" t="str">
        <x:v>Bull</x:v>
      </x:c>
      <x:c r="L102" s="6" t="str">
        <x:v>LOW</x:v>
      </x:c>
      <x:c r="M102" s="7" t="str">
        <x:v>2024-05-03 13:05:00-05:00</x:v>
      </x:c>
      <x:c r="N102" s="6" t="str">
        <x:v>75.0</x:v>
      </x:c>
      <x:c r="O102" s="6" t="str">
        <x:v>75-79</x:v>
      </x:c>
      <x:c r="P102" s="6" t="str">
        <x:v>Matching BOS only</x:v>
      </x:c>
      <x:c r="Q102" s="6" t="str">
        <x:v>Bull CHoCH</x:v>
      </x:c>
      <x:c r="R102" s="6" t="str">
        <x:v>True</x:v>
      </x:c>
      <x:c r="S102" s="6" t="str">
        <x:v>False</x:v>
      </x:c>
      <x:c r="T102" s="6" t="str">
        <x:v>No recent matching sweep</x:v>
      </x:c>
      <x:c r="U102" s="6" t="str">
        <x:v>None</x:v>
      </x:c>
      <x:c r="V102" s="6" t="str">
        <x:v>None</x:v>
      </x:c>
      <x:c r="W102" s="6" t="str">
        <x:v>[]</x:v>
      </x:c>
      <x:c r="X102" s="8" t="str">
        <x:v>0</x:v>
      </x:c>
      <x:c r="Y102" s="8" t="str"/>
      <x:c r="Z102" s="6" t="str">
        <x:v>None</x:v>
      </x:c>
      <x:c r="AA102" s="6" t="str">
        <x:v>17544.5</x:v>
      </x:c>
      <x:c r="AB102" s="9" t="str">
        <x:v>0.4764532439452494</x:v>
      </x:c>
      <x:c r="AC102" s="9" t="str">
        <x:v>0.7759381401394061</x:v>
      </x:c>
      <x:c r="AD102" s="9" t="str">
        <x:v>0.980132387544513</x:v>
      </x:c>
      <x:c r="AE102" s="6" t="str">
        <x:v>With trade</x:v>
      </x:c>
      <x:c r="AF102" s="7" t="str">
        <x:v>2024-05-03 13:05:00-05:00</x:v>
      </x:c>
      <x:c r="AG102" s="6" t="str">
        <x:v>Long</x:v>
      </x:c>
      <x:c r="AH102" s="6" t="str">
        <x:v>17544.5</x:v>
      </x:c>
      <x:c r="AI102" s="8" t="str">
        <x:v>0</x:v>
      </x:c>
      <x:c r="AJ102" s="6" t="str">
        <x:v>True</x:v>
      </x:c>
      <x:c r="AK102" s="6" t="str">
        <x:v>Same-bar Setup+BOS</x:v>
      </x:c>
      <x:c r="AL102" s="9" t="str">
        <x:v>0.8167769896204276</x:v>
      </x:c>
      <x:c r="AM102" s="9" t="str">
        <x:v>0.4764532439452494</x:v>
      </x:c>
      <x:c r="AN102" s="9" t="str">
        <x:v>0.7759381401394061</x:v>
      </x:c>
      <x:c r="AO102" s="9" t="str">
        <x:v>0.980132387544513</x:v>
      </x:c>
      <x:c r="AP102" s="10" t="str">
        <x:v>0.7916666666666666</x:v>
      </x:c>
      <x:c r="AQ102" s="6" t="str">
        <x:v>0.027777777777777776</x:v>
      </x:c>
      <x:c r="AR102" s="6" t="str">
        <x:v>0.18055555555555555</x:v>
      </x:c>
      <x:c r="AS102" s="6" t="str">
        <x:v>With trade</x:v>
      </x:c>
      <x:c r="AT102" s="6" t="str">
        <x:v>1.4174976785498001</x:v>
      </x:c>
      <x:c r="AU102" s="7" t="str">
        <x:v>2024-05-03 13:40:00-05:00</x:v>
      </x:c>
      <x:c r="AV102" s="8" t="str">
        <x:v>7</x:v>
      </x:c>
      <x:c r="AW102" s="6" t="str">
        <x:v>Delayed retest (2+ bars)</x:v>
      </x:c>
      <x:c r="AX102" s="6" t="str">
        <x:v>17543.0</x:v>
      </x:c>
      <x:c r="AY102" s="6" t="str">
        <x:v>1.5</x:v>
      </x:c>
      <x:c r="AZ102" s="9" t="str">
        <x:v>0.09261148741073547</x:v>
      </x:c>
      <x:c r="BA102" s="9" t="str">
        <x:v>0.49392793285725584</x:v>
      </x:c>
      <x:c r="BB102" s="9" t="str">
        <x:v>1.265690327946718</x:v>
      </x:c>
      <x:c r="BC102" s="9" t="str">
        <x:v>0.03087049580357849</x:v>
      </x:c>
      <x:c r="BD102" s="6" t="str">
        <x:v>0.5365853658536586</x:v>
      </x:c>
      <x:c r="BE102" s="6" t="str">
        <x:v>0.43902439024390244</x:v>
      </x:c>
      <x:c r="BF102" s="9" t="str">
        <x:v>0.5556689244644129</x:v>
      </x:c>
      <x:c r="BG102" s="9" t="str">
        <x:v>0.6791509076787268</x:v>
      </x:c>
      <x:c r="BH102" s="6" t="str">
        <x:v>With trade</x:v>
      </x:c>
      <x:c r="BI102" s="6" t="str">
        <x:v>Penetration + same-bar reclaim</x:v>
      </x:c>
      <x:c r="BJ102" s="6" t="str">
        <x:v>False</x:v>
      </x:c>
      <x:c r="BK102" s="10" t="str">
        <x:v>True</x:v>
      </x:c>
      <x:c r="BL102" s="6" t="str">
        <x:v>True</x:v>
      </x:c>
      <x:c r="BM102" s="7" t="str">
        <x:v>2024-05-03 13:45:00-05:00</x:v>
      </x:c>
      <x:c r="BN102" s="8" t="str">
        <x:v>1</x:v>
      </x:c>
      <x:c r="BO102" s="6" t="str">
        <x:v>Immediate confirmation (1 bar)</x:v>
      </x:c>
      <x:c r="BP102" s="9" t="str">
        <x:v>0.23457707885195353</x:v>
      </x:c>
      <x:c r="BQ102" s="9" t="str">
        <x:v>0.8288390119435691</x:v>
      </x:c>
      <x:c r="BR102" s="10" t="str">
        <x:v>0.2830188679245283</x:v>
      </x:c>
      <x:c r="BS102" s="9" t="str">
        <x:v>0.7662851242497148</x:v>
      </x:c>
      <x:c r="BT102" s="9" t="str">
        <x:v>0.26585402269888064</x:v>
      </x:c>
      <x:c r="BU102" s="9" t="str">
        <x:v>0.5629849892446884</x:v>
      </x:c>
      <x:c r="BV102" s="6" t="str">
        <x:v>With trade</x:v>
      </x:c>
      <x:c r="BW102" s="7" t="str">
        <x:v>2024-05-03 13:45:00-05:00</x:v>
      </x:c>
      <x:c r="BX102" s="6" t="str">
        <x:v>17556.75</x:v>
      </x:c>
      <x:c r="BY102" s="9" t="str">
        <x:v>15.986216634433848</x:v>
      </x:c>
      <x:c r="BZ102" s="9" t="str">
        <x:v>0.27</x:v>
      </x:c>
      <x:c r="CA102" s="6" t="str">
        <x:v>17532.77067504835</x:v>
      </x:c>
      <x:c r="CB102" s="6" t="str">
        <x:v>23.979324951651506</x:v>
      </x:c>
      <x:c r="CC102" s="9" t="str">
        <x:v>1.500000000000046</x:v>
      </x:c>
      <x:c r="CD102" s="6" t="str">
        <x:v>17604.708649903303</x:v>
      </x:c>
      <x:c r="CE102" s="6" t="str">
        <x:v>47.95864990330301</x:v>
      </x:c>
      <x:c r="CF102" s="6" t="str">
        <x:v>Fixed 2.00R target</x:v>
      </x:c>
      <x:c r="CG102" s="9" t="str">
        <x:v>0.03023437905202864</x:v>
      </x:c>
      <x:c r="CH102" s="9" t="str">
        <x:v>-1.0</x:v>
      </x:c>
      <x:c r="CI102" s="9" t="str">
        <x:v>-1.0302343790520287</x:v>
      </x:c>
      <x:c r="CJ102" s="6" t="str">
        <x:v>Loss</x:v>
      </x:c>
      <x:c r="CK102" s="9" t="str">
        <x:v>0.33362073436721257</x:v>
      </x:c>
      <x:c r="CL102" s="9" t="str">
        <x:v>1.1989495141321702</x:v>
      </x:c>
      <x:c r="CM102" s="7" t="str">
        <x:v>2024-05-03 14:45:00-05:00</x:v>
      </x:c>
      <x:c r="CN102" s="6" t="str">
        <x:v>17532.77067504835</x:v>
      </x:c>
      <x:c r="CO102" s="6" t="str">
        <x:v>STOP</x:v>
      </x:c>
      <x:c r="CP102" s="6" t="str">
        <x:v>F::Long::Same-bar Setup+BOS::Penetration + same-bar reclaim</x:v>
      </x:c>
    </x:row>
    <x:row r="103" ht="18" customHeight="1">
      <x:c r="A103" s="6" t="str">
        <x:v>A0102</x:v>
      </x:c>
      <x:c r="B103" s="6" t="str">
        <x:v>2024-05-06</x:v>
      </x:c>
      <x:c r="C103" s="6" t="str">
        <x:v>2024</x:v>
      </x:c>
      <x:c r="D103" s="6" t="str">
        <x:v>2024-Q2</x:v>
      </x:c>
      <x:c r="E103" s="6" t="str">
        <x:v>First 50%</x:v>
      </x:c>
      <x:c r="F103" s="6" t="str">
        <x:v>Long</x:v>
      </x:c>
      <x:c r="G103" s="6" t="str">
        <x:v>Long</x:v>
      </x:c>
      <x:c r="H103" s="6" t="str">
        <x:v>Morning</x:v>
      </x:c>
      <x:c r="I103" s="6" t="str">
        <x:v>Opening</x:v>
      </x:c>
      <x:c r="J103" s="6" t="str">
        <x:v>Bull</x:v>
      </x:c>
      <x:c r="K103" s="6" t="str">
        <x:v>Bull</x:v>
      </x:c>
      <x:c r="L103" s="6" t="str">
        <x:v>HIGH</x:v>
      </x:c>
      <x:c r="M103" s="7" t="str">
        <x:v>2024-05-06 10:05:00-05:00</x:v>
      </x:c>
      <x:c r="N103" s="6" t="str">
        <x:v>100.0</x:v>
      </x:c>
      <x:c r="O103" s="6" t="str">
        <x:v>95+</x:v>
      </x:c>
      <x:c r="P103" s="6" t="str">
        <x:v>Matching liquidity sweep only</x:v>
      </x:c>
      <x:c r="Q103" s="6" t="str">
        <x:v>Recent bull structure</x:v>
      </x:c>
      <x:c r="R103" s="6" t="str">
        <x:v>False</x:v>
      </x:c>
      <x:c r="S103" s="6" t="str">
        <x:v>True</x:v>
      </x:c>
      <x:c r="T103" s="6" t="str">
        <x:v>Recent SSL</x:v>
      </x:c>
      <x:c r="U103" s="6" t="str">
        <x:v>SSL</x:v>
      </x:c>
      <x:c r="V103" s="6" t="str">
        <x:v>Swing low / sell-side</x:v>
      </x:c>
      <x:c r="W103" s="6" t="str">
        <x:v>[17619.25]</x:v>
      </x:c>
      <x:c r="X103" s="8" t="str">
        <x:v>1</x:v>
      </x:c>
      <x:c r="Y103" s="8" t="str">
        <x:v>0.0</x:v>
      </x:c>
      <x:c r="Z103" s="6" t="str">
        <x:v>Sweep below CRT reference</x:v>
      </x:c>
      <x:c r="AA103" s="6" t="str">
        <x:v>17657.25</x:v>
      </x:c>
      <x:c r="AB103" s="9" t="str">
        <x:v>-1.2405533293704345</x:v>
      </x:c>
      <x:c r="AC103" s="9" t="str">
        <x:v>0.9988870963761941</x:v>
      </x:c>
      <x:c r="AD103" s="9" t="str">
        <x:v>1.2566644115700507</x:v>
      </x:c>
      <x:c r="AE103" s="6" t="str">
        <x:v>With trade</x:v>
      </x:c>
      <x:c r="AF103" s="7" t="str">
        <x:v>2024-05-06 10:40:00-05:00</x:v>
      </x:c>
      <x:c r="AG103" s="6" t="str">
        <x:v>Long</x:v>
      </x:c>
      <x:c r="AH103" s="6" t="str">
        <x:v>17651.25</x:v>
      </x:c>
      <x:c r="AI103" s="8" t="str">
        <x:v>7</x:v>
      </x:c>
      <x:c r="AJ103" s="6" t="str">
        <x:v>False</x:v>
      </x:c>
      <x:c r="AK103" s="6" t="str">
        <x:v>Delayed BOS</x:v>
      </x:c>
      <x:c r="AL103" s="9" t="str">
        <x:v>0.48426898430438053</x:v>
      </x:c>
      <x:c r="AM103" s="9" t="str">
        <x:v>0.01729532086801359</x:v>
      </x:c>
      <x:c r="AN103" s="9" t="str">
        <x:v>0.5015643051723941</x:v>
      </x:c>
      <x:c r="AO103" s="9" t="str">
        <x:v>0.6918128347205437</x:v>
      </x:c>
      <x:c r="AP103" s="10" t="str">
        <x:v>0.725</x:v>
      </x:c>
      <x:c r="AQ103" s="6" t="str">
        <x:v>0.175</x:v>
      </x:c>
      <x:c r="AR103" s="6" t="str">
        <x:v>0.1</x:v>
      </x:c>
      <x:c r="AS103" s="6" t="str">
        <x:v>With trade</x:v>
      </x:c>
      <x:c r="AT103" s="6" t="str">
        <x:v>0.62053385064951</x:v>
      </x:c>
      <x:c r="AU103" s="7" t="str">
        <x:v>2024-05-06 10:45:00-05:00</x:v>
      </x:c>
      <x:c r="AV103" s="8" t="str">
        <x:v>1</x:v>
      </x:c>
      <x:c r="AW103" s="6" t="str">
        <x:v>Immediate retest (1 bar)</x:v>
      </x:c>
      <x:c r="AX103" s="6" t="str">
        <x:v>17649.75</x:v>
      </x:c>
      <x:c r="AY103" s="6" t="str">
        <x:v>1.5</x:v>
      </x:c>
      <x:c r="AZ103" s="9" t="str">
        <x:v>0.10504616974982661</x:v>
      </x:c>
      <x:c r="BA103" s="9" t="str">
        <x:v>0.28012311933287093</x:v>
      </x:c>
      <x:c r="BB103" s="9" t="str">
        <x:v>0.8403693579986129</x:v>
      </x:c>
      <x:c r="BC103" s="9" t="str">
        <x:v>0.24510772941626208</x:v>
      </x:c>
      <x:c r="BD103" s="6" t="str">
        <x:v>0.5416666666666666</x:v>
      </x:c>
      <x:c r="BE103" s="6" t="str">
        <x:v>0.16666666666666666</x:v>
      </x:c>
      <x:c r="BF103" s="9" t="str">
        <x:v>0.14006155966643546</x:v>
      </x:c>
      <x:c r="BG103" s="9" t="str">
        <x:v>0.4552000689159153</x:v>
      </x:c>
      <x:c r="BH103" s="6" t="str">
        <x:v>With trade</x:v>
      </x:c>
      <x:c r="BI103" s="6" t="str">
        <x:v>Penetration + same-bar reclaim</x:v>
      </x:c>
      <x:c r="BJ103" s="6" t="str">
        <x:v>False</x:v>
      </x:c>
      <x:c r="BK103" s="10" t="str">
        <x:v>True</x:v>
      </x:c>
      <x:c r="BL103" s="6" t="str">
        <x:v>True</x:v>
      </x:c>
      <x:c r="BM103" s="7" t="str">
        <x:v>2024-05-06 10:55:00-05:00</x:v>
      </x:c>
      <x:c r="BN103" s="8" t="str">
        <x:v>2</x:v>
      </x:c>
      <x:c r="BO103" s="6" t="str">
        <x:v>Delayed confirmation (2+ bars)</x:v>
      </x:c>
      <x:c r="BP103" s="9" t="str">
        <x:v>0.01883004263927222</x:v>
      </x:c>
      <x:c r="BQ103" s="9" t="str">
        <x:v>0.5272411938996221</x:v>
      </x:c>
      <x:c r="BR103" s="10" t="str">
        <x:v>0.03571428571428571</x:v>
      </x:c>
      <x:c r="BS103" s="9" t="str">
        <x:v>0.01883004263927222</x:v>
      </x:c>
      <x:c r="BT103" s="9" t="str">
        <x:v>-0.2824506395890833</x:v>
      </x:c>
      <x:c r="BU103" s="9" t="str">
        <x:v>0.16947038375344997</x:v>
      </x:c>
      <x:c r="BV103" s="6" t="str">
        <x:v>With trade</x:v>
      </x:c>
      <x:c r="BW103" s="7" t="str">
        <x:v>2024-05-06 10:55:00-05:00</x:v>
      </x:c>
      <x:c r="BX103" s="6" t="str">
        <x:v>17651.5</x:v>
      </x:c>
      <x:c r="BY103" s="9" t="str">
        <x:v>13.27665607504235</x:v>
      </x:c>
      <x:c r="BZ103" s="9" t="str">
        <x:v>0.76</x:v>
      </x:c>
      <x:c r="CA103" s="6" t="str">
        <x:v>17631.58501588744</x:v>
      </x:c>
      <x:c r="CB103" s="6" t="str">
        <x:v>19.914984112561797</x:v>
      </x:c>
      <x:c r="CC103" s="9" t="str">
        <x:v>1.4999999999998699</x:v>
      </x:c>
      <x:c r="CD103" s="6" t="str">
        <x:v>17691.329968225127</x:v>
      </x:c>
      <x:c r="CE103" s="6" t="str">
        <x:v>39.82996822512723</x:v>
      </x:c>
      <x:c r="CF103" s="6" t="str">
        <x:v>Fixed 2.00R target</x:v>
      </x:c>
      <x:c r="CG103" s="9" t="str">
        <x:v>0.03640474910259612</x:v>
      </x:c>
      <x:c r="CH103" s="9" t="str">
        <x:v>-1.0</x:v>
      </x:c>
      <x:c r="CI103" s="9" t="str">
        <x:v>-1.036404749102596</x:v>
      </x:c>
      <x:c r="CJ103" s="6" t="str">
        <x:v>Loss</x:v>
      </x:c>
      <x:c r="CK103" s="9" t="str">
        <x:v>0.05021344703806361</x:v>
      </x:c>
      <x:c r="CL103" s="9" t="str">
        <x:v>1.04192902603982</x:v>
      </x:c>
      <x:c r="CM103" s="7" t="str">
        <x:v>2024-05-06 11:10:00-05:00</x:v>
      </x:c>
      <x:c r="CN103" s="6" t="str">
        <x:v>17631.58501588744</x:v>
      </x:c>
      <x:c r="CO103" s="6" t="str">
        <x:v>STOP</x:v>
      </x:c>
      <x:c r="CP103" s="6" t="str">
        <x:v>F::Long::Delayed BOS::Penetration + same-bar reclaim</x:v>
      </x:c>
    </x:row>
    <x:row r="104" ht="18" customHeight="1">
      <x:c r="A104" s="6" t="str">
        <x:v>A0103</x:v>
      </x:c>
      <x:c r="B104" s="6" t="str">
        <x:v>2024-05-06</x:v>
      </x:c>
      <x:c r="C104" s="6" t="str">
        <x:v>2024</x:v>
      </x:c>
      <x:c r="D104" s="6" t="str">
        <x:v>2024-Q2</x:v>
      </x:c>
      <x:c r="E104" s="6" t="str">
        <x:v>First 50%</x:v>
      </x:c>
      <x:c r="F104" s="6" t="str">
        <x:v>Long</x:v>
      </x:c>
      <x:c r="G104" s="6" t="str">
        <x:v>Long</x:v>
      </x:c>
      <x:c r="H104" s="6" t="str">
        <x:v>Afternoon</x:v>
      </x:c>
      <x:c r="I104" s="6" t="str">
        <x:v>Afternoon</x:v>
      </x:c>
      <x:c r="J104" s="6" t="str">
        <x:v>Bull</x:v>
      </x:c>
      <x:c r="K104" s="6" t="str">
        <x:v>Bull</x:v>
      </x:c>
      <x:c r="L104" s="6" t="str">
        <x:v>HIGH</x:v>
      </x:c>
      <x:c r="M104" s="7" t="str">
        <x:v>2024-05-06 14:45:00-05:00</x:v>
      </x:c>
      <x:c r="N104" s="6" t="str">
        <x:v>75.0</x:v>
      </x:c>
      <x:c r="O104" s="6" t="str">
        <x:v>75-79</x:v>
      </x:c>
      <x:c r="P104" s="6" t="str">
        <x:v>Matching BOS only</x:v>
      </x:c>
      <x:c r="Q104" s="6" t="str">
        <x:v>Bull BOS</x:v>
      </x:c>
      <x:c r="R104" s="6" t="str">
        <x:v>True</x:v>
      </x:c>
      <x:c r="S104" s="6" t="str">
        <x:v>False</x:v>
      </x:c>
      <x:c r="T104" s="6" t="str">
        <x:v>No recent matching sweep</x:v>
      </x:c>
      <x:c r="U104" s="6" t="str">
        <x:v>None</x:v>
      </x:c>
      <x:c r="V104" s="6" t="str">
        <x:v>None</x:v>
      </x:c>
      <x:c r="W104" s="6" t="str">
        <x:v>[]</x:v>
      </x:c>
      <x:c r="X104" s="8" t="str">
        <x:v>0</x:v>
      </x:c>
      <x:c r="Y104" s="8" t="str"/>
      <x:c r="Z104" s="6" t="str">
        <x:v>Sweep below CRT reference</x:v>
      </x:c>
      <x:c r="AA104" s="6" t="str">
        <x:v>17693.25</x:v>
      </x:c>
      <x:c r="AB104" s="9" t="str">
        <x:v>0.7390295863608509</x:v>
      </x:c>
      <x:c r="AC104" s="9" t="str">
        <x:v>0.7390295863608509</x:v>
      </x:c>
      <x:c r="AD104" s="9" t="str">
        <x:v>1.7244023681753187</x:v>
      </x:c>
      <x:c r="AE104" s="6" t="str">
        <x:v>With trade</x:v>
      </x:c>
      <x:c r="AF104" s="7" t="str">
        <x:v>2024-05-06 14:45:00-05:00</x:v>
      </x:c>
      <x:c r="AG104" s="6" t="str">
        <x:v>Long</x:v>
      </x:c>
      <x:c r="AH104" s="6" t="str">
        <x:v>17693.25</x:v>
      </x:c>
      <x:c r="AI104" s="8" t="str">
        <x:v>0</x:v>
      </x:c>
      <x:c r="AJ104" s="6" t="str">
        <x:v>True</x:v>
      </x:c>
      <x:c r="AK104" s="6" t="str">
        <x:v>Same-bar Setup+BOS</x:v>
      </x:c>
      <x:c r="AL104" s="9" t="str">
        <x:v>0.7595581859819857</x:v>
      </x:c>
      <x:c r="AM104" s="9" t="str">
        <x:v>0.7390295863608509</x:v>
      </x:c>
      <x:c r="AN104" s="9" t="str">
        <x:v>0.7390295863608509</x:v>
      </x:c>
      <x:c r="AO104" s="9" t="str">
        <x:v>1.7244023681753187</x:v>
      </x:c>
      <x:c r="AP104" s="10" t="str">
        <x:v>0.42857142857142855</x:v>
      </x:c>
      <x:c r="AQ104" s="6" t="str">
        <x:v>0.2261904761904762</x:v>
      </x:c>
      <x:c r="AR104" s="6" t="str">
        <x:v>0.34523809523809523</x:v>
      </x:c>
      <x:c r="AS104" s="6" t="str">
        <x:v>With trade</x:v>
      </x:c>
      <x:c r="AT104" s="6" t="str">
        <x:v>2.16007634537986</x:v>
      </x:c>
      <x:c r="AU104" s="7" t="str">
        <x:v>2024-05-06 14:50:00-05:00</x:v>
      </x:c>
      <x:c r="AV104" s="8" t="str">
        <x:v>1</x:v>
      </x:c>
      <x:c r="AW104" s="6" t="str">
        <x:v>Immediate retest (1 bar)</x:v>
      </x:c>
      <x:c r="AX104" s="6" t="str">
        <x:v>17693.0</x:v>
      </x:c>
      <x:c r="AY104" s="6" t="str">
        <x:v>0.25</x:v>
      </x:c>
      <x:c r="AZ104" s="9" t="str">
        <x:v>0.01917117861805409</x:v>
      </x:c>
      <x:c r="BA104" s="9" t="str">
        <x:v>1.7829196114790304</x:v>
      </x:c>
      <x:c r="BB104" s="9" t="str">
        <x:v>1.859604325951247</x:v>
      </x:c>
      <x:c r="BC104" s="9" t="str">
        <x:v>1.1310995384651914</x:v>
      </x:c>
      <x:c r="BD104" s="6" t="str">
        <x:v>0.030927835051546393</x:v>
      </x:c>
      <x:c r="BE104" s="6" t="str">
        <x:v>0.36082474226804123</x:v>
      </x:c>
      <x:c r="BF104" s="9" t="str">
        <x:v>0.6709912516318932</x:v>
      </x:c>
      <x:c r="BG104" s="9" t="str">
        <x:v>0.05751353585416227</x:v>
      </x:c>
      <x:c r="BH104" s="6" t="str">
        <x:v>With trade</x:v>
      </x:c>
      <x:c r="BI104" s="6" t="str">
        <x:v>Penetration + same-bar reclaim</x:v>
      </x:c>
      <x:c r="BJ104" s="6" t="str">
        <x:v>False</x:v>
      </x:c>
      <x:c r="BK104" s="10" t="str">
        <x:v>True</x:v>
      </x:c>
      <x:c r="BL104" s="6" t="str">
        <x:v>True</x:v>
      </x:c>
      <x:c r="BM104" s="7" t="str">
        <x:v>2024-05-06 14:55:00-05:00</x:v>
      </x:c>
      <x:c r="BN104" s="8" t="str">
        <x:v>1</x:v>
      </x:c>
      <x:c r="BO104" s="6" t="str">
        <x:v>Immediate confirmation (1 bar)</x:v>
      </x:c>
      <x:c r="BP104" s="9" t="str">
        <x:v>1.5055666784796642</x:v>
      </x:c>
      <x:c r="BQ104" s="9" t="str">
        <x:v>1.8461115224214928</x:v>
      </x:c>
      <x:c r="BR104" s="10" t="str">
        <x:v>0.8155339805825242</x:v>
      </x:c>
      <x:c r="BS104" s="9" t="str">
        <x:v>3.1724440725107206</x:v>
      </x:c>
      <x:c r="BT104" s="9" t="str">
        <x:v>1.5055666784796642</x:v>
      </x:c>
      <x:c r="BU104" s="9" t="str">
        <x:v>0.2688511925856543</x:v>
      </x:c>
      <x:c r="BV104" s="6" t="str">
        <x:v>With trade</x:v>
      </x:c>
      <x:c r="BW104" s="7" t="str">
        <x:v>2024-05-06 14:55:00-05:00</x:v>
      </x:c>
      <x:c r="BX104" s="6" t="str">
        <x:v>17737.5</x:v>
      </x:c>
      <x:c r="BY104" s="9" t="str">
        <x:v>13.948236434938906</x:v>
      </x:c>
      <x:c r="BZ104" s="9" t="str">
        <x:v>0.71</x:v>
      </x:c>
      <x:c r="CA104" s="6" t="str">
        <x:v>17716.577645347592</x:v>
      </x:c>
      <x:c r="CB104" s="6" t="str">
        <x:v>20.922354652408103</x:v>
      </x:c>
      <x:c r="CC104" s="9" t="str">
        <x:v>1.4999999999999816</x:v>
      </x:c>
      <x:c r="CD104" s="6" t="str">
        <x:v>17779.344709304816</x:v>
      </x:c>
      <x:c r="CE104" s="6" t="str">
        <x:v>41.844709304816206</x:v>
      </x:c>
      <x:c r="CF104" s="6" t="str">
        <x:v>Fixed 2.00R target</x:v>
      </x:c>
      <x:c r="CG104" s="9" t="str">
        <x:v>0.03465193148881809</x:v>
      </x:c>
      <x:c r="CH104" s="9" t="str">
        <x:v>-0.5616002689567001</x:v>
      </x:c>
      <x:c r="CI104" s="9" t="str">
        <x:v>-0.5962522004455182</x:v>
      </x:c>
      <x:c r="CJ104" s="6" t="str">
        <x:v>Loss</x:v>
      </x:c>
      <x:c r="CK104" s="9" t="str">
        <x:v>0.19118307028313428</x:v>
      </x:c>
      <x:c r="CL104" s="9" t="str">
        <x:v>0.8603238162741043</x:v>
      </x:c>
      <x:c r="CM104" s="7" t="str">
        <x:v>2024-05-06 15:55:00-05:00</x:v>
      </x:c>
      <x:c r="CN104" s="6" t="str">
        <x:v>17725.75</x:v>
      </x:c>
      <x:c r="CO104" s="6" t="str">
        <x:v>TIME</x:v>
      </x:c>
      <x:c r="CP104" s="6" t="str">
        <x:v>F::Long::Same-bar Setup+BOS::Penetration + same-bar reclaim</x:v>
      </x:c>
    </x:row>
    <x:row r="105" ht="18" customHeight="1">
      <x:c r="A105" s="6" t="str">
        <x:v>A0104</x:v>
      </x:c>
      <x:c r="B105" s="6" t="str">
        <x:v>2024-05-07</x:v>
      </x:c>
      <x:c r="C105" s="6" t="str">
        <x:v>2024</x:v>
      </x:c>
      <x:c r="D105" s="6" t="str">
        <x:v>2024-Q2</x:v>
      </x:c>
      <x:c r="E105" s="6" t="str">
        <x:v>First 50%</x:v>
      </x:c>
      <x:c r="F105" s="6" t="str">
        <x:v>Short</x:v>
      </x:c>
      <x:c r="G105" s="6" t="str">
        <x:v>Short</x:v>
      </x:c>
      <x:c r="H105" s="6" t="str">
        <x:v>Overnight</x:v>
      </x:c>
      <x:c r="I105" s="6" t="str">
        <x:v>Overnight</x:v>
      </x:c>
      <x:c r="J105" s="6" t="str">
        <x:v>Bull</x:v>
      </x:c>
      <x:c r="K105" s="6" t="str">
        <x:v>Bull</x:v>
      </x:c>
      <x:c r="L105" s="6" t="str">
        <x:v>HIGH</x:v>
      </x:c>
      <x:c r="M105" s="7" t="str">
        <x:v>2024-05-07 02:20:00-05:00</x:v>
      </x:c>
      <x:c r="N105" s="6" t="str">
        <x:v>90.0</x:v>
      </x:c>
      <x:c r="O105" s="6" t="str">
        <x:v>90-94</x:v>
      </x:c>
      <x:c r="P105" s="6" t="str">
        <x:v>Matching BOS only</x:v>
      </x:c>
      <x:c r="Q105" s="6" t="str">
        <x:v>Bear CHoCH</x:v>
      </x:c>
      <x:c r="R105" s="6" t="str">
        <x:v>True</x:v>
      </x:c>
      <x:c r="S105" s="6" t="str">
        <x:v>False</x:v>
      </x:c>
      <x:c r="T105" s="6" t="str">
        <x:v>Recent BSL</x:v>
      </x:c>
      <x:c r="U105" s="6" t="str">
        <x:v>BSL</x:v>
      </x:c>
      <x:c r="V105" s="6" t="str">
        <x:v>Equal high / buy-side</x:v>
      </x:c>
      <x:c r="W105" s="6" t="str">
        <x:v>[17728.5]</x:v>
      </x:c>
      <x:c r="X105" s="8" t="str">
        <x:v>1</x:v>
      </x:c>
      <x:c r="Y105" s="8" t="str">
        <x:v>5.0</x:v>
      </x:c>
      <x:c r="Z105" s="6" t="str">
        <x:v>None</x:v>
      </x:c>
      <x:c r="AA105" s="6" t="str">
        <x:v>17719.0</x:v>
      </x:c>
      <x:c r="AB105" s="9" t="str">
        <x:v>0.14019943102784851</x:v>
      </x:c>
      <x:c r="AC105" s="9" t="str">
        <x:v>1.682393172334182</x:v>
      </x:c>
      <x:c r="AD105" s="9" t="str">
        <x:v>2.1029914654177277</x:v>
      </x:c>
      <x:c r="AE105" s="6" t="str">
        <x:v>With trade</x:v>
      </x:c>
      <x:c r="AF105" s="7" t="str">
        <x:v>2024-05-07 02:20:00-05:00</x:v>
      </x:c>
      <x:c r="AG105" s="6" t="str">
        <x:v>Short</x:v>
      </x:c>
      <x:c r="AH105" s="6" t="str">
        <x:v>17719.0</x:v>
      </x:c>
      <x:c r="AI105" s="8" t="str">
        <x:v>0</x:v>
      </x:c>
      <x:c r="AJ105" s="6" t="str">
        <x:v>True</x:v>
      </x:c>
      <x:c r="AK105" s="6" t="str">
        <x:v>Same-bar Setup+BOS</x:v>
      </x:c>
      <x:c r="AL105" s="9" t="str">
        <x:v>1.7291263160101316</x:v>
      </x:c>
      <x:c r="AM105" s="9" t="str">
        <x:v>0.14019943102784851</x:v>
      </x:c>
      <x:c r="AN105" s="9" t="str">
        <x:v>1.682393172334182</x:v>
      </x:c>
      <x:c r="AO105" s="9" t="str">
        <x:v>2.1029914654177277</x:v>
      </x:c>
      <x:c r="AP105" s="10" t="str">
        <x:v>0.8</x:v>
      </x:c>
      <x:c r="AQ105" s="6" t="str">
        <x:v>0.022222222222222223</x:v>
      </x:c>
      <x:c r="AR105" s="6" t="str">
        <x:v>0.17777777777777778</x:v>
      </x:c>
      <x:c r="AS105" s="6" t="str">
        <x:v>With trade</x:v>
      </x:c>
      <x:c r="AT105" s="6" t="str">
        <x:v>2.3253370688145685</x:v>
      </x:c>
      <x:c r="AU105" s="7" t="str">
        <x:v>2024-05-07 02:25:00-05:00</x:v>
      </x:c>
      <x:c r="AV105" s="8" t="str">
        <x:v>1</x:v>
      </x:c>
      <x:c r="AW105" s="6" t="str">
        <x:v>Immediate retest (1 bar)</x:v>
      </x:c>
      <x:c r="AX105" s="6" t="str">
        <x:v>17726.5</x:v>
      </x:c>
      <x:c r="AY105" s="6" t="str">
        <x:v>7.5</x:v>
      </x:c>
      <x:c r="AZ105" s="9" t="str">
        <x:v>1.303638654735046</x:v>
      </x:c>
      <x:c r="BA105" s="9" t="str">
        <x:v>0.08690924364900307</x:v>
      </x:c>
      <x:c r="BB105" s="9" t="str">
        <x:v>1.9120033602780675</x:v>
      </x:c>
      <x:c r="BC105" s="9" t="str">
        <x:v>0.1303638654735046</x:v>
      </x:c>
      <x:c r="BD105" s="6" t="str">
        <x:v>0.7272727272727273</x:v>
      </x:c>
      <x:c r="BE105" s="6" t="str">
        <x:v>0.20454545454545456</x:v>
      </x:c>
      <x:c r="BF105" s="9" t="str">
        <x:v>1.3905478983840491</x:v>
      </x:c>
      <x:c r="BG105" s="9" t="str">
        <x:v>0.3910915964205138</x:v>
      </x:c>
      <x:c r="BH105" s="6" t="str">
        <x:v>Against trade</x:v>
      </x:c>
      <x:c r="BI105" s="6" t="str">
        <x:v>Penetration + same-bar reclaim</x:v>
      </x:c>
      <x:c r="BJ105" s="6" t="str">
        <x:v>False</x:v>
      </x:c>
      <x:c r="BK105" s="10" t="str">
        <x:v>True</x:v>
      </x:c>
      <x:c r="BL105" s="6" t="str">
        <x:v>True</x:v>
      </x:c>
      <x:c r="BM105" s="7" t="str">
        <x:v>2024-05-07 02:30:00-05:00</x:v>
      </x:c>
      <x:c r="BN105" s="8" t="str">
        <x:v>1</x:v>
      </x:c>
      <x:c r="BO105" s="6" t="str">
        <x:v>Immediate confirmation (1 bar)</x:v>
      </x:c>
      <x:c r="BP105" s="9" t="str">
        <x:v>0.8897551376776575</x:v>
      </x:c>
      <x:c r="BQ105" s="9" t="str">
        <x:v>1.9008405214022683</x:v>
      </x:c>
      <x:c r="BR105" s="10" t="str">
        <x:v>0.46808510638297873</x:v>
      </x:c>
      <x:c r="BS105" s="9" t="str">
        <x:v>0.849311722328673</x:v>
      </x:c>
      <x:c r="BT105" s="9" t="str">
        <x:v>0.7684248916307042</x:v>
      </x:c>
      <x:c r="BU105" s="9" t="str">
        <x:v>0.849311722328673</x:v>
      </x:c>
      <x:c r="BV105" s="6" t="str">
        <x:v>With trade</x:v>
      </x:c>
      <x:c r="BW105" s="7" t="str">
        <x:v>2024-05-07 02:30:00-05:00</x:v>
      </x:c>
      <x:c r="BX105" s="6" t="str">
        <x:v>17713.75</x:v>
      </x:c>
      <x:c r="BY105" s="9" t="str">
        <x:v>6.181475966922208</x:v>
      </x:c>
      <x:c r="BZ105" s="9" t="str">
        <x:v>0.99</x:v>
      </x:c>
      <x:c r="CA105" s="6" t="str">
        <x:v>17723.022213950382</x:v>
      </x:c>
      <x:c r="CB105" s="6" t="str">
        <x:v>9.272213950382138</x:v>
      </x:c>
      <x:c r="CC105" s="9" t="str">
        <x:v>1.4999999999998102</x:v>
      </x:c>
      <x:c r="CD105" s="6" t="str">
        <x:v>17695.205572099232</x:v>
      </x:c>
      <x:c r="CE105" s="6" t="str">
        <x:v>18.544427900767914</x:v>
      </x:c>
      <x:c r="CF105" s="6" t="str">
        <x:v>Fixed 2.00R target</x:v>
      </x:c>
      <x:c r="CG105" s="9" t="str">
        <x:v>0.07819060300804646</x:v>
      </x:c>
      <x:c r="CH105" s="9" t="str">
        <x:v>-0.29658504589255247</x:v>
      </x:c>
      <x:c r="CI105" s="9" t="str">
        <x:v>-0.37477564890059895</x:v>
      </x:c>
      <x:c r="CJ105" s="6" t="str">
        <x:v>Loss</x:v>
      </x:c>
      <x:c r="CK105" s="9" t="str">
        <x:v>1.9952084905501513</x:v>
      </x:c>
      <x:c r="CL105" s="9" t="str">
        <x:v>0.5392455379865273</x:v>
      </x:c>
      <x:c r="CM105" s="7" t="str">
        <x:v>2024-05-07 03:30:00-05:00</x:v>
      </x:c>
      <x:c r="CN105" s="6" t="str">
        <x:v>17716.5</x:v>
      </x:c>
      <x:c r="CO105" s="6" t="str">
        <x:v>TIME</x:v>
      </x:c>
      <x:c r="CP105" s="6" t="str">
        <x:v>F::Short::Same-bar Setup+BOS::Penetration + same-bar reclaim</x:v>
      </x:c>
    </x:row>
    <x:row r="106" ht="18" customHeight="1">
      <x:c r="A106" s="6" t="str">
        <x:v>A0105</x:v>
      </x:c>
      <x:c r="B106" s="6" t="str">
        <x:v>2024-05-07</x:v>
      </x:c>
      <x:c r="C106" s="6" t="str">
        <x:v>2024</x:v>
      </x:c>
      <x:c r="D106" s="6" t="str">
        <x:v>2024-Q2</x:v>
      </x:c>
      <x:c r="E106" s="6" t="str">
        <x:v>First 50%</x:v>
      </x:c>
      <x:c r="F106" s="6" t="str">
        <x:v>Long</x:v>
      </x:c>
      <x:c r="G106" s="6" t="str">
        <x:v>Long</x:v>
      </x:c>
      <x:c r="H106" s="6" t="str">
        <x:v>Premarket</x:v>
      </x:c>
      <x:c r="I106" s="6" t="str">
        <x:v>Premarket</x:v>
      </x:c>
      <x:c r="J106" s="6" t="str">
        <x:v>Bull</x:v>
      </x:c>
      <x:c r="K106" s="6" t="str">
        <x:v>Bull</x:v>
      </x:c>
      <x:c r="L106" s="6" t="str">
        <x:v>HIGH</x:v>
      </x:c>
      <x:c r="M106" s="7" t="str">
        <x:v>2024-05-07 07:50:00-05:00</x:v>
      </x:c>
      <x:c r="N106" s="6" t="str">
        <x:v>75.0</x:v>
      </x:c>
      <x:c r="O106" s="6" t="str">
        <x:v>75-79</x:v>
      </x:c>
      <x:c r="P106" s="6" t="str">
        <x:v>Matching BOS only</x:v>
      </x:c>
      <x:c r="Q106" s="6" t="str">
        <x:v>Bull CHoCH</x:v>
      </x:c>
      <x:c r="R106" s="6" t="str">
        <x:v>True</x:v>
      </x:c>
      <x:c r="S106" s="6" t="str">
        <x:v>False</x:v>
      </x:c>
      <x:c r="T106" s="6" t="str">
        <x:v>Recent SSL</x:v>
      </x:c>
      <x:c r="U106" s="6" t="str">
        <x:v>SSL</x:v>
      </x:c>
      <x:c r="V106" s="6" t="str">
        <x:v>Swing low / sell-side</x:v>
      </x:c>
      <x:c r="W106" s="6" t="str">
        <x:v>[17695.25]</x:v>
      </x:c>
      <x:c r="X106" s="8" t="str">
        <x:v>1</x:v>
      </x:c>
      <x:c r="Y106" s="8" t="str">
        <x:v>15.0</x:v>
      </x:c>
      <x:c r="Z106" s="6" t="str">
        <x:v>Sweep below CRT reference</x:v>
      </x:c>
      <x:c r="AA106" s="6" t="str">
        <x:v>17725.25</x:v>
      </x:c>
      <x:c r="AB106" s="9" t="str">
        <x:v>0.09553123632102987</x:v>
      </x:c>
      <x:c r="AC106" s="9" t="str">
        <x:v>0.28659370896308967</x:v>
      </x:c>
      <x:c r="AD106" s="9" t="str">
        <x:v>1.432968544815448</x:v>
      </x:c>
      <x:c r="AE106" s="6" t="str">
        <x:v>With trade</x:v>
      </x:c>
      <x:c r="AF106" s="7" t="str">
        <x:v>2024-05-07 07:50:00-05:00</x:v>
      </x:c>
      <x:c r="AG106" s="6" t="str">
        <x:v>Long</x:v>
      </x:c>
      <x:c r="AH106" s="6" t="str">
        <x:v>17725.25</x:v>
      </x:c>
      <x:c r="AI106" s="8" t="str">
        <x:v>0</x:v>
      </x:c>
      <x:c r="AJ106" s="6" t="str">
        <x:v>True</x:v>
      </x:c>
      <x:c r="AK106" s="6" t="str">
        <x:v>Same-bar Setup+BOS</x:v>
      </x:c>
      <x:c r="AL106" s="9" t="str">
        <x:v>0.25474996352274637</x:v>
      </x:c>
      <x:c r="AM106" s="9" t="str">
        <x:v>0.09553123632102987</x:v>
      </x:c>
      <x:c r="AN106" s="9" t="str">
        <x:v>0.28659370896308967</x:v>
      </x:c>
      <x:c r="AO106" s="9" t="str">
        <x:v>1.432968544815448</x:v>
      </x:c>
      <x:c r="AP106" s="10" t="str">
        <x:v>0.2</x:v>
      </x:c>
      <x:c r="AQ106" s="6" t="str">
        <x:v>0.4</x:v>
      </x:c>
      <x:c r="AR106" s="6" t="str">
        <x:v>0.4</x:v>
      </x:c>
      <x:c r="AS106" s="6" t="str">
        <x:v>With trade</x:v>
      </x:c>
      <x:c r="AT106" s="6" t="str">
        <x:v>1.6973443866797806</x:v>
      </x:c>
      <x:c r="AU106" s="7" t="str">
        <x:v>2024-05-07 07:55:00-05:00</x:v>
      </x:c>
      <x:c r="AV106" s="8" t="str">
        <x:v>1</x:v>
      </x:c>
      <x:c r="AW106" s="6" t="str">
        <x:v>Immediate retest (1 bar)</x:v>
      </x:c>
      <x:c r="AX106" s="6" t="str">
        <x:v>17722.75</x:v>
      </x:c>
      <x:c r="AY106" s="6" t="str">
        <x:v>2.5</x:v>
      </x:c>
      <x:c r="AZ106" s="9" t="str">
        <x:v>0.3028707161793247</x:v>
      </x:c>
      <x:c r="BA106" s="9" t="str">
        <x:v>0.8783250769200417</x:v>
      </x:c>
      <x:c r="BB106" s="9" t="str">
        <x:v>1.6355018673683535</x:v>
      </x:c>
      <x:c r="BC106" s="9" t="str">
        <x:v>0.7874638620662443</x:v>
      </x:c>
      <x:c r="BD106" s="6" t="str">
        <x:v>0.2777777777777778</x:v>
      </x:c>
      <x:c r="BE106" s="6" t="str">
        <x:v>0.24074074074074073</x:v>
      </x:c>
      <x:c r="BF106" s="9" t="str">
        <x:v>0.39373193103312215</x:v>
      </x:c>
      <x:c r="BG106" s="9" t="str">
        <x:v>0.4543060742689871</x:v>
      </x:c>
      <x:c r="BH106" s="6" t="str">
        <x:v>With trade</x:v>
      </x:c>
      <x:c r="BI106" s="6" t="str">
        <x:v>Penetration + same-bar reclaim</x:v>
      </x:c>
      <x:c r="BJ106" s="6" t="str">
        <x:v>False</x:v>
      </x:c>
      <x:c r="BK106" s="10" t="str">
        <x:v>True</x:v>
      </x:c>
      <x:c r="BL106" s="6" t="str">
        <x:v>True</x:v>
      </x:c>
      <x:c r="BM106" s="7" t="str">
        <x:v>2024-05-07 08:00:00-05:00</x:v>
      </x:c>
      <x:c r="BN106" s="8" t="str">
        <x:v>1</x:v>
      </x:c>
      <x:c r="BO106" s="6" t="str">
        <x:v>Immediate confirmation (1 bar)</x:v>
      </x:c>
      <x:c r="BP106" s="9" t="str">
        <x:v>0.21340252980376495</x:v>
      </x:c>
      <x:c r="BQ106" s="9" t="str">
        <x:v>0.914582270587564</x:v>
      </x:c>
      <x:c r="BR106" s="10" t="str">
        <x:v>0.23333333333333334</x:v>
      </x:c>
      <x:c r="BS106" s="9" t="str">
        <x:v>1.097498724705077</x:v>
      </x:c>
      <x:c r="BT106" s="9" t="str">
        <x:v>0.21340252980376495</x:v>
      </x:c>
      <x:c r="BU106" s="9" t="str">
        <x:v>0.39631898392127773</x:v>
      </x:c>
      <x:c r="BV106" s="6" t="str">
        <x:v>With trade</x:v>
      </x:c>
      <x:c r="BW106" s="7" t="str">
        <x:v>2024-05-07 08:00:00-05:00</x:v>
      </x:c>
      <x:c r="BX106" s="6" t="str">
        <x:v>17734.25</x:v>
      </x:c>
      <x:c r="BY106" s="9" t="str">
        <x:v>8.200465109805487</x:v>
      </x:c>
      <x:c r="BZ106" s="9" t="str">
        <x:v>0.99</x:v>
      </x:c>
      <x:c r="CA106" s="6" t="str">
        <x:v>17721.94930233529</x:v>
      </x:c>
      <x:c r="CB106" s="6" t="str">
        <x:v>12.300697664708423</x:v>
      </x:c>
      <x:c r="CC106" s="9" t="str">
        <x:v>1.5000000000000235</x:v>
      </x:c>
      <x:c r="CD106" s="6" t="str">
        <x:v>17758.851395329417</x:v>
      </x:c>
      <x:c r="CE106" s="6" t="str">
        <x:v>24.601395329416846</x:v>
      </x:c>
      <x:c r="CF106" s="6" t="str">
        <x:v>Fixed 2.00R target</x:v>
      </x:c>
      <x:c r="CG106" s="9" t="str">
        <x:v>0.0589397463267532</x:v>
      </x:c>
      <x:c r="CH106" s="9" t="str">
        <x:v>2.0</x:v>
      </x:c>
      <x:c r="CI106" s="9" t="str">
        <x:v>1.9410602536732469</x:v>
      </x:c>
      <x:c r="CJ106" s="6" t="str">
        <x:v>Win</x:v>
      </x:c>
      <x:c r="CK106" s="9" t="str">
        <x:v>3.4144404768601855</x:v>
      </x:c>
      <x:c r="CL106" s="9" t="str">
        <x:v>0.3251848073200177</x:v>
      </x:c>
      <x:c r="CM106" s="7" t="str">
        <x:v>2024-05-07 08:30:00-05:00</x:v>
      </x:c>
      <x:c r="CN106" s="6" t="str">
        <x:v>17758.851395329417</x:v>
      </x:c>
      <x:c r="CO106" s="6" t="str">
        <x:v>TARGET</x:v>
      </x:c>
      <x:c r="CP106" s="6" t="str">
        <x:v>F::Long::Same-bar Setup+BOS::Penetration + same-bar reclaim</x:v>
      </x:c>
    </x:row>
    <x:row r="107" ht="18" customHeight="1">
      <x:c r="A107" s="6" t="str">
        <x:v>A0106</x:v>
      </x:c>
      <x:c r="B107" s="6" t="str">
        <x:v>2024-05-09</x:v>
      </x:c>
      <x:c r="C107" s="6" t="str">
        <x:v>2024</x:v>
      </x:c>
      <x:c r="D107" s="6" t="str">
        <x:v>2024-Q2</x:v>
      </x:c>
      <x:c r="E107" s="6" t="str">
        <x:v>First 50%</x:v>
      </x:c>
      <x:c r="F107" s="6" t="str">
        <x:v>Long</x:v>
      </x:c>
      <x:c r="G107" s="6" t="str">
        <x:v>Long</x:v>
      </x:c>
      <x:c r="H107" s="6" t="str">
        <x:v>Opening</x:v>
      </x:c>
      <x:c r="I107" s="6" t="str">
        <x:v>Opening</x:v>
      </x:c>
      <x:c r="J107" s="6" t="str">
        <x:v>Bull</x:v>
      </x:c>
      <x:c r="K107" s="6" t="str">
        <x:v>Bull</x:v>
      </x:c>
      <x:c r="L107" s="6" t="str">
        <x:v>HIGH</x:v>
      </x:c>
      <x:c r="M107" s="7" t="str">
        <x:v>2024-05-09 09:35:00-05:00</x:v>
      </x:c>
      <x:c r="N107" s="6" t="str">
        <x:v>100.0</x:v>
      </x:c>
      <x:c r="O107" s="6" t="str">
        <x:v>95+</x:v>
      </x:c>
      <x:c r="P107" s="6" t="str">
        <x:v>Matching BOS only</x:v>
      </x:c>
      <x:c r="Q107" s="6" t="str">
        <x:v>Bull CHoCH</x:v>
      </x:c>
      <x:c r="R107" s="6" t="str">
        <x:v>True</x:v>
      </x:c>
      <x:c r="S107" s="6" t="str">
        <x:v>False</x:v>
      </x:c>
      <x:c r="T107" s="6" t="str">
        <x:v>Recent SSL</x:v>
      </x:c>
      <x:c r="U107" s="6" t="str">
        <x:v>SSL</x:v>
      </x:c>
      <x:c r="V107" s="6" t="str">
        <x:v>Swing low / sell-side</x:v>
      </x:c>
      <x:c r="W107" s="6" t="str">
        <x:v>[17666.0]</x:v>
      </x:c>
      <x:c r="X107" s="8" t="str">
        <x:v>1</x:v>
      </x:c>
      <x:c r="Y107" s="8" t="str">
        <x:v>11.0</x:v>
      </x:c>
      <x:c r="Z107" s="6" t="str">
        <x:v>None</x:v>
      </x:c>
      <x:c r="AA107" s="6" t="str">
        <x:v>17727.5</x:v>
      </x:c>
      <x:c r="AB107" s="9" t="str">
        <x:v>0.7396073465571558</x:v>
      </x:c>
      <x:c r="AC107" s="9" t="str">
        <x:v>1.405253958458596</x:v>
      </x:c>
      <x:c r="AD107" s="9" t="str">
        <x:v>1.7750576317371738</x:v>
      </x:c>
      <x:c r="AE107" s="6" t="str">
        <x:v>With trade</x:v>
      </x:c>
      <x:c r="AF107" s="7" t="str">
        <x:v>2024-05-09 09:35:00-05:00</x:v>
      </x:c>
      <x:c r="AG107" s="6" t="str">
        <x:v>Long</x:v>
      </x:c>
      <x:c r="AH107" s="6" t="str">
        <x:v>17727.5</x:v>
      </x:c>
      <x:c r="AI107" s="8" t="str">
        <x:v>0</x:v>
      </x:c>
      <x:c r="AJ107" s="6" t="str">
        <x:v>True</x:v>
      </x:c>
      <x:c r="AK107" s="6" t="str">
        <x:v>Same-bar Setup+BOS</x:v>
      </x:c>
      <x:c r="AL107" s="9" t="str">
        <x:v>1.3946881392220651</x:v>
      </x:c>
      <x:c r="AM107" s="9" t="str">
        <x:v>0.7396073465571558</x:v>
      </x:c>
      <x:c r="AN107" s="9" t="str">
        <x:v>1.405253958458596</x:v>
      </x:c>
      <x:c r="AO107" s="9" t="str">
        <x:v>1.7750576317371738</x:v>
      </x:c>
      <x:c r="AP107" s="10" t="str">
        <x:v>0.7916666666666666</x:v>
      </x:c>
      <x:c r="AQ107" s="6" t="str">
        <x:v>0.20833333333333334</x:v>
      </x:c>
      <x:c r="AR107" s="6" t="str">
        <x:v>0.0</x:v>
      </x:c>
      <x:c r="AS107" s="6" t="str">
        <x:v>With trade</x:v>
      </x:c>
      <x:c r="AT107" s="6" t="str">
        <x:v>1.7208121060031143</x:v>
      </x:c>
      <x:c r="AU107" s="7" t="str">
        <x:v>2024-05-09 09:45:00-05:00</x:v>
      </x:c>
      <x:c r="AV107" s="8" t="str">
        <x:v>2</x:v>
      </x:c>
      <x:c r="AW107" s="6" t="str">
        <x:v>Delayed retest (2+ bars)</x:v>
      </x:c>
      <x:c r="AX107" s="6" t="str">
        <x:v>17726.75</x:v>
      </x:c>
      <x:c r="AY107" s="6" t="str">
        <x:v>0.75</x:v>
      </x:c>
      <x:c r="AZ107" s="9" t="str">
        <x:v>0.032746762293484694</x:v>
      </x:c>
      <x:c r="BA107" s="9" t="str">
        <x:v>0.7422599453189864</x:v>
      </x:c>
      <x:c r="BB107" s="9" t="str">
        <x:v>0.829584644768279</x:v>
      </x:c>
      <x:c r="BC107" s="9" t="str">
        <x:v>0.16373381146742347</x:v>
      </x:c>
      <x:c r="BD107" s="6" t="str">
        <x:v>0.06578947368421052</x:v>
      </x:c>
      <x:c r="BE107" s="6" t="str">
        <x:v>0.7368421052631579</x:v>
      </x:c>
      <x:c r="BF107" s="9" t="str">
        <x:v>0.6112728961450477</x:v>
      </x:c>
      <x:c r="BG107" s="9" t="str">
        <x:v>0.054577937155807825</x:v>
      </x:c>
      <x:c r="BH107" s="6" t="str">
        <x:v>With trade</x:v>
      </x:c>
      <x:c r="BI107" s="6" t="str">
        <x:v>Penetration + same-bar reclaim</x:v>
      </x:c>
      <x:c r="BJ107" s="6" t="str">
        <x:v>False</x:v>
      </x:c>
      <x:c r="BK107" s="10" t="str">
        <x:v>True</x:v>
      </x:c>
      <x:c r="BL107" s="6" t="str">
        <x:v>True</x:v>
      </x:c>
      <x:c r="BM107" s="7" t="str">
        <x:v>2024-05-09 09:50:00-05:00</x:v>
      </x:c>
      <x:c r="BN107" s="8" t="str">
        <x:v>1</x:v>
      </x:c>
      <x:c r="BO107" s="6" t="str">
        <x:v>Immediate confirmation (1 bar)</x:v>
      </x:c>
      <x:c r="BP107" s="9" t="str">
        <x:v>0.6907043072583161</x:v>
      </x:c>
      <x:c r="BQ107" s="9" t="str">
        <x:v>0.942866197209765</x:v>
      </x:c>
      <x:c r="BR107" s="10" t="str">
        <x:v>0.7325581395348837</x:v>
      </x:c>
      <x:c r="BS107" s="9" t="str">
        <x:v>1.4362264166799907</x:v>
      </x:c>
      <x:c r="BT107" s="9" t="str">
        <x:v>0.6907043072583161</x:v>
      </x:c>
      <x:c r="BU107" s="9" t="str">
        <x:v>0.16445340649007528</x:v>
      </x:c>
      <x:c r="BV107" s="6" t="str">
        <x:v>With trade</x:v>
      </x:c>
      <x:c r="BW107" s="7" t="str">
        <x:v>2024-05-09 09:50:00-05:00</x:v>
      </x:c>
      <x:c r="BX107" s="6" t="str">
        <x:v>17760.25</x:v>
      </x:c>
      <x:c r="BY107" s="9" t="str">
        <x:v>22.802811325324</x:v>
      </x:c>
      <x:c r="BZ107" s="9" t="str">
        <x:v>0.97</x:v>
      </x:c>
      <x:c r="CA107" s="6" t="str">
        <x:v>17726.045783012014</x:v>
      </x:c>
      <x:c r="CB107" s="6" t="str">
        <x:v>34.204216987986</x:v>
      </x:c>
      <x:c r="CC107" s="9" t="str">
        <x:v>1.5</x:v>
      </x:c>
      <x:c r="CD107" s="6" t="str">
        <x:v>17828.658433975972</x:v>
      </x:c>
      <x:c r="CE107" s="6" t="str">
        <x:v>68.408433975972</x:v>
      </x:c>
      <x:c r="CF107" s="6" t="str">
        <x:v>Fixed 2.00R target</x:v>
      </x:c>
      <x:c r="CG107" s="9" t="str">
        <x:v>0.02119621683649859</x:v>
      </x:c>
      <x:c r="CH107" s="9" t="str">
        <x:v>-0.8259215525946003</x:v>
      </x:c>
      <x:c r="CI107" s="9" t="str">
        <x:v>-0.847117769431099</x:v>
      </x:c>
      <x:c r="CJ107" s="6" t="str">
        <x:v>Loss</x:v>
      </x:c>
      <x:c r="CK107" s="9" t="str">
        <x:v>0.5043237799028976</x:v>
      </x:c>
      <x:c r="CL107" s="9" t="str">
        <x:v>0.9282481166328693</x:v>
      </x:c>
      <x:c r="CM107" s="7" t="str">
        <x:v>2024-05-09 10:50:00-05:00</x:v>
      </x:c>
      <x:c r="CN107" s="6" t="str">
        <x:v>17732.0</x:v>
      </x:c>
      <x:c r="CO107" s="6" t="str">
        <x:v>TIME</x:v>
      </x:c>
      <x:c r="CP107" s="6" t="str">
        <x:v>F::Long::Same-bar Setup+BOS::Penetration + same-bar reclaim</x:v>
      </x:c>
    </x:row>
    <x:row r="108" ht="18" customHeight="1">
      <x:c r="A108" s="6" t="str">
        <x:v>A0107</x:v>
      </x:c>
      <x:c r="B108" s="6" t="str">
        <x:v>2024-05-10</x:v>
      </x:c>
      <x:c r="C108" s="6" t="str">
        <x:v>2024</x:v>
      </x:c>
      <x:c r="D108" s="6" t="str">
        <x:v>2024-Q2</x:v>
      </x:c>
      <x:c r="E108" s="6" t="str">
        <x:v>First 50%</x:v>
      </x:c>
      <x:c r="F108" s="6" t="str">
        <x:v>Short</x:v>
      </x:c>
      <x:c r="G108" s="6" t="str">
        <x:v>Short</x:v>
      </x:c>
      <x:c r="H108" s="6" t="str">
        <x:v>Premarket</x:v>
      </x:c>
      <x:c r="I108" s="6" t="str">
        <x:v>Premarket</x:v>
      </x:c>
      <x:c r="J108" s="6" t="str">
        <x:v>Bull</x:v>
      </x:c>
      <x:c r="K108" s="6" t="str">
        <x:v>Bull</x:v>
      </x:c>
      <x:c r="L108" s="6" t="str">
        <x:v>HIGH</x:v>
      </x:c>
      <x:c r="M108" s="7" t="str">
        <x:v>2024-05-10 07:25:00-05:00</x:v>
      </x:c>
      <x:c r="N108" s="6" t="str">
        <x:v>75.0</x:v>
      </x:c>
      <x:c r="O108" s="6" t="str">
        <x:v>75-79</x:v>
      </x:c>
      <x:c r="P108" s="6" t="str">
        <x:v>Matching liquidity sweep only</x:v>
      </x:c>
      <x:c r="Q108" s="6" t="str">
        <x:v>Recent bear structure</x:v>
      </x:c>
      <x:c r="R108" s="6" t="str">
        <x:v>False</x:v>
      </x:c>
      <x:c r="S108" s="6" t="str">
        <x:v>True</x:v>
      </x:c>
      <x:c r="T108" s="6" t="str">
        <x:v>Recent BSL</x:v>
      </x:c>
      <x:c r="U108" s="6" t="str">
        <x:v>BSL</x:v>
      </x:c>
      <x:c r="V108" s="6" t="str">
        <x:v>Swing high / buy-side</x:v>
      </x:c>
      <x:c r="W108" s="6" t="str">
        <x:v>[17841.75]</x:v>
      </x:c>
      <x:c r="X108" s="8" t="str">
        <x:v>1</x:v>
      </x:c>
      <x:c r="Y108" s="8" t="str">
        <x:v>0.0</x:v>
      </x:c>
      <x:c r="Z108" s="6" t="str">
        <x:v>None</x:v>
      </x:c>
      <x:c r="AA108" s="6" t="str">
        <x:v>17818.0</x:v>
      </x:c>
      <x:c r="AB108" s="9" t="str">
        <x:v>-2.994165586653826</x:v>
      </x:c>
      <x:c r="AC108" s="9" t="str">
        <x:v>0.7064885092104534</x:v>
      </x:c>
      <x:c r="AD108" s="9" t="str">
        <x:v>1.0092692988720762</x:v>
      </x:c>
      <x:c r="AE108" s="6" t="str">
        <x:v>Against trade</x:v>
      </x:c>
      <x:c r="AF108" s="7" t="str">
        <x:v>2024-05-10 07:35:00-05:00</x:v>
      </x:c>
      <x:c r="AG108" s="6" t="str">
        <x:v>Short</x:v>
      </x:c>
      <x:c r="AH108" s="6" t="str">
        <x:v>17818.0</x:v>
      </x:c>
      <x:c r="AI108" s="8" t="str">
        <x:v>2</x:v>
      </x:c>
      <x:c r="AJ108" s="6" t="str">
        <x:v>False</x:v>
      </x:c>
      <x:c r="AK108" s="6" t="str">
        <x:v>Delayed BOS</x:v>
      </x:c>
      <x:c r="AL108" s="9" t="str">
        <x:v>1.7007894128186922</x:v>
      </x:c>
      <x:c r="AM108" s="9" t="str">
        <x:v>0.6803157651274769</x:v>
      </x:c>
      <x:c r="AN108" s="9" t="str">
        <x:v>1.7007894128186922</x:v>
      </x:c>
      <x:c r="AO108" s="9" t="str">
        <x:v>2.012600805168786</x:v>
      </x:c>
      <x:c r="AP108" s="10" t="str">
        <x:v>0.8450704225352113</x:v>
      </x:c>
      <x:c r="AQ108" s="6" t="str">
        <x:v>0.0</x:v>
      </x:c>
      <x:c r="AR108" s="6" t="str">
        <x:v>0.15492957746478872</x:v>
      </x:c>
      <x:c r="AS108" s="6" t="str">
        <x:v>With trade</x:v>
      </x:c>
      <x:c r="AT108" s="6" t="str">
        <x:v>2.8285991202564675</x:v>
      </x:c>
      <x:c r="AU108" s="7" t="str">
        <x:v>2024-05-10 07:40:00-05:00</x:v>
      </x:c>
      <x:c r="AV108" s="8" t="str">
        <x:v>1</x:v>
      </x:c>
      <x:c r="AW108" s="6" t="str">
        <x:v>Immediate retest (1 bar)</x:v>
      </x:c>
      <x:c r="AX108" s="6" t="str">
        <x:v>17817.75</x:v>
      </x:c>
      <x:c r="AY108" s="6" t="str">
        <x:v>0.0</x:v>
      </x:c>
      <x:c r="AZ108" s="9" t="str">
        <x:v>0.0</x:v>
      </x:c>
      <x:c r="BA108" s="9" t="str">
        <x:v>0.6115836701793985</x:v>
      </x:c>
      <x:c r="BB108" s="9" t="str">
        <x:v>1.2509665980942244</x:v>
      </x:c>
      <x:c r="BC108" s="9" t="str">
        <x:v>0.027799257735427206</x:v>
      </x:c>
      <x:c r="BD108" s="6" t="str">
        <x:v>0.4444444444444444</x:v>
      </x:c>
      <x:c r="BE108" s="6" t="str">
        <x:v>0.5333333333333333</x:v>
      </x:c>
      <x:c r="BF108" s="9" t="str">
        <x:v>0.5559851547085441</x:v>
      </x:c>
      <x:c r="BG108" s="9" t="str">
        <x:v>0.667182185650253</x:v>
      </x:c>
      <x:c r="BH108" s="6" t="str">
        <x:v>With trade</x:v>
      </x:c>
      <x:c r="BI108" s="6" t="str">
        <x:v>Tolerance-only shallow touch</x:v>
      </x:c>
      <x:c r="BJ108" s="6" t="str">
        <x:v>True</x:v>
      </x:c>
      <x:c r="BK108" s="10" t="str">
        <x:v>False</x:v>
      </x:c>
      <x:c r="BL108" s="6" t="str">
        <x:v>True</x:v>
      </x:c>
      <x:c r="BM108" s="7" t="str">
        <x:v>2024-05-10 07:45:00-05:00</x:v>
      </x:c>
      <x:c r="BN108" s="8" t="str">
        <x:v>1</x:v>
      </x:c>
      <x:c r="BO108" s="6" t="str">
        <x:v>Immediate confirmation (1 bar)</x:v>
      </x:c>
      <x:c r="BP108" s="9" t="str">
        <x:v>0.5780137883719052</x:v>
      </x:c>
      <x:c r="BQ108" s="9" t="str">
        <x:v>1.1285031106308625</x:v>
      </x:c>
      <x:c r="BR108" s="10" t="str">
        <x:v>0.5121951219512195</x:v>
      </x:c>
      <x:c r="BS108" s="9" t="str">
        <x:v>1.238600975082654</x:v>
      </x:c>
      <x:c r="BT108" s="9" t="str">
        <x:v>0.6330627205978009</x:v>
      </x:c>
      <x:c r="BU108" s="9" t="str">
        <x:v>0.13762233056473933</x:v>
      </x:c>
      <x:c r="BV108" s="6" t="str">
        <x:v>With trade</x:v>
      </x:c>
      <x:c r="BW108" s="7" t="str">
        <x:v>2024-05-10 07:45:00-05:00</x:v>
      </x:c>
      <x:c r="BX108" s="6" t="str">
        <x:v>17806.75</x:v>
      </x:c>
      <x:c r="BY108" s="9" t="str">
        <x:v>9.08282830897115</x:v>
      </x:c>
      <x:c r="BZ108" s="9" t="str">
        <x:v>1.0</x:v>
      </x:c>
      <x:c r="CA108" s="6" t="str">
        <x:v>17820.37424246346</x:v>
      </x:c>
      <x:c r="CB108" s="6" t="str">
        <x:v>13.624242463458359</x:v>
      </x:c>
      <x:c r="CC108" s="9" t="str">
        <x:v>1.5000000000001799</x:v>
      </x:c>
      <x:c r="CD108" s="6" t="str">
        <x:v>17779.501515073087</x:v>
      </x:c>
      <x:c r="CE108" s="6" t="str">
        <x:v>27.24848492691308</x:v>
      </x:c>
      <x:c r="CF108" s="6" t="str">
        <x:v>Fixed 2.00R target</x:v>
      </x:c>
      <x:c r="CG108" s="9" t="str">
        <x:v>0.0532139678183595</x:v>
      </x:c>
      <x:c r="CH108" s="9" t="str">
        <x:v>-1.0</x:v>
      </x:c>
      <x:c r="CI108" s="9" t="str">
        <x:v>-1.0532139678183594</x:v>
      </x:c>
      <x:c r="CJ108" s="6" t="str">
        <x:v>Loss</x:v>
      </x:c>
      <x:c r="CK108" s="9" t="str">
        <x:v>1.3762233056472284</x:v>
      </x:c>
      <x:c r="CL108" s="9" t="str">
        <x:v>3.541481306532201</x:v>
      </x:c>
      <x:c r="CM108" s="7" t="str">
        <x:v>2024-05-10 08:30:00-05:00</x:v>
      </x:c>
      <x:c r="CN108" s="6" t="str">
        <x:v>17820.37424246346</x:v>
      </x:c>
      <x:c r="CO108" s="6" t="str">
        <x:v>STOP</x:v>
      </x:c>
      <x:c r="CP108" s="6" t="str">
        <x:v>F::Short::Delayed BOS::Tolerance-only shallow touch</x:v>
      </x:c>
    </x:row>
    <x:row r="109" ht="18" customHeight="1">
      <x:c r="A109" s="6" t="str">
        <x:v>A0108</x:v>
      </x:c>
      <x:c r="B109" s="6" t="str">
        <x:v>2024-05-10</x:v>
      </x:c>
      <x:c r="C109" s="6" t="str">
        <x:v>2024</x:v>
      </x:c>
      <x:c r="D109" s="6" t="str">
        <x:v>2024-Q2</x:v>
      </x:c>
      <x:c r="E109" s="6" t="str">
        <x:v>First 50%</x:v>
      </x:c>
      <x:c r="F109" s="6" t="str">
        <x:v>Long</x:v>
      </x:c>
      <x:c r="G109" s="6" t="str">
        <x:v>Long</x:v>
      </x:c>
      <x:c r="H109" s="6" t="str">
        <x:v>Midday</x:v>
      </x:c>
      <x:c r="I109" s="6" t="str">
        <x:v>Midday</x:v>
      </x:c>
      <x:c r="J109" s="6" t="str">
        <x:v>Bull</x:v>
      </x:c>
      <x:c r="K109" s="6" t="str">
        <x:v>Bull</x:v>
      </x:c>
      <x:c r="L109" s="6" t="str">
        <x:v>MID</x:v>
      </x:c>
      <x:c r="M109" s="7" t="str">
        <x:v>2024-05-10 13:05:00-05:00</x:v>
      </x:c>
      <x:c r="N109" s="6" t="str">
        <x:v>100.0</x:v>
      </x:c>
      <x:c r="O109" s="6" t="str">
        <x:v>95+</x:v>
      </x:c>
      <x:c r="P109" s="6" t="str">
        <x:v>Matching BOS only</x:v>
      </x:c>
      <x:c r="Q109" s="6" t="str">
        <x:v>Bull CHoCH</x:v>
      </x:c>
      <x:c r="R109" s="6" t="str">
        <x:v>True</x:v>
      </x:c>
      <x:c r="S109" s="6" t="str">
        <x:v>False</x:v>
      </x:c>
      <x:c r="T109" s="6" t="str">
        <x:v>Recent SSL</x:v>
      </x:c>
      <x:c r="U109" s="6" t="str">
        <x:v>SSL</x:v>
      </x:c>
      <x:c r="V109" s="6" t="str">
        <x:v>Swing low / sell-side</x:v>
      </x:c>
      <x:c r="W109" s="6" t="str">
        <x:v>[17761.25]</x:v>
      </x:c>
      <x:c r="X109" s="8" t="str">
        <x:v>1</x:v>
      </x:c>
      <x:c r="Y109" s="8" t="str">
        <x:v>8.0</x:v>
      </x:c>
      <x:c r="Z109" s="6" t="str">
        <x:v>None</x:v>
      </x:c>
      <x:c r="AA109" s="6" t="str">
        <x:v>17793.75</x:v>
      </x:c>
      <x:c r="AB109" s="9" t="str">
        <x:v>0.3997237609934442</x:v>
      </x:c>
      <x:c r="AC109" s="9" t="str">
        <x:v>1.2631270847392837</x:v>
      </x:c>
      <x:c r="AD109" s="9" t="str">
        <x:v>1.295104985618759</x:v>
      </x:c>
      <x:c r="AE109" s="6" t="str">
        <x:v>With trade</x:v>
      </x:c>
      <x:c r="AF109" s="7" t="str">
        <x:v>2024-05-10 13:05:00-05:00</x:v>
      </x:c>
      <x:c r="AG109" s="6" t="str">
        <x:v>Long</x:v>
      </x:c>
      <x:c r="AH109" s="6" t="str">
        <x:v>17793.75</x:v>
      </x:c>
      <x:c r="AI109" s="8" t="str">
        <x:v>0</x:v>
      </x:c>
      <x:c r="AJ109" s="6" t="str">
        <x:v>True</x:v>
      </x:c>
      <x:c r="AK109" s="6" t="str">
        <x:v>Same-bar Setup+BOS</x:v>
      </x:c>
      <x:c r="AL109" s="9" t="str">
        <x:v>1.2791160351790214</x:v>
      </x:c>
      <x:c r="AM109" s="9" t="str">
        <x:v>0.3997237609934442</x:v>
      </x:c>
      <x:c r="AN109" s="9" t="str">
        <x:v>1.2631270847392837</x:v>
      </x:c>
      <x:c r="AO109" s="9" t="str">
        <x:v>1.295104985618759</x:v>
      </x:c>
      <x:c r="AP109" s="10" t="str">
        <x:v>0.9753086419753086</x:v>
      </x:c>
      <x:c r="AQ109" s="6" t="str">
        <x:v>0.0</x:v>
      </x:c>
      <x:c r="AR109" s="6" t="str">
        <x:v>0.024691358024691357</x:v>
      </x:c>
      <x:c r="AS109" s="6" t="str">
        <x:v>With trade</x:v>
      </x:c>
      <x:c r="AT109" s="6" t="str">
        <x:v>1.1090923970865045</x:v>
      </x:c>
      <x:c r="AU109" s="7" t="str">
        <x:v>2024-05-10 13:10:00-05:00</x:v>
      </x:c>
      <x:c r="AV109" s="8" t="str">
        <x:v>1</x:v>
      </x:c>
      <x:c r="AW109" s="6" t="str">
        <x:v>Immediate retest (1 bar)</x:v>
      </x:c>
      <x:c r="AX109" s="6" t="str">
        <x:v>17793.0</x:v>
      </x:c>
      <x:c r="AY109" s="6" t="str">
        <x:v>0.75</x:v>
      </x:c>
      <x:c r="AZ109" s="9" t="str">
        <x:v>0.04917678654990569</x:v>
      </x:c>
      <x:c r="BA109" s="9" t="str">
        <x:v>0.08196131091650949</x:v>
      </x:c>
      <x:c r="BB109" s="9" t="str">
        <x:v>0.6720827495153778</x:v>
      </x:c>
      <x:c r="BC109" s="9" t="str">
        <x:v>0.32784524366603796</x:v>
      </x:c>
      <x:c r="BD109" s="6" t="str">
        <x:v>0.3170731707317073</x:v>
      </x:c>
      <x:c r="BE109" s="6" t="str">
        <x:v>0.1951219512195122</x:v>
      </x:c>
      <x:c r="BF109" s="9" t="str">
        <x:v>0.1311380974664152</x:v>
      </x:c>
      <x:c r="BG109" s="9" t="str">
        <x:v>0.21309940838292468</x:v>
      </x:c>
      <x:c r="BH109" s="6" t="str">
        <x:v>Against trade</x:v>
      </x:c>
      <x:c r="BI109" s="6" t="str">
        <x:v>Penetration + same-bar reclaim</x:v>
      </x:c>
      <x:c r="BJ109" s="6" t="str">
        <x:v>False</x:v>
      </x:c>
      <x:c r="BK109" s="10" t="str">
        <x:v>True</x:v>
      </x:c>
      <x:c r="BL109" s="6" t="str">
        <x:v>True</x:v>
      </x:c>
      <x:c r="BM109" s="7" t="str">
        <x:v>2024-05-10 13:15:00-05:00</x:v>
      </x:c>
      <x:c r="BN109" s="8" t="str">
        <x:v>1</x:v>
      </x:c>
      <x:c r="BO109" s="6" t="str">
        <x:v>Immediate confirmation (1 bar)</x:v>
      </x:c>
      <x:c r="BP109" s="9" t="str">
        <x:v>0.301775768788101</x:v>
      </x:c>
      <x:c r="BQ109" s="9" t="str">
        <x:v>0.7041434605055689</x:v>
      </x:c>
      <x:c r="BR109" s="10" t="str">
        <x:v>0.42857142857142855</x:v>
      </x:c>
      <x:c r="BS109" s="9" t="str">
        <x:v>0.3856023712292401</x:v>
      </x:c>
      <x:c r="BT109" s="9" t="str">
        <x:v>0.301775768788101</x:v>
      </x:c>
      <x:c r="BU109" s="9" t="str">
        <x:v>0.1508878843940505</x:v>
      </x:c>
      <x:c r="BV109" s="6" t="str">
        <x:v>With trade</x:v>
      </x:c>
      <x:c r="BW109" s="7" t="str">
        <x:v>2024-05-10 13:15:00-05:00</x:v>
      </x:c>
      <x:c r="BX109" s="6" t="str">
        <x:v>17799.5</x:v>
      </x:c>
      <x:c r="BY109" s="9" t="str">
        <x:v>14.911734027127215</x:v>
      </x:c>
      <x:c r="BZ109" s="9" t="str">
        <x:v>0.47</x:v>
      </x:c>
      <x:c r="CA109" s="6" t="str">
        <x:v>17777.132398959307</x:v>
      </x:c>
      <x:c r="CB109" s="6" t="str">
        <x:v>22.367601040692534</x:v>
      </x:c>
      <x:c r="CC109" s="9" t="str">
        <x:v>1.5000000000001148</x:v>
      </x:c>
      <x:c r="CD109" s="6" t="str">
        <x:v>17844.23520208138</x:v>
      </x:c>
      <x:c r="CE109" s="6" t="str">
        <x:v>44.73520208138143</x:v>
      </x:c>
      <x:c r="CF109" s="6" t="str">
        <x:v>Fixed 2.00R target</x:v>
      </x:c>
      <x:c r="CG109" s="9" t="str">
        <x:v>0.03241295294390466</x:v>
      </x:c>
      <x:c r="CH109" s="9" t="str">
        <x:v>-1.0</x:v>
      </x:c>
      <x:c r="CI109" s="9" t="str">
        <x:v>-1.0324129529439046</x:v>
      </x:c>
      <x:c r="CJ109" s="6" t="str">
        <x:v>Loss</x:v>
      </x:c>
      <x:c r="CK109" s="9" t="str">
        <x:v>0.011176880325484365</x:v>
      </x:c>
      <x:c r="CL109" s="9" t="str">
        <x:v>1.1847493145013428</x:v>
      </x:c>
      <x:c r="CM109" s="7" t="str">
        <x:v>2024-05-10 13:30:00-05:00</x:v>
      </x:c>
      <x:c r="CN109" s="6" t="str">
        <x:v>17777.132398959307</x:v>
      </x:c>
      <x:c r="CO109" s="6" t="str">
        <x:v>STOP</x:v>
      </x:c>
      <x:c r="CP109" s="6" t="str">
        <x:v>F::Long::Same-bar Setup+BOS::Penetration + same-bar reclaim</x:v>
      </x:c>
    </x:row>
    <x:row r="110" ht="18" customHeight="1">
      <x:c r="A110" s="6" t="str">
        <x:v>A0109</x:v>
      </x:c>
      <x:c r="B110" s="6" t="str">
        <x:v>2024-05-14</x:v>
      </x:c>
      <x:c r="C110" s="6" t="str">
        <x:v>2024</x:v>
      </x:c>
      <x:c r="D110" s="6" t="str">
        <x:v>2024-Q2</x:v>
      </x:c>
      <x:c r="E110" s="6" t="str">
        <x:v>First 50%</x:v>
      </x:c>
      <x:c r="F110" s="6" t="str">
        <x:v>Short</x:v>
      </x:c>
      <x:c r="G110" s="6" t="str">
        <x:v>Short</x:v>
      </x:c>
      <x:c r="H110" s="6" t="str">
        <x:v>Premarket</x:v>
      </x:c>
      <x:c r="I110" s="6" t="str">
        <x:v>Premarket</x:v>
      </x:c>
      <x:c r="J110" s="6" t="str">
        <x:v>Bull</x:v>
      </x:c>
      <x:c r="K110" s="6" t="str">
        <x:v>Bull</x:v>
      </x:c>
      <x:c r="L110" s="6" t="str">
        <x:v>HIGH</x:v>
      </x:c>
      <x:c r="M110" s="7" t="str">
        <x:v>2024-05-14 06:25:00-05:00</x:v>
      </x:c>
      <x:c r="N110" s="6" t="str">
        <x:v>90.0</x:v>
      </x:c>
      <x:c r="O110" s="6" t="str">
        <x:v>90-94</x:v>
      </x:c>
      <x:c r="P110" s="6" t="str">
        <x:v>Matching BOS only</x:v>
      </x:c>
      <x:c r="Q110" s="6" t="str">
        <x:v>Bear CHoCH</x:v>
      </x:c>
      <x:c r="R110" s="6" t="str">
        <x:v>True</x:v>
      </x:c>
      <x:c r="S110" s="6" t="str">
        <x:v>False</x:v>
      </x:c>
      <x:c r="T110" s="6" t="str">
        <x:v>Recent BSL</x:v>
      </x:c>
      <x:c r="U110" s="6" t="str">
        <x:v>BSL</x:v>
      </x:c>
      <x:c r="V110" s="6" t="str">
        <x:v>Swing high / buy-side</x:v>
      </x:c>
      <x:c r="W110" s="6" t="str">
        <x:v>[17842.75]</x:v>
      </x:c>
      <x:c r="X110" s="8" t="str">
        <x:v>1</x:v>
      </x:c>
      <x:c r="Y110" s="8" t="str">
        <x:v>7.0</x:v>
      </x:c>
      <x:c r="Z110" s="6" t="str">
        <x:v>None</x:v>
      </x:c>
      <x:c r="AA110" s="6" t="str">
        <x:v>17830.25</x:v>
      </x:c>
      <x:c r="AB110" s="9" t="str">
        <x:v>0.6854118768225277</x:v>
      </x:c>
      <x:c r="AC110" s="9" t="str">
        <x:v>1.7563679343577272</x:v>
      </x:c>
      <x:c r="AD110" s="9" t="str">
        <x:v>2.013397388166175</x:v>
      </x:c>
      <x:c r="AE110" s="6" t="str">
        <x:v>With trade</x:v>
      </x:c>
      <x:c r="AF110" s="7" t="str">
        <x:v>2024-05-14 06:25:00-05:00</x:v>
      </x:c>
      <x:c r="AG110" s="6" t="str">
        <x:v>Short</x:v>
      </x:c>
      <x:c r="AH110" s="6" t="str">
        <x:v>17830.25</x:v>
      </x:c>
      <x:c r="AI110" s="8" t="str">
        <x:v>0</x:v>
      </x:c>
      <x:c r="AJ110" s="6" t="str">
        <x:v>True</x:v>
      </x:c>
      <x:c r="AK110" s="6" t="str">
        <x:v>Same-bar Setup+BOS</x:v>
      </x:c>
      <x:c r="AL110" s="9" t="str">
        <x:v>1.8420444189605432</x:v>
      </x:c>
      <x:c r="AM110" s="9" t="str">
        <x:v>0.6854118768225277</x:v>
      </x:c>
      <x:c r="AN110" s="9" t="str">
        <x:v>1.7563679343577272</x:v>
      </x:c>
      <x:c r="AO110" s="9" t="str">
        <x:v>2.013397388166175</x:v>
      </x:c>
      <x:c r="AP110" s="10" t="str">
        <x:v>0.8723404255319149</x:v>
      </x:c>
      <x:c r="AQ110" s="6" t="str">
        <x:v>0.1276595744680851</x:v>
      </x:c>
      <x:c r="AR110" s="6" t="str">
        <x:v>0.0</x:v>
      </x:c>
      <x:c r="AS110" s="6" t="str">
        <x:v>With trade</x:v>
      </x:c>
      <x:c r="AT110" s="6" t="str">
        <x:v>1.7179244004877388</x:v>
      </x:c>
      <x:c r="AU110" s="7" t="str">
        <x:v>2024-05-14 06:40:00-05:00</x:v>
      </x:c>
      <x:c r="AV110" s="8" t="str">
        <x:v>3</x:v>
      </x:c>
      <x:c r="AW110" s="6" t="str">
        <x:v>Delayed retest (2+ bars)</x:v>
      </x:c>
      <x:c r="AX110" s="6" t="str">
        <x:v>17831.75</x:v>
      </x:c>
      <x:c r="AY110" s="6" t="str">
        <x:v>1.5</x:v>
      </x:c>
      <x:c r="AZ110" s="9" t="str">
        <x:v>0.2479930730417141</x:v>
      </x:c>
      <x:c r="BA110" s="9" t="str">
        <x:v>-0.0</x:v>
      </x:c>
      <x:c r="BB110" s="9" t="str">
        <x:v>1.4879584382502846</x:v>
      </x:c>
      <x:c r="BC110" s="9" t="str">
        <x:v>1.1159688286877136</x:v>
      </x:c>
      <x:c r="BD110" s="6" t="str">
        <x:v>0.16666666666666666</x:v>
      </x:c>
      <x:c r="BE110" s="6" t="str">
        <x:v>0.08333333333333333</x:v>
      </x:c>
      <x:c r="BF110" s="9" t="str">
        <x:v>0.2479930730417141</x:v>
      </x:c>
      <x:c r="BG110" s="9" t="str">
        <x:v>0.12399653652085706</x:v>
      </x:c>
      <x:c r="BH110" s="6" t="str">
        <x:v>Against trade</x:v>
      </x:c>
      <x:c r="BI110" s="6" t="str">
        <x:v>Penetration without same-bar reclaim</x:v>
      </x:c>
      <x:c r="BJ110" s="6" t="str">
        <x:v>False</x:v>
      </x:c>
      <x:c r="BK110" s="10" t="str">
        <x:v>True</x:v>
      </x:c>
      <x:c r="BL110" s="6" t="str">
        <x:v>False</x:v>
      </x:c>
      <x:c r="BM110" s="7" t="str">
        <x:v>2024-05-14 06:45:00-05:00</x:v>
      </x:c>
      <x:c r="BN110" s="8" t="str">
        <x:v>1</x:v>
      </x:c>
      <x:c r="BO110" s="6" t="str">
        <x:v>Immediate confirmation (1 bar)</x:v>
      </x:c>
      <x:c r="BP110" s="9" t="str">
        <x:v>0.12517699351942185</x:v>
      </x:c>
      <x:c r="BQ110" s="9" t="str">
        <x:v>0.876238954635953</x:v>
      </x:c>
      <x:c r="BR110" s="10" t="str">
        <x:v>0.14285714285714285</x:v>
      </x:c>
      <x:c r="BS110" s="9" t="str">
        <x:v>0.20862832253236976</x:v>
      </x:c>
      <x:c r="BT110" s="9" t="str">
        <x:v>0.20862832253236976</x:v>
      </x:c>
      <x:c r="BU110" s="9" t="str">
        <x:v>0.4589823095712135</x:v>
      </x:c>
      <x:c r="BV110" s="6" t="str">
        <x:v>With trade</x:v>
      </x:c>
      <x:c r="BW110" s="7" t="str">
        <x:v>2024-05-14 06:45:00-05:00</x:v>
      </x:c>
      <x:c r="BX110" s="6" t="str">
        <x:v>17829.0</x:v>
      </x:c>
      <x:c r="BY110" s="9" t="str">
        <x:v>5.991516323513822</x:v>
      </x:c>
      <x:c r="BZ110" s="9" t="str">
        <x:v>0.99</x:v>
      </x:c>
      <x:c r="CA110" s="6" t="str">
        <x:v>17837.98727448527</x:v>
      </x:c>
      <x:c r="CB110" s="6" t="str">
        <x:v>8.987274485269154</x:v>
      </x:c>
      <x:c r="CC110" s="9" t="str">
        <x:v>1.4999999999997364</x:v>
      </x:c>
      <x:c r="CD110" s="6" t="str">
        <x:v>17811.025451029458</x:v>
      </x:c>
      <x:c r="CE110" s="6" t="str">
        <x:v>17.974548970541946</x:v>
      </x:c>
      <x:c r="CF110" s="6" t="str">
        <x:v>Fixed 2.00R target</x:v>
      </x:c>
      <x:c r="CG110" s="9" t="str">
        <x:v>0.08066961804586383</x:v>
      </x:c>
      <x:c r="CH110" s="9" t="str">
        <x:v>-1.0</x:v>
      </x:c>
      <x:c r="CI110" s="9" t="str">
        <x:v>-1.080669618045864</x:v>
      </x:c>
      <x:c r="CJ110" s="6" t="str">
        <x:v>Loss</x:v>
      </x:c>
      <x:c r="CK110" s="9" t="str">
        <x:v>0.8901475094716007</x:v>
      </x:c>
      <x:c r="CL110" s="9" t="str">
        <x:v>1.168318606181476</x:v>
      </x:c>
      <x:c r="CM110" s="7" t="str">
        <x:v>2024-05-14 07:10:00-05:00</x:v>
      </x:c>
      <x:c r="CN110" s="6" t="str">
        <x:v>17837.98727448527</x:v>
      </x:c>
      <x:c r="CO110" s="6" t="str">
        <x:v>STOP</x:v>
      </x:c>
      <x:c r="CP110" s="6" t="str">
        <x:v>F::Short::Same-bar Setup+BOS::Penetration without same-bar reclaim</x:v>
      </x:c>
    </x:row>
    <x:row r="111" ht="18" customHeight="1">
      <x:c r="A111" s="6" t="str">
        <x:v>A0110</x:v>
      </x:c>
      <x:c r="B111" s="6" t="str">
        <x:v>2024-05-14</x:v>
      </x:c>
      <x:c r="C111" s="6" t="str">
        <x:v>2024</x:v>
      </x:c>
      <x:c r="D111" s="6" t="str">
        <x:v>2024-Q2</x:v>
      </x:c>
      <x:c r="E111" s="6" t="str">
        <x:v>First 50%</x:v>
      </x:c>
      <x:c r="F111" s="6" t="str">
        <x:v>Long</x:v>
      </x:c>
      <x:c r="G111" s="6" t="str">
        <x:v>Long</x:v>
      </x:c>
      <x:c r="H111" s="6" t="str">
        <x:v>Afternoon</x:v>
      </x:c>
      <x:c r="I111" s="6" t="str">
        <x:v>Afternoon</x:v>
      </x:c>
      <x:c r="J111" s="6" t="str">
        <x:v>Bull</x:v>
      </x:c>
      <x:c r="K111" s="6" t="str">
        <x:v>Bull</x:v>
      </x:c>
      <x:c r="L111" s="6" t="str">
        <x:v>LOW</x:v>
      </x:c>
      <x:c r="M111" s="7" t="str">
        <x:v>2024-05-14 14:15:00-05:00</x:v>
      </x:c>
      <x:c r="N111" s="6" t="str">
        <x:v>75.0</x:v>
      </x:c>
      <x:c r="O111" s="6" t="str">
        <x:v>75-79</x:v>
      </x:c>
      <x:c r="P111" s="6" t="str">
        <x:v>Matching BOS only</x:v>
      </x:c>
      <x:c r="Q111" s="6" t="str">
        <x:v>Bull BOS</x:v>
      </x:c>
      <x:c r="R111" s="6" t="str">
        <x:v>True</x:v>
      </x:c>
      <x:c r="S111" s="6" t="str">
        <x:v>False</x:v>
      </x:c>
      <x:c r="T111" s="6" t="str">
        <x:v>No recent matching sweep</x:v>
      </x:c>
      <x:c r="U111" s="6" t="str">
        <x:v>None</x:v>
      </x:c>
      <x:c r="V111" s="6" t="str">
        <x:v>None</x:v>
      </x:c>
      <x:c r="W111" s="6" t="str">
        <x:v>[]</x:v>
      </x:c>
      <x:c r="X111" s="8" t="str">
        <x:v>0</x:v>
      </x:c>
      <x:c r="Y111" s="8" t="str"/>
      <x:c r="Z111" s="6" t="str">
        <x:v>Sweep below CRT reference</x:v>
      </x:c>
      <x:c r="AA111" s="6" t="str">
        <x:v>17956.0</x:v>
      </x:c>
      <x:c r="AB111" s="9" t="str">
        <x:v>0.27155282366067535</x:v>
      </x:c>
      <x:c r="AC111" s="9" t="str">
        <x:v>0.7422443846725126</x:v>
      </x:c>
      <x:c r="AD111" s="9" t="str">
        <x:v>1.1767289025295933</x:v>
      </x:c>
      <x:c r="AE111" s="6" t="str">
        <x:v>With trade</x:v>
      </x:c>
      <x:c r="AF111" s="7" t="str">
        <x:v>2024-05-14 14:15:00-05:00</x:v>
      </x:c>
      <x:c r="AG111" s="6" t="str">
        <x:v>Long</x:v>
      </x:c>
      <x:c r="AH111" s="6" t="str">
        <x:v>17956.0</x:v>
      </x:c>
      <x:c r="AI111" s="8" t="str">
        <x:v>0</x:v>
      </x:c>
      <x:c r="AJ111" s="6" t="str">
        <x:v>True</x:v>
      </x:c>
      <x:c r="AK111" s="6" t="str">
        <x:v>Same-bar Setup+BOS</x:v>
      </x:c>
      <x:c r="AL111" s="9" t="str">
        <x:v>0.7422443846725126</x:v>
      </x:c>
      <x:c r="AM111" s="9" t="str">
        <x:v>0.27155282366067535</x:v>
      </x:c>
      <x:c r="AN111" s="9" t="str">
        <x:v>0.7422443846725126</x:v>
      </x:c>
      <x:c r="AO111" s="9" t="str">
        <x:v>1.1767289025295933</x:v>
      </x:c>
      <x:c r="AP111" s="10" t="str">
        <x:v>0.6307692307692307</x:v>
      </x:c>
      <x:c r="AQ111" s="6" t="str">
        <x:v>0.1076923076923077</x:v>
      </x:c>
      <x:c r="AR111" s="6" t="str">
        <x:v>0.26153846153846155</x:v>
      </x:c>
      <x:c r="AS111" s="6" t="str">
        <x:v>With trade</x:v>
      </x:c>
      <x:c r="AT111" s="6" t="str">
        <x:v>0.8846516804994314</x:v>
      </x:c>
      <x:c r="AU111" s="7" t="str">
        <x:v>2024-05-14 14:20:00-05:00</x:v>
      </x:c>
      <x:c r="AV111" s="8" t="str">
        <x:v>1</x:v>
      </x:c>
      <x:c r="AW111" s="6" t="str">
        <x:v>Immediate retest (1 bar)</x:v>
      </x:c>
      <x:c r="AX111" s="6" t="str">
        <x:v>17955.75</x:v>
      </x:c>
      <x:c r="AY111" s="6" t="str">
        <x:v>0.25</x:v>
      </x:c>
      <x:c r="AZ111" s="9" t="str">
        <x:v>0.01794659356641216</x:v>
      </x:c>
      <x:c r="BA111" s="9" t="str">
        <x:v>0.2333057163633581</x:v>
      </x:c>
      <x:c r="BB111" s="9" t="str">
        <x:v>1.112688801117554</x:v>
      </x:c>
      <x:c r="BC111" s="9" t="str">
        <x:v>0.0</x:v>
      </x:c>
      <x:c r="BD111" s="6" t="str">
        <x:v>0.7741935483870968</x:v>
      </x:c>
      <x:c r="BE111" s="6" t="str">
        <x:v>0.22580645161290322</x:v>
      </x:c>
      <x:c r="BF111" s="9" t="str">
        <x:v>0.25125230992977027</x:v>
      </x:c>
      <x:c r="BG111" s="9" t="str">
        <x:v>0.8614364911877838</x:v>
      </x:c>
      <x:c r="BH111" s="6" t="str">
        <x:v>Doji</x:v>
      </x:c>
      <x:c r="BI111" s="6" t="str">
        <x:v>Penetration + same-bar reclaim</x:v>
      </x:c>
      <x:c r="BJ111" s="6" t="str">
        <x:v>False</x:v>
      </x:c>
      <x:c r="BK111" s="10" t="str">
        <x:v>True</x:v>
      </x:c>
      <x:c r="BL111" s="6" t="str">
        <x:v>True</x:v>
      </x:c>
      <x:c r="BM111" s="7" t="str">
        <x:v>2024-05-14 14:25:00-05:00</x:v>
      </x:c>
      <x:c r="BN111" s="8" t="str">
        <x:v>1</x:v>
      </x:c>
      <x:c r="BO111" s="6" t="str">
        <x:v>Immediate confirmation (1 bar)</x:v>
      </x:c>
      <x:c r="BP111" s="9" t="str">
        <x:v>0.018412053746064774</x:v>
      </x:c>
      <x:c r="BQ111" s="9" t="str">
        <x:v>0.6628339348583319</x:v>
      </x:c>
      <x:c r="BR111" s="10" t="str">
        <x:v>0.027777777777777776</x:v>
      </x:c>
      <x:c r="BS111" s="9" t="str">
        <x:v>0.2577687524449068</x:v>
      </x:c>
      <x:c r="BT111" s="9" t="str">
        <x:v>0.018412053746064774</x:v>
      </x:c>
      <x:c r="BU111" s="9" t="str">
        <x:v>0.5155375048898136</x:v>
      </x:c>
      <x:c r="BV111" s="6" t="str">
        <x:v>With trade</x:v>
      </x:c>
      <x:c r="BW111" s="7" t="str">
        <x:v>2024-05-14 14:25:00-05:00</x:v>
      </x:c>
      <x:c r="BX111" s="6" t="str">
        <x:v>17959.5</x:v>
      </x:c>
      <x:c r="BY111" s="9" t="str">
        <x:v>13.578061602901455</x:v>
      </x:c>
      <x:c r="BZ111" s="9" t="str">
        <x:v>0.25</x:v>
      </x:c>
      <x:c r="CA111" s="6" t="str">
        <x:v>17939.13290759565</x:v>
      </x:c>
      <x:c r="CB111" s="6" t="str">
        <x:v>20.367092404350842</x:v>
      </x:c>
      <x:c r="CC111" s="9" t="str">
        <x:v>1.4999999999999012</x:v>
      </x:c>
      <x:c r="CD111" s="6" t="str">
        <x:v>18000.234184808705</x:v>
      </x:c>
      <x:c r="CE111" s="6" t="str">
        <x:v>40.73418480870532</x:v>
      </x:c>
      <x:c r="CF111" s="6" t="str">
        <x:v>Fixed 2.00R target</x:v>
      </x:c>
      <x:c r="CG111" s="9" t="str">
        <x:v>0.03559663724239424</x:v>
      </x:c>
      <x:c r="CH111" s="9" t="str">
        <x:v>-0.5032628023924371</x:v>
      </x:c>
      <x:c r="CI111" s="9" t="str">
        <x:v>-0.5388594396348314</x:v>
      </x:c>
      <x:c r="CJ111" s="6" t="str">
        <x:v>Loss</x:v>
      </x:c>
      <x:c r="CK111" s="9" t="str">
        <x:v>0.6751086373557528</x:v>
      </x:c>
      <x:c r="CL111" s="9" t="str">
        <x:v>0.761031554837394</x:v>
      </x:c>
      <x:c r="CM111" s="7" t="str">
        <x:v>2024-05-14 15:25:00-05:00</x:v>
      </x:c>
      <x:c r="CN111" s="6" t="str">
        <x:v>17949.25</x:v>
      </x:c>
      <x:c r="CO111" s="6" t="str">
        <x:v>TIME</x:v>
      </x:c>
      <x:c r="CP111" s="6" t="str">
        <x:v>F::Long::Same-bar Setup+BOS::Penetration + same-bar reclaim</x:v>
      </x:c>
    </x:row>
    <x:row r="112" ht="18" customHeight="1">
      <x:c r="A112" s="6" t="str">
        <x:v>A0111</x:v>
      </x:c>
      <x:c r="B112" s="6" t="str">
        <x:v>2024-05-15</x:v>
      </x:c>
      <x:c r="C112" s="6" t="str">
        <x:v>2024</x:v>
      </x:c>
      <x:c r="D112" s="6" t="str">
        <x:v>2024-Q2</x:v>
      </x:c>
      <x:c r="E112" s="6" t="str">
        <x:v>First 50%</x:v>
      </x:c>
      <x:c r="F112" s="6" t="str">
        <x:v>Short</x:v>
      </x:c>
      <x:c r="G112" s="6" t="str">
        <x:v>Short</x:v>
      </x:c>
      <x:c r="H112" s="6" t="str">
        <x:v>Overnight</x:v>
      </x:c>
      <x:c r="I112" s="6" t="str">
        <x:v>Overnight</x:v>
      </x:c>
      <x:c r="J112" s="6" t="str">
        <x:v>Bull</x:v>
      </x:c>
      <x:c r="K112" s="6" t="str">
        <x:v>Bull</x:v>
      </x:c>
      <x:c r="L112" s="6" t="str">
        <x:v>HIGH</x:v>
      </x:c>
      <x:c r="M112" s="7" t="str">
        <x:v>2024-05-15 02:25:00-05:00</x:v>
      </x:c>
      <x:c r="N112" s="6" t="str">
        <x:v>75.0</x:v>
      </x:c>
      <x:c r="O112" s="6" t="str">
        <x:v>75-79</x:v>
      </x:c>
      <x:c r="P112" s="6" t="str">
        <x:v>Matching BOS only</x:v>
      </x:c>
      <x:c r="Q112" s="6" t="str">
        <x:v>Bear BOS</x:v>
      </x:c>
      <x:c r="R112" s="6" t="str">
        <x:v>True</x:v>
      </x:c>
      <x:c r="S112" s="6" t="str">
        <x:v>False</x:v>
      </x:c>
      <x:c r="T112" s="6" t="str">
        <x:v>Recent BSL</x:v>
      </x:c>
      <x:c r="U112" s="6" t="str">
        <x:v>BSL</x:v>
      </x:c>
      <x:c r="V112" s="6" t="str">
        <x:v>Swing high / buy-side</x:v>
      </x:c>
      <x:c r="W112" s="6" t="str">
        <x:v>[17957.0]</x:v>
      </x:c>
      <x:c r="X112" s="8" t="str">
        <x:v>1</x:v>
      </x:c>
      <x:c r="Y112" s="8" t="str">
        <x:v>15.0</x:v>
      </x:c>
      <x:c r="Z112" s="6" t="str">
        <x:v>None</x:v>
      </x:c>
      <x:c r="AA112" s="6" t="str">
        <x:v>17945.25</x:v>
      </x:c>
      <x:c r="AB112" s="9" t="str">
        <x:v>0.469452391815048</x:v>
      </x:c>
      <x:c r="AC112" s="9" t="str">
        <x:v>0.5163976309965528</x:v>
      </x:c>
      <x:c r="AD112" s="9" t="str">
        <x:v>1.220576218719125</x:v>
      </x:c>
      <x:c r="AE112" s="6" t="str">
        <x:v>With trade</x:v>
      </x:c>
      <x:c r="AF112" s="7" t="str">
        <x:v>2024-05-15 02:25:00-05:00</x:v>
      </x:c>
      <x:c r="AG112" s="6" t="str">
        <x:v>Short</x:v>
      </x:c>
      <x:c r="AH112" s="6" t="str">
        <x:v>17945.25</x:v>
      </x:c>
      <x:c r="AI112" s="8" t="str">
        <x:v>0</x:v>
      </x:c>
      <x:c r="AJ112" s="6" t="str">
        <x:v>True</x:v>
      </x:c>
      <x:c r="AK112" s="6" t="str">
        <x:v>Same-bar Setup+BOS</x:v>
      </x:c>
      <x:c r="AL112" s="9" t="str">
        <x:v>0.5163976309965528</x:v>
      </x:c>
      <x:c r="AM112" s="9" t="str">
        <x:v>0.469452391815048</x:v>
      </x:c>
      <x:c r="AN112" s="9" t="str">
        <x:v>0.5163976309965528</x:v>
      </x:c>
      <x:c r="AO112" s="9" t="str">
        <x:v>1.220576218719125</x:v>
      </x:c>
      <x:c r="AP112" s="10" t="str">
        <x:v>0.4230769230769231</x:v>
      </x:c>
      <x:c r="AQ112" s="6" t="str">
        <x:v>0.23076923076923078</x:v>
      </x:c>
      <x:c r="AR112" s="6" t="str">
        <x:v>0.34615384615384615</x:v>
      </x:c>
      <x:c r="AS112" s="6" t="str">
        <x:v>With trade</x:v>
      </x:c>
      <x:c r="AT112" s="6" t="str">
        <x:v>1.5696676548603528</x:v>
      </x:c>
      <x:c r="AU112" s="7" t="str">
        <x:v>2024-05-15 02:30:00-05:00</x:v>
      </x:c>
      <x:c r="AV112" s="8" t="str">
        <x:v>1</x:v>
      </x:c>
      <x:c r="AW112" s="6" t="str">
        <x:v>Immediate retest (1 bar)</x:v>
      </x:c>
      <x:c r="AX112" s="6" t="str">
        <x:v>17946.5</x:v>
      </x:c>
      <x:c r="AY112" s="6" t="str">
        <x:v>1.25</x:v>
      </x:c>
      <x:c r="AZ112" s="9" t="str">
        <x:v>0.2389744128604202</x:v>
      </x:c>
      <x:c r="BA112" s="9" t="str">
        <x:v>-0.047794882572084044</x:v>
      </x:c>
      <x:c r="BB112" s="9" t="str">
        <x:v>0.7647181211533447</x:v>
      </x:c>
      <x:c r="BC112" s="9" t="str">
        <x:v>0.4779488257208404</x:v>
      </x:c>
      <x:c r="BD112" s="6" t="str">
        <x:v>0.25</x:v>
      </x:c>
      <x:c r="BE112" s="6" t="str">
        <x:v>0.125</x:v>
      </x:c>
      <x:c r="BF112" s="9" t="str">
        <x:v>0.19117953028833617</x:v>
      </x:c>
      <x:c r="BG112" s="9" t="str">
        <x:v>0.09558976514416809</x:v>
      </x:c>
      <x:c r="BH112" s="6" t="str">
        <x:v>Against trade</x:v>
      </x:c>
      <x:c r="BI112" s="6" t="str">
        <x:v>Penetration without same-bar reclaim</x:v>
      </x:c>
      <x:c r="BJ112" s="6" t="str">
        <x:v>False</x:v>
      </x:c>
      <x:c r="BK112" s="10" t="str">
        <x:v>True</x:v>
      </x:c>
      <x:c r="BL112" s="6" t="str">
        <x:v>False</x:v>
      </x:c>
      <x:c r="BM112" s="7" t="str">
        <x:v>2024-05-15 02:35:00-05:00</x:v>
      </x:c>
      <x:c r="BN112" s="8" t="str">
        <x:v>1</x:v>
      </x:c>
      <x:c r="BO112" s="6" t="str">
        <x:v>Immediate confirmation (1 bar)</x:v>
      </x:c>
      <x:c r="BP112" s="9" t="str">
        <x:v>0.8945811318544552</x:v>
      </x:c>
      <x:c r="BQ112" s="9" t="str">
        <x:v>1.8338913203016332</x:v>
      </x:c>
      <x:c r="BR112" s="10" t="str">
        <x:v>0.4878048780487805</x:v>
      </x:c>
      <x:c r="BS112" s="9" t="str">
        <x:v>0.7603939620762868</x:v>
      </x:c>
      <x:c r="BT112" s="9" t="str">
        <x:v>0.8051230186690097</x:v>
      </x:c>
      <x:c r="BU112" s="9" t="str">
        <x:v>0.044729056592722756</x:v>
      </x:c>
      <x:c r="BV112" s="6" t="str">
        <x:v>With trade</x:v>
      </x:c>
      <x:c r="BW112" s="7" t="str">
        <x:v>2024-05-15 02:35:00-05:00</x:v>
      </x:c>
      <x:c r="BX112" s="6" t="str">
        <x:v>17941.0</x:v>
      </x:c>
      <x:c r="BY112" s="9" t="str">
        <x:v>5.589207978973427</x:v>
      </x:c>
      <x:c r="BZ112" s="9" t="str">
        <x:v>1.0</x:v>
      </x:c>
      <x:c r="CA112" s="6" t="str">
        <x:v>17949.38381196846</x:v>
      </x:c>
      <x:c r="CB112" s="6" t="str">
        <x:v>8.383811968458758</x:v>
      </x:c>
      <x:c r="CC112" s="9" t="str">
        <x:v>1.4999999999997526</x:v>
      </x:c>
      <x:c r="CD112" s="6" t="str">
        <x:v>17924.23237606308</x:v>
      </x:c>
      <x:c r="CE112" s="6" t="str">
        <x:v>16.767623936921154</x:v>
      </x:c>
      <x:c r="CF112" s="6" t="str">
        <x:v>Fixed 2.00R target</x:v>
      </x:c>
      <x:c r="CG112" s="9" t="str">
        <x:v>0.08647617607927825</x:v>
      </x:c>
      <x:c r="CH112" s="9" t="str">
        <x:v>-1.0</x:v>
      </x:c>
      <x:c r="CI112" s="9" t="str">
        <x:v>-1.0864761760792783</x:v>
      </x:c>
      <x:c r="CJ112" s="6" t="str">
        <x:v>Loss</x:v>
      </x:c>
      <x:c r="CK112" s="9" t="str">
        <x:v>0.9244005029164227</x:v>
      </x:c>
      <x:c r="CL112" s="9" t="str">
        <x:v>1.4313298109673642</x:v>
      </x:c>
      <x:c r="CM112" s="7" t="str">
        <x:v>2024-05-15 03:30:00-05:00</x:v>
      </x:c>
      <x:c r="CN112" s="6" t="str">
        <x:v>17949.38381196846</x:v>
      </x:c>
      <x:c r="CO112" s="6" t="str">
        <x:v>STOP</x:v>
      </x:c>
      <x:c r="CP112" s="6" t="str">
        <x:v>F::Short::Same-bar Setup+BOS::Penetration without same-bar reclaim</x:v>
      </x:c>
    </x:row>
    <x:row r="113" ht="18" customHeight="1">
      <x:c r="A113" s="6" t="str">
        <x:v>A0112</x:v>
      </x:c>
      <x:c r="B113" s="6" t="str">
        <x:v>2024-05-15</x:v>
      </x:c>
      <x:c r="C113" s="6" t="str">
        <x:v>2024</x:v>
      </x:c>
      <x:c r="D113" s="6" t="str">
        <x:v>2024-Q2</x:v>
      </x:c>
      <x:c r="E113" s="6" t="str">
        <x:v>First 50%</x:v>
      </x:c>
      <x:c r="F113" s="6" t="str">
        <x:v>Long</x:v>
      </x:c>
      <x:c r="G113" s="6" t="str">
        <x:v>Long</x:v>
      </x:c>
      <x:c r="H113" s="6" t="str">
        <x:v>Overnight</x:v>
      </x:c>
      <x:c r="I113" s="6" t="str">
        <x:v>Overnight</x:v>
      </x:c>
      <x:c r="J113" s="6" t="str">
        <x:v>Bull</x:v>
      </x:c>
      <x:c r="K113" s="6" t="str">
        <x:v>Bull</x:v>
      </x:c>
      <x:c r="L113" s="6" t="str">
        <x:v>LOW</x:v>
      </x:c>
      <x:c r="M113" s="7" t="str">
        <x:v>2024-05-15 22:20:00-05:00</x:v>
      </x:c>
      <x:c r="N113" s="6" t="str">
        <x:v>75.0</x:v>
      </x:c>
      <x:c r="O113" s="6" t="str">
        <x:v>75-79</x:v>
      </x:c>
      <x:c r="P113" s="6" t="str">
        <x:v>Matching BOS only</x:v>
      </x:c>
      <x:c r="Q113" s="6" t="str">
        <x:v>Bull BOS</x:v>
      </x:c>
      <x:c r="R113" s="6" t="str">
        <x:v>True</x:v>
      </x:c>
      <x:c r="S113" s="6" t="str">
        <x:v>False</x:v>
      </x:c>
      <x:c r="T113" s="6" t="str">
        <x:v>Recent SSL</x:v>
      </x:c>
      <x:c r="U113" s="6" t="str">
        <x:v>SSL</x:v>
      </x:c>
      <x:c r="V113" s="6" t="str">
        <x:v>Swing low / sell-side</x:v>
      </x:c>
      <x:c r="W113" s="6" t="str">
        <x:v>[18257.25]</x:v>
      </x:c>
      <x:c r="X113" s="8" t="str">
        <x:v>1</x:v>
      </x:c>
      <x:c r="Y113" s="8" t="str">
        <x:v>13.0</x:v>
      </x:c>
      <x:c r="Z113" s="6" t="str">
        <x:v>None</x:v>
      </x:c>
      <x:c r="AA113" s="6" t="str">
        <x:v>18270.75</x:v>
      </x:c>
      <x:c r="AB113" s="9" t="str">
        <x:v>0.3793336191602818</x:v>
      </x:c>
      <x:c r="AC113" s="9" t="str">
        <x:v>0.5057781588803757</x:v>
      </x:c>
      <x:c r="AD113" s="9" t="str">
        <x:v>0.9483340479007045</x:v>
      </x:c>
      <x:c r="AE113" s="6" t="str">
        <x:v>With trade</x:v>
      </x:c>
      <x:c r="AF113" s="7" t="str">
        <x:v>2024-05-15 22:20:00-05:00</x:v>
      </x:c>
      <x:c r="AG113" s="6" t="str">
        <x:v>Long</x:v>
      </x:c>
      <x:c r="AH113" s="6" t="str">
        <x:v>18270.75</x:v>
      </x:c>
      <x:c r="AI113" s="8" t="str">
        <x:v>0</x:v>
      </x:c>
      <x:c r="AJ113" s="6" t="str">
        <x:v>True</x:v>
      </x:c>
      <x:c r="AK113" s="6" t="str">
        <x:v>Same-bar Setup+BOS</x:v>
      </x:c>
      <x:c r="AL113" s="9" t="str">
        <x:v>0.5057781588803757</x:v>
      </x:c>
      <x:c r="AM113" s="9" t="str">
        <x:v>0.3793336191602818</x:v>
      </x:c>
      <x:c r="AN113" s="9" t="str">
        <x:v>0.5057781588803757</x:v>
      </x:c>
      <x:c r="AO113" s="9" t="str">
        <x:v>0.9483340479007045</x:v>
      </x:c>
      <x:c r="AP113" s="10" t="str">
        <x:v>0.5333333333333333</x:v>
      </x:c>
      <x:c r="AQ113" s="6" t="str">
        <x:v>0.4</x:v>
      </x:c>
      <x:c r="AR113" s="6" t="str">
        <x:v>0.06666666666666667</x:v>
      </x:c>
      <x:c r="AS113" s="6" t="str">
        <x:v>With trade</x:v>
      </x:c>
      <x:c r="AT113" s="6" t="str">
        <x:v>0.8748866727107888</x:v>
      </x:c>
      <x:c r="AU113" s="7" t="str">
        <x:v>2024-05-15 22:25:00-05:00</x:v>
      </x:c>
      <x:c r="AV113" s="8" t="str">
        <x:v>1</x:v>
      </x:c>
      <x:c r="AW113" s="6" t="str">
        <x:v>Immediate retest (1 bar)</x:v>
      </x:c>
      <x:c r="AX113" s="6" t="str">
        <x:v>18269.75</x:v>
      </x:c>
      <x:c r="AY113" s="6" t="str">
        <x:v>1.0</x:v>
      </x:c>
      <x:c r="AZ113" s="9" t="str">
        <x:v>0.2526805039976062</x:v>
      </x:c>
      <x:c r="BA113" s="9" t="str">
        <x:v>0.1263402519988031</x:v>
      </x:c>
      <x:c r="BB113" s="9" t="str">
        <x:v>1.0107220159904249</x:v>
      </x:c>
      <x:c r="BC113" s="9" t="str">
        <x:v>0.1263402519988031</x:v>
      </x:c>
      <x:c r="BD113" s="6" t="str">
        <x:v>0.5</x:v>
      </x:c>
      <x:c r="BE113" s="6" t="str">
        <x:v>0.375</x:v>
      </x:c>
      <x:c r="BF113" s="9" t="str">
        <x:v>0.37902075599640933</x:v>
      </x:c>
      <x:c r="BG113" s="9" t="str">
        <x:v>0.5053610079952124</x:v>
      </x:c>
      <x:c r="BH113" s="6" t="str">
        <x:v>Against trade</x:v>
      </x:c>
      <x:c r="BI113" s="6" t="str">
        <x:v>Penetration + same-bar reclaim</x:v>
      </x:c>
      <x:c r="BJ113" s="6" t="str">
        <x:v>False</x:v>
      </x:c>
      <x:c r="BK113" s="10" t="str">
        <x:v>True</x:v>
      </x:c>
      <x:c r="BL113" s="6" t="str">
        <x:v>True</x:v>
      </x:c>
      <x:c r="BM113" s="7" t="str">
        <x:v>2024-05-15 22:30:00-05:00</x:v>
      </x:c>
      <x:c r="BN113" s="8" t="str">
        <x:v>1</x:v>
      </x:c>
      <x:c r="BO113" s="6" t="str">
        <x:v>Immediate confirmation (1 bar)</x:v>
      </x:c>
      <x:c r="BP113" s="9" t="str">
        <x:v>0.5680960529257877</x:v>
      </x:c>
      <x:c r="BQ113" s="9" t="str">
        <x:v>1.0099485385347338</x:v>
      </x:c>
      <x:c r="BR113" s="10" t="str">
        <x:v>0.5625</x:v>
      </x:c>
      <x:c r="BS113" s="9" t="str">
        <x:v>0.6943396202426294</x:v>
      </x:c>
      <x:c r="BT113" s="9" t="str">
        <x:v>0.5680960529257877</x:v>
      </x:c>
      <x:c r="BU113" s="9" t="str">
        <x:v>0.0</x:v>
      </x:c>
      <x:c r="BV113" s="6" t="str">
        <x:v>With trade</x:v>
      </x:c>
      <x:c r="BW113" s="7" t="str">
        <x:v>2024-05-15 22:30:00-05:00</x:v>
      </x:c>
      <x:c r="BX113" s="6" t="str">
        <x:v>18273.5</x:v>
      </x:c>
      <x:c r="BY113" s="9" t="str">
        <x:v>3.9605978397704606</x:v>
      </x:c>
      <x:c r="BZ113" s="9" t="str">
        <x:v>0.02</x:v>
      </x:c>
      <x:c r="CA113" s="6" t="str">
        <x:v>18267.559103240343</x:v>
      </x:c>
      <x:c r="CB113" s="6" t="str">
        <x:v>5.940896759657335</x:v>
      </x:c>
      <x:c r="CC113" s="9" t="str">
        <x:v>1.500000000000415</x:v>
      </x:c>
      <x:c r="CD113" s="6" t="str">
        <x:v>18285.38179351931</x:v>
      </x:c>
      <x:c r="CE113" s="6" t="str">
        <x:v>11.881793519311032</x:v>
      </x:c>
      <x:c r="CF113" s="6" t="str">
        <x:v>Fixed 2.00R target</x:v>
      </x:c>
      <x:c r="CG113" s="9" t="str">
        <x:v>0.12203544840624655</x:v>
      </x:c>
      <x:c r="CH113" s="9" t="str">
        <x:v>-1.0</x:v>
      </x:c>
      <x:c r="CI113" s="9" t="str">
        <x:v>-1.1220354484062465</x:v>
      </x:c>
      <x:c r="CJ113" s="6" t="str">
        <x:v>Loss</x:v>
      </x:c>
      <x:c r="CK113" s="9" t="str">
        <x:v>0.9257861603232497</x:v>
      </x:c>
      <x:c r="CL113" s="9" t="str">
        <x:v>1.0520297276400565</x:v>
      </x:c>
      <x:c r="CM113" s="7" t="str">
        <x:v>2024-05-15 23:10:00-05:00</x:v>
      </x:c>
      <x:c r="CN113" s="6" t="str">
        <x:v>18267.559103240343</x:v>
      </x:c>
      <x:c r="CO113" s="6" t="str">
        <x:v>STOP</x:v>
      </x:c>
      <x:c r="CP113" s="6" t="str">
        <x:v>F::Long::Same-bar Setup+BOS::Penetration + same-bar reclaim</x:v>
      </x:c>
    </x:row>
    <x:row r="114" ht="18" customHeight="1">
      <x:c r="A114" s="6" t="str">
        <x:v>A0113</x:v>
      </x:c>
      <x:c r="B114" s="6" t="str">
        <x:v>2024-05-16</x:v>
      </x:c>
      <x:c r="C114" s="6" t="str">
        <x:v>2024</x:v>
      </x:c>
      <x:c r="D114" s="6" t="str">
        <x:v>2024-Q2</x:v>
      </x:c>
      <x:c r="E114" s="6" t="str">
        <x:v>First 50%</x:v>
      </x:c>
      <x:c r="F114" s="6" t="str">
        <x:v>Short</x:v>
      </x:c>
      <x:c r="G114" s="6" t="str">
        <x:v>Short</x:v>
      </x:c>
      <x:c r="H114" s="6" t="str">
        <x:v>Midday</x:v>
      </x:c>
      <x:c r="I114" s="6" t="str">
        <x:v>Midday</x:v>
      </x:c>
      <x:c r="J114" s="6" t="str">
        <x:v>Bull</x:v>
      </x:c>
      <x:c r="K114" s="6" t="str">
        <x:v>Bull</x:v>
      </x:c>
      <x:c r="L114" s="6" t="str">
        <x:v>HIGH</x:v>
      </x:c>
      <x:c r="M114" s="7" t="str">
        <x:v>2024-05-16 12:20:00-05:00</x:v>
      </x:c>
      <x:c r="N114" s="6" t="str">
        <x:v>75.0</x:v>
      </x:c>
      <x:c r="O114" s="6" t="str">
        <x:v>75-79</x:v>
      </x:c>
      <x:c r="P114" s="6" t="str">
        <x:v>Matching BOS only</x:v>
      </x:c>
      <x:c r="Q114" s="6" t="str">
        <x:v>Bear BOS</x:v>
      </x:c>
      <x:c r="R114" s="6" t="str">
        <x:v>True</x:v>
      </x:c>
      <x:c r="S114" s="6" t="str">
        <x:v>False</x:v>
      </x:c>
      <x:c r="T114" s="6" t="str">
        <x:v>No recent matching sweep</x:v>
      </x:c>
      <x:c r="U114" s="6" t="str">
        <x:v>None</x:v>
      </x:c>
      <x:c r="V114" s="6" t="str">
        <x:v>None</x:v>
      </x:c>
      <x:c r="W114" s="6" t="str">
        <x:v>[]</x:v>
      </x:c>
      <x:c r="X114" s="8" t="str">
        <x:v>0</x:v>
      </x:c>
      <x:c r="Y114" s="8" t="str"/>
      <x:c r="Z114" s="6" t="str">
        <x:v>None</x:v>
      </x:c>
      <x:c r="AA114" s="6" t="str">
        <x:v>18247.25</x:v>
      </x:c>
      <x:c r="AB114" s="9" t="str">
        <x:v>1.5277053941629555</x:v>
      </x:c>
      <x:c r="AC114" s="9" t="str">
        <x:v>3.0402849923440995</x:v>
      </x:c>
      <x:c r="AD114" s="9" t="str">
        <x:v>3.705820015543803</x:v>
      </x:c>
      <x:c r="AE114" s="6" t="str">
        <x:v>With trade</x:v>
      </x:c>
      <x:c r="AF114" s="7" t="str">
        <x:v>2024-05-16 12:20:00-05:00</x:v>
      </x:c>
      <x:c r="AG114" s="6" t="str">
        <x:v>Short</x:v>
      </x:c>
      <x:c r="AH114" s="6" t="str">
        <x:v>18247.25</x:v>
      </x:c>
      <x:c r="AI114" s="8" t="str">
        <x:v>0</x:v>
      </x:c>
      <x:c r="AJ114" s="6" t="str">
        <x:v>True</x:v>
      </x:c>
      <x:c r="AK114" s="6" t="str">
        <x:v>Same-bar Setup+BOS</x:v>
      </x:c>
      <x:c r="AL114" s="9" t="str">
        <x:v>3.0100334003804767</x:v>
      </x:c>
      <x:c r="AM114" s="9" t="str">
        <x:v>1.5277053941629555</x:v>
      </x:c>
      <x:c r="AN114" s="9" t="str">
        <x:v>3.0402849923440995</x:v>
      </x:c>
      <x:c r="AO114" s="9" t="str">
        <x:v>3.705820015543803</x:v>
      </x:c>
      <x:c r="AP114" s="10" t="str">
        <x:v>0.8204081632653061</x:v>
      </x:c>
      <x:c r="AQ114" s="6" t="str">
        <x:v>0.053061224489795916</x:v>
      </x:c>
      <x:c r="AR114" s="6" t="str">
        <x:v>0.12653061224489795</x:v>
      </x:c>
      <x:c r="AS114" s="6" t="str">
        <x:v>With trade</x:v>
      </x:c>
      <x:c r="AT114" s="6" t="str">
        <x:v>5.0840260832402775</x:v>
      </x:c>
      <x:c r="AU114" s="7" t="str">
        <x:v>2024-05-16 12:30:00-05:00</x:v>
      </x:c>
      <x:c r="AV114" s="8" t="str">
        <x:v>2</x:v>
      </x:c>
      <x:c r="AW114" s="6" t="str">
        <x:v>Delayed retest (2+ bars)</x:v>
      </x:c>
      <x:c r="AX114" s="6" t="str">
        <x:v>18246.75</x:v>
      </x:c>
      <x:c r="AY114" s="6" t="str">
        <x:v>0.0</x:v>
      </x:c>
      <x:c r="AZ114" s="9" t="str">
        <x:v>0.0</x:v>
      </x:c>
      <x:c r="BA114" s="9" t="str">
        <x:v>0.2255958372284969</x:v>
      </x:c>
      <x:c r="BB114" s="9" t="str">
        <x:v>1.0715802268353602</x:v>
      </x:c>
      <x:c r="BC114" s="9" t="str">
        <x:v>0.8036851701265202</x:v>
      </x:c>
      <x:c r="BD114" s="6" t="str">
        <x:v>0.18421052631578946</x:v>
      </x:c>
      <x:c r="BE114" s="6" t="str">
        <x:v>0.06578947368421052</x:v>
      </x:c>
      <x:c r="BF114" s="9" t="str">
        <x:v>0.1973963575749348</x:v>
      </x:c>
      <x:c r="BG114" s="9" t="str">
        <x:v>0.07049869913390529</x:v>
      </x:c>
      <x:c r="BH114" s="6" t="str">
        <x:v>Against trade</x:v>
      </x:c>
      <x:c r="BI114" s="6" t="str">
        <x:v>Tolerance-only shallow touch</x:v>
      </x:c>
      <x:c r="BJ114" s="6" t="str">
        <x:v>True</x:v>
      </x:c>
      <x:c r="BK114" s="10" t="str">
        <x:v>False</x:v>
      </x:c>
      <x:c r="BL114" s="6" t="str">
        <x:v>True</x:v>
      </x:c>
      <x:c r="BM114" s="7" t="str">
        <x:v>2024-05-16 12:35:00-05:00</x:v>
      </x:c>
      <x:c r="BN114" s="8" t="str">
        <x:v>1</x:v>
      </x:c>
      <x:c r="BO114" s="6" t="str">
        <x:v>Immediate confirmation (1 bar)</x:v>
      </x:c>
      <x:c r="BP114" s="9" t="str">
        <x:v>0.42338588961213464</x:v>
      </x:c>
      <x:c r="BQ114" s="9" t="str">
        <x:v>0.9879004090949808</x:v>
      </x:c>
      <x:c r="BR114" s="10" t="str">
        <x:v>0.42857142857142855</x:v>
      </x:c>
      <x:c r="BS114" s="9" t="str">
        <x:v>0.649191697405273</x:v>
      </x:c>
      <x:c r="BT114" s="9" t="str">
        <x:v>0.42338588961213464</x:v>
      </x:c>
      <x:c r="BU114" s="9" t="str">
        <x:v>0.11290290389656923</x:v>
      </x:c>
      <x:c r="BV114" s="6" t="str">
        <x:v>With trade</x:v>
      </x:c>
      <x:c r="BW114" s="7" t="str">
        <x:v>2024-05-16 12:35:00-05:00</x:v>
      </x:c>
      <x:c r="BX114" s="6" t="str">
        <x:v>18235.75</x:v>
      </x:c>
      <x:c r="BY114" s="9" t="str">
        <x:v>17.714336221433307</x:v>
      </x:c>
      <x:c r="BZ114" s="9" t="str">
        <x:v>0.99</x:v>
      </x:c>
      <x:c r="CA114" s="6" t="str">
        <x:v>18262.32150433215</x:v>
      </x:c>
      <x:c r="CB114" s="6" t="str">
        <x:v>26.571504332150653</x:v>
      </x:c>
      <x:c r="CC114" s="9" t="str">
        <x:v>1.500000000000039</x:v>
      </x:c>
      <x:c r="CD114" s="6" t="str">
        <x:v>18182.6069913357</x:v>
      </x:c>
      <x:c r="CE114" s="6" t="str">
        <x:v>53.143008664301306</x:v>
      </x:c>
      <x:c r="CF114" s="6" t="str">
        <x:v>Fixed 2.00R target</x:v>
      </x:c>
      <x:c r="CG114" s="9" t="str">
        <x:v>0.027284868441670187</x:v>
      </x:c>
      <x:c r="CH114" s="9" t="str">
        <x:v>0.2916658350661372</x:v>
      </x:c>
      <x:c r="CI114" s="9" t="str">
        <x:v>0.26438096662446703</x:v>
      </x:c>
      <x:c r="CJ114" s="6" t="str">
        <x:v>Win</x:v>
      </x:c>
      <x:c r="CK114" s="9" t="str">
        <x:v>1.2983833948105123</x:v>
      </x:c>
      <x:c r="CL114" s="9" t="str">
        <x:v>0.6774174233793977</x:v>
      </x:c>
      <x:c r="CM114" s="7" t="str">
        <x:v>2024-05-16 13:35:00-05:00</x:v>
      </x:c>
      <x:c r="CN114" s="6" t="str">
        <x:v>18228.0</x:v>
      </x:c>
      <x:c r="CO114" s="6" t="str">
        <x:v>TIME</x:v>
      </x:c>
      <x:c r="CP114" s="6" t="str">
        <x:v>F::Short::Same-bar Setup+BOS::Tolerance-only shallow touch</x:v>
      </x:c>
    </x:row>
    <x:row r="115" ht="18" customHeight="1">
      <x:c r="A115" s="6" t="str">
        <x:v>A0114</x:v>
      </x:c>
      <x:c r="B115" s="6" t="str">
        <x:v>2024-05-17</x:v>
      </x:c>
      <x:c r="C115" s="6" t="str">
        <x:v>2024</x:v>
      </x:c>
      <x:c r="D115" s="6" t="str">
        <x:v>2024-Q2</x:v>
      </x:c>
      <x:c r="E115" s="6" t="str">
        <x:v>First 50%</x:v>
      </x:c>
      <x:c r="F115" s="6" t="str">
        <x:v>Short</x:v>
      </x:c>
      <x:c r="G115" s="6" t="str">
        <x:v>Short</x:v>
      </x:c>
      <x:c r="H115" s="6" t="str">
        <x:v>Premarket</x:v>
      </x:c>
      <x:c r="I115" s="6" t="str">
        <x:v>Premarket</x:v>
      </x:c>
      <x:c r="J115" s="6" t="str">
        <x:v>Bull</x:v>
      </x:c>
      <x:c r="K115" s="6" t="str">
        <x:v>Bull</x:v>
      </x:c>
      <x:c r="L115" s="6" t="str">
        <x:v>HIGH</x:v>
      </x:c>
      <x:c r="M115" s="7" t="str">
        <x:v>2024-05-17 08:25:00-05:00</x:v>
      </x:c>
      <x:c r="N115" s="6" t="str">
        <x:v>90.0</x:v>
      </x:c>
      <x:c r="O115" s="6" t="str">
        <x:v>90-94</x:v>
      </x:c>
      <x:c r="P115" s="6" t="str">
        <x:v>Matching BOS only</x:v>
      </x:c>
      <x:c r="Q115" s="6" t="str">
        <x:v>Bear CHoCH</x:v>
      </x:c>
      <x:c r="R115" s="6" t="str">
        <x:v>True</x:v>
      </x:c>
      <x:c r="S115" s="6" t="str">
        <x:v>False</x:v>
      </x:c>
      <x:c r="T115" s="6" t="str">
        <x:v>Recent BSL</x:v>
      </x:c>
      <x:c r="U115" s="6" t="str">
        <x:v>BSL</x:v>
      </x:c>
      <x:c r="V115" s="6" t="str">
        <x:v>Swing high / buy-side</x:v>
      </x:c>
      <x:c r="W115" s="6" t="str">
        <x:v>[18217.5]</x:v>
      </x:c>
      <x:c r="X115" s="8" t="str">
        <x:v>1</x:v>
      </x:c>
      <x:c r="Y115" s="8" t="str">
        <x:v>13.0</x:v>
      </x:c>
      <x:c r="Z115" s="6" t="str">
        <x:v>None</x:v>
      </x:c>
      <x:c r="AA115" s="6" t="str">
        <x:v>18203.25</x:v>
      </x:c>
      <x:c r="AB115" s="9" t="str">
        <x:v>1.4303488601761776</x:v>
      </x:c>
      <x:c r="AC115" s="9" t="str">
        <x:v>2.4042034032748516</x:v>
      </x:c>
      <x:c r="AD115" s="9" t="str">
        <x:v>2.4346363577466854</x:v>
      </x:c>
      <x:c r="AE115" s="6" t="str">
        <x:v>With trade</x:v>
      </x:c>
      <x:c r="AF115" s="7" t="str">
        <x:v>2024-05-17 08:25:00-05:00</x:v>
      </x:c>
      <x:c r="AG115" s="6" t="str">
        <x:v>Short</x:v>
      </x:c>
      <x:c r="AH115" s="6" t="str">
        <x:v>18203.25</x:v>
      </x:c>
      <x:c r="AI115" s="8" t="str">
        <x:v>0</x:v>
      </x:c>
      <x:c r="AJ115" s="6" t="str">
        <x:v>True</x:v>
      </x:c>
      <x:c r="AK115" s="6" t="str">
        <x:v>Same-bar Setup+BOS</x:v>
      </x:c>
      <x:c r="AL115" s="9" t="str">
        <x:v>2.3433374943311844</x:v>
      </x:c>
      <x:c r="AM115" s="9" t="str">
        <x:v>1.4303488601761776</x:v>
      </x:c>
      <x:c r="AN115" s="9" t="str">
        <x:v>2.4042034032748516</x:v>
      </x:c>
      <x:c r="AO115" s="9" t="str">
        <x:v>2.4346363577466854</x:v>
      </x:c>
      <x:c r="AP115" s="10" t="str">
        <x:v>0.9875</x:v>
      </x:c>
      <x:c r="AQ115" s="6" t="str">
        <x:v>0.0125</x:v>
      </x:c>
      <x:c r="AR115" s="6" t="str">
        <x:v>0.0</x:v>
      </x:c>
      <x:c r="AS115" s="6" t="str">
        <x:v>With trade</x:v>
      </x:c>
      <x:c r="AT115" s="6" t="str">
        <x:v>8.891910265125766</x:v>
      </x:c>
      <x:c r="AU115" s="7" t="str">
        <x:v>2024-05-17 08:30:00-05:00</x:v>
      </x:c>
      <x:c r="AV115" s="8" t="str">
        <x:v>1</x:v>
      </x:c>
      <x:c r="AW115" s="6" t="str">
        <x:v>Immediate retest (1 bar)</x:v>
      </x:c>
      <x:c r="AX115" s="6" t="str">
        <x:v>18204.75</x:v>
      </x:c>
      <x:c r="AY115" s="6" t="str">
        <x:v>1.5</x:v>
      </x:c>
      <x:c r="AZ115" s="9" t="str">
        <x:v>0.1602538066134795</x:v>
      </x:c>
      <x:c r="BA115" s="9" t="str">
        <x:v>2.2702622603576263</x:v>
      </x:c>
      <x:c r="BB115" s="9" t="str">
        <x:v>2.590769873584585</x:v>
      </x:c>
      <x:c r="BC115" s="9" t="str">
        <x:v>1.0149407752187034</x:v>
      </x:c>
      <x:c r="BD115" s="6" t="str">
        <x:v>0.5463917525773195</x:v>
      </x:c>
      <x:c r="BE115" s="6" t="str">
        <x:v>0.061855670103092786</x:v>
      </x:c>
      <x:c r="BF115" s="9" t="str">
        <x:v>1.4155752917524023</x:v>
      </x:c>
      <x:c r="BG115" s="9" t="str">
        <x:v>0.1602538066134795</x:v>
      </x:c>
      <x:c r="BH115" s="6" t="str">
        <x:v>With trade</x:v>
      </x:c>
      <x:c r="BI115" s="6" t="str">
        <x:v>Penetration + same-bar reclaim</x:v>
      </x:c>
      <x:c r="BJ115" s="6" t="str">
        <x:v>False</x:v>
      </x:c>
      <x:c r="BK115" s="10" t="str">
        <x:v>True</x:v>
      </x:c>
      <x:c r="BL115" s="6" t="str">
        <x:v>True</x:v>
      </x:c>
      <x:c r="BM115" s="7" t="str">
        <x:v>2024-05-17 08:40:00-05:00</x:v>
      </x:c>
      <x:c r="BN115" s="8" t="str">
        <x:v>2</x:v>
      </x:c>
      <x:c r="BO115" s="6" t="str">
        <x:v>Delayed confirmation (2+ bars)</x:v>
      </x:c>
      <x:c r="BP115" s="9" t="str">
        <x:v>1.4241264905226905</x:v>
      </x:c>
      <x:c r="BQ115" s="9" t="str">
        <x:v>1.9635683429934065</x:v>
      </x:c>
      <x:c r="BR115" s="10" t="str">
        <x:v>0.7252747252747253</x:v>
      </x:c>
      <x:c r="BS115" s="9" t="str">
        <x:v>1.510437186918005</x:v>
      </x:c>
      <x:c r="BT115" s="9" t="str">
        <x:v>-0.32366511148242966</x:v>
      </x:c>
      <x:c r="BU115" s="9" t="str">
        <x:v>0.10788837049414322</x:v>
      </x:c>
      <x:c r="BV115" s="6" t="str">
        <x:v>With trade</x:v>
      </x:c>
      <x:c r="BW115" s="7" t="str">
        <x:v>2024-05-17 08:40:00-05:00</x:v>
      </x:c>
      <x:c r="BX115" s="6" t="str">
        <x:v>18185.75</x:v>
      </x:c>
      <x:c r="BY115" s="9" t="str">
        <x:v>11.586049490550577</x:v>
      </x:c>
      <x:c r="BZ115" s="9" t="str">
        <x:v>1.0</x:v>
      </x:c>
      <x:c r="CA115" s="6" t="str">
        <x:v>18203.129074235825</x:v>
      </x:c>
      <x:c r="CB115" s="6" t="str">
        <x:v>17.3790742358251</x:v>
      </x:c>
      <x:c r="CC115" s="9" t="str">
        <x:v>1.499999999999934</x:v>
      </x:c>
      <x:c r="CD115" s="6" t="str">
        <x:v>18150.99185152835</x:v>
      </x:c>
      <x:c r="CE115" s="6" t="str">
        <x:v>34.7581484716502</x:v>
      </x:c>
      <x:c r="CF115" s="6" t="str">
        <x:v>Fixed 2.00R target</x:v>
      </x:c>
      <x:c r="CG115" s="9" t="str">
        <x:v>0.04171683659107055</x:v>
      </x:c>
      <x:c r="CH115" s="9" t="str">
        <x:v>-1.0</x:v>
      </x:c>
      <x:c r="CI115" s="9" t="str">
        <x:v>-1.0417168365910705</x:v>
      </x:c>
      <x:c r="CJ115" s="6" t="str">
        <x:v>Loss</x:v>
      </x:c>
      <x:c r="CK115" s="9" t="str">
        <x:v>1.4385116065886396</x:v>
      </x:c>
      <x:c r="CL115" s="9" t="str">
        <x:v>1.1076539370732525</x:v>
      </x:c>
      <x:c r="CM115" s="7" t="str">
        <x:v>2024-05-17 09:25:00-05:00</x:v>
      </x:c>
      <x:c r="CN115" s="6" t="str">
        <x:v>18203.129074235825</x:v>
      </x:c>
      <x:c r="CO115" s="6" t="str">
        <x:v>STOP</x:v>
      </x:c>
      <x:c r="CP115" s="6" t="str">
        <x:v>F::Short::Same-bar Setup+BOS::Penetration + same-bar reclaim</x:v>
      </x:c>
    </x:row>
    <x:row r="116" ht="18" customHeight="1">
      <x:c r="A116" s="6" t="str">
        <x:v>A0115</x:v>
      </x:c>
      <x:c r="B116" s="6" t="str">
        <x:v>2024-05-19</x:v>
      </x:c>
      <x:c r="C116" s="6" t="str">
        <x:v>2024</x:v>
      </x:c>
      <x:c r="D116" s="6" t="str">
        <x:v>2024-Q2</x:v>
      </x:c>
      <x:c r="E116" s="6" t="str">
        <x:v>First 50%</x:v>
      </x:c>
      <x:c r="F116" s="6" t="str">
        <x:v>Long</x:v>
      </x:c>
      <x:c r="G116" s="6" t="str">
        <x:v>Long</x:v>
      </x:c>
      <x:c r="H116" s="6" t="str">
        <x:v>Overnight</x:v>
      </x:c>
      <x:c r="I116" s="6" t="str">
        <x:v>Overnight</x:v>
      </x:c>
      <x:c r="J116" s="6" t="str">
        <x:v>Bull</x:v>
      </x:c>
      <x:c r="K116" s="6" t="str">
        <x:v>Bull</x:v>
      </x:c>
      <x:c r="L116" s="6" t="str">
        <x:v>LOW</x:v>
      </x:c>
      <x:c r="M116" s="7" t="str">
        <x:v>2024-05-19 21:40:00-05:00</x:v>
      </x:c>
      <x:c r="N116" s="6" t="str">
        <x:v>90.0</x:v>
      </x:c>
      <x:c r="O116" s="6" t="str">
        <x:v>90-94</x:v>
      </x:c>
      <x:c r="P116" s="6" t="str">
        <x:v>Matching BOS only</x:v>
      </x:c>
      <x:c r="Q116" s="6" t="str">
        <x:v>Bull BOS</x:v>
      </x:c>
      <x:c r="R116" s="6" t="str">
        <x:v>True</x:v>
      </x:c>
      <x:c r="S116" s="6" t="str">
        <x:v>False</x:v>
      </x:c>
      <x:c r="T116" s="6" t="str">
        <x:v>Recent SSL</x:v>
      </x:c>
      <x:c r="U116" s="6" t="str">
        <x:v>SSL</x:v>
      </x:c>
      <x:c r="V116" s="6" t="str">
        <x:v>Swing low / sell-side</x:v>
      </x:c>
      <x:c r="W116" s="6" t="str">
        <x:v>[18200.5]</x:v>
      </x:c>
      <x:c r="X116" s="8" t="str">
        <x:v>1</x:v>
      </x:c>
      <x:c r="Y116" s="8" t="str">
        <x:v>7.0</x:v>
      </x:c>
      <x:c r="Z116" s="6" t="str">
        <x:v>None</x:v>
      </x:c>
      <x:c r="AA116" s="6" t="str">
        <x:v>18211.5</x:v>
      </x:c>
      <x:c r="AB116" s="9" t="str">
        <x:v>0.528343073935582</x:v>
      </x:c>
      <x:c r="AC116" s="9" t="str">
        <x:v>0.9979813618783215</x:v>
      </x:c>
      <x:c r="AD116" s="9" t="str">
        <x:v>1.467619649821061</x:v>
      </x:c>
      <x:c r="AE116" s="6" t="str">
        <x:v>With trade</x:v>
      </x:c>
      <x:c r="AF116" s="7" t="str">
        <x:v>2024-05-19 21:40:00-05:00</x:v>
      </x:c>
      <x:c r="AG116" s="6" t="str">
        <x:v>Long</x:v>
      </x:c>
      <x:c r="AH116" s="6" t="str">
        <x:v>18211.5</x:v>
      </x:c>
      <x:c r="AI116" s="8" t="str">
        <x:v>0</x:v>
      </x:c>
      <x:c r="AJ116" s="6" t="str">
        <x:v>True</x:v>
      </x:c>
      <x:c r="AK116" s="6" t="str">
        <x:v>Same-bar Setup+BOS</x:v>
      </x:c>
      <x:c r="AL116" s="9" t="str">
        <x:v>0.9979813618783215</x:v>
      </x:c>
      <x:c r="AM116" s="9" t="str">
        <x:v>0.528343073935582</x:v>
      </x:c>
      <x:c r="AN116" s="9" t="str">
        <x:v>0.9979813618783215</x:v>
      </x:c>
      <x:c r="AO116" s="9" t="str">
        <x:v>1.467619649821061</x:v>
      </x:c>
      <x:c r="AP116" s="10" t="str">
        <x:v>0.68</x:v>
      </x:c>
      <x:c r="AQ116" s="6" t="str">
        <x:v>0.32</x:v>
      </x:c>
      <x:c r="AR116" s="6" t="str">
        <x:v>0.0</x:v>
      </x:c>
      <x:c r="AS116" s="6" t="str">
        <x:v>With trade</x:v>
      </x:c>
      <x:c r="AT116" s="6" t="str">
        <x:v>1.8955704033655034</x:v>
      </x:c>
      <x:c r="AU116" s="7" t="str">
        <x:v>2024-05-19 22:10:00-05:00</x:v>
      </x:c>
      <x:c r="AV116" s="8" t="str">
        <x:v>6</x:v>
      </x:c>
      <x:c r="AW116" s="6" t="str">
        <x:v>Delayed retest (2+ bars)</x:v>
      </x:c>
      <x:c r="AX116" s="6" t="str">
        <x:v>18211.75</x:v>
      </x:c>
      <x:c r="AY116" s="6" t="str">
        <x:v>0.0</x:v>
      </x:c>
      <x:c r="AZ116" s="9" t="str">
        <x:v>0.0</x:v>
      </x:c>
      <x:c r="BA116" s="9" t="str">
        <x:v>0.8517156072175077</x:v>
      </x:c>
      <x:c r="BB116" s="9" t="str">
        <x:v>0.9172321923880852</x:v>
      </x:c>
      <x:c r="BC116" s="9" t="str">
        <x:v>0.5241326813646201</x:v>
      </x:c>
      <x:c r="BD116" s="6" t="str">
        <x:v>0.14285714285714285</x:v>
      </x:c>
      <x:c r="BE116" s="6" t="str">
        <x:v>0.2857142857142857</x:v>
      </x:c>
      <x:c r="BF116" s="9" t="str">
        <x:v>0.26206634068231005</x:v>
      </x:c>
      <x:c r="BG116" s="9" t="str">
        <x:v>0.13103317034115503</x:v>
      </x:c>
      <x:c r="BH116" s="6" t="str">
        <x:v>With trade</x:v>
      </x:c>
      <x:c r="BI116" s="6" t="str">
        <x:v>Tolerance-only shallow touch</x:v>
      </x:c>
      <x:c r="BJ116" s="6" t="str">
        <x:v>True</x:v>
      </x:c>
      <x:c r="BK116" s="10" t="str">
        <x:v>False</x:v>
      </x:c>
      <x:c r="BL116" s="6" t="str">
        <x:v>True</x:v>
      </x:c>
      <x:c r="BM116" s="7" t="str">
        <x:v>2024-05-19 22:15:00-05:00</x:v>
      </x:c>
      <x:c r="BN116" s="8" t="str">
        <x:v>1</x:v>
      </x:c>
      <x:c r="BO116" s="6" t="str">
        <x:v>Immediate confirmation (1 bar)</x:v>
      </x:c>
      <x:c r="BP116" s="9" t="str">
        <x:v>0.5151248000199248</x:v>
      </x:c>
      <x:c r="BQ116" s="9" t="str">
        <x:v>1.2234214000473214</x:v>
      </x:c>
      <x:c r="BR116" s="10" t="str">
        <x:v>0.42105263157894735</x:v>
      </x:c>
      <x:c r="BS116" s="9" t="str">
        <x:v>1.287812000049812</x:v>
      </x:c>
      <x:c r="BT116" s="9" t="str">
        <x:v>0.4507342000174342</x:v>
      </x:c>
      <x:c r="BU116" s="9" t="str">
        <x:v>0.0643906000024906</x:v>
      </x:c>
      <x:c r="BV116" s="6" t="str">
        <x:v>With trade</x:v>
      </x:c>
      <x:c r="BW116" s="7" t="str">
        <x:v>2024-05-19 22:15:00-05:00</x:v>
      </x:c>
      <x:c r="BX116" s="6" t="str">
        <x:v>18216.5</x:v>
      </x:c>
      <x:c r="BY116" s="9" t="str">
        <x:v>3.8825542857238498</x:v>
      </x:c>
      <x:c r="BZ116" s="9" t="str">
        <x:v>0.02</x:v>
      </x:c>
      <x:c r="CA116" s="6" t="str">
        <x:v>18210.676168571415</x:v>
      </x:c>
      <x:c r="CB116" s="6" t="str">
        <x:v>5.823831428584526</x:v>
      </x:c>
      <x:c r="CC116" s="9" t="str">
        <x:v>1.4999999999996785</x:v>
      </x:c>
      <x:c r="CD116" s="6" t="str">
        <x:v>18228.147662857173</x:v>
      </x:c>
      <x:c r="CE116" s="6" t="str">
        <x:v>11.64766285717269</x:v>
      </x:c>
      <x:c r="CF116" s="6" t="str">
        <x:v>Fixed 2.00R target</x:v>
      </x:c>
      <x:c r="CG116" s="9" t="str">
        <x:v>0.12448849333817517</x:v>
      </x:c>
      <x:c r="CH116" s="9" t="str">
        <x:v>-1.0</x:v>
      </x:c>
      <x:c r="CI116" s="9" t="str">
        <x:v>-1.1244884933381751</x:v>
      </x:c>
      <x:c r="CJ116" s="6" t="str">
        <x:v>Loss</x:v>
      </x:c>
      <x:c r="CK116" s="9" t="str">
        <x:v>0.5151248000200352</x:v>
      </x:c>
      <x:c r="CL116" s="9" t="str">
        <x:v>1.287812000050088</x:v>
      </x:c>
      <x:c r="CM116" s="7" t="str">
        <x:v>2024-05-19 22:45:00-05:00</x:v>
      </x:c>
      <x:c r="CN116" s="6" t="str">
        <x:v>18210.676168571415</x:v>
      </x:c>
      <x:c r="CO116" s="6" t="str">
        <x:v>STOP</x:v>
      </x:c>
      <x:c r="CP116" s="6" t="str">
        <x:v>F::Long::Same-bar Setup+BOS::Tolerance-only shallow touch</x:v>
      </x:c>
    </x:row>
    <x:row r="117" ht="18" customHeight="1">
      <x:c r="A117" s="6" t="str">
        <x:v>A0116</x:v>
      </x:c>
      <x:c r="B117" s="6" t="str">
        <x:v>2024-05-20</x:v>
      </x:c>
      <x:c r="C117" s="6" t="str">
        <x:v>2024</x:v>
      </x:c>
      <x:c r="D117" s="6" t="str">
        <x:v>2024-Q2</x:v>
      </x:c>
      <x:c r="E117" s="6" t="str">
        <x:v>First 50%</x:v>
      </x:c>
      <x:c r="F117" s="6" t="str">
        <x:v>Long</x:v>
      </x:c>
      <x:c r="G117" s="6" t="str">
        <x:v>Long</x:v>
      </x:c>
      <x:c r="H117" s="6" t="str">
        <x:v>Premarket</x:v>
      </x:c>
      <x:c r="I117" s="6" t="str">
        <x:v>Premarket</x:v>
      </x:c>
      <x:c r="J117" s="6" t="str">
        <x:v>Bull</x:v>
      </x:c>
      <x:c r="K117" s="6" t="str">
        <x:v>Bull</x:v>
      </x:c>
      <x:c r="L117" s="6" t="str">
        <x:v>MID</x:v>
      </x:c>
      <x:c r="M117" s="7" t="str">
        <x:v>2024-05-20 05:50:00-05:00</x:v>
      </x:c>
      <x:c r="N117" s="6" t="str">
        <x:v>75.0</x:v>
      </x:c>
      <x:c r="O117" s="6" t="str">
        <x:v>75-79</x:v>
      </x:c>
      <x:c r="P117" s="6" t="str">
        <x:v>Matching BOS only</x:v>
      </x:c>
      <x:c r="Q117" s="6" t="str">
        <x:v>Bull BOS</x:v>
      </x:c>
      <x:c r="R117" s="6" t="str">
        <x:v>True</x:v>
      </x:c>
      <x:c r="S117" s="6" t="str">
        <x:v>False</x:v>
      </x:c>
      <x:c r="T117" s="6" t="str">
        <x:v>Recent SSL</x:v>
      </x:c>
      <x:c r="U117" s="6" t="str">
        <x:v>SSL</x:v>
      </x:c>
      <x:c r="V117" s="6" t="str">
        <x:v>Equal low / sell-side</x:v>
      </x:c>
      <x:c r="W117" s="6" t="str">
        <x:v>[18194.75]</x:v>
      </x:c>
      <x:c r="X117" s="8" t="str">
        <x:v>1</x:v>
      </x:c>
      <x:c r="Y117" s="8" t="str">
        <x:v>20.0</x:v>
      </x:c>
      <x:c r="Z117" s="6" t="str">
        <x:v>None</x:v>
      </x:c>
      <x:c r="AA117" s="6" t="str">
        <x:v>18214.75</x:v>
      </x:c>
      <x:c r="AB117" s="9" t="str">
        <x:v>0.22838362396644082</x:v>
      </x:c>
      <x:c r="AC117" s="9" t="str">
        <x:v>0.45676724793288165</x:v>
      </x:c>
      <x:c r="AD117" s="9" t="str">
        <x:v>0.9135344958657633</x:v>
      </x:c>
      <x:c r="AE117" s="6" t="str">
        <x:v>With trade</x:v>
      </x:c>
      <x:c r="AF117" s="7" t="str">
        <x:v>2024-05-20 05:50:00-05:00</x:v>
      </x:c>
      <x:c r="AG117" s="6" t="str">
        <x:v>Long</x:v>
      </x:c>
      <x:c r="AH117" s="6" t="str">
        <x:v>18214.75</x:v>
      </x:c>
      <x:c r="AI117" s="8" t="str">
        <x:v>0</x:v>
      </x:c>
      <x:c r="AJ117" s="6" t="str">
        <x:v>True</x:v>
      </x:c>
      <x:c r="AK117" s="6" t="str">
        <x:v>Same-bar Setup+BOS</x:v>
      </x:c>
      <x:c r="AL117" s="9" t="str">
        <x:v>0.45676724793288165</x:v>
      </x:c>
      <x:c r="AM117" s="9" t="str">
        <x:v>0.22838362396644082</x:v>
      </x:c>
      <x:c r="AN117" s="9" t="str">
        <x:v>0.45676724793288165</x:v>
      </x:c>
      <x:c r="AO117" s="9" t="str">
        <x:v>0.9135344958657633</x:v>
      </x:c>
      <x:c r="AP117" s="10" t="str">
        <x:v>0.5</x:v>
      </x:c>
      <x:c r="AQ117" s="6" t="str">
        <x:v>0.25</x:v>
      </x:c>
      <x:c r="AR117" s="6" t="str">
        <x:v>0.25</x:v>
      </x:c>
      <x:c r="AS117" s="6" t="str">
        <x:v>With trade</x:v>
      </x:c>
      <x:c r="AT117" s="6" t="str">
        <x:v>0.9464644619038919</x:v>
      </x:c>
      <x:c r="AU117" s="7" t="str">
        <x:v>2024-05-20 05:55:00-05:00</x:v>
      </x:c>
      <x:c r="AV117" s="8" t="str">
        <x:v>1</x:v>
      </x:c>
      <x:c r="AW117" s="6" t="str">
        <x:v>Immediate retest (1 bar)</x:v>
      </x:c>
      <x:c r="AX117" s="6" t="str">
        <x:v>18214.0</x:v>
      </x:c>
      <x:c r="AY117" s="6" t="str">
        <x:v>0.75</x:v>
      </x:c>
      <x:c r="AZ117" s="9" t="str">
        <x:v>0.1702561818132984</x:v>
      </x:c>
      <x:c r="BA117" s="9" t="str">
        <x:v>0.4540164848354624</x:v>
      </x:c>
      <x:c r="BB117" s="9" t="str">
        <x:v>1.0782891514842232</x:v>
      </x:c>
      <x:c r="BC117" s="9" t="str">
        <x:v>0.28376030302216404</x:v>
      </x:c>
      <x:c r="BD117" s="6" t="str">
        <x:v>0.42105263157894735</x:v>
      </x:c>
      <x:c r="BE117" s="6" t="str">
        <x:v>0.3157894736842105</x:v>
      </x:c>
      <x:c r="BF117" s="9" t="str">
        <x:v>0.3405123636265968</x:v>
      </x:c>
      <x:c r="BG117" s="9" t="str">
        <x:v>0.4540164848354624</x:v>
      </x:c>
      <x:c r="BH117" s="6" t="str">
        <x:v>With trade</x:v>
      </x:c>
      <x:c r="BI117" s="6" t="str">
        <x:v>Penetration + same-bar reclaim</x:v>
      </x:c>
      <x:c r="BJ117" s="6" t="str">
        <x:v>False</x:v>
      </x:c>
      <x:c r="BK117" s="10" t="str">
        <x:v>True</x:v>
      </x:c>
      <x:c r="BL117" s="6" t="str">
        <x:v>True</x:v>
      </x:c>
      <x:c r="BM117" s="7" t="str">
        <x:v>2024-05-20 06:00:00-05:00</x:v>
      </x:c>
      <x:c r="BN117" s="8" t="str">
        <x:v>1</x:v>
      </x:c>
      <x:c r="BO117" s="6" t="str">
        <x:v>Immediate confirmation (1 bar)</x:v>
      </x:c>
      <x:c r="BP117" s="9" t="str">
        <x:v>0.16862961413566113</x:v>
      </x:c>
      <x:c r="BQ117" s="9" t="str">
        <x:v>1.1241974275710742</x:v>
      </x:c>
      <x:c r="BR117" s="10" t="str">
        <x:v>0.15</x:v>
      </x:c>
      <x:c r="BS117" s="9" t="str">
        <x:v>0.7307283279211982</x:v>
      </x:c>
      <x:c r="BT117" s="9" t="str">
        <x:v>0.28104935689276855</x:v>
      </x:c>
      <x:c r="BU117" s="9" t="str">
        <x:v>0.16862961413566113</x:v>
      </x:c>
      <x:c r="BV117" s="6" t="str">
        <x:v>With trade</x:v>
      </x:c>
      <x:c r="BW117" s="7" t="str">
        <x:v>2024-05-20 06:00:00-05:00</x:v>
      </x:c>
      <x:c r="BX117" s="6" t="str">
        <x:v>18218.0</x:v>
      </x:c>
      <x:c r="BY117" s="9" t="str">
        <x:v>4.447617364507702</x:v>
      </x:c>
      <x:c r="BZ117" s="9" t="str">
        <x:v>0.51</x:v>
      </x:c>
      <x:c r="CA117" s="6" t="str">
        <x:v>18211.328573953237</x:v>
      </x:c>
      <x:c r="CB117" s="6" t="str">
        <x:v>6.671426046763372</x:v>
      </x:c>
      <x:c r="CC117" s="9" t="str">
        <x:v>1.5000000000004088</x:v>
      </x:c>
      <x:c r="CD117" s="6" t="str">
        <x:v>18231.342852093523</x:v>
      </x:c>
      <x:c r="CE117" s="6" t="str">
        <x:v>13.342852093523106</x:v>
      </x:c>
      <x:c r="CF117" s="6" t="str">
        <x:v>Fixed 2.00R target</x:v>
      </x:c>
      <x:c r="CG117" s="9" t="str">
        <x:v>0.10867241799850756</x:v>
      </x:c>
      <x:c r="CH117" s="9" t="str">
        <x:v>-1.0</x:v>
      </x:c>
      <x:c r="CI117" s="9" t="str">
        <x:v>-1.1086724179985075</x:v>
      </x:c>
      <x:c r="CJ117" s="6" t="str">
        <x:v>Loss</x:v>
      </x:c>
      <x:c r="CK117" s="9" t="str">
        <x:v>0.14989299034276904</x:v>
      </x:c>
      <x:c r="CL117" s="9" t="str">
        <x:v>1.0492509323993833</x:v>
      </x:c>
      <x:c r="CM117" s="7" t="str">
        <x:v>2024-05-20 06:05:00-05:00</x:v>
      </x:c>
      <x:c r="CN117" s="6" t="str">
        <x:v>18211.328573953237</x:v>
      </x:c>
      <x:c r="CO117" s="6" t="str">
        <x:v>STOP</x:v>
      </x:c>
      <x:c r="CP117" s="6" t="str">
        <x:v>F::Long::Same-bar Setup+BOS::Penetration + same-bar reclaim</x:v>
      </x:c>
    </x:row>
    <x:row r="118" ht="18" customHeight="1">
      <x:c r="A118" s="6" t="str">
        <x:v>A0117</x:v>
      </x:c>
      <x:c r="B118" s="6" t="str">
        <x:v>2024-05-22</x:v>
      </x:c>
      <x:c r="C118" s="6" t="str">
        <x:v>2024</x:v>
      </x:c>
      <x:c r="D118" s="6" t="str">
        <x:v>2024-Q2</x:v>
      </x:c>
      <x:c r="E118" s="6" t="str">
        <x:v>First 50%</x:v>
      </x:c>
      <x:c r="F118" s="6" t="str">
        <x:v>Long</x:v>
      </x:c>
      <x:c r="G118" s="6" t="str">
        <x:v>Long</x:v>
      </x:c>
      <x:c r="H118" s="6" t="str">
        <x:v>Opening</x:v>
      </x:c>
      <x:c r="I118" s="6" t="str">
        <x:v>Opening</x:v>
      </x:c>
      <x:c r="J118" s="6" t="str">
        <x:v>Bull</x:v>
      </x:c>
      <x:c r="K118" s="6" t="str">
        <x:v>Bull</x:v>
      </x:c>
      <x:c r="L118" s="6" t="str">
        <x:v>HIGH</x:v>
      </x:c>
      <x:c r="M118" s="7" t="str">
        <x:v>2024-05-22 10:10:00-05:00</x:v>
      </x:c>
      <x:c r="N118" s="6" t="str">
        <x:v>85.0</x:v>
      </x:c>
      <x:c r="O118" s="6" t="str">
        <x:v>85-89</x:v>
      </x:c>
      <x:c r="P118" s="6" t="str">
        <x:v>Matching BOS only</x:v>
      </x:c>
      <x:c r="Q118" s="6" t="str">
        <x:v>Bull BOS</x:v>
      </x:c>
      <x:c r="R118" s="6" t="str">
        <x:v>True</x:v>
      </x:c>
      <x:c r="S118" s="6" t="str">
        <x:v>False</x:v>
      </x:c>
      <x:c r="T118" s="6" t="str">
        <x:v>Recent SSL</x:v>
      </x:c>
      <x:c r="U118" s="6" t="str">
        <x:v>SSL</x:v>
      </x:c>
      <x:c r="V118" s="6" t="str">
        <x:v>Swing low / sell-side</x:v>
      </x:c>
      <x:c r="W118" s="6" t="str">
        <x:v>[18333.0]</x:v>
      </x:c>
      <x:c r="X118" s="8" t="str">
        <x:v>1</x:v>
      </x:c>
      <x:c r="Y118" s="8" t="str">
        <x:v>18.0</x:v>
      </x:c>
      <x:c r="Z118" s="6" t="str">
        <x:v>Sweep below CRT reference</x:v>
      </x:c>
      <x:c r="AA118" s="6" t="str">
        <x:v>18373.0</x:v>
      </x:c>
      <x:c r="AB118" s="9" t="str">
        <x:v>0.15521486253553798</x:v>
      </x:c>
      <x:c r="AC118" s="9" t="str">
        <x:v>0.31042972507107597</x:v>
      </x:c>
      <x:c r="AD118" s="9" t="str">
        <x:v>0.7372705970438055</x:v>
      </x:c>
      <x:c r="AE118" s="6" t="str">
        <x:v>With trade</x:v>
      </x:c>
      <x:c r="AF118" s="7" t="str">
        <x:v>2024-05-22 10:10:00-05:00</x:v>
      </x:c>
      <x:c r="AG118" s="6" t="str">
        <x:v>Long</x:v>
      </x:c>
      <x:c r="AH118" s="6" t="str">
        <x:v>18373.0</x:v>
      </x:c>
      <x:c r="AI118" s="8" t="str">
        <x:v>0</x:v>
      </x:c>
      <x:c r="AJ118" s="6" t="str">
        <x:v>True</x:v>
      </x:c>
      <x:c r="AK118" s="6" t="str">
        <x:v>Same-bar Setup+BOS</x:v>
      </x:c>
      <x:c r="AL118" s="9" t="str">
        <x:v>0.36863529852190274</x:v>
      </x:c>
      <x:c r="AM118" s="9" t="str">
        <x:v>0.15521486253553798</x:v>
      </x:c>
      <x:c r="AN118" s="9" t="str">
        <x:v>0.31042972507107597</x:v>
      </x:c>
      <x:c r="AO118" s="9" t="str">
        <x:v>0.7372705970438055</x:v>
      </x:c>
      <x:c r="AP118" s="10" t="str">
        <x:v>0.42105263157894735</x:v>
      </x:c>
      <x:c r="AQ118" s="6" t="str">
        <x:v>0.3157894736842105</x:v>
      </x:c>
      <x:c r="AR118" s="6" t="str">
        <x:v>0.2631578947368421</x:v>
      </x:c>
      <x:c r="AS118" s="6" t="str">
        <x:v>With trade</x:v>
      </x:c>
      <x:c r="AT118" s="6" t="str">
        <x:v>0.47779694393136823</x:v>
      </x:c>
      <x:c r="AU118" s="7" t="str">
        <x:v>2024-05-22 10:15:00-05:00</x:v>
      </x:c>
      <x:c r="AV118" s="8" t="str">
        <x:v>1</x:v>
      </x:c>
      <x:c r="AW118" s="6" t="str">
        <x:v>Immediate retest (1 bar)</x:v>
      </x:c>
      <x:c r="AX118" s="6" t="str">
        <x:v>18368.0</x:v>
      </x:c>
      <x:c r="AY118" s="6" t="str">
        <x:v>5.0</x:v>
      </x:c>
      <x:c r="AZ118" s="9" t="str">
        <x:v>0.3977052818077447</x:v>
      </x:c>
      <x:c r="BA118" s="9" t="str">
        <x:v>0.23862316908464684</x:v>
      </x:c>
      <x:c r="BB118" s="9" t="str">
        <x:v>0.6760989790731661</x:v>
      </x:c>
      <x:c r="BC118" s="9" t="str">
        <x:v>0.11931158454232342</x:v>
      </x:c>
      <x:c r="BD118" s="6" t="str">
        <x:v>0.058823529411764705</x:v>
      </x:c>
      <x:c r="BE118" s="6" t="str">
        <x:v>0.7647058823529411</x:v>
      </x:c>
      <x:c r="BF118" s="9" t="str">
        <x:v>0.5170168663500682</x:v>
      </x:c>
      <x:c r="BG118" s="9" t="str">
        <x:v>0.03977052818077447</x:v>
      </x:c>
      <x:c r="BH118" s="6" t="str">
        <x:v>With trade</x:v>
      </x:c>
      <x:c r="BI118" s="6" t="str">
        <x:v>Penetration + same-bar reclaim</x:v>
      </x:c>
      <x:c r="BJ118" s="6" t="str">
        <x:v>False</x:v>
      </x:c>
      <x:c r="BK118" s="10" t="str">
        <x:v>True</x:v>
      </x:c>
      <x:c r="BL118" s="6" t="str">
        <x:v>True</x:v>
      </x:c>
      <x:c r="BM118" s="7" t="str">
        <x:v>2024-05-22 10:25:00-05:00</x:v>
      </x:c>
      <x:c r="BN118" s="8" t="str">
        <x:v>2</x:v>
      </x:c>
      <x:c r="BO118" s="6" t="str">
        <x:v>Delayed confirmation (2+ bars)</x:v>
      </x:c>
      <x:c r="BP118" s="9" t="str">
        <x:v>0.06343893656560912</x:v>
      </x:c>
      <x:c r="BQ118" s="9" t="str">
        <x:v>0.6132430534675547</x:v>
      </x:c>
      <x:c r="BR118" s="10" t="str">
        <x:v>0.10344827586206896</x:v>
      </x:c>
      <x:c r="BS118" s="9" t="str">
        <x:v>0.08458524875414548</x:v>
      </x:c>
      <x:c r="BT118" s="9" t="str">
        <x:v>-0.16917049750829097</x:v>
      </x:c>
      <x:c r="BU118" s="9" t="str">
        <x:v>0.3171946828280455</x:v>
      </x:c>
      <x:c r="BV118" s="6" t="str">
        <x:v>With trade</x:v>
      </x:c>
      <x:c r="BW118" s="7" t="str">
        <x:v>2024-05-22 10:25:00-05:00</x:v>
      </x:c>
      <x:c r="BX118" s="6" t="str">
        <x:v>18374.0</x:v>
      </x:c>
      <x:c r="BY118" s="9" t="str">
        <x:v>11.822392376081893</x:v>
      </x:c>
      <x:c r="BZ118" s="9" t="str">
        <x:v>0.83</x:v>
      </x:c>
      <x:c r="CA118" s="6" t="str">
        <x:v>18356.266411435878</x:v>
      </x:c>
      <x:c r="CB118" s="6" t="str">
        <x:v>17.73358856412233</x:v>
      </x:c>
      <x:c r="CC118" s="9" t="str">
        <x:v>1.4999999999999567</x:v>
      </x:c>
      <x:c r="CD118" s="6" t="str">
        <x:v>18409.467177128245</x:v>
      </x:c>
      <x:c r="CE118" s="6" t="str">
        <x:v>35.46717712824466</x:v>
      </x:c>
      <x:c r="CF118" s="6" t="str">
        <x:v>Fixed 2.00R target</x:v>
      </x:c>
      <x:c r="CG118" s="9" t="str">
        <x:v>0.04088287023117149</x:v>
      </x:c>
      <x:c r="CH118" s="9" t="str">
        <x:v>-1.0</x:v>
      </x:c>
      <x:c r="CI118" s="9" t="str">
        <x:v>-1.0408828702311714</x:v>
      </x:c>
      <x:c r="CJ118" s="6" t="str">
        <x:v>Loss</x:v>
      </x:c>
      <x:c r="CK118" s="9" t="str">
        <x:v>0.2114631218853698</x:v>
      </x:c>
      <x:c r="CL118" s="9" t="str">
        <x:v>1.9031680969683282</x:v>
      </x:c>
      <x:c r="CM118" s="7" t="str">
        <x:v>2024-05-22 10:50:00-05:00</x:v>
      </x:c>
      <x:c r="CN118" s="6" t="str">
        <x:v>18356.266411435878</x:v>
      </x:c>
      <x:c r="CO118" s="6" t="str">
        <x:v>STOP</x:v>
      </x:c>
      <x:c r="CP118" s="6" t="str">
        <x:v>F::Long::Same-bar Setup+BOS::Penetration + same-bar reclaim</x:v>
      </x:c>
    </x:row>
    <x:row r="119" ht="18" customHeight="1">
      <x:c r="A119" s="6" t="str">
        <x:v>A0118</x:v>
      </x:c>
      <x:c r="B119" s="6" t="str">
        <x:v>2024-05-29</x:v>
      </x:c>
      <x:c r="C119" s="6" t="str">
        <x:v>2024</x:v>
      </x:c>
      <x:c r="D119" s="6" t="str">
        <x:v>2024-Q2</x:v>
      </x:c>
      <x:c r="E119" s="6" t="str">
        <x:v>First 50%</x:v>
      </x:c>
      <x:c r="F119" s="6" t="str">
        <x:v>Long</x:v>
      </x:c>
      <x:c r="G119" s="6" t="str">
        <x:v>Long</x:v>
      </x:c>
      <x:c r="H119" s="6" t="str">
        <x:v>Morning</x:v>
      </x:c>
      <x:c r="I119" s="6" t="str">
        <x:v>Morning</x:v>
      </x:c>
      <x:c r="J119" s="6" t="str">
        <x:v>Bear</x:v>
      </x:c>
      <x:c r="K119" s="6" t="str">
        <x:v>Bear</x:v>
      </x:c>
      <x:c r="L119" s="6" t="str">
        <x:v>MID</x:v>
      </x:c>
      <x:c r="M119" s="7" t="str">
        <x:v>2024-05-29 11:30:00-05:00</x:v>
      </x:c>
      <x:c r="N119" s="6" t="str">
        <x:v>85.0</x:v>
      </x:c>
      <x:c r="O119" s="6" t="str">
        <x:v>85-89</x:v>
      </x:c>
      <x:c r="P119" s="6" t="str">
        <x:v>Matching BOS only</x:v>
      </x:c>
      <x:c r="Q119" s="6" t="str">
        <x:v>Bull BOS</x:v>
      </x:c>
      <x:c r="R119" s="6" t="str">
        <x:v>True</x:v>
      </x:c>
      <x:c r="S119" s="6" t="str">
        <x:v>False</x:v>
      </x:c>
      <x:c r="T119" s="6" t="str">
        <x:v>Recent SSL</x:v>
      </x:c>
      <x:c r="U119" s="6" t="str">
        <x:v>SSL</x:v>
      </x:c>
      <x:c r="V119" s="6" t="str">
        <x:v>Swing low / sell-side</x:v>
      </x:c>
      <x:c r="W119" s="6" t="str">
        <x:v>[18363.0]</x:v>
      </x:c>
      <x:c r="X119" s="8" t="str">
        <x:v>1</x:v>
      </x:c>
      <x:c r="Y119" s="8" t="str">
        <x:v>4.0</x:v>
      </x:c>
      <x:c r="Z119" s="6" t="str">
        <x:v>Sweep above CRT reference</x:v>
      </x:c>
      <x:c r="AA119" s="6" t="str">
        <x:v>18396.5</x:v>
      </x:c>
      <x:c r="AB119" s="9" t="str">
        <x:v>0.0715362887520829</x:v>
      </x:c>
      <x:c r="AC119" s="9" t="str">
        <x:v>0.2146088662562487</x:v>
      </x:c>
      <x:c r="AD119" s="9" t="str">
        <x:v>0.7439774030216622</x:v>
      </x:c>
      <x:c r="AE119" s="6" t="str">
        <x:v>With trade</x:v>
      </x:c>
      <x:c r="AF119" s="7" t="str">
        <x:v>2024-05-29 11:30:00-05:00</x:v>
      </x:c>
      <x:c r="AG119" s="6" t="str">
        <x:v>Long</x:v>
      </x:c>
      <x:c r="AH119" s="6" t="str">
        <x:v>18396.5</x:v>
      </x:c>
      <x:c r="AI119" s="8" t="str">
        <x:v>0</x:v>
      </x:c>
      <x:c r="AJ119" s="6" t="str">
        <x:v>True</x:v>
      </x:c>
      <x:c r="AK119" s="6" t="str">
        <x:v>Same-bar Setup+BOS</x:v>
      </x:c>
      <x:c r="AL119" s="9" t="str">
        <x:v>0.18599435075541554</x:v>
      </x:c>
      <x:c r="AM119" s="9" t="str">
        <x:v>0.0715362887520829</x:v>
      </x:c>
      <x:c r="AN119" s="9" t="str">
        <x:v>0.2146088662562487</x:v>
      </x:c>
      <x:c r="AO119" s="9" t="str">
        <x:v>0.7439774030216622</x:v>
      </x:c>
      <x:c r="AP119" s="10" t="str">
        <x:v>0.28846153846153844</x:v>
      </x:c>
      <x:c r="AQ119" s="6" t="str">
        <x:v>0.23076923076923078</x:v>
      </x:c>
      <x:c r="AR119" s="6" t="str">
        <x:v>0.4807692307692308</x:v>
      </x:c>
      <x:c r="AS119" s="6" t="str">
        <x:v>With trade</x:v>
      </x:c>
      <x:c r="AT119" s="6" t="str">
        <x:v>0.8433749530718274</x:v>
      </x:c>
      <x:c r="AU119" s="7" t="str">
        <x:v>2024-05-29 11:35:00-05:00</x:v>
      </x:c>
      <x:c r="AV119" s="8" t="str">
        <x:v>1</x:v>
      </x:c>
      <x:c r="AW119" s="6" t="str">
        <x:v>Immediate retest (1 bar)</x:v>
      </x:c>
      <x:c r="AX119" s="6" t="str">
        <x:v>18394.0</x:v>
      </x:c>
      <x:c r="AY119" s="6" t="str">
        <x:v>2.5</x:v>
      </x:c>
      <x:c r="AZ119" s="9" t="str">
        <x:v>0.1421854258693919</x:v>
      </x:c>
      <x:c r="BA119" s="9" t="str">
        <x:v>0.6256158738253244</x:v>
      </x:c>
      <x:c r="BB119" s="9" t="str">
        <x:v>1.0806092366073783</x:v>
      </x:c>
      <x:c r="BC119" s="9" t="str">
        <x:v>0.5403046183036891</x:v>
      </x:c>
      <x:c r="BD119" s="6" t="str">
        <x:v>0.2894736842105263</x:v>
      </x:c>
      <x:c r="BE119" s="6" t="str">
        <x:v>0.21052631578947367</x:v>
      </x:c>
      <x:c r="BF119" s="9" t="str">
        <x:v>0.22749668139102702</x:v>
      </x:c>
      <x:c r="BG119" s="9" t="str">
        <x:v>0.3128079369126622</x:v>
      </x:c>
      <x:c r="BH119" s="6" t="str">
        <x:v>With trade</x:v>
      </x:c>
      <x:c r="BI119" s="6" t="str">
        <x:v>Penetration + same-bar reclaim</x:v>
      </x:c>
      <x:c r="BJ119" s="6" t="str">
        <x:v>False</x:v>
      </x:c>
      <x:c r="BK119" s="10" t="str">
        <x:v>True</x:v>
      </x:c>
      <x:c r="BL119" s="6" t="str">
        <x:v>True</x:v>
      </x:c>
      <x:c r="BM119" s="7" t="str">
        <x:v>2024-05-29 11:45:00-05:00</x:v>
      </x:c>
      <x:c r="BN119" s="8" t="str">
        <x:v>2</x:v>
      </x:c>
      <x:c r="BO119" s="6" t="str">
        <x:v>Delayed confirmation (2+ bars)</x:v>
      </x:c>
      <x:c r="BP119" s="9" t="str">
        <x:v>0.35336836646277764</x:v>
      </x:c>
      <x:c r="BQ119" s="9" t="str">
        <x:v>0.7067367329255553</x:v>
      </x:c>
      <x:c r="BR119" s="10" t="str">
        <x:v>0.5</x:v>
      </x:c>
      <x:c r="BS119" s="9" t="str">
        <x:v>0.4564341400144211</x:v>
      </x:c>
      <x:c r="BT119" s="9" t="str">
        <x:v>-0.1914078651673379</x:v>
      </x:c>
      <x:c r="BU119" s="9" t="str">
        <x:v>0.08834209161569441</x:v>
      </x:c>
      <x:c r="BV119" s="6" t="str">
        <x:v>With trade</x:v>
      </x:c>
      <x:c r="BW119" s="7" t="str">
        <x:v>2024-05-29 11:45:00-05:00</x:v>
      </x:c>
      <x:c r="BX119" s="6" t="str">
        <x:v>18404.25</x:v>
      </x:c>
      <x:c r="BY119" s="9" t="str">
        <x:v>16.979448556926826</x:v>
      </x:c>
      <x:c r="BZ119" s="9" t="str">
        <x:v>0.64</x:v>
      </x:c>
      <x:c r="CA119" s="6" t="str">
        <x:v>18378.78082716461</x:v>
      </x:c>
      <x:c r="CB119" s="6" t="str">
        <x:v>25.469172835390054</x:v>
      </x:c>
      <x:c r="CC119" s="9" t="str">
        <x:v>1.4999999999999891</x:v>
      </x:c>
      <x:c r="CD119" s="6" t="str">
        <x:v>18455.18834567078</x:v>
      </x:c>
      <x:c r="CE119" s="6" t="str">
        <x:v>50.93834567078011</x:v>
      </x:c>
      <x:c r="CF119" s="6" t="str">
        <x:v>Fixed 2.00R target</x:v>
      </x:c>
      <x:c r="CG119" s="9" t="str">
        <x:v>0.028465785076168405</x:v>
      </x:c>
      <x:c r="CH119" s="9" t="str">
        <x:v>-1.0</x:v>
      </x:c>
      <x:c r="CI119" s="9" t="str">
        <x:v>-1.0284657850761685</x:v>
      </x:c>
      <x:c r="CJ119" s="6" t="str">
        <x:v>Loss</x:v>
      </x:c>
      <x:c r="CK119" s="9" t="str">
        <x:v>0.5496841256087692</x:v>
      </x:c>
      <x:c r="CL119" s="9" t="str">
        <x:v>1.0895524632602391</x:v>
      </x:c>
      <x:c r="CM119" s="7" t="str">
        <x:v>2024-05-29 12:05:00-05:00</x:v>
      </x:c>
      <x:c r="CN119" s="6" t="str">
        <x:v>18378.78082716461</x:v>
      </x:c>
      <x:c r="CO119" s="6" t="str">
        <x:v>STOP</x:v>
      </x:c>
      <x:c r="CP119" s="6" t="str">
        <x:v>F::Long::Same-bar Setup+BOS::Penetration + same-bar reclaim</x:v>
      </x:c>
    </x:row>
    <x:row r="120" ht="18" customHeight="1">
      <x:c r="A120" s="6" t="str">
        <x:v>A0119</x:v>
      </x:c>
      <x:c r="B120" s="6" t="str">
        <x:v>2024-05-29</x:v>
      </x:c>
      <x:c r="C120" s="6" t="str">
        <x:v>2024</x:v>
      </x:c>
      <x:c r="D120" s="6" t="str">
        <x:v>2024-Q2</x:v>
      </x:c>
      <x:c r="E120" s="6" t="str">
        <x:v>First 50%</x:v>
      </x:c>
      <x:c r="F120" s="6" t="str">
        <x:v>Short</x:v>
      </x:c>
      <x:c r="G120" s="6" t="str">
        <x:v>Short</x:v>
      </x:c>
      <x:c r="H120" s="6" t="str">
        <x:v>Afternoon</x:v>
      </x:c>
      <x:c r="I120" s="6" t="str">
        <x:v>Afternoon</x:v>
      </x:c>
      <x:c r="J120" s="6" t="str">
        <x:v>Bear</x:v>
      </x:c>
      <x:c r="K120" s="6" t="str">
        <x:v>Bear</x:v>
      </x:c>
      <x:c r="L120" s="6" t="str">
        <x:v>HIGH</x:v>
      </x:c>
      <x:c r="M120" s="7" t="str">
        <x:v>2024-05-29 14:50:00-05:00</x:v>
      </x:c>
      <x:c r="N120" s="6" t="str">
        <x:v>75.0</x:v>
      </x:c>
      <x:c r="O120" s="6" t="str">
        <x:v>75-79</x:v>
      </x:c>
      <x:c r="P120" s="6" t="str">
        <x:v>Matching BOS only</x:v>
      </x:c>
      <x:c r="Q120" s="6" t="str">
        <x:v>Bear CHoCH</x:v>
      </x:c>
      <x:c r="R120" s="6" t="str">
        <x:v>True</x:v>
      </x:c>
      <x:c r="S120" s="6" t="str">
        <x:v>False</x:v>
      </x:c>
      <x:c r="T120" s="6" t="str">
        <x:v>No recent matching sweep</x:v>
      </x:c>
      <x:c r="U120" s="6" t="str">
        <x:v>None</x:v>
      </x:c>
      <x:c r="V120" s="6" t="str">
        <x:v>None</x:v>
      </x:c>
      <x:c r="W120" s="6" t="str">
        <x:v>[]</x:v>
      </x:c>
      <x:c r="X120" s="8" t="str">
        <x:v>0</x:v>
      </x:c>
      <x:c r="Y120" s="8" t="str"/>
      <x:c r="Z120" s="6" t="str">
        <x:v>None</x:v>
      </x:c>
      <x:c r="AA120" s="6" t="str">
        <x:v>18354.25</x:v>
      </x:c>
      <x:c r="AB120" s="9" t="str">
        <x:v>1.1415088527989103</x:v>
      </x:c>
      <x:c r="AC120" s="9" t="str">
        <x:v>1.7713068405500332</x:v>
      </x:c>
      <x:c r="AD120" s="9" t="str">
        <x:v>2.3355008712437475</x:v>
      </x:c>
      <x:c r="AE120" s="6" t="str">
        <x:v>With trade</x:v>
      </x:c>
      <x:c r="AF120" s="7" t="str">
        <x:v>2024-05-29 14:50:00-05:00</x:v>
      </x:c>
      <x:c r="AG120" s="6" t="str">
        <x:v>Short</x:v>
      </x:c>
      <x:c r="AH120" s="6" t="str">
        <x:v>18354.25</x:v>
      </x:c>
      <x:c r="AI120" s="8" t="str">
        <x:v>0</x:v>
      </x:c>
      <x:c r="AJ120" s="6" t="str">
        <x:v>True</x:v>
      </x:c>
      <x:c r="AK120" s="6" t="str">
        <x:v>Same-bar Setup+BOS</x:v>
      </x:c>
      <x:c r="AL120" s="9" t="str">
        <x:v>1.7450652577270698</x:v>
      </x:c>
      <x:c r="AM120" s="9" t="str">
        <x:v>1.1415088527989103</x:v>
      </x:c>
      <x:c r="AN120" s="9" t="str">
        <x:v>1.7713068405500332</x:v>
      </x:c>
      <x:c r="AO120" s="9" t="str">
        <x:v>2.3355008712437475</x:v>
      </x:c>
      <x:c r="AP120" s="10" t="str">
        <x:v>0.7584269662921348</x:v>
      </x:c>
      <x:c r="AQ120" s="6" t="str">
        <x:v>0.11235955056179775</x:v>
      </x:c>
      <x:c r="AR120" s="6" t="str">
        <x:v>0.12921348314606743</x:v>
      </x:c>
      <x:c r="AS120" s="6" t="str">
        <x:v>With trade</x:v>
      </x:c>
      <x:c r="AT120" s="6" t="str">
        <x:v>3.4299811854417683</x:v>
      </x:c>
      <x:c r="AU120" s="7" t="str">
        <x:v>2024-05-29 15:00:00-05:00</x:v>
      </x:c>
      <x:c r="AV120" s="8" t="str">
        <x:v>2</x:v>
      </x:c>
      <x:c r="AW120" s="6" t="str">
        <x:v>Delayed retest (2+ bars)</x:v>
      </x:c>
      <x:c r="AX120" s="6" t="str">
        <x:v>18356.0</x:v>
      </x:c>
      <x:c r="AY120" s="6" t="str">
        <x:v>1.75</x:v>
      </x:c>
      <x:c r="AZ120" s="9" t="str">
        <x:v>0.08905435859613084</x:v>
      </x:c>
      <x:c r="BA120" s="9" t="str">
        <x:v>0.8778215347332896</x:v>
      </x:c>
      <x:c r="BB120" s="9" t="str">
        <x:v>1.0432082006975327</x:v>
      </x:c>
      <x:c r="BC120" s="9" t="str">
        <x:v>0.7251569199970653</x:v>
      </x:c>
      <x:c r="BD120" s="6" t="str">
        <x:v>0.23170731707317074</x:v>
      </x:c>
      <x:c r="BE120" s="6" t="str">
        <x:v>0.07317073170731707</x:v>
      </x:c>
      <x:c r="BF120" s="9" t="str">
        <x:v>0.24171897333235512</x:v>
      </x:c>
      <x:c r="BG120" s="9" t="str">
        <x:v>0.07633230736811214</x:v>
      </x:c>
      <x:c r="BH120" s="6" t="str">
        <x:v>With trade</x:v>
      </x:c>
      <x:c r="BI120" s="6" t="str">
        <x:v>Penetration + same-bar reclaim</x:v>
      </x:c>
      <x:c r="BJ120" s="6" t="str">
        <x:v>False</x:v>
      </x:c>
      <x:c r="BK120" s="10" t="str">
        <x:v>True</x:v>
      </x:c>
      <x:c r="BL120" s="6" t="str">
        <x:v>True</x:v>
      </x:c>
      <x:c r="BM120" s="7" t="str">
        <x:v>2024-05-29 15:05:00-05:00</x:v>
      </x:c>
      <x:c r="BN120" s="8" t="str">
        <x:v>1</x:v>
      </x:c>
      <x:c r="BO120" s="6" t="str">
        <x:v>Immediate confirmation (1 bar)</x:v>
      </x:c>
      <x:c r="BP120" s="9" t="str">
        <x:v>0.07955692133652474</x:v>
      </x:c>
      <x:c r="BQ120" s="9" t="str">
        <x:v>0.45082255424030687</x:v>
      </x:c>
      <x:c r="BR120" s="10" t="str">
        <x:v>0.17647058823529413</x:v>
      </x:c>
      <x:c r="BS120" s="9" t="str">
        <x:v>0.9944615167065592</x:v>
      </x:c>
      <x:c r="BT120" s="9" t="str">
        <x:v>0.07955692133652474</x:v>
      </x:c>
      <x:c r="BU120" s="9" t="str">
        <x:v>0.15911384267304948</x:v>
      </x:c>
      <x:c r="BV120" s="6" t="str">
        <x:v>With trade</x:v>
      </x:c>
      <x:c r="BW120" s="7" t="str">
        <x:v>2024-05-29 15:05:00-05:00</x:v>
      </x:c>
      <x:c r="BX120" s="6" t="str">
        <x:v>18335.5</x:v>
      </x:c>
      <x:c r="BY120" s="9" t="str">
        <x:v>18.854424917412523</x:v>
      </x:c>
      <x:c r="BZ120" s="9" t="str">
        <x:v>0.72</x:v>
      </x:c>
      <x:c r="CA120" s="6" t="str">
        <x:v>18363.78163737612</x:v>
      </x:c>
      <x:c r="CB120" s="6" t="str">
        <x:v>28.28163737611976</x:v>
      </x:c>
      <x:c r="CC120" s="9" t="str">
        <x:v>1.5000000000000517</x:v>
      </x:c>
      <x:c r="CD120" s="6" t="str">
        <x:v>18278.936725247764</x:v>
      </x:c>
      <x:c r="CE120" s="6" t="str">
        <x:v>56.563274752235884</x:v>
      </x:c>
      <x:c r="CF120" s="6" t="str">
        <x:v>Fixed 2.00R target</x:v>
      </x:c>
      <x:c r="CG120" s="9" t="str">
        <x:v>0.02563500798621264</x:v>
      </x:c>
      <x:c r="CH120" s="9" t="str">
        <x:v>1.6530160322144585</x:v>
      </x:c>
      <x:c r="CI120" s="9" t="str">
        <x:v>1.6273810242282458</x:v>
      </x:c>
      <x:c r="CJ120" s="6" t="str">
        <x:v>Win</x:v>
      </x:c>
      <x:c r="CK120" s="9" t="str">
        <x:v>1.9535644017079288</x:v>
      </x:c>
      <x:c r="CL120" s="9" t="str">
        <x:v>0.19447247437816487</x:v>
      </x:c>
      <x:c r="CM120" s="7" t="str">
        <x:v>2024-05-29 17:05:00-05:00</x:v>
      </x:c>
      <x:c r="CN120" s="6" t="str">
        <x:v>18288.75</x:v>
      </x:c>
      <x:c r="CO120" s="6" t="str">
        <x:v>TIME</x:v>
      </x:c>
      <x:c r="CP120" s="6" t="str">
        <x:v>F::Short::Same-bar Setup+BOS::Penetration + same-bar reclaim</x:v>
      </x:c>
    </x:row>
    <x:row r="121" ht="18" customHeight="1">
      <x:c r="A121" s="6" t="str">
        <x:v>A0120</x:v>
      </x:c>
      <x:c r="B121" s="6" t="str">
        <x:v>2024-05-30</x:v>
      </x:c>
      <x:c r="C121" s="6" t="str">
        <x:v>2024</x:v>
      </x:c>
      <x:c r="D121" s="6" t="str">
        <x:v>2024-Q2</x:v>
      </x:c>
      <x:c r="E121" s="6" t="str">
        <x:v>First 50%</x:v>
      </x:c>
      <x:c r="F121" s="6" t="str">
        <x:v>Short</x:v>
      </x:c>
      <x:c r="G121" s="6" t="str">
        <x:v>Short</x:v>
      </x:c>
      <x:c r="H121" s="6" t="str">
        <x:v>Opening</x:v>
      </x:c>
      <x:c r="I121" s="6" t="str">
        <x:v>Opening</x:v>
      </x:c>
      <x:c r="J121" s="6" t="str">
        <x:v>Bear</x:v>
      </x:c>
      <x:c r="K121" s="6" t="str">
        <x:v>Bear</x:v>
      </x:c>
      <x:c r="L121" s="6" t="str">
        <x:v>HIGH</x:v>
      </x:c>
      <x:c r="M121" s="7" t="str">
        <x:v>2024-05-30 09:30:00-05:00</x:v>
      </x:c>
      <x:c r="N121" s="6" t="str">
        <x:v>75.0</x:v>
      </x:c>
      <x:c r="O121" s="6" t="str">
        <x:v>75-79</x:v>
      </x:c>
      <x:c r="P121" s="6" t="str">
        <x:v>Matching BOS only</x:v>
      </x:c>
      <x:c r="Q121" s="6" t="str">
        <x:v>Bear BOS</x:v>
      </x:c>
      <x:c r="R121" s="6" t="str">
        <x:v>True</x:v>
      </x:c>
      <x:c r="S121" s="6" t="str">
        <x:v>False</x:v>
      </x:c>
      <x:c r="T121" s="6" t="str">
        <x:v>No recent matching sweep</x:v>
      </x:c>
      <x:c r="U121" s="6" t="str">
        <x:v>None</x:v>
      </x:c>
      <x:c r="V121" s="6" t="str">
        <x:v>None</x:v>
      </x:c>
      <x:c r="W121" s="6" t="str">
        <x:v>[]</x:v>
      </x:c>
      <x:c r="X121" s="8" t="str">
        <x:v>0</x:v>
      </x:c>
      <x:c r="Y121" s="8" t="str"/>
      <x:c r="Z121" s="6" t="str">
        <x:v>None</x:v>
      </x:c>
      <x:c r="AA121" s="6" t="str">
        <x:v>18237.25</x:v>
      </x:c>
      <x:c r="AB121" s="9" t="str">
        <x:v>0.3891578999654374</x:v>
      </x:c>
      <x:c r="AC121" s="9" t="str">
        <x:v>1.2936870728580756</x:v>
      </x:c>
      <x:c r="AD121" s="9" t="str">
        <x:v>1.6512916295830722</x:v>
      </x:c>
      <x:c r="AE121" s="6" t="str">
        <x:v>With trade</x:v>
      </x:c>
      <x:c r="AF121" s="7" t="str">
        <x:v>2024-05-30 09:30:00-05:00</x:v>
      </x:c>
      <x:c r="AG121" s="6" t="str">
        <x:v>Short</x:v>
      </x:c>
      <x:c r="AH121" s="6" t="str">
        <x:v>18237.25</x:v>
      </x:c>
      <x:c r="AI121" s="8" t="str">
        <x:v>0</x:v>
      </x:c>
      <x:c r="AJ121" s="6" t="str">
        <x:v>True</x:v>
      </x:c>
      <x:c r="AK121" s="6" t="str">
        <x:v>Same-bar Setup+BOS</x:v>
      </x:c>
      <x:c r="AL121" s="9" t="str">
        <x:v>1.3042048539382227</x:v>
      </x:c>
      <x:c r="AM121" s="9" t="str">
        <x:v>0.3891578999654374</x:v>
      </x:c>
      <x:c r="AN121" s="9" t="str">
        <x:v>1.2936870728580756</x:v>
      </x:c>
      <x:c r="AO121" s="9" t="str">
        <x:v>1.6512916295830722</x:v>
      </x:c>
      <x:c r="AP121" s="10" t="str">
        <x:v>0.7834394904458599</x:v>
      </x:c>
      <x:c r="AQ121" s="6" t="str">
        <x:v>0.1464968152866242</x:v>
      </x:c>
      <x:c r="AR121" s="6" t="str">
        <x:v>0.07006369426751592</x:v>
      </x:c>
      <x:c r="AS121" s="6" t="str">
        <x:v>With trade</x:v>
      </x:c>
      <x:c r="AT121" s="6" t="str">
        <x:v>1.2057071295686355</x:v>
      </x:c>
      <x:c r="AU121" s="7" t="str">
        <x:v>2024-05-30 09:35:00-05:00</x:v>
      </x:c>
      <x:c r="AV121" s="8" t="str">
        <x:v>1</x:v>
      </x:c>
      <x:c r="AW121" s="6" t="str">
        <x:v>Immediate retest (1 bar)</x:v>
      </x:c>
      <x:c r="AX121" s="6" t="str">
        <x:v>18239.25</x:v>
      </x:c>
      <x:c r="AY121" s="6" t="str">
        <x:v>2.0</x:v>
      </x:c>
      <x:c r="AZ121" s="9" t="str">
        <x:v>0.08187121651835051</x:v>
      </x:c>
      <x:c r="BA121" s="9" t="str">
        <x:v>1.1768987374512885</x:v>
      </x:c>
      <x:c r="BB121" s="9" t="str">
        <x:v>1.3508750725527834</x:v>
      </x:c>
      <x:c r="BC121" s="9" t="str">
        <x:v>0.8084782631187113</x:v>
      </x:c>
      <x:c r="BD121" s="6" t="str">
        <x:v>0.3333333333333333</x:v>
      </x:c>
      <x:c r="BE121" s="6" t="str">
        <x:v>0.06818181818181818</x:v>
      </x:c>
      <x:c r="BF121" s="9" t="str">
        <x:v>0.4502916908509278</x:v>
      </x:c>
      <x:c r="BG121" s="9" t="str">
        <x:v>0.09210511858314432</x:v>
      </x:c>
      <x:c r="BH121" s="6" t="str">
        <x:v>With trade</x:v>
      </x:c>
      <x:c r="BI121" s="6" t="str">
        <x:v>Penetration + same-bar reclaim</x:v>
      </x:c>
      <x:c r="BJ121" s="6" t="str">
        <x:v>False</x:v>
      </x:c>
      <x:c r="BK121" s="10" t="str">
        <x:v>True</x:v>
      </x:c>
      <x:c r="BL121" s="6" t="str">
        <x:v>True</x:v>
      </x:c>
      <x:c r="BM121" s="7" t="str">
        <x:v>2024-05-30 09:40:00-05:00</x:v>
      </x:c>
      <x:c r="BN121" s="8" t="str">
        <x:v>1</x:v>
      </x:c>
      <x:c r="BO121" s="6" t="str">
        <x:v>Immediate confirmation (1 bar)</x:v>
      </x:c>
      <x:c r="BP121" s="9" t="str">
        <x:v>0.21238359501058218</x:v>
      </x:c>
      <x:c r="BQ121" s="9" t="str">
        <x:v>1.152939515771732</x:v>
      </x:c>
      <x:c r="BR121" s="10" t="str">
        <x:v>0.18421052631578946</x:v>
      </x:c>
      <x:c r="BS121" s="9" t="str">
        <x:v>1.3754366153066275</x:v>
      </x:c>
      <x:c r="BT121" s="9" t="str">
        <x:v>0.21238359501058218</x:v>
      </x:c>
      <x:c r="BU121" s="9" t="str">
        <x:v>0.23261060405920905</x:v>
      </x:c>
      <x:c r="BV121" s="6" t="str">
        <x:v>With trade</x:v>
      </x:c>
      <x:c r="BW121" s="7" t="str">
        <x:v>2024-05-30 09:40:00-05:00</x:v>
      </x:c>
      <x:c r="BX121" s="6" t="str">
        <x:v>18203.25</x:v>
      </x:c>
      <x:c r="BY121" s="9" t="str">
        <x:v>24.719423361010602</x:v>
      </x:c>
      <x:c r="BZ121" s="9" t="str">
        <x:v>1.0</x:v>
      </x:c>
      <x:c r="CA121" s="6" t="str">
        <x:v>18240.329135041517</x:v>
      </x:c>
      <x:c r="CB121" s="6" t="str">
        <x:v>37.079135041516565</x:v>
      </x:c>
      <x:c r="CC121" s="9" t="str">
        <x:v>1.5000000000000269</x:v>
      </x:c>
      <x:c r="CD121" s="6" t="str">
        <x:v>18129.091729916967</x:v>
      </x:c>
      <x:c r="CE121" s="6" t="str">
        <x:v>74.15827008303313</x:v>
      </x:c>
      <x:c r="CF121" s="6" t="str">
        <x:v>Fixed 2.00R target</x:v>
      </x:c>
      <x:c r="CG121" s="9" t="str">
        <x:v>0.019552775413672296</x:v>
      </x:c>
      <x:c r="CH121" s="9" t="str">
        <x:v>-0.5596139170120101</x:v>
      </x:c>
      <x:c r="CI121" s="9" t="str">
        <x:v>-0.5791666924256824</x:v>
      </x:c>
      <x:c r="CJ121" s="6" t="str">
        <x:v>Loss</x:v>
      </x:c>
      <x:c r="CK121" s="9" t="str">
        <x:v>1.058546806878121</x:v>
      </x:c>
      <x:c r="CL121" s="9" t="str">
        <x:v>0.9574117616349883</x:v>
      </x:c>
      <x:c r="CM121" s="7" t="str">
        <x:v>2024-05-30 10:40:00-05:00</x:v>
      </x:c>
      <x:c r="CN121" s="6" t="str">
        <x:v>18224.0</x:v>
      </x:c>
      <x:c r="CO121" s="6" t="str">
        <x:v>TIME</x:v>
      </x:c>
      <x:c r="CP121" s="6" t="str">
        <x:v>F::Short::Same-bar Setup+BOS::Penetration + same-bar reclaim</x:v>
      </x:c>
    </x:row>
    <x:row r="122" ht="18" customHeight="1">
      <x:c r="A122" s="6" t="str">
        <x:v>A0121</x:v>
      </x:c>
      <x:c r="B122" s="6" t="str">
        <x:v>2024-05-30</x:v>
      </x:c>
      <x:c r="C122" s="6" t="str">
        <x:v>2024</x:v>
      </x:c>
      <x:c r="D122" s="6" t="str">
        <x:v>2024-Q2</x:v>
      </x:c>
      <x:c r="E122" s="6" t="str">
        <x:v>First 50%</x:v>
      </x:c>
      <x:c r="F122" s="6" t="str">
        <x:v>Short</x:v>
      </x:c>
      <x:c r="G122" s="6" t="str">
        <x:v>Short</x:v>
      </x:c>
      <x:c r="H122" s="6" t="str">
        <x:v>Midday</x:v>
      </x:c>
      <x:c r="I122" s="6" t="str">
        <x:v>Midday</x:v>
      </x:c>
      <x:c r="J122" s="6" t="str">
        <x:v>Bear</x:v>
      </x:c>
      <x:c r="K122" s="6" t="str">
        <x:v>Bear</x:v>
      </x:c>
      <x:c r="L122" s="6" t="str">
        <x:v>MID</x:v>
      </x:c>
      <x:c r="M122" s="7" t="str">
        <x:v>2024-05-30 13:10:00-05:00</x:v>
      </x:c>
      <x:c r="N122" s="6" t="str">
        <x:v>100.0</x:v>
      </x:c>
      <x:c r="O122" s="6" t="str">
        <x:v>95+</x:v>
      </x:c>
      <x:c r="P122" s="6" t="str">
        <x:v>Matching BOS only</x:v>
      </x:c>
      <x:c r="Q122" s="6" t="str">
        <x:v>Bear CHoCH</x:v>
      </x:c>
      <x:c r="R122" s="6" t="str">
        <x:v>True</x:v>
      </x:c>
      <x:c r="S122" s="6" t="str">
        <x:v>False</x:v>
      </x:c>
      <x:c r="T122" s="6" t="str">
        <x:v>Recent BSL</x:v>
      </x:c>
      <x:c r="U122" s="6" t="str">
        <x:v>BSL</x:v>
      </x:c>
      <x:c r="V122" s="6" t="str">
        <x:v>Swing high / buy-side</x:v>
      </x:c>
      <x:c r="W122" s="6" t="str">
        <x:v>[18265.75]</x:v>
      </x:c>
      <x:c r="X122" s="8" t="str">
        <x:v>1</x:v>
      </x:c>
      <x:c r="Y122" s="8" t="str">
        <x:v>6.0</x:v>
      </x:c>
      <x:c r="Z122" s="6" t="str">
        <x:v>None</x:v>
      </x:c>
      <x:c r="AA122" s="6" t="str">
        <x:v>18221.5</x:v>
      </x:c>
      <x:c r="AB122" s="9" t="str">
        <x:v>0.032140019334145044</x:v>
      </x:c>
      <x:c r="AC122" s="9" t="str">
        <x:v>0.7392204446853359</x:v>
      </x:c>
      <x:c r="AD122" s="9" t="str">
        <x:v>0.771360464019481</x:v>
      </x:c>
      <x:c r="AE122" s="6" t="str">
        <x:v>With trade</x:v>
      </x:c>
      <x:c r="AF122" s="7" t="str">
        <x:v>2024-05-30 13:10:00-05:00</x:v>
      </x:c>
      <x:c r="AG122" s="6" t="str">
        <x:v>Short</x:v>
      </x:c>
      <x:c r="AH122" s="6" t="str">
        <x:v>18221.5</x:v>
      </x:c>
      <x:c r="AI122" s="8" t="str">
        <x:v>0</x:v>
      </x:c>
      <x:c r="AJ122" s="6" t="str">
        <x:v>True</x:v>
      </x:c>
      <x:c r="AK122" s="6" t="str">
        <x:v>Same-bar Setup+BOS</x:v>
      </x:c>
      <x:c r="AL122" s="9" t="str">
        <x:v>0.7392204446853359</x:v>
      </x:c>
      <x:c r="AM122" s="9" t="str">
        <x:v>0.032140019334145044</x:v>
      </x:c>
      <x:c r="AN122" s="9" t="str">
        <x:v>0.7392204446853359</x:v>
      </x:c>
      <x:c r="AO122" s="9" t="str">
        <x:v>0.771360464019481</x:v>
      </x:c>
      <x:c r="AP122" s="10" t="str">
        <x:v>0.9583333333333334</x:v>
      </x:c>
      <x:c r="AQ122" s="6" t="str">
        <x:v>0.020833333333333332</x:v>
      </x:c>
      <x:c r="AR122" s="6" t="str">
        <x:v>0.020833333333333332</x:v>
      </x:c>
      <x:c r="AS122" s="6" t="str">
        <x:v>With trade</x:v>
      </x:c>
      <x:c r="AT122" s="6" t="str">
        <x:v>1.0424590061724546</x:v>
      </x:c>
      <x:c r="AU122" s="7" t="str">
        <x:v>2024-05-30 13:15:00-05:00</x:v>
      </x:c>
      <x:c r="AV122" s="8" t="str">
        <x:v>1</x:v>
      </x:c>
      <x:c r="AW122" s="6" t="str">
        <x:v>Immediate retest (1 bar)</x:v>
      </x:c>
      <x:c r="AX122" s="6" t="str">
        <x:v>18227.5</x:v>
      </x:c>
      <x:c r="AY122" s="6" t="str">
        <x:v>6.0</x:v>
      </x:c>
      <x:c r="AZ122" s="9" t="str">
        <x:v>0.35184708361681255</x:v>
      </x:c>
      <x:c r="BA122" s="9" t="str">
        <x:v>-0.04398088545210157</x:v>
      </x:c>
      <x:c r="BB122" s="9" t="str">
        <x:v>2.1404030920022765</x:v>
      </x:c>
      <x:c r="BC122" s="9" t="str">
        <x:v>0.05864118060280209</x:v>
      </x:c>
      <x:c r="BD122" s="6" t="str">
        <x:v>0.14383561643835616</x:v>
      </x:c>
      <x:c r="BE122" s="6" t="str">
        <x:v>0.8287671232876712</x:v>
      </x:c>
      <x:c r="BF122" s="9" t="str">
        <x:v>0.30786619816471095</x:v>
      </x:c>
      <x:c r="BG122" s="9" t="str">
        <x:v>1.7738957132347632</x:v>
      </x:c>
      <x:c r="BH122" s="6" t="str">
        <x:v>Against trade</x:v>
      </x:c>
      <x:c r="BI122" s="6" t="str">
        <x:v>Penetration without same-bar reclaim</x:v>
      </x:c>
      <x:c r="BJ122" s="6" t="str">
        <x:v>False</x:v>
      </x:c>
      <x:c r="BK122" s="10" t="str">
        <x:v>True</x:v>
      </x:c>
      <x:c r="BL122" s="6" t="str">
        <x:v>False</x:v>
      </x:c>
      <x:c r="BM122" s="7" t="str">
        <x:v>2024-05-30 13:20:00-05:00</x:v>
      </x:c>
      <x:c r="BN122" s="8" t="str">
        <x:v>1</x:v>
      </x:c>
      <x:c r="BO122" s="6" t="str">
        <x:v>Immediate confirmation (1 bar)</x:v>
      </x:c>
      <x:c r="BP122" s="9" t="str">
        <x:v>0.45819536969815666</x:v>
      </x:c>
      <x:c r="BQ122" s="9" t="str">
        <x:v>1.3029930825791332</x:v>
      </x:c>
      <x:c r="BR122" s="10" t="str">
        <x:v>0.3516483516483517</x:v>
      </x:c>
      <x:c r="BS122" s="9" t="str">
        <x:v>0.3866023431828197</x:v>
      </x:c>
      <x:c r="BT122" s="9" t="str">
        <x:v>0.4295581590920219</x:v>
      </x:c>
      <x:c r="BU122" s="9" t="str">
        <x:v>0.4009209484858871</x:v>
      </x:c>
      <x:c r="BV122" s="6" t="str">
        <x:v>With trade</x:v>
      </x:c>
      <x:c r="BW122" s="7" t="str">
        <x:v>2024-05-30 13:20:00-05:00</x:v>
      </x:c>
      <x:c r="BX122" s="6" t="str">
        <x:v>18214.75</x:v>
      </x:c>
      <x:c r="BY122" s="9" t="str">
        <x:v>17.45980105663251</x:v>
      </x:c>
      <x:c r="BZ122" s="9" t="str">
        <x:v>0.56</x:v>
      </x:c>
      <x:c r="CA122" s="6" t="str">
        <x:v>18240.93970158495</x:v>
      </x:c>
      <x:c r="CB122" s="6" t="str">
        <x:v>26.189701584949944</x:v>
      </x:c>
      <x:c r="CC122" s="9" t="str">
        <x:v>1.5000000000000675</x:v>
      </x:c>
      <x:c r="CD122" s="6" t="str">
        <x:v>18162.370596830104</x:v>
      </x:c>
      <x:c r="CE122" s="6" t="str">
        <x:v>52.37940316989625</x:v>
      </x:c>
      <x:c r="CF122" s="6" t="str">
        <x:v>Fixed 2.00R target</x:v>
      </x:c>
      <x:c r="CG122" s="9" t="str">
        <x:v>0.02768263691926239</x:v>
      </x:c>
      <x:c r="CH122" s="9" t="str">
        <x:v>2.0</x:v>
      </x:c>
      <x:c r="CI122" s="9" t="str">
        <x:v>1.9723173630807376</x:v>
      </x:c>
      <x:c r="CJ122" s="6" t="str">
        <x:v>Win</x:v>
      </x:c>
      <x:c r="CK122" s="9" t="str">
        <x:v>2.3387055328342363</x:v>
      </x:c>
      <x:c r="CL122" s="9" t="str">
        <x:v>0.5631984752539589</x:v>
      </x:c>
      <x:c r="CM122" s="7" t="str">
        <x:v>2024-05-30 14:20:00-05:00</x:v>
      </x:c>
      <x:c r="CN122" s="6" t="str">
        <x:v>18162.370596830104</x:v>
      </x:c>
      <x:c r="CO122" s="6" t="str">
        <x:v>TARGET</x:v>
      </x:c>
      <x:c r="CP122" s="6" t="str">
        <x:v>F::Short::Same-bar Setup+BOS::Penetration without same-bar reclaim</x:v>
      </x:c>
    </x:row>
    <x:row r="123" ht="18" customHeight="1">
      <x:c r="A123" s="6" t="str">
        <x:v>A0122</x:v>
      </x:c>
      <x:c r="B123" s="6" t="str">
        <x:v>2024-05-30</x:v>
      </x:c>
      <x:c r="C123" s="6" t="str">
        <x:v>2024</x:v>
      </x:c>
      <x:c r="D123" s="6" t="str">
        <x:v>2024-Q2</x:v>
      </x:c>
      <x:c r="E123" s="6" t="str">
        <x:v>First 50%</x:v>
      </x:c>
      <x:c r="F123" s="6" t="str">
        <x:v>Short</x:v>
      </x:c>
      <x:c r="G123" s="6" t="str">
        <x:v>Short</x:v>
      </x:c>
      <x:c r="H123" s="6" t="str">
        <x:v>Overnight</x:v>
      </x:c>
      <x:c r="I123" s="6" t="str">
        <x:v>Overnight</x:v>
      </x:c>
      <x:c r="J123" s="6" t="str">
        <x:v>Bear</x:v>
      </x:c>
      <x:c r="K123" s="6" t="str">
        <x:v>Bear</x:v>
      </x:c>
      <x:c r="L123" s="6" t="str">
        <x:v>LOW</x:v>
      </x:c>
      <x:c r="M123" s="7" t="str">
        <x:v>2024-05-30 19:05:00-05:00</x:v>
      </x:c>
      <x:c r="N123" s="6" t="str">
        <x:v>75.0</x:v>
      </x:c>
      <x:c r="O123" s="6" t="str">
        <x:v>75-79</x:v>
      </x:c>
      <x:c r="P123" s="6" t="str">
        <x:v>Matching BOS only</x:v>
      </x:c>
      <x:c r="Q123" s="6" t="str">
        <x:v>Bear BOS</x:v>
      </x:c>
      <x:c r="R123" s="6" t="str">
        <x:v>True</x:v>
      </x:c>
      <x:c r="S123" s="6" t="str">
        <x:v>False</x:v>
      </x:c>
      <x:c r="T123" s="6" t="str">
        <x:v>Recent BSL</x:v>
      </x:c>
      <x:c r="U123" s="6" t="str">
        <x:v>BSL</x:v>
      </x:c>
      <x:c r="V123" s="6" t="str">
        <x:v>Swing high / buy-side</x:v>
      </x:c>
      <x:c r="W123" s="6" t="str">
        <x:v>[18118.0]</x:v>
      </x:c>
      <x:c r="X123" s="8" t="str">
        <x:v>1</x:v>
      </x:c>
      <x:c r="Y123" s="8" t="str">
        <x:v>7.0</x:v>
      </x:c>
      <x:c r="Z123" s="6" t="str">
        <x:v>None</x:v>
      </x:c>
      <x:c r="AA123" s="6" t="str">
        <x:v>18097.75</x:v>
      </x:c>
      <x:c r="AB123" s="9" t="str">
        <x:v>0.2071603667272207</x:v>
      </x:c>
      <x:c r="AC123" s="9" t="str">
        <x:v>0.569691008499857</x:v>
      </x:c>
      <x:c r="AD123" s="9" t="str">
        <x:v>1.139382016999714</x:v>
      </x:c>
      <x:c r="AE123" s="6" t="str">
        <x:v>With trade</x:v>
      </x:c>
      <x:c r="AF123" s="7" t="str">
        <x:v>2024-05-30 19:05:00-05:00</x:v>
      </x:c>
      <x:c r="AG123" s="6" t="str">
        <x:v>Short</x:v>
      </x:c>
      <x:c r="AH123" s="6" t="str">
        <x:v>18097.75</x:v>
      </x:c>
      <x:c r="AI123" s="8" t="str">
        <x:v>0</x:v>
      </x:c>
      <x:c r="AJ123" s="6" t="str">
        <x:v>True</x:v>
      </x:c>
      <x:c r="AK123" s="6" t="str">
        <x:v>Same-bar Setup+BOS</x:v>
      </x:c>
      <x:c r="AL123" s="9" t="str">
        <x:v>0.5437959626589544</x:v>
      </x:c>
      <x:c r="AM123" s="9" t="str">
        <x:v>0.2071603667272207</x:v>
      </x:c>
      <x:c r="AN123" s="9" t="str">
        <x:v>0.569691008499857</x:v>
      </x:c>
      <x:c r="AO123" s="9" t="str">
        <x:v>1.139382016999714</x:v>
      </x:c>
      <x:c r="AP123" s="10" t="str">
        <x:v>0.5</x:v>
      </x:c>
      <x:c r="AQ123" s="6" t="str">
        <x:v>0.18181818181818182</x:v>
      </x:c>
      <x:c r="AR123" s="6" t="str">
        <x:v>0.3181818181818182</x:v>
      </x:c>
      <x:c r="AS123" s="6" t="str">
        <x:v>With trade</x:v>
      </x:c>
      <x:c r="AT123" s="6" t="str">
        <x:v>2.1616127392851094</x:v>
      </x:c>
      <x:c r="AU123" s="7" t="str">
        <x:v>2024-05-30 19:10:00-05:00</x:v>
      </x:c>
      <x:c r="AV123" s="8" t="str">
        <x:v>1</x:v>
      </x:c>
      <x:c r="AW123" s="6" t="str">
        <x:v>Immediate retest (1 bar)</x:v>
      </x:c>
      <x:c r="AX123" s="6" t="str">
        <x:v>18098.25</x:v>
      </x:c>
      <x:c r="AY123" s="6" t="str">
        <x:v>0.5</x:v>
      </x:c>
      <x:c r="AZ123" s="9" t="str">
        <x:v>0.041541391571562204</x:v>
      </x:c>
      <x:c r="BA123" s="9" t="str">
        <x:v>2.5755662774368564</x:v>
      </x:c>
      <x:c r="BB123" s="9" t="str">
        <x:v>3.5725596751543494</x:v>
      </x:c>
      <x:c r="BC123" s="9" t="str">
        <x:v>2.4094007111506075</x:v>
      </x:c>
      <x:c r="BD123" s="6" t="str">
        <x:v>0.05813953488372093</x:v>
      </x:c>
      <x:c r="BE123" s="6" t="str">
        <x:v>0.26744186046511625</x:v>
      </x:c>
      <x:c r="BF123" s="9" t="str">
        <x:v>0.20770695785781101</x:v>
      </x:c>
      <x:c r="BG123" s="9" t="str">
        <x:v>0.9554520061459306</x:v>
      </x:c>
      <x:c r="BH123" s="6" t="str">
        <x:v>With trade</x:v>
      </x:c>
      <x:c r="BI123" s="6" t="str">
        <x:v>Penetration + same-bar reclaim</x:v>
      </x:c>
      <x:c r="BJ123" s="6" t="str">
        <x:v>False</x:v>
      </x:c>
      <x:c r="BK123" s="10" t="str">
        <x:v>True</x:v>
      </x:c>
      <x:c r="BL123" s="6" t="str">
        <x:v>True</x:v>
      </x:c>
      <x:c r="BM123" s="7" t="str">
        <x:v>2024-05-30 19:15:00-05:00</x:v>
      </x:c>
      <x:c r="BN123" s="8" t="str">
        <x:v>1</x:v>
      </x:c>
      <x:c r="BO123" s="6" t="str">
        <x:v>Immediate confirmation (1 bar)</x:v>
      </x:c>
      <x:c r="BP123" s="9" t="str">
        <x:v>0.523261377019031</x:v>
      </x:c>
      <x:c r="BQ123" s="9" t="str">
        <x:v>0.9000095684727334</x:v>
      </x:c>
      <x:c r="BR123" s="10" t="str">
        <x:v>0.5813953488372093</x:v>
      </x:c>
      <x:c r="BS123" s="9" t="str">
        <x:v>3.0767768968719023</x:v>
      </x:c>
      <x:c r="BT123" s="9" t="str">
        <x:v>0.48140046685750854</x:v>
      </x:c>
      <x:c r="BU123" s="9" t="str">
        <x:v>0.0</x:v>
      </x:c>
      <x:c r="BV123" s="6" t="str">
        <x:v>With trade</x:v>
      </x:c>
      <x:c r="BW123" s="7" t="str">
        <x:v>2024-05-30 19:15:00-05:00</x:v>
      </x:c>
      <x:c r="BX123" s="6" t="str">
        <x:v>18061.0</x:v>
      </x:c>
      <x:c r="BY123" s="9" t="str">
        <x:v>11.944317456804551</x:v>
      </x:c>
      <x:c r="BZ123" s="9" t="str">
        <x:v>0.13</x:v>
      </x:c>
      <x:c r="CA123" s="6" t="str">
        <x:v>18078.916476185208</x:v>
      </x:c>
      <x:c r="CB123" s="6" t="str">
        <x:v>17.916476185208012</x:v>
      </x:c>
      <x:c r="CC123" s="9" t="str">
        <x:v>1.5000000000000993</x:v>
      </x:c>
      <x:c r="CD123" s="6" t="str">
        <x:v>18025.167047629588</x:v>
      </x:c>
      <x:c r="CE123" s="6" t="str">
        <x:v>35.832952370412386</x:v>
      </x:c>
      <x:c r="CF123" s="6" t="str">
        <x:v>Fixed 2.00R target</x:v>
      </x:c>
      <x:c r="CG123" s="9" t="str">
        <x:v>0.040465546489469054</x:v>
      </x:c>
      <x:c r="CH123" s="9" t="str">
        <x:v>-1.0</x:v>
      </x:c>
      <x:c r="CI123" s="9" t="str">
        <x:v>-1.040465546489469</x:v>
      </x:c>
      <x:c r="CJ123" s="6" t="str">
        <x:v>Loss</x:v>
      </x:c>
      <x:c r="CK123" s="9" t="str">
        <x:v>1.0186154805969796</x:v>
      </x:c>
      <x:c r="CL123" s="9" t="str">
        <x:v>1.688390043181295</x:v>
      </x:c>
      <x:c r="CM123" s="7" t="str">
        <x:v>2024-05-30 20:00:00-05:00</x:v>
      </x:c>
      <x:c r="CN123" s="6" t="str">
        <x:v>18078.916476185208</x:v>
      </x:c>
      <x:c r="CO123" s="6" t="str">
        <x:v>STOP</x:v>
      </x:c>
      <x:c r="CP123" s="6" t="str">
        <x:v>F::Short::Same-bar Setup+BOS::Penetration + same-bar reclaim</x:v>
      </x:c>
    </x:row>
    <x:row r="124" ht="18" customHeight="1">
      <x:c r="A124" s="6" t="str">
        <x:v>A0123</x:v>
      </x:c>
      <x:c r="B124" s="6" t="str">
        <x:v>2024-05-31</x:v>
      </x:c>
      <x:c r="C124" s="6" t="str">
        <x:v>2024</x:v>
      </x:c>
      <x:c r="D124" s="6" t="str">
        <x:v>2024-Q2</x:v>
      </x:c>
      <x:c r="E124" s="6" t="str">
        <x:v>First 50%</x:v>
      </x:c>
      <x:c r="F124" s="6" t="str">
        <x:v>Long</x:v>
      </x:c>
      <x:c r="G124" s="6" t="str">
        <x:v>Long</x:v>
      </x:c>
      <x:c r="H124" s="6" t="str">
        <x:v>Premarket</x:v>
      </x:c>
      <x:c r="I124" s="6" t="str">
        <x:v>Premarket</x:v>
      </x:c>
      <x:c r="J124" s="6" t="str">
        <x:v>Bear</x:v>
      </x:c>
      <x:c r="K124" s="6" t="str">
        <x:v>Bear</x:v>
      </x:c>
      <x:c r="L124" s="6" t="str">
        <x:v>HIGH</x:v>
      </x:c>
      <x:c r="M124" s="7" t="str">
        <x:v>2024-05-31 06:10:00-05:00</x:v>
      </x:c>
      <x:c r="N124" s="6" t="str">
        <x:v>90.0</x:v>
      </x:c>
      <x:c r="O124" s="6" t="str">
        <x:v>90-94</x:v>
      </x:c>
      <x:c r="P124" s="6" t="str">
        <x:v>Matching BOS only</x:v>
      </x:c>
      <x:c r="Q124" s="6" t="str">
        <x:v>Bull CHoCH</x:v>
      </x:c>
      <x:c r="R124" s="6" t="str">
        <x:v>True</x:v>
      </x:c>
      <x:c r="S124" s="6" t="str">
        <x:v>False</x:v>
      </x:c>
      <x:c r="T124" s="6" t="str">
        <x:v>Recent SSL</x:v>
      </x:c>
      <x:c r="U124" s="6" t="str">
        <x:v>SSL</x:v>
      </x:c>
      <x:c r="V124" s="6" t="str">
        <x:v>Swing low / sell-side</x:v>
      </x:c>
      <x:c r="W124" s="6" t="str">
        <x:v>[18053.75]</x:v>
      </x:c>
      <x:c r="X124" s="8" t="str">
        <x:v>1</x:v>
      </x:c>
      <x:c r="Y124" s="8" t="str">
        <x:v>9.0</x:v>
      </x:c>
      <x:c r="Z124" s="6" t="str">
        <x:v>None</x:v>
      </x:c>
      <x:c r="AA124" s="6" t="str">
        <x:v>18072.5</x:v>
      </x:c>
      <x:c r="AB124" s="9" t="str">
        <x:v>0.2720334883632816</x:v>
      </x:c>
      <x:c r="AC124" s="9" t="str">
        <x:v>1.0687029899986062</x:v>
      </x:c>
      <x:c r="AD124" s="9" t="str">
        <x:v>1.1464268438166867</x:v>
      </x:c>
      <x:c r="AE124" s="6" t="str">
        <x:v>With trade</x:v>
      </x:c>
      <x:c r="AF124" s="7" t="str">
        <x:v>2024-05-31 06:10:00-05:00</x:v>
      </x:c>
      <x:c r="AG124" s="6" t="str">
        <x:v>Long</x:v>
      </x:c>
      <x:c r="AH124" s="6" t="str">
        <x:v>18072.5</x:v>
      </x:c>
      <x:c r="AI124" s="8" t="str">
        <x:v>0</x:v>
      </x:c>
      <x:c r="AJ124" s="6" t="str">
        <x:v>True</x:v>
      </x:c>
      <x:c r="AK124" s="6" t="str">
        <x:v>Same-bar Setup+BOS</x:v>
      </x:c>
      <x:c r="AL124" s="9" t="str">
        <x:v>1.0687029899986062</x:v>
      </x:c>
      <x:c r="AM124" s="9" t="str">
        <x:v>0.2720334883632816</x:v>
      </x:c>
      <x:c r="AN124" s="9" t="str">
        <x:v>1.0687029899986062</x:v>
      </x:c>
      <x:c r="AO124" s="9" t="str">
        <x:v>1.1464268438166867</x:v>
      </x:c>
      <x:c r="AP124" s="10" t="str">
        <x:v>0.9322033898305084</x:v>
      </x:c>
      <x:c r="AQ124" s="6" t="str">
        <x:v>0.03389830508474576</x:v>
      </x:c>
      <x:c r="AR124" s="6" t="str">
        <x:v>0.03389830508474576</x:v>
      </x:c>
      <x:c r="AS124" s="6" t="str">
        <x:v>With trade</x:v>
      </x:c>
      <x:c r="AT124" s="6" t="str">
        <x:v>1.4968259271633813</x:v>
      </x:c>
      <x:c r="AU124" s="7" t="str">
        <x:v>2024-05-31 06:15:00-05:00</x:v>
      </x:c>
      <x:c r="AV124" s="8" t="str">
        <x:v>1</x:v>
      </x:c>
      <x:c r="AW124" s="6" t="str">
        <x:v>Immediate retest (1 bar)</x:v>
      </x:c>
      <x:c r="AX124" s="6" t="str">
        <x:v>18071.25</x:v>
      </x:c>
      <x:c r="AY124" s="6" t="str">
        <x:v>1.25</x:v>
      </x:c>
      <x:c r="AZ124" s="9" t="str">
        <x:v>0.09956826119266209</x:v>
      </x:c>
      <x:c r="BA124" s="9" t="str">
        <x:v>0.07965460895412967</x:v>
      </x:c>
      <x:c r="BB124" s="9" t="str">
        <x:v>0.6770641761101022</x:v>
      </x:c>
      <x:c r="BC124" s="9" t="str">
        <x:v>0.2190501746238566</x:v>
      </x:c>
      <x:c r="BD124" s="6" t="str">
        <x:v>0.4117647058823529</x:v>
      </x:c>
      <x:c r="BE124" s="6" t="str">
        <x:v>0.2647058823529412</x:v>
      </x:c>
      <x:c r="BF124" s="9" t="str">
        <x:v>0.17922287014679175</x:v>
      </x:c>
      <x:c r="BG124" s="9" t="str">
        <x:v>0.2787911313394538</x:v>
      </x:c>
      <x:c r="BH124" s="6" t="str">
        <x:v>Against trade</x:v>
      </x:c>
      <x:c r="BI124" s="6" t="str">
        <x:v>Penetration + same-bar reclaim</x:v>
      </x:c>
      <x:c r="BJ124" s="6" t="str">
        <x:v>False</x:v>
      </x:c>
      <x:c r="BK124" s="10" t="str">
        <x:v>True</x:v>
      </x:c>
      <x:c r="BL124" s="6" t="str">
        <x:v>True</x:v>
      </x:c>
      <x:c r="BM124" s="7" t="str">
        <x:v>2024-05-31 06:20:00-05:00</x:v>
      </x:c>
      <x:c r="BN124" s="8" t="str">
        <x:v>1</x:v>
      </x:c>
      <x:c r="BO124" s="6" t="str">
        <x:v>Immediate confirmation (1 bar)</x:v>
      </x:c>
      <x:c r="BP124" s="9" t="str">
        <x:v>0.20005187897382332</x:v>
      </x:c>
      <x:c r="BQ124" s="9" t="str">
        <x:v>0.9402438311769695</x:v>
      </x:c>
      <x:c r="BR124" s="10" t="str">
        <x:v>0.2127659574468085</x:v>
      </x:c>
      <x:c r="BS124" s="9" t="str">
        <x:v>0.20005187897382332</x:v>
      </x:c>
      <x:c r="BT124" s="9" t="str">
        <x:v>0.12003112738429399</x:v>
      </x:c>
      <x:c r="BU124" s="9" t="str">
        <x:v>0.5201348853319406</x:v>
      </x:c>
      <x:c r="BV124" s="6" t="str">
        <x:v>With trade</x:v>
      </x:c>
      <x:c r="BW124" s="7" t="str">
        <x:v>2024-05-31 06:20:00-05:00</x:v>
      </x:c>
      <x:c r="BX124" s="6" t="str">
        <x:v>18075.0</x:v>
      </x:c>
      <x:c r="BY124" s="9" t="str">
        <x:v>12.496758404989157</x:v>
      </x:c>
      <x:c r="BZ124" s="9" t="str">
        <x:v>0.95</x:v>
      </x:c>
      <x:c r="CA124" s="6" t="str">
        <x:v>18056.254862392518</x:v>
      </x:c>
      <x:c r="CB124" s="6" t="str">
        <x:v>18.74513760748232</x:v>
      </x:c>
      <x:c r="CC124" s="9" t="str">
        <x:v>1.4999999999998868</x:v>
      </x:c>
      <x:c r="CD124" s="6" t="str">
        <x:v>18112.49027521497</x:v>
      </x:c>
      <x:c r="CE124" s="6" t="str">
        <x:v>37.49027521496828</x:v>
      </x:c>
      <x:c r="CF124" s="6" t="str">
        <x:v>Fixed 2.00R target</x:v>
      </x:c>
      <x:c r="CG124" s="9" t="str">
        <x:v>0.03867669660160876</x:v>
      </x:c>
      <x:c r="CH124" s="9" t="str">
        <x:v>2.0</x:v>
      </x:c>
      <x:c r="CI124" s="9" t="str">
        <x:v>1.9613233033983912</x:v>
      </x:c>
      <x:c r="CJ124" s="6" t="str">
        <x:v>Win</x:v>
      </x:c>
      <x:c r="CK124" s="9" t="str">
        <x:v>2.053865957464741</x:v>
      </x:c>
      <x:c r="CL124" s="9" t="str">
        <x:v>0.32008300635814146</x:v>
      </x:c>
      <x:c r="CM124" s="7" t="str">
        <x:v>2024-05-31 07:20:00-05:00</x:v>
      </x:c>
      <x:c r="CN124" s="6" t="str">
        <x:v>18112.49027521497</x:v>
      </x:c>
      <x:c r="CO124" s="6" t="str">
        <x:v>TARGET</x:v>
      </x:c>
      <x:c r="CP124" s="6" t="str">
        <x:v>F::Long::Same-bar Setup+BOS::Penetration + same-bar reclaim</x:v>
      </x:c>
    </x:row>
    <x:row r="125" ht="18" customHeight="1">
      <x:c r="A125" s="6" t="str">
        <x:v>A0124</x:v>
      </x:c>
      <x:c r="B125" s="6" t="str">
        <x:v>2024-06-06</x:v>
      </x:c>
      <x:c r="C125" s="6" t="str">
        <x:v>2024</x:v>
      </x:c>
      <x:c r="D125" s="6" t="str">
        <x:v>2024-Q2</x:v>
      </x:c>
      <x:c r="E125" s="6" t="str">
        <x:v>First 50%</x:v>
      </x:c>
      <x:c r="F125" s="6" t="str">
        <x:v>Short</x:v>
      </x:c>
      <x:c r="G125" s="6" t="str">
        <x:v>Short</x:v>
      </x:c>
      <x:c r="H125" s="6" t="str">
        <x:v>Premarket</x:v>
      </x:c>
      <x:c r="I125" s="6" t="str">
        <x:v>Premarket</x:v>
      </x:c>
      <x:c r="J125" s="6" t="str">
        <x:v>Bull</x:v>
      </x:c>
      <x:c r="K125" s="6" t="str">
        <x:v>Bull</x:v>
      </x:c>
      <x:c r="L125" s="6" t="str">
        <x:v>HIGH</x:v>
      </x:c>
      <x:c r="M125" s="7" t="str">
        <x:v>2024-06-06 07:30:00-05:00</x:v>
      </x:c>
      <x:c r="N125" s="6" t="str">
        <x:v>90.0</x:v>
      </x:c>
      <x:c r="O125" s="6" t="str">
        <x:v>90-94</x:v>
      </x:c>
      <x:c r="P125" s="6" t="str">
        <x:v>Matching BOS only</x:v>
      </x:c>
      <x:c r="Q125" s="6" t="str">
        <x:v>Bear CHoCH</x:v>
      </x:c>
      <x:c r="R125" s="6" t="str">
        <x:v>True</x:v>
      </x:c>
      <x:c r="S125" s="6" t="str">
        <x:v>False</x:v>
      </x:c>
      <x:c r="T125" s="6" t="str">
        <x:v>Recent BSL</x:v>
      </x:c>
      <x:c r="U125" s="6" t="str">
        <x:v>BSL</x:v>
      </x:c>
      <x:c r="V125" s="6" t="str">
        <x:v>Swing high / buy-side</x:v>
      </x:c>
      <x:c r="W125" s="6" t="str">
        <x:v>[18649.0]</x:v>
      </x:c>
      <x:c r="X125" s="8" t="str">
        <x:v>1</x:v>
      </x:c>
      <x:c r="Y125" s="8" t="str">
        <x:v>6.0</x:v>
      </x:c>
      <x:c r="Z125" s="6" t="str">
        <x:v>Sweep above CRT reference</x:v>
      </x:c>
      <x:c r="AA125" s="6" t="str">
        <x:v>18627.25</x:v>
      </x:c>
      <x:c r="AB125" s="9" t="str">
        <x:v>0.1716643379081275</x:v>
      </x:c>
      <x:c r="AC125" s="9" t="str">
        <x:v>1.1587342808798604</x:v>
      </x:c>
      <x:c r="AD125" s="9" t="str">
        <x:v>3.0255839556307467</x:v>
      </x:c>
      <x:c r="AE125" s="6" t="str">
        <x:v>With trade</x:v>
      </x:c>
      <x:c r="AF125" s="7" t="str">
        <x:v>2024-06-06 07:30:00-05:00</x:v>
      </x:c>
      <x:c r="AG125" s="6" t="str">
        <x:v>Short</x:v>
      </x:c>
      <x:c r="AH125" s="6" t="str">
        <x:v>18627.25</x:v>
      </x:c>
      <x:c r="AI125" s="8" t="str">
        <x:v>0</x:v>
      </x:c>
      <x:c r="AJ125" s="6" t="str">
        <x:v>True</x:v>
      </x:c>
      <x:c r="AK125" s="6" t="str">
        <x:v>Same-bar Setup+BOS</x:v>
      </x:c>
      <x:c r="AL125" s="9" t="str">
        <x:v>1.1372762386413446</x:v>
      </x:c>
      <x:c r="AM125" s="9" t="str">
        <x:v>0.1716643379081275</x:v>
      </x:c>
      <x:c r="AN125" s="9" t="str">
        <x:v>1.1587342808798604</x:v>
      </x:c>
      <x:c r="AO125" s="9" t="str">
        <x:v>3.0255839556307467</x:v>
      </x:c>
      <x:c r="AP125" s="10" t="str">
        <x:v>0.3829787234042553</x:v>
      </x:c>
      <x:c r="AQ125" s="6" t="str">
        <x:v>0.5673758865248227</x:v>
      </x:c>
      <x:c r="AR125" s="6" t="str">
        <x:v>0.04964539007092199</x:v>
      </x:c>
      <x:c r="AS125" s="6" t="str">
        <x:v>With trade</x:v>
      </x:c>
      <x:c r="AT125" s="6" t="str">
        <x:v>5.184962857357244</x:v>
      </x:c>
      <x:c r="AU125" s="7" t="str">
        <x:v>2024-06-06 07:40:00-05:00</x:v>
      </x:c>
      <x:c r="AV125" s="8" t="str">
        <x:v>2</x:v>
      </x:c>
      <x:c r="AW125" s="6" t="str">
        <x:v>Delayed retest (2+ bars)</x:v>
      </x:c>
      <x:c r="AX125" s="6" t="str">
        <x:v>18626.75</x:v>
      </x:c>
      <x:c r="AY125" s="6" t="str">
        <x:v>0.0</x:v>
      </x:c>
      <x:c r="AZ125" s="9" t="str">
        <x:v>0.0</x:v>
      </x:c>
      <x:c r="BA125" s="9" t="str">
        <x:v>0.1694225850427788</x:v>
      </x:c>
      <x:c r="BB125" s="9" t="str">
        <x:v>2.2213183372275442</x:v>
      </x:c>
      <x:c r="BC125" s="9" t="str">
        <x:v>1.1483086319566118</x:v>
      </x:c>
      <x:c r="BD125" s="6" t="str">
        <x:v>0.059322033898305086</x:v>
      </x:c>
      <x:c r="BE125" s="6" t="str">
        <x:v>0.423728813559322</x:v>
      </x:c>
      <x:c r="BF125" s="9" t="str">
        <x:v>0.13177312169993904</x:v>
      </x:c>
      <x:c r="BG125" s="9" t="str">
        <x:v>0.9412365835709933</x:v>
      </x:c>
      <x:c r="BH125" s="6" t="str">
        <x:v>Against trade</x:v>
      </x:c>
      <x:c r="BI125" s="6" t="str">
        <x:v>Tolerance-only shallow touch</x:v>
      </x:c>
      <x:c r="BJ125" s="6" t="str">
        <x:v>True</x:v>
      </x:c>
      <x:c r="BK125" s="10" t="str">
        <x:v>False</x:v>
      </x:c>
      <x:c r="BL125" s="6" t="str">
        <x:v>True</x:v>
      </x:c>
      <x:c r="BM125" s="7" t="str">
        <x:v>2024-06-06 07:45:00-05:00</x:v>
      </x:c>
      <x:c r="BN125" s="8" t="str">
        <x:v>1</x:v>
      </x:c>
      <x:c r="BO125" s="6" t="str">
        <x:v>Immediate confirmation (1 bar)</x:v>
      </x:c>
      <x:c r="BP125" s="9" t="str">
        <x:v>0.38168933083830325</x:v>
      </x:c>
      <x:c r="BQ125" s="9" t="str">
        <x:v>0.820632061302352</x:v>
      </x:c>
      <x:c r="BR125" s="10" t="str">
        <x:v>0.46511627906976744</x:v>
      </x:c>
      <x:c r="BS125" s="9" t="str">
        <x:v>0.5916184627993701</x:v>
      </x:c>
      <x:c r="BT125" s="9" t="str">
        <x:v>0.4198582639221336</x:v>
      </x:c>
      <x:c r="BU125" s="9" t="str">
        <x:v>0.13359126579340616</x:v>
      </x:c>
      <x:c r="BV125" s="6" t="str">
        <x:v>With trade</x:v>
      </x:c>
      <x:c r="BW125" s="7" t="str">
        <x:v>2024-06-06 07:45:00-05:00</x:v>
      </x:c>
      <x:c r="BX125" s="6" t="str">
        <x:v>18619.5</x:v>
      </x:c>
      <x:c r="BY125" s="9" t="str">
        <x:v>13.09965879585503</x:v>
      </x:c>
      <x:c r="BZ125" s="9" t="str">
        <x:v>0.99</x:v>
      </x:c>
      <x:c r="CA125" s="6" t="str">
        <x:v>18639.149488193783</x:v>
      </x:c>
      <x:c r="CB125" s="6" t="str">
        <x:v>19.649488193783327</x:v>
      </x:c>
      <x:c r="CC125" s="9" t="str">
        <x:v>1.5000000000000597</x:v>
      </x:c>
      <x:c r="CD125" s="6" t="str">
        <x:v>18580.201023612433</x:v>
      </x:c>
      <x:c r="CE125" s="6" t="str">
        <x:v>39.298976387566654</x:v>
      </x:c>
      <x:c r="CF125" s="6" t="str">
        <x:v>Fixed 2.00R target</x:v>
      </x:c>
      <x:c r="CG125" s="9" t="str">
        <x:v>0.03689663531436785</x:v>
      </x:c>
      <x:c r="CH125" s="9" t="str">
        <x:v>-1.0</x:v>
      </x:c>
      <x:c r="CI125" s="9" t="str">
        <x:v>-1.0368966353143678</x:v>
      </x:c>
      <x:c r="CJ125" s="6" t="str">
        <x:v>Loss</x:v>
      </x:c>
      <x:c r="CK125" s="9" t="str">
        <x:v>0.15267573233531523</x:v>
      </x:c>
      <x:c r="CL125" s="9" t="str">
        <x:v>1.0941760817364259</x:v>
      </x:c>
      <x:c r="CM125" s="7" t="str">
        <x:v>2024-06-06 07:55:00-05:00</x:v>
      </x:c>
      <x:c r="CN125" s="6" t="str">
        <x:v>18639.149488193783</x:v>
      </x:c>
      <x:c r="CO125" s="6" t="str">
        <x:v>STOP</x:v>
      </x:c>
      <x:c r="CP125" s="6" t="str">
        <x:v>F::Short::Same-bar Setup+BOS::Tolerance-only shallow touch</x:v>
      </x:c>
    </x:row>
    <x:row r="126" ht="18" customHeight="1">
      <x:c r="A126" s="6" t="str">
        <x:v>A0125</x:v>
      </x:c>
      <x:c r="B126" s="6" t="str">
        <x:v>2024-06-06</x:v>
      </x:c>
      <x:c r="C126" s="6" t="str">
        <x:v>2024</x:v>
      </x:c>
      <x:c r="D126" s="6" t="str">
        <x:v>2024-Q2</x:v>
      </x:c>
      <x:c r="E126" s="6" t="str">
        <x:v>First 50%</x:v>
      </x:c>
      <x:c r="F126" s="6" t="str">
        <x:v>Short</x:v>
      </x:c>
      <x:c r="G126" s="6" t="str">
        <x:v>Short</x:v>
      </x:c>
      <x:c r="H126" s="6" t="str">
        <x:v>Morning</x:v>
      </x:c>
      <x:c r="I126" s="6" t="str">
        <x:v>Morning</x:v>
      </x:c>
      <x:c r="J126" s="6" t="str">
        <x:v>Bull</x:v>
      </x:c>
      <x:c r="K126" s="6" t="str">
        <x:v>Bull</x:v>
      </x:c>
      <x:c r="L126" s="6" t="str">
        <x:v>HIGH</x:v>
      </x:c>
      <x:c r="M126" s="7" t="str">
        <x:v>2024-06-06 11:30:00-05:00</x:v>
      </x:c>
      <x:c r="N126" s="6" t="str">
        <x:v>75.0</x:v>
      </x:c>
      <x:c r="O126" s="6" t="str">
        <x:v>75-79</x:v>
      </x:c>
      <x:c r="P126" s="6" t="str">
        <x:v>Matching BOS only</x:v>
      </x:c>
      <x:c r="Q126" s="6" t="str">
        <x:v>Bear BOS</x:v>
      </x:c>
      <x:c r="R126" s="6" t="str">
        <x:v>True</x:v>
      </x:c>
      <x:c r="S126" s="6" t="str">
        <x:v>False</x:v>
      </x:c>
      <x:c r="T126" s="6" t="str">
        <x:v>No recent matching sweep</x:v>
      </x:c>
      <x:c r="U126" s="6" t="str">
        <x:v>None</x:v>
      </x:c>
      <x:c r="V126" s="6" t="str">
        <x:v>None</x:v>
      </x:c>
      <x:c r="W126" s="6" t="str">
        <x:v>[]</x:v>
      </x:c>
      <x:c r="X126" s="8" t="str">
        <x:v>0</x:v>
      </x:c>
      <x:c r="Y126" s="8" t="str"/>
      <x:c r="Z126" s="6" t="str">
        <x:v>Sweep below CRT reference</x:v>
      </x:c>
      <x:c r="AA126" s="6" t="str">
        <x:v>18592.25</x:v>
      </x:c>
      <x:c r="AB126" s="9" t="str">
        <x:v>0.2526454308394759</x:v>
      </x:c>
      <x:c r="AC126" s="9" t="str">
        <x:v>0.5473984334855311</x:v>
      </x:c>
      <x:c r="AD126" s="9" t="str">
        <x:v>0.9544382942824645</x:v>
      </x:c>
      <x:c r="AE126" s="6" t="str">
        <x:v>With trade</x:v>
      </x:c>
      <x:c r="AF126" s="7" t="str">
        <x:v>2024-06-06 11:30:00-05:00</x:v>
      </x:c>
      <x:c r="AG126" s="6" t="str">
        <x:v>Short</x:v>
      </x:c>
      <x:c r="AH126" s="6" t="str">
        <x:v>18592.25</x:v>
      </x:c>
      <x:c r="AI126" s="8" t="str">
        <x:v>0</x:v>
      </x:c>
      <x:c r="AJ126" s="6" t="str">
        <x:v>True</x:v>
      </x:c>
      <x:c r="AK126" s="6" t="str">
        <x:v>Same-bar Setup+BOS</x:v>
      </x:c>
      <x:c r="AL126" s="9" t="str">
        <x:v>0.5333625762166714</x:v>
      </x:c>
      <x:c r="AM126" s="9" t="str">
        <x:v>0.2526454308394759</x:v>
      </x:c>
      <x:c r="AN126" s="9" t="str">
        <x:v>0.5473984334855311</x:v>
      </x:c>
      <x:c r="AO126" s="9" t="str">
        <x:v>0.9544382942824645</x:v>
      </x:c>
      <x:c r="AP126" s="10" t="str">
        <x:v>0.5735294117647058</x:v>
      </x:c>
      <x:c r="AQ126" s="6" t="str">
        <x:v>0.14705882352941177</x:v>
      </x:c>
      <x:c r="AR126" s="6" t="str">
        <x:v>0.27941176470588236</x:v>
      </x:c>
      <x:c r="AS126" s="6" t="str">
        <x:v>With trade</x:v>
      </x:c>
      <x:c r="AT126" s="6" t="str">
        <x:v>0.8574035391005788</x:v>
      </x:c>
      <x:c r="AU126" s="7" t="str">
        <x:v>2024-06-06 11:35:00-05:00</x:v>
      </x:c>
      <x:c r="AV126" s="8" t="str">
        <x:v>1</x:v>
      </x:c>
      <x:c r="AW126" s="6" t="str">
        <x:v>Immediate retest (1 bar)</x:v>
      </x:c>
      <x:c r="AX126" s="6" t="str">
        <x:v>18593.0</x:v>
      </x:c>
      <x:c r="AY126" s="6" t="str">
        <x:v>0.75</x:v>
      </x:c>
      <x:c r="AZ126" s="9" t="str">
        <x:v>0.042160241968019284</x:v>
      </x:c>
      <x:c r="BA126" s="9" t="str">
        <x:v>0.35133534973349406</x:v>
      </x:c>
      <x:c r="BB126" s="9" t="str">
        <x:v>0.9837389792537833</x:v>
      </x:c>
      <x:c r="BC126" s="9" t="str">
        <x:v>0.0702670699466988</x:v>
      </x:c>
      <x:c r="BD126" s="6" t="str">
        <x:v>0.32857142857142857</x:v>
      </x:c>
      <x:c r="BE126" s="6" t="str">
        <x:v>0.6</x:v>
      </x:c>
      <x:c r="BF126" s="9" t="str">
        <x:v>0.32322852175481454</x:v>
      </x:c>
      <x:c r="BG126" s="9" t="str">
        <x:v>0.59024338755227</x:v>
      </x:c>
      <x:c r="BH126" s="6" t="str">
        <x:v>With trade</x:v>
      </x:c>
      <x:c r="BI126" s="6" t="str">
        <x:v>Penetration + same-bar reclaim</x:v>
      </x:c>
      <x:c r="BJ126" s="6" t="str">
        <x:v>False</x:v>
      </x:c>
      <x:c r="BK126" s="10" t="str">
        <x:v>True</x:v>
      </x:c>
      <x:c r="BL126" s="6" t="str">
        <x:v>True</x:v>
      </x:c>
      <x:c r="BM126" s="7" t="str">
        <x:v>2024-06-06 11:40:00-05:00</x:v>
      </x:c>
      <x:c r="BN126" s="8" t="str">
        <x:v>1</x:v>
      </x:c>
      <x:c r="BO126" s="6" t="str">
        <x:v>Immediate confirmation (1 bar)</x:v>
      </x:c>
      <x:c r="BP126" s="9" t="str">
        <x:v>0.4289907323187657</x:v>
      </x:c>
      <x:c r="BQ126" s="9" t="str">
        <x:v>0.7721833181737784</x:v>
      </x:c>
      <x:c r="BR126" s="10" t="str">
        <x:v>0.5555555555555556</x:v>
      </x:c>
      <x:c r="BS126" s="9" t="str">
        <x:v>0.7721833181737784</x:v>
      </x:c>
      <x:c r="BT126" s="9" t="str">
        <x:v>0.41469104124147355</x:v>
      </x:c>
      <x:c r="BU126" s="9" t="str">
        <x:v>0.1572966018502141</x:v>
      </x:c>
      <x:c r="BV126" s="6" t="str">
        <x:v>With trade</x:v>
      </x:c>
      <x:c r="BW126" s="7" t="str">
        <x:v>2024-06-06 11:40:00-05:00</x:v>
      </x:c>
      <x:c r="BX126" s="6" t="str">
        <x:v>18578.75</x:v>
      </x:c>
      <x:c r="BY126" s="9" t="str">
        <x:v>17.48289516526677</x:v>
      </x:c>
      <x:c r="BZ126" s="9" t="str">
        <x:v>0.69</x:v>
      </x:c>
      <x:c r="CA126" s="6" t="str">
        <x:v>18604.9743427479</x:v>
      </x:c>
      <x:c r="CB126" s="6" t="str">
        <x:v>26.224342747900664</x:v>
      </x:c>
      <x:c r="CC126" s="9" t="str">
        <x:v>1.5000000000000293</x:v>
      </x:c>
      <x:c r="CD126" s="6" t="str">
        <x:v>18526.3013145042</x:v>
      </x:c>
      <x:c r="CE126" s="6" t="str">
        <x:v>52.44868549580133</x:v>
      </x:c>
      <x:c r="CF126" s="6" t="str">
        <x:v>Fixed 2.00R target</x:v>
      </x:c>
      <x:c r="CG126" s="9" t="str">
        <x:v>0.027646069416097697</x:v>
      </x:c>
      <x:c r="CH126" s="9" t="str">
        <x:v>-1.0</x:v>
      </x:c>
      <x:c r="CI126" s="9" t="str">
        <x:v>-1.0276460694160976</x:v>
      </x:c>
      <x:c r="CJ126" s="6" t="str">
        <x:v>Loss</x:v>
      </x:c>
      <x:c r="CK126" s="9" t="str">
        <x:v>0.009533127384861275</x:v>
      </x:c>
      <x:c r="CL126" s="9" t="str">
        <x:v>1.4395022351140525</x:v>
      </x:c>
      <x:c r="CM126" s="7" t="str">
        <x:v>2024-06-06 12:00:00-05:00</x:v>
      </x:c>
      <x:c r="CN126" s="6" t="str">
        <x:v>18604.9743427479</x:v>
      </x:c>
      <x:c r="CO126" s="6" t="str">
        <x:v>STOP</x:v>
      </x:c>
      <x:c r="CP126" s="6" t="str">
        <x:v>F::Short::Same-bar Setup+BOS::Penetration + same-bar reclaim</x:v>
      </x:c>
    </x:row>
    <x:row r="127" ht="18" customHeight="1">
      <x:c r="A127" s="6" t="str">
        <x:v>A0126</x:v>
      </x:c>
      <x:c r="B127" s="6" t="str">
        <x:v>2024-06-10</x:v>
      </x:c>
      <x:c r="C127" s="6" t="str">
        <x:v>2024</x:v>
      </x:c>
      <x:c r="D127" s="6" t="str">
        <x:v>2024-Q2</x:v>
      </x:c>
      <x:c r="E127" s="6" t="str">
        <x:v>First 50%</x:v>
      </x:c>
      <x:c r="F127" s="6" t="str">
        <x:v>Long</x:v>
      </x:c>
      <x:c r="G127" s="6" t="str">
        <x:v>Long</x:v>
      </x:c>
      <x:c r="H127" s="6" t="str">
        <x:v>Overnight</x:v>
      </x:c>
      <x:c r="I127" s="6" t="str">
        <x:v>Overnight</x:v>
      </x:c>
      <x:c r="J127" s="6" t="str">
        <x:v>Bull</x:v>
      </x:c>
      <x:c r="K127" s="6" t="str">
        <x:v>Bull</x:v>
      </x:c>
      <x:c r="L127" s="6" t="str">
        <x:v>LOW</x:v>
      </x:c>
      <x:c r="M127" s="7" t="str">
        <x:v>2024-06-10 20:35:00-05:00</x:v>
      </x:c>
      <x:c r="N127" s="6" t="str">
        <x:v>90.0</x:v>
      </x:c>
      <x:c r="O127" s="6" t="str">
        <x:v>90-94</x:v>
      </x:c>
      <x:c r="P127" s="6" t="str">
        <x:v>Matching BOS only</x:v>
      </x:c>
      <x:c r="Q127" s="6" t="str">
        <x:v>Bull CHoCH</x:v>
      </x:c>
      <x:c r="R127" s="6" t="str">
        <x:v>True</x:v>
      </x:c>
      <x:c r="S127" s="6" t="str">
        <x:v>False</x:v>
      </x:c>
      <x:c r="T127" s="6" t="str">
        <x:v>Recent SSL</x:v>
      </x:c>
      <x:c r="U127" s="6" t="str">
        <x:v>SSL</x:v>
      </x:c>
      <x:c r="V127" s="6" t="str">
        <x:v>Swing low / sell-side</x:v>
      </x:c>
      <x:c r="W127" s="6" t="str">
        <x:v>[18619.25]</x:v>
      </x:c>
      <x:c r="X127" s="8" t="str">
        <x:v>1</x:v>
      </x:c>
      <x:c r="Y127" s="8" t="str">
        <x:v>11.0</x:v>
      </x:c>
      <x:c r="Z127" s="6" t="str">
        <x:v>None</x:v>
      </x:c>
      <x:c r="AA127" s="6" t="str">
        <x:v>18629.0</x:v>
      </x:c>
      <x:c r="AB127" s="9" t="str">
        <x:v>0.3016798003426013</x:v>
      </x:c>
      <x:c r="AC127" s="9" t="str">
        <x:v>1.0558793011991043</x:v>
      </x:c>
      <x:c r="AD127" s="9" t="str">
        <x:v>1.4078390682654724</x:v>
      </x:c>
      <x:c r="AE127" s="6" t="str">
        <x:v>With trade</x:v>
      </x:c>
      <x:c r="AF127" s="7" t="str">
        <x:v>2024-06-10 20:35:00-05:00</x:v>
      </x:c>
      <x:c r="AG127" s="6" t="str">
        <x:v>Long</x:v>
      </x:c>
      <x:c r="AH127" s="6" t="str">
        <x:v>18629.0</x:v>
      </x:c>
      <x:c r="AI127" s="8" t="str">
        <x:v>0</x:v>
      </x:c>
      <x:c r="AJ127" s="6" t="str">
        <x:v>True</x:v>
      </x:c>
      <x:c r="AK127" s="6" t="str">
        <x:v>Same-bar Setup+BOS</x:v>
      </x:c>
      <x:c r="AL127" s="9" t="str">
        <x:v>0.9553193677515707</x:v>
      </x:c>
      <x:c r="AM127" s="9" t="str">
        <x:v>0.3016798003426013</x:v>
      </x:c>
      <x:c r="AN127" s="9" t="str">
        <x:v>1.0558793011991043</x:v>
      </x:c>
      <x:c r="AO127" s="9" t="str">
        <x:v>1.4078390682654724</x:v>
      </x:c>
      <x:c r="AP127" s="10" t="str">
        <x:v>0.75</x:v>
      </x:c>
      <x:c r="AQ127" s="6" t="str">
        <x:v>0.21428571428571427</x:v>
      </x:c>
      <x:c r="AR127" s="6" t="str">
        <x:v>0.03571428571428571</x:v>
      </x:c>
      <x:c r="AS127" s="6" t="str">
        <x:v>With trade</x:v>
      </x:c>
      <x:c r="AT127" s="6" t="str">
        <x:v>1.3149350649350648</x:v>
      </x:c>
      <x:c r="AU127" s="7" t="str">
        <x:v>2024-06-10 20:40:00-05:00</x:v>
      </x:c>
      <x:c r="AV127" s="8" t="str">
        <x:v>1</x:v>
      </x:c>
      <x:c r="AW127" s="6" t="str">
        <x:v>Immediate retest (1 bar)</x:v>
      </x:c>
      <x:c r="AX127" s="6" t="str">
        <x:v>18629.25</x:v>
      </x:c>
      <x:c r="AY127" s="6" t="str">
        <x:v>0.0</x:v>
      </x:c>
      <x:c r="AZ127" s="9" t="str">
        <x:v>0.0</x:v>
      </x:c>
      <x:c r="BA127" s="9" t="str">
        <x:v>0.8574961106163876</x:v>
      </x:c>
      <x:c r="BB127" s="9" t="str">
        <x:v>0.9583780059830215</x:v>
      </x:c>
      <x:c r="BC127" s="9" t="str">
        <x:v>0.605291372199803</x:v>
      </x:c>
      <x:c r="BD127" s="6" t="str">
        <x:v>0.15789473684210525</x:v>
      </x:c>
      <x:c r="BE127" s="6" t="str">
        <x:v>0.21052631578947367</x:v>
      </x:c>
      <x:c r="BF127" s="9" t="str">
        <x:v>0.20176379073326767</x:v>
      </x:c>
      <x:c r="BG127" s="9" t="str">
        <x:v>0.15132284304995075</x:v>
      </x:c>
      <x:c r="BH127" s="6" t="str">
        <x:v>With trade</x:v>
      </x:c>
      <x:c r="BI127" s="6" t="str">
        <x:v>Tolerance-only shallow touch</x:v>
      </x:c>
      <x:c r="BJ127" s="6" t="str">
        <x:v>True</x:v>
      </x:c>
      <x:c r="BK127" s="10" t="str">
        <x:v>False</x:v>
      </x:c>
      <x:c r="BL127" s="6" t="str">
        <x:v>True</x:v>
      </x:c>
      <x:c r="BM127" s="7" t="str">
        <x:v>2024-06-10 20:50:00-05:00</x:v>
      </x:c>
      <x:c r="BN127" s="8" t="str">
        <x:v>2</x:v>
      </x:c>
      <x:c r="BO127" s="6" t="str">
        <x:v>Delayed confirmation (2+ bars)</x:v>
      </x:c>
      <x:c r="BP127" s="9" t="str">
        <x:v>0.41763745684323533</x:v>
      </x:c>
      <x:c r="BQ127" s="9" t="str">
        <x:v>0.7308655494756618</x:v>
      </x:c>
      <x:c r="BR127" s="10" t="str">
        <x:v>0.5714285714285714</x:v>
      </x:c>
      <x:c r="BS127" s="9" t="str">
        <x:v>1.252912370529706</x:v>
      </x:c>
      <x:c r="BT127" s="9" t="str">
        <x:v>0.3654327747378309</x:v>
      </x:c>
      <x:c r="BU127" s="9" t="str">
        <x:v>0.10440936421080883</x:v>
      </x:c>
      <x:c r="BV127" s="6" t="str">
        <x:v>With trade</x:v>
      </x:c>
      <x:c r="BW127" s="7" t="str">
        <x:v>2024-06-10 20:50:00-05:00</x:v>
      </x:c>
      <x:c r="BX127" s="6" t="str">
        <x:v>18635.0</x:v>
      </x:c>
      <x:c r="BY127" s="9" t="str">
        <x:v>4.7888424930015825</x:v>
      </x:c>
      <x:c r="BZ127" s="9" t="str">
        <x:v>0.03</x:v>
      </x:c>
      <x:c r="CA127" s="6" t="str">
        <x:v>18627.816736260498</x:v>
      </x:c>
      <x:c r="CB127" s="6" t="str">
        <x:v>7.183263739501854</x:v>
      </x:c>
      <x:c r="CC127" s="9" t="str">
        <x:v>1.4999999999998914</x:v>
      </x:c>
      <x:c r="CD127" s="6" t="str">
        <x:v>18649.366527479004</x:v>
      </x:c>
      <x:c r="CE127" s="6" t="str">
        <x:v>14.366527479003707</x:v>
      </x:c>
      <x:c r="CF127" s="6" t="str">
        <x:v>Fixed 2.00R target</x:v>
      </x:c>
      <x:c r="CG127" s="9" t="str">
        <x:v>0.10092905207045585</x:v>
      </x:c>
      <x:c r="CH127" s="9" t="str">
        <x:v>-1.0</x:v>
      </x:c>
      <x:c r="CI127" s="9" t="str">
        <x:v>-1.1009290520704558</x:v>
      </x:c>
      <x:c r="CJ127" s="6" t="str">
        <x:v>Loss</x:v>
      </x:c>
      <x:c r="CK127" s="9" t="str">
        <x:v>0.27842497122884374</x:v>
      </x:c>
      <x:c r="CL127" s="9" t="str">
        <x:v>1.0092905207045586</x:v>
      </x:c>
      <x:c r="CM127" s="7" t="str">
        <x:v>2024-06-10 21:25:00-05:00</x:v>
      </x:c>
      <x:c r="CN127" s="6" t="str">
        <x:v>18627.816736260498</x:v>
      </x:c>
      <x:c r="CO127" s="6" t="str">
        <x:v>STOP</x:v>
      </x:c>
      <x:c r="CP127" s="6" t="str">
        <x:v>F::Long::Same-bar Setup+BOS::Tolerance-only shallow touch</x:v>
      </x:c>
    </x:row>
    <x:row r="128" ht="18" customHeight="1">
      <x:c r="A128" s="6" t="str">
        <x:v>A0127</x:v>
      </x:c>
      <x:c r="B128" s="6" t="str">
        <x:v>2024-06-11</x:v>
      </x:c>
      <x:c r="C128" s="6" t="str">
        <x:v>2024</x:v>
      </x:c>
      <x:c r="D128" s="6" t="str">
        <x:v>2024-Q2</x:v>
      </x:c>
      <x:c r="E128" s="6" t="str">
        <x:v>First 50%</x:v>
      </x:c>
      <x:c r="F128" s="6" t="str">
        <x:v>Long</x:v>
      </x:c>
      <x:c r="G128" s="6" t="str">
        <x:v>Long</x:v>
      </x:c>
      <x:c r="H128" s="6" t="str">
        <x:v>Afternoon</x:v>
      </x:c>
      <x:c r="I128" s="6" t="str">
        <x:v>Afternoon</x:v>
      </x:c>
      <x:c r="J128" s="6" t="str">
        <x:v>Bull</x:v>
      </x:c>
      <x:c r="K128" s="6" t="str">
        <x:v>Bull</x:v>
      </x:c>
      <x:c r="L128" s="6" t="str">
        <x:v>MID</x:v>
      </x:c>
      <x:c r="M128" s="7" t="str">
        <x:v>2024-06-11 14:55:00-05:00</x:v>
      </x:c>
      <x:c r="N128" s="6" t="str">
        <x:v>75.0</x:v>
      </x:c>
      <x:c r="O128" s="6" t="str">
        <x:v>75-79</x:v>
      </x:c>
      <x:c r="P128" s="6" t="str">
        <x:v>Matching BOS only</x:v>
      </x:c>
      <x:c r="Q128" s="6" t="str">
        <x:v>Bull BOS</x:v>
      </x:c>
      <x:c r="R128" s="6" t="str">
        <x:v>True</x:v>
      </x:c>
      <x:c r="S128" s="6" t="str">
        <x:v>False</x:v>
      </x:c>
      <x:c r="T128" s="6" t="str">
        <x:v>No recent matching sweep</x:v>
      </x:c>
      <x:c r="U128" s="6" t="str">
        <x:v>None</x:v>
      </x:c>
      <x:c r="V128" s="6" t="str">
        <x:v>None</x:v>
      </x:c>
      <x:c r="W128" s="6" t="str">
        <x:v>[]</x:v>
      </x:c>
      <x:c r="X128" s="8" t="str">
        <x:v>0</x:v>
      </x:c>
      <x:c r="Y128" s="8" t="str"/>
      <x:c r="Z128" s="6" t="str">
        <x:v>None</x:v>
      </x:c>
      <x:c r="AA128" s="6" t="str">
        <x:v>18772.5</x:v>
      </x:c>
      <x:c r="AB128" s="9" t="str">
        <x:v>0.5156174123536429</x:v>
      </x:c>
      <x:c r="AC128" s="9" t="str">
        <x:v>1.110560580454</x:v>
      </x:c>
      <x:c r="AD128" s="9" t="str">
        <x:v>1.4278636034408572</x:v>
      </x:c>
      <x:c r="AE128" s="6" t="str">
        <x:v>With trade</x:v>
      </x:c>
      <x:c r="AF128" s="7" t="str">
        <x:v>2024-06-11 14:55:00-05:00</x:v>
      </x:c>
      <x:c r="AG128" s="6" t="str">
        <x:v>Long</x:v>
      </x:c>
      <x:c r="AH128" s="6" t="str">
        <x:v>18772.5</x:v>
      </x:c>
      <x:c r="AI128" s="8" t="str">
        <x:v>0</x:v>
      </x:c>
      <x:c r="AJ128" s="6" t="str">
        <x:v>True</x:v>
      </x:c>
      <x:c r="AK128" s="6" t="str">
        <x:v>Same-bar Setup+BOS</x:v>
      </x:c>
      <x:c r="AL128" s="9" t="str">
        <x:v>1.1237815397451192</x:v>
      </x:c>
      <x:c r="AM128" s="9" t="str">
        <x:v>0.5156174123536429</x:v>
      </x:c>
      <x:c r="AN128" s="9" t="str">
        <x:v>1.110560580454</x:v>
      </x:c>
      <x:c r="AO128" s="9" t="str">
        <x:v>1.4278636034408572</x:v>
      </x:c>
      <x:c r="AP128" s="10" t="str">
        <x:v>0.7777777777777778</x:v>
      </x:c>
      <x:c r="AQ128" s="6" t="str">
        <x:v>0.2037037037037037</x:v>
      </x:c>
      <x:c r="AR128" s="6" t="str">
        <x:v>0.018518518518518517</x:v>
      </x:c>
      <x:c r="AS128" s="6" t="str">
        <x:v>With trade</x:v>
      </x:c>
      <x:c r="AT128" s="6" t="str">
        <x:v>3.604536227108952</x:v>
      </x:c>
      <x:c r="AU128" s="7" t="str">
        <x:v>2024-06-11 15:00:00-05:00</x:v>
      </x:c>
      <x:c r="AV128" s="8" t="str">
        <x:v>1</x:v>
      </x:c>
      <x:c r="AW128" s="6" t="str">
        <x:v>Immediate retest (1 bar)</x:v>
      </x:c>
      <x:c r="AX128" s="6" t="str">
        <x:v>18767.25</x:v>
      </x:c>
      <x:c r="AY128" s="6" t="str">
        <x:v>5.25</x:v>
      </x:c>
      <x:c r="AZ128" s="9" t="str">
        <x:v>0.2799234351362349</x:v>
      </x:c>
      <x:c r="BA128" s="9" t="str">
        <x:v>0.19994531081159633</x:v>
      </x:c>
      <x:c r="BB128" s="9" t="str">
        <x:v>0.8930890549584637</x:v>
      </x:c>
      <x:c r="BC128" s="9" t="str">
        <x:v>0.31991249729855414</x:v>
      </x:c>
      <x:c r="BD128" s="6" t="str">
        <x:v>0.1044776119402985</x:v>
      </x:c>
      <x:c r="BE128" s="6" t="str">
        <x:v>0.5373134328358209</x:v>
      </x:c>
      <x:c r="BF128" s="9" t="str">
        <x:v>0.47986874594783124</x:v>
      </x:c>
      <x:c r="BG128" s="9" t="str">
        <x:v>0.09330781171207829</x:v>
      </x:c>
      <x:c r="BH128" s="6" t="str">
        <x:v>Against trade</x:v>
      </x:c>
      <x:c r="BI128" s="6" t="str">
        <x:v>Penetration + same-bar reclaim</x:v>
      </x:c>
      <x:c r="BJ128" s="6" t="str">
        <x:v>False</x:v>
      </x:c>
      <x:c r="BK128" s="10" t="str">
        <x:v>True</x:v>
      </x:c>
      <x:c r="BL128" s="6" t="str">
        <x:v>True</x:v>
      </x:c>
      <x:c r="BM128" s="7" t="str">
        <x:v>2024-06-11 15:05:00-05:00</x:v>
      </x:c>
      <x:c r="BN128" s="8" t="str">
        <x:v>1</x:v>
      </x:c>
      <x:c r="BO128" s="6" t="str">
        <x:v>Immediate confirmation (1 bar)</x:v>
      </x:c>
      <x:c r="BP128" s="9" t="str">
        <x:v>0.17665329089364787</x:v>
      </x:c>
      <x:c r="BQ128" s="9" t="str">
        <x:v>0.7473793076269718</x:v>
      </x:c>
      <x:c r="BR128" s="10" t="str">
        <x:v>0.23636363636363636</x:v>
      </x:c>
      <x:c r="BS128" s="9" t="str">
        <x:v>0.394072725839676</x:v>
      </x:c>
      <x:c r="BT128" s="9" t="str">
        <x:v>0.19024200557777463</x:v>
      </x:c>
      <x:c r="BU128" s="9" t="str">
        <x:v>0.31254043773491547</x:v>
      </x:c>
      <x:c r="BV128" s="6" t="str">
        <x:v>With trade</x:v>
      </x:c>
      <x:c r="BW128" s="7" t="str">
        <x:v>2024-06-11 15:05:00-05:00</x:v>
      </x:c>
      <x:c r="BX128" s="6" t="str">
        <x:v>18779.75</x:v>
      </x:c>
      <x:c r="BY128" s="9" t="str">
        <x:v>18.397619334228118</x:v>
      </x:c>
      <x:c r="BZ128" s="9" t="str">
        <x:v>0.59</x:v>
      </x:c>
      <x:c r="CA128" s="6" t="str">
        <x:v>18752.153570998657</x:v>
      </x:c>
      <x:c r="CB128" s="6" t="str">
        <x:v>27.596429001343495</x:v>
      </x:c>
      <x:c r="CC128" s="9" t="str">
        <x:v>1.5000000000000717</x:v>
      </x:c>
      <x:c r="CD128" s="6" t="str">
        <x:v>18834.942858002683</x:v>
      </x:c>
      <x:c r="CE128" s="6" t="str">
        <x:v>55.19285800268335</x:v>
      </x:c>
      <x:c r="CF128" s="6" t="str">
        <x:v>Fixed 2.00R target</x:v>
      </x:c>
      <x:c r="CG128" s="9" t="str">
        <x:v>0.026271515055977145</x:v>
      </x:c>
      <x:c r="CH128" s="9" t="str">
        <x:v>-0.19930114870052582</x:v>
      </x:c>
      <x:c r="CI128" s="9" t="str">
        <x:v>-0.22557266375650295</x:v>
      </x:c>
      <x:c r="CJ128" s="6" t="str">
        <x:v>Loss</x:v>
      </x:c>
      <x:c r="CK128" s="9" t="str">
        <x:v>0.6522583048380532</x:v>
      </x:c>
      <x:c r="CL128" s="9" t="str">
        <x:v>0.21741943494601776</x:v>
      </x:c>
      <x:c r="CM128" s="7" t="str">
        <x:v>2024-06-11 17:05:00-05:00</x:v>
      </x:c>
      <x:c r="CN128" s="6" t="str">
        <x:v>18774.25</x:v>
      </x:c>
      <x:c r="CO128" s="6" t="str">
        <x:v>TIME</x:v>
      </x:c>
      <x:c r="CP128" s="6" t="str">
        <x:v>F::Long::Same-bar Setup+BOS::Penetration + same-bar reclaim</x:v>
      </x:c>
    </x:row>
    <x:row r="129" ht="18" customHeight="1">
      <x:c r="A129" s="6" t="str">
        <x:v>A0128</x:v>
      </x:c>
      <x:c r="B129" s="6" t="str">
        <x:v>2024-06-12</x:v>
      </x:c>
      <x:c r="C129" s="6" t="str">
        <x:v>2024</x:v>
      </x:c>
      <x:c r="D129" s="6" t="str">
        <x:v>2024-Q2</x:v>
      </x:c>
      <x:c r="E129" s="6" t="str">
        <x:v>First 50%</x:v>
      </x:c>
      <x:c r="F129" s="6" t="str">
        <x:v>Short</x:v>
      </x:c>
      <x:c r="G129" s="6" t="str">
        <x:v>Short</x:v>
      </x:c>
      <x:c r="H129" s="6" t="str">
        <x:v>Overnight</x:v>
      </x:c>
      <x:c r="I129" s="6" t="str">
        <x:v>Overnight</x:v>
      </x:c>
      <x:c r="J129" s="6" t="str">
        <x:v>Bull</x:v>
      </x:c>
      <x:c r="K129" s="6" t="str">
        <x:v>Bull</x:v>
      </x:c>
      <x:c r="L129" s="6" t="str">
        <x:v>HIGH</x:v>
      </x:c>
      <x:c r="M129" s="7" t="str">
        <x:v>2024-06-12 02:00:00-05:00</x:v>
      </x:c>
      <x:c r="N129" s="6" t="str">
        <x:v>90.0</x:v>
      </x:c>
      <x:c r="O129" s="6" t="str">
        <x:v>90-94</x:v>
      </x:c>
      <x:c r="P129" s="6" t="str">
        <x:v>Matching BOS only</x:v>
      </x:c>
      <x:c r="Q129" s="6" t="str">
        <x:v>Bear CHoCH</x:v>
      </x:c>
      <x:c r="R129" s="6" t="str">
        <x:v>True</x:v>
      </x:c>
      <x:c r="S129" s="6" t="str">
        <x:v>False</x:v>
      </x:c>
      <x:c r="T129" s="6" t="str">
        <x:v>Recent BSL</x:v>
      </x:c>
      <x:c r="U129" s="6" t="str">
        <x:v>BSL</x:v>
      </x:c>
      <x:c r="V129" s="6" t="str">
        <x:v>Swing high / buy-side</x:v>
      </x:c>
      <x:c r="W129" s="6" t="str">
        <x:v>[18810.0]</x:v>
      </x:c>
      <x:c r="X129" s="8" t="str">
        <x:v>1</x:v>
      </x:c>
      <x:c r="Y129" s="8" t="str">
        <x:v>10.0</x:v>
      </x:c>
      <x:c r="Z129" s="6" t="str">
        <x:v>None</x:v>
      </x:c>
      <x:c r="AA129" s="6" t="str">
        <x:v>18794.5</x:v>
      </x:c>
      <x:c r="AB129" s="9" t="str">
        <x:v>0.6160802108406946</x:v>
      </x:c>
      <x:c r="AC129" s="9" t="str">
        <x:v>0.8727802986909841</x:v>
      </x:c>
      <x:c r="AD129" s="9" t="str">
        <x:v>1.5402005271017365</x:v>
      </x:c>
      <x:c r="AE129" s="6" t="str">
        <x:v>With trade</x:v>
      </x:c>
      <x:c r="AF129" s="7" t="str">
        <x:v>2024-06-12 02:00:00-05:00</x:v>
      </x:c>
      <x:c r="AG129" s="6" t="str">
        <x:v>Short</x:v>
      </x:c>
      <x:c r="AH129" s="6" t="str">
        <x:v>18794.5</x:v>
      </x:c>
      <x:c r="AI129" s="8" t="str">
        <x:v>0</x:v>
      </x:c>
      <x:c r="AJ129" s="6" t="str">
        <x:v>True</x:v>
      </x:c>
      <x:c r="AK129" s="6" t="str">
        <x:v>Same-bar Setup+BOS</x:v>
      </x:c>
      <x:c r="AL129" s="9" t="str">
        <x:v>0.924120316261042</x:v>
      </x:c>
      <x:c r="AM129" s="9" t="str">
        <x:v>0.6160802108406946</x:v>
      </x:c>
      <x:c r="AN129" s="9" t="str">
        <x:v>0.8727802986909841</x:v>
      </x:c>
      <x:c r="AO129" s="9" t="str">
        <x:v>1.5402005271017365</x:v>
      </x:c>
      <x:c r="AP129" s="10" t="str">
        <x:v>0.5666666666666667</x:v>
      </x:c>
      <x:c r="AQ129" s="6" t="str">
        <x:v>0.3</x:v>
      </x:c>
      <x:c r="AR129" s="6" t="str">
        <x:v>0.13333333333333333</x:v>
      </x:c>
      <x:c r="AS129" s="6" t="str">
        <x:v>With trade</x:v>
      </x:c>
      <x:c r="AT129" s="6" t="str">
        <x:v>2.331184255174754</x:v>
      </x:c>
      <x:c r="AU129" s="7" t="str">
        <x:v>2024-06-12 02:35:00-05:00</x:v>
      </x:c>
      <x:c r="AV129" s="8" t="str">
        <x:v>7</x:v>
      </x:c>
      <x:c r="AW129" s="6" t="str">
        <x:v>Delayed retest (2+ bars)</x:v>
      </x:c>
      <x:c r="AX129" s="6" t="str">
        <x:v>18794.75</x:v>
      </x:c>
      <x:c r="AY129" s="6" t="str">
        <x:v>0.25</x:v>
      </x:c>
      <x:c r="AZ129" s="9" t="str">
        <x:v>0.04257940806035421</x:v>
      </x:c>
      <x:c r="BA129" s="9" t="str">
        <x:v>0.7664293450863757</x:v>
      </x:c>
      <x:c r="BB129" s="9" t="str">
        <x:v>1.064485201508855</x:v>
      </x:c>
      <x:c r="BC129" s="9" t="str">
        <x:v>0.17031763224141683</x:v>
      </x:c>
      <x:c r="BD129" s="6" t="str">
        <x:v>0.6</x:v>
      </x:c>
      <x:c r="BE129" s="6" t="str">
        <x:v>0.24</x:v>
      </x:c>
      <x:c r="BF129" s="9" t="str">
        <x:v>0.6386911209053131</x:v>
      </x:c>
      <x:c r="BG129" s="9" t="str">
        <x:v>0.25547644836212524</x:v>
      </x:c>
      <x:c r="BH129" s="6" t="str">
        <x:v>With trade</x:v>
      </x:c>
      <x:c r="BI129" s="6" t="str">
        <x:v>Penetration + same-bar reclaim</x:v>
      </x:c>
      <x:c r="BJ129" s="6" t="str">
        <x:v>False</x:v>
      </x:c>
      <x:c r="BK129" s="10" t="str">
        <x:v>True</x:v>
      </x:c>
      <x:c r="BL129" s="6" t="str">
        <x:v>True</x:v>
      </x:c>
      <x:c r="BM129" s="7" t="str">
        <x:v>2024-06-12 02:45:00-05:00</x:v>
      </x:c>
      <x:c r="BN129" s="8" t="str">
        <x:v>2</x:v>
      </x:c>
      <x:c r="BO129" s="6" t="str">
        <x:v>Delayed confirmation (2+ bars)</x:v>
      </x:c>
      <x:c r="BP129" s="9" t="str">
        <x:v>0.5053657827148684</x:v>
      </x:c>
      <x:c r="BQ129" s="9" t="str">
        <x:v>0.9265039349772587</x:v>
      </x:c>
      <x:c r="BR129" s="10" t="str">
        <x:v>0.5454545454545454</x:v>
      </x:c>
      <x:c r="BS129" s="9" t="str">
        <x:v>0.8422763045247806</x:v>
      </x:c>
      <x:c r="BT129" s="9" t="str">
        <x:v>0.08422763045247807</x:v>
      </x:c>
      <x:c r="BU129" s="9" t="str">
        <x:v>0.1263414456787171</x:v>
      </x:c>
      <x:c r="BV129" s="6" t="str">
        <x:v>With trade</x:v>
      </x:c>
      <x:c r="BW129" s="7" t="str">
        <x:v>2024-06-12 02:45:00-05:00</x:v>
      </x:c>
      <x:c r="BX129" s="6" t="str">
        <x:v>18789.5</x:v>
      </x:c>
      <x:c r="BY129" s="9" t="str">
        <x:v>5.936294269635238</x:v>
      </x:c>
      <x:c r="BZ129" s="9" t="str">
        <x:v>0.93</x:v>
      </x:c>
      <x:c r="CA129" s="6" t="str">
        <x:v>18798.40444140445</x:v>
      </x:c>
      <x:c r="CB129" s="6" t="str">
        <x:v>8.904441404451063</x:v>
      </x:c>
      <x:c r="CC129" s="9" t="str">
        <x:v>1.4999999999996978</x:v>
      </x:c>
      <x:c r="CD129" s="6" t="str">
        <x:v>18771.691117191094</x:v>
      </x:c>
      <x:c r="CE129" s="6" t="str">
        <x:v>17.808882808905764</x:v>
      </x:c>
      <x:c r="CF129" s="6" t="str">
        <x:v>Fixed 2.00R target</x:v>
      </x:c>
      <x:c r="CG129" s="9" t="str">
        <x:v>0.0814200427707452</x:v>
      </x:c>
      <x:c r="CH129" s="9" t="str">
        <x:v>-1.0</x:v>
      </x:c>
      <x:c r="CI129" s="9" t="str">
        <x:v>-1.0814200427707452</x:v>
      </x:c>
      <x:c r="CJ129" s="6" t="str">
        <x:v>Loss</x:v>
      </x:c>
      <x:c r="CK129" s="9" t="str">
        <x:v>0.3930622754449768</x:v>
      </x:c>
      <x:c r="CL129" s="9" t="str">
        <x:v>1.6845526090499006</x:v>
      </x:c>
      <x:c r="CM129" s="7" t="str">
        <x:v>2024-06-12 03:10:00-05:00</x:v>
      </x:c>
      <x:c r="CN129" s="6" t="str">
        <x:v>18798.40444140445</x:v>
      </x:c>
      <x:c r="CO129" s="6" t="str">
        <x:v>STOP</x:v>
      </x:c>
      <x:c r="CP129" s="6" t="str">
        <x:v>F::Short::Same-bar Setup+BOS::Penetration + same-bar reclaim</x:v>
      </x:c>
    </x:row>
    <x:row r="130" ht="18" customHeight="1">
      <x:c r="A130" s="6" t="str">
        <x:v>A0129</x:v>
      </x:c>
      <x:c r="B130" s="6" t="str">
        <x:v>2024-06-12</x:v>
      </x:c>
      <x:c r="C130" s="6" t="str">
        <x:v>2024</x:v>
      </x:c>
      <x:c r="D130" s="6" t="str">
        <x:v>2024-Q2</x:v>
      </x:c>
      <x:c r="E130" s="6" t="str">
        <x:v>First 50%</x:v>
      </x:c>
      <x:c r="F130" s="6" t="str">
        <x:v>Long</x:v>
      </x:c>
      <x:c r="G130" s="6" t="str">
        <x:v>Long</x:v>
      </x:c>
      <x:c r="H130" s="6" t="str">
        <x:v>Afternoon</x:v>
      </x:c>
      <x:c r="I130" s="6" t="str">
        <x:v>Afternoon</x:v>
      </x:c>
      <x:c r="J130" s="6" t="str">
        <x:v>Bull</x:v>
      </x:c>
      <x:c r="K130" s="6" t="str">
        <x:v>Bull</x:v>
      </x:c>
      <x:c r="L130" s="6" t="str">
        <x:v>HIGH</x:v>
      </x:c>
      <x:c r="M130" s="7" t="str">
        <x:v>2024-06-12 15:40:00-05:00</x:v>
      </x:c>
      <x:c r="N130" s="6" t="str">
        <x:v>85.0</x:v>
      </x:c>
      <x:c r="O130" s="6" t="str">
        <x:v>85-89</x:v>
      </x:c>
      <x:c r="P130" s="6" t="str">
        <x:v>Matching BOS only</x:v>
      </x:c>
      <x:c r="Q130" s="6" t="str">
        <x:v>Bull CHoCH</x:v>
      </x:c>
      <x:c r="R130" s="6" t="str">
        <x:v>True</x:v>
      </x:c>
      <x:c r="S130" s="6" t="str">
        <x:v>False</x:v>
      </x:c>
      <x:c r="T130" s="6" t="str">
        <x:v>Recent SSL</x:v>
      </x:c>
      <x:c r="U130" s="6" t="str">
        <x:v>SSL</x:v>
      </x:c>
      <x:c r="V130" s="6" t="str">
        <x:v>Swing low / sell-side</x:v>
      </x:c>
      <x:c r="W130" s="6" t="str">
        <x:v>[18988.75]</x:v>
      </x:c>
      <x:c r="X130" s="8" t="str">
        <x:v>1</x:v>
      </x:c>
      <x:c r="Y130" s="8" t="str">
        <x:v>14.0</x:v>
      </x:c>
      <x:c r="Z130" s="6" t="str">
        <x:v>None</x:v>
      </x:c>
      <x:c r="AA130" s="6" t="str">
        <x:v>19129.0</x:v>
      </x:c>
      <x:c r="AB130" s="9" t="str">
        <x:v>0.1729821406784435</x:v>
      </x:c>
      <x:c r="AC130" s="9" t="str">
        <x:v>0.5640721978644897</x:v>
      </x:c>
      <x:c r="AD130" s="9" t="str">
        <x:v>0.6844076000755809</x:v>
      </x:c>
      <x:c r="AE130" s="6" t="str">
        <x:v>With trade</x:v>
      </x:c>
      <x:c r="AF130" s="7" t="str">
        <x:v>2024-06-12 15:40:00-05:00</x:v>
      </x:c>
      <x:c r="AG130" s="6" t="str">
        <x:v>Long</x:v>
      </x:c>
      <x:c r="AH130" s="6" t="str">
        <x:v>19129.0</x:v>
      </x:c>
      <x:c r="AI130" s="8" t="str">
        <x:v>0</x:v>
      </x:c>
      <x:c r="AJ130" s="6" t="str">
        <x:v>True</x:v>
      </x:c>
      <x:c r="AK130" s="6" t="str">
        <x:v>Same-bar Setup+BOS</x:v>
      </x:c>
      <x:c r="AL130" s="9" t="str">
        <x:v>0.5565512352262966</x:v>
      </x:c>
      <x:c r="AM130" s="9" t="str">
        <x:v>0.1729821406784435</x:v>
      </x:c>
      <x:c r="AN130" s="9" t="str">
        <x:v>0.5640721978644897</x:v>
      </x:c>
      <x:c r="AO130" s="9" t="str">
        <x:v>0.6844076000755809</x:v>
      </x:c>
      <x:c r="AP130" s="10" t="str">
        <x:v>0.8241758241758241</x:v>
      </x:c>
      <x:c r="AQ130" s="6" t="str">
        <x:v>0.054945054945054944</x:v>
      </x:c>
      <x:c r="AR130" s="6" t="str">
        <x:v>0.12087912087912088</x:v>
      </x:c>
      <x:c r="AS130" s="6" t="str">
        <x:v>With trade</x:v>
      </x:c>
      <x:c r="AT130" s="6" t="str">
        <x:v>0.15339708928339496</x:v>
      </x:c>
      <x:c r="AU130" s="7" t="str">
        <x:v>2024-06-12 15:45:00-05:00</x:v>
      </x:c>
      <x:c r="AV130" s="8" t="str">
        <x:v>1</x:v>
      </x:c>
      <x:c r="AW130" s="6" t="str">
        <x:v>Immediate retest (1 bar)</x:v>
      </x:c>
      <x:c r="AX130" s="6" t="str">
        <x:v>19130.25</x:v>
      </x:c>
      <x:c r="AY130" s="6" t="str">
        <x:v>0.0</x:v>
      </x:c>
      <x:c r="AZ130" s="9" t="str">
        <x:v>0.0</x:v>
      </x:c>
      <x:c r="BA130" s="9" t="str">
        <x:v>0.5392015665377689</x:v>
      </x:c>
      <x:c r="BB130" s="9" t="str">
        <x:v>0.6855562774551632</x:v>
      </x:c>
      <x:c r="BC130" s="9" t="str">
        <x:v>0.3774410965764382</x:v>
      </x:c>
      <x:c r="BD130" s="6" t="str">
        <x:v>0.2696629213483146</x:v>
      </x:c>
      <x:c r="BE130" s="6" t="str">
        <x:v>0.1797752808988764</x:v>
      </x:c>
      <x:c r="BF130" s="9" t="str">
        <x:v>0.12324607235149002</x:v>
      </x:c>
      <x:c r="BG130" s="9" t="str">
        <x:v>0.18486910852723504</x:v>
      </x:c>
      <x:c r="BH130" s="6" t="str">
        <x:v>With trade</x:v>
      </x:c>
      <x:c r="BI130" s="6" t="str">
        <x:v>Tolerance-only shallow touch</x:v>
      </x:c>
      <x:c r="BJ130" s="6" t="str">
        <x:v>True</x:v>
      </x:c>
      <x:c r="BK130" s="10" t="str">
        <x:v>False</x:v>
      </x:c>
      <x:c r="BL130" s="6" t="str">
        <x:v>True</x:v>
      </x:c>
      <x:c r="BM130" s="7" t="str">
        <x:v>2024-06-12 15:55:00-05:00</x:v>
      </x:c>
      <x:c r="BN130" s="8" t="str">
        <x:v>2</x:v>
      </x:c>
      <x:c r="BO130" s="6" t="str">
        <x:v>Delayed confirmation (2+ bars)</x:v>
      </x:c>
      <x:c r="BP130" s="9" t="str">
        <x:v>0.22799684758922587</x:v>
      </x:c>
      <x:c r="BQ130" s="9" t="str">
        <x:v>0.4137720567360025</x:v>
      </x:c>
      <x:c r="BR130" s="10" t="str">
        <x:v>0.5510204081632653</x:v>
      </x:c>
      <x:c r="BS130" s="9" t="str">
        <x:v>0.7262121812101268</x:v>
      </x:c>
      <x:c r="BT130" s="9" t="str">
        <x:v>0.13510924301583754</x:v>
      </x:c>
      <x:c r="BU130" s="9" t="str">
        <x:v>0.18577520914677662</x:v>
      </x:c>
      <x:c r="BV130" s="6" t="str">
        <x:v>With trade</x:v>
      </x:c>
      <x:c r="BW130" s="7" t="str">
        <x:v>2024-06-12 15:55:00-05:00</x:v>
      </x:c>
      <x:c r="BX130" s="6" t="str">
        <x:v>19150.5</x:v>
      </x:c>
      <x:c r="BY130" s="9" t="str">
        <x:v>29.605672496670852</x:v>
      </x:c>
      <x:c r="BZ130" s="9" t="str">
        <x:v>0.75</x:v>
      </x:c>
      <x:c r="CA130" s="6" t="str">
        <x:v>19106.091491254992</x:v>
      </x:c>
      <x:c r="CB130" s="6" t="str">
        <x:v>44.408508745007566</x:v>
      </x:c>
      <x:c r="CC130" s="9" t="str">
        <x:v>1.5000000000000435</x:v>
      </x:c>
      <x:c r="CD130" s="6" t="str">
        <x:v>19239.31701749001</x:v>
      </x:c>
      <x:c r="CE130" s="6" t="str">
        <x:v>88.8170174900115</x:v>
      </x:c>
      <x:c r="CF130" s="6" t="str">
        <x:v>Fixed 2.00R target</x:v>
      </x:c>
      <x:c r="CG130" s="9" t="str">
        <x:v>0.016325700197746564</x:v>
      </x:c>
      <x:c r="CH130" s="9" t="str">
        <x:v>-0.4616232469707783</x:v>
      </x:c>
      <x:c r="CI130" s="9" t="str">
        <x:v>-0.4779489471685248</x:v>
      </x:c>
      <x:c r="CJ130" s="6" t="str">
        <x:v>Loss</x:v>
      </x:c>
      <x:c r="CK130" s="9" t="str">
        <x:v>0.0</x:v>
      </x:c>
      <x:c r="CL130" s="9" t="str">
        <x:v>0.5573256274403137</x:v>
      </x:c>
      <x:c r="CM130" s="7" t="str">
        <x:v>2024-06-12 17:55:00-05:00</x:v>
      </x:c>
      <x:c r="CN130" s="6" t="str">
        <x:v>19130.0</x:v>
      </x:c>
      <x:c r="CO130" s="6" t="str">
        <x:v>TIME</x:v>
      </x:c>
      <x:c r="CP130" s="6" t="str">
        <x:v>F::Long::Same-bar Setup+BOS::Tolerance-only shallow touch</x:v>
      </x:c>
    </x:row>
    <x:row r="131" ht="18" customHeight="1">
      <x:c r="A131" s="6" t="str">
        <x:v>A0130</x:v>
      </x:c>
      <x:c r="B131" s="6" t="str">
        <x:v>2024-06-12</x:v>
      </x:c>
      <x:c r="C131" s="6" t="str">
        <x:v>2024</x:v>
      </x:c>
      <x:c r="D131" s="6" t="str">
        <x:v>2024-Q2</x:v>
      </x:c>
      <x:c r="E131" s="6" t="str">
        <x:v>First 50%</x:v>
      </x:c>
      <x:c r="F131" s="6" t="str">
        <x:v>Long</x:v>
      </x:c>
      <x:c r="G131" s="6" t="str">
        <x:v>Long</x:v>
      </x:c>
      <x:c r="H131" s="6" t="str">
        <x:v>Overnight</x:v>
      </x:c>
      <x:c r="I131" s="6" t="str">
        <x:v>Overnight</x:v>
      </x:c>
      <x:c r="J131" s="6" t="str">
        <x:v>Bull</x:v>
      </x:c>
      <x:c r="K131" s="6" t="str">
        <x:v>Bull</x:v>
      </x:c>
      <x:c r="L131" s="6" t="str">
        <x:v>LOW</x:v>
      </x:c>
      <x:c r="M131" s="7" t="str">
        <x:v>2024-06-12 22:10:00-05:00</x:v>
      </x:c>
      <x:c r="N131" s="6" t="str">
        <x:v>75.0</x:v>
      </x:c>
      <x:c r="O131" s="6" t="str">
        <x:v>75-79</x:v>
      </x:c>
      <x:c r="P131" s="6" t="str">
        <x:v>Matching BOS only</x:v>
      </x:c>
      <x:c r="Q131" s="6" t="str">
        <x:v>Bull BOS</x:v>
      </x:c>
      <x:c r="R131" s="6" t="str">
        <x:v>True</x:v>
      </x:c>
      <x:c r="S131" s="6" t="str">
        <x:v>False</x:v>
      </x:c>
      <x:c r="T131" s="6" t="str">
        <x:v>Recent SSL</x:v>
      </x:c>
      <x:c r="U131" s="6" t="str">
        <x:v>SSL</x:v>
      </x:c>
      <x:c r="V131" s="6" t="str">
        <x:v>Swing low / sell-side</x:v>
      </x:c>
      <x:c r="W131" s="6" t="str">
        <x:v>[19152.0]</x:v>
      </x:c>
      <x:c r="X131" s="8" t="str">
        <x:v>1</x:v>
      </x:c>
      <x:c r="Y131" s="8" t="str">
        <x:v>7.0</x:v>
      </x:c>
      <x:c r="Z131" s="6" t="str">
        <x:v>None</x:v>
      </x:c>
      <x:c r="AA131" s="6" t="str">
        <x:v>19165.25</x:v>
      </x:c>
      <x:c r="AB131" s="9" t="str">
        <x:v>0.10180537588249063</x:v>
      </x:c>
      <x:c r="AC131" s="9" t="str">
        <x:v>0.6108322552949438</x:v>
      </x:c>
      <x:c r="AD131" s="9" t="str">
        <x:v>1.4252752623548688</x:v>
      </x:c>
      <x:c r="AE131" s="6" t="str">
        <x:v>With trade</x:v>
      </x:c>
      <x:c r="AF131" s="7" t="str">
        <x:v>2024-06-12 22:10:00-05:00</x:v>
      </x:c>
      <x:c r="AG131" s="6" t="str">
        <x:v>Long</x:v>
      </x:c>
      <x:c r="AH131" s="6" t="str">
        <x:v>19165.25</x:v>
      </x:c>
      <x:c r="AI131" s="8" t="str">
        <x:v>0</x:v>
      </x:c>
      <x:c r="AJ131" s="6" t="str">
        <x:v>True</x:v>
      </x:c>
      <x:c r="AK131" s="6" t="str">
        <x:v>Same-bar Setup+BOS</x:v>
      </x:c>
      <x:c r="AL131" s="9" t="str">
        <x:v>0.4581241914712078</x:v>
      </x:c>
      <x:c r="AM131" s="9" t="str">
        <x:v>0.10180537588249063</x:v>
      </x:c>
      <x:c r="AN131" s="9" t="str">
        <x:v>0.6108322552949438</x:v>
      </x:c>
      <x:c r="AO131" s="9" t="str">
        <x:v>1.4252752623548688</x:v>
      </x:c>
      <x:c r="AP131" s="10" t="str">
        <x:v>0.42857142857142855</x:v>
      </x:c>
      <x:c r="AQ131" s="6" t="str">
        <x:v>0.4642857142857143</x:v>
      </x:c>
      <x:c r="AR131" s="6" t="str">
        <x:v>0.10714285714285714</x:v>
      </x:c>
      <x:c r="AS131" s="6" t="str">
        <x:v>With trade</x:v>
      </x:c>
      <x:c r="AT131" s="6" t="str">
        <x:v>1.9771863117870723</x:v>
      </x:c>
      <x:c r="AU131" s="7" t="str">
        <x:v>2024-06-12 22:15:00-05:00</x:v>
      </x:c>
      <x:c r="AV131" s="8" t="str">
        <x:v>1</x:v>
      </x:c>
      <x:c r="AW131" s="6" t="str">
        <x:v>Immediate retest (1 bar)</x:v>
      </x:c>
      <x:c r="AX131" s="6" t="str">
        <x:v>19165.25</x:v>
      </x:c>
      <x:c r="AY131" s="6" t="str">
        <x:v>0.0</x:v>
      </x:c>
      <x:c r="AZ131" s="9" t="str">
        <x:v>0.0</x:v>
      </x:c>
      <x:c r="BA131" s="9" t="str">
        <x:v>0.4126913438714761</x:v>
      </x:c>
      <x:c r="BB131" s="9" t="str">
        <x:v>0.8253826877429522</x:v>
      </x:c>
      <x:c r="BC131" s="9" t="str">
        <x:v>0.3611049258875416</x:v>
      </x:c>
      <x:c r="BD131" s="6" t="str">
        <x:v>0.5</x:v>
      </x:c>
      <x:c r="BE131" s="6" t="str">
        <x:v>0.0625</x:v>
      </x:c>
      <x:c r="BF131" s="9" t="str">
        <x:v>0.05158641798393451</x:v>
      </x:c>
      <x:c r="BG131" s="9" t="str">
        <x:v>0.4126913438714761</x:v>
      </x:c>
      <x:c r="BH131" s="6" t="str">
        <x:v>With trade</x:v>
      </x:c>
      <x:c r="BI131" s="6" t="str">
        <x:v>Exact BOS touch</x:v>
      </x:c>
      <x:c r="BJ131" s="6" t="str">
        <x:v>True</x:v>
      </x:c>
      <x:c r="BK131" s="10" t="str">
        <x:v>False</x:v>
      </x:c>
      <x:c r="BL131" s="6" t="str">
        <x:v>True</x:v>
      </x:c>
      <x:c r="BM131" s="7" t="str">
        <x:v>2024-06-12 22:20:00-05:00</x:v>
      </x:c>
      <x:c r="BN131" s="8" t="str">
        <x:v>1</x:v>
      </x:c>
      <x:c r="BO131" s="6" t="str">
        <x:v>Immediate confirmation (1 bar)</x:v>
      </x:c>
      <x:c r="BP131" s="9" t="str">
        <x:v>0.10565865635504515</x:v>
      </x:c>
      <x:c r="BQ131" s="9" t="str">
        <x:v>0.6867812663077935</x:v>
      </x:c>
      <x:c r="BR131" s="10" t="str">
        <x:v>0.15384615384615385</x:v>
      </x:c>
      <x:c r="BS131" s="9" t="str">
        <x:v>0.6867812663077935</x:v>
      </x:c>
      <x:c r="BT131" s="9" t="str">
        <x:v>0.26414664088761286</x:v>
      </x:c>
      <x:c r="BU131" s="9" t="str">
        <x:v>0.5282932817752257</x:v>
      </x:c>
      <x:c r="BV131" s="6" t="str">
        <x:v>With trade</x:v>
      </x:c>
      <x:c r="BW131" s="7" t="str">
        <x:v>2024-06-12 22:20:00-05:00</x:v>
      </x:c>
      <x:c r="BX131" s="6" t="str">
        <x:v>19168.5</x:v>
      </x:c>
      <x:c r="BY131" s="9" t="str">
        <x:v>4.7322199358644905</x:v>
      </x:c>
      <x:c r="BZ131" s="9" t="str">
        <x:v>0.01</x:v>
      </x:c>
      <x:c r="CA131" s="6" t="str">
        <x:v>19161.401670096202</x:v>
      </x:c>
      <x:c r="CB131" s="6" t="str">
        <x:v>7.098329903798003</x:v>
      </x:c>
      <x:c r="CC131" s="9" t="str">
        <x:v>1.5000000000002678</x:v>
      </x:c>
      <x:c r="CD131" s="6" t="str">
        <x:v>19182.696659807592</x:v>
      </x:c>
      <x:c r="CE131" s="6" t="str">
        <x:v>14.196659807592368</x:v>
      </x:c>
      <x:c r="CF131" s="6" t="str">
        <x:v>Fixed 2.00R target</x:v>
      </x:c>
      <x:c r="CG131" s="9" t="str">
        <x:v>0.10213670114319208</x:v>
      </x:c>
      <x:c r="CH131" s="9" t="str">
        <x:v>0.915708355077058</x:v>
      </x:c>
      <x:c r="CI131" s="9" t="str">
        <x:v>0.8135716539338659</x:v>
      </x:c>
      <x:c r="CJ131" s="6" t="str">
        <x:v>Win</x:v>
      </x:c>
      <x:c r="CK131" s="9" t="str">
        <x:v>1.51444074108871</x:v>
      </x:c>
      <x:c r="CL131" s="9" t="str">
        <x:v>0.28175641694673675</x:v>
      </x:c>
      <x:c r="CM131" s="7" t="str">
        <x:v>2024-06-12 23:20:00-05:00</x:v>
      </x:c>
      <x:c r="CN131" s="6" t="str">
        <x:v>19175.0</x:v>
      </x:c>
      <x:c r="CO131" s="6" t="str">
        <x:v>TIME</x:v>
      </x:c>
      <x:c r="CP131" s="6" t="str">
        <x:v>F::Long::Same-bar Setup+BOS::Exact BOS touch</x:v>
      </x:c>
    </x:row>
    <x:row r="132" ht="18" customHeight="1">
      <x:c r="A132" s="6" t="str">
        <x:v>A0131</x:v>
      </x:c>
      <x:c r="B132" s="6" t="str">
        <x:v>2024-06-13</x:v>
      </x:c>
      <x:c r="C132" s="6" t="str">
        <x:v>2024</x:v>
      </x:c>
      <x:c r="D132" s="6" t="str">
        <x:v>2024-Q2</x:v>
      </x:c>
      <x:c r="E132" s="6" t="str">
        <x:v>First 50%</x:v>
      </x:c>
      <x:c r="F132" s="6" t="str">
        <x:v>Short</x:v>
      </x:c>
      <x:c r="G132" s="6" t="str">
        <x:v>Short</x:v>
      </x:c>
      <x:c r="H132" s="6" t="str">
        <x:v>Morning</x:v>
      </x:c>
      <x:c r="I132" s="6" t="str">
        <x:v>Morning</x:v>
      </x:c>
      <x:c r="J132" s="6" t="str">
        <x:v>Bull</x:v>
      </x:c>
      <x:c r="K132" s="6" t="str">
        <x:v>Bull</x:v>
      </x:c>
      <x:c r="L132" s="6" t="str">
        <x:v>HIGH</x:v>
      </x:c>
      <x:c r="M132" s="7" t="str">
        <x:v>2024-06-13 11:15:00-05:00</x:v>
      </x:c>
      <x:c r="N132" s="6" t="str">
        <x:v>75.0</x:v>
      </x:c>
      <x:c r="O132" s="6" t="str">
        <x:v>75-79</x:v>
      </x:c>
      <x:c r="P132" s="6" t="str">
        <x:v>Matching BOS only</x:v>
      </x:c>
      <x:c r="Q132" s="6" t="str">
        <x:v>Bear BOS</x:v>
      </x:c>
      <x:c r="R132" s="6" t="str">
        <x:v>True</x:v>
      </x:c>
      <x:c r="S132" s="6" t="str">
        <x:v>False</x:v>
      </x:c>
      <x:c r="T132" s="6" t="str">
        <x:v>No recent matching sweep</x:v>
      </x:c>
      <x:c r="U132" s="6" t="str">
        <x:v>None</x:v>
      </x:c>
      <x:c r="V132" s="6" t="str">
        <x:v>None</x:v>
      </x:c>
      <x:c r="W132" s="6" t="str">
        <x:v>[]</x:v>
      </x:c>
      <x:c r="X132" s="8" t="str">
        <x:v>0</x:v>
      </x:c>
      <x:c r="Y132" s="8" t="str"/>
      <x:c r="Z132" s="6" t="str">
        <x:v>None</x:v>
      </x:c>
      <x:c r="AA132" s="6" t="str">
        <x:v>19085.25</x:v>
      </x:c>
      <x:c r="AB132" s="9" t="str">
        <x:v>0.2061164368211561</x:v>
      </x:c>
      <x:c r="AC132" s="9" t="str">
        <x:v>1.0739751181733923</x:v>
      </x:c>
      <x:c r="AD132" s="9" t="str">
        <x:v>1.3234844890621602</x:v>
      </x:c>
      <x:c r="AE132" s="6" t="str">
        <x:v>With trade</x:v>
      </x:c>
      <x:c r="AF132" s="7" t="str">
        <x:v>2024-06-13 11:15:00-05:00</x:v>
      </x:c>
      <x:c r="AG132" s="6" t="str">
        <x:v>Short</x:v>
      </x:c>
      <x:c r="AH132" s="6" t="str">
        <x:v>19085.25</x:v>
      </x:c>
      <x:c r="AI132" s="8" t="str">
        <x:v>0</x:v>
      </x:c>
      <x:c r="AJ132" s="6" t="str">
        <x:v>True</x:v>
      </x:c>
      <x:c r="AK132" s="6" t="str">
        <x:v>Same-bar Setup+BOS</x:v>
      </x:c>
      <x:c r="AL132" s="9" t="str">
        <x:v>1.0631268846564894</x:v>
      </x:c>
      <x:c r="AM132" s="9" t="str">
        <x:v>0.2061164368211561</x:v>
      </x:c>
      <x:c r="AN132" s="9" t="str">
        <x:v>1.0739751181733923</x:v>
      </x:c>
      <x:c r="AO132" s="9" t="str">
        <x:v>1.3234844890621602</x:v>
      </x:c>
      <x:c r="AP132" s="10" t="str">
        <x:v>0.8114754098360656</x:v>
      </x:c>
      <x:c r="AQ132" s="6" t="str">
        <x:v>0.01639344262295082</x:v>
      </x:c>
      <x:c r="AR132" s="6" t="str">
        <x:v>0.1721311475409836</x:v>
      </x:c>
      <x:c r="AS132" s="6" t="str">
        <x:v>With trade</x:v>
      </x:c>
      <x:c r="AT132" s="6" t="str">
        <x:v>1.2781245968022072</x:v>
      </x:c>
      <x:c r="AU132" s="7" t="str">
        <x:v>2024-06-13 11:20:00-05:00</x:v>
      </x:c>
      <x:c r="AV132" s="8" t="str">
        <x:v>1</x:v>
      </x:c>
      <x:c r="AW132" s="6" t="str">
        <x:v>Immediate retest (1 bar)</x:v>
      </x:c>
      <x:c r="AX132" s="6" t="str">
        <x:v>19092.5</x:v>
      </x:c>
      <x:c r="AY132" s="6" t="str">
        <x:v>7.25</x:v>
      </x:c>
      <x:c r="AZ132" s="9" t="str">
        <x:v>0.30587219195549514</x:v>
      </x:c>
      <x:c r="BA132" s="9" t="str">
        <x:v>0.748859504442764</x:v>
      </x:c>
      <x:c r="BB132" s="9" t="str">
        <x:v>1.3606038883537541</x:v>
      </x:c>
      <x:c r="BC132" s="9" t="str">
        <x:v>0.5906497499830251</x:v>
      </x:c>
      <x:c r="BD132" s="6" t="str">
        <x:v>0.34108527131782945</x:v>
      </x:c>
      <x:c r="BE132" s="6" t="str">
        <x:v>0.2248062015503876</x:v>
      </x:c>
      <x:c r="BF132" s="9" t="str">
        <x:v>0.464081946415234</x:v>
      </x:c>
      <x:c r="BG132" s="9" t="str">
        <x:v>0.30587219195549514</x:v>
      </x:c>
      <x:c r="BH132" s="6" t="str">
        <x:v>With trade</x:v>
      </x:c>
      <x:c r="BI132" s="6" t="str">
        <x:v>Penetration + same-bar reclaim</x:v>
      </x:c>
      <x:c r="BJ132" s="6" t="str">
        <x:v>False</x:v>
      </x:c>
      <x:c r="BK132" s="10" t="str">
        <x:v>True</x:v>
      </x:c>
      <x:c r="BL132" s="6" t="str">
        <x:v>True</x:v>
      </x:c>
      <x:c r="BM132" s="7" t="str">
        <x:v>2024-06-13 11:25:00-05:00</x:v>
      </x:c>
      <x:c r="BN132" s="8" t="str">
        <x:v>1</x:v>
      </x:c>
      <x:c r="BO132" s="6" t="str">
        <x:v>Immediate confirmation (1 bar)</x:v>
      </x:c>
      <x:c r="BP132" s="9" t="str">
        <x:v>0.7820990527293361</x:v>
      </x:c>
      <x:c r="BQ132" s="9" t="str">
        <x:v>1.1470786106696929</x:v>
      </x:c>
      <x:c r="BR132" s="10" t="str">
        <x:v>0.6818181818181818</x:v>
      </x:c>
      <x:c r="BS132" s="9" t="str">
        <x:v>1.5329141433494986</x:v>
      </x:c>
      <x:c r="BT132" s="9" t="str">
        <x:v>0.7925270400990605</x:v>
      </x:c>
      <x:c r="BU132" s="9" t="str">
        <x:v>0.041711949478897926</x:v>
      </x:c>
      <x:c r="BV132" s="6" t="str">
        <x:v>With trade</x:v>
      </x:c>
      <x:c r="BW132" s="7" t="str">
        <x:v>2024-06-13 11:25:00-05:00</x:v>
      </x:c>
      <x:c r="BX132" s="6" t="str">
        <x:v>19048.5</x:v>
      </x:c>
      <x:c r="BY132" s="9" t="str">
        <x:v>23.97394541595089</x:v>
      </x:c>
      <x:c r="BZ132" s="9" t="str">
        <x:v>0.83</x:v>
      </x:c>
      <x:c r="CA132" s="6" t="str">
        <x:v>19084.460918123925</x:v>
      </x:c>
      <x:c r="CB132" s="6" t="str">
        <x:v>35.960918123924785</x:v>
      </x:c>
      <x:c r="CC132" s="9" t="str">
        <x:v>1.4999999999999354</x:v>
      </x:c>
      <x:c r="CD132" s="6" t="str">
        <x:v>18976.578163752147</x:v>
      </x:c>
      <x:c r="CE132" s="6" t="str">
        <x:v>71.92183624785321</x:v>
      </x:c>
      <x:c r="CF132" s="6" t="str">
        <x:v>Fixed 2.00R target</x:v>
      </x:c>
      <x:c r="CG132" s="9" t="str">
        <x:v>0.0201607755814682</x:v>
      </x:c>
      <x:c r="CH132" s="9" t="str">
        <x:v>-1.0</x:v>
      </x:c>
      <x:c r="CI132" s="9" t="str">
        <x:v>-1.0201607755814681</x:v>
      </x:c>
      <x:c r="CJ132" s="6" t="str">
        <x:v>Loss</x:v>
      </x:c>
      <x:c r="CK132" s="9" t="str">
        <x:v>0.22941572213394848</x:v>
      </x:c>
      <x:c r="CL132" s="9" t="str">
        <x:v>1.0358467453926765</x:v>
      </x:c>
      <x:c r="CM132" s="7" t="str">
        <x:v>2024-06-13 11:35:00-05:00</x:v>
      </x:c>
      <x:c r="CN132" s="6" t="str">
        <x:v>19084.460918123925</x:v>
      </x:c>
      <x:c r="CO132" s="6" t="str">
        <x:v>STOP</x:v>
      </x:c>
      <x:c r="CP132" s="6" t="str">
        <x:v>F::Short::Same-bar Setup+BOS::Penetration + same-bar reclaim</x:v>
      </x:c>
    </x:row>
    <x:row r="133" ht="18" customHeight="1">
      <x:c r="A133" s="6" t="str">
        <x:v>A0132</x:v>
      </x:c>
      <x:c r="B133" s="6" t="str">
        <x:v>2024-06-13</x:v>
      </x:c>
      <x:c r="C133" s="6" t="str">
        <x:v>2024</x:v>
      </x:c>
      <x:c r="D133" s="6" t="str">
        <x:v>2024-Q2</x:v>
      </x:c>
      <x:c r="E133" s="6" t="str">
        <x:v>First 50%</x:v>
      </x:c>
      <x:c r="F133" s="6" t="str">
        <x:v>Long</x:v>
      </x:c>
      <x:c r="G133" s="6" t="str">
        <x:v>Long</x:v>
      </x:c>
      <x:c r="H133" s="6" t="str">
        <x:v>Overnight</x:v>
      </x:c>
      <x:c r="I133" s="6" t="str">
        <x:v>Overnight</x:v>
      </x:c>
      <x:c r="J133" s="6" t="str">
        <x:v>Bull</x:v>
      </x:c>
      <x:c r="K133" s="6" t="str">
        <x:v>Bull</x:v>
      </x:c>
      <x:c r="L133" s="6" t="str">
        <x:v>LOW</x:v>
      </x:c>
      <x:c r="M133" s="7" t="str">
        <x:v>2024-06-13 20:50:00-05:00</x:v>
      </x:c>
      <x:c r="N133" s="6" t="str">
        <x:v>90.0</x:v>
      </x:c>
      <x:c r="O133" s="6" t="str">
        <x:v>90-94</x:v>
      </x:c>
      <x:c r="P133" s="6" t="str">
        <x:v>Matching BOS only</x:v>
      </x:c>
      <x:c r="Q133" s="6" t="str">
        <x:v>Bull BOS</x:v>
      </x:c>
      <x:c r="R133" s="6" t="str">
        <x:v>True</x:v>
      </x:c>
      <x:c r="S133" s="6" t="str">
        <x:v>False</x:v>
      </x:c>
      <x:c r="T133" s="6" t="str">
        <x:v>Recent SSL</x:v>
      </x:c>
      <x:c r="U133" s="6" t="str">
        <x:v>SSL</x:v>
      </x:c>
      <x:c r="V133" s="6" t="str">
        <x:v>Swing low / sell-side</x:v>
      </x:c>
      <x:c r="W133" s="6" t="str">
        <x:v>[19154.0]</x:v>
      </x:c>
      <x:c r="X133" s="8" t="str">
        <x:v>1</x:v>
      </x:c>
      <x:c r="Y133" s="8" t="str">
        <x:v>10.0</x:v>
      </x:c>
      <x:c r="Z133" s="6" t="str">
        <x:v>None</x:v>
      </x:c>
      <x:c r="AA133" s="6" t="str">
        <x:v>19164.75</x:v>
      </x:c>
      <x:c r="AB133" s="9" t="str">
        <x:v>0.4115763774182691</x:v>
      </x:c>
      <x:c r="AC133" s="9" t="str">
        <x:v>1.13183503790024</x:v>
      </x:c>
      <x:c r="AD133" s="9" t="str">
        <x:v>1.5948584624957927</x:v>
      </x:c>
      <x:c r="AE133" s="6" t="str">
        <x:v>With trade</x:v>
      </x:c>
      <x:c r="AF133" s="7" t="str">
        <x:v>2024-06-13 20:50:00-05:00</x:v>
      </x:c>
      <x:c r="AG133" s="6" t="str">
        <x:v>Long</x:v>
      </x:c>
      <x:c r="AH133" s="6" t="str">
        <x:v>19164.75</x:v>
      </x:c>
      <x:c r="AI133" s="8" t="str">
        <x:v>0</x:v>
      </x:c>
      <x:c r="AJ133" s="6" t="str">
        <x:v>True</x:v>
      </x:c>
      <x:c r="AK133" s="6" t="str">
        <x:v>Same-bar Setup+BOS</x:v>
      </x:c>
      <x:c r="AL133" s="9" t="str">
        <x:v>1.1832820850775236</x:v>
      </x:c>
      <x:c r="AM133" s="9" t="str">
        <x:v>0.4115763774182691</x:v>
      </x:c>
      <x:c r="AN133" s="9" t="str">
        <x:v>1.13183503790024</x:v>
      </x:c>
      <x:c r="AO133" s="9" t="str">
        <x:v>1.5948584624957927</x:v>
      </x:c>
      <x:c r="AP133" s="10" t="str">
        <x:v>0.7096774193548387</x:v>
      </x:c>
      <x:c r="AQ133" s="6" t="str">
        <x:v>0.12903225806451613</x:v>
      </x:c>
      <x:c r="AR133" s="6" t="str">
        <x:v>0.16129032258064516</x:v>
      </x:c>
      <x:c r="AS133" s="6" t="str">
        <x:v>With trade</x:v>
      </x:c>
      <x:c r="AT133" s="6" t="str">
        <x:v>2.302426882389546</x:v>
      </x:c>
      <x:c r="AU133" s="7" t="str">
        <x:v>2024-06-13 21:05:00-05:00</x:v>
      </x:c>
      <x:c r="AV133" s="8" t="str">
        <x:v>3</x:v>
      </x:c>
      <x:c r="AW133" s="6" t="str">
        <x:v>Delayed retest (2+ bars)</x:v>
      </x:c>
      <x:c r="AX133" s="6" t="str">
        <x:v>19164.25</x:v>
      </x:c>
      <x:c r="AY133" s="6" t="str">
        <x:v>0.5</x:v>
      </x:c>
      <x:c r="AZ133" s="9" t="str">
        <x:v>0.11054018607415007</x:v>
      </x:c>
      <x:c r="BA133" s="9" t="str">
        <x:v>0.6079710234078254</x:v>
      </x:c>
      <x:c r="BB133" s="9" t="str">
        <x:v>0.7737813025190505</x:v>
      </x:c>
      <x:c r="BC133" s="9" t="str">
        <x:v>0.33162055822245023</x:v>
      </x:c>
      <x:c r="BD133" s="6" t="str">
        <x:v>0.07142857142857142</x:v>
      </x:c>
      <x:c r="BE133" s="6" t="str">
        <x:v>0.5</x:v>
      </x:c>
      <x:c r="BF133" s="9" t="str">
        <x:v>0.38689065125952526</x:v>
      </x:c>
      <x:c r="BG133" s="9" t="str">
        <x:v>0.05527009303707504</x:v>
      </x:c>
      <x:c r="BH133" s="6" t="str">
        <x:v>With trade</x:v>
      </x:c>
      <x:c r="BI133" s="6" t="str">
        <x:v>Penetration + same-bar reclaim</x:v>
      </x:c>
      <x:c r="BJ133" s="6" t="str">
        <x:v>False</x:v>
      </x:c>
      <x:c r="BK133" s="10" t="str">
        <x:v>True</x:v>
      </x:c>
      <x:c r="BL133" s="6" t="str">
        <x:v>True</x:v>
      </x:c>
      <x:c r="BM133" s="7" t="str">
        <x:v>2024-06-13 21:10:00-05:00</x:v>
      </x:c>
      <x:c r="BN133" s="8" t="str">
        <x:v>1</x:v>
      </x:c>
      <x:c r="BO133" s="6" t="str">
        <x:v>Immediate confirmation (1 bar)</x:v>
      </x:c>
      <x:c r="BP133" s="9" t="str">
        <x:v>0.5895671614756954</x:v>
      </x:c>
      <x:c r="BQ133" s="9" t="str">
        <x:v>1.3935223816698254</x:v>
      </x:c>
      <x:c r="BR133" s="10" t="str">
        <x:v>0.4230769230769231</x:v>
      </x:c>
      <x:c r="BS133" s="9" t="str">
        <x:v>1.0719402935921734</x:v>
      </x:c>
      <x:c r="BT133" s="9" t="str">
        <x:v>0.48237313211647803</x:v>
      </x:c>
      <x:c r="BU133" s="9" t="str">
        <x:v>0.10719402935921735</x:v>
      </x:c>
      <x:c r="BV133" s="6" t="str">
        <x:v>With trade</x:v>
      </x:c>
      <x:c r="BW133" s="7" t="str">
        <x:v>2024-06-13 21:10:00-05:00</x:v>
      </x:c>
      <x:c r="BX133" s="6" t="str">
        <x:v>19169.75</x:v>
      </x:c>
      <x:c r="BY133" s="9" t="str">
        <x:v>4.664438896353571</x:v>
      </x:c>
      <x:c r="BZ133" s="9" t="str">
        <x:v>0.06</x:v>
      </x:c>
      <x:c r="CA133" s="6" t="str">
        <x:v>19162.75334165547</x:v>
      </x:c>
      <x:c r="CB133" s="6" t="str">
        <x:v>6.99665834453117</x:v>
      </x:c>
      <x:c r="CC133" s="9" t="str">
        <x:v>1.5000000000001745</x:v>
      </x:c>
      <x:c r="CD133" s="6" t="str">
        <x:v>19183.743316689062</x:v>
      </x:c>
      <x:c r="CE133" s="6" t="str">
        <x:v>13.99331668906234</x:v>
      </x:c>
      <x:c r="CF133" s="6" t="str">
        <x:v>Fixed 2.00R target</x:v>
      </x:c>
      <x:c r="CG133" s="9" t="str">
        <x:v>0.10362089504723138</x:v>
      </x:c>
      <x:c r="CH133" s="9" t="str">
        <x:v>1.0362089504724343</x:v>
      </x:c>
      <x:c r="CI133" s="9" t="str">
        <x:v>0.932588055425203</x:v>
      </x:c>
      <x:c r="CJ133" s="6" t="str">
        <x:v>Win</x:v>
      </x:c>
      <x:c r="CK133" s="9" t="str">
        <x:v>1.2505970091907235</x:v>
      </x:c>
      <x:c r="CL133" s="9" t="str">
        <x:v>0.5359701467960244</x:v>
      </x:c>
      <x:c r="CM133" s="7" t="str">
        <x:v>2024-06-13 22:10:00-05:00</x:v>
      </x:c>
      <x:c r="CN133" s="6" t="str">
        <x:v>19177.0</x:v>
      </x:c>
      <x:c r="CO133" s="6" t="str">
        <x:v>TIME</x:v>
      </x:c>
      <x:c r="CP133" s="6" t="str">
        <x:v>F::Long::Same-bar Setup+BOS::Penetration + same-bar reclaim</x:v>
      </x:c>
    </x:row>
    <x:row r="134" ht="18" customHeight="1">
      <x:c r="A134" s="6" t="str">
        <x:v>A0133</x:v>
      </x:c>
      <x:c r="B134" s="6" t="str">
        <x:v>2024-06-14</x:v>
      </x:c>
      <x:c r="C134" s="6" t="str">
        <x:v>2024</x:v>
      </x:c>
      <x:c r="D134" s="6" t="str">
        <x:v>2024-Q2</x:v>
      </x:c>
      <x:c r="E134" s="6" t="str">
        <x:v>First 50%</x:v>
      </x:c>
      <x:c r="F134" s="6" t="str">
        <x:v>Short</x:v>
      </x:c>
      <x:c r="G134" s="6" t="str">
        <x:v>Short</x:v>
      </x:c>
      <x:c r="H134" s="6" t="str">
        <x:v>Premarket</x:v>
      </x:c>
      <x:c r="I134" s="6" t="str">
        <x:v>Overnight</x:v>
      </x:c>
      <x:c r="J134" s="6" t="str">
        <x:v>Bull</x:v>
      </x:c>
      <x:c r="K134" s="6" t="str">
        <x:v>Bull</x:v>
      </x:c>
      <x:c r="L134" s="6" t="str">
        <x:v>HIGH</x:v>
      </x:c>
      <x:c r="M134" s="7" t="str">
        <x:v>2024-06-14 03:50:00-05:00</x:v>
      </x:c>
      <x:c r="N134" s="6" t="str">
        <x:v>75.0</x:v>
      </x:c>
      <x:c r="O134" s="6" t="str">
        <x:v>75-79</x:v>
      </x:c>
      <x:c r="P134" s="6" t="str">
        <x:v>Matching BOS only</x:v>
      </x:c>
      <x:c r="Q134" s="6" t="str">
        <x:v>Bear BOS</x:v>
      </x:c>
      <x:c r="R134" s="6" t="str">
        <x:v>True</x:v>
      </x:c>
      <x:c r="S134" s="6" t="str">
        <x:v>False</x:v>
      </x:c>
      <x:c r="T134" s="6" t="str">
        <x:v>Recent BSL</x:v>
      </x:c>
      <x:c r="U134" s="6" t="str">
        <x:v>BSL</x:v>
      </x:c>
      <x:c r="V134" s="6" t="str">
        <x:v>Swing high / buy-side</x:v>
      </x:c>
      <x:c r="W134" s="6" t="str">
        <x:v>[19196.5]</x:v>
      </x:c>
      <x:c r="X134" s="8" t="str">
        <x:v>1</x:v>
      </x:c>
      <x:c r="Y134" s="8" t="str">
        <x:v>16.0</x:v>
      </x:c>
      <x:c r="Z134" s="6" t="str">
        <x:v>None</x:v>
      </x:c>
      <x:c r="AA134" s="6" t="str">
        <x:v>19160.75</x:v>
      </x:c>
      <x:c r="AB134" s="9" t="str">
        <x:v>0.1312073209746457</x:v>
      </x:c>
      <x:c r="AC134" s="9" t="str">
        <x:v>0.28428252877839905</x:v>
      </x:c>
      <x:c r="AD134" s="9" t="str">
        <x:v>0.8965833599934124</x:v>
      </x:c>
      <x:c r="AE134" s="6" t="str">
        <x:v>With trade</x:v>
      </x:c>
      <x:c r="AF134" s="7" t="str">
        <x:v>2024-06-14 03:50:00-05:00</x:v>
      </x:c>
      <x:c r="AG134" s="6" t="str">
        <x:v>Short</x:v>
      </x:c>
      <x:c r="AH134" s="6" t="str">
        <x:v>19160.75</x:v>
      </x:c>
      <x:c r="AI134" s="8" t="str">
        <x:v>0</x:v>
      </x:c>
      <x:c r="AJ134" s="6" t="str">
        <x:v>True</x:v>
      </x:c>
      <x:c r="AK134" s="6" t="str">
        <x:v>Same-bar Setup+BOS</x:v>
      </x:c>
      <x:c r="AL134" s="9" t="str">
        <x:v>0.2405467551201838</x:v>
      </x:c>
      <x:c r="AM134" s="9" t="str">
        <x:v>0.1312073209746457</x:v>
      </x:c>
      <x:c r="AN134" s="9" t="str">
        <x:v>0.28428252877839905</x:v>
      </x:c>
      <x:c r="AO134" s="9" t="str">
        <x:v>0.8965833599934124</x:v>
      </x:c>
      <x:c r="AP134" s="10" t="str">
        <x:v>0.3170731707317073</x:v>
      </x:c>
      <x:c r="AQ134" s="6" t="str">
        <x:v>0.5121951219512195</x:v>
      </x:c>
      <x:c r="AR134" s="6" t="str">
        <x:v>0.17073170731707318</x:v>
      </x:c>
      <x:c r="AS134" s="6" t="str">
        <x:v>With trade</x:v>
      </x:c>
      <x:c r="AT134" s="6" t="str">
        <x:v>0.8242303872889772</x:v>
      </x:c>
      <x:c r="AU134" s="7" t="str">
        <x:v>2024-06-14 03:55:00-05:00</x:v>
      </x:c>
      <x:c r="AV134" s="8" t="str">
        <x:v>1</x:v>
      </x:c>
      <x:c r="AW134" s="6" t="str">
        <x:v>Immediate retest (1 bar)</x:v>
      </x:c>
      <x:c r="AX134" s="6" t="str">
        <x:v>19165.0</x:v>
      </x:c>
      <x:c r="AY134" s="6" t="str">
        <x:v>4.25</x:v>
      </x:c>
      <x:c r="AZ134" s="9" t="str">
        <x:v>0.37217796267426345</x:v>
      </x:c>
      <x:c r="BA134" s="9" t="str">
        <x:v>0.48164206934316445</x:v>
      </x:c>
      <x:c r="BB134" s="9" t="str">
        <x:v>0.9851769600201091</x:v>
      </x:c>
      <x:c r="BC134" s="9" t="str">
        <x:v>0.39407078400804363</x:v>
      </x:c>
      <x:c r="BD134" s="6" t="str">
        <x:v>0.4666666666666667</x:v>
      </x:c>
      <x:c r="BE134" s="6" t="str">
        <x:v>0.13333333333333333</x:v>
      </x:c>
      <x:c r="BF134" s="9" t="str">
        <x:v>0.4597492480093842</x:v>
      </x:c>
      <x:c r="BG134" s="9" t="str">
        <x:v>0.1313569280026812</x:v>
      </x:c>
      <x:c r="BH134" s="6" t="str">
        <x:v>With trade</x:v>
      </x:c>
      <x:c r="BI134" s="6" t="str">
        <x:v>Penetration + same-bar reclaim</x:v>
      </x:c>
      <x:c r="BJ134" s="6" t="str">
        <x:v>False</x:v>
      </x:c>
      <x:c r="BK134" s="10" t="str">
        <x:v>True</x:v>
      </x:c>
      <x:c r="BL134" s="6" t="str">
        <x:v>True</x:v>
      </x:c>
      <x:c r="BM134" s="7" t="str">
        <x:v>2024-06-14 04:05:00-05:00</x:v>
      </x:c>
      <x:c r="BN134" s="8" t="str">
        <x:v>2</x:v>
      </x:c>
      <x:c r="BO134" s="6" t="str">
        <x:v>Delayed confirmation (2+ bars)</x:v>
      </x:c>
      <x:c r="BP134" s="9" t="str">
        <x:v>1.3087899943028987</x:v>
      </x:c>
      <x:c r="BQ134" s="9" t="str">
        <x:v>1.9427351477933652</x:v>
      </x:c>
      <x:c r="BR134" s="10" t="str">
        <x:v>0.6736842105263158</x:v>
      </x:c>
      <x:c r="BS134" s="9" t="str">
        <x:v>1.267890306980933</x:v>
      </x:c>
      <x:c r="BT134" s="9" t="str">
        <x:v>0.8179937464393117</x:v>
      </x:c>
      <x:c r="BU134" s="9" t="str">
        <x:v>0.0</x:v>
      </x:c>
      <x:c r="BV134" s="6" t="str">
        <x:v>With trade</x:v>
      </x:c>
      <x:c r="BW134" s="7" t="str">
        <x:v>2024-06-14 04:05:00-05:00</x:v>
      </x:c>
      <x:c r="BX134" s="6" t="str">
        <x:v>19145.25</x:v>
      </x:c>
      <x:c r="BY134" s="9" t="str">
        <x:v>12.22503233494086</x:v>
      </x:c>
      <x:c r="BZ134" s="9" t="str">
        <x:v>1.0</x:v>
      </x:c>
      <x:c r="CA134" s="6" t="str">
        <x:v>19163.58754850241</x:v>
      </x:c>
      <x:c r="CB134" s="6" t="str">
        <x:v>18.337548502411664</x:v>
      </x:c>
      <x:c r="CC134" s="9" t="str">
        <x:v>1.5000000000000306</x:v>
      </x:c>
      <x:c r="CD134" s="6" t="str">
        <x:v>19108.574902995177</x:v>
      </x:c>
      <x:c r="CE134" s="6" t="str">
        <x:v>36.67509700482333</x:v>
      </x:c>
      <x:c r="CF134" s="6" t="str">
        <x:v>Fixed 2.00R target</x:v>
      </x:c>
      <x:c r="CG134" s="9" t="str">
        <x:v>0.03953636441123259</x:v>
      </x:c>
      <x:c r="CH134" s="9" t="str">
        <x:v>2.0</x:v>
      </x:c>
      <x:c r="CI134" s="9" t="str">
        <x:v>1.9604636355887675</x:v>
      </x:c>
      <x:c r="CJ134" s="6" t="str">
        <x:v>Win</x:v>
      </x:c>
      <x:c r="CK134" s="9" t="str">
        <x:v>2.3312821773519907</x:v>
      </x:c>
      <x:c r="CL134" s="9" t="str">
        <x:v>0.5862288516148281</x:v>
      </x:c>
      <x:c r="CM134" s="7" t="str">
        <x:v>2024-06-14 04:40:00-05:00</x:v>
      </x:c>
      <x:c r="CN134" s="6" t="str">
        <x:v>19108.574902995177</x:v>
      </x:c>
      <x:c r="CO134" s="6" t="str">
        <x:v>TARGET</x:v>
      </x:c>
      <x:c r="CP134" s="6" t="str">
        <x:v>F::Short::Same-bar Setup+BOS::Penetration + same-bar reclaim</x:v>
      </x:c>
    </x:row>
    <x:row r="135" ht="18" customHeight="1">
      <x:c r="A135" s="6" t="str">
        <x:v>A0134</x:v>
      </x:c>
      <x:c r="B135" s="6" t="str">
        <x:v>2024-06-14</x:v>
      </x:c>
      <x:c r="C135" s="6" t="str">
        <x:v>2024</x:v>
      </x:c>
      <x:c r="D135" s="6" t="str">
        <x:v>2024-Q2</x:v>
      </x:c>
      <x:c r="E135" s="6" t="str">
        <x:v>First 50%</x:v>
      </x:c>
      <x:c r="F135" s="6" t="str">
        <x:v>Long</x:v>
      </x:c>
      <x:c r="G135" s="6" t="str">
        <x:v>Long</x:v>
      </x:c>
      <x:c r="H135" s="6" t="str">
        <x:v>Midday</x:v>
      </x:c>
      <x:c r="I135" s="6" t="str">
        <x:v>Midday</x:v>
      </x:c>
      <x:c r="J135" s="6" t="str">
        <x:v>Bull</x:v>
      </x:c>
      <x:c r="K135" s="6" t="str">
        <x:v>Bull</x:v>
      </x:c>
      <x:c r="L135" s="6" t="str">
        <x:v>MID</x:v>
      </x:c>
      <x:c r="M135" s="7" t="str">
        <x:v>2024-06-14 12:05:00-05:00</x:v>
      </x:c>
      <x:c r="N135" s="6" t="str">
        <x:v>75.0</x:v>
      </x:c>
      <x:c r="O135" s="6" t="str">
        <x:v>75-79</x:v>
      </x:c>
      <x:c r="P135" s="6" t="str">
        <x:v>Matching BOS only</x:v>
      </x:c>
      <x:c r="Q135" s="6" t="str">
        <x:v>Bull BOS</x:v>
      </x:c>
      <x:c r="R135" s="6" t="str">
        <x:v>True</x:v>
      </x:c>
      <x:c r="S135" s="6" t="str">
        <x:v>False</x:v>
      </x:c>
      <x:c r="T135" s="6" t="str">
        <x:v>No recent matching sweep</x:v>
      </x:c>
      <x:c r="U135" s="6" t="str">
        <x:v>None</x:v>
      </x:c>
      <x:c r="V135" s="6" t="str">
        <x:v>None</x:v>
      </x:c>
      <x:c r="W135" s="6" t="str">
        <x:v>[]</x:v>
      </x:c>
      <x:c r="X135" s="8" t="str">
        <x:v>0</x:v>
      </x:c>
      <x:c r="Y135" s="8" t="str"/>
      <x:c r="Z135" s="6" t="str">
        <x:v>Sweep below CRT reference</x:v>
      </x:c>
      <x:c r="AA135" s="6" t="str">
        <x:v>19183.25</x:v>
      </x:c>
      <x:c r="AB135" s="9" t="str">
        <x:v>0.06455859108772727</x:v>
      </x:c>
      <x:c r="AC135" s="9" t="str">
        <x:v>0.8521734023579999</x:v>
      </x:c>
      <x:c r="AD135" s="9" t="str">
        <x:v>1.084584330273818</x:v>
      </x:c>
      <x:c r="AE135" s="6" t="str">
        <x:v>With trade</x:v>
      </x:c>
      <x:c r="AF135" s="7" t="str">
        <x:v>2024-06-14 12:05:00-05:00</x:v>
      </x:c>
      <x:c r="AG135" s="6" t="str">
        <x:v>Long</x:v>
      </x:c>
      <x:c r="AH135" s="6" t="str">
        <x:v>19183.25</x:v>
      </x:c>
      <x:c r="AI135" s="8" t="str">
        <x:v>0</x:v>
      </x:c>
      <x:c r="AJ135" s="6" t="str">
        <x:v>True</x:v>
      </x:c>
      <x:c r="AK135" s="6" t="str">
        <x:v>Same-bar Setup+BOS</x:v>
      </x:c>
      <x:c r="AL135" s="9" t="str">
        <x:v>0.8392616841404544</x:v>
      </x:c>
      <x:c r="AM135" s="9" t="str">
        <x:v>0.06455859108772727</x:v>
      </x:c>
      <x:c r="AN135" s="9" t="str">
        <x:v>0.8521734023579999</x:v>
      </x:c>
      <x:c r="AO135" s="9" t="str">
        <x:v>1.084584330273818</x:v>
      </x:c>
      <x:c r="AP135" s="10" t="str">
        <x:v>0.7857142857142857</x:v>
      </x:c>
      <x:c r="AQ135" s="6" t="str">
        <x:v>0.17857142857142858</x:v>
      </x:c>
      <x:c r="AR135" s="6" t="str">
        <x:v>0.03571428571428571</x:v>
      </x:c>
      <x:c r="AS135" s="6" t="str">
        <x:v>With trade</x:v>
      </x:c>
      <x:c r="AT135" s="6" t="str">
        <x:v>0.7648452539612024</x:v>
      </x:c>
      <x:c r="AU135" s="7" t="str">
        <x:v>2024-06-14 12:10:00-05:00</x:v>
      </x:c>
      <x:c r="AV135" s="8" t="str">
        <x:v>1</x:v>
      </x:c>
      <x:c r="AW135" s="6" t="str">
        <x:v>Immediate retest (1 bar)</x:v>
      </x:c>
      <x:c r="AX135" s="6" t="str">
        <x:v>19178.75</x:v>
      </x:c>
      <x:c r="AY135" s="6" t="str">
        <x:v>4.5</x:v>
      </x:c>
      <x:c r="AZ135" s="9" t="str">
        <x:v>0.23489115363424348</x:v>
      </x:c>
      <x:c r="BA135" s="9" t="str">
        <x:v>0.46978230726848696</x:v>
      </x:c>
      <x:c r="BB135" s="9" t="str">
        <x:v>0.8612675633255594</x:v>
      </x:c>
      <x:c r="BC135" s="9" t="str">
        <x:v>0.39148525605707246</x:v>
      </x:c>
      <x:c r="BD135" s="6" t="str">
        <x:v>0.18181818181818182</x:v>
      </x:c>
      <x:c r="BE135" s="6" t="str">
        <x:v>0.36363636363636365</x:v>
      </x:c>
      <x:c r="BF135" s="9" t="str">
        <x:v>0.31318820484565796</x:v>
      </x:c>
      <x:c r="BG135" s="9" t="str">
        <x:v>0.15659410242282898</x:v>
      </x:c>
      <x:c r="BH135" s="6" t="str">
        <x:v>With trade</x:v>
      </x:c>
      <x:c r="BI135" s="6" t="str">
        <x:v>Penetration + same-bar reclaim</x:v>
      </x:c>
      <x:c r="BJ135" s="6" t="str">
        <x:v>False</x:v>
      </x:c>
      <x:c r="BK135" s="10" t="str">
        <x:v>True</x:v>
      </x:c>
      <x:c r="BL135" s="6" t="str">
        <x:v>True</x:v>
      </x:c>
      <x:c r="BM135" s="7" t="str">
        <x:v>2024-06-14 12:20:00-05:00</x:v>
      </x:c>
      <x:c r="BN135" s="8" t="str">
        <x:v>2</x:v>
      </x:c>
      <x:c r="BO135" s="6" t="str">
        <x:v>Delayed confirmation (2+ bars)</x:v>
      </x:c>
      <x:c r="BP135" s="9" t="str">
        <x:v>0.2212383608127675</x:v>
      </x:c>
      <x:c r="BQ135" s="9" t="str">
        <x:v>0.8979674644753504</x:v>
      </x:c>
      <x:c r="BR135" s="10" t="str">
        <x:v>0.2463768115942029</x:v>
      </x:c>
      <x:c r="BS135" s="9" t="str">
        <x:v>0.5205608489712176</x:v>
      </x:c>
      <x:c r="BT135" s="9" t="str">
        <x:v>0.05205608489712176</x:v>
      </x:c>
      <x:c r="BU135" s="9" t="str">
        <x:v>0.0</x:v>
      </x:c>
      <x:c r="BV135" s="6" t="str">
        <x:v>With trade</x:v>
      </x:c>
      <x:c r="BW135" s="7" t="str">
        <x:v>2024-06-14 12:20:00-05:00</x:v>
      </x:c>
      <x:c r="BX135" s="6" t="str">
        <x:v>19193.25</x:v>
      </x:c>
      <x:c r="BY135" s="9" t="str">
        <x:v>19.210050121446823</x:v>
      </x:c>
      <x:c r="BZ135" s="9" t="str">
        <x:v>0.62</x:v>
      </x:c>
      <x:c r="CA135" s="6" t="str">
        <x:v>19164.43492481783</x:v>
      </x:c>
      <x:c r="CB135" s="6" t="str">
        <x:v>28.815075182170403</x:v>
      </x:c>
      <x:c r="CC135" s="9" t="str">
        <x:v>1.5000000000000089</x:v>
      </x:c>
      <x:c r="CD135" s="6" t="str">
        <x:v>19250.88015036434</x:v>
      </x:c>
      <x:c r="CE135" s="6" t="str">
        <x:v>57.63015036434081</x:v>
      </x:c>
      <x:c r="CF135" s="6" t="str">
        <x:v>Fixed 2.00R target</x:v>
      </x:c>
      <x:c r="CG135" s="9" t="str">
        <x:v>0.025160441033608705</x:v>
      </x:c>
      <x:c r="CH135" s="9" t="str">
        <x:v>0.31233650938273055</x:v>
      </x:c>
      <x:c r="CI135" s="9" t="str">
        <x:v>0.28717606834912185</x:v>
      </x:c>
      <x:c r="CJ135" s="6" t="str">
        <x:v>Win</x:v>
      </x:c>
      <x:c r="CK135" s="9" t="str">
        <x:v>0.8068693159053826</x:v>
      </x:c>
      <x:c r="CL135" s="9" t="str">
        <x:v>0.8242213442044231</x:v>
      </x:c>
      <x:c r="CM135" s="7" t="str">
        <x:v>2024-06-14 13:20:00-05:00</x:v>
      </x:c>
      <x:c r="CN135" s="6" t="str">
        <x:v>19202.25</x:v>
      </x:c>
      <x:c r="CO135" s="6" t="str">
        <x:v>TIME</x:v>
      </x:c>
      <x:c r="CP135" s="6" t="str">
        <x:v>F::Long::Same-bar Setup+BOS::Penetration + same-bar reclaim</x:v>
      </x:c>
    </x:row>
    <x:row r="136" ht="18" customHeight="1">
      <x:c r="A136" s="6" t="str">
        <x:v>A0135</x:v>
      </x:c>
      <x:c r="B136" s="6" t="str">
        <x:v>2024-06-14</x:v>
      </x:c>
      <x:c r="C136" s="6" t="str">
        <x:v>2024</x:v>
      </x:c>
      <x:c r="D136" s="6" t="str">
        <x:v>2024-Q2</x:v>
      </x:c>
      <x:c r="E136" s="6" t="str">
        <x:v>First 50%</x:v>
      </x:c>
      <x:c r="F136" s="6" t="str">
        <x:v>Long</x:v>
      </x:c>
      <x:c r="G136" s="6" t="str">
        <x:v>Long</x:v>
      </x:c>
      <x:c r="H136" s="6" t="str">
        <x:v>Afternoon</x:v>
      </x:c>
      <x:c r="I136" s="6" t="str">
        <x:v>Afternoon</x:v>
      </x:c>
      <x:c r="J136" s="6" t="str">
        <x:v>Bull</x:v>
      </x:c>
      <x:c r="K136" s="6" t="str">
        <x:v>Bull</x:v>
      </x:c>
      <x:c r="L136" s="6" t="str">
        <x:v>LOW</x:v>
      </x:c>
      <x:c r="M136" s="7" t="str">
        <x:v>2024-06-14 14:55:00-05:00</x:v>
      </x:c>
      <x:c r="N136" s="6" t="str">
        <x:v>75.0</x:v>
      </x:c>
      <x:c r="O136" s="6" t="str">
        <x:v>75-79</x:v>
      </x:c>
      <x:c r="P136" s="6" t="str">
        <x:v>Matching BOS only</x:v>
      </x:c>
      <x:c r="Q136" s="6" t="str">
        <x:v>Bull BOS</x:v>
      </x:c>
      <x:c r="R136" s="6" t="str">
        <x:v>True</x:v>
      </x:c>
      <x:c r="S136" s="6" t="str">
        <x:v>False</x:v>
      </x:c>
      <x:c r="T136" s="6" t="str">
        <x:v>No recent matching sweep</x:v>
      </x:c>
      <x:c r="U136" s="6" t="str">
        <x:v>None</x:v>
      </x:c>
      <x:c r="V136" s="6" t="str">
        <x:v>None</x:v>
      </x:c>
      <x:c r="W136" s="6" t="str">
        <x:v>[]</x:v>
      </x:c>
      <x:c r="X136" s="8" t="str">
        <x:v>0</x:v>
      </x:c>
      <x:c r="Y136" s="8" t="str"/>
      <x:c r="Z136" s="6" t="str">
        <x:v>None</x:v>
      </x:c>
      <x:c r="AA136" s="6" t="str">
        <x:v>19219.0</x:v>
      </x:c>
      <x:c r="AB136" s="9" t="str">
        <x:v>0.47244344409389444</x:v>
      </x:c>
      <x:c r="AC136" s="9" t="str">
        <x:v>1.768288319322862</x:v>
      </x:c>
      <x:c r="AD136" s="9" t="str">
        <x:v>2.227233379299788</x:v>
      </x:c>
      <x:c r="AE136" s="6" t="str">
        <x:v>With trade</x:v>
      </x:c>
      <x:c r="AF136" s="7" t="str">
        <x:v>2024-06-14 14:55:00-05:00</x:v>
      </x:c>
      <x:c r="AG136" s="6" t="str">
        <x:v>Long</x:v>
      </x:c>
      <x:c r="AH136" s="6" t="str">
        <x:v>19219.0</x:v>
      </x:c>
      <x:c r="AI136" s="8" t="str">
        <x:v>0</x:v>
      </x:c>
      <x:c r="AJ136" s="6" t="str">
        <x:v>True</x:v>
      </x:c>
      <x:c r="AK136" s="6" t="str">
        <x:v>Same-bar Setup+BOS</x:v>
      </x:c>
      <x:c r="AL136" s="9" t="str">
        <x:v>1.7817867034398303</x:v>
      </x:c>
      <x:c r="AM136" s="9" t="str">
        <x:v>0.47244344409389444</x:v>
      </x:c>
      <x:c r="AN136" s="9" t="str">
        <x:v>1.768288319322862</x:v>
      </x:c>
      <x:c r="AO136" s="9" t="str">
        <x:v>2.227233379299788</x:v>
      </x:c>
      <x:c r="AP136" s="10" t="str">
        <x:v>0.793939393939394</x:v>
      </x:c>
      <x:c r="AQ136" s="6" t="str">
        <x:v>0.12121212121212122</x:v>
      </x:c>
      <x:c r="AR136" s="6" t="str">
        <x:v>0.08484848484848485</x:v>
      </x:c>
      <x:c r="AS136" s="6" t="str">
        <x:v>With trade</x:v>
      </x:c>
      <x:c r="AT136" s="6" t="str">
        <x:v>4.047867144252686</x:v>
      </x:c>
      <x:c r="AU136" s="7" t="str">
        <x:v>2024-06-14 15:00:00-05:00</x:v>
      </x:c>
      <x:c r="AV136" s="8" t="str">
        <x:v>1</x:v>
      </x:c>
      <x:c r="AW136" s="6" t="str">
        <x:v>Immediate retest (1 bar)</x:v>
      </x:c>
      <x:c r="AX136" s="6" t="str">
        <x:v>19219.25</x:v>
      </x:c>
      <x:c r="AY136" s="6" t="str">
        <x:v>0.0</x:v>
      </x:c>
      <x:c r="AZ136" s="9" t="str">
        <x:v>0.0</x:v>
      </x:c>
      <x:c r="BA136" s="9" t="str">
        <x:v>0.3465078115805726</x:v>
      </x:c>
      <x:c r="BB136" s="9" t="str">
        <x:v>0.6514346857714765</x:v>
      </x:c>
      <x:c r="BC136" s="9" t="str">
        <x:v>0.13860312463222904</x:v>
      </x:c>
      <x:c r="BD136" s="6" t="str">
        <x:v>0.2765957446808511</x:v>
      </x:c>
      <x:c r="BE136" s="6" t="str">
        <x:v>0.5106382978723404</x:v>
      </x:c>
      <x:c r="BF136" s="9" t="str">
        <x:v>0.3326474991173497</x:v>
      </x:c>
      <x:c r="BG136" s="9" t="str">
        <x:v>0.18018406202189774</x:v>
      </x:c>
      <x:c r="BH136" s="6" t="str">
        <x:v>Against trade</x:v>
      </x:c>
      <x:c r="BI136" s="6" t="str">
        <x:v>Tolerance-only shallow touch</x:v>
      </x:c>
      <x:c r="BJ136" s="6" t="str">
        <x:v>True</x:v>
      </x:c>
      <x:c r="BK136" s="10" t="str">
        <x:v>False</x:v>
      </x:c>
      <x:c r="BL136" s="6" t="str">
        <x:v>True</x:v>
      </x:c>
      <x:c r="BM136" s="7" t="str">
        <x:v>2024-06-14 15:05:00-05:00</x:v>
      </x:c>
      <x:c r="BN136" s="8" t="str">
        <x:v>1</x:v>
      </x:c>
      <x:c r="BO136" s="6" t="str">
        <x:v>Immediate confirmation (1 bar)</x:v>
      </x:c>
      <x:c r="BP136" s="9" t="str">
        <x:v>0.04352648275891114</x:v>
      </x:c>
      <x:c r="BQ136" s="9" t="str">
        <x:v>0.39173834483020026</x:v>
      </x:c>
      <x:c r="BR136" s="10" t="str">
        <x:v>0.1111111111111111</x:v>
      </x:c>
      <x:c r="BS136" s="9" t="str">
        <x:v>0.4207560000028077</x:v>
      </x:c>
      <x:c r="BT136" s="9" t="str">
        <x:v>0.058035310345214856</x:v>
      </x:c>
      <x:c r="BU136" s="9" t="str">
        <x:v>0.07254413793151857</x:v>
      </x:c>
      <x:c r="BV136" s="6" t="str">
        <x:v>With trade</x:v>
      </x:c>
      <x:c r="BW136" s="7" t="str">
        <x:v>2024-06-14 15:05:00-05:00</x:v>
      </x:c>
      <x:c r="BX136" s="6" t="str">
        <x:v>19226.25</x:v>
      </x:c>
      <x:c r="BY136" s="9" t="str">
        <x:v>17.230889161299235</x:v>
      </x:c>
      <x:c r="BZ136" s="9" t="str">
        <x:v>0.25</x:v>
      </x:c>
      <x:c r="CA136" s="6" t="str">
        <x:v>19200.40366625805</x:v>
      </x:c>
      <x:c r="CB136" s="6" t="str">
        <x:v>25.84633374194891</x:v>
      </x:c>
      <x:c r="CC136" s="9" t="str">
        <x:v>1.5000000000000033</x:v>
      </x:c>
      <x:c r="CD136" s="6" t="str">
        <x:v>19277.942667483898</x:v>
      </x:c>
      <x:c r="CE136" s="6" t="str">
        <x:v>51.69266748389782</x:v>
      </x:c>
      <x:c r="CF136" s="6" t="str">
        <x:v>Fixed 2.00R target</x:v>
      </x:c>
      <x:c r="CG136" s="9" t="str">
        <x:v>0.028050400000187117</x:v>
      </x:c>
      <x:c r="CH136" s="9" t="str">
        <x:v>0.21279613793245444</x:v>
      </x:c>
      <x:c r="CI136" s="9" t="str">
        <x:v>0.18474573793226734</x:v>
      </x:c>
      <x:c r="CJ136" s="6" t="str">
        <x:v>Win</x:v>
      </x:c>
      <x:c r="CK136" s="9" t="str">
        <x:v>1.1800513103526993</x:v>
      </x:c>
      <x:c r="CL136" s="9" t="str">
        <x:v>0.6190433103489571</x:v>
      </x:c>
      <x:c r="CM136" s="7" t="str">
        <x:v>2024-06-16 17:05:00-05:00</x:v>
      </x:c>
      <x:c r="CN136" s="6" t="str">
        <x:v>19231.75</x:v>
      </x:c>
      <x:c r="CO136" s="6" t="str">
        <x:v>TIME</x:v>
      </x:c>
      <x:c r="CP136" s="6" t="str">
        <x:v>F::Long::Same-bar Setup+BOS::Tolerance-only shallow touch</x:v>
      </x:c>
    </x:row>
    <x:row r="137" ht="18" customHeight="1">
      <x:c r="A137" s="6" t="str">
        <x:v>A0136</x:v>
      </x:c>
      <x:c r="B137" s="6" t="str">
        <x:v>2024-06-16</x:v>
      </x:c>
      <x:c r="C137" s="6" t="str">
        <x:v>2024</x:v>
      </x:c>
      <x:c r="D137" s="6" t="str">
        <x:v>2024-Q2</x:v>
      </x:c>
      <x:c r="E137" s="6" t="str">
        <x:v>First 50%</x:v>
      </x:c>
      <x:c r="F137" s="6" t="str">
        <x:v>Short</x:v>
      </x:c>
      <x:c r="G137" s="6" t="str">
        <x:v>Short</x:v>
      </x:c>
      <x:c r="H137" s="6" t="str">
        <x:v>Overnight</x:v>
      </x:c>
      <x:c r="I137" s="6" t="str">
        <x:v>Overnight</x:v>
      </x:c>
      <x:c r="J137" s="6" t="str">
        <x:v>Bull</x:v>
      </x:c>
      <x:c r="K137" s="6" t="str">
        <x:v>Bull</x:v>
      </x:c>
      <x:c r="L137" s="6" t="str">
        <x:v>LOW</x:v>
      </x:c>
      <x:c r="M137" s="7" t="str">
        <x:v>2024-06-16 19:35:00-05:00</x:v>
      </x:c>
      <x:c r="N137" s="6" t="str">
        <x:v>90.0</x:v>
      </x:c>
      <x:c r="O137" s="6" t="str">
        <x:v>90-94</x:v>
      </x:c>
      <x:c r="P137" s="6" t="str">
        <x:v>Matching BOS only</x:v>
      </x:c>
      <x:c r="Q137" s="6" t="str">
        <x:v>Bear CHoCH</x:v>
      </x:c>
      <x:c r="R137" s="6" t="str">
        <x:v>True</x:v>
      </x:c>
      <x:c r="S137" s="6" t="str">
        <x:v>False</x:v>
      </x:c>
      <x:c r="T137" s="6" t="str">
        <x:v>Recent BSL</x:v>
      </x:c>
      <x:c r="U137" s="6" t="str">
        <x:v>BSL</x:v>
      </x:c>
      <x:c r="V137" s="6" t="str">
        <x:v>Swing high / buy-side</x:v>
      </x:c>
      <x:c r="W137" s="6" t="str">
        <x:v>[19262.25]</x:v>
      </x:c>
      <x:c r="X137" s="8" t="str">
        <x:v>1</x:v>
      </x:c>
      <x:c r="Y137" s="8" t="str">
        <x:v>15.0</x:v>
      </x:c>
      <x:c r="Z137" s="6" t="str">
        <x:v>None</x:v>
      </x:c>
      <x:c r="AA137" s="6" t="str">
        <x:v>19247.25</x:v>
      </x:c>
      <x:c r="AB137" s="9" t="str">
        <x:v>0.4534304288842744</x:v>
      </x:c>
      <x:c r="AC137" s="9" t="str">
        <x:v>1.1713619412843754</x:v>
      </x:c>
      <x:c r="AD137" s="9" t="str">
        <x:v>1.4736488938738916</x:v>
      </x:c>
      <x:c r="AE137" s="6" t="str">
        <x:v>With trade</x:v>
      </x:c>
      <x:c r="AF137" s="7" t="str">
        <x:v>2024-06-16 19:35:00-05:00</x:v>
      </x:c>
      <x:c r="AG137" s="6" t="str">
        <x:v>Short</x:v>
      </x:c>
      <x:c r="AH137" s="6" t="str">
        <x:v>19247.25</x:v>
      </x:c>
      <x:c r="AI137" s="8" t="str">
        <x:v>0</x:v>
      </x:c>
      <x:c r="AJ137" s="6" t="str">
        <x:v>True</x:v>
      </x:c>
      <x:c r="AK137" s="6" t="str">
        <x:v>Same-bar Setup+BOS</x:v>
      </x:c>
      <x:c r="AL137" s="9" t="str">
        <x:v>1.133576072210686</x:v>
      </x:c>
      <x:c r="AM137" s="9" t="str">
        <x:v>0.4534304288842744</x:v>
      </x:c>
      <x:c r="AN137" s="9" t="str">
        <x:v>1.1713619412843754</x:v>
      </x:c>
      <x:c r="AO137" s="9" t="str">
        <x:v>1.4736488938738916</x:v>
      </x:c>
      <x:c r="AP137" s="10" t="str">
        <x:v>0.7948717948717948</x:v>
      </x:c>
      <x:c r="AQ137" s="6" t="str">
        <x:v>0.15384615384615385</x:v>
      </x:c>
      <x:c r="AR137" s="6" t="str">
        <x:v>0.05128205128205128</x:v>
      </x:c>
      <x:c r="AS137" s="6" t="str">
        <x:v>With trade</x:v>
      </x:c>
      <x:c r="AT137" s="6" t="str">
        <x:v>1.6833926837164133</x:v>
      </x:c>
      <x:c r="AU137" s="7" t="str">
        <x:v>2024-06-16 19:40:00-05:00</x:v>
      </x:c>
      <x:c r="AV137" s="8" t="str">
        <x:v>1</x:v>
      </x:c>
      <x:c r="AW137" s="6" t="str">
        <x:v>Immediate retest (1 bar)</x:v>
      </x:c>
      <x:c r="AX137" s="6" t="str">
        <x:v>19247.25</x:v>
      </x:c>
      <x:c r="AY137" s="6" t="str">
        <x:v>0.0</x:v>
      </x:c>
      <x:c r="AZ137" s="9" t="str">
        <x:v>0.0</x:v>
      </x:c>
      <x:c r="BA137" s="9" t="str">
        <x:v>0.83913654545692</x:v>
      </x:c>
      <x:c r="BB137" s="9" t="str">
        <x:v>0.8772791157049618</x:v>
      </x:c>
      <x:c r="BC137" s="9" t="str">
        <x:v>0.41956827272846</x:v>
      </x:c>
      <x:c r="BD137" s="6" t="str">
        <x:v>0.4782608695652174</x:v>
      </x:c>
      <x:c r="BE137" s="6" t="str">
        <x:v>0.043478260869565216</x:v>
      </x:c>
      <x:c r="BF137" s="9" t="str">
        <x:v>0.41956827272846</x:v>
      </x:c>
      <x:c r="BG137" s="9" t="str">
        <x:v>0.03814257024804182</x:v>
      </x:c>
      <x:c r="BH137" s="6" t="str">
        <x:v>With trade</x:v>
      </x:c>
      <x:c r="BI137" s="6" t="str">
        <x:v>Exact BOS touch</x:v>
      </x:c>
      <x:c r="BJ137" s="6" t="str">
        <x:v>True</x:v>
      </x:c>
      <x:c r="BK137" s="10" t="str">
        <x:v>False</x:v>
      </x:c>
      <x:c r="BL137" s="6" t="str">
        <x:v>True</x:v>
      </x:c>
      <x:c r="BM137" s="7" t="str">
        <x:v>2024-06-16 19:45:00-05:00</x:v>
      </x:c>
      <x:c r="BN137" s="8" t="str">
        <x:v>1</x:v>
      </x:c>
      <x:c r="BO137" s="6" t="str">
        <x:v>Immediate confirmation (1 bar)</x:v>
      </x:c>
      <x:c r="BP137" s="9" t="str">
        <x:v>0.04001983456250366</x:v>
      </x:c>
      <x:c r="BQ137" s="9" t="str">
        <x:v>0.36017851106253296</x:v>
      </x:c>
      <x:c r="BR137" s="10" t="str">
        <x:v>0.1111111111111111</x:v>
      </x:c>
      <x:c r="BS137" s="9" t="str">
        <x:v>0.9604760295000878</x:v>
      </x:c>
      <x:c r="BT137" s="9" t="str">
        <x:v>0.08003966912500732</x:v>
      </x:c>
      <x:c r="BU137" s="9" t="str">
        <x:v>0.24011900737502195</x:v>
      </x:c>
      <x:c r="BV137" s="6" t="str">
        <x:v>With trade</x:v>
      </x:c>
      <x:c r="BW137" s="7" t="str">
        <x:v>2024-06-16 19:45:00-05:00</x:v>
      </x:c>
      <x:c r="BX137" s="6" t="str">
        <x:v>19241.25</x:v>
      </x:c>
      <x:c r="BY137" s="9" t="str">
        <x:v>6.246902385604462</x:v>
      </x:c>
      <x:c r="BZ137" s="9" t="str">
        <x:v>0.0</x:v>
      </x:c>
      <x:c r="CA137" s="6" t="str">
        <x:v>19250.620353578408</x:v>
      </x:c>
      <x:c r="CB137" s="6" t="str">
        <x:v>9.370353578407958</x:v>
      </x:c>
      <x:c r="CC137" s="9" t="str">
        <x:v>1.5000000000002025</x:v>
      </x:c>
      <x:c r="CD137" s="6" t="str">
        <x:v>19222.509292843188</x:v>
      </x:c>
      <x:c r="CE137" s="6" t="str">
        <x:v>18.740707156812277</x:v>
      </x:c>
      <x:c r="CF137" s="6" t="str">
        <x:v>Fixed 2.00R target</x:v>
      </x:c>
      <x:c r="CG137" s="9" t="str">
        <x:v>0.07737168015416329</x:v>
      </x:c>
      <x:c r="CH137" s="9" t="str">
        <x:v>0.26679889708335774</x:v>
      </x:c>
      <x:c r="CI137" s="9" t="str">
        <x:v>0.18942721692919445</x:v>
      </x:c>
      <x:c r="CJ137" s="6" t="str">
        <x:v>Win</x:v>
      </x:c>
      <x:c r="CK137" s="9" t="str">
        <x:v>1.734192831041591</x:v>
      </x:c>
      <x:c r="CL137" s="9" t="str">
        <x:v>0.5069179044583112</x:v>
      </x:c>
      <x:c r="CM137" s="7" t="str">
        <x:v>2024-06-16 20:45:00-05:00</x:v>
      </x:c>
      <x:c r="CN137" s="6" t="str">
        <x:v>19238.75</x:v>
      </x:c>
      <x:c r="CO137" s="6" t="str">
        <x:v>TIME</x:v>
      </x:c>
      <x:c r="CP137" s="6" t="str">
        <x:v>F::Short::Same-bar Setup+BOS::Exact BOS touch</x:v>
      </x:c>
    </x:row>
    <x:row r="138" ht="18" customHeight="1">
      <x:c r="A138" s="6" t="str">
        <x:v>A0137</x:v>
      </x:c>
      <x:c r="B138" s="6" t="str">
        <x:v>2024-06-17</x:v>
      </x:c>
      <x:c r="C138" s="6" t="str">
        <x:v>2024</x:v>
      </x:c>
      <x:c r="D138" s="6" t="str">
        <x:v>2024-Q2</x:v>
      </x:c>
      <x:c r="E138" s="6" t="str">
        <x:v>First 50%</x:v>
      </x:c>
      <x:c r="F138" s="6" t="str">
        <x:v>Short</x:v>
      </x:c>
      <x:c r="G138" s="6" t="str">
        <x:v>Short</x:v>
      </x:c>
      <x:c r="H138" s="6" t="str">
        <x:v>Overnight</x:v>
      </x:c>
      <x:c r="I138" s="6" t="str">
        <x:v>Overnight</x:v>
      </x:c>
      <x:c r="J138" s="6" t="str">
        <x:v>Bull</x:v>
      </x:c>
      <x:c r="K138" s="6" t="str">
        <x:v>Bull</x:v>
      </x:c>
      <x:c r="L138" s="6" t="str">
        <x:v>MID</x:v>
      </x:c>
      <x:c r="M138" s="7" t="str">
        <x:v>2024-06-17 00:35:00-05:00</x:v>
      </x:c>
      <x:c r="N138" s="6" t="str">
        <x:v>75.0</x:v>
      </x:c>
      <x:c r="O138" s="6" t="str">
        <x:v>75-79</x:v>
      </x:c>
      <x:c r="P138" s="6" t="str">
        <x:v>Matching liquidity sweep only</x:v>
      </x:c>
      <x:c r="Q138" s="6" t="str">
        <x:v>Recent bear structure</x:v>
      </x:c>
      <x:c r="R138" s="6" t="str">
        <x:v>False</x:v>
      </x:c>
      <x:c r="S138" s="6" t="str">
        <x:v>True</x:v>
      </x:c>
      <x:c r="T138" s="6" t="str">
        <x:v>Recent BSL</x:v>
      </x:c>
      <x:c r="U138" s="6" t="str">
        <x:v>BSL</x:v>
      </x:c>
      <x:c r="V138" s="6" t="str">
        <x:v>Equal high / buy-side</x:v>
      </x:c>
      <x:c r="W138" s="6" t="str">
        <x:v>[19247.25]</x:v>
      </x:c>
      <x:c r="X138" s="8" t="str">
        <x:v>1</x:v>
      </x:c>
      <x:c r="Y138" s="8" t="str">
        <x:v>0.0</x:v>
      </x:c>
      <x:c r="Z138" s="6" t="str">
        <x:v>None</x:v>
      </x:c>
      <x:c r="AA138" s="6" t="str">
        <x:v>19227.5</x:v>
      </x:c>
      <x:c r="AB138" s="9" t="str">
        <x:v>-4.607346036503496</x:v>
      </x:c>
      <x:c r="AC138" s="9" t="str">
        <x:v>0.7678910060839159</x:v>
      </x:c>
      <x:c r="AD138" s="9" t="str">
        <x:v>1.4078001778205125</x:v>
      </x:c>
      <x:c r="AE138" s="6" t="str">
        <x:v>Against trade</x:v>
      </x:c>
      <x:c r="AF138" s="7" t="str">
        <x:v>2024-06-17 01:00:00-05:00</x:v>
      </x:c>
      <x:c r="AG138" s="6" t="str">
        <x:v>Short</x:v>
      </x:c>
      <x:c r="AH138" s="6" t="str">
        <x:v>19227.5</x:v>
      </x:c>
      <x:c r="AI138" s="8" t="str">
        <x:v>5</x:v>
      </x:c>
      <x:c r="AJ138" s="6" t="str">
        <x:v>False</x:v>
      </x:c>
      <x:c r="AK138" s="6" t="str">
        <x:v>Delayed BOS</x:v>
      </x:c>
      <x:c r="AL138" s="9" t="str">
        <x:v>2.6282096963941886</x:v>
      </x:c>
      <x:c r="AM138" s="9" t="str">
        <x:v>0.2346615800351954</x:v>
      </x:c>
      <x:c r="AN138" s="9" t="str">
        <x:v>2.815938960422345</x:v>
      </x:c>
      <x:c r="AO138" s="9" t="str">
        <x:v>3.7545852805631266</x:v>
      </x:c>
      <x:c r="AP138" s="10" t="str">
        <x:v>0.75</x:v>
      </x:c>
      <x:c r="AQ138" s="6" t="str">
        <x:v>0.0125</x:v>
      </x:c>
      <x:c r="AR138" s="6" t="str">
        <x:v>0.2375</x:v>
      </x:c>
      <x:c r="AS138" s="6" t="str">
        <x:v>With trade</x:v>
      </x:c>
      <x:c r="AT138" s="6" t="str">
        <x:v>6.448753462603878</x:v>
      </x:c>
      <x:c r="AU138" s="7" t="str">
        <x:v>2024-06-17 01:05:00-05:00</x:v>
      </x:c>
      <x:c r="AV138" s="8" t="str">
        <x:v>1</x:v>
      </x:c>
      <x:c r="AW138" s="6" t="str">
        <x:v>Immediate retest (1 bar)</x:v>
      </x:c>
      <x:c r="AX138" s="6" t="str">
        <x:v>19229.25</x:v>
      </x:c>
      <x:c r="AY138" s="6" t="str">
        <x:v>1.75</x:v>
      </x:c>
      <x:c r="AZ138" s="9" t="str">
        <x:v>0.29518548809606965</x:v>
      </x:c>
      <x:c r="BA138" s="9" t="str">
        <x:v>1.518096795922644</x:v>
      </x:c>
      <x:c r="BB138" s="9" t="str">
        <x:v>2.3193145493262617</x:v>
      </x:c>
      <x:c r="BC138" s="9" t="str">
        <x:v>1.26508066326887</x:v>
      </x:c>
      <x:c r="BD138" s="6" t="str">
        <x:v>0.23636363636363636</x:v>
      </x:c>
      <x:c r="BE138" s="6" t="str">
        <x:v>0.21818181818181817</x:v>
      </x:c>
      <x:c r="BF138" s="9" t="str">
        <x:v>0.5482016207498437</x:v>
      </x:c>
      <x:c r="BG138" s="9" t="str">
        <x:v>0.506032265307548</x:v>
      </x:c>
      <x:c r="BH138" s="6" t="str">
        <x:v>With trade</x:v>
      </x:c>
      <x:c r="BI138" s="6" t="str">
        <x:v>Penetration + same-bar reclaim</x:v>
      </x:c>
      <x:c r="BJ138" s="6" t="str">
        <x:v>False</x:v>
      </x:c>
      <x:c r="BK138" s="10" t="str">
        <x:v>True</x:v>
      </x:c>
      <x:c r="BL138" s="6" t="str">
        <x:v>True</x:v>
      </x:c>
      <x:c r="BM138" s="7" t="str">
        <x:v>2024-06-17 01:15:00-05:00</x:v>
      </x:c>
      <x:c r="BN138" s="8" t="str">
        <x:v>2</x:v>
      </x:c>
      <x:c r="BO138" s="6" t="str">
        <x:v>Delayed confirmation (2+ bars)</x:v>
      </x:c>
      <x:c r="BP138" s="9" t="str">
        <x:v>0.19711767341762484</x:v>
      </x:c>
      <x:c r="BQ138" s="9" t="str">
        <x:v>1.103858971138699</x:v>
      </x:c>
      <x:c r="BR138" s="10" t="str">
        <x:v>0.17857142857142858</x:v>
      </x:c>
      <x:c r="BS138" s="9" t="str">
        <x:v>0.3548118121517247</x:v>
      </x:c>
      <x:c r="BT138" s="9" t="str">
        <x:v>-1.0644354364551742</x:v>
      </x:c>
      <x:c r="BU138" s="9" t="str">
        <x:v>0.3942353468352497</x:v>
      </x:c>
      <x:c r="BV138" s="6" t="str">
        <x:v>With trade</x:v>
      </x:c>
      <x:c r="BW138" s="7" t="str">
        <x:v>2024-06-17 01:15:00-05:00</x:v>
      </x:c>
      <x:c r="BX138" s="6" t="str">
        <x:v>19225.25</x:v>
      </x:c>
      <x:c r="BY138" s="9" t="str">
        <x:v>6.341389781684761</x:v>
      </x:c>
      <x:c r="BZ138" s="9" t="str">
        <x:v>0.62</x:v>
      </x:c>
      <x:c r="CA138" s="6" t="str">
        <x:v>19234.762084672526</x:v>
      </x:c>
      <x:c r="CB138" s="6" t="str">
        <x:v>9.512084672525816</x:v>
      </x:c>
      <x:c r="CC138" s="9" t="str">
        <x:v>1.499999999999791</x:v>
      </x:c>
      <x:c r="CD138" s="6" t="str">
        <x:v>19206.225830654945</x:v>
      </x:c>
      <x:c r="CE138" s="6" t="str">
        <x:v>19.02416934505527</x:v>
      </x:c>
      <x:c r="CF138" s="6" t="str">
        <x:v>Fixed 2.00R target</x:v>
      </x:c>
      <x:c r="CG138" s="9" t="str">
        <x:v>0.07621883372149223</x:v>
      </x:c>
      <x:c r="CH138" s="9" t="str">
        <x:v>-1.0</x:v>
      </x:c>
      <x:c r="CI138" s="9" t="str">
        <x:v>-1.0762188337214922</x:v>
      </x:c>
      <x:c r="CJ138" s="6" t="str">
        <x:v>Loss</x:v>
      </x:c>
      <x:c r="CK138" s="9" t="str">
        <x:v>0.2891059210125567</x:v>
      </x:c>
      <x:c r="CL138" s="9" t="str">
        <x:v>1.4192472486070966</x:v>
      </x:c>
      <x:c r="CM138" s="7" t="str">
        <x:v>2024-06-17 01:20:00-05:00</x:v>
      </x:c>
      <x:c r="CN138" s="6" t="str">
        <x:v>19234.762084672526</x:v>
      </x:c>
      <x:c r="CO138" s="6" t="str">
        <x:v>STOP</x:v>
      </x:c>
      <x:c r="CP138" s="6" t="str">
        <x:v>F::Short::Delayed BOS::Penetration + same-bar reclaim</x:v>
      </x:c>
    </x:row>
    <x:row r="139" ht="18" customHeight="1">
      <x:c r="A139" s="6" t="str">
        <x:v>A0138</x:v>
      </x:c>
      <x:c r="B139" s="6" t="str">
        <x:v>2024-06-17</x:v>
      </x:c>
      <x:c r="C139" s="6" t="str">
        <x:v>2024</x:v>
      </x:c>
      <x:c r="D139" s="6" t="str">
        <x:v>2024-Q2</x:v>
      </x:c>
      <x:c r="E139" s="6" t="str">
        <x:v>First 50%</x:v>
      </x:c>
      <x:c r="F139" s="6" t="str">
        <x:v>Short</x:v>
      </x:c>
      <x:c r="G139" s="6" t="str">
        <x:v>Short</x:v>
      </x:c>
      <x:c r="H139" s="6" t="str">
        <x:v>Overnight</x:v>
      </x:c>
      <x:c r="I139" s="6" t="str">
        <x:v>Overnight</x:v>
      </x:c>
      <x:c r="J139" s="6" t="str">
        <x:v>Bull</x:v>
      </x:c>
      <x:c r="K139" s="6" t="str">
        <x:v>Bull</x:v>
      </x:c>
      <x:c r="L139" s="6" t="str">
        <x:v>HIGH</x:v>
      </x:c>
      <x:c r="M139" s="7" t="str">
        <x:v>2024-06-17 03:30:00-05:00</x:v>
      </x:c>
      <x:c r="N139" s="6" t="str">
        <x:v>90.0</x:v>
      </x:c>
      <x:c r="O139" s="6" t="str">
        <x:v>90-94</x:v>
      </x:c>
      <x:c r="P139" s="6" t="str">
        <x:v>Matching BOS only</x:v>
      </x:c>
      <x:c r="Q139" s="6" t="str">
        <x:v>Bear CHoCH</x:v>
      </x:c>
      <x:c r="R139" s="6" t="str">
        <x:v>True</x:v>
      </x:c>
      <x:c r="S139" s="6" t="str">
        <x:v>False</x:v>
      </x:c>
      <x:c r="T139" s="6" t="str">
        <x:v>Recent BSL</x:v>
      </x:c>
      <x:c r="U139" s="6" t="str">
        <x:v>BSL</x:v>
      </x:c>
      <x:c r="V139" s="6" t="str">
        <x:v>Swing high / buy-side</x:v>
      </x:c>
      <x:c r="W139" s="6" t="str">
        <x:v>[19265.75]</x:v>
      </x:c>
      <x:c r="X139" s="8" t="str">
        <x:v>1</x:v>
      </x:c>
      <x:c r="Y139" s="8" t="str">
        <x:v>12.0</x:v>
      </x:c>
      <x:c r="Z139" s="6" t="str">
        <x:v>None</x:v>
      </x:c>
      <x:c r="AA139" s="6" t="str">
        <x:v>19252.75</x:v>
      </x:c>
      <x:c r="AB139" s="9" t="str">
        <x:v>0.42499652891682743</x:v>
      </x:c>
      <x:c r="AC139" s="9" t="str">
        <x:v>1.794429788759938</x:v>
      </x:c>
      <x:c r="AD139" s="9" t="str">
        <x:v>2.2666481542230796</x:v>
      </x:c>
      <x:c r="AE139" s="6" t="str">
        <x:v>With trade</x:v>
      </x:c>
      <x:c r="AF139" s="7" t="str">
        <x:v>2024-06-17 03:30:00-05:00</x:v>
      </x:c>
      <x:c r="AG139" s="6" t="str">
        <x:v>Short</x:v>
      </x:c>
      <x:c r="AH139" s="6" t="str">
        <x:v>19252.75</x:v>
      </x:c>
      <x:c r="AI139" s="8" t="str">
        <x:v>0</x:v>
      </x:c>
      <x:c r="AJ139" s="6" t="str">
        <x:v>True</x:v>
      </x:c>
      <x:c r="AK139" s="6" t="str">
        <x:v>Same-bar Setup+BOS</x:v>
      </x:c>
      <x:c r="AL139" s="9" t="str">
        <x:v>1.818040707033095</x:v>
      </x:c>
      <x:c r="AM139" s="9" t="str">
        <x:v>0.42499652891682743</x:v>
      </x:c>
      <x:c r="AN139" s="9" t="str">
        <x:v>1.794429788759938</x:v>
      </x:c>
      <x:c r="AO139" s="9" t="str">
        <x:v>2.2666481542230796</x:v>
      </x:c>
      <x:c r="AP139" s="10" t="str">
        <x:v>0.7916666666666666</x:v>
      </x:c>
      <x:c r="AQ139" s="6" t="str">
        <x:v>0.0</x:v>
      </x:c>
      <x:c r="AR139" s="6" t="str">
        <x:v>0.20833333333333334</x:v>
      </x:c>
      <x:c r="AS139" s="6" t="str">
        <x:v>With trade</x:v>
      </x:c>
      <x:c r="AT139" s="6" t="str">
        <x:v>1.8076243372885634</x:v>
      </x:c>
      <x:c r="AU139" s="7" t="str">
        <x:v>2024-06-17 03:35:00-05:00</x:v>
      </x:c>
      <x:c r="AV139" s="8" t="str">
        <x:v>1</x:v>
      </x:c>
      <x:c r="AW139" s="6" t="str">
        <x:v>Immediate retest (1 bar)</x:v>
      </x:c>
      <x:c r="AX139" s="6" t="str">
        <x:v>19254.75</x:v>
      </x:c>
      <x:c r="AY139" s="6" t="str">
        <x:v>2.0</x:v>
      </x:c>
      <x:c r="AZ139" s="9" t="str">
        <x:v>0.19093315321901108</x:v>
      </x:c>
      <x:c r="BA139" s="9" t="str">
        <x:v>0.38186630643802216</x:v>
      </x:c>
      <x:c r="BB139" s="9" t="str">
        <x:v>0.8591991894855499</x:v>
      </x:c>
      <x:c r="BC139" s="9" t="str">
        <x:v>0.07159993245712916</x:v>
      </x:c>
      <x:c r="BD139" s="6" t="str">
        <x:v>0.6666666666666666</x:v>
      </x:c>
      <x:c r="BE139" s="6" t="str">
        <x:v>0.25</x:v>
      </x:c>
      <x:c r="BF139" s="9" t="str">
        <x:v>0.5727994596570333</x:v>
      </x:c>
      <x:c r="BG139" s="9" t="str">
        <x:v>0.21479979737138746</x:v>
      </x:c>
      <x:c r="BH139" s="6" t="str">
        <x:v>Against trade</x:v>
      </x:c>
      <x:c r="BI139" s="6" t="str">
        <x:v>Penetration + same-bar reclaim</x:v>
      </x:c>
      <x:c r="BJ139" s="6" t="str">
        <x:v>False</x:v>
      </x:c>
      <x:c r="BK139" s="10" t="str">
        <x:v>True</x:v>
      </x:c>
      <x:c r="BL139" s="6" t="str">
        <x:v>True</x:v>
      </x:c>
      <x:c r="BM139" s="7" t="str">
        <x:v>2024-06-17 03:40:00-05:00</x:v>
      </x:c>
      <x:c r="BN139" s="8" t="str">
        <x:v>1</x:v>
      </x:c>
      <x:c r="BO139" s="6" t="str">
        <x:v>Immediate confirmation (1 bar)</x:v>
      </x:c>
      <x:c r="BP139" s="9" t="str">
        <x:v>0.5153145017970475</x:v>
      </x:c>
      <x:c r="BQ139" s="9" t="str">
        <x:v>1.241439481601978</x:v>
      </x:c>
      <x:c r="BR139" s="10" t="str">
        <x:v>0.41509433962264153</x:v>
      </x:c>
      <x:c r="BS139" s="9" t="str">
        <x:v>0.890088684922173</x:v>
      </x:c>
      <x:c r="BT139" s="9" t="str">
        <x:v>0.5153145017970475</x:v>
      </x:c>
      <x:c r="BU139" s="9" t="str">
        <x:v>0.0</x:v>
      </x:c>
      <x:c r="BV139" s="6" t="str">
        <x:v>With trade</x:v>
      </x:c>
      <x:c r="BW139" s="7" t="str">
        <x:v>2024-06-17 03:40:00-05:00</x:v>
      </x:c>
      <x:c r="BX139" s="6" t="str">
        <x:v>19243.25</x:v>
      </x:c>
      <x:c r="BY139" s="9" t="str">
        <x:v>10.67309377248252</x:v>
      </x:c>
      <x:c r="BZ139" s="9" t="str">
        <x:v>1.0</x:v>
      </x:c>
      <x:c r="CA139" s="6" t="str">
        <x:v>19259.259640658725</x:v>
      </x:c>
      <x:c r="CB139" s="6" t="str">
        <x:v>16.009640658725402</x:v>
      </x:c>
      <x:c r="CC139" s="9" t="str">
        <x:v>1.5000000000001519</x:v>
      </x:c>
      <x:c r="CD139" s="6" t="str">
        <x:v>19211.230718682553</x:v>
      </x:c>
      <x:c r="CE139" s="6" t="str">
        <x:v>32.01928131744717</x:v>
      </x:c>
      <x:c r="CF139" s="6" t="str">
        <x:v>Fixed 2.00R target</x:v>
      </x:c>
      <x:c r="CG139" s="9" t="str">
        <x:v>0.0452852137942814</x:v>
      </x:c>
      <x:c r="CH139" s="9" t="str">
        <x:v>-0.7027015933596101</x:v>
      </x:c>
      <x:c r="CI139" s="9" t="str">
        <x:v>-0.7479868071538915</x:v>
      </x:c>
      <x:c r="CJ139" s="6" t="str">
        <x:v>Loss</x:v>
      </x:c>
      <x:c r="CK139" s="9" t="str">
        <x:v>0.4372365469792687</x:v>
      </x:c>
      <x:c r="CL139" s="9" t="str">
        <x:v>0.8432419120314468</x:v>
      </x:c>
      <x:c r="CM139" s="7" t="str">
        <x:v>2024-06-17 04:40:00-05:00</x:v>
      </x:c>
      <x:c r="CN139" s="6" t="str">
        <x:v>19254.5</x:v>
      </x:c>
      <x:c r="CO139" s="6" t="str">
        <x:v>TIME</x:v>
      </x:c>
      <x:c r="CP139" s="6" t="str">
        <x:v>F::Short::Same-bar Setup+BOS::Penetration + same-bar reclaim</x:v>
      </x:c>
    </x:row>
    <x:row r="140" ht="18" customHeight="1">
      <x:c r="A140" s="6" t="str">
        <x:v>A0139</x:v>
      </x:c>
      <x:c r="B140" s="6" t="str">
        <x:v>2024-06-17</x:v>
      </x:c>
      <x:c r="C140" s="6" t="str">
        <x:v>2024</x:v>
      </x:c>
      <x:c r="D140" s="6" t="str">
        <x:v>2024-Q2</x:v>
      </x:c>
      <x:c r="E140" s="6" t="str">
        <x:v>First 50%</x:v>
      </x:c>
      <x:c r="F140" s="6" t="str">
        <x:v>Short</x:v>
      </x:c>
      <x:c r="G140" s="6" t="str">
        <x:v>Short</x:v>
      </x:c>
      <x:c r="H140" s="6" t="str">
        <x:v>Overnight</x:v>
      </x:c>
      <x:c r="I140" s="6" t="str">
        <x:v>Overnight</x:v>
      </x:c>
      <x:c r="J140" s="6" t="str">
        <x:v>Bull</x:v>
      </x:c>
      <x:c r="K140" s="6" t="str">
        <x:v>Bull</x:v>
      </x:c>
      <x:c r="L140" s="6" t="str">
        <x:v>LOW</x:v>
      </x:c>
      <x:c r="M140" s="7" t="str">
        <x:v>2024-06-17 23:25:00-05:00</x:v>
      </x:c>
      <x:c r="N140" s="6" t="str">
        <x:v>90.0</x:v>
      </x:c>
      <x:c r="O140" s="6" t="str">
        <x:v>90-94</x:v>
      </x:c>
      <x:c r="P140" s="6" t="str">
        <x:v>Matching BOS only</x:v>
      </x:c>
      <x:c r="Q140" s="6" t="str">
        <x:v>Bear CHoCH</x:v>
      </x:c>
      <x:c r="R140" s="6" t="str">
        <x:v>True</x:v>
      </x:c>
      <x:c r="S140" s="6" t="str">
        <x:v>False</x:v>
      </x:c>
      <x:c r="T140" s="6" t="str">
        <x:v>Recent BSL</x:v>
      </x:c>
      <x:c r="U140" s="6" t="str">
        <x:v>BSL</x:v>
      </x:c>
      <x:c r="V140" s="6" t="str">
        <x:v>Swing high / buy-side</x:v>
      </x:c>
      <x:c r="W140" s="6" t="str">
        <x:v>[19458.5]</x:v>
      </x:c>
      <x:c r="X140" s="8" t="str">
        <x:v>1</x:v>
      </x:c>
      <x:c r="Y140" s="8" t="str">
        <x:v>14.0</x:v>
      </x:c>
      <x:c r="Z140" s="6" t="str">
        <x:v>None</x:v>
      </x:c>
      <x:c r="AA140" s="6" t="str">
        <x:v>19450.5</x:v>
      </x:c>
      <x:c r="AB140" s="9" t="str">
        <x:v>0.35334719133522274</x:v>
      </x:c>
      <x:c r="AC140" s="9" t="str">
        <x:v>0.647803184114575</x:v>
      </x:c>
      <x:c r="AD140" s="9" t="str">
        <x:v>0.647803184114575</x:v>
      </x:c>
      <x:c r="AE140" s="6" t="str">
        <x:v>With trade</x:v>
      </x:c>
      <x:c r="AF140" s="7" t="str">
        <x:v>2024-06-17 23:25:00-05:00</x:v>
      </x:c>
      <x:c r="AG140" s="6" t="str">
        <x:v>Short</x:v>
      </x:c>
      <x:c r="AH140" s="6" t="str">
        <x:v>19450.5</x:v>
      </x:c>
      <x:c r="AI140" s="8" t="str">
        <x:v>0</x:v>
      </x:c>
      <x:c r="AJ140" s="6" t="str">
        <x:v>True</x:v>
      </x:c>
      <x:c r="AK140" s="6" t="str">
        <x:v>Same-bar Setup+BOS</x:v>
      </x:c>
      <x:c r="AL140" s="9" t="str">
        <x:v>0.5300207870028341</x:v>
      </x:c>
      <x:c r="AM140" s="9" t="str">
        <x:v>0.35334719133522274</x:v>
      </x:c>
      <x:c r="AN140" s="9" t="str">
        <x:v>0.647803184114575</x:v>
      </x:c>
      <x:c r="AO140" s="9" t="str">
        <x:v>0.647803184114575</x:v>
      </x:c>
      <x:c r="AP140" s="10" t="str">
        <x:v>1.0</x:v>
      </x:c>
      <x:c r="AQ140" s="6" t="str">
        <x:v>0.0</x:v>
      </x:c>
      <x:c r="AR140" s="6" t="str">
        <x:v>0.0</x:v>
      </x:c>
      <x:c r="AS140" s="6" t="str">
        <x:v>With trade</x:v>
      </x:c>
      <x:c r="AT140" s="6" t="str">
        <x:v>0.9720372836218376</x:v>
      </x:c>
      <x:c r="AU140" s="7" t="str">
        <x:v>2024-06-17 23:40:00-05:00</x:v>
      </x:c>
      <x:c r="AV140" s="8" t="str">
        <x:v>3</x:v>
      </x:c>
      <x:c r="AW140" s="6" t="str">
        <x:v>Delayed retest (2+ bars)</x:v>
      </x:c>
      <x:c r="AX140" s="6" t="str">
        <x:v>19451.0</x:v>
      </x:c>
      <x:c r="AY140" s="6" t="str">
        <x:v>0.5</x:v>
      </x:c>
      <x:c r="AZ140" s="9" t="str">
        <x:v>0.11866180961280749</x:v>
      </x:c>
      <x:c r="BA140" s="9" t="str">
        <x:v>0.059330904806403746</x:v>
      </x:c>
      <x:c r="BB140" s="9" t="str">
        <x:v>0.5339781432576337</x:v>
      </x:c>
      <x:c r="BC140" s="9" t="str">
        <x:v>0.35598542883842244</x:v>
      </x:c>
      <x:c r="BD140" s="6" t="str">
        <x:v>0.3333333333333333</x:v>
      </x:c>
      <x:c r="BE140" s="6" t="str">
        <x:v>0.0</x:v>
      </x:c>
      <x:c r="BF140" s="9" t="str">
        <x:v>0.17799271441921122</x:v>
      </x:c>
      <x:c r="BG140" s="9" t="str">
        <x:v>0.0</x:v>
      </x:c>
      <x:c r="BH140" s="6" t="str">
        <x:v>Against trade</x:v>
      </x:c>
      <x:c r="BI140" s="6" t="str">
        <x:v>Penetration + same-bar reclaim</x:v>
      </x:c>
      <x:c r="BJ140" s="6" t="str">
        <x:v>False</x:v>
      </x:c>
      <x:c r="BK140" s="10" t="str">
        <x:v>True</x:v>
      </x:c>
      <x:c r="BL140" s="6" t="str">
        <x:v>True</x:v>
      </x:c>
      <x:c r="BM140" s="7" t="str">
        <x:v>2024-06-17 23:45:00-05:00</x:v>
      </x:c>
      <x:c r="BN140" s="8" t="str">
        <x:v>1</x:v>
      </x:c>
      <x:c r="BO140" s="6" t="str">
        <x:v>Immediate confirmation (1 bar)</x:v>
      </x:c>
      <x:c r="BP140" s="9" t="str">
        <x:v>0.3698646736751789</x:v>
      </x:c>
      <x:c r="BQ140" s="9" t="str">
        <x:v>0.49315289823357183</x:v>
      </x:c>
      <x:c r="BR140" s="10" t="str">
        <x:v>0.75</x:v>
      </x:c>
      <x:c r="BS140" s="9" t="str">
        <x:v>0.49315289823357183</x:v>
      </x:c>
      <x:c r="BT140" s="9" t="str">
        <x:v>0.43150878595437536</x:v>
      </x:c>
      <x:c r="BU140" s="9" t="str">
        <x:v>0.12328822455839296</x:v>
      </x:c>
      <x:c r="BV140" s="6" t="str">
        <x:v>With trade</x:v>
      </x:c>
      <x:c r="BW140" s="7" t="str">
        <x:v>2024-06-17 23:45:00-05:00</x:v>
      </x:c>
      <x:c r="BX140" s="6" t="str">
        <x:v>19448.5</x:v>
      </x:c>
      <x:c r="BY140" s="9" t="str">
        <x:v>4.055537353960233</x:v>
      </x:c>
      <x:c r="BZ140" s="9" t="str">
        <x:v>0.0</x:v>
      </x:c>
      <x:c r="CA140" s="6" t="str">
        <x:v>19454.58330603094</x:v>
      </x:c>
      <x:c r="CB140" s="6" t="str">
        <x:v>6.083306030941458</x:v>
      </x:c>
      <x:c r="CC140" s="9" t="str">
        <x:v>1.5000000000002733</x:v>
      </x:c>
      <x:c r="CD140" s="6" t="str">
        <x:v>19436.33338793812</x:v>
      </x:c>
      <x:c r="CE140" s="6" t="str">
        <x:v>12.166612061879277</x:v>
      </x:c>
      <x:c r="CF140" s="6" t="str">
        <x:v>Fixed 2.00R target</x:v>
      </x:c>
      <x:c r="CG140" s="9" t="str">
        <x:v>0.11917861707309148</x:v>
      </x:c>
      <x:c r="CH140" s="9" t="str">
        <x:v>-1.0</x:v>
      </x:c>
      <x:c r="CI140" s="9" t="str">
        <x:v>-1.1191786170730915</x:v>
      </x:c>
      <x:c r="CJ140" s="6" t="str">
        <x:v>Loss</x:v>
      </x:c>
      <x:c r="CK140" s="9" t="str">
        <x:v>0.9452097216141738</x:v>
      </x:c>
      <x:c r="CL140" s="9" t="str">
        <x:v>1.0274018713197541</x:v>
      </x:c>
      <x:c r="CM140" s="7" t="str">
        <x:v>2024-06-18 00:25:00-05:00</x:v>
      </x:c>
      <x:c r="CN140" s="6" t="str">
        <x:v>19454.58330603094</x:v>
      </x:c>
      <x:c r="CO140" s="6" t="str">
        <x:v>STOP</x:v>
      </x:c>
      <x:c r="CP140" s="6" t="str">
        <x:v>F::Short::Same-bar Setup+BOS::Penetration + same-bar reclaim</x:v>
      </x:c>
    </x:row>
    <x:row r="141" ht="18" customHeight="1">
      <x:c r="A141" s="6" t="str">
        <x:v>A0140</x:v>
      </x:c>
      <x:c r="B141" s="6" t="str">
        <x:v>2024-06-18</x:v>
      </x:c>
      <x:c r="C141" s="6" t="str">
        <x:v>2024</x:v>
      </x:c>
      <x:c r="D141" s="6" t="str">
        <x:v>2024-Q2</x:v>
      </x:c>
      <x:c r="E141" s="6" t="str">
        <x:v>First 50%</x:v>
      </x:c>
      <x:c r="F141" s="6" t="str">
        <x:v>Short</x:v>
      </x:c>
      <x:c r="G141" s="6" t="str">
        <x:v>Short</x:v>
      </x:c>
      <x:c r="H141" s="6" t="str">
        <x:v>Premarket</x:v>
      </x:c>
      <x:c r="I141" s="6" t="str">
        <x:v>Premarket</x:v>
      </x:c>
      <x:c r="J141" s="6" t="str">
        <x:v>Bull</x:v>
      </x:c>
      <x:c r="K141" s="6" t="str">
        <x:v>Bull</x:v>
      </x:c>
      <x:c r="L141" s="6" t="str">
        <x:v>HIGH</x:v>
      </x:c>
      <x:c r="M141" s="7" t="str">
        <x:v>2024-06-18 07:30:00-05:00</x:v>
      </x:c>
      <x:c r="N141" s="6" t="str">
        <x:v>90.0</x:v>
      </x:c>
      <x:c r="O141" s="6" t="str">
        <x:v>90-94</x:v>
      </x:c>
      <x:c r="P141" s="6" t="str">
        <x:v>Matching liquidity sweep only</x:v>
      </x:c>
      <x:c r="Q141" s="6" t="str">
        <x:v>Recent bear structure</x:v>
      </x:c>
      <x:c r="R141" s="6" t="str">
        <x:v>False</x:v>
      </x:c>
      <x:c r="S141" s="6" t="str">
        <x:v>True</x:v>
      </x:c>
      <x:c r="T141" s="6" t="str">
        <x:v>Recent BSL</x:v>
      </x:c>
      <x:c r="U141" s="6" t="str">
        <x:v>BSL</x:v>
      </x:c>
      <x:c r="V141" s="6" t="str">
        <x:v>Swing high / buy-side</x:v>
      </x:c>
      <x:c r="W141" s="6" t="str">
        <x:v>[19531.5,19518.75,19512.75]</x:v>
      </x:c>
      <x:c r="X141" s="8" t="str">
        <x:v>3</x:v>
      </x:c>
      <x:c r="Y141" s="8" t="str">
        <x:v>0.0</x:v>
      </x:c>
      <x:c r="Z141" s="6" t="str">
        <x:v>Sweep above CRT reference</x:v>
      </x:c>
      <x:c r="AA141" s="6" t="str">
        <x:v>19478.0</x:v>
      </x:c>
      <x:c r="AB141" s="9" t="str">
        <x:v>-0.28576826240761577</x:v>
      </x:c>
      <x:c r="AC141" s="9" t="str">
        <x:v>1.5309014057550845</x:v>
      </x:c>
      <x:c r="AD141" s="9" t="str">
        <x:v>5.654129191922112</x:v>
      </x:c>
      <x:c r="AE141" s="6" t="str">
        <x:v>With trade</x:v>
      </x:c>
      <x:c r="AF141" s="7" t="str">
        <x:v>2024-06-18 07:35:00-05:00</x:v>
      </x:c>
      <x:c r="AG141" s="6" t="str">
        <x:v>Short</x:v>
      </x:c>
      <x:c r="AH141" s="6" t="str">
        <x:v>19478.0</x:v>
      </x:c>
      <x:c r="AI141" s="8" t="str">
        <x:v>1</x:v>
      </x:c>
      <x:c r="AJ141" s="6" t="str">
        <x:v>False</x:v>
      </x:c>
      <x:c r="AK141" s="6" t="str">
        <x:v>Delayed BOS</x:v>
      </x:c>
      <x:c r="AL141" s="9" t="str">
        <x:v>0.4147389290352165</x:v>
      </x:c>
      <x:c r="AM141" s="9" t="str">
        <x:v>0.13824630967840548</x:v>
      </x:c>
      <x:c r="AN141" s="9" t="str">
        <x:v>0.4739873474688188</x:v>
      </x:c>
      <x:c r="AO141" s="9" t="str">
        <x:v>1.4219620424064565</x:v>
      </x:c>
      <x:c r="AP141" s="10" t="str">
        <x:v>0.3333333333333333</x:v>
      </x:c>
      <x:c r="AQ141" s="6" t="str">
        <x:v>0.2916666666666667</x:v>
      </x:c>
      <x:c r="AR141" s="6" t="str">
        <x:v>0.375</x:v>
      </x:c>
      <x:c r="AS141" s="6" t="str">
        <x:v>With trade</x:v>
      </x:c>
      <x:c r="AT141" s="6" t="str">
        <x:v>3.69727047146402</x:v>
      </x:c>
      <x:c r="AU141" s="7" t="str">
        <x:v>2024-06-18 07:40:00-05:00</x:v>
      </x:c>
      <x:c r="AV141" s="8" t="str">
        <x:v>1</x:v>
      </x:c>
      <x:c r="AW141" s="6" t="str">
        <x:v>Immediate retest (1 bar)</x:v>
      </x:c>
      <x:c r="AX141" s="6" t="str">
        <x:v>19477.0</x:v>
      </x:c>
      <x:c r="AY141" s="6" t="str">
        <x:v>0.0</x:v>
      </x:c>
      <x:c r="AZ141" s="9" t="str">
        <x:v>0.0</x:v>
      </x:c>
      <x:c r="BA141" s="9" t="str">
        <x:v>0.9265828954715751</x:v>
      </x:c>
      <x:c r="BB141" s="9" t="str">
        <x:v>1.2933552915957403</x:v>
      </x:c>
      <x:c r="BC141" s="9" t="str">
        <x:v>0.7721524128929793</x:v>
      </x:c>
      <x:c r="BD141" s="6" t="str">
        <x:v>0.05970149253731343</x:v>
      </x:c>
      <x:c r="BE141" s="6" t="str">
        <x:v>0.34328358208955223</x:v>
      </x:c>
      <x:c r="BF141" s="9" t="str">
        <x:v>0.07721524128929792</x:v>
      </x:c>
      <x:c r="BG141" s="9" t="str">
        <x:v>0.4439876374134631</x:v>
      </x:c>
      <x:c r="BH141" s="6" t="str">
        <x:v>With trade</x:v>
      </x:c>
      <x:c r="BI141" s="6" t="str">
        <x:v>Tolerance-only shallow touch</x:v>
      </x:c>
      <x:c r="BJ141" s="6" t="str">
        <x:v>True</x:v>
      </x:c>
      <x:c r="BK141" s="10" t="str">
        <x:v>False</x:v>
      </x:c>
      <x:c r="BL141" s="6" t="str">
        <x:v>True</x:v>
      </x:c>
      <x:c r="BM141" s="7" t="str">
        <x:v>2024-06-18 08:00:00-05:00</x:v>
      </x:c>
      <x:c r="BN141" s="8" t="str">
        <x:v>4</x:v>
      </x:c>
      <x:c r="BO141" s="6" t="str">
        <x:v>Delayed confirmation (2+ bars)</x:v>
      </x:c>
      <x:c r="BP141" s="9" t="str">
        <x:v>1.3740614672188172</x:v>
      </x:c>
      <x:c r="BQ141" s="9" t="str">
        <x:v>1.4901793376880128</x:v>
      </x:c>
      <x:c r="BR141" s="10" t="str">
        <x:v>0.922077922077922</x:v>
      </x:c>
      <x:c r="BS141" s="9" t="str">
        <x:v>1.4708263592764803</x:v>
      </x:c>
      <x:c r="BT141" s="9" t="str">
        <x:v>0.5418833955229138</x:v>
      </x:c>
      <x:c r="BU141" s="9" t="str">
        <x:v>0.03870595682306527</x:v>
      </x:c>
      <x:c r="BV141" s="6" t="str">
        <x:v>With trade</x:v>
      </x:c>
      <x:c r="BW141" s="7" t="str">
        <x:v>2024-06-18 08:00:00-05:00</x:v>
      </x:c>
      <x:c r="BX141" s="6" t="str">
        <x:v>19459.0</x:v>
      </x:c>
      <x:c r="BY141" s="9" t="str">
        <x:v>12.917908276641413</x:v>
      </x:c>
      <x:c r="BZ141" s="9" t="str">
        <x:v>0.97</x:v>
      </x:c>
      <x:c r="CA141" s="6" t="str">
        <x:v>19478.376862414963</x:v>
      </x:c>
      <x:c r="CB141" s="6" t="str">
        <x:v>19.376862414963398</x:v>
      </x:c>
      <x:c r="CC141" s="9" t="str">
        <x:v>1.500000000000099</x:v>
      </x:c>
      <x:c r="CD141" s="6" t="str">
        <x:v>19420.246275170077</x:v>
      </x:c>
      <x:c r="CE141" s="6" t="str">
        <x:v>38.75372482992316</x:v>
      </x:c>
      <x:c r="CF141" s="6" t="str">
        <x:v>Fixed 2.00R target</x:v>
      </x:c>
      <x:c r="CG141" s="9" t="str">
        <x:v>0.03741575826229396</x:v>
      </x:c>
      <x:c r="CH141" s="9" t="str">
        <x:v>-1.0</x:v>
      </x:c>
      <x:c r="CI141" s="9" t="str">
        <x:v>-1.037415758262294</x:v>
      </x:c>
      <x:c r="CJ141" s="6" t="str">
        <x:v>Loss</x:v>
      </x:c>
      <x:c r="CK141" s="9" t="str">
        <x:v>0.42576552505368986</x:v>
      </x:c>
      <x:c r="CL141" s="9" t="str">
        <x:v>1.0063548773996305</x:v>
      </x:c>
      <x:c r="CM141" s="7" t="str">
        <x:v>2024-06-18 08:25:00-05:00</x:v>
      </x:c>
      <x:c r="CN141" s="6" t="str">
        <x:v>19478.376862414963</x:v>
      </x:c>
      <x:c r="CO141" s="6" t="str">
        <x:v>STOP</x:v>
      </x:c>
      <x:c r="CP141" s="6" t="str">
        <x:v>F::Short::Delayed BOS::Tolerance-only shallow touch</x:v>
      </x:c>
    </x:row>
    <x:row r="142" ht="18" customHeight="1">
      <x:c r="A142" s="6" t="str">
        <x:v>A0141</x:v>
      </x:c>
      <x:c r="B142" s="6" t="str">
        <x:v>2024-06-18</x:v>
      </x:c>
      <x:c r="C142" s="6" t="str">
        <x:v>2024</x:v>
      </x:c>
      <x:c r="D142" s="6" t="str">
        <x:v>2024-Q2</x:v>
      </x:c>
      <x:c r="E142" s="6" t="str">
        <x:v>First 50%</x:v>
      </x:c>
      <x:c r="F142" s="6" t="str">
        <x:v>Long</x:v>
      </x:c>
      <x:c r="G142" s="6" t="str">
        <x:v>Long</x:v>
      </x:c>
      <x:c r="H142" s="6" t="str">
        <x:v>Midday</x:v>
      </x:c>
      <x:c r="I142" s="6" t="str">
        <x:v>Morning</x:v>
      </x:c>
      <x:c r="J142" s="6" t="str">
        <x:v>Bull</x:v>
      </x:c>
      <x:c r="K142" s="6" t="str">
        <x:v>Bull</x:v>
      </x:c>
      <x:c r="L142" s="6" t="str">
        <x:v>MID</x:v>
      </x:c>
      <x:c r="M142" s="7" t="str">
        <x:v>2024-06-18 11:55:00-05:00</x:v>
      </x:c>
      <x:c r="N142" s="6" t="str">
        <x:v>75.0</x:v>
      </x:c>
      <x:c r="O142" s="6" t="str">
        <x:v>75-79</x:v>
      </x:c>
      <x:c r="P142" s="6" t="str">
        <x:v>Matching BOS only</x:v>
      </x:c>
      <x:c r="Q142" s="6" t="str">
        <x:v>Bull CHoCH</x:v>
      </x:c>
      <x:c r="R142" s="6" t="str">
        <x:v>True</x:v>
      </x:c>
      <x:c r="S142" s="6" t="str">
        <x:v>False</x:v>
      </x:c>
      <x:c r="T142" s="6" t="str">
        <x:v>No recent matching sweep</x:v>
      </x:c>
      <x:c r="U142" s="6" t="str">
        <x:v>None</x:v>
      </x:c>
      <x:c r="V142" s="6" t="str">
        <x:v>None</x:v>
      </x:c>
      <x:c r="W142" s="6" t="str">
        <x:v>[]</x:v>
      </x:c>
      <x:c r="X142" s="8" t="str">
        <x:v>0</x:v>
      </x:c>
      <x:c r="Y142" s="8" t="str"/>
      <x:c r="Z142" s="6" t="str">
        <x:v>None</x:v>
      </x:c>
      <x:c r="AA142" s="6" t="str">
        <x:v>19463.25</x:v>
      </x:c>
      <x:c r="AB142" s="9" t="str">
        <x:v>0.4515501592678524</x:v>
      </x:c>
      <x:c r="AC142" s="9" t="str">
        <x:v>0.8696521585899379</x:v>
      </x:c>
      <x:c r="AD142" s="9" t="str">
        <x:v>1.304478237884907</x:v>
      </x:c>
      <x:c r="AE142" s="6" t="str">
        <x:v>With trade</x:v>
      </x:c>
      <x:c r="AF142" s="7" t="str">
        <x:v>2024-06-18 11:55:00-05:00</x:v>
      </x:c>
      <x:c r="AG142" s="6" t="str">
        <x:v>Long</x:v>
      </x:c>
      <x:c r="AH142" s="6" t="str">
        <x:v>19463.25</x:v>
      </x:c>
      <x:c r="AI142" s="8" t="str">
        <x:v>0</x:v>
      </x:c>
      <x:c r="AJ142" s="6" t="str">
        <x:v>True</x:v>
      </x:c>
      <x:c r="AK142" s="6" t="str">
        <x:v>Same-bar Setup+BOS</x:v>
      </x:c>
      <x:c r="AL142" s="9" t="str">
        <x:v>0.8863762385628213</x:v>
      </x:c>
      <x:c r="AM142" s="9" t="str">
        <x:v>0.4515501592678524</x:v>
      </x:c>
      <x:c r="AN142" s="9" t="str">
        <x:v>0.8696521585899379</x:v>
      </x:c>
      <x:c r="AO142" s="9" t="str">
        <x:v>1.304478237884907</x:v>
      </x:c>
      <x:c r="AP142" s="10" t="str">
        <x:v>0.6666666666666666</x:v>
      </x:c>
      <x:c r="AQ142" s="6" t="str">
        <x:v>0.24358974358974358</x:v>
      </x:c>
      <x:c r="AR142" s="6" t="str">
        <x:v>0.08974358974358974</x:v>
      </x:c>
      <x:c r="AS142" s="6" t="str">
        <x:v>With trade</x:v>
      </x:c>
      <x:c r="AT142" s="6" t="str">
        <x:v>1.3654991108018248</x:v>
      </x:c>
      <x:c r="AU142" s="7" t="str">
        <x:v>2024-06-18 12:00:00-05:00</x:v>
      </x:c>
      <x:c r="AV142" s="8" t="str">
        <x:v>1</x:v>
      </x:c>
      <x:c r="AW142" s="6" t="str">
        <x:v>Immediate retest (1 bar)</x:v>
      </x:c>
      <x:c r="AX142" s="6" t="str">
        <x:v>19452.0</x:v>
      </x:c>
      <x:c r="AY142" s="6" t="str">
        <x:v>11.25</x:v>
      </x:c>
      <x:c r="AZ142" s="9" t="str">
        <x:v>0.7222101434102053</x:v>
      </x:c>
      <x:c r="BA142" s="9" t="str">
        <x:v>-0.0802455714900228</x:v>
      </x:c>
      <x:c r="BB142" s="9" t="str">
        <x:v>1.5246658583104333</x:v>
      </x:c>
      <x:c r="BC142" s="9" t="str">
        <x:v>0.46542431464213224</x:v>
      </x:c>
      <x:c r="BD142" s="6" t="str">
        <x:v>0.2736842105263158</x:v>
      </x:c>
      <x:c r="BE142" s="6" t="str">
        <x:v>0.42105263157894735</x:v>
      </x:c>
      <x:c r="BF142" s="9" t="str">
        <x:v>0.6419645719201824</x:v>
      </x:c>
      <x:c r="BG142" s="9" t="str">
        <x:v>0.41727697174811856</x:v>
      </x:c>
      <x:c r="BH142" s="6" t="str">
        <x:v>Against trade</x:v>
      </x:c>
      <x:c r="BI142" s="6" t="str">
        <x:v>Penetration without same-bar reclaim</x:v>
      </x:c>
      <x:c r="BJ142" s="6" t="str">
        <x:v>False</x:v>
      </x:c>
      <x:c r="BK142" s="10" t="str">
        <x:v>True</x:v>
      </x:c>
      <x:c r="BL142" s="6" t="str">
        <x:v>False</x:v>
      </x:c>
      <x:c r="BM142" s="7" t="str">
        <x:v>2024-06-18 12:05:00-05:00</x:v>
      </x:c>
      <x:c r="BN142" s="8" t="str">
        <x:v>1</x:v>
      </x:c>
      <x:c r="BO142" s="6" t="str">
        <x:v>Immediate confirmation (1 bar)</x:v>
      </x:c>
      <x:c r="BP142" s="9" t="str">
        <x:v>0.5354249117621157</x:v>
      </x:c>
      <x:c r="BQ142" s="9" t="str">
        <x:v>1.2440755302707982</x:v>
      </x:c>
      <x:c r="BR142" s="10" t="str">
        <x:v>0.43037974683544306</x:v>
      </x:c>
      <x:c r="BS142" s="9" t="str">
        <x:v>0.4251903711052095</x:v>
      </x:c>
      <x:c r="BT142" s="9" t="str">
        <x:v>0.5039293287172854</x:v>
      </x:c>
      <x:c r="BU142" s="9" t="str">
        <x:v>0.6771550354638521</x:v>
      </x:c>
      <x:c r="BV142" s="6" t="str">
        <x:v>With trade</x:v>
      </x:c>
      <x:c r="BW142" s="7" t="str">
        <x:v>2024-06-18 12:05:00-05:00</x:v>
      </x:c>
      <x:c r="BX142" s="6" t="str">
        <x:v>19470.0</x:v>
      </x:c>
      <x:c r="BY142" s="9" t="str">
        <x:v>15.875241912121696</x:v>
      </x:c>
      <x:c r="BZ142" s="9" t="str">
        <x:v>0.66</x:v>
      </x:c>
      <x:c r="CA142" s="6" t="str">
        <x:v>19446.187137131816</x:v>
      </x:c>
      <x:c r="CB142" s="6" t="str">
        <x:v>23.81286286818431</x:v>
      </x:c>
      <x:c r="CC142" s="9" t="str">
        <x:v>1.5000000000001112</x:v>
      </x:c>
      <x:c r="CD142" s="6" t="str">
        <x:v>19517.625725736365</x:v>
      </x:c>
      <x:c r="CE142" s="6" t="str">
        <x:v>47.625725736364984</x:v>
      </x:c>
      <x:c r="CF142" s="6" t="str">
        <x:v>Fixed 2.00R target</x:v>
      </x:c>
      <x:c r="CG142" s="9" t="str">
        <x:v>0.030445730276667065</x:v>
      </x:c>
      <x:c r="CH142" s="9" t="str">
        <x:v>-1.0</x:v>
      </x:c>
      <x:c r="CI142" s="9" t="str">
        <x:v>-1.030445730276667</x:v>
      </x:c>
      <x:c r="CJ142" s="6" t="str">
        <x:v>Loss</x:v>
      </x:c>
      <x:c r="CK142" s="9" t="str">
        <x:v>0.976363074389668</x:v>
      </x:c>
      <x:c r="CL142" s="9" t="str">
        <x:v>1.8792364550080705</x:v>
      </x:c>
      <x:c r="CM142" s="7" t="str">
        <x:v>2024-06-18 13:00:00-05:00</x:v>
      </x:c>
      <x:c r="CN142" s="6" t="str">
        <x:v>19446.187137131816</x:v>
      </x:c>
      <x:c r="CO142" s="6" t="str">
        <x:v>STOP</x:v>
      </x:c>
      <x:c r="CP142" s="6" t="str">
        <x:v>F::Long::Same-bar Setup+BOS::Penetration without same-bar reclaim</x:v>
      </x:c>
    </x:row>
    <x:row r="143" ht="18" customHeight="1">
      <x:c r="A143" s="6" t="str">
        <x:v>A0142</x:v>
      </x:c>
      <x:c r="B143" s="6" t="str">
        <x:v>2024-06-18</x:v>
      </x:c>
      <x:c r="C143" s="6" t="str">
        <x:v>2024</x:v>
      </x:c>
      <x:c r="D143" s="6" t="str">
        <x:v>2024-Q2</x:v>
      </x:c>
      <x:c r="E143" s="6" t="str">
        <x:v>First 50%</x:v>
      </x:c>
      <x:c r="F143" s="6" t="str">
        <x:v>Long</x:v>
      </x:c>
      <x:c r="G143" s="6" t="str">
        <x:v>Long</x:v>
      </x:c>
      <x:c r="H143" s="6" t="str">
        <x:v>After-hours</x:v>
      </x:c>
      <x:c r="I143" s="6" t="str">
        <x:v>Afternoon</x:v>
      </x:c>
      <x:c r="J143" s="6" t="str">
        <x:v>Bull</x:v>
      </x:c>
      <x:c r="K143" s="6" t="str">
        <x:v>Bull</x:v>
      </x:c>
      <x:c r="L143" s="6" t="str">
        <x:v>LOW</x:v>
      </x:c>
      <x:c r="M143" s="7" t="str">
        <x:v>2024-06-18 15:55:00-05:00</x:v>
      </x:c>
      <x:c r="N143" s="6" t="str">
        <x:v>75.0</x:v>
      </x:c>
      <x:c r="O143" s="6" t="str">
        <x:v>75-79</x:v>
      </x:c>
      <x:c r="P143" s="6" t="str">
        <x:v>Matching BOS only</x:v>
      </x:c>
      <x:c r="Q143" s="6" t="str">
        <x:v>Bull BOS</x:v>
      </x:c>
      <x:c r="R143" s="6" t="str">
        <x:v>True</x:v>
      </x:c>
      <x:c r="S143" s="6" t="str">
        <x:v>False</x:v>
      </x:c>
      <x:c r="T143" s="6" t="str">
        <x:v>No recent matching sweep</x:v>
      </x:c>
      <x:c r="U143" s="6" t="str">
        <x:v>None</x:v>
      </x:c>
      <x:c r="V143" s="6" t="str">
        <x:v>None</x:v>
      </x:c>
      <x:c r="W143" s="6" t="str">
        <x:v>[]</x:v>
      </x:c>
      <x:c r="X143" s="8" t="str">
        <x:v>0</x:v>
      </x:c>
      <x:c r="Y143" s="8" t="str"/>
      <x:c r="Z143" s="6" t="str">
        <x:v>None</x:v>
      </x:c>
      <x:c r="AA143" s="6" t="str">
        <x:v>19473.25</x:v>
      </x:c>
      <x:c r="AB143" s="9" t="str">
        <x:v>0.05437060137943345</x:v>
      </x:c>
      <x:c r="AC143" s="9" t="str">
        <x:v>0.46215011172518433</x:v>
      </x:c>
      <x:c r="AD143" s="9" t="str">
        <x:v>0.6796325172429181</x:v>
      </x:c>
      <x:c r="AE143" s="6" t="str">
        <x:v>With trade</x:v>
      </x:c>
      <x:c r="AF143" s="7" t="str">
        <x:v>2024-06-18 15:55:00-05:00</x:v>
      </x:c>
      <x:c r="AG143" s="6" t="str">
        <x:v>Long</x:v>
      </x:c>
      <x:c r="AH143" s="6" t="str">
        <x:v>19473.25</x:v>
      </x:c>
      <x:c r="AI143" s="8" t="str">
        <x:v>0</x:v>
      </x:c>
      <x:c r="AJ143" s="6" t="str">
        <x:v>True</x:v>
      </x:c>
      <x:c r="AK143" s="6" t="str">
        <x:v>Same-bar Setup+BOS</x:v>
      </x:c>
      <x:c r="AL143" s="9" t="str">
        <x:v>0.5437060137943345</x:v>
      </x:c>
      <x:c r="AM143" s="9" t="str">
        <x:v>0.05437060137943345</x:v>
      </x:c>
      <x:c r="AN143" s="9" t="str">
        <x:v>0.46215011172518433</x:v>
      </x:c>
      <x:c r="AO143" s="9" t="str">
        <x:v>0.6796325172429181</x:v>
      </x:c>
      <x:c r="AP143" s="10" t="str">
        <x:v>0.68</x:v>
      </x:c>
      <x:c r="AQ143" s="6" t="str">
        <x:v>0.08</x:v>
      </x:c>
      <x:c r="AR143" s="6" t="str">
        <x:v>0.24</x:v>
      </x:c>
      <x:c r="AS143" s="6" t="str">
        <x:v>With trade</x:v>
      </x:c>
      <x:c r="AT143" s="6" t="str">
        <x:v>0.15111886079628015</x:v>
      </x:c>
      <x:c r="AU143" s="7" t="str">
        <x:v>2024-06-18 17:00:00-05:00</x:v>
      </x:c>
      <x:c r="AV143" s="8" t="str">
        <x:v>1</x:v>
      </x:c>
      <x:c r="AW143" s="6" t="str">
        <x:v>Immediate retest (1 bar)</x:v>
      </x:c>
      <x:c r="AX143" s="6" t="str">
        <x:v>19468.0</x:v>
      </x:c>
      <x:c r="AY143" s="6" t="str">
        <x:v>5.25</x:v>
      </x:c>
      <x:c r="AZ143" s="9" t="str">
        <x:v>0.5739949781689081</x:v>
      </x:c>
      <x:c r="BA143" s="9" t="str">
        <x:v>0.27333094198519436</x:v>
      </x:c>
      <x:c r="BB143" s="9" t="str">
        <x:v>0.9293252027496608</x:v>
      </x:c>
      <x:c r="BC143" s="9" t="str">
        <x:v>0.5739949781689081</x:v>
      </x:c>
      <x:c r="BD143" s="6" t="str">
        <x:v>0.08823529411764706</x:v>
      </x:c>
      <x:c r="BE143" s="6" t="str">
        <x:v>0.29411764705882354</x:v>
      </x:c>
      <x:c r="BF143" s="9" t="str">
        <x:v>0.27333094198519436</x:v>
      </x:c>
      <x:c r="BG143" s="9" t="str">
        <x:v>0.0819992825955583</x:v>
      </x:c>
      <x:c r="BH143" s="6" t="str">
        <x:v>With trade</x:v>
      </x:c>
      <x:c r="BI143" s="6" t="str">
        <x:v>Penetration + same-bar reclaim</x:v>
      </x:c>
      <x:c r="BJ143" s="6" t="str">
        <x:v>False</x:v>
      </x:c>
      <x:c r="BK143" s="10" t="str">
        <x:v>True</x:v>
      </x:c>
      <x:c r="BL143" s="6" t="str">
        <x:v>True</x:v>
      </x:c>
      <x:c r="BM143" s="7" t="str">
        <x:v>2024-06-18 17:05:00-05:00</x:v>
      </x:c>
      <x:c r="BN143" s="8" t="str">
        <x:v>1</x:v>
      </x:c>
      <x:c r="BO143" s="6" t="str">
        <x:v>Immediate confirmation (1 bar)</x:v>
      </x:c>
      <x:c r="BP143" s="9" t="str">
        <x:v>0.3138924409031431</x:v>
      </x:c>
      <x:c r="BQ143" s="9" t="str">
        <x:v>0.42803514668610426</x:v>
      </x:c>
      <x:c r="BR143" s="10" t="str">
        <x:v>0.7333333333333333</x:v>
      </x:c>
      <x:c r="BS143" s="9" t="str">
        <x:v>0.5707135289148056</x:v>
      </x:c>
      <x:c r="BT143" s="9" t="str">
        <x:v>0.2853567644574028</x:v>
      </x:c>
      <x:c r="BU143" s="9" t="str">
        <x:v>0.0</x:v>
      </x:c>
      <x:c r="BV143" s="6" t="str">
        <x:v>With trade</x:v>
      </x:c>
      <x:c r="BW143" s="7" t="str">
        <x:v>2024-06-18 17:05:00-05:00</x:v>
      </x:c>
      <x:c r="BX143" s="6" t="str">
        <x:v>19478.25</x:v>
      </x:c>
      <x:c r="BY143" s="9" t="str">
        <x:v>8.760962806519318</x:v>
      </x:c>
      <x:c r="BZ143" s="9" t="str">
        <x:v>0.0</x:v>
      </x:c>
      <x:c r="CA143" s="6" t="str">
        <x:v>19465.108555790222</x:v>
      </x:c>
      <x:c r="CB143" s="6" t="str">
        <x:v>13.141444209777546</x:v>
      </x:c>
      <x:c r="CC143" s="9" t="str">
        <x:v>1.4999999999998366</x:v>
      </x:c>
      <x:c r="CD143" s="6" t="str">
        <x:v>19504.53288841956</x:v>
      </x:c>
      <x:c r="CE143" s="6" t="str">
        <x:v>26.28288841955873</x:v>
      </x:c>
      <x:c r="CF143" s="6" t="str">
        <x:v>Fixed 2.00R target</x:v>
      </x:c>
      <x:c r="CG143" s="9" t="str">
        <x:v>0.055168974461770555</x:v>
      </x:c>
      <x:c r="CH143" s="9" t="str">
        <x:v>0.8750940776693686</x:v>
      </x:c>
      <x:c r="CI143" s="9" t="str">
        <x:v>0.819925103207598</x:v>
      </x:c>
      <x:c r="CJ143" s="6" t="str">
        <x:v>Win</x:v>
      </x:c>
      <x:c r="CK143" s="9" t="str">
        <x:v>1.3316649008013584</x:v>
      </x:c>
      <x:c r="CL143" s="9" t="str">
        <x:v>0.0</x:v>
      </x:c>
      <x:c r="CM143" s="7" t="str">
        <x:v>2024-06-18 18:05:00-05:00</x:v>
      </x:c>
      <x:c r="CN143" s="6" t="str">
        <x:v>19489.75</x:v>
      </x:c>
      <x:c r="CO143" s="6" t="str">
        <x:v>TIME</x:v>
      </x:c>
      <x:c r="CP143" s="6" t="str">
        <x:v>F::Long::Same-bar Setup+BOS::Penetration + same-bar reclaim</x:v>
      </x:c>
    </x:row>
    <x:row r="144" ht="18" customHeight="1">
      <x:c r="A144" s="6" t="str">
        <x:v>A0143</x:v>
      </x:c>
      <x:c r="B144" s="6" t="str">
        <x:v>2024-06-18</x:v>
      </x:c>
      <x:c r="C144" s="6" t="str">
        <x:v>2024</x:v>
      </x:c>
      <x:c r="D144" s="6" t="str">
        <x:v>2024-Q2</x:v>
      </x:c>
      <x:c r="E144" s="6" t="str">
        <x:v>First 50%</x:v>
      </x:c>
      <x:c r="F144" s="6" t="str">
        <x:v>Short</x:v>
      </x:c>
      <x:c r="G144" s="6" t="str">
        <x:v>Short</x:v>
      </x:c>
      <x:c r="H144" s="6" t="str">
        <x:v>Overnight</x:v>
      </x:c>
      <x:c r="I144" s="6" t="str">
        <x:v>Overnight</x:v>
      </x:c>
      <x:c r="J144" s="6" t="str">
        <x:v>Bull</x:v>
      </x:c>
      <x:c r="K144" s="6" t="str">
        <x:v>Bull</x:v>
      </x:c>
      <x:c r="L144" s="6" t="str">
        <x:v>LOW</x:v>
      </x:c>
      <x:c r="M144" s="7" t="str">
        <x:v>2024-06-18 23:40:00-05:00</x:v>
      </x:c>
      <x:c r="N144" s="6" t="str">
        <x:v>75.0</x:v>
      </x:c>
      <x:c r="O144" s="6" t="str">
        <x:v>75-79</x:v>
      </x:c>
      <x:c r="P144" s="6" t="str">
        <x:v>Matching BOS only</x:v>
      </x:c>
      <x:c r="Q144" s="6" t="str">
        <x:v>Bear BOS</x:v>
      </x:c>
      <x:c r="R144" s="6" t="str">
        <x:v>True</x:v>
      </x:c>
      <x:c r="S144" s="6" t="str">
        <x:v>False</x:v>
      </x:c>
      <x:c r="T144" s="6" t="str">
        <x:v>Recent BSL</x:v>
      </x:c>
      <x:c r="U144" s="6" t="str">
        <x:v>BSL</x:v>
      </x:c>
      <x:c r="V144" s="6" t="str">
        <x:v>Swing high / buy-side</x:v>
      </x:c>
      <x:c r="W144" s="6" t="str">
        <x:v>[19488.5]</x:v>
      </x:c>
      <x:c r="X144" s="8" t="str">
        <x:v>1</x:v>
      </x:c>
      <x:c r="Y144" s="8" t="str">
        <x:v>18.0</x:v>
      </x:c>
      <x:c r="Z144" s="6" t="str">
        <x:v>None</x:v>
      </x:c>
      <x:c r="AA144" s="6" t="str">
        <x:v>19478.5</x:v>
      </x:c>
      <x:c r="AB144" s="9" t="str">
        <x:v>0.42495575403277186</x:v>
      </x:c>
      <x:c r="AC144" s="9" t="str">
        <x:v>0.679929206452435</x:v>
      </x:c>
      <x:c r="AD144" s="9" t="str">
        <x:v>0.8499115080655437</x:v>
      </x:c>
      <x:c r="AE144" s="6" t="str">
        <x:v>With trade</x:v>
      </x:c>
      <x:c r="AF144" s="7" t="str">
        <x:v>2024-06-18 23:40:00-05:00</x:v>
      </x:c>
      <x:c r="AG144" s="6" t="str">
        <x:v>Short</x:v>
      </x:c>
      <x:c r="AH144" s="6" t="str">
        <x:v>19478.5</x:v>
      </x:c>
      <x:c r="AI144" s="8" t="str">
        <x:v>0</x:v>
      </x:c>
      <x:c r="AJ144" s="6" t="str">
        <x:v>True</x:v>
      </x:c>
      <x:c r="AK144" s="6" t="str">
        <x:v>Same-bar Setup+BOS</x:v>
      </x:c>
      <x:c r="AL144" s="9" t="str">
        <x:v>0.7649203572589893</x:v>
      </x:c>
      <x:c r="AM144" s="9" t="str">
        <x:v>0.42495575403277186</x:v>
      </x:c>
      <x:c r="AN144" s="9" t="str">
        <x:v>0.679929206452435</x:v>
      </x:c>
      <x:c r="AO144" s="9" t="str">
        <x:v>0.8499115080655437</x:v>
      </x:c>
      <x:c r="AP144" s="10" t="str">
        <x:v>0.8</x:v>
      </x:c>
      <x:c r="AQ144" s="6" t="str">
        <x:v>0.0</x:v>
      </x:c>
      <x:c r="AR144" s="6" t="str">
        <x:v>0.2</x:v>
      </x:c>
      <x:c r="AS144" s="6" t="str">
        <x:v>With trade</x:v>
      </x:c>
      <x:c r="AT144" s="6" t="str">
        <x:v>1.1213935764833969</x:v>
      </x:c>
      <x:c r="AU144" s="7" t="str">
        <x:v>2024-06-18 23:45:00-05:00</x:v>
      </x:c>
      <x:c r="AV144" s="8" t="str">
        <x:v>1</x:v>
      </x:c>
      <x:c r="AW144" s="6" t="str">
        <x:v>Immediate retest (1 bar)</x:v>
      </x:c>
      <x:c r="AX144" s="6" t="str">
        <x:v>19478.5</x:v>
      </x:c>
      <x:c r="AY144" s="6" t="str">
        <x:v>0.0</x:v>
      </x:c>
      <x:c r="AZ144" s="9" t="str">
        <x:v>0.0</x:v>
      </x:c>
      <x:c r="BA144" s="9" t="str">
        <x:v>0.17504693385456274</x:v>
      </x:c>
      <x:c r="BB144" s="9" t="str">
        <x:v>0.6126642684909697</x:v>
      </x:c>
      <x:c r="BC144" s="9" t="str">
        <x:v>0.2625704007818441</x:v>
      </x:c>
      <x:c r="BD144" s="6" t="str">
        <x:v>0.2857142857142857</x:v>
      </x:c>
      <x:c r="BE144" s="6" t="str">
        <x:v>0.2857142857142857</x:v>
      </x:c>
      <x:c r="BF144" s="9" t="str">
        <x:v>0.17504693385456274</x:v>
      </x:c>
      <x:c r="BG144" s="9" t="str">
        <x:v>0.17504693385456274</x:v>
      </x:c>
      <x:c r="BH144" s="6" t="str">
        <x:v>Against trade</x:v>
      </x:c>
      <x:c r="BI144" s="6" t="str">
        <x:v>Exact BOS touch</x:v>
      </x:c>
      <x:c r="BJ144" s="6" t="str">
        <x:v>True</x:v>
      </x:c>
      <x:c r="BK144" s="10" t="str">
        <x:v>False</x:v>
      </x:c>
      <x:c r="BL144" s="6" t="str">
        <x:v>True</x:v>
      </x:c>
      <x:c r="BM144" s="7" t="str">
        <x:v>2024-06-18 23:50:00-05:00</x:v>
      </x:c>
      <x:c r="BN144" s="8" t="str">
        <x:v>1</x:v>
      </x:c>
      <x:c r="BO144" s="6" t="str">
        <x:v>Immediate confirmation (1 bar)</x:v>
      </x:c>
      <x:c r="BP144" s="9" t="str">
        <x:v>0.4387845599807142</x:v>
      </x:c>
      <x:c r="BQ144" s="9" t="str">
        <x:v>0.9653260319575712</x:v>
      </x:c>
      <x:c r="BR144" s="10" t="str">
        <x:v>0.45454545454545453</x:v>
      </x:c>
      <x:c r="BS144" s="9" t="str">
        <x:v>0.7020552959691427</x:v>
      </x:c>
      <x:c r="BT144" s="9" t="str">
        <x:v>0.526541471976857</x:v>
      </x:c>
      <x:c r="BU144" s="9" t="str">
        <x:v>0.4387845599807142</x:v>
      </x:c>
      <x:c r="BV144" s="6" t="str">
        <x:v>With trade</x:v>
      </x:c>
      <x:c r="BW144" s="7" t="str">
        <x:v>2024-06-18 23:50:00-05:00</x:v>
      </x:c>
      <x:c r="BX144" s="6" t="str">
        <x:v>19476.5</x:v>
      </x:c>
      <x:c r="BY144" s="9" t="str">
        <x:v>2.8487784530406928</x:v>
      </x:c>
      <x:c r="BZ144" s="9" t="str">
        <x:v>0.0</x:v>
      </x:c>
      <x:c r="CA144" s="6" t="str">
        <x:v>19480.77316767956</x:v>
      </x:c>
      <x:c r="CB144" s="6" t="str">
        <x:v>4.273167679559265</x:v>
      </x:c>
      <x:c r="CC144" s="9" t="str">
        <x:v>1.4999999999993772</x:v>
      </x:c>
      <x:c r="CD144" s="6" t="str">
        <x:v>19467.953664640878</x:v>
      </x:c>
      <x:c r="CE144" s="6" t="str">
        <x:v>8.546335359122168</x:v>
      </x:c>
      <x:c r="CF144" s="6" t="str">
        <x:v>Fixed 2.00R target</x:v>
      </x:c>
      <x:c r="CG144" s="9" t="str">
        <x:v>0.16966336319261327</x:v>
      </x:c>
      <x:c r="CH144" s="9" t="str">
        <x:v>-1.0</x:v>
      </x:c>
      <x:c r="CI144" s="9" t="str">
        <x:v>-1.1696633631926132</x:v>
      </x:c>
      <x:c r="CJ144" s="6" t="str">
        <x:v>Loss</x:v>
      </x:c>
      <x:c r="CK144" s="9" t="str">
        <x:v>0.05850460799745285</x:v>
      </x:c>
      <x:c r="CL144" s="9" t="str">
        <x:v>1.170092159949057</x:v>
      </x:c>
      <x:c r="CM144" s="7" t="str">
        <x:v>2024-06-19 00:00:00-05:00</x:v>
      </x:c>
      <x:c r="CN144" s="6" t="str">
        <x:v>19480.77316767956</x:v>
      </x:c>
      <x:c r="CO144" s="6" t="str">
        <x:v>STOP</x:v>
      </x:c>
      <x:c r="CP144" s="6" t="str">
        <x:v>F::Short::Same-bar Setup+BOS::Exact BOS touch</x:v>
      </x:c>
    </x:row>
    <x:row r="145" ht="18" customHeight="1">
      <x:c r="A145" s="6" t="str">
        <x:v>A0144</x:v>
      </x:c>
      <x:c r="B145" s="6" t="str">
        <x:v>2024-06-21</x:v>
      </x:c>
      <x:c r="C145" s="6" t="str">
        <x:v>2024</x:v>
      </x:c>
      <x:c r="D145" s="6" t="str">
        <x:v>2024-Q2</x:v>
      </x:c>
      <x:c r="E145" s="6" t="str">
        <x:v>First 50%</x:v>
      </x:c>
      <x:c r="F145" s="6" t="str">
        <x:v>Long</x:v>
      </x:c>
      <x:c r="G145" s="6" t="str">
        <x:v>Long</x:v>
      </x:c>
      <x:c r="H145" s="6" t="str">
        <x:v>Opening</x:v>
      </x:c>
      <x:c r="I145" s="6" t="str">
        <x:v>Opening</x:v>
      </x:c>
      <x:c r="J145" s="6" t="str">
        <x:v>Bear</x:v>
      </x:c>
      <x:c r="K145" s="6" t="str">
        <x:v>Bear</x:v>
      </x:c>
      <x:c r="L145" s="6" t="str">
        <x:v>HIGH</x:v>
      </x:c>
      <x:c r="M145" s="7" t="str">
        <x:v>2024-06-21 09:55:00-05:00</x:v>
      </x:c>
      <x:c r="N145" s="6" t="str">
        <x:v>100.0</x:v>
      </x:c>
      <x:c r="O145" s="6" t="str">
        <x:v>95+</x:v>
      </x:c>
      <x:c r="P145" s="6" t="str">
        <x:v>Matching BOS only</x:v>
      </x:c>
      <x:c r="Q145" s="6" t="str">
        <x:v>Bull CHoCH</x:v>
      </x:c>
      <x:c r="R145" s="6" t="str">
        <x:v>True</x:v>
      </x:c>
      <x:c r="S145" s="6" t="str">
        <x:v>False</x:v>
      </x:c>
      <x:c r="T145" s="6" t="str">
        <x:v>Recent SSL</x:v>
      </x:c>
      <x:c r="U145" s="6" t="str">
        <x:v>SSL</x:v>
      </x:c>
      <x:c r="V145" s="6" t="str">
        <x:v>Swing low / sell-side</x:v>
      </x:c>
      <x:c r="W145" s="6" t="str">
        <x:v>[19180.75]</x:v>
      </x:c>
      <x:c r="X145" s="8" t="str">
        <x:v>1</x:v>
      </x:c>
      <x:c r="Y145" s="8" t="str">
        <x:v>13.0</x:v>
      </x:c>
      <x:c r="Z145" s="6" t="str">
        <x:v>Sweep below CRT reference</x:v>
      </x:c>
      <x:c r="AA145" s="6" t="str">
        <x:v>19271.0</x:v>
      </x:c>
      <x:c r="AB145" s="9" t="str">
        <x:v>0.05892799996816669</x:v>
      </x:c>
      <x:c r="AC145" s="9" t="str">
        <x:v>1.2374879993315004</x:v>
      </x:c>
      <x:c r="AD145" s="9" t="str">
        <x:v>1.5152914277528577</x:v>
      </x:c>
      <x:c r="AE145" s="6" t="str">
        <x:v>With trade</x:v>
      </x:c>
      <x:c r="AF145" s="7" t="str">
        <x:v>2024-06-21 09:55:00-05:00</x:v>
      </x:c>
      <x:c r="AG145" s="6" t="str">
        <x:v>Long</x:v>
      </x:c>
      <x:c r="AH145" s="6" t="str">
        <x:v>19271.0</x:v>
      </x:c>
      <x:c r="AI145" s="8" t="str">
        <x:v>0</x:v>
      </x:c>
      <x:c r="AJ145" s="6" t="str">
        <x:v>True</x:v>
      </x:c>
      <x:c r="AK145" s="6" t="str">
        <x:v>Same-bar Setup+BOS</x:v>
      </x:c>
      <x:c r="AL145" s="9" t="str">
        <x:v>1.2374879993315004</x:v>
      </x:c>
      <x:c r="AM145" s="9" t="str">
        <x:v>0.05892799996816669</x:v>
      </x:c>
      <x:c r="AN145" s="9" t="str">
        <x:v>1.2374879993315004</x:v>
      </x:c>
      <x:c r="AO145" s="9" t="str">
        <x:v>1.5152914277528577</x:v>
      </x:c>
      <x:c r="AP145" s="10" t="str">
        <x:v>0.8166666666666667</x:v>
      </x:c>
      <x:c r="AQ145" s="6" t="str">
        <x:v>0.03888888888888889</x:v>
      </x:c>
      <x:c r="AR145" s="6" t="str">
        <x:v>0.14444444444444443</x:v>
      </x:c>
      <x:c r="AS145" s="6" t="str">
        <x:v>With trade</x:v>
      </x:c>
      <x:c r="AT145" s="6" t="str">
        <x:v>0.8109572169034002</x:v>
      </x:c>
      <x:c r="AU145" s="7" t="str">
        <x:v>2024-06-21 10:00:00-05:00</x:v>
      </x:c>
      <x:c r="AV145" s="8" t="str">
        <x:v>1</x:v>
      </x:c>
      <x:c r="AW145" s="6" t="str">
        <x:v>Immediate retest (1 bar)</x:v>
      </x:c>
      <x:c r="AX145" s="6" t="str">
        <x:v>19266.5</x:v>
      </x:c>
      <x:c r="AY145" s="6" t="str">
        <x:v>4.5</x:v>
      </x:c>
      <x:c r="AZ145" s="9" t="str">
        <x:v>0.15419847574024068</x:v>
      </x:c>
      <x:c r="BA145" s="9" t="str">
        <x:v>0.10279898382682712</x:v>
      </x:c>
      <x:c r="BB145" s="9" t="str">
        <x:v>0.7709923787012034</x:v>
      </x:c>
      <x:c r="BC145" s="9" t="str">
        <x:v>0.04283290992784464</x:v>
      </x:c>
      <x:c r="BD145" s="6" t="str">
        <x:v>0.6666666666666666</x:v>
      </x:c>
      <x:c r="BE145" s="6" t="str">
        <x:v>0.2777777777777778</x:v>
      </x:c>
      <x:c r="BF145" s="9" t="str">
        <x:v>0.21416454963922316</x:v>
      </x:c>
      <x:c r="BG145" s="9" t="str">
        <x:v>0.5139949191341356</x:v>
      </x:c>
      <x:c r="BH145" s="6" t="str">
        <x:v>With trade</x:v>
      </x:c>
      <x:c r="BI145" s="6" t="str">
        <x:v>Penetration + same-bar reclaim</x:v>
      </x:c>
      <x:c r="BJ145" s="6" t="str">
        <x:v>False</x:v>
      </x:c>
      <x:c r="BK145" s="10" t="str">
        <x:v>True</x:v>
      </x:c>
      <x:c r="BL145" s="6" t="str">
        <x:v>True</x:v>
      </x:c>
      <x:c r="BM145" s="7" t="str">
        <x:v>2024-06-21 10:10:00-05:00</x:v>
      </x:c>
      <x:c r="BN145" s="8" t="str">
        <x:v>2</x:v>
      </x:c>
      <x:c r="BO145" s="6" t="str">
        <x:v>Delayed confirmation (2+ bars)</x:v>
      </x:c>
      <x:c r="BP145" s="9" t="str">
        <x:v>0.15560043801713702</x:v>
      </x:c>
      <x:c r="BQ145" s="9" t="str">
        <x:v>0.6773195537216553</x:v>
      </x:c>
      <x:c r="BR145" s="10" t="str">
        <x:v>0.22972972972972974</x:v>
      </x:c>
      <x:c r="BS145" s="9" t="str">
        <x:v>0.10068263636402984</x:v>
      </x:c>
      <x:c r="BT145" s="9" t="str">
        <x:v>-0.00915296694218453</x:v>
      </x:c>
      <x:c r="BU145" s="9" t="str">
        <x:v>0.21967120661242873</x:v>
      </x:c>
      <x:c r="BV145" s="6" t="str">
        <x:v>With trade</x:v>
      </x:c>
      <x:c r="BW145" s="7" t="str">
        <x:v>2024-06-21 10:10:00-05:00</x:v>
      </x:c>
      <x:c r="BX145" s="6" t="str">
        <x:v>19273.75</x:v>
      </x:c>
      <x:c r="BY145" s="9" t="str">
        <x:v>27.313547790475546</x:v>
      </x:c>
      <x:c r="BZ145" s="9" t="str">
        <x:v>0.92</x:v>
      </x:c>
      <x:c r="CA145" s="6" t="str">
        <x:v>19232.779678314288</x:v>
      </x:c>
      <x:c r="CB145" s="6" t="str">
        <x:v>40.970321685712406</x:v>
      </x:c>
      <x:c r="CC145" s="9" t="str">
        <x:v>1.4999999999999665</x:v>
      </x:c>
      <x:c r="CD145" s="6" t="str">
        <x:v>19355.690643371425</x:v>
      </x:c>
      <x:c r="CE145" s="6" t="str">
        <x:v>81.94064337142481</x:v>
      </x:c>
      <x:c r="CF145" s="6" t="str">
        <x:v>Fixed 2.00R target</x:v>
      </x:c>
      <x:c r="CG145" s="9" t="str">
        <x:v>0.01769573608822382</x:v>
      </x:c>
      <x:c r="CH145" s="9" t="str">
        <x:v>0.7993591129507824</x:v>
      </x:c>
      <x:c r="CI145" s="9" t="str">
        <x:v>0.7816633768625586</x:v>
      </x:c>
      <x:c r="CJ145" s="6" t="str">
        <x:v>Win</x:v>
      </x:c>
      <x:c r="CK145" s="9" t="str">
        <x:v>1.5010865785182965</x:v>
      </x:c>
      <x:c r="CL145" s="9" t="str">
        <x:v>0.872582848488278</x:v>
      </x:c>
      <x:c r="CM145" s="7" t="str">
        <x:v>2024-06-21 11:10:00-05:00</x:v>
      </x:c>
      <x:c r="CN145" s="6" t="str">
        <x:v>19306.5</x:v>
      </x:c>
      <x:c r="CO145" s="6" t="str">
        <x:v>TIME</x:v>
      </x:c>
      <x:c r="CP145" s="6" t="str">
        <x:v>F::Long::Same-bar Setup+BOS::Penetration + same-bar reclaim</x:v>
      </x:c>
    </x:row>
    <x:row r="146" ht="18" customHeight="1">
      <x:c r="A146" s="6" t="str">
        <x:v>A0145</x:v>
      </x:c>
      <x:c r="B146" s="6" t="str">
        <x:v>2024-06-21</x:v>
      </x:c>
      <x:c r="C146" s="6" t="str">
        <x:v>2024</x:v>
      </x:c>
      <x:c r="D146" s="6" t="str">
        <x:v>2024-Q2</x:v>
      </x:c>
      <x:c r="E146" s="6" t="str">
        <x:v>First 50%</x:v>
      </x:c>
      <x:c r="F146" s="6" t="str">
        <x:v>Short</x:v>
      </x:c>
      <x:c r="G146" s="6" t="str">
        <x:v>Short</x:v>
      </x:c>
      <x:c r="H146" s="6" t="str">
        <x:v>Midday</x:v>
      </x:c>
      <x:c r="I146" s="6" t="str">
        <x:v>Midday</x:v>
      </x:c>
      <x:c r="J146" s="6" t="str">
        <x:v>Bear</x:v>
      </x:c>
      <x:c r="K146" s="6" t="str">
        <x:v>Bear</x:v>
      </x:c>
      <x:c r="L146" s="6" t="str">
        <x:v>MID</x:v>
      </x:c>
      <x:c r="M146" s="7" t="str">
        <x:v>2024-06-21 12:15:00-05:00</x:v>
      </x:c>
      <x:c r="N146" s="6" t="str">
        <x:v>75.0</x:v>
      </x:c>
      <x:c r="O146" s="6" t="str">
        <x:v>75-79</x:v>
      </x:c>
      <x:c r="P146" s="6" t="str">
        <x:v>Matching BOS only</x:v>
      </x:c>
      <x:c r="Q146" s="6" t="str">
        <x:v>Bear CHoCH</x:v>
      </x:c>
      <x:c r="R146" s="6" t="str">
        <x:v>True</x:v>
      </x:c>
      <x:c r="S146" s="6" t="str">
        <x:v>False</x:v>
      </x:c>
      <x:c r="T146" s="6" t="str">
        <x:v>No recent matching sweep</x:v>
      </x:c>
      <x:c r="U146" s="6" t="str">
        <x:v>None</x:v>
      </x:c>
      <x:c r="V146" s="6" t="str">
        <x:v>None</x:v>
      </x:c>
      <x:c r="W146" s="6" t="str">
        <x:v>[]</x:v>
      </x:c>
      <x:c r="X146" s="8" t="str">
        <x:v>0</x:v>
      </x:c>
      <x:c r="Y146" s="8" t="str"/>
      <x:c r="Z146" s="6" t="str">
        <x:v>None</x:v>
      </x:c>
      <x:c r="AA146" s="6" t="str">
        <x:v>19238.0</x:v>
      </x:c>
      <x:c r="AB146" s="9" t="str">
        <x:v>0.09908232405105011</x:v>
      </x:c>
      <x:c r="AC146" s="9" t="str">
        <x:v>1.1339421530286846</x:v>
      </x:c>
      <x:c r="AD146" s="9" t="str">
        <x:v>1.5192623021161016</x:v>
      </x:c>
      <x:c r="AE146" s="6" t="str">
        <x:v>With trade</x:v>
      </x:c>
      <x:c r="AF146" s="7" t="str">
        <x:v>2024-06-21 12:15:00-05:00</x:v>
      </x:c>
      <x:c r="AG146" s="6" t="str">
        <x:v>Short</x:v>
      </x:c>
      <x:c r="AH146" s="6" t="str">
        <x:v>19238.0</x:v>
      </x:c>
      <x:c r="AI146" s="8" t="str">
        <x:v>0</x:v>
      </x:c>
      <x:c r="AJ146" s="6" t="str">
        <x:v>True</x:v>
      </x:c>
      <x:c r="AK146" s="6" t="str">
        <x:v>Same-bar Setup+BOS</x:v>
      </x:c>
      <x:c r="AL146" s="9" t="str">
        <x:v>1.1449513001454679</x:v>
      </x:c>
      <x:c r="AM146" s="9" t="str">
        <x:v>0.09908232405105011</x:v>
      </x:c>
      <x:c r="AN146" s="9" t="str">
        <x:v>1.1339421530286846</x:v>
      </x:c>
      <x:c r="AO146" s="9" t="str">
        <x:v>1.5192623021161016</x:v>
      </x:c>
      <x:c r="AP146" s="10" t="str">
        <x:v>0.7463768115942029</x:v>
      </x:c>
      <x:c r="AQ146" s="6" t="str">
        <x:v>0.2246376811594203</x:v>
      </x:c>
      <x:c r="AR146" s="6" t="str">
        <x:v>0.028985507246376812</x:v>
      </x:c>
      <x:c r="AS146" s="6" t="str">
        <x:v>With trade</x:v>
      </x:c>
      <x:c r="AT146" s="6" t="str">
        <x:v>1.0317376523006103</x:v>
      </x:c>
      <x:c r="AU146" s="7" t="str">
        <x:v>2024-06-21 12:20:00-05:00</x:v>
      </x:c>
      <x:c r="AV146" s="8" t="str">
        <x:v>1</x:v>
      </x:c>
      <x:c r="AW146" s="6" t="str">
        <x:v>Immediate retest (1 bar)</x:v>
      </x:c>
      <x:c r="AX146" s="6" t="str">
        <x:v>19246.25</x:v>
      </x:c>
      <x:c r="AY146" s="6" t="str">
        <x:v>8.25</x:v>
      </x:c>
      <x:c r="AZ146" s="9" t="str">
        <x:v>0.3649761174900948</x:v>
      </x:c>
      <x:c r="BA146" s="9" t="str">
        <x:v>0.5529941174092345</x:v>
      </x:c>
      <x:c r="BB146" s="9" t="str">
        <x:v>0.9400899995956987</x:v>
      </x:c>
      <x:c r="BC146" s="9" t="str">
        <x:v>0.464515058623757</x:v>
      </x:c>
      <x:c r="BD146" s="6" t="str">
        <x:v>0.4823529411764706</x:v>
      </x:c>
      <x:c r="BE146" s="6" t="str">
        <x:v>0.023529411764705882</x:v>
      </x:c>
      <x:c r="BF146" s="9" t="str">
        <x:v>0.45345517627557236</x:v>
      </x:c>
      <x:c r="BG146" s="9" t="str">
        <x:v>0.022119764696369382</x:v>
      </x:c>
      <x:c r="BH146" s="6" t="str">
        <x:v>With trade</x:v>
      </x:c>
      <x:c r="BI146" s="6" t="str">
        <x:v>Penetration + same-bar reclaim</x:v>
      </x:c>
      <x:c r="BJ146" s="6" t="str">
        <x:v>False</x:v>
      </x:c>
      <x:c r="BK146" s="10" t="str">
        <x:v>True</x:v>
      </x:c>
      <x:c r="BL146" s="6" t="str">
        <x:v>True</x:v>
      </x:c>
      <x:c r="BM146" s="7" t="str">
        <x:v>2024-06-21 12:30:00-05:00</x:v>
      </x:c>
      <x:c r="BN146" s="8" t="str">
        <x:v>2</x:v>
      </x:c>
      <x:c r="BO146" s="6" t="str">
        <x:v>Delayed confirmation (2+ bars)</x:v>
      </x:c>
      <x:c r="BP146" s="9" t="str">
        <x:v>0.4245458676952116</x:v>
      </x:c>
      <x:c r="BQ146" s="9" t="str">
        <x:v>0.8826085144189925</x:v>
      </x:c>
      <x:c r="BR146" s="10" t="str">
        <x:v>0.4810126582278481</x:v>
      </x:c>
      <x:c r="BS146" s="9" t="str">
        <x:v>0.5139239451047298</x:v>
      </x:c>
      <x:c r="BT146" s="9" t="str">
        <x:v>-0.04468903870475911</x:v>
      </x:c>
      <x:c r="BU146" s="9" t="str">
        <x:v>0.18992841449522624</x:v>
      </x:c>
      <x:c r="BV146" s="6" t="str">
        <x:v>With trade</x:v>
      </x:c>
      <x:c r="BW146" s="7" t="str">
        <x:v>2024-06-21 12:30:00-05:00</x:v>
      </x:c>
      <x:c r="BX146" s="6" t="str">
        <x:v>19226.5</x:v>
      </x:c>
      <x:c r="BY146" s="9" t="str">
        <x:v>22.37685188546036</x:v>
      </x:c>
      <x:c r="BZ146" s="9" t="str">
        <x:v>0.57</x:v>
      </x:c>
      <x:c r="CA146" s="6" t="str">
        <x:v>19260.06527782819</x:v>
      </x:c>
      <x:c r="CB146" s="6" t="str">
        <x:v>33.56527782819103</x:v>
      </x:c>
      <x:c r="CC146" s="9" t="str">
        <x:v>1.5000000000000218</x:v>
      </x:c>
      <x:c r="CD146" s="6" t="str">
        <x:v>19159.369444343618</x:v>
      </x:c>
      <x:c r="CE146" s="6" t="str">
        <x:v>67.13055565638206</x:v>
      </x:c>
      <x:c r="CF146" s="6" t="str">
        <x:v>Fixed 2.00R target</x:v>
      </x:c>
      <x:c r="CG146" s="9" t="str">
        <x:v>0.02159970204063326</x:v>
      </x:c>
      <x:c r="CH146" s="9" t="str">
        <x:v>-1.0</x:v>
      </x:c>
      <x:c r="CI146" s="9" t="str">
        <x:v>-1.0215997020406333</x:v>
      </x:c>
      <x:c r="CJ146" s="6" t="str">
        <x:v>Loss</x:v>
      </x:c>
      <x:c r="CK146" s="9" t="str">
        <x:v>0.4915794257523431</x:v>
      </x:c>
      <x:c r="CL146" s="9" t="str">
        <x:v>1.1470186600888006</x:v>
      </x:c>
      <x:c r="CM146" s="7" t="str">
        <x:v>2024-06-21 13:25:00-05:00</x:v>
      </x:c>
      <x:c r="CN146" s="6" t="str">
        <x:v>19260.06527782819</x:v>
      </x:c>
      <x:c r="CO146" s="6" t="str">
        <x:v>STOP</x:v>
      </x:c>
      <x:c r="CP146" s="6" t="str">
        <x:v>F::Short::Same-bar Setup+BOS::Penetration + same-bar reclaim</x:v>
      </x:c>
    </x:row>
    <x:row r="147" ht="18" customHeight="1">
      <x:c r="A147" s="6" t="str">
        <x:v>A0146</x:v>
      </x:c>
      <x:c r="B147" s="6" t="str">
        <x:v>2024-06-24</x:v>
      </x:c>
      <x:c r="C147" s="6" t="str">
        <x:v>2024</x:v>
      </x:c>
      <x:c r="D147" s="6" t="str">
        <x:v>2024-Q2</x:v>
      </x:c>
      <x:c r="E147" s="6" t="str">
        <x:v>First 50%</x:v>
      </x:c>
      <x:c r="F147" s="6" t="str">
        <x:v>Short</x:v>
      </x:c>
      <x:c r="G147" s="6" t="str">
        <x:v>Short</x:v>
      </x:c>
      <x:c r="H147" s="6" t="str">
        <x:v>Afternoon</x:v>
      </x:c>
      <x:c r="I147" s="6" t="str">
        <x:v>Afternoon</x:v>
      </x:c>
      <x:c r="J147" s="6" t="str">
        <x:v>Bear</x:v>
      </x:c>
      <x:c r="K147" s="6" t="str">
        <x:v>Bear</x:v>
      </x:c>
      <x:c r="L147" s="6" t="str">
        <x:v>LOW</x:v>
      </x:c>
      <x:c r="M147" s="7" t="str">
        <x:v>2024-06-24 14:55:00-05:00</x:v>
      </x:c>
      <x:c r="N147" s="6" t="str">
        <x:v>75.0</x:v>
      </x:c>
      <x:c r="O147" s="6" t="str">
        <x:v>75-79</x:v>
      </x:c>
      <x:c r="P147" s="6" t="str">
        <x:v>Matching BOS only</x:v>
      </x:c>
      <x:c r="Q147" s="6" t="str">
        <x:v>Bear BOS</x:v>
      </x:c>
      <x:c r="R147" s="6" t="str">
        <x:v>True</x:v>
      </x:c>
      <x:c r="S147" s="6" t="str">
        <x:v>False</x:v>
      </x:c>
      <x:c r="T147" s="6" t="str">
        <x:v>No recent matching sweep</x:v>
      </x:c>
      <x:c r="U147" s="6" t="str">
        <x:v>None</x:v>
      </x:c>
      <x:c r="V147" s="6" t="str">
        <x:v>None</x:v>
      </x:c>
      <x:c r="W147" s="6" t="str">
        <x:v>[]</x:v>
      </x:c>
      <x:c r="X147" s="8" t="str">
        <x:v>0</x:v>
      </x:c>
      <x:c r="Y147" s="8" t="str"/>
      <x:c r="Z147" s="6" t="str">
        <x:v>None</x:v>
      </x:c>
      <x:c r="AA147" s="6" t="str">
        <x:v>19029.75</x:v>
      </x:c>
      <x:c r="AB147" s="9" t="str">
        <x:v>0.9220624012207996</x:v>
      </x:c>
      <x:c r="AC147" s="9" t="str">
        <x:v>1.362603326248515</x:v>
      </x:c>
      <x:c r="AD147" s="9" t="str">
        <x:v>1.5777512198667016</x:v>
      </x:c>
      <x:c r="AE147" s="6" t="str">
        <x:v>With trade</x:v>
      </x:c>
      <x:c r="AF147" s="7" t="str">
        <x:v>2024-06-24 14:55:00-05:00</x:v>
      </x:c>
      <x:c r="AG147" s="6" t="str">
        <x:v>Short</x:v>
      </x:c>
      <x:c r="AH147" s="6" t="str">
        <x:v>19029.75</x:v>
      </x:c>
      <x:c r="AI147" s="8" t="str">
        <x:v>0</x:v>
      </x:c>
      <x:c r="AJ147" s="6" t="str">
        <x:v>True</x:v>
      </x:c>
      <x:c r="AK147" s="6" t="str">
        <x:v>Same-bar Setup+BOS</x:v>
      </x:c>
      <x:c r="AL147" s="9" t="str">
        <x:v>1.3421130506658305</x:v>
      </x:c>
      <x:c r="AM147" s="9" t="str">
        <x:v>0.9220624012207996</x:v>
      </x:c>
      <x:c r="AN147" s="9" t="str">
        <x:v>1.362603326248515</x:v>
      </x:c>
      <x:c r="AO147" s="9" t="str">
        <x:v>1.5777512198667016</x:v>
      </x:c>
      <x:c r="AP147" s="10" t="str">
        <x:v>0.8636363636363636</x:v>
      </x:c>
      <x:c r="AQ147" s="6" t="str">
        <x:v>0.025974025974025976</x:v>
      </x:c>
      <x:c r="AR147" s="6" t="str">
        <x:v>0.11038961038961038</x:v>
      </x:c>
      <x:c r="AS147" s="6" t="str">
        <x:v>With trade</x:v>
      </x:c>
      <x:c r="AT147" s="6" t="str">
        <x:v>4.551156258417023</x:v>
      </x:c>
      <x:c r="AU147" s="7" t="str">
        <x:v>2024-06-24 15:05:00-05:00</x:v>
      </x:c>
      <x:c r="AV147" s="8" t="str">
        <x:v>2</x:v>
      </x:c>
      <x:c r="AW147" s="6" t="str">
        <x:v>Delayed retest (2+ bars)</x:v>
      </x:c>
      <x:c r="AX147" s="6" t="str">
        <x:v>19028.0</x:v>
      </x:c>
      <x:c r="AY147" s="6" t="str">
        <x:v>0.0</x:v>
      </x:c>
      <x:c r="AZ147" s="9" t="str">
        <x:v>0.0</x:v>
      </x:c>
      <x:c r="BA147" s="9" t="str">
        <x:v>0.2238066569168067</x:v>
      </x:c>
      <x:c r="BB147" s="9" t="str">
        <x:v>1.0783411651446142</x:v>
      </x:c>
      <x:c r="BC147" s="9" t="str">
        <x:v>0.8443614783679526</x:v>
      </x:c>
      <x:c r="BD147" s="6" t="str">
        <x:v>0.14150943396226415</x:v>
      </x:c>
      <x:c r="BE147" s="6" t="str">
        <x:v>0.07547169811320754</x:v>
      </x:c>
      <x:c r="BF147" s="9" t="str">
        <x:v>0.15259544789782276</x:v>
      </x:c>
      <x:c r="BG147" s="9" t="str">
        <x:v>0.0813842388788388</x:v>
      </x:c>
      <x:c r="BH147" s="6" t="str">
        <x:v>Against trade</x:v>
      </x:c>
      <x:c r="BI147" s="6" t="str">
        <x:v>Tolerance-only shallow touch</x:v>
      </x:c>
      <x:c r="BJ147" s="6" t="str">
        <x:v>True</x:v>
      </x:c>
      <x:c r="BK147" s="10" t="str">
        <x:v>False</x:v>
      </x:c>
      <x:c r="BL147" s="6" t="str">
        <x:v>True</x:v>
      </x:c>
      <x:c r="BM147" s="7" t="str">
        <x:v>2024-06-24 15:15:00-05:00</x:v>
      </x:c>
      <x:c r="BN147" s="8" t="str">
        <x:v>2</x:v>
      </x:c>
      <x:c r="BO147" s="6" t="str">
        <x:v>Delayed confirmation (2+ bars)</x:v>
      </x:c>
      <x:c r="BP147" s="9" t="str">
        <x:v>0.26597980511667607</x:v>
      </x:c>
      <x:c r="BQ147" s="9" t="str">
        <x:v>0.3657222320354296</x:v>
      </x:c>
      <x:c r="BR147" s="10" t="str">
        <x:v>0.7272727272727273</x:v>
      </x:c>
      <x:c r="BS147" s="9" t="str">
        <x:v>0.4654646589541831</x:v>
      </x:c>
      <x:c r="BT147" s="9" t="str">
        <x:v>0.22164983759723006</x:v>
      </x:c>
      <x:c r="BU147" s="9" t="str">
        <x:v>0.06649495127916902</x:v>
      </x:c>
      <x:c r="BV147" s="6" t="str">
        <x:v>With trade</x:v>
      </x:c>
      <x:c r="BW147" s="7" t="str">
        <x:v>2024-06-24 15:15:00-05:00</x:v>
      </x:c>
      <x:c r="BX147" s="6" t="str">
        <x:v>19019.25</x:v>
      </x:c>
      <x:c r="BY147" s="9" t="str">
        <x:v>22.558103602519783</x:v>
      </x:c>
      <x:c r="BZ147" s="9" t="str">
        <x:v>0.3</x:v>
      </x:c>
      <x:c r="CA147" s="6" t="str">
        <x:v>19053.08715540378</x:v>
      </x:c>
      <x:c r="CB147" s="6" t="str">
        <x:v>33.83715540378034</x:v>
      </x:c>
      <x:c r="CC147" s="9" t="str">
        <x:v>1.5000000000000298</x:v>
      </x:c>
      <x:c r="CD147" s="6" t="str">
        <x:v>18951.57568919244</x:v>
      </x:c>
      <x:c r="CE147" s="6" t="str">
        <x:v>67.67431080756069</x:v>
      </x:c>
      <x:c r="CF147" s="6" t="str">
        <x:v>Fixed 2.00R target</x:v>
      </x:c>
      <x:c r="CG147" s="9" t="str">
        <x:v>0.021426150967731813</x:v>
      </x:c>
      <x:c r="CH147" s="9" t="str">
        <x:v>-0.03694163959953834</x:v>
      </x:c>
      <x:c r="CI147" s="9" t="str">
        <x:v>-0.05836779056727015</x:v>
      </x:c>
      <x:c r="CJ147" s="6" t="str">
        <x:v>Loss</x:v>
      </x:c>
      <x:c r="CK147" s="9" t="str">
        <x:v>0.6353962011120469</x:v>
      </x:c>
      <x:c r="CL147" s="9" t="str">
        <x:v>0.35463974015556105</x:v>
      </x:c>
      <x:c r="CM147" s="7" t="str">
        <x:v>2024-06-24 17:15:00-05:00</x:v>
      </x:c>
      <x:c r="CN147" s="6" t="str">
        <x:v>19020.5</x:v>
      </x:c>
      <x:c r="CO147" s="6" t="str">
        <x:v>TIME</x:v>
      </x:c>
      <x:c r="CP147" s="6" t="str">
        <x:v>F::Short::Same-bar Setup+BOS::Tolerance-only shallow touch</x:v>
      </x:c>
    </x:row>
    <x:row r="148" ht="18" customHeight="1">
      <x:c r="A148" s="6" t="str">
        <x:v>A0147</x:v>
      </x:c>
      <x:c r="B148" s="6" t="str">
        <x:v>2024-06-24</x:v>
      </x:c>
      <x:c r="C148" s="6" t="str">
        <x:v>2024</x:v>
      </x:c>
      <x:c r="D148" s="6" t="str">
        <x:v>2024-Q2</x:v>
      </x:c>
      <x:c r="E148" s="6" t="str">
        <x:v>First 50%</x:v>
      </x:c>
      <x:c r="F148" s="6" t="str">
        <x:v>Short</x:v>
      </x:c>
      <x:c r="G148" s="6" t="str">
        <x:v>Short</x:v>
      </x:c>
      <x:c r="H148" s="6" t="str">
        <x:v>Overnight</x:v>
      </x:c>
      <x:c r="I148" s="6" t="str">
        <x:v>Overnight</x:v>
      </x:c>
      <x:c r="J148" s="6" t="str">
        <x:v>Bear</x:v>
      </x:c>
      <x:c r="K148" s="6" t="str">
        <x:v>Bear</x:v>
      </x:c>
      <x:c r="L148" s="6" t="str">
        <x:v>LOW</x:v>
      </x:c>
      <x:c r="M148" s="7" t="str">
        <x:v>2024-06-24 19:55:00-05:00</x:v>
      </x:c>
      <x:c r="N148" s="6" t="str">
        <x:v>90.0</x:v>
      </x:c>
      <x:c r="O148" s="6" t="str">
        <x:v>90-94</x:v>
      </x:c>
      <x:c r="P148" s="6" t="str">
        <x:v>Matching BOS only</x:v>
      </x:c>
      <x:c r="Q148" s="6" t="str">
        <x:v>Bear CHoCH</x:v>
      </x:c>
      <x:c r="R148" s="6" t="str">
        <x:v>True</x:v>
      </x:c>
      <x:c r="S148" s="6" t="str">
        <x:v>False</x:v>
      </x:c>
      <x:c r="T148" s="6" t="str">
        <x:v>Recent BSL</x:v>
      </x:c>
      <x:c r="U148" s="6" t="str">
        <x:v>BSL</x:v>
      </x:c>
      <x:c r="V148" s="6" t="str">
        <x:v>Swing high / buy-side</x:v>
      </x:c>
      <x:c r="W148" s="6" t="str">
        <x:v>[19031.25]</x:v>
      </x:c>
      <x:c r="X148" s="8" t="str">
        <x:v>1</x:v>
      </x:c>
      <x:c r="Y148" s="8" t="str">
        <x:v>18.0</x:v>
      </x:c>
      <x:c r="Z148" s="6" t="str">
        <x:v>None</x:v>
      </x:c>
      <x:c r="AA148" s="6" t="str">
        <x:v>19021.0</x:v>
      </x:c>
      <x:c r="AB148" s="9" t="str">
        <x:v>0.949363664935794</x:v>
      </x:c>
      <x:c r="AC148" s="9" t="str">
        <x:v>1.898727329871588</x:v>
      </x:c>
      <x:c r="AD148" s="9" t="str">
        <x:v>2.4353241839657325</x:v>
      </x:c>
      <x:c r="AE148" s="6" t="str">
        <x:v>With trade</x:v>
      </x:c>
      <x:c r="AF148" s="7" t="str">
        <x:v>2024-06-24 19:55:00-05:00</x:v>
      </x:c>
      <x:c r="AG148" s="6" t="str">
        <x:v>Short</x:v>
      </x:c>
      <x:c r="AH148" s="6" t="str">
        <x:v>19021.0</x:v>
      </x:c>
      <x:c r="AI148" s="8" t="str">
        <x:v>0</x:v>
      </x:c>
      <x:c r="AJ148" s="6" t="str">
        <x:v>True</x:v>
      </x:c>
      <x:c r="AK148" s="6" t="str">
        <x:v>Same-bar Setup+BOS</x:v>
      </x:c>
      <x:c r="AL148" s="9" t="str">
        <x:v>1.940004010955753</x:v>
      </x:c>
      <x:c r="AM148" s="9" t="str">
        <x:v>0.949363664935794</x:v>
      </x:c>
      <x:c r="AN148" s="9" t="str">
        <x:v>1.898727329871588</x:v>
      </x:c>
      <x:c r="AO148" s="9" t="str">
        <x:v>2.4353241839657325</x:v>
      </x:c>
      <x:c r="AP148" s="10" t="str">
        <x:v>0.7796610169491526</x:v>
      </x:c>
      <x:c r="AQ148" s="6" t="str">
        <x:v>0.05084745762711865</x:v>
      </x:c>
      <x:c r="AR148" s="6" t="str">
        <x:v>0.1694915254237288</x:v>
      </x:c>
      <x:c r="AS148" s="6" t="str">
        <x:v>With trade</x:v>
      </x:c>
      <x:c r="AT148" s="6" t="str">
        <x:v>2.6451099920487673</x:v>
      </x:c>
      <x:c r="AU148" s="7" t="str">
        <x:v>2024-06-24 20:05:00-05:00</x:v>
      </x:c>
      <x:c r="AV148" s="8" t="str">
        <x:v>2</x:v>
      </x:c>
      <x:c r="AW148" s="6" t="str">
        <x:v>Delayed retest (2+ bars)</x:v>
      </x:c>
      <x:c r="AX148" s="6" t="str">
        <x:v>19021.25</x:v>
      </x:c>
      <x:c r="AY148" s="6" t="str">
        <x:v>0.25</x:v>
      </x:c>
      <x:c r="AZ148" s="9" t="str">
        <x:v>0.04157544258105644</x:v>
      </x:c>
      <x:c r="BA148" s="9" t="str">
        <x:v>0.6652070812969031</x:v>
      </x:c>
      <x:c r="BB148" s="9" t="str">
        <x:v>0.9146597367832418</x:v>
      </x:c>
      <x:c r="BC148" s="9" t="str">
        <x:v>0.2910280980673951</x:v>
      </x:c>
      <x:c r="BD148" s="6" t="str">
        <x:v>0.45454545454545453</x:v>
      </x:c>
      <x:c r="BE148" s="6" t="str">
        <x:v>0.22727272727272727</x:v>
      </x:c>
      <x:c r="BF148" s="9" t="str">
        <x:v>0.41575442581056443</x:v>
      </x:c>
      <x:c r="BG148" s="9" t="str">
        <x:v>0.20787721290528222</x:v>
      </x:c>
      <x:c r="BH148" s="6" t="str">
        <x:v>With trade</x:v>
      </x:c>
      <x:c r="BI148" s="6" t="str">
        <x:v>Penetration + same-bar reclaim</x:v>
      </x:c>
      <x:c r="BJ148" s="6" t="str">
        <x:v>False</x:v>
      </x:c>
      <x:c r="BK148" s="10" t="str">
        <x:v>True</x:v>
      </x:c>
      <x:c r="BL148" s="6" t="str">
        <x:v>True</x:v>
      </x:c>
      <x:c r="BM148" s="7" t="str">
        <x:v>2024-06-24 20:10:00-05:00</x:v>
      </x:c>
      <x:c r="BN148" s="8" t="str">
        <x:v>1</x:v>
      </x:c>
      <x:c r="BO148" s="6" t="str">
        <x:v>Immediate confirmation (1 bar)</x:v>
      </x:c>
      <x:c r="BP148" s="9" t="str">
        <x:v>0.2540184933596268</x:v>
      </x:c>
      <x:c r="BQ148" s="9" t="str">
        <x:v>0.7620554800788804</x:v>
      </x:c>
      <x:c r="BR148" s="10" t="str">
        <x:v>0.3333333333333333</x:v>
      </x:c>
      <x:c r="BS148" s="9" t="str">
        <x:v>0.8890647267586937</x:v>
      </x:c>
      <x:c r="BT148" s="9" t="str">
        <x:v>0.21168207779968898</x:v>
      </x:c>
      <x:c r="BU148" s="9" t="str">
        <x:v>0.3810277400394402</x:v>
      </x:c>
      <x:c r="BV148" s="6" t="str">
        <x:v>With trade</x:v>
      </x:c>
      <x:c r="BW148" s="7" t="str">
        <x:v>2024-06-24 20:10:00-05:00</x:v>
      </x:c>
      <x:c r="BX148" s="6" t="str">
        <x:v>19015.75</x:v>
      </x:c>
      <x:c r="BY148" s="9" t="str">
        <x:v>5.905081870855656</x:v>
      </x:c>
      <x:c r="BZ148" s="9" t="str">
        <x:v>0.03</x:v>
      </x:c>
      <x:c r="CA148" s="6" t="str">
        <x:v>19024.607622806285</x:v>
      </x:c>
      <x:c r="CB148" s="6" t="str">
        <x:v>8.85762280628478</x:v>
      </x:c>
      <x:c r="CC148" s="9" t="str">
        <x:v>1.5000000000002196</x:v>
      </x:c>
      <x:c r="CD148" s="6" t="str">
        <x:v>18998.034754387434</x:v>
      </x:c>
      <x:c r="CE148" s="6" t="str">
        <x:v>17.715245612565923</x:v>
      </x:c>
      <x:c r="CF148" s="6" t="str">
        <x:v>Fixed 2.00R target</x:v>
      </x:c>
      <x:c r="CG148" s="9" t="str">
        <x:v>0.08185040341586776</x:v>
      </x:c>
      <x:c r="CH148" s="9" t="str">
        <x:v>-1.0</x:v>
      </x:c>
      <x:c r="CI148" s="9" t="str">
        <x:v>-1.0818504034158678</x:v>
      </x:c>
      <x:c r="CJ148" s="6" t="str">
        <x:v>Loss</x:v>
      </x:c>
      <x:c r="CK148" s="9" t="str">
        <x:v>1.1854196356780848</x:v>
      </x:c>
      <x:c r="CL148" s="9" t="str">
        <x:v>1.044298250478313</x:v>
      </x:c>
      <x:c r="CM148" s="7" t="str">
        <x:v>2024-06-24 20:30:00-05:00</x:v>
      </x:c>
      <x:c r="CN148" s="6" t="str">
        <x:v>19024.607622806285</x:v>
      </x:c>
      <x:c r="CO148" s="6" t="str">
        <x:v>STOP</x:v>
      </x:c>
      <x:c r="CP148" s="6" t="str">
        <x:v>F::Short::Same-bar Setup+BOS::Penetration + same-bar reclaim</x:v>
      </x:c>
    </x:row>
    <x:row r="149" ht="18" customHeight="1">
      <x:c r="A149" s="6" t="str">
        <x:v>A0148</x:v>
      </x:c>
      <x:c r="B149" s="6" t="str">
        <x:v>2024-06-27</x:v>
      </x:c>
      <x:c r="C149" s="6" t="str">
        <x:v>2024</x:v>
      </x:c>
      <x:c r="D149" s="6" t="str">
        <x:v>2024-Q2</x:v>
      </x:c>
      <x:c r="E149" s="6" t="str">
        <x:v>First 50%</x:v>
      </x:c>
      <x:c r="F149" s="6" t="str">
        <x:v>Long</x:v>
      </x:c>
      <x:c r="G149" s="6" t="str">
        <x:v>Long</x:v>
      </x:c>
      <x:c r="H149" s="6" t="str">
        <x:v>Premarket</x:v>
      </x:c>
      <x:c r="I149" s="6" t="str">
        <x:v>Premarket</x:v>
      </x:c>
      <x:c r="J149" s="6" t="str">
        <x:v>Bull</x:v>
      </x:c>
      <x:c r="K149" s="6" t="str">
        <x:v>Bull</x:v>
      </x:c>
      <x:c r="L149" s="6" t="str">
        <x:v>HIGH</x:v>
      </x:c>
      <x:c r="M149" s="7" t="str">
        <x:v>2024-06-27 07:30:00-05:00</x:v>
      </x:c>
      <x:c r="N149" s="6" t="str">
        <x:v>90.0</x:v>
      </x:c>
      <x:c r="O149" s="6" t="str">
        <x:v>90-94</x:v>
      </x:c>
      <x:c r="P149" s="6" t="str">
        <x:v>Matching BOS + liquidity sweep</x:v>
      </x:c>
      <x:c r="Q149" s="6" t="str">
        <x:v>Bull BOS</x:v>
      </x:c>
      <x:c r="R149" s="6" t="str">
        <x:v>True</x:v>
      </x:c>
      <x:c r="S149" s="6" t="str">
        <x:v>True</x:v>
      </x:c>
      <x:c r="T149" s="6" t="str">
        <x:v>Recent SSL</x:v>
      </x:c>
      <x:c r="U149" s="6" t="str">
        <x:v>SSL</x:v>
      </x:c>
      <x:c r="V149" s="6" t="str">
        <x:v>Swing low / sell-side</x:v>
      </x:c>
      <x:c r="W149" s="6" t="str">
        <x:v>[19223.0]</x:v>
      </x:c>
      <x:c r="X149" s="8" t="str">
        <x:v>1</x:v>
      </x:c>
      <x:c r="Y149" s="8" t="str">
        <x:v>0.0</x:v>
      </x:c>
      <x:c r="Z149" s="6" t="str">
        <x:v>Sweep below CRT reference</x:v>
      </x:c>
      <x:c r="AA149" s="6" t="str">
        <x:v>19248.25</x:v>
      </x:c>
      <x:c r="AB149" s="9" t="str">
        <x:v>0.042232820042886796</x:v>
      </x:c>
      <x:c r="AC149" s="9" t="str">
        <x:v>1.3725666513938208</x:v>
      </x:c>
      <x:c r="AD149" s="9" t="str">
        <x:v>3.6109061136668212</x:v>
      </x:c>
      <x:c r="AE149" s="6" t="str">
        <x:v>With trade</x:v>
      </x:c>
      <x:c r="AF149" s="7" t="str">
        <x:v>2024-06-27 07:30:00-05:00</x:v>
      </x:c>
      <x:c r="AG149" s="6" t="str">
        <x:v>Long</x:v>
      </x:c>
      <x:c r="AH149" s="6" t="str">
        <x:v>19248.25</x:v>
      </x:c>
      <x:c r="AI149" s="8" t="str">
        <x:v>0</x:v>
      </x:c>
      <x:c r="AJ149" s="6" t="str">
        <x:v>True</x:v>
      </x:c>
      <x:c r="AK149" s="6" t="str">
        <x:v>Same-bar Setup+BOS</x:v>
      </x:c>
      <x:c r="AL149" s="9" t="str">
        <x:v>1.3514502413723775</x:v>
      </x:c>
      <x:c r="AM149" s="9" t="str">
        <x:v>0.042232820042886796</x:v>
      </x:c>
      <x:c r="AN149" s="9" t="str">
        <x:v>1.3725666513938208</x:v>
      </x:c>
      <x:c r="AO149" s="9" t="str">
        <x:v>3.6109061136668212</x:v>
      </x:c>
      <x:c r="AP149" s="10" t="str">
        <x:v>0.38011695906432746</x:v>
      </x:c>
      <x:c r="AQ149" s="6" t="str">
        <x:v>0.2222222222222222</x:v>
      </x:c>
      <x:c r="AR149" s="6" t="str">
        <x:v>0.39766081871345027</x:v>
      </x:c>
      <x:c r="AS149" s="6" t="str">
        <x:v>With trade</x:v>
      </x:c>
      <x:c r="AT149" s="6" t="str">
        <x:v>7.342925659472422</x:v>
      </x:c>
      <x:c r="AU149" s="7" t="str">
        <x:v>2024-06-27 07:35:00-05:00</x:v>
      </x:c>
      <x:c r="AV149" s="8" t="str">
        <x:v>1</x:v>
      </x:c>
      <x:c r="AW149" s="6" t="str">
        <x:v>Immediate retest (1 bar)</x:v>
      </x:c>
      <x:c r="AX149" s="6" t="str">
        <x:v>19242.75</x:v>
      </x:c>
      <x:c r="AY149" s="6" t="str">
        <x:v>5.5</x:v>
      </x:c>
      <x:c r="AZ149" s="9" t="str">
        <x:v>0.44085970874911473</x:v>
      </x:c>
      <x:c r="BA149" s="9" t="str">
        <x:v>0.921797572839058</x:v>
      </x:c>
      <x:c r="BB149" s="9" t="str">
        <x:v>1.6632434466443873</x:v>
      </x:c>
      <x:c r="BC149" s="9" t="str">
        <x:v>0.8616803398278151</x:v>
      </x:c>
      <x:c r="BD149" s="6" t="str">
        <x:v>0.18072289156626506</x:v>
      </x:c>
      <x:c r="BE149" s="6" t="str">
        <x:v>0.30120481927710846</x:v>
      </x:c>
      <x:c r="BF149" s="9" t="str">
        <x:v>0.5009769417603577</x:v>
      </x:c>
      <x:c r="BG149" s="9" t="str">
        <x:v>0.3005861650562146</x:v>
      </x:c>
      <x:c r="BH149" s="6" t="str">
        <x:v>With trade</x:v>
      </x:c>
      <x:c r="BI149" s="6" t="str">
        <x:v>Penetration + same-bar reclaim</x:v>
      </x:c>
      <x:c r="BJ149" s="6" t="str">
        <x:v>False</x:v>
      </x:c>
      <x:c r="BK149" s="10" t="str">
        <x:v>True</x:v>
      </x:c>
      <x:c r="BL149" s="6" t="str">
        <x:v>True</x:v>
      </x:c>
      <x:c r="BM149" s="7" t="str">
        <x:v>2024-06-27 07:50:00-05:00</x:v>
      </x:c>
      <x:c r="BN149" s="8" t="str">
        <x:v>3</x:v>
      </x:c>
      <x:c r="BO149" s="6" t="str">
        <x:v>Delayed confirmation (2+ bars)</x:v>
      </x:c>
      <x:c r="BP149" s="9" t="str">
        <x:v>0.5060117103125373</x:v>
      </x:c>
      <x:c r="BQ149" s="9" t="str">
        <x:v>1.284491264639518</x:v>
      </x:c>
      <x:c r="BR149" s="10" t="str">
        <x:v>0.3939393939393939</x:v>
      </x:c>
      <x:c r="BS149" s="9" t="str">
        <x:v>0.8757894986178532</x:v>
      </x:c>
      <x:c r="BT149" s="9" t="str">
        <x:v>-0.019461988858174514</x:v>
      </x:c>
      <x:c r="BU149" s="9" t="str">
        <x:v>0.17515789972357063</x:v>
      </x:c>
      <x:c r="BV149" s="6" t="str">
        <x:v>With trade</x:v>
      </x:c>
      <x:c r="BW149" s="7" t="str">
        <x:v>2024-06-27 07:50:00-05:00</x:v>
      </x:c>
      <x:c r="BX149" s="6" t="str">
        <x:v>19259.5</x:v>
      </x:c>
      <x:c r="BY149" s="9" t="str">
        <x:v>12.845552518903732</x:v>
      </x:c>
      <x:c r="BZ149" s="9" t="str">
        <x:v>1.0</x:v>
      </x:c>
      <x:c r="CA149" s="6" t="str">
        <x:v>19240.231671221645</x:v>
      </x:c>
      <x:c r="CB149" s="6" t="str">
        <x:v>19.26832877835477</x:v>
      </x:c>
      <x:c r="CC149" s="9" t="str">
        <x:v>1.4999999999999356</x:v>
      </x:c>
      <x:c r="CD149" s="6" t="str">
        <x:v>19298.03665755671</x:v>
      </x:c>
      <x:c r="CE149" s="6" t="str">
        <x:v>38.53665755670954</x:v>
      </x:c>
      <x:c r="CF149" s="6" t="str">
        <x:v>Fixed 2.00R target</x:v>
      </x:c>
      <x:c r="CG149" s="9" t="str">
        <x:v>0.03762651179247234</x:v>
      </x:c>
      <x:c r="CH149" s="9" t="str">
        <x:v>2.0</x:v>
      </x:c>
      <x:c r="CI149" s="9" t="str">
        <x:v>1.9623734882075277</x:v>
      </x:c>
      <x:c r="CJ149" s="6" t="str">
        <x:v>Win</x:v>
      </x:c>
      <x:c r="CK149" s="9" t="str">
        <x:v>3.0101209433977876</x:v>
      </x:c>
      <x:c r="CL149" s="9" t="str">
        <x:v>0.4281637548798577</x:v>
      </x:c>
      <x:c r="CM149" s="7" t="str">
        <x:v>2024-06-27 08:30:00-05:00</x:v>
      </x:c>
      <x:c r="CN149" s="6" t="str">
        <x:v>19298.03665755671</x:v>
      </x:c>
      <x:c r="CO149" s="6" t="str">
        <x:v>TARGET</x:v>
      </x:c>
      <x:c r="CP149" s="6" t="str">
        <x:v>F::Long::Same-bar Setup+BOS::Penetration + same-bar reclaim</x:v>
      </x:c>
    </x:row>
    <x:row r="150" ht="18" customHeight="1">
      <x:c r="A150" s="6" t="str">
        <x:v>A0149</x:v>
      </x:c>
      <x:c r="B150" s="6" t="str">
        <x:v>2024-06-27</x:v>
      </x:c>
      <x:c r="C150" s="6" t="str">
        <x:v>2024</x:v>
      </x:c>
      <x:c r="D150" s="6" t="str">
        <x:v>2024-Q2</x:v>
      </x:c>
      <x:c r="E150" s="6" t="str">
        <x:v>First 50%</x:v>
      </x:c>
      <x:c r="F150" s="6" t="str">
        <x:v>Long</x:v>
      </x:c>
      <x:c r="G150" s="6" t="str">
        <x:v>Long</x:v>
      </x:c>
      <x:c r="H150" s="6" t="str">
        <x:v>Premarket</x:v>
      </x:c>
      <x:c r="I150" s="6" t="str">
        <x:v>Premarket</x:v>
      </x:c>
      <x:c r="J150" s="6" t="str">
        <x:v>Bull</x:v>
      </x:c>
      <x:c r="K150" s="6" t="str">
        <x:v>Bull</x:v>
      </x:c>
      <x:c r="L150" s="6" t="str">
        <x:v>HIGH</x:v>
      </x:c>
      <x:c r="M150" s="7" t="str">
        <x:v>2024-06-27 08:30:00-05:00</x:v>
      </x:c>
      <x:c r="N150" s="6" t="str">
        <x:v>90.0</x:v>
      </x:c>
      <x:c r="O150" s="6" t="str">
        <x:v>90-94</x:v>
      </x:c>
      <x:c r="P150" s="6" t="str">
        <x:v>Matching BOS only</x:v>
      </x:c>
      <x:c r="Q150" s="6" t="str">
        <x:v>Bull BOS</x:v>
      </x:c>
      <x:c r="R150" s="6" t="str">
        <x:v>True</x:v>
      </x:c>
      <x:c r="S150" s="6" t="str">
        <x:v>False</x:v>
      </x:c>
      <x:c r="T150" s="6" t="str">
        <x:v>Recent SSL</x:v>
      </x:c>
      <x:c r="U150" s="6" t="str">
        <x:v>SSL</x:v>
      </x:c>
      <x:c r="V150" s="6" t="str">
        <x:v>Swing low / sell-side</x:v>
      </x:c>
      <x:c r="W150" s="6" t="str">
        <x:v>[19223.0]</x:v>
      </x:c>
      <x:c r="X150" s="8" t="str">
        <x:v>1</x:v>
      </x:c>
      <x:c r="Y150" s="8" t="str">
        <x:v>12.0</x:v>
      </x:c>
      <x:c r="Z150" s="6" t="str">
        <x:v>None</x:v>
      </x:c>
      <x:c r="AA150" s="6" t="str">
        <x:v>19270.5</x:v>
      </x:c>
      <x:c r="AB150" s="9" t="str">
        <x:v>2.640821679861641</x:v>
      </x:c>
      <x:c r="AC150" s="9" t="str">
        <x:v>3.7477529229174187</x:v>
      </x:c>
      <x:c r="AD150" s="9" t="str">
        <x:v>4.1272722062508285</x:v>
      </x:c>
      <x:c r="AE150" s="6" t="str">
        <x:v>With trade</x:v>
      </x:c>
      <x:c r="AF150" s="7" t="str">
        <x:v>2024-06-27 08:30:00-05:00</x:v>
      </x:c>
      <x:c r="AG150" s="6" t="str">
        <x:v>Long</x:v>
      </x:c>
      <x:c r="AH150" s="6" t="str">
        <x:v>19270.5</x:v>
      </x:c>
      <x:c r="AI150" s="8" t="str">
        <x:v>0</x:v>
      </x:c>
      <x:c r="AJ150" s="6" t="str">
        <x:v>True</x:v>
      </x:c>
      <x:c r="AK150" s="6" t="str">
        <x:v>Same-bar Setup+BOS</x:v>
      </x:c>
      <x:c r="AL150" s="9" t="str">
        <x:v>3.763566226389644</x:v>
      </x:c>
      <x:c r="AM150" s="9" t="str">
        <x:v>2.640821679861641</x:v>
      </x:c>
      <x:c r="AN150" s="9" t="str">
        <x:v>3.7477529229174187</x:v>
      </x:c>
      <x:c r="AO150" s="9" t="str">
        <x:v>4.1272722062508285</x:v>
      </x:c>
      <x:c r="AP150" s="10" t="str">
        <x:v>0.9080459770114943</x:v>
      </x:c>
      <x:c r="AQ150" s="6" t="str">
        <x:v>0.08045977011494253</x:v>
      </x:c>
      <x:c r="AR150" s="6" t="str">
        <x:v>0.011494252873563218</x:v>
      </x:c>
      <x:c r="AS150" s="6" t="str">
        <x:v>With trade</x:v>
      </x:c>
      <x:c r="AT150" s="6" t="str">
        <x:v>15.430630630630631</x:v>
      </x:c>
      <x:c r="AU150" s="7" t="str">
        <x:v>2024-06-27 08:50:00-05:00</x:v>
      </x:c>
      <x:c r="AV150" s="8" t="str">
        <x:v>4</x:v>
      </x:c>
      <x:c r="AW150" s="6" t="str">
        <x:v>Delayed retest (2+ bars)</x:v>
      </x:c>
      <x:c r="AX150" s="6" t="str">
        <x:v>19272.25</x:v>
      </x:c>
      <x:c r="AY150" s="6" t="str">
        <x:v>0.0</x:v>
      </x:c>
      <x:c r="AZ150" s="9" t="str">
        <x:v>0.0</x:v>
      </x:c>
      <x:c r="BA150" s="9" t="str">
        <x:v>1.6577191822401727</x:v>
      </x:c>
      <x:c r="BB150" s="9" t="str">
        <x:v>2.1359074078863762</x:v>
      </x:c>
      <x:c r="BC150" s="9" t="str">
        <x:v>0.4994410356749238</x:v>
      </x:c>
      <x:c r="BD150" s="6" t="str">
        <x:v>0.024875621890547265</x:v>
      </x:c>
      <x:c r="BE150" s="6" t="str">
        <x:v>0.7412935323383084</x:v>
      </x:c>
      <x:c r="BF150" s="9" t="str">
        <x:v>1.583334347139652</x:v>
      </x:c>
      <x:c r="BG150" s="9" t="str">
        <x:v>0.053132025071800405</x:v>
      </x:c>
      <x:c r="BH150" s="6" t="str">
        <x:v>Against trade</x:v>
      </x:c>
      <x:c r="BI150" s="6" t="str">
        <x:v>Tolerance-only shallow touch</x:v>
      </x:c>
      <x:c r="BJ150" s="6" t="str">
        <x:v>True</x:v>
      </x:c>
      <x:c r="BK150" s="10" t="str">
        <x:v>False</x:v>
      </x:c>
      <x:c r="BL150" s="6" t="str">
        <x:v>True</x:v>
      </x:c>
      <x:c r="BM150" s="7" t="str">
        <x:v>2024-06-27 08:55:00-05:00</x:v>
      </x:c>
      <x:c r="BN150" s="8" t="str">
        <x:v>1</x:v>
      </x:c>
      <x:c r="BO150" s="6" t="str">
        <x:v>Immediate confirmation (1 bar)</x:v>
      </x:c>
      <x:c r="BP150" s="9" t="str">
        <x:v>0.5586065300534164</x:v>
      </x:c>
      <x:c r="BQ150" s="9" t="str">
        <x:v>1.344793498276743</x:v>
      </x:c>
      <x:c r="BR150" s="10" t="str">
        <x:v>0.4153846153846154</x:v>
      </x:c>
      <x:c r="BS150" s="9" t="str">
        <x:v>2.1620141626141485</x:v>
      </x:c>
      <x:c r="BT150" s="9" t="str">
        <x:v>0.5482619646820568</x:v>
      </x:c>
      <x:c r="BU150" s="9" t="str">
        <x:v>0.7034304452524502</x:v>
      </x:c>
      <x:c r="BV150" s="6" t="str">
        <x:v>With trade</x:v>
      </x:c>
      <x:c r="BW150" s="7" t="str">
        <x:v>2024-06-27 08:55:00-05:00</x:v>
      </x:c>
      <x:c r="BX150" s="6" t="str">
        <x:v>19322.75</x:v>
      </x:c>
      <x:c r="BY150" s="9" t="str">
        <x:v>24.167279245212317</x:v>
      </x:c>
      <x:c r="BZ150" s="9" t="str">
        <x:v>1.0</x:v>
      </x:c>
      <x:c r="CA150" s="6" t="str">
        <x:v>19286.49908113218</x:v>
      </x:c>
      <x:c r="CB150" s="6" t="str">
        <x:v>36.250918867819564</x:v>
      </x:c>
      <x:c r="CC150" s="9" t="str">
        <x:v>1.500000000000045</x:v>
      </x:c>
      <x:c r="CD150" s="6" t="str">
        <x:v>19395.251837735635</x:v>
      </x:c>
      <x:c r="CE150" s="6" t="str">
        <x:v>72.50183773563549</x:v>
      </x:c>
      <x:c r="CF150" s="6" t="str">
        <x:v>Fixed 2.00R target</x:v>
      </x:c>
      <x:c r="CG150" s="9" t="str">
        <x:v>0.019999493051294552</x:v>
      </x:c>
      <x:c r="CH150" s="9" t="str">
        <x:v>-1.0</x:v>
      </x:c>
      <x:c r="CI150" s="9" t="str">
        <x:v>-1.0199994930512946</x:v>
      </x:c>
      <x:c r="CJ150" s="6" t="str">
        <x:v>Loss</x:v>
      </x:c>
      <x:c r="CK150" s="9" t="str">
        <x:v>1.5585811826181273</x:v>
      </x:c>
      <x:c r="CL150" s="9" t="str">
        <x:v>1.6206485748462829</x:v>
      </x:c>
      <x:c r="CM150" s="7" t="str">
        <x:v>2024-06-27 09:50:00-05:00</x:v>
      </x:c>
      <x:c r="CN150" s="6" t="str">
        <x:v>19286.49908113218</x:v>
      </x:c>
      <x:c r="CO150" s="6" t="str">
        <x:v>STOP</x:v>
      </x:c>
      <x:c r="CP150" s="6" t="str">
        <x:v>F::Long::Same-bar Setup+BOS::Tolerance-only shallow touch</x:v>
      </x:c>
    </x:row>
    <x:row r="151" ht="18" customHeight="1">
      <x:c r="A151" s="6" t="str">
        <x:v>A0150</x:v>
      </x:c>
      <x:c r="B151" s="6" t="str">
        <x:v>2024-06-27</x:v>
      </x:c>
      <x:c r="C151" s="6" t="str">
        <x:v>2024</x:v>
      </x:c>
      <x:c r="D151" s="6" t="str">
        <x:v>2024-Q2</x:v>
      </x:c>
      <x:c r="E151" s="6" t="str">
        <x:v>First 50%</x:v>
      </x:c>
      <x:c r="F151" s="6" t="str">
        <x:v>Short</x:v>
      </x:c>
      <x:c r="G151" s="6" t="str">
        <x:v>Short</x:v>
      </x:c>
      <x:c r="H151" s="6" t="str">
        <x:v>Midday</x:v>
      </x:c>
      <x:c r="I151" s="6" t="str">
        <x:v>Midday</x:v>
      </x:c>
      <x:c r="J151" s="6" t="str">
        <x:v>Bull</x:v>
      </x:c>
      <x:c r="K151" s="6" t="str">
        <x:v>Bull</x:v>
      </x:c>
      <x:c r="L151" s="6" t="str">
        <x:v>MID</x:v>
      </x:c>
      <x:c r="M151" s="7" t="str">
        <x:v>2024-06-27 13:00:00-05:00</x:v>
      </x:c>
      <x:c r="N151" s="6" t="str">
        <x:v>100.0</x:v>
      </x:c>
      <x:c r="O151" s="6" t="str">
        <x:v>95+</x:v>
      </x:c>
      <x:c r="P151" s="6" t="str">
        <x:v>Matching BOS only</x:v>
      </x:c>
      <x:c r="Q151" s="6" t="str">
        <x:v>Bear BOS</x:v>
      </x:c>
      <x:c r="R151" s="6" t="str">
        <x:v>True</x:v>
      </x:c>
      <x:c r="S151" s="6" t="str">
        <x:v>False</x:v>
      </x:c>
      <x:c r="T151" s="6" t="str">
        <x:v>Recent BSL</x:v>
      </x:c>
      <x:c r="U151" s="6" t="str">
        <x:v>BSL</x:v>
      </x:c>
      <x:c r="V151" s="6" t="str">
        <x:v>Swing high / buy-side</x:v>
      </x:c>
      <x:c r="W151" s="6" t="str">
        <x:v>[19320.5]</x:v>
      </x:c>
      <x:c r="X151" s="8" t="str">
        <x:v>1</x:v>
      </x:c>
      <x:c r="Y151" s="8" t="str">
        <x:v>5.0</x:v>
      </x:c>
      <x:c r="Z151" s="6" t="str">
        <x:v>None</x:v>
      </x:c>
      <x:c r="AA151" s="6" t="str">
        <x:v>19285.75</x:v>
      </x:c>
      <x:c r="AB151" s="9" t="str">
        <x:v>0.6277930759682161</x:v>
      </x:c>
      <x:c r="AC151" s="9" t="str">
        <x:v>1.2053627058589749</x:v>
      </x:c>
      <x:c r="AD151" s="9" t="str">
        <x:v>2.1344964582919346</x:v>
      </x:c>
      <x:c r="AE151" s="6" t="str">
        <x:v>With trade</x:v>
      </x:c>
      <x:c r="AF151" s="7" t="str">
        <x:v>2024-06-27 13:00:00-05:00</x:v>
      </x:c>
      <x:c r="AG151" s="6" t="str">
        <x:v>Short</x:v>
      </x:c>
      <x:c r="AH151" s="6" t="str">
        <x:v>19285.75</x:v>
      </x:c>
      <x:c r="AI151" s="8" t="str">
        <x:v>0</x:v>
      </x:c>
      <x:c r="AJ151" s="6" t="str">
        <x:v>True</x:v>
      </x:c>
      <x:c r="AK151" s="6" t="str">
        <x:v>Same-bar Setup+BOS</x:v>
      </x:c>
      <x:c r="AL151" s="9" t="str">
        <x:v>1.1802509828202463</x:v>
      </x:c>
      <x:c r="AM151" s="9" t="str">
        <x:v>0.6277930759682161</x:v>
      </x:c>
      <x:c r="AN151" s="9" t="str">
        <x:v>1.2053627058589749</x:v>
      </x:c>
      <x:c r="AO151" s="9" t="str">
        <x:v>2.1344964582919346</x:v>
      </x:c>
      <x:c r="AP151" s="10" t="str">
        <x:v>0.5647058823529412</x:v>
      </x:c>
      <x:c r="AQ151" s="6" t="str">
        <x:v>0.029411764705882353</x:v>
      </x:c>
      <x:c r="AR151" s="6" t="str">
        <x:v>0.40588235294117647</x:v>
      </x:c>
      <x:c r="AS151" s="6" t="str">
        <x:v>With trade</x:v>
      </x:c>
      <x:c r="AT151" s="6" t="str">
        <x:v>3.535112660124125</x:v>
      </x:c>
      <x:c r="AU151" s="7" t="str">
        <x:v>2024-06-27 13:05:00-05:00</x:v>
      </x:c>
      <x:c r="AV151" s="8" t="str">
        <x:v>1</x:v>
      </x:c>
      <x:c r="AW151" s="6" t="str">
        <x:v>Immediate retest (1 bar)</x:v>
      </x:c>
      <x:c r="AX151" s="6" t="str">
        <x:v>19289.25</x:v>
      </x:c>
      <x:c r="AY151" s="6" t="str">
        <x:v>3.5</x:v>
      </x:c>
      <x:c r="AZ151" s="9" t="str">
        <x:v>0.17142262421918036</x:v>
      </x:c>
      <x:c r="BA151" s="9" t="str">
        <x:v>0.048977892634051536</x:v>
      </x:c>
      <x:c r="BB151" s="9" t="str">
        <x:v>1.3224031011193915</x:v>
      </x:c>
      <x:c r="BC151" s="9" t="str">
        <x:v>0.5632457652915926</x:v>
      </x:c>
      <x:c r="BD151" s="6" t="str">
        <x:v>0.16666666666666666</x:v>
      </x:c>
      <x:c r="BE151" s="6" t="str">
        <x:v>0.4074074074074074</x:v>
      </x:c>
      <x:c r="BF151" s="9" t="str">
        <x:v>0.22040051685323192</x:v>
      </x:c>
      <x:c r="BG151" s="9" t="str">
        <x:v>0.5387568189745668</x:v>
      </x:c>
      <x:c r="BH151" s="6" t="str">
        <x:v>Against trade</x:v>
      </x:c>
      <x:c r="BI151" s="6" t="str">
        <x:v>Penetration + same-bar reclaim</x:v>
      </x:c>
      <x:c r="BJ151" s="6" t="str">
        <x:v>False</x:v>
      </x:c>
      <x:c r="BK151" s="10" t="str">
        <x:v>True</x:v>
      </x:c>
      <x:c r="BL151" s="6" t="str">
        <x:v>True</x:v>
      </x:c>
      <x:c r="BM151" s="7" t="str">
        <x:v>2024-06-27 13:10:00-05:00</x:v>
      </x:c>
      <x:c r="BN151" s="8" t="str">
        <x:v>1</x:v>
      </x:c>
      <x:c r="BO151" s="6" t="str">
        <x:v>Immediate confirmation (1 bar)</x:v>
      </x:c>
      <x:c r="BP151" s="9" t="str">
        <x:v>0.3574876719451887</x:v>
      </x:c>
      <x:c r="BQ151" s="9" t="str">
        <x:v>0.9122099215153091</x:v>
      </x:c>
      <x:c r="BR151" s="10" t="str">
        <x:v>0.3918918918918919</x:v>
      </x:c>
      <x:c r="BS151" s="9" t="str">
        <x:v>0.4067963163514216</x:v>
      </x:c>
      <x:c r="BT151" s="9" t="str">
        <x:v>0.3574876719451887</x:v>
      </x:c>
      <x:c r="BU151" s="9" t="str">
        <x:v>0.160253094320257</x:v>
      </x:c>
      <x:c r="BV151" s="6" t="str">
        <x:v>With trade</x:v>
      </x:c>
      <x:c r="BW151" s="7" t="str">
        <x:v>2024-06-27 13:10:00-05:00</x:v>
      </x:c>
      <x:c r="BX151" s="6" t="str">
        <x:v>19277.5</x:v>
      </x:c>
      <x:c r="BY151" s="9" t="str">
        <x:v>20.280419631118345</x:v>
      </x:c>
      <x:c r="BZ151" s="9" t="str">
        <x:v>0.58</x:v>
      </x:c>
      <x:c r="CA151" s="6" t="str">
        <x:v>19307.92062944668</x:v>
      </x:c>
      <x:c r="CB151" s="6" t="str">
        <x:v>30.420629446678504</x:v>
      </x:c>
      <x:c r="CC151" s="9" t="str">
        <x:v>1.5000000000000486</x:v>
      </x:c>
      <x:c r="CD151" s="6" t="str">
        <x:v>19216.658741106647</x:v>
      </x:c>
      <x:c r="CE151" s="6" t="str">
        <x:v>60.84125889335337</x:v>
      </x:c>
      <x:c r="CF151" s="6" t="str">
        <x:v>Fixed 2.00R target</x:v>
      </x:c>
      <x:c r="CG151" s="9" t="str">
        <x:v>0.023832511463011807</x:v>
      </x:c>
      <x:c r="CH151" s="9" t="str">
        <x:v>-1.0</x:v>
      </x:c>
      <x:c r="CI151" s="9" t="str">
        <x:v>-1.0238325114630118</x:v>
      </x:c>
      <x:c r="CJ151" s="6" t="str">
        <x:v>Loss</x:v>
      </x:c>
      <x:c r="CK151" s="9" t="str">
        <x:v>0.6327942698799687</x:v>
      </x:c>
      <x:c r="CL151" s="9" t="str">
        <x:v>1.0190453177287808</x:v>
      </x:c>
      <x:c r="CM151" s="7" t="str">
        <x:v>2024-06-27 13:55:00-05:00</x:v>
      </x:c>
      <x:c r="CN151" s="6" t="str">
        <x:v>19307.92062944668</x:v>
      </x:c>
      <x:c r="CO151" s="6" t="str">
        <x:v>STOP</x:v>
      </x:c>
      <x:c r="CP151" s="6" t="str">
        <x:v>F::Short::Same-bar Setup+BOS::Penetration + same-bar reclaim</x:v>
      </x:c>
    </x:row>
    <x:row r="152" ht="18" customHeight="1">
      <x:c r="A152" s="6" t="str">
        <x:v>A0151</x:v>
      </x:c>
      <x:c r="B152" s="6" t="str">
        <x:v>2024-06-27</x:v>
      </x:c>
      <x:c r="C152" s="6" t="str">
        <x:v>2024</x:v>
      </x:c>
      <x:c r="D152" s="6" t="str">
        <x:v>2024-Q2</x:v>
      </x:c>
      <x:c r="E152" s="6" t="str">
        <x:v>First 50%</x:v>
      </x:c>
      <x:c r="F152" s="6" t="str">
        <x:v>Short</x:v>
      </x:c>
      <x:c r="G152" s="6" t="str">
        <x:v>Short</x:v>
      </x:c>
      <x:c r="H152" s="6" t="str">
        <x:v>Overnight</x:v>
      </x:c>
      <x:c r="I152" s="6" t="str">
        <x:v>Overnight</x:v>
      </x:c>
      <x:c r="J152" s="6" t="str">
        <x:v>Bull</x:v>
      </x:c>
      <x:c r="K152" s="6" t="str">
        <x:v>Bull</x:v>
      </x:c>
      <x:c r="L152" s="6" t="str">
        <x:v>LOW</x:v>
      </x:c>
      <x:c r="M152" s="7" t="str">
        <x:v>2024-06-27 23:05:00-05:00</x:v>
      </x:c>
      <x:c r="N152" s="6" t="str">
        <x:v>90.0</x:v>
      </x:c>
      <x:c r="O152" s="6" t="str">
        <x:v>90-94</x:v>
      </x:c>
      <x:c r="P152" s="6" t="str">
        <x:v>Matching BOS only</x:v>
      </x:c>
      <x:c r="Q152" s="6" t="str">
        <x:v>Bear CHoCH</x:v>
      </x:c>
      <x:c r="R152" s="6" t="str">
        <x:v>True</x:v>
      </x:c>
      <x:c r="S152" s="6" t="str">
        <x:v>False</x:v>
      </x:c>
      <x:c r="T152" s="6" t="str">
        <x:v>Recent BSL</x:v>
      </x:c>
      <x:c r="U152" s="6" t="str">
        <x:v>BSL</x:v>
      </x:c>
      <x:c r="V152" s="6" t="str">
        <x:v>Swing high / buy-side</x:v>
      </x:c>
      <x:c r="W152" s="6" t="str">
        <x:v>[19401.25]</x:v>
      </x:c>
      <x:c r="X152" s="8" t="str">
        <x:v>1</x:v>
      </x:c>
      <x:c r="Y152" s="8" t="str">
        <x:v>19.0</x:v>
      </x:c>
      <x:c r="Z152" s="6" t="str">
        <x:v>None</x:v>
      </x:c>
      <x:c r="AA152" s="6" t="str">
        <x:v>19384.5</x:v>
      </x:c>
      <x:c r="AB152" s="9" t="str">
        <x:v>0.9081105251946028</x:v>
      </x:c>
      <x:c r="AC152" s="9" t="str">
        <x:v>1.5135175419910045</x:v>
      </x:c>
      <x:c r="AD152" s="9" t="str">
        <x:v>2.378384708843007</x:v>
      </x:c>
      <x:c r="AE152" s="6" t="str">
        <x:v>With trade</x:v>
      </x:c>
      <x:c r="AF152" s="7" t="str">
        <x:v>2024-06-27 23:05:00-05:00</x:v>
      </x:c>
      <x:c r="AG152" s="6" t="str">
        <x:v>Short</x:v>
      </x:c>
      <x:c r="AH152" s="6" t="str">
        <x:v>19384.5</x:v>
      </x:c>
      <x:c r="AI152" s="8" t="str">
        <x:v>0</x:v>
      </x:c>
      <x:c r="AJ152" s="6" t="str">
        <x:v>True</x:v>
      </x:c>
      <x:c r="AK152" s="6" t="str">
        <x:v>Same-bar Setup+BOS</x:v>
      </x:c>
      <x:c r="AL152" s="9" t="str">
        <x:v>1.6000042586762049</x:v>
      </x:c>
      <x:c r="AM152" s="9" t="str">
        <x:v>0.9081105251946028</x:v>
      </x:c>
      <x:c r="AN152" s="9" t="str">
        <x:v>1.5135175419910045</x:v>
      </x:c>
      <x:c r="AO152" s="9" t="str">
        <x:v>2.378384708843007</x:v>
      </x:c>
      <x:c r="AP152" s="10" t="str">
        <x:v>0.6363636363636364</x:v>
      </x:c>
      <x:c r="AQ152" s="6" t="str">
        <x:v>0.03636363636363636</x:v>
      </x:c>
      <x:c r="AR152" s="6" t="str">
        <x:v>0.32727272727272727</x:v>
      </x:c>
      <x:c r="AS152" s="6" t="str">
        <x:v>With trade</x:v>
      </x:c>
      <x:c r="AT152" s="6" t="str">
        <x:v>3.2216216216216216</x:v>
      </x:c>
      <x:c r="AU152" s="7" t="str">
        <x:v>2024-06-27 23:10:00-05:00</x:v>
      </x:c>
      <x:c r="AV152" s="8" t="str">
        <x:v>1</x:v>
      </x:c>
      <x:c r="AW152" s="6" t="str">
        <x:v>Immediate retest (1 bar)</x:v>
      </x:c>
      <x:c r="AX152" s="6" t="str">
        <x:v>19385.0</x:v>
      </x:c>
      <x:c r="AY152" s="6" t="str">
        <x:v>0.5</x:v>
      </x:c>
      <x:c r="AZ152" s="9" t="str">
        <x:v>0.08317880893166657</x:v>
      </x:c>
      <x:c r="BA152" s="9" t="str">
        <x:v>1.0397351116458322</x:v>
      </x:c>
      <x:c r="BB152" s="9" t="str">
        <x:v>1.4972185607699984</x:v>
      </x:c>
      <x:c r="BC152" s="9" t="str">
        <x:v>0.08317880893166657</x:v>
      </x:c>
      <x:c r="BD152" s="6" t="str">
        <x:v>0.6944444444444444</x:v>
      </x:c>
      <x:c r="BE152" s="6" t="str">
        <x:v>0.25</x:v>
      </x:c>
      <x:c r="BF152" s="9" t="str">
        <x:v>1.0397351116458322</x:v>
      </x:c>
      <x:c r="BG152" s="9" t="str">
        <x:v>0.3743046401924996</x:v>
      </x:c>
      <x:c r="BH152" s="6" t="str">
        <x:v>With trade</x:v>
      </x:c>
      <x:c r="BI152" s="6" t="str">
        <x:v>Penetration + same-bar reclaim</x:v>
      </x:c>
      <x:c r="BJ152" s="6" t="str">
        <x:v>False</x:v>
      </x:c>
      <x:c r="BK152" s="10" t="str">
        <x:v>True</x:v>
      </x:c>
      <x:c r="BL152" s="6" t="str">
        <x:v>True</x:v>
      </x:c>
      <x:c r="BM152" s="7" t="str">
        <x:v>2024-06-27 23:25:00-05:00</x:v>
      </x:c>
      <x:c r="BN152" s="8" t="str">
        <x:v>3</x:v>
      </x:c>
      <x:c r="BO152" s="6" t="str">
        <x:v>Delayed confirmation (2+ bars)</x:v>
      </x:c>
      <x:c r="BP152" s="9" t="str">
        <x:v>0.39829717449750435</x:v>
      </x:c>
      <x:c r="BQ152" s="9" t="str">
        <x:v>0.5753181409408397</x:v>
      </x:c>
      <x:c r="BR152" s="10" t="str">
        <x:v>0.6923076923076923</x:v>
      </x:c>
      <x:c r="BS152" s="9" t="str">
        <x:v>1.239146765103347</x:v>
      </x:c>
      <x:c r="BT152" s="9" t="str">
        <x:v>0.13276572483250146</x:v>
      </x:c>
      <x:c r="BU152" s="9" t="str">
        <x:v>0.13276572483250146</x:v>
      </x:c>
      <x:c r="BV152" s="6" t="str">
        <x:v>With trade</x:v>
      </x:c>
      <x:c r="BW152" s="7" t="str">
        <x:v>2024-06-27 23:25:00-05:00</x:v>
      </x:c>
      <x:c r="BX152" s="6" t="str">
        <x:v>19377.5</x:v>
      </x:c>
      <x:c r="BY152" s="9" t="str">
        <x:v>5.6490483590264535</x:v>
      </x:c>
      <x:c r="BZ152" s="9" t="str">
        <x:v>0.23</x:v>
      </x:c>
      <x:c r="CA152" s="6" t="str">
        <x:v>19385.97357253854</x:v>
      </x:c>
      <x:c r="CB152" s="6" t="str">
        <x:v>8.473572538539884</x:v>
      </x:c>
      <x:c r="CC152" s="9" t="str">
        <x:v>1.500000000000036</x:v>
      </x:c>
      <x:c r="CD152" s="6" t="str">
        <x:v>19360.55285492292</x:v>
      </x:c>
      <x:c r="CE152" s="6" t="str">
        <x:v>16.947145077079767</x:v>
      </x:c>
      <x:c r="CF152" s="6" t="str">
        <x:v>Fixed 2.00R target</x:v>
      </x:c>
      <x:c r="CG152" s="9" t="str">
        <x:v>0.08556013378094332</x:v>
      </x:c>
      <x:c r="CH152" s="9" t="str">
        <x:v>1.1211327874744565</x:v>
      </x:c>
      <x:c r="CI152" s="9" t="str">
        <x:v>1.0355726536935133</x:v>
      </x:c>
      <x:c r="CJ152" s="6" t="str">
        <x:v>Win</x:v>
      </x:c>
      <x:c r="CK152" s="9" t="str">
        <x:v>1.2981537539177608</x:v>
      </x:c>
      <x:c r="CL152" s="9" t="str">
        <x:v>0.41304892170110574</x:v>
      </x:c>
      <x:c r="CM152" s="7" t="str">
        <x:v>2024-06-28 00:25:00-05:00</x:v>
      </x:c>
      <x:c r="CN152" s="6" t="str">
        <x:v>19368.0</x:v>
      </x:c>
      <x:c r="CO152" s="6" t="str">
        <x:v>TIME</x:v>
      </x:c>
      <x:c r="CP152" s="6" t="str">
        <x:v>F::Short::Same-bar Setup+BOS::Penetration + same-bar reclaim</x:v>
      </x:c>
    </x:row>
    <x:row r="153" ht="18" customHeight="1">
      <x:c r="A153" s="6" t="str">
        <x:v>A0152</x:v>
      </x:c>
      <x:c r="B153" s="6" t="str">
        <x:v>2024-06-28</x:v>
      </x:c>
      <x:c r="C153" s="6" t="str">
        <x:v>2024</x:v>
      </x:c>
      <x:c r="D153" s="6" t="str">
        <x:v>2024-Q2</x:v>
      </x:c>
      <x:c r="E153" s="6" t="str">
        <x:v>First 50%</x:v>
      </x:c>
      <x:c r="F153" s="6" t="str">
        <x:v>Long</x:v>
      </x:c>
      <x:c r="G153" s="6" t="str">
        <x:v>Long</x:v>
      </x:c>
      <x:c r="H153" s="6" t="str">
        <x:v>Opening</x:v>
      </x:c>
      <x:c r="I153" s="6" t="str">
        <x:v>Premarket</x:v>
      </x:c>
      <x:c r="J153" s="6" t="str">
        <x:v>Bull</x:v>
      </x:c>
      <x:c r="K153" s="6" t="str">
        <x:v>Bull</x:v>
      </x:c>
      <x:c r="L153" s="6" t="str">
        <x:v>HIGH</x:v>
      </x:c>
      <x:c r="M153" s="7" t="str">
        <x:v>2024-06-28 09:00:00-05:00</x:v>
      </x:c>
      <x:c r="N153" s="6" t="str">
        <x:v>90.0</x:v>
      </x:c>
      <x:c r="O153" s="6" t="str">
        <x:v>90-94</x:v>
      </x:c>
      <x:c r="P153" s="6" t="str">
        <x:v>Matching BOS only</x:v>
      </x:c>
      <x:c r="Q153" s="6" t="str">
        <x:v>Bull CHoCH</x:v>
      </x:c>
      <x:c r="R153" s="6" t="str">
        <x:v>True</x:v>
      </x:c>
      <x:c r="S153" s="6" t="str">
        <x:v>False</x:v>
      </x:c>
      <x:c r="T153" s="6" t="str">
        <x:v>Recent SSL</x:v>
      </x:c>
      <x:c r="U153" s="6" t="str">
        <x:v>SSL</x:v>
      </x:c>
      <x:c r="V153" s="6" t="str">
        <x:v>Swing low / sell-side</x:v>
      </x:c>
      <x:c r="W153" s="6" t="str">
        <x:v>[19323.5]</x:v>
      </x:c>
      <x:c r="X153" s="8" t="str">
        <x:v>1</x:v>
      </x:c>
      <x:c r="Y153" s="8" t="str">
        <x:v>12.0</x:v>
      </x:c>
      <x:c r="Z153" s="6" t="str">
        <x:v>None</x:v>
      </x:c>
      <x:c r="AA153" s="6" t="str">
        <x:v>19440.5</x:v>
      </x:c>
      <x:c r="AB153" s="9" t="str">
        <x:v>1.6613531981046075</x:v>
      </x:c>
      <x:c r="AC153" s="9" t="str">
        <x:v>2.852323261806103</x:v>
      </x:c>
      <x:c r="AD153" s="9" t="str">
        <x:v>2.9924373869474556</x:v>
      </x:c>
      <x:c r="AE153" s="6" t="str">
        <x:v>With trade</x:v>
      </x:c>
      <x:c r="AF153" s="7" t="str">
        <x:v>2024-06-28 09:00:00-05:00</x:v>
      </x:c>
      <x:c r="AG153" s="6" t="str">
        <x:v>Long</x:v>
      </x:c>
      <x:c r="AH153" s="6" t="str">
        <x:v>19440.5</x:v>
      </x:c>
      <x:c r="AI153" s="8" t="str">
        <x:v>0</x:v>
      </x:c>
      <x:c r="AJ153" s="6" t="str">
        <x:v>True</x:v>
      </x:c>
      <x:c r="AK153" s="6" t="str">
        <x:v>Same-bar Setup+BOS</x:v>
      </x:c>
      <x:c r="AL153" s="9" t="str">
        <x:v>2.882347717193536</x:v>
      </x:c>
      <x:c r="AM153" s="9" t="str">
        <x:v>1.6613531981046075</x:v>
      </x:c>
      <x:c r="AN153" s="9" t="str">
        <x:v>2.852323261806103</x:v>
      </x:c>
      <x:c r="AO153" s="9" t="str">
        <x:v>2.9924373869474556</x:v>
      </x:c>
      <x:c r="AP153" s="10" t="str">
        <x:v>0.9531772575250836</x:v>
      </x:c>
      <x:c r="AQ153" s="6" t="str">
        <x:v>0.043478260869565216</x:v>
      </x:c>
      <x:c r="AR153" s="6" t="str">
        <x:v>0.0033444816053511705</x:v>
      </x:c>
      <x:c r="AS153" s="6" t="str">
        <x:v>With trade</x:v>
      </x:c>
      <x:c r="AT153" s="6" t="str">
        <x:v>3.426344957769657</x:v>
      </x:c>
      <x:c r="AU153" s="7" t="str">
        <x:v>2024-06-28 09:40:00-05:00</x:v>
      </x:c>
      <x:c r="AV153" s="8" t="str">
        <x:v>8</x:v>
      </x:c>
      <x:c r="AW153" s="6" t="str">
        <x:v>Delayed retest (2+ bars)</x:v>
      </x:c>
      <x:c r="AX153" s="6" t="str">
        <x:v>19435.25</x:v>
      </x:c>
      <x:c r="AY153" s="6" t="str">
        <x:v>5.25</x:v>
      </x:c>
      <x:c r="AZ153" s="9" t="str">
        <x:v>0.1788739460227294</x:v>
      </x:c>
      <x:c r="BA153" s="9" t="str">
        <x:v>0.6473533284632111</x:v>
      </x:c>
      <x:c r="BB153" s="9" t="str">
        <x:v>0.9880656066017434</x:v>
      </x:c>
      <x:c r="BC153" s="9" t="str">
        <x:v>0.025553420860389916</x:v>
      </x:c>
      <x:c r="BD153" s="6" t="str">
        <x:v>0.13793103448275862</x:v>
      </x:c>
      <x:c r="BE153" s="6" t="str">
        <x:v>0.8362068965517241</x:v>
      </x:c>
      <x:c r="BF153" s="9" t="str">
        <x:v>0.8262272744859406</x:v>
      </x:c>
      <x:c r="BG153" s="9" t="str">
        <x:v>0.1362849112554129</x:v>
      </x:c>
      <x:c r="BH153" s="6" t="str">
        <x:v>Against trade</x:v>
      </x:c>
      <x:c r="BI153" s="6" t="str">
        <x:v>Penetration + same-bar reclaim</x:v>
      </x:c>
      <x:c r="BJ153" s="6" t="str">
        <x:v>False</x:v>
      </x:c>
      <x:c r="BK153" s="10" t="str">
        <x:v>True</x:v>
      </x:c>
      <x:c r="BL153" s="6" t="str">
        <x:v>True</x:v>
      </x:c>
      <x:c r="BM153" s="7" t="str">
        <x:v>2024-06-28 09:45:00-05:00</x:v>
      </x:c>
      <x:c r="BN153" s="8" t="str">
        <x:v>1</x:v>
      </x:c>
      <x:c r="BO153" s="6" t="str">
        <x:v>Immediate confirmation (1 bar)</x:v>
      </x:c>
      <x:c r="BP153" s="9" t="str">
        <x:v>0.008721576145788132</x:v>
      </x:c>
      <x:c r="BQ153" s="9" t="str">
        <x:v>0.6890045155172624</x:v>
      </x:c>
      <x:c r="BR153" s="10" t="str">
        <x:v>0.012658227848101266</x:v>
      </x:c>
      <x:c r="BS153" s="9" t="str">
        <x:v>0.662839787079898</x:v>
      </x:c>
      <x:c r="BT153" s="9" t="str">
        <x:v>0.0</x:v>
      </x:c>
      <x:c r="BU153" s="9" t="str">
        <x:v>0.5407377210388642</x:v>
      </x:c>
      <x:c r="BV153" s="6" t="str">
        <x:v>With trade</x:v>
      </x:c>
      <x:c r="BW153" s="7" t="str">
        <x:v>2024-06-28 09:45:00-05:00</x:v>
      </x:c>
      <x:c r="BX153" s="6" t="str">
        <x:v>19459.5</x:v>
      </x:c>
      <x:c r="BY153" s="9" t="str">
        <x:v>28.664543635353258</x:v>
      </x:c>
      <x:c r="BZ153" s="9" t="str">
        <x:v>0.98</x:v>
      </x:c>
      <x:c r="CA153" s="6" t="str">
        <x:v>19416.50318454697</x:v>
      </x:c>
      <x:c r="CB153" s="6" t="str">
        <x:v>42.99681545302883</x:v>
      </x:c>
      <x:c r="CC153" s="9" t="str">
        <x:v>1.4999999999999631</x:v>
      </x:c>
      <x:c r="CD153" s="6" t="str">
        <x:v>19545.49363090606</x:v>
      </x:c>
      <x:c r="CE153" s="6" t="str">
        <x:v>85.9936309060613</x:v>
      </x:c>
      <x:c r="CF153" s="6" t="str">
        <x:v>Fixed 2.00R target</x:v>
      </x:c>
      <x:c r="CG153" s="9" t="str">
        <x:v>0.01686171388185747</x:v>
      </x:c>
      <x:c r="CH153" s="9" t="str">
        <x:v>-1.0</x:v>
      </x:c>
      <x:c r="CI153" s="9" t="str">
        <x:v>-1.0168617138818574</x:v>
      </x:c>
      <x:c r="CJ153" s="6" t="str">
        <x:v>Loss</x:v>
      </x:c>
      <x:c r="CK153" s="9" t="str">
        <x:v>0.08140137736069124</x:v>
      </x:c>
      <x:c r="CL153" s="9" t="str">
        <x:v>1.1919487399244073</x:v>
      </x:c>
      <x:c r="CM153" s="7" t="str">
        <x:v>2024-06-28 09:50:00-05:00</x:v>
      </x:c>
      <x:c r="CN153" s="6" t="str">
        <x:v>19416.50318454697</x:v>
      </x:c>
      <x:c r="CO153" s="6" t="str">
        <x:v>STOP</x:v>
      </x:c>
      <x:c r="CP153" s="6" t="str">
        <x:v>F::Long::Same-bar Setup+BOS::Penetration + same-bar reclaim</x:v>
      </x:c>
    </x:row>
    <x:row r="154" ht="18" customHeight="1">
      <x:c r="A154" s="6" t="str">
        <x:v>A0153</x:v>
      </x:c>
      <x:c r="B154" s="6" t="str">
        <x:v>2024-06-28</x:v>
      </x:c>
      <x:c r="C154" s="6" t="str">
        <x:v>2024</x:v>
      </x:c>
      <x:c r="D154" s="6" t="str">
        <x:v>2024-Q2</x:v>
      </x:c>
      <x:c r="E154" s="6" t="str">
        <x:v>First 50%</x:v>
      </x:c>
      <x:c r="F154" s="6" t="str">
        <x:v>Short</x:v>
      </x:c>
      <x:c r="G154" s="6" t="str">
        <x:v>Short</x:v>
      </x:c>
      <x:c r="H154" s="6" t="str">
        <x:v>Morning</x:v>
      </x:c>
      <x:c r="I154" s="6" t="str">
        <x:v>Morning</x:v>
      </x:c>
      <x:c r="J154" s="6" t="str">
        <x:v>Bull</x:v>
      </x:c>
      <x:c r="K154" s="6" t="str">
        <x:v>Bull</x:v>
      </x:c>
      <x:c r="L154" s="6" t="str">
        <x:v>HIGH</x:v>
      </x:c>
      <x:c r="M154" s="7" t="str">
        <x:v>2024-06-28 11:05:00-05:00</x:v>
      </x:c>
      <x:c r="N154" s="6" t="str">
        <x:v>75.0</x:v>
      </x:c>
      <x:c r="O154" s="6" t="str">
        <x:v>75-79</x:v>
      </x:c>
      <x:c r="P154" s="6" t="str">
        <x:v>Matching BOS only</x:v>
      </x:c>
      <x:c r="Q154" s="6" t="str">
        <x:v>Bear CHoCH</x:v>
      </x:c>
      <x:c r="R154" s="6" t="str">
        <x:v>True</x:v>
      </x:c>
      <x:c r="S154" s="6" t="str">
        <x:v>False</x:v>
      </x:c>
      <x:c r="T154" s="6" t="str">
        <x:v>No recent matching sweep</x:v>
      </x:c>
      <x:c r="U154" s="6" t="str">
        <x:v>None</x:v>
      </x:c>
      <x:c r="V154" s="6" t="str">
        <x:v>None</x:v>
      </x:c>
      <x:c r="W154" s="6" t="str">
        <x:v>[]</x:v>
      </x:c>
      <x:c r="X154" s="8" t="str">
        <x:v>0</x:v>
      </x:c>
      <x:c r="Y154" s="8" t="str"/>
      <x:c r="Z154" s="6" t="str">
        <x:v>None</x:v>
      </x:c>
      <x:c r="AA154" s="6" t="str">
        <x:v>19338.25</x:v>
      </x:c>
      <x:c r="AB154" s="9" t="str">
        <x:v>0.3810461090951445</x:v>
      </x:c>
      <x:c r="AC154" s="9" t="str">
        <x:v>1.0911774942270047</x:v>
      </x:c>
      <x:c r="AD154" s="9" t="str">
        <x:v>1.4549033256360062</x:v>
      </x:c>
      <x:c r="AE154" s="6" t="str">
        <x:v>With trade</x:v>
      </x:c>
      <x:c r="AF154" s="7" t="str">
        <x:v>2024-06-28 11:05:00-05:00</x:v>
      </x:c>
      <x:c r="AG154" s="6" t="str">
        <x:v>Short</x:v>
      </x:c>
      <x:c r="AH154" s="6" t="str">
        <x:v>19338.25</x:v>
      </x:c>
      <x:c r="AI154" s="8" t="str">
        <x:v>0</x:v>
      </x:c>
      <x:c r="AJ154" s="6" t="str">
        <x:v>True</x:v>
      </x:c>
      <x:c r="AK154" s="6" t="str">
        <x:v>Same-bar Setup+BOS</x:v>
      </x:c>
      <x:c r="AL154" s="9" t="str">
        <x:v>1.0651970776977904</x:v>
      </x:c>
      <x:c r="AM154" s="9" t="str">
        <x:v>0.3810461090951445</x:v>
      </x:c>
      <x:c r="AN154" s="9" t="str">
        <x:v>1.0911774942270047</x:v>
      </x:c>
      <x:c r="AO154" s="9" t="str">
        <x:v>1.4549033256360062</x:v>
      </x:c>
      <x:c r="AP154" s="10" t="str">
        <x:v>0.75</x:v>
      </x:c>
      <x:c r="AQ154" s="6" t="str">
        <x:v>0.017857142857142856</x:v>
      </x:c>
      <x:c r="AR154" s="6" t="str">
        <x:v>0.23214285714285715</x:v>
      </x:c>
      <x:c r="AS154" s="6" t="str">
        <x:v>With trade</x:v>
      </x:c>
      <x:c r="AT154" s="6" t="str">
        <x:v>1.1486427293092876</x:v>
      </x:c>
      <x:c r="AU154" s="7" t="str">
        <x:v>2024-06-28 11:25:00-05:00</x:v>
      </x:c>
      <x:c r="AV154" s="8" t="str">
        <x:v>4</x:v>
      </x:c>
      <x:c r="AW154" s="6" t="str">
        <x:v>Delayed retest (2+ bars)</x:v>
      </x:c>
      <x:c r="AX154" s="6" t="str">
        <x:v>19338.0</x:v>
      </x:c>
      <x:c r="AY154" s="6" t="str">
        <x:v>0.0</x:v>
      </x:c>
      <x:c r="AZ154" s="9" t="str">
        <x:v>0.0</x:v>
      </x:c>
      <x:c r="BA154" s="9" t="str">
        <x:v>0.1387918597291681</x:v>
      </x:c>
      <x:c r="BB154" s="9" t="str">
        <x:v>0.8761236145403737</x:v>
      </x:c>
      <x:c r="BC154" s="9" t="str">
        <x:v>0.7026337898789136</x:v>
      </x:c>
      <x:c r="BD154" s="6" t="str">
        <x:v>0.1485148514851485</x:v>
      </x:c>
      <x:c r="BE154" s="6" t="str">
        <x:v>0.04950495049504951</x:v>
      </x:c>
      <x:c r="BF154" s="9" t="str">
        <x:v>0.13011736849609512</x:v>
      </x:c>
      <x:c r="BG154" s="9" t="str">
        <x:v>0.04337245616536504</x:v>
      </x:c>
      <x:c r="BH154" s="6" t="str">
        <x:v>Against trade</x:v>
      </x:c>
      <x:c r="BI154" s="6" t="str">
        <x:v>Tolerance-only shallow touch</x:v>
      </x:c>
      <x:c r="BJ154" s="6" t="str">
        <x:v>True</x:v>
      </x:c>
      <x:c r="BK154" s="10" t="str">
        <x:v>False</x:v>
      </x:c>
      <x:c r="BL154" s="6" t="str">
        <x:v>True</x:v>
      </x:c>
      <x:c r="BM154" s="7" t="str">
        <x:v>2024-06-28 11:30:00-05:00</x:v>
      </x:c>
      <x:c r="BN154" s="8" t="str">
        <x:v>1</x:v>
      </x:c>
      <x:c r="BO154" s="6" t="str">
        <x:v>Immediate confirmation (1 bar)</x:v>
      </x:c>
      <x:c r="BP154" s="9" t="str">
        <x:v>0.9889312300914682</x:v>
      </x:c>
      <x:c r="BQ154" s="9" t="str">
        <x:v>1.545724443672379</x:v>
      </x:c>
      <x:c r="BR154" s="10" t="str">
        <x:v>0.6397849462365591</x:v>
      </x:c>
      <x:c r="BS154" s="9" t="str">
        <x:v>1.146827813047249</x:v>
      </x:c>
      <x:c r="BT154" s="9" t="str">
        <x:v>1.0138622695055388</x:v>
      </x:c>
      <x:c r="BU154" s="9" t="str">
        <x:v>0.2410000476693494</x:v>
      </x:c>
      <x:c r="BV154" s="6" t="str">
        <x:v>With trade</x:v>
      </x:c>
      <x:c r="BW154" s="7" t="str">
        <x:v>2024-06-28 11:30:00-05:00</x:v>
      </x:c>
      <x:c r="BX154" s="6" t="str">
        <x:v>19303.75</x:v>
      </x:c>
      <x:c r="BY154" s="9" t="str">
        <x:v>30.082981601509704</x:v>
      </x:c>
      <x:c r="BZ154" s="9" t="str">
        <x:v>0.89</x:v>
      </x:c>
      <x:c r="CA154" s="6" t="str">
        <x:v>19348.874472402265</x:v>
      </x:c>
      <x:c r="CB154" s="6" t="str">
        <x:v>45.12447240226538</x:v>
      </x:c>
      <x:c r="CC154" s="9" t="str">
        <x:v>1.5000000000000275</x:v>
      </x:c>
      <x:c r="CD154" s="6" t="str">
        <x:v>19213.50105519547</x:v>
      </x:c>
      <x:c r="CE154" s="6" t="str">
        <x:v>90.24894480453077</x:v>
      </x:c>
      <x:c r="CF154" s="6" t="str">
        <x:v>Fixed 2.00R target</x:v>
      </x:c>
      <x:c r="CG154" s="9" t="str">
        <x:v>0.016066669844623</x:v>
      </x:c>
      <x:c r="CH154" s="9" t="str">
        <x:v>0.02770115490452292</x:v>
      </x:c>
      <x:c r="CI154" s="9" t="str">
        <x:v>0.011634485059899922</x:v>
      </x:c>
      <x:c r="CJ154" s="6" t="str">
        <x:v>Win</x:v>
      </x:c>
      <x:c r="CK154" s="9" t="str">
        <x:v>1.2410117397226041</x:v>
      </x:c>
      <x:c r="CL154" s="9" t="str">
        <x:v>0.6925288726130603</x:v>
      </x:c>
      <x:c r="CM154" s="7" t="str">
        <x:v>2024-06-28 12:30:00-05:00</x:v>
      </x:c>
      <x:c r="CN154" s="6" t="str">
        <x:v>19302.5</x:v>
      </x:c>
      <x:c r="CO154" s="6" t="str">
        <x:v>TIME</x:v>
      </x:c>
      <x:c r="CP154" s="6" t="str">
        <x:v>F::Short::Same-bar Setup+BOS::Tolerance-only shallow touch</x:v>
      </x:c>
    </x:row>
    <x:row r="155" ht="18" customHeight="1">
      <x:c r="A155" s="6" t="str">
        <x:v>A0154</x:v>
      </x:c>
      <x:c r="B155" s="6" t="str">
        <x:v>2024-07-01</x:v>
      </x:c>
      <x:c r="C155" s="6" t="str">
        <x:v>2024</x:v>
      </x:c>
      <x:c r="D155" s="6" t="str">
        <x:v>2024-Q3</x:v>
      </x:c>
      <x:c r="E155" s="6" t="str">
        <x:v>First 50%</x:v>
      </x:c>
      <x:c r="F155" s="6" t="str">
        <x:v>Short</x:v>
      </x:c>
      <x:c r="G155" s="6" t="str">
        <x:v>Short</x:v>
      </x:c>
      <x:c r="H155" s="6" t="str">
        <x:v>Overnight</x:v>
      </x:c>
      <x:c r="I155" s="6" t="str">
        <x:v>Overnight</x:v>
      </x:c>
      <x:c r="J155" s="6" t="str">
        <x:v>Bear</x:v>
      </x:c>
      <x:c r="K155" s="6" t="str">
        <x:v>Bear</x:v>
      </x:c>
      <x:c r="L155" s="6" t="str">
        <x:v>HIGH</x:v>
      </x:c>
      <x:c r="M155" s="7" t="str">
        <x:v>2024-07-01 02:25:00-05:00</x:v>
      </x:c>
      <x:c r="N155" s="6" t="str">
        <x:v>90.0</x:v>
      </x:c>
      <x:c r="O155" s="6" t="str">
        <x:v>90-94</x:v>
      </x:c>
      <x:c r="P155" s="6" t="str">
        <x:v>Matching BOS only</x:v>
      </x:c>
      <x:c r="Q155" s="6" t="str">
        <x:v>Bear CHoCH</x:v>
      </x:c>
      <x:c r="R155" s="6" t="str">
        <x:v>True</x:v>
      </x:c>
      <x:c r="S155" s="6" t="str">
        <x:v>False</x:v>
      </x:c>
      <x:c r="T155" s="6" t="str">
        <x:v>Recent BSL</x:v>
      </x:c>
      <x:c r="U155" s="6" t="str">
        <x:v>BSL</x:v>
      </x:c>
      <x:c r="V155" s="6" t="str">
        <x:v>Swing high / buy-side</x:v>
      </x:c>
      <x:c r="W155" s="6" t="str">
        <x:v>[19280.75]</x:v>
      </x:c>
      <x:c r="X155" s="8" t="str">
        <x:v>1</x:v>
      </x:c>
      <x:c r="Y155" s="8" t="str">
        <x:v>13.0</x:v>
      </x:c>
      <x:c r="Z155" s="6" t="str">
        <x:v>None</x:v>
      </x:c>
      <x:c r="AA155" s="6" t="str">
        <x:v>19237.25</x:v>
      </x:c>
      <x:c r="AB155" s="9" t="str">
        <x:v>0.2594087242798023</x:v>
      </x:c>
      <x:c r="AC155" s="9" t="str">
        <x:v>1.2451618765430512</x:v>
      </x:c>
      <x:c r="AD155" s="9" t="str">
        <x:v>1.4526888559668931</x:v>
      </x:c>
      <x:c r="AE155" s="6" t="str">
        <x:v>With trade</x:v>
      </x:c>
      <x:c r="AF155" s="7" t="str">
        <x:v>2024-07-01 02:25:00-05:00</x:v>
      </x:c>
      <x:c r="AG155" s="6" t="str">
        <x:v>Short</x:v>
      </x:c>
      <x:c r="AH155" s="6" t="str">
        <x:v>19237.25</x:v>
      </x:c>
      <x:c r="AI155" s="8" t="str">
        <x:v>0</x:v>
      </x:c>
      <x:c r="AJ155" s="6" t="str">
        <x:v>True</x:v>
      </x:c>
      <x:c r="AK155" s="6" t="str">
        <x:v>Same-bar Setup+BOS</x:v>
      </x:c>
      <x:c r="AL155" s="9" t="str">
        <x:v>1.0895166419751698</x:v>
      </x:c>
      <x:c r="AM155" s="9" t="str">
        <x:v>0.2594087242798023</x:v>
      </x:c>
      <x:c r="AN155" s="9" t="str">
        <x:v>1.2451618765430512</x:v>
      </x:c>
      <x:c r="AO155" s="9" t="str">
        <x:v>1.4526888559668931</x:v>
      </x:c>
      <x:c r="AP155" s="10" t="str">
        <x:v>0.8571428571428571</x:v>
      </x:c>
      <x:c r="AQ155" s="6" t="str">
        <x:v>0.125</x:v>
      </x:c>
      <x:c r="AR155" s="6" t="str">
        <x:v>0.017857142857142856</x:v>
      </x:c>
      <x:c r="AS155" s="6" t="str">
        <x:v>With trade</x:v>
      </x:c>
      <x:c r="AT155" s="6" t="str">
        <x:v>1.8871692461308038</x:v>
      </x:c>
      <x:c r="AU155" s="7" t="str">
        <x:v>2024-07-01 02:30:00-05:00</x:v>
      </x:c>
      <x:c r="AV155" s="8" t="str">
        <x:v>1</x:v>
      </x:c>
      <x:c r="AW155" s="6" t="str">
        <x:v>Immediate retest (1 bar)</x:v>
      </x:c>
      <x:c r="AX155" s="6" t="str">
        <x:v>19243.5</x:v>
      </x:c>
      <x:c r="AY155" s="6" t="str">
        <x:v>6.25</x:v>
      </x:c>
      <x:c r="AZ155" s="9" t="str">
        <x:v>0.6237306408307886</x:v>
      </x:c>
      <x:c r="BA155" s="9" t="str">
        <x:v>0.47403528703139924</x:v>
      </x:c>
      <x:c r="BB155" s="9" t="str">
        <x:v>1.4969535379938925</x:v>
      </x:c>
      <x:c r="BC155" s="9" t="str">
        <x:v>0.22454303069908385</x:v>
      </x:c>
      <x:c r="BD155" s="6" t="str">
        <x:v>0.5833333333333334</x:v>
      </x:c>
      <x:c r="BE155" s="6" t="str">
        <x:v>0.26666666666666666</x:v>
      </x:c>
      <x:c r="BF155" s="9" t="str">
        <x:v>0.8732228971631039</x:v>
      </x:c>
      <x:c r="BG155" s="9" t="str">
        <x:v>0.3991876101317047</x:v>
      </x:c>
      <x:c r="BH155" s="6" t="str">
        <x:v>With trade</x:v>
      </x:c>
      <x:c r="BI155" s="6" t="str">
        <x:v>Penetration + same-bar reclaim</x:v>
      </x:c>
      <x:c r="BJ155" s="6" t="str">
        <x:v>False</x:v>
      </x:c>
      <x:c r="BK155" s="10" t="str">
        <x:v>True</x:v>
      </x:c>
      <x:c r="BL155" s="6" t="str">
        <x:v>True</x:v>
      </x:c>
      <x:c r="BM155" s="7" t="str">
        <x:v>2024-07-01 02:35:00-05:00</x:v>
      </x:c>
      <x:c r="BN155" s="8" t="str">
        <x:v>1</x:v>
      </x:c>
      <x:c r="BO155" s="6" t="str">
        <x:v>Immediate confirmation (1 bar)</x:v>
      </x:c>
      <x:c r="BP155" s="9" t="str">
        <x:v>0.5609186812785782</x:v>
      </x:c>
      <x:c r="BQ155" s="9" t="str">
        <x:v>1.2925517438158542</x:v>
      </x:c>
      <x:c r="BR155" s="10" t="str">
        <x:v>0.4339622641509434</x:v>
      </x:c>
      <x:c r="BS155" s="9" t="str">
        <x:v>0.9998985188009439</x:v>
      </x:c>
      <x:c r="BT155" s="9" t="str">
        <x:v>0.5365309125273358</x:v>
      </x:c>
      <x:c r="BU155" s="9" t="str">
        <x:v>0.0</x:v>
      </x:c>
      <x:c r="BV155" s="6" t="str">
        <x:v>With trade</x:v>
      </x:c>
      <x:c r="BW155" s="7" t="str">
        <x:v>2024-07-01 02:35:00-05:00</x:v>
      </x:c>
      <x:c r="BX155" s="6" t="str">
        <x:v>19227.0</x:v>
      </x:c>
      <x:c r="BY155" s="9" t="str">
        <x:v>10.251040287859984</x:v>
      </x:c>
      <x:c r="BZ155" s="9" t="str">
        <x:v>0.77</x:v>
      </x:c>
      <x:c r="CA155" s="6" t="str">
        <x:v>19242.37656043179</x:v>
      </x:c>
      <x:c r="CB155" s="6" t="str">
        <x:v>15.376560431788675</x:v>
      </x:c>
      <x:c r="CC155" s="9" t="str">
        <x:v>1.499999999999873</x:v>
      </x:c>
      <x:c r="CD155" s="6" t="str">
        <x:v>19196.24687913642</x:v>
      </x:c>
      <x:c r="CE155" s="6" t="str">
        <x:v>30.75312086358099</x:v>
      </x:c>
      <x:c r="CF155" s="6" t="str">
        <x:v>Fixed 2.00R target</x:v>
      </x:c>
      <x:c r="CG155" s="9" t="str">
        <x:v>0.047149686252406224</x:v>
      </x:c>
      <x:c r="CH155" s="9" t="str">
        <x:v>2.0</x:v>
      </x:c>
      <x:c r="CI155" s="9" t="str">
        <x:v>1.9528503137475939</x:v>
      </x:c>
      <x:c r="CJ155" s="6" t="str">
        <x:v>Win</x:v>
      </x:c>
      <x:c r="CK155" s="9" t="str">
        <x:v>2.178640675111184</x:v>
      </x:c>
      <x:c r="CL155" s="9" t="str">
        <x:v>0.4552383500232325</x:v>
      </x:c>
      <x:c r="CM155" s="7" t="str">
        <x:v>2024-07-01 02:55:00-05:00</x:v>
      </x:c>
      <x:c r="CN155" s="6" t="str">
        <x:v>19196.24687913642</x:v>
      </x:c>
      <x:c r="CO155" s="6" t="str">
        <x:v>TARGET</x:v>
      </x:c>
      <x:c r="CP155" s="6" t="str">
        <x:v>F::Short::Same-bar Setup+BOS::Penetration + same-bar reclaim</x:v>
      </x:c>
    </x:row>
    <x:row r="156" ht="18" customHeight="1">
      <x:c r="A156" s="6" t="str">
        <x:v>A0155</x:v>
      </x:c>
      <x:c r="B156" s="6" t="str">
        <x:v>2024-07-02</x:v>
      </x:c>
      <x:c r="C156" s="6" t="str">
        <x:v>2024</x:v>
      </x:c>
      <x:c r="D156" s="6" t="str">
        <x:v>2024-Q3</x:v>
      </x:c>
      <x:c r="E156" s="6" t="str">
        <x:v>First 50%</x:v>
      </x:c>
      <x:c r="F156" s="6" t="str">
        <x:v>Long</x:v>
      </x:c>
      <x:c r="G156" s="6" t="str">
        <x:v>Long</x:v>
      </x:c>
      <x:c r="H156" s="6" t="str">
        <x:v>Afternoon</x:v>
      </x:c>
      <x:c r="I156" s="6" t="str">
        <x:v>Afternoon</x:v>
      </x:c>
      <x:c r="J156" s="6" t="str">
        <x:v>Bull</x:v>
      </x:c>
      <x:c r="K156" s="6" t="str">
        <x:v>Bull</x:v>
      </x:c>
      <x:c r="L156" s="6" t="str">
        <x:v>MID</x:v>
      </x:c>
      <x:c r="M156" s="7" t="str">
        <x:v>2024-07-02 14:50:00-05:00</x:v>
      </x:c>
      <x:c r="N156" s="6" t="str">
        <x:v>100.0</x:v>
      </x:c>
      <x:c r="O156" s="6" t="str">
        <x:v>95+</x:v>
      </x:c>
      <x:c r="P156" s="6" t="str">
        <x:v>Matching liquidity sweep only</x:v>
      </x:c>
      <x:c r="Q156" s="6" t="str">
        <x:v>Recent bull structure</x:v>
      </x:c>
      <x:c r="R156" s="6" t="str">
        <x:v>False</x:v>
      </x:c>
      <x:c r="S156" s="6" t="str">
        <x:v>True</x:v>
      </x:c>
      <x:c r="T156" s="6" t="str">
        <x:v>Recent SSL</x:v>
      </x:c>
      <x:c r="U156" s="6" t="str">
        <x:v>SSL</x:v>
      </x:c>
      <x:c r="V156" s="6" t="str">
        <x:v>Swing low / sell-side</x:v>
      </x:c>
      <x:c r="W156" s="6" t="str">
        <x:v>[19474.25]</x:v>
      </x:c>
      <x:c r="X156" s="8" t="str">
        <x:v>1</x:v>
      </x:c>
      <x:c r="Y156" s="8" t="str">
        <x:v>0.0</x:v>
      </x:c>
      <x:c r="Z156" s="6" t="str">
        <x:v>Sweep below CRT reference</x:v>
      </x:c>
      <x:c r="AA156" s="6" t="str">
        <x:v>19502.5</x:v>
      </x:c>
      <x:c r="AB156" s="9" t="str">
        <x:v>-0.2829939649530865</x:v>
      </x:c>
      <x:c r="AC156" s="9" t="str">
        <x:v>1.2817961941992742</x:v>
      </x:c>
      <x:c r="AD156" s="9" t="str">
        <x:v>2.014251162313145</x:v>
      </x:c>
      <x:c r="AE156" s="6" t="str">
        <x:v>With trade</x:v>
      </x:c>
      <x:c r="AF156" s="7" t="str">
        <x:v>2024-07-02 14:55:00-05:00</x:v>
      </x:c>
      <x:c r="AG156" s="6" t="str">
        <x:v>Long</x:v>
      </x:c>
      <x:c r="AH156" s="6" t="str">
        <x:v>19502.5</x:v>
      </x:c>
      <x:c r="AI156" s="8" t="str">
        <x:v>1</x:v>
      </x:c>
      <x:c r="AJ156" s="6" t="str">
        <x:v>False</x:v>
      </x:c>
      <x:c r="AK156" s="6" t="str">
        <x:v>Delayed BOS</x:v>
      </x:c>
      <x:c r="AL156" s="9" t="str">
        <x:v>1.3086537873484088</x:v>
      </x:c>
      <x:c r="AM156" s="9" t="str">
        <x:v>1.0406162646384938</x:v>
      </x:c>
      <x:c r="AN156" s="9" t="str">
        <x:v>1.3086537873484088</x:v>
      </x:c>
      <x:c r="AO156" s="9" t="str">
        <x:v>1.6870597017624065</x:v>
      </x:c>
      <x:c r="AP156" s="10" t="str">
        <x:v>0.7757009345794392</x:v>
      </x:c>
      <x:c r="AQ156" s="6" t="str">
        <x:v>0.102803738317757</x:v>
      </x:c>
      <x:c r="AR156" s="6" t="str">
        <x:v>0.12149532710280374</x:v>
      </x:c>
      <x:c r="AS156" s="6" t="str">
        <x:v>With trade</x:v>
      </x:c>
      <x:c r="AT156" s="6" t="str">
        <x:v>5.2297192996709585</x:v>
      </x:c>
      <x:c r="AU156" s="7" t="str">
        <x:v>2024-07-02 15:00:00-05:00</x:v>
      </x:c>
      <x:c r="AV156" s="8" t="str">
        <x:v>1</x:v>
      </x:c>
      <x:c r="AW156" s="6" t="str">
        <x:v>Immediate retest (1 bar)</x:v>
      </x:c>
      <x:c r="AX156" s="6" t="str">
        <x:v>19502.5</x:v>
      </x:c>
      <x:c r="AY156" s="6" t="str">
        <x:v>0.0</x:v>
      </x:c>
      <x:c r="AZ156" s="9" t="str">
        <x:v>0.0</x:v>
      </x:c>
      <x:c r="BA156" s="9" t="str">
        <x:v>0.2198513606692516</x:v>
      </x:c>
      <x:c r="BB156" s="9" t="str">
        <x:v>1.0521457974885613</x:v>
      </x:c>
      <x:c r="BC156" s="9" t="str">
        <x:v>0.8165907682000774</x:v>
      </x:c>
      <x:c r="BD156" s="6" t="str">
        <x:v>0.014925373134328358</x:v>
      </x:c>
      <x:c r="BE156" s="6" t="str">
        <x:v>0.208955223880597</x:v>
      </x:c>
      <x:c r="BF156" s="9" t="str">
        <x:v>0.2198513606692516</x:v>
      </x:c>
      <x:c r="BG156" s="9" t="str">
        <x:v>0.015703668619232256</x:v>
      </x:c>
      <x:c r="BH156" s="6" t="str">
        <x:v>Against trade</x:v>
      </x:c>
      <x:c r="BI156" s="6" t="str">
        <x:v>Exact BOS touch</x:v>
      </x:c>
      <x:c r="BJ156" s="6" t="str">
        <x:v>True</x:v>
      </x:c>
      <x:c r="BK156" s="10" t="str">
        <x:v>False</x:v>
      </x:c>
      <x:c r="BL156" s="6" t="str">
        <x:v>True</x:v>
      </x:c>
      <x:c r="BM156" s="7" t="str">
        <x:v>2024-07-02 15:10:00-05:00</x:v>
      </x:c>
      <x:c r="BN156" s="8" t="str">
        <x:v>2</x:v>
      </x:c>
      <x:c r="BO156" s="6" t="str">
        <x:v>Delayed confirmation (2+ bars)</x:v>
      </x:c>
      <x:c r="BP156" s="9" t="str">
        <x:v>0.9613485172027691</x:v>
      </x:c>
      <x:c r="BQ156" s="9" t="str">
        <x:v>1.2817980229370254</x:v>
      </x:c>
      <x:c r="BR156" s="10" t="str">
        <x:v>0.75</x:v>
      </x:c>
      <x:c r="BS156" s="9" t="str">
        <x:v>0.881236140769205</x:v>
      </x:c>
      <x:c r="BT156" s="9" t="str">
        <x:v>0.6569214867552255</x:v>
      </x:c>
      <x:c r="BU156" s="9" t="str">
        <x:v>0.09613485172027691</x:v>
      </x:c>
      <x:c r="BV156" s="6" t="str">
        <x:v>With trade</x:v>
      </x:c>
      <x:c r="BW156" s="7" t="str">
        <x:v>2024-07-02 15:10:00-05:00</x:v>
      </x:c>
      <x:c r="BX156" s="6" t="str">
        <x:v>19516.25</x:v>
      </x:c>
      <x:c r="BY156" s="9" t="str">
        <x:v>15.603082265779557</x:v>
      </x:c>
      <x:c r="BZ156" s="9" t="str">
        <x:v>0.36</x:v>
      </x:c>
      <x:c r="CA156" s="6" t="str">
        <x:v>19492.84537660133</x:v>
      </x:c>
      <x:c r="CB156" s="6" t="str">
        <x:v>23.404623398670083</x:v>
      </x:c>
      <x:c r="CC156" s="9" t="str">
        <x:v>1.500000000000048</x:v>
      </x:c>
      <x:c r="CD156" s="6" t="str">
        <x:v>19563.05924679734</x:v>
      </x:c>
      <x:c r="CE156" s="6" t="str">
        <x:v>46.809246797340165</x:v>
      </x:c>
      <x:c r="CF156" s="6" t="str">
        <x:v>Fixed 2.00R target</x:v>
      </x:c>
      <x:c r="CG156" s="9" t="str">
        <x:v>0.03097678555431046</x:v>
      </x:c>
      <x:c r="CH156" s="9" t="str">
        <x:v>-1.0</x:v>
      </x:c>
      <x:c r="CI156" s="9" t="str">
        <x:v>-1.0309767855543104</x:v>
      </x:c>
      <x:c r="CJ156" s="6" t="str">
        <x:v>Loss</x:v>
      </x:c>
      <x:c r="CK156" s="9" t="str">
        <x:v>0.032044950573424616</x:v>
      </x:c>
      <x:c r="CL156" s="9" t="str">
        <x:v>1.0574833689230123</x:v>
      </x:c>
      <x:c r="CM156" s="7" t="str">
        <x:v>2024-07-02 15:45:00-05:00</x:v>
      </x:c>
      <x:c r="CN156" s="6" t="str">
        <x:v>19492.84537660133</x:v>
      </x:c>
      <x:c r="CO156" s="6" t="str">
        <x:v>STOP</x:v>
      </x:c>
      <x:c r="CP156" s="6" t="str">
        <x:v>F::Long::Delayed BOS::Exact BOS touch</x:v>
      </x:c>
    </x:row>
    <x:row r="157" ht="18" customHeight="1">
      <x:c r="A157" s="6" t="str">
        <x:v>A0156</x:v>
      </x:c>
      <x:c r="B157" s="6" t="str">
        <x:v>2024-07-04</x:v>
      </x:c>
      <x:c r="C157" s="6" t="str">
        <x:v>2024</x:v>
      </x:c>
      <x:c r="D157" s="6" t="str">
        <x:v>2024-Q3</x:v>
      </x:c>
      <x:c r="E157" s="6" t="str">
        <x:v>First 50%</x:v>
      </x:c>
      <x:c r="F157" s="6" t="str">
        <x:v>Long</x:v>
      </x:c>
      <x:c r="G157" s="6" t="str">
        <x:v>Long</x:v>
      </x:c>
      <x:c r="H157" s="6" t="str">
        <x:v>Overnight</x:v>
      </x:c>
      <x:c r="I157" s="6" t="str">
        <x:v>Overnight</x:v>
      </x:c>
      <x:c r="J157" s="6" t="str">
        <x:v>Bull</x:v>
      </x:c>
      <x:c r="K157" s="6" t="str">
        <x:v>Bull</x:v>
      </x:c>
      <x:c r="L157" s="6" t="str">
        <x:v>HIGH</x:v>
      </x:c>
      <x:c r="M157" s="7" t="str">
        <x:v>2024-07-04 18:20:00-05:00</x:v>
      </x:c>
      <x:c r="N157" s="6" t="str">
        <x:v>75.0</x:v>
      </x:c>
      <x:c r="O157" s="6" t="str">
        <x:v>75-79</x:v>
      </x:c>
      <x:c r="P157" s="6" t="str">
        <x:v>Matching BOS only</x:v>
      </x:c>
      <x:c r="Q157" s="6" t="str">
        <x:v>Bull CHoCH</x:v>
      </x:c>
      <x:c r="R157" s="6" t="str">
        <x:v>True</x:v>
      </x:c>
      <x:c r="S157" s="6" t="str">
        <x:v>False</x:v>
      </x:c>
      <x:c r="T157" s="6" t="str">
        <x:v>Recent SSL</x:v>
      </x:c>
      <x:c r="U157" s="6" t="str">
        <x:v>SSL</x:v>
      </x:c>
      <x:c r="V157" s="6" t="str">
        <x:v>Swing low / sell-side</x:v>
      </x:c>
      <x:c r="W157" s="6" t="str">
        <x:v>[19632.25,19636.25]</x:v>
      </x:c>
      <x:c r="X157" s="8" t="str">
        <x:v>2</x:v>
      </x:c>
      <x:c r="Y157" s="8" t="str">
        <x:v>16.0</x:v>
      </x:c>
      <x:c r="Z157" s="6" t="str">
        <x:v>None</x:v>
      </x:c>
      <x:c r="AA157" s="6" t="str">
        <x:v>19652.25</x:v>
      </x:c>
      <x:c r="AB157" s="9" t="str">
        <x:v>0.14739450985383545</x:v>
      </x:c>
      <x:c r="AC157" s="9" t="str">
        <x:v>0.19652601313844725</x:v>
      </x:c>
      <x:c r="AD157" s="9" t="str">
        <x:v>1.08089307226146</x:v>
      </x:c>
      <x:c r="AE157" s="6" t="str">
        <x:v>With trade</x:v>
      </x:c>
      <x:c r="AF157" s="7" t="str">
        <x:v>2024-07-04 18:20:00-05:00</x:v>
      </x:c>
      <x:c r="AG157" s="6" t="str">
        <x:v>Long</x:v>
      </x:c>
      <x:c r="AH157" s="6" t="str">
        <x:v>19652.25</x:v>
      </x:c>
      <x:c r="AI157" s="8" t="str">
        <x:v>0</x:v>
      </x:c>
      <x:c r="AJ157" s="6" t="str">
        <x:v>True</x:v>
      </x:c>
      <x:c r="AK157" s="6" t="str">
        <x:v>Same-bar Setup+BOS</x:v>
      </x:c>
      <x:c r="AL157" s="9" t="str">
        <x:v>0.14739450985383545</x:v>
      </x:c>
      <x:c r="AM157" s="9" t="str">
        <x:v>0.14739450985383545</x:v>
      </x:c>
      <x:c r="AN157" s="9" t="str">
        <x:v>0.19652601313844725</x:v>
      </x:c>
      <x:c r="AO157" s="9" t="str">
        <x:v>1.08089307226146</x:v>
      </x:c>
      <x:c r="AP157" s="10" t="str">
        <x:v>0.18181818181818182</x:v>
      </x:c>
      <x:c r="AQ157" s="6" t="str">
        <x:v>0.7727272727272727</x:v>
      </x:c>
      <x:c r="AR157" s="6" t="str">
        <x:v>0.045454545454545456</x:v>
      </x:c>
      <x:c r="AS157" s="6" t="str">
        <x:v>With trade</x:v>
      </x:c>
      <x:c r="AT157" s="6" t="str">
        <x:v>2.050739957716702</x:v>
      </x:c>
      <x:c r="AU157" s="7" t="str">
        <x:v>2024-07-04 18:25:00-05:00</x:v>
      </x:c>
      <x:c r="AV157" s="8" t="str">
        <x:v>1</x:v>
      </x:c>
      <x:c r="AW157" s="6" t="str">
        <x:v>Immediate retest (1 bar)</x:v>
      </x:c>
      <x:c r="AX157" s="6" t="str">
        <x:v>19652.5</x:v>
      </x:c>
      <x:c r="AY157" s="6" t="str">
        <x:v>0.0</x:v>
      </x:c>
      <x:c r="AZ157" s="9" t="str">
        <x:v>0.0</x:v>
      </x:c>
      <x:c r="BA157" s="9" t="str">
        <x:v>0.7276607741960442</x:v>
      </x:c>
      <x:c r="BB157" s="9" t="str">
        <x:v>1.1642572387136707</x:v>
      </x:c>
      <x:c r="BC157" s="9" t="str">
        <x:v>0.533617901077099</x:v>
      </x:c>
      <x:c r="BD157" s="6" t="str">
        <x:v>0.4166666666666667</x:v>
      </x:c>
      <x:c r="BE157" s="6" t="str">
        <x:v>0.125</x:v>
      </x:c>
      <x:c r="BF157" s="9" t="str">
        <x:v>0.14553215483920884</x:v>
      </x:c>
      <x:c r="BG157" s="9" t="str">
        <x:v>0.4851071827973628</x:v>
      </x:c>
      <x:c r="BH157" s="6" t="str">
        <x:v>With trade</x:v>
      </x:c>
      <x:c r="BI157" s="6" t="str">
        <x:v>Tolerance-only shallow touch</x:v>
      </x:c>
      <x:c r="BJ157" s="6" t="str">
        <x:v>True</x:v>
      </x:c>
      <x:c r="BK157" s="10" t="str">
        <x:v>False</x:v>
      </x:c>
      <x:c r="BL157" s="6" t="str">
        <x:v>True</x:v>
      </x:c>
      <x:c r="BM157" s="7" t="str">
        <x:v>2024-07-04 18:30:00-05:00</x:v>
      </x:c>
      <x:c r="BN157" s="8" t="str">
        <x:v>1</x:v>
      </x:c>
      <x:c r="BO157" s="6" t="str">
        <x:v>Immediate confirmation (1 bar)</x:v>
      </x:c>
      <x:c r="BP157" s="9" t="str">
        <x:v>0.4345097067549512</x:v>
      </x:c>
      <x:c r="BQ157" s="9" t="str">
        <x:v>1.0621348387343252</x:v>
      </x:c>
      <x:c r="BR157" s="10" t="str">
        <x:v>0.4090909090909091</x:v>
      </x:c>
      <x:c r="BS157" s="9" t="str">
        <x:v>1.1586925513465367</x:v>
      </x:c>
      <x:c r="BT157" s="9" t="str">
        <x:v>0.4345097067549512</x:v>
      </x:c>
      <x:c r="BU157" s="9" t="str">
        <x:v>0.4345097067549512</x:v>
      </x:c>
      <x:c r="BV157" s="6" t="str">
        <x:v>With trade</x:v>
      </x:c>
      <x:c r="BW157" s="7" t="str">
        <x:v>2024-07-04 18:30:00-05:00</x:v>
      </x:c>
      <x:c r="BX157" s="6" t="str">
        <x:v>19658.25</x:v>
      </x:c>
      <x:c r="BY157" s="9" t="str">
        <x:v>5.17825025545154</x:v>
      </x:c>
      <x:c r="BZ157" s="9" t="str">
        <x:v>0.74</x:v>
      </x:c>
      <x:c r="CA157" s="6" t="str">
        <x:v>19650.482624616823</x:v>
      </x:c>
      <x:c r="CB157" s="6" t="str">
        <x:v>7.767375383176841</x:v>
      </x:c>
      <x:c r="CC157" s="9" t="str">
        <x:v>1.4999999999999094</x:v>
      </x:c>
      <x:c r="CD157" s="6" t="str">
        <x:v>19673.784750766354</x:v>
      </x:c>
      <x:c r="CE157" s="6" t="str">
        <x:v>15.534750766353682</x:v>
      </x:c>
      <x:c r="CF157" s="6" t="str">
        <x:v>Fixed 2.00R target</x:v>
      </x:c>
      <x:c r="CG157" s="9" t="str">
        <x:v>0.09333912219180998</x:v>
      </x:c>
      <x:c r="CH157" s="9" t="str">
        <x:v>0.03218590420407046</x:v>
      </x:c>
      <x:c r="CI157" s="9" t="str">
        <x:v>-0.06115321798773952</x:v>
      </x:c>
      <x:c r="CJ157" s="6" t="str">
        <x:v>Loss</x:v>
      </x:c>
      <x:c r="CK157" s="9" t="str">
        <x:v>0.6115321798773757</x:v>
      </x:c>
      <x:c r="CL157" s="9" t="str">
        <x:v>0.8690194135099549</x:v>
      </x:c>
      <x:c r="CM157" s="7" t="str">
        <x:v>2024-07-04 19:30:00-05:00</x:v>
      </x:c>
      <x:c r="CN157" s="6" t="str">
        <x:v>19658.5</x:v>
      </x:c>
      <x:c r="CO157" s="6" t="str">
        <x:v>TIME</x:v>
      </x:c>
      <x:c r="CP157" s="6" t="str">
        <x:v>F::Long::Same-bar Setup+BOS::Tolerance-only shallow touch</x:v>
      </x:c>
    </x:row>
    <x:row r="158" ht="18" customHeight="1">
      <x:c r="A158" s="6" t="str">
        <x:v>A0157</x:v>
      </x:c>
      <x:c r="B158" s="6" t="str">
        <x:v>2024-07-05</x:v>
      </x:c>
      <x:c r="C158" s="6" t="str">
        <x:v>2024</x:v>
      </x:c>
      <x:c r="D158" s="6" t="str">
        <x:v>2024-Q3</x:v>
      </x:c>
      <x:c r="E158" s="6" t="str">
        <x:v>First 50%</x:v>
      </x:c>
      <x:c r="F158" s="6" t="str">
        <x:v>Long</x:v>
      </x:c>
      <x:c r="G158" s="6" t="str">
        <x:v>Long</x:v>
      </x:c>
      <x:c r="H158" s="6" t="str">
        <x:v>Opening</x:v>
      </x:c>
      <x:c r="I158" s="6" t="str">
        <x:v>Opening</x:v>
      </x:c>
      <x:c r="J158" s="6" t="str">
        <x:v>Bull</x:v>
      </x:c>
      <x:c r="K158" s="6" t="str">
        <x:v>Bull</x:v>
      </x:c>
      <x:c r="L158" s="6" t="str">
        <x:v>HIGH</x:v>
      </x:c>
      <x:c r="M158" s="7" t="str">
        <x:v>2024-07-05 10:10:00-05:00</x:v>
      </x:c>
      <x:c r="N158" s="6" t="str">
        <x:v>75.0</x:v>
      </x:c>
      <x:c r="O158" s="6" t="str">
        <x:v>75-79</x:v>
      </x:c>
      <x:c r="P158" s="6" t="str">
        <x:v>Matching BOS only</x:v>
      </x:c>
      <x:c r="Q158" s="6" t="str">
        <x:v>Bull BOS</x:v>
      </x:c>
      <x:c r="R158" s="6" t="str">
        <x:v>True</x:v>
      </x:c>
      <x:c r="S158" s="6" t="str">
        <x:v>False</x:v>
      </x:c>
      <x:c r="T158" s="6" t="str">
        <x:v>No recent matching sweep</x:v>
      </x:c>
      <x:c r="U158" s="6" t="str">
        <x:v>None</x:v>
      </x:c>
      <x:c r="V158" s="6" t="str">
        <x:v>None</x:v>
      </x:c>
      <x:c r="W158" s="6" t="str">
        <x:v>[]</x:v>
      </x:c>
      <x:c r="X158" s="8" t="str">
        <x:v>0</x:v>
      </x:c>
      <x:c r="Y158" s="8" t="str"/>
      <x:c r="Z158" s="6" t="str">
        <x:v>None</x:v>
      </x:c>
      <x:c r="AA158" s="6" t="str">
        <x:v>19806.75</x:v>
      </x:c>
      <x:c r="AB158" s="9" t="str">
        <x:v>0.6916412463269921</x:v>
      </x:c>
      <x:c r="AC158" s="9" t="str">
        <x:v>0.8668570287298301</x:v>
      </x:c>
      <x:c r="AD158" s="9" t="str">
        <x:v>1.0881822275544675</x:v>
      </x:c>
      <x:c r="AE158" s="6" t="str">
        <x:v>With trade</x:v>
      </x:c>
      <x:c r="AF158" s="7" t="str">
        <x:v>2024-07-05 10:10:00-05:00</x:v>
      </x:c>
      <x:c r="AG158" s="6" t="str">
        <x:v>Long</x:v>
      </x:c>
      <x:c r="AH158" s="6" t="str">
        <x:v>19806.75</x:v>
      </x:c>
      <x:c r="AI158" s="8" t="str">
        <x:v>0</x:v>
      </x:c>
      <x:c r="AJ158" s="6" t="str">
        <x:v>True</x:v>
      </x:c>
      <x:c r="AK158" s="6" t="str">
        <x:v>Same-bar Setup+BOS</x:v>
      </x:c>
      <x:c r="AL158" s="9" t="str">
        <x:v>0.8853007952985499</x:v>
      </x:c>
      <x:c r="AM158" s="9" t="str">
        <x:v>0.6916412463269921</x:v>
      </x:c>
      <x:c r="AN158" s="9" t="str">
        <x:v>0.8668570287298301</x:v>
      </x:c>
      <x:c r="AO158" s="9" t="str">
        <x:v>1.0881822275544675</x:v>
      </x:c>
      <x:c r="AP158" s="10" t="str">
        <x:v>0.7966101694915254</x:v>
      </x:c>
      <x:c r="AQ158" s="6" t="str">
        <x:v>0.11016949152542373</x:v>
      </x:c>
      <x:c r="AR158" s="6" t="str">
        <x:v>0.09322033898305085</x:v>
      </x:c>
      <x:c r="AS158" s="6" t="str">
        <x:v>With trade</x:v>
      </x:c>
      <x:c r="AT158" s="6" t="str">
        <x:v>0.7087092469777538</x:v>
      </x:c>
      <x:c r="AU158" s="7" t="str">
        <x:v>2024-07-05 10:20:00-05:00</x:v>
      </x:c>
      <x:c r="AV158" s="8" t="str">
        <x:v>2</x:v>
      </x:c>
      <x:c r="AW158" s="6" t="str">
        <x:v>Delayed retest (2+ bars)</x:v>
      </x:c>
      <x:c r="AX158" s="6" t="str">
        <x:v>19803.75</x:v>
      </x:c>
      <x:c r="AY158" s="6" t="str">
        <x:v>3.0</x:v>
      </x:c>
      <x:c r="AZ158" s="9" t="str">
        <x:v>0.1142303490529208</x:v>
      </x:c>
      <x:c r="BA158" s="9" t="str">
        <x:v>0.5045173749837335</x:v>
      </x:c>
      <x:c r="BB158" s="9" t="str">
        <x:v>0.7615356603528053</x:v>
      </x:c>
      <x:c r="BC158" s="9" t="str">
        <x:v>0.0856727617896906</x:v>
      </x:c>
      <x:c r="BD158" s="6" t="str">
        <x:v>0.075</x:v>
      </x:c>
      <x:c r="BE158" s="6" t="str">
        <x:v>0.8125</x:v>
      </x:c>
      <x:c r="BF158" s="9" t="str">
        <x:v>0.6187477240366543</x:v>
      </x:c>
      <x:c r="BG158" s="9" t="str">
        <x:v>0.0571151745264604</x:v>
      </x:c>
      <x:c r="BH158" s="6" t="str">
        <x:v>Against trade</x:v>
      </x:c>
      <x:c r="BI158" s="6" t="str">
        <x:v>Penetration + same-bar reclaim</x:v>
      </x:c>
      <x:c r="BJ158" s="6" t="str">
        <x:v>False</x:v>
      </x:c>
      <x:c r="BK158" s="10" t="str">
        <x:v>True</x:v>
      </x:c>
      <x:c r="BL158" s="6" t="str">
        <x:v>True</x:v>
      </x:c>
      <x:c r="BM158" s="7" t="str">
        <x:v>2024-07-05 10:25:00-05:00</x:v>
      </x:c>
      <x:c r="BN158" s="8" t="str">
        <x:v>1</x:v>
      </x:c>
      <x:c r="BO158" s="6" t="str">
        <x:v>Immediate confirmation (1 bar)</x:v>
      </x:c>
      <x:c r="BP158" s="9" t="str">
        <x:v>0.11701922046730164</x:v>
      </x:c>
      <x:c r="BQ158" s="9" t="str">
        <x:v>0.6826121193925929</x:v>
      </x:c>
      <x:c r="BR158" s="10" t="str">
        <x:v>0.17142857142857143</x:v>
      </x:c>
      <x:c r="BS158" s="9" t="str">
        <x:v>0.6338541108645506</x:v>
      </x:c>
      <x:c r="BT158" s="9" t="str">
        <x:v>0.11701922046730164</x:v>
      </x:c>
      <x:c r="BU158" s="9" t="str">
        <x:v>0.39981566992994727</x:v>
      </x:c>
      <x:c r="BV158" s="6" t="str">
        <x:v>With trade</x:v>
      </x:c>
      <x:c r="BW158" s="7" t="str">
        <x:v>2024-07-05 10:25:00-05:00</x:v>
      </x:c>
      <x:c r="BX158" s="6" t="str">
        <x:v>19823.0</x:v>
      </x:c>
      <x:c r="BY158" s="9" t="str">
        <x:v>25.636814089342543</x:v>
      </x:c>
      <x:c r="BZ158" s="9" t="str">
        <x:v>0.84</x:v>
      </x:c>
      <x:c r="CA158" s="6" t="str">
        <x:v>19784.544778865988</x:v>
      </x:c>
      <x:c r="CB158" s="6" t="str">
        <x:v>38.45522113401239</x:v>
      </x:c>
      <x:c r="CC158" s="9" t="str">
        <x:v>1.4999999999999445</x:v>
      </x:c>
      <x:c r="CD158" s="6" t="str">
        <x:v>19899.91044226803</x:v>
      </x:c>
      <x:c r="CE158" s="6" t="str">
        <x:v>76.91044226802842</x:v>
      </x:c>
      <x:c r="CF158" s="6" t="str">
        <x:v>Fixed 2.00R target</x:v>
      </x:c>
      <x:c r="CG158" s="9" t="str">
        <x:v>0.01885309663084374</x:v>
      </x:c>
      <x:c r="CH158" s="9" t="str">
        <x:v>1.4172327812150978</x:v>
      </x:c>
      <x:c r="CI158" s="9" t="str">
        <x:v>1.398379684584254</x:v>
      </x:c>
      <x:c r="CJ158" s="6" t="str">
        <x:v>Win</x:v>
      </x:c>
      <x:c r="CK158" s="9" t="str">
        <x:v>1.4692413236450639</x:v>
      </x:c>
      <x:c r="CL158" s="9" t="str">
        <x:v>0.03900640682243532</x:v>
      </x:c>
      <x:c r="CM158" s="7" t="str">
        <x:v>2024-07-05 11:25:00-05:00</x:v>
      </x:c>
      <x:c r="CN158" s="6" t="str">
        <x:v>19877.5</x:v>
      </x:c>
      <x:c r="CO158" s="6" t="str">
        <x:v>TIME</x:v>
      </x:c>
      <x:c r="CP158" s="6" t="str">
        <x:v>F::Long::Same-bar Setup+BOS::Penetration + same-bar reclaim</x:v>
      </x:c>
    </x:row>
    <x:row r="159" ht="18" customHeight="1">
      <x:c r="A159" s="6" t="str">
        <x:v>A0158</x:v>
      </x:c>
      <x:c r="B159" s="6" t="str">
        <x:v>2024-07-05</x:v>
      </x:c>
      <x:c r="C159" s="6" t="str">
        <x:v>2024</x:v>
      </x:c>
      <x:c r="D159" s="6" t="str">
        <x:v>2024-Q3</x:v>
      </x:c>
      <x:c r="E159" s="6" t="str">
        <x:v>First 50%</x:v>
      </x:c>
      <x:c r="F159" s="6" t="str">
        <x:v>Short</x:v>
      </x:c>
      <x:c r="G159" s="6" t="str">
        <x:v>Short</x:v>
      </x:c>
      <x:c r="H159" s="6" t="str">
        <x:v>Afternoon</x:v>
      </x:c>
      <x:c r="I159" s="6" t="str">
        <x:v>Afternoon</x:v>
      </x:c>
      <x:c r="J159" s="6" t="str">
        <x:v>Bull</x:v>
      </x:c>
      <x:c r="K159" s="6" t="str">
        <x:v>Bull</x:v>
      </x:c>
      <x:c r="L159" s="6" t="str">
        <x:v>LOW</x:v>
      </x:c>
      <x:c r="M159" s="7" t="str">
        <x:v>2024-07-05 15:40:00-05:00</x:v>
      </x:c>
      <x:c r="N159" s="6" t="str">
        <x:v>85.0</x:v>
      </x:c>
      <x:c r="O159" s="6" t="str">
        <x:v>85-89</x:v>
      </x:c>
      <x:c r="P159" s="6" t="str">
        <x:v>Matching BOS only</x:v>
      </x:c>
      <x:c r="Q159" s="6" t="str">
        <x:v>Bear CHoCH</x:v>
      </x:c>
      <x:c r="R159" s="6" t="str">
        <x:v>True</x:v>
      </x:c>
      <x:c r="S159" s="6" t="str">
        <x:v>False</x:v>
      </x:c>
      <x:c r="T159" s="6" t="str">
        <x:v>Recent BSL</x:v>
      </x:c>
      <x:c r="U159" s="6" t="str">
        <x:v>BSL</x:v>
      </x:c>
      <x:c r="V159" s="6" t="str">
        <x:v>Swing high / buy-side</x:v>
      </x:c>
      <x:c r="W159" s="6" t="str">
        <x:v>[19901.0]</x:v>
      </x:c>
      <x:c r="X159" s="8" t="str">
        <x:v>1</x:v>
      </x:c>
      <x:c r="Y159" s="8" t="str">
        <x:v>12.0</x:v>
      </x:c>
      <x:c r="Z159" s="6" t="str">
        <x:v>None</x:v>
      </x:c>
      <x:c r="AA159" s="6" t="str">
        <x:v>19867.75</x:v>
      </x:c>
      <x:c r="AB159" s="9" t="str">
        <x:v>0.18177199307061645</x:v>
      </x:c>
      <x:c r="AC159" s="9" t="str">
        <x:v>0.18177199307061645</x:v>
      </x:c>
      <x:c r="AD159" s="9" t="str">
        <x:v>0.3116091309781996</x:v>
      </x:c>
      <x:c r="AE159" s="6" t="str">
        <x:v>With trade</x:v>
      </x:c>
      <x:c r="AF159" s="7" t="str">
        <x:v>2024-07-05 15:40:00-05:00</x:v>
      </x:c>
      <x:c r="AG159" s="6" t="str">
        <x:v>Short</x:v>
      </x:c>
      <x:c r="AH159" s="6" t="str">
        <x:v>19867.75</x:v>
      </x:c>
      <x:c r="AI159" s="8" t="str">
        <x:v>0</x:v>
      </x:c>
      <x:c r="AJ159" s="6" t="str">
        <x:v>True</x:v>
      </x:c>
      <x:c r="AK159" s="6" t="str">
        <x:v>Same-bar Setup+BOS</x:v>
      </x:c>
      <x:c r="AL159" s="9" t="str">
        <x:v>0.18177199307061645</x:v>
      </x:c>
      <x:c r="AM159" s="9" t="str">
        <x:v>0.18177199307061645</x:v>
      </x:c>
      <x:c r="AN159" s="9" t="str">
        <x:v>0.18177199307061645</x:v>
      </x:c>
      <x:c r="AO159" s="9" t="str">
        <x:v>0.3116091309781996</x:v>
      </x:c>
      <x:c r="AP159" s="10" t="str">
        <x:v>0.5833333333333334</x:v>
      </x:c>
      <x:c r="AQ159" s="6" t="str">
        <x:v>0.4166666666666667</x:v>
      </x:c>
      <x:c r="AR159" s="6" t="str">
        <x:v>0.0</x:v>
      </x:c>
      <x:c r="AS159" s="6" t="str">
        <x:v>With trade</x:v>
      </x:c>
      <x:c r="AT159" s="6" t="str">
        <x:v>0.11257558447348623</x:v>
      </x:c>
      <x:c r="AU159" s="7" t="str">
        <x:v>2024-07-05 15:45:00-05:00</x:v>
      </x:c>
      <x:c r="AV159" s="8" t="str">
        <x:v>1</x:v>
      </x:c>
      <x:c r="AW159" s="6" t="str">
        <x:v>Immediate retest (1 bar)</x:v>
      </x:c>
      <x:c r="AX159" s="6" t="str">
        <x:v>19867.25</x:v>
      </x:c>
      <x:c r="AY159" s="6" t="str">
        <x:v>0.0</x:v>
      </x:c>
      <x:c r="AZ159" s="9" t="str">
        <x:v>0.0</x:v>
      </x:c>
      <x:c r="BA159" s="9" t="str">
        <x:v>0.5109222319629041</x:v>
      </x:c>
      <x:c r="BB159" s="9" t="str">
        <x:v>0.5378128757504254</x:v>
      </x:c>
      <x:c r="BC159" s="9" t="str">
        <x:v>0.32268772545025526</x:v>
      </x:c>
      <x:c r="BD159" s="6" t="str">
        <x:v>0.25</x:v>
      </x:c>
      <x:c r="BE159" s="6" t="str">
        <x:v>0.15</x:v>
      </x:c>
      <x:c r="BF159" s="9" t="str">
        <x:v>0.13445321893760634</x:v>
      </x:c>
      <x:c r="BG159" s="9" t="str">
        <x:v>0.08067193136256381</x:v>
      </x:c>
      <x:c r="BH159" s="6" t="str">
        <x:v>With trade</x:v>
      </x:c>
      <x:c r="BI159" s="6" t="str">
        <x:v>Tolerance-only shallow touch</x:v>
      </x:c>
      <x:c r="BJ159" s="6" t="str">
        <x:v>True</x:v>
      </x:c>
      <x:c r="BK159" s="10" t="str">
        <x:v>False</x:v>
      </x:c>
      <x:c r="BL159" s="6" t="str">
        <x:v>True</x:v>
      </x:c>
      <x:c r="BM159" s="7" t="str">
        <x:v>2024-07-05 15:55:00-05:00</x:v>
      </x:c>
      <x:c r="BN159" s="8" t="str">
        <x:v>2</x:v>
      </x:c>
      <x:c r="BO159" s="6" t="str">
        <x:v>Delayed confirmation (2+ bars)</x:v>
      </x:c>
      <x:c r="BP159" s="9" t="str">
        <x:v>1.2015180328337811</x:v>
      </x:c>
      <x:c r="BQ159" s="9" t="str">
        <x:v>1.4685220401301768</x:v>
      </x:c>
      <x:c r="BR159" s="10" t="str">
        <x:v>0.8181818181818182</x:v>
      </x:c>
      <x:c r="BS159" s="9" t="str">
        <x:v>1.4685220401301768</x:v>
      </x:c>
      <x:c r="BT159" s="9" t="str">
        <x:v>0.9612144262670248</x:v>
      </x:c>
      <x:c r="BU159" s="9" t="str">
        <x:v>0.1335020036481979</x:v>
      </x:c>
      <x:c r="BV159" s="6" t="str">
        <x:v>With trade</x:v>
      </x:c>
      <x:c r="BW159" s="7" t="str">
        <x:v>2024-07-05 15:55:00-05:00</x:v>
      </x:c>
      <x:c r="BX159" s="6" t="str">
        <x:v>19854.0</x:v>
      </x:c>
      <x:c r="BY159" s="9" t="str">
        <x:v>9.363155352289526</x:v>
      </x:c>
      <x:c r="BZ159" s="9" t="str">
        <x:v>0.02</x:v>
      </x:c>
      <x:c r="CA159" s="6" t="str">
        <x:v>19868.044733028433</x:v>
      </x:c>
      <x:c r="CB159" s="6" t="str">
        <x:v>14.044733028433257</x:v>
      </x:c>
      <x:c r="CC159" s="9" t="str">
        <x:v>1.4999999999998896</x:v>
      </x:c>
      <x:c r="CD159" s="6" t="str">
        <x:v>19825.91053394313</x:v>
      </x:c>
      <x:c r="CE159" s="6" t="str">
        <x:v>28.08946605687015</x:v>
      </x:c>
      <x:c r="CF159" s="6" t="str">
        <x:v>Fixed 2.00R target</x:v>
      </x:c>
      <x:c r="CG159" s="9" t="str">
        <x:v>0.05162077474397365</x:v>
      </x:c>
      <x:c r="CH159" s="9" t="str">
        <x:v>-1.0</x:v>
      </x:c>
      <x:c r="CI159" s="9" t="str">
        <x:v>-1.0516207747439736</x:v>
      </x:c>
      <x:c r="CJ159" s="6" t="str">
        <x:v>Loss</x:v>
      </x:c>
      <x:c r="CK159" s="9" t="str">
        <x:v>0.7298109532768688</x:v>
      </x:c>
      <x:c r="CL159" s="9" t="str">
        <x:v>1.530822975166115</x:v>
      </x:c>
      <x:c r="CM159" s="7" t="str">
        <x:v>2024-07-07 17:05:00-05:00</x:v>
      </x:c>
      <x:c r="CN159" s="6" t="str">
        <x:v>19868.044733028433</x:v>
      </x:c>
      <x:c r="CO159" s="6" t="str">
        <x:v>STOP</x:v>
      </x:c>
      <x:c r="CP159" s="6" t="str">
        <x:v>F::Short::Same-bar Setup+BOS::Tolerance-only shallow touch</x:v>
      </x:c>
    </x:row>
    <x:row r="160" ht="18" customHeight="1">
      <x:c r="A160" s="6" t="str">
        <x:v>A0159</x:v>
      </x:c>
      <x:c r="B160" s="6" t="str">
        <x:v>2024-07-08</x:v>
      </x:c>
      <x:c r="C160" s="6" t="str">
        <x:v>2024</x:v>
      </x:c>
      <x:c r="D160" s="6" t="str">
        <x:v>2024-Q3</x:v>
      </x:c>
      <x:c r="E160" s="6" t="str">
        <x:v>First 50%</x:v>
      </x:c>
      <x:c r="F160" s="6" t="str">
        <x:v>Long</x:v>
      </x:c>
      <x:c r="G160" s="6" t="str">
        <x:v>Long</x:v>
      </x:c>
      <x:c r="H160" s="6" t="str">
        <x:v>Morning</x:v>
      </x:c>
      <x:c r="I160" s="6" t="str">
        <x:v>Opening</x:v>
      </x:c>
      <x:c r="J160" s="6" t="str">
        <x:v>Bull</x:v>
      </x:c>
      <x:c r="K160" s="6" t="str">
        <x:v>Bull</x:v>
      </x:c>
      <x:c r="L160" s="6" t="str">
        <x:v>HIGH</x:v>
      </x:c>
      <x:c r="M160" s="7" t="str">
        <x:v>2024-07-08 10:20:00-05:00</x:v>
      </x:c>
      <x:c r="N160" s="6" t="str">
        <x:v>100.0</x:v>
      </x:c>
      <x:c r="O160" s="6" t="str">
        <x:v>95+</x:v>
      </x:c>
      <x:c r="P160" s="6" t="str">
        <x:v>Matching BOS only</x:v>
      </x:c>
      <x:c r="Q160" s="6" t="str">
        <x:v>Bull CHoCH</x:v>
      </x:c>
      <x:c r="R160" s="6" t="str">
        <x:v>True</x:v>
      </x:c>
      <x:c r="S160" s="6" t="str">
        <x:v>False</x:v>
      </x:c>
      <x:c r="T160" s="6" t="str">
        <x:v>Recent SSL</x:v>
      </x:c>
      <x:c r="U160" s="6" t="str">
        <x:v>SSL</x:v>
      </x:c>
      <x:c r="V160" s="6" t="str">
        <x:v>Swing low / sell-side</x:v>
      </x:c>
      <x:c r="W160" s="6" t="str">
        <x:v>[19851.75,19859.25]</x:v>
      </x:c>
      <x:c r="X160" s="8" t="str">
        <x:v>2</x:v>
      </x:c>
      <x:c r="Y160" s="8" t="str">
        <x:v>9.0</x:v>
      </x:c>
      <x:c r="Z160" s="6" t="str">
        <x:v>None</x:v>
      </x:c>
      <x:c r="AA160" s="6" t="str">
        <x:v>19916.0</x:v>
      </x:c>
      <x:c r="AB160" s="9" t="str">
        <x:v>0.2673512205662273</x:v>
      </x:c>
      <x:c r="AC160" s="9" t="str">
        <x:v>1.027191531649189</x:v>
      </x:c>
      <x:c r="AD160" s="9" t="str">
        <x:v>1.5759650896535504</x:v>
      </x:c>
      <x:c r="AE160" s="6" t="str">
        <x:v>With trade</x:v>
      </x:c>
      <x:c r="AF160" s="7" t="str">
        <x:v>2024-07-08 10:20:00-05:00</x:v>
      </x:c>
      <x:c r="AG160" s="6" t="str">
        <x:v>Long</x:v>
      </x:c>
      <x:c r="AH160" s="6" t="str">
        <x:v>19916.0</x:v>
      </x:c>
      <x:c r="AI160" s="8" t="str">
        <x:v>0</x:v>
      </x:c>
      <x:c r="AJ160" s="6" t="str">
        <x:v>True</x:v>
      </x:c>
      <x:c r="AK160" s="6" t="str">
        <x:v>Same-bar Setup+BOS</x:v>
      </x:c>
      <x:c r="AL160" s="9" t="str">
        <x:v>1.0553337653930026</x:v>
      </x:c>
      <x:c r="AM160" s="9" t="str">
        <x:v>0.2673512205662273</x:v>
      </x:c>
      <x:c r="AN160" s="9" t="str">
        <x:v>1.027191531649189</x:v>
      </x:c>
      <x:c r="AO160" s="9" t="str">
        <x:v>1.5759650896535504</x:v>
      </x:c>
      <x:c r="AP160" s="10" t="str">
        <x:v>0.6517857142857143</x:v>
      </x:c>
      <x:c r="AQ160" s="6" t="str">
        <x:v>0.30357142857142855</x:v>
      </x:c>
      <x:c r="AR160" s="6" t="str">
        <x:v>0.044642857142857144</x:v>
      </x:c>
      <x:c r="AS160" s="6" t="str">
        <x:v>With trade</x:v>
      </x:c>
      <x:c r="AT160" s="6" t="str">
        <x:v>1.4595512499304049</x:v>
      </x:c>
      <x:c r="AU160" s="7" t="str">
        <x:v>2024-07-08 10:25:00-05:00</x:v>
      </x:c>
      <x:c r="AV160" s="8" t="str">
        <x:v>1</x:v>
      </x:c>
      <x:c r="AW160" s="6" t="str">
        <x:v>Immediate retest (1 bar)</x:v>
      </x:c>
      <x:c r="AX160" s="6" t="str">
        <x:v>19909.25</x:v>
      </x:c>
      <x:c r="AY160" s="6" t="str">
        <x:v>6.75</x:v>
      </x:c>
      <x:c r="AZ160" s="9" t="str">
        <x:v>0.3818651114718711</x:v>
      </x:c>
      <x:c r="BA160" s="9" t="str">
        <x:v>0.48086717740902285</x:v>
      </x:c>
      <x:c r="BB160" s="9" t="str">
        <x:v>0.9334480502645738</x:v>
      </x:c>
      <x:c r="BC160" s="9" t="str">
        <x:v>0.19800413187430352</x:v>
      </x:c>
      <x:c r="BD160" s="6" t="str">
        <x:v>0.07575757575757576</x:v>
      </x:c>
      <x:c r="BE160" s="6" t="str">
        <x:v>0.7121212121212122</x:v>
      </x:c>
      <x:c r="BF160" s="9" t="str">
        <x:v>0.6647281570065904</x:v>
      </x:c>
      <x:c r="BG160" s="9" t="str">
        <x:v>0.07071576138367983</x:v>
      </x:c>
      <x:c r="BH160" s="6" t="str">
        <x:v>With trade</x:v>
      </x:c>
      <x:c r="BI160" s="6" t="str">
        <x:v>Penetration + same-bar reclaim</x:v>
      </x:c>
      <x:c r="BJ160" s="6" t="str">
        <x:v>False</x:v>
      </x:c>
      <x:c r="BK160" s="10" t="str">
        <x:v>True</x:v>
      </x:c>
      <x:c r="BL160" s="6" t="str">
        <x:v>True</x:v>
      </x:c>
      <x:c r="BM160" s="7" t="str">
        <x:v>2024-07-08 10:30:00-05:00</x:v>
      </x:c>
      <x:c r="BN160" s="8" t="str">
        <x:v>1</x:v>
      </x:c>
      <x:c r="BO160" s="6" t="str">
        <x:v>Immediate confirmation (1 bar)</x:v>
      </x:c>
      <x:c r="BP160" s="9" t="str">
        <x:v>0.043696620124767174</x:v>
      </x:c>
      <x:c r="BQ160" s="9" t="str">
        <x:v>0.6117526817467405</x:v>
      </x:c>
      <x:c r="BR160" s="10" t="str">
        <x:v>0.07142857142857142</x:v>
      </x:c>
      <x:c r="BS160" s="9" t="str">
        <x:v>0.5243594414972061</x:v>
      </x:c>
      <x:c r="BT160" s="9" t="str">
        <x:v>0.029131080083178117</x:v>
      </x:c>
      <x:c r="BU160" s="9" t="str">
        <x:v>0.1747864804990687</x:v>
      </x:c>
      <x:c r="BV160" s="6" t="str">
        <x:v>With trade</x:v>
      </x:c>
      <x:c r="BW160" s="7" t="str">
        <x:v>2024-07-08 10:30:00-05:00</x:v>
      </x:c>
      <x:c r="BX160" s="6" t="str">
        <x:v>19925.0</x:v>
      </x:c>
      <x:c r="BY160" s="9" t="str">
        <x:v>17.163798890132036</x:v>
      </x:c>
      <x:c r="BZ160" s="9" t="str">
        <x:v>0.91</x:v>
      </x:c>
      <x:c r="CA160" s="6" t="str">
        <x:v>19899.2543016648</x:v>
      </x:c>
      <x:c r="CB160" s="6" t="str">
        <x:v>25.74569833519854</x:v>
      </x:c>
      <x:c r="CC160" s="9" t="str">
        <x:v>1.5000000000000284</x:v>
      </x:c>
      <x:c r="CD160" s="6" t="str">
        <x:v>19976.491396670397</x:v>
      </x:c>
      <x:c r="CE160" s="6" t="str">
        <x:v>51.49139667039708</x:v>
      </x:c>
      <x:c r="CF160" s="6" t="str">
        <x:v>Fixed 2.00R target</x:v>
      </x:c>
      <x:c r="CG160" s="9" t="str">
        <x:v>0.02816004408040498</x:v>
      </x:c>
      <x:c r="CH160" s="9" t="str">
        <x:v>-1.0</x:v>
      </x:c>
      <x:c r="CI160" s="9" t="str">
        <x:v>-1.028160044080405</x:v>
      </x:c>
      <x:c r="CJ160" s="6" t="str">
        <x:v>Loss</x:v>
      </x:c>
      <x:c r="CK160" s="9" t="str">
        <x:v>0.01942072005545171</x:v>
      </x:c>
      <x:c r="CL160" s="9" t="str">
        <x:v>1.0584292430221183</x:v>
      </x:c>
      <x:c r="CM160" s="7" t="str">
        <x:v>2024-07-08 10:35:00-05:00</x:v>
      </x:c>
      <x:c r="CN160" s="6" t="str">
        <x:v>19899.2543016648</x:v>
      </x:c>
      <x:c r="CO160" s="6" t="str">
        <x:v>STOP</x:v>
      </x:c>
      <x:c r="CP160" s="6" t="str">
        <x:v>F::Long::Same-bar Setup+BOS::Penetration + same-bar reclaim</x:v>
      </x:c>
    </x:row>
    <x:row r="161" ht="18" customHeight="1">
      <x:c r="A161" s="6" t="str">
        <x:v>A0160</x:v>
      </x:c>
      <x:c r="B161" s="6" t="str">
        <x:v>2024-07-08</x:v>
      </x:c>
      <x:c r="C161" s="6" t="str">
        <x:v>2024</x:v>
      </x:c>
      <x:c r="D161" s="6" t="str">
        <x:v>2024-Q3</x:v>
      </x:c>
      <x:c r="E161" s="6" t="str">
        <x:v>First 50%</x:v>
      </x:c>
      <x:c r="F161" s="6" t="str">
        <x:v>Long</x:v>
      </x:c>
      <x:c r="G161" s="6" t="str">
        <x:v>Long</x:v>
      </x:c>
      <x:c r="H161" s="6" t="str">
        <x:v>Afternoon</x:v>
      </x:c>
      <x:c r="I161" s="6" t="str">
        <x:v>Afternoon</x:v>
      </x:c>
      <x:c r="J161" s="6" t="str">
        <x:v>Bull</x:v>
      </x:c>
      <x:c r="K161" s="6" t="str">
        <x:v>Bull</x:v>
      </x:c>
      <x:c r="L161" s="6" t="str">
        <x:v>HIGH</x:v>
      </x:c>
      <x:c r="M161" s="7" t="str">
        <x:v>2024-07-08 14:50:00-05:00</x:v>
      </x:c>
      <x:c r="N161" s="6" t="str">
        <x:v>100.0</x:v>
      </x:c>
      <x:c r="O161" s="6" t="str">
        <x:v>95+</x:v>
      </x:c>
      <x:c r="P161" s="6" t="str">
        <x:v>Matching BOS only</x:v>
      </x:c>
      <x:c r="Q161" s="6" t="str">
        <x:v>Bull CHoCH</x:v>
      </x:c>
      <x:c r="R161" s="6" t="str">
        <x:v>True</x:v>
      </x:c>
      <x:c r="S161" s="6" t="str">
        <x:v>False</x:v>
      </x:c>
      <x:c r="T161" s="6" t="str">
        <x:v>Recent SSL</x:v>
      </x:c>
      <x:c r="U161" s="6" t="str">
        <x:v>SSL</x:v>
      </x:c>
      <x:c r="V161" s="6" t="str">
        <x:v>Swing low / sell-side</x:v>
      </x:c>
      <x:c r="W161" s="6" t="str">
        <x:v>[19893.75]</x:v>
      </x:c>
      <x:c r="X161" s="8" t="str">
        <x:v>1</x:v>
      </x:c>
      <x:c r="Y161" s="8" t="str">
        <x:v>15.0</x:v>
      </x:c>
      <x:c r="Z161" s="6" t="str">
        <x:v>None</x:v>
      </x:c>
      <x:c r="AA161" s="6" t="str">
        <x:v>19918.75</x:v>
      </x:c>
      <x:c r="AB161" s="9" t="str">
        <x:v>0.7173878705092147</x:v>
      </x:c>
      <x:c r="AC161" s="9" t="str">
        <x:v>1.661319279073971</x:v>
      </x:c>
      <x:c r="AD161" s="9" t="str">
        <x:v>1.6990765354165613</x:v>
      </x:c>
      <x:c r="AE161" s="6" t="str">
        <x:v>With trade</x:v>
      </x:c>
      <x:c r="AF161" s="7" t="str">
        <x:v>2024-07-08 14:50:00-05:00</x:v>
      </x:c>
      <x:c r="AG161" s="6" t="str">
        <x:v>Long</x:v>
      </x:c>
      <x:c r="AH161" s="6" t="str">
        <x:v>19918.75</x:v>
      </x:c>
      <x:c r="AI161" s="8" t="str">
        <x:v>0</x:v>
      </x:c>
      <x:c r="AJ161" s="6" t="str">
        <x:v>True</x:v>
      </x:c>
      <x:c r="AK161" s="6" t="str">
        <x:v>Same-bar Setup+BOS</x:v>
      </x:c>
      <x:c r="AL161" s="9" t="str">
        <x:v>1.6801979072452662</x:v>
      </x:c>
      <x:c r="AM161" s="9" t="str">
        <x:v>0.7173878705092147</x:v>
      </x:c>
      <x:c r="AN161" s="9" t="str">
        <x:v>1.661319279073971</x:v>
      </x:c>
      <x:c r="AO161" s="9" t="str">
        <x:v>1.6990765354165613</x:v>
      </x:c>
      <x:c r="AP161" s="10" t="str">
        <x:v>0.9777777777777777</x:v>
      </x:c>
      <x:c r="AQ161" s="6" t="str">
        <x:v>0.022222222222222223</x:v>
      </x:c>
      <x:c r="AR161" s="6" t="str">
        <x:v>0.0</x:v>
      </x:c>
      <x:c r="AS161" s="6" t="str">
        <x:v>With trade</x:v>
      </x:c>
      <x:c r="AT161" s="6" t="str">
        <x:v>2.46422893481717</x:v>
      </x:c>
      <x:c r="AU161" s="7" t="str">
        <x:v>2024-07-08 14:55:00-05:00</x:v>
      </x:c>
      <x:c r="AV161" s="8" t="str">
        <x:v>1</x:v>
      </x:c>
      <x:c r="AW161" s="6" t="str">
        <x:v>Immediate retest (1 bar)</x:v>
      </x:c>
      <x:c r="AX161" s="6" t="str">
        <x:v>19913.5</x:v>
      </x:c>
      <x:c r="AY161" s="6" t="str">
        <x:v>5.25</x:v>
      </x:c>
      <x:c r="AZ161" s="9" t="str">
        <x:v>0.35141849377275447</x:v>
      </x:c>
      <x:c r="BA161" s="9" t="str">
        <x:v>0.6861027735563301</x:v>
      </x:c>
      <x:c r="BB161" s="9" t="str">
        <x:v>2.47666367039846</x:v>
      </x:c>
      <x:c r="BC161" s="9" t="str">
        <x:v>0.06693685595671514</x:v>
      </x:c>
      <x:c r="BD161" s="6" t="str">
        <x:v>0.581081081081081</x:v>
      </x:c>
      <x:c r="BE161" s="6" t="str">
        <x:v>0.3918918918918919</x:v>
      </x:c>
      <x:c r="BF161" s="9" t="str">
        <x:v>0.9705844113723695</x:v>
      </x:c>
      <x:c r="BG161" s="9" t="str">
        <x:v>1.4391424030693754</x:v>
      </x:c>
      <x:c r="BH161" s="6" t="str">
        <x:v>With trade</x:v>
      </x:c>
      <x:c r="BI161" s="6" t="str">
        <x:v>Penetration + same-bar reclaim</x:v>
      </x:c>
      <x:c r="BJ161" s="6" t="str">
        <x:v>False</x:v>
      </x:c>
      <x:c r="BK161" s="10" t="str">
        <x:v>True</x:v>
      </x:c>
      <x:c r="BL161" s="6" t="str">
        <x:v>True</x:v>
      </x:c>
      <x:c r="BM161" s="7" t="str">
        <x:v>2024-07-08 15:00:00-05:00</x:v>
      </x:c>
      <x:c r="BN161" s="8" t="str">
        <x:v>1</x:v>
      </x:c>
      <x:c r="BO161" s="6" t="str">
        <x:v>Immediate confirmation (1 bar)</x:v>
      </x:c>
      <x:c r="BP161" s="9" t="str">
        <x:v>0.6379210731917936</x:v>
      </x:c>
      <x:c r="BQ161" s="9" t="str">
        <x:v>1.6107507098092788</x:v>
      </x:c>
      <x:c r="BR161" s="10" t="str">
        <x:v>0.39603960396039606</x:v>
      </x:c>
      <x:c r="BS161" s="9" t="str">
        <x:v>1.2758421463835872</x:v>
      </x:c>
      <x:c r="BT161" s="9" t="str">
        <x:v>0.6219730463619987</x:v>
      </x:c>
      <x:c r="BU161" s="9" t="str">
        <x:v>0.6538691000215884</x:v>
      </x:c>
      <x:c r="BV161" s="6" t="str">
        <x:v>With trade</x:v>
      </x:c>
      <x:c r="BW161" s="7" t="str">
        <x:v>2024-07-08 15:00:00-05:00</x:v>
      </x:c>
      <x:c r="BX161" s="6" t="str">
        <x:v>19938.75</x:v>
      </x:c>
      <x:c r="BY161" s="9" t="str">
        <x:v>15.675920455121036</x:v>
      </x:c>
      <x:c r="BZ161" s="9" t="str">
        <x:v>0.67</x:v>
      </x:c>
      <x:c r="CA161" s="6" t="str">
        <x:v>19915.23611931732</x:v>
      </x:c>
      <x:c r="CB161" s="6" t="str">
        <x:v>23.513880682679883</x:v>
      </x:c>
      <x:c r="CC161" s="9" t="str">
        <x:v>1.4999999999998934</x:v>
      </x:c>
      <x:c r="CD161" s="6" t="str">
        <x:v>19985.777761365363</x:v>
      </x:c>
      <x:c r="CE161" s="6" t="str">
        <x:v>47.0277613653634</x:v>
      </x:c>
      <x:c r="CF161" s="6" t="str">
        <x:v>Fixed 2.00R target</x:v>
      </x:c>
      <x:c r="CG161" s="9" t="str">
        <x:v>0.030832851870938878</x:v>
      </x:c>
      <x:c r="CH161" s="9" t="str">
        <x:v>0.1488482504114185</x:v>
      </x:c>
      <x:c r="CI161" s="9" t="str">
        <x:v>0.11801539854047963</x:v>
      </x:c>
      <x:c r="CJ161" s="6" t="str">
        <x:v>Win</x:v>
      </x:c>
      <x:c r="CK161" s="9" t="str">
        <x:v>0.4678087870073485</x:v>
      </x:c>
      <x:c r="CL161" s="9" t="str">
        <x:v>0.15948026829795972</x:v>
      </x:c>
      <x:c r="CM161" s="7" t="str">
        <x:v>2024-07-08 17:00:00-05:00</x:v>
      </x:c>
      <x:c r="CN161" s="6" t="str">
        <x:v>19942.25</x:v>
      </x:c>
      <x:c r="CO161" s="6" t="str">
        <x:v>TIME</x:v>
      </x:c>
      <x:c r="CP161" s="6" t="str">
        <x:v>F::Long::Same-bar Setup+BOS::Penetration + same-bar reclaim</x:v>
      </x:c>
    </x:row>
    <x:row r="162" ht="18" customHeight="1">
      <x:c r="A162" s="6" t="str">
        <x:v>A0161</x:v>
      </x:c>
      <x:c r="B162" s="6" t="str">
        <x:v>2024-07-09</x:v>
      </x:c>
      <x:c r="C162" s="6" t="str">
        <x:v>2024</x:v>
      </x:c>
      <x:c r="D162" s="6" t="str">
        <x:v>2024-Q3</x:v>
      </x:c>
      <x:c r="E162" s="6" t="str">
        <x:v>First 50%</x:v>
      </x:c>
      <x:c r="F162" s="6" t="str">
        <x:v>Short</x:v>
      </x:c>
      <x:c r="G162" s="6" t="str">
        <x:v>Short</x:v>
      </x:c>
      <x:c r="H162" s="6" t="str">
        <x:v>Overnight</x:v>
      </x:c>
      <x:c r="I162" s="6" t="str">
        <x:v>Overnight</x:v>
      </x:c>
      <x:c r="J162" s="6" t="str">
        <x:v>Bull</x:v>
      </x:c>
      <x:c r="K162" s="6" t="str">
        <x:v>Bull</x:v>
      </x:c>
      <x:c r="L162" s="6" t="str">
        <x:v>LOW</x:v>
      </x:c>
      <x:c r="M162" s="7" t="str">
        <x:v>2024-07-09 00:20:00-05:00</x:v>
      </x:c>
      <x:c r="N162" s="6" t="str">
        <x:v>90.0</x:v>
      </x:c>
      <x:c r="O162" s="6" t="str">
        <x:v>90-94</x:v>
      </x:c>
      <x:c r="P162" s="6" t="str">
        <x:v>Matching BOS only</x:v>
      </x:c>
      <x:c r="Q162" s="6" t="str">
        <x:v>Bear CHoCH</x:v>
      </x:c>
      <x:c r="R162" s="6" t="str">
        <x:v>True</x:v>
      </x:c>
      <x:c r="S162" s="6" t="str">
        <x:v>False</x:v>
      </x:c>
      <x:c r="T162" s="6" t="str">
        <x:v>Recent BSL</x:v>
      </x:c>
      <x:c r="U162" s="6" t="str">
        <x:v>BSL</x:v>
      </x:c>
      <x:c r="V162" s="6" t="str">
        <x:v>Swing high / buy-side</x:v>
      </x:c>
      <x:c r="W162" s="6" t="str">
        <x:v>[20000.0,19998.5]</x:v>
      </x:c>
      <x:c r="X162" s="8" t="str">
        <x:v>2</x:v>
      </x:c>
      <x:c r="Y162" s="8" t="str">
        <x:v>8.0</x:v>
      </x:c>
      <x:c r="Z162" s="6" t="str">
        <x:v>None</x:v>
      </x:c>
      <x:c r="AA162" s="6" t="str">
        <x:v>19991.75</x:v>
      </x:c>
      <x:c r="AB162" s="9" t="str">
        <x:v>0.6952919541062224</x:v>
      </x:c>
      <x:c r="AC162" s="9" t="str">
        <x:v>2.731504105417302</x:v>
      </x:c>
      <x:c r="AD162" s="9" t="str">
        <x:v>3.079150082470413</x:v>
      </x:c>
      <x:c r="AE162" s="6" t="str">
        <x:v>With trade</x:v>
      </x:c>
      <x:c r="AF162" s="7" t="str">
        <x:v>2024-07-09 00:20:00-05:00</x:v>
      </x:c>
      <x:c r="AG162" s="6" t="str">
        <x:v>Short</x:v>
      </x:c>
      <x:c r="AH162" s="6" t="str">
        <x:v>19991.75</x:v>
      </x:c>
      <x:c r="AI162" s="8" t="str">
        <x:v>0</x:v>
      </x:c>
      <x:c r="AJ162" s="6" t="str">
        <x:v>True</x:v>
      </x:c>
      <x:c r="AK162" s="6" t="str">
        <x:v>Same-bar Setup+BOS</x:v>
      </x:c>
      <x:c r="AL162" s="9" t="str">
        <x:v>2.7811678164248894</x:v>
      </x:c>
      <x:c r="AM162" s="9" t="str">
        <x:v>0.6952919541062224</x:v>
      </x:c>
      <x:c r="AN162" s="9" t="str">
        <x:v>2.731504105417302</x:v>
      </x:c>
      <x:c r="AO162" s="9" t="str">
        <x:v>3.079150082470413</x:v>
      </x:c>
      <x:c r="AP162" s="10" t="str">
        <x:v>0.8870967741935484</x:v>
      </x:c>
      <x:c r="AQ162" s="6" t="str">
        <x:v>0.0</x:v>
      </x:c>
      <x:c r="AR162" s="6" t="str">
        <x:v>0.11290322580645161</x:v>
      </x:c>
      <x:c r="AS162" s="6" t="str">
        <x:v>With trade</x:v>
      </x:c>
      <x:c r="AT162" s="6" t="str">
        <x:v>5.91044776119403</x:v>
      </x:c>
      <x:c r="AU162" s="7" t="str">
        <x:v>2024-07-09 00:25:00-05:00</x:v>
      </x:c>
      <x:c r="AV162" s="8" t="str">
        <x:v>1</x:v>
      </x:c>
      <x:c r="AW162" s="6" t="str">
        <x:v>Immediate retest (1 bar)</x:v>
      </x:c>
      <x:c r="AX162" s="6" t="str">
        <x:v>19991.5</x:v>
      </x:c>
      <x:c r="AY162" s="6" t="str">
        <x:v>0.0</x:v>
      </x:c>
      <x:c r="AZ162" s="9" t="str">
        <x:v>0.0</x:v>
      </x:c>
      <x:c r="BA162" s="9" t="str">
        <x:v>0.4968758156007054</x:v>
      </x:c>
      <x:c r="BB162" s="9" t="str">
        <x:v>0.9937516312014107</x:v>
      </x:c>
      <x:c r="BC162" s="9" t="str">
        <x:v>0.1490627446802116</x:v>
      </x:c>
      <x:c r="BD162" s="6" t="str">
        <x:v>0.45</x:v>
      </x:c>
      <x:c r="BE162" s="6" t="str">
        <x:v>0.4</x:v>
      </x:c>
      <x:c r="BF162" s="9" t="str">
        <x:v>0.4471882340406348</x:v>
      </x:c>
      <x:c r="BG162" s="9" t="str">
        <x:v>0.39750065248056426</x:v>
      </x:c>
      <x:c r="BH162" s="6" t="str">
        <x:v>Against trade</x:v>
      </x:c>
      <x:c r="BI162" s="6" t="str">
        <x:v>Tolerance-only shallow touch</x:v>
      </x:c>
      <x:c r="BJ162" s="6" t="str">
        <x:v>True</x:v>
      </x:c>
      <x:c r="BK162" s="10" t="str">
        <x:v>False</x:v>
      </x:c>
      <x:c r="BL162" s="6" t="str">
        <x:v>True</x:v>
      </x:c>
      <x:c r="BM162" s="7" t="str">
        <x:v>2024-07-09 00:30:00-05:00</x:v>
      </x:c>
      <x:c r="BN162" s="8" t="str">
        <x:v>1</x:v>
      </x:c>
      <x:c r="BO162" s="6" t="str">
        <x:v>Immediate confirmation (1 bar)</x:v>
      </x:c>
      <x:c r="BP162" s="9" t="str">
        <x:v>0.3443008487186886</x:v>
      </x:c>
      <x:c r="BQ162" s="9" t="str">
        <x:v>1.1312742172185482</x:v>
      </x:c>
      <x:c r="BR162" s="10" t="str">
        <x:v>0.30434782608695654</x:v>
      </x:c>
      <x:c r="BS162" s="9" t="str">
        <x:v>0.8361592040311009</x:v>
      </x:c>
      <x:c r="BT162" s="9" t="str">
        <x:v>0.3443008487186886</x:v>
      </x:c>
      <x:c r="BU162" s="9" t="str">
        <x:v>0.4918583553124123</x:v>
      </x:c>
      <x:c r="BV162" s="6" t="str">
        <x:v>With trade</x:v>
      </x:c>
      <x:c r="BW162" s="7" t="str">
        <x:v>2024-07-09 00:30:00-05:00</x:v>
      </x:c>
      <x:c r="BX162" s="6" t="str">
        <x:v>19987.5</x:v>
      </x:c>
      <x:c r="BY162" s="9" t="str">
        <x:v>5.082764118975029</x:v>
      </x:c>
      <x:c r="BZ162" s="9" t="str">
        <x:v>0.22</x:v>
      </x:c>
      <x:c r="CA162" s="6" t="str">
        <x:v>19995.124146178463</x:v>
      </x:c>
      <x:c r="CB162" s="6" t="str">
        <x:v>7.624146178462979</x:v>
      </x:c>
      <x:c r="CC162" s="9" t="str">
        <x:v>1.5000000000000857</x:v>
      </x:c>
      <x:c r="CD162" s="6" t="str">
        <x:v>19972.251707643074</x:v>
      </x:c>
      <x:c r="CE162" s="6" t="str">
        <x:v>15.248292356925958</x:v>
      </x:c>
      <x:c r="CF162" s="6" t="str">
        <x:v>Fixed 2.00R target</x:v>
      </x:c>
      <x:c r="CG162" s="9" t="str">
        <x:v>0.09509261536039428</x:v>
      </x:c>
      <x:c r="CH162" s="9" t="str">
        <x:v>-1.0</x:v>
      </x:c>
      <x:c r="CI162" s="9" t="str">
        <x:v>-1.0950926153603944</x:v>
      </x:c>
      <x:c r="CJ162" s="6" t="str">
        <x:v>Loss</x:v>
      </x:c>
      <x:c r="CK162" s="9" t="str">
        <x:v>0.2623244561666049</x:v>
      </x:c>
      <x:c r="CL162" s="9" t="str">
        <x:v>1.1476694957288964</x:v>
      </x:c>
      <x:c r="CM162" s="7" t="str">
        <x:v>2024-07-09 00:40:00-05:00</x:v>
      </x:c>
      <x:c r="CN162" s="6" t="str">
        <x:v>19995.124146178463</x:v>
      </x:c>
      <x:c r="CO162" s="6" t="str">
        <x:v>STOP</x:v>
      </x:c>
      <x:c r="CP162" s="6" t="str">
        <x:v>F::Short::Same-bar Setup+BOS::Tolerance-only shallow touch</x:v>
      </x:c>
    </x:row>
    <x:row r="163" ht="18" customHeight="1">
      <x:c r="A163" s="6" t="str">
        <x:v>A0162</x:v>
      </x:c>
      <x:c r="B163" s="6" t="str">
        <x:v>2024-07-09</x:v>
      </x:c>
      <x:c r="C163" s="6" t="str">
        <x:v>2024</x:v>
      </x:c>
      <x:c r="D163" s="6" t="str">
        <x:v>2024-Q3</x:v>
      </x:c>
      <x:c r="E163" s="6" t="str">
        <x:v>First 50%</x:v>
      </x:c>
      <x:c r="F163" s="6" t="str">
        <x:v>Long</x:v>
      </x:c>
      <x:c r="G163" s="6" t="str">
        <x:v>Long</x:v>
      </x:c>
      <x:c r="H163" s="6" t="str">
        <x:v>Overnight</x:v>
      </x:c>
      <x:c r="I163" s="6" t="str">
        <x:v>Overnight</x:v>
      </x:c>
      <x:c r="J163" s="6" t="str">
        <x:v>Bull</x:v>
      </x:c>
      <x:c r="K163" s="6" t="str">
        <x:v>Bull</x:v>
      </x:c>
      <x:c r="L163" s="6" t="str">
        <x:v>HIGH</x:v>
      </x:c>
      <x:c r="M163" s="7" t="str">
        <x:v>2024-07-09 02:25:00-05:00</x:v>
      </x:c>
      <x:c r="N163" s="6" t="str">
        <x:v>90.0</x:v>
      </x:c>
      <x:c r="O163" s="6" t="str">
        <x:v>90-94</x:v>
      </x:c>
      <x:c r="P163" s="6" t="str">
        <x:v>Matching BOS only</x:v>
      </x:c>
      <x:c r="Q163" s="6" t="str">
        <x:v>Bull CHoCH</x:v>
      </x:c>
      <x:c r="R163" s="6" t="str">
        <x:v>True</x:v>
      </x:c>
      <x:c r="S163" s="6" t="str">
        <x:v>False</x:v>
      </x:c>
      <x:c r="T163" s="6" t="str">
        <x:v>Recent SSL</x:v>
      </x:c>
      <x:c r="U163" s="6" t="str">
        <x:v>SSL</x:v>
      </x:c>
      <x:c r="V163" s="6" t="str">
        <x:v>Swing low / sell-side</x:v>
      </x:c>
      <x:c r="W163" s="6" t="str">
        <x:v>[19978.0]</x:v>
      </x:c>
      <x:c r="X163" s="8" t="str">
        <x:v>1</x:v>
      </x:c>
      <x:c r="Y163" s="8" t="str">
        <x:v>5.0</x:v>
      </x:c>
      <x:c r="Z163" s="6" t="str">
        <x:v>None</x:v>
      </x:c>
      <x:c r="AA163" s="6" t="str">
        <x:v>19990.25</x:v>
      </x:c>
      <x:c r="AB163" s="9" t="str">
        <x:v>0.3109888807212173</x:v>
      </x:c>
      <x:c r="AC163" s="9" t="str">
        <x:v>0.8638580020033814</x:v>
      </x:c>
      <x:c r="AD163" s="9" t="str">
        <x:v>1.2785098429650044</x:v>
      </x:c>
      <x:c r="AE163" s="6" t="str">
        <x:v>With trade</x:v>
      </x:c>
      <x:c r="AF163" s="7" t="str">
        <x:v>2024-07-09 02:25:00-05:00</x:v>
      </x:c>
      <x:c r="AG163" s="6" t="str">
        <x:v>Long</x:v>
      </x:c>
      <x:c r="AH163" s="6" t="str">
        <x:v>19990.25</x:v>
      </x:c>
      <x:c r="AI163" s="8" t="str">
        <x:v>0</x:v>
      </x:c>
      <x:c r="AJ163" s="6" t="str">
        <x:v>True</x:v>
      </x:c>
      <x:c r="AK163" s="6" t="str">
        <x:v>Same-bar Setup+BOS</x:v>
      </x:c>
      <x:c r="AL163" s="9" t="str">
        <x:v>0.8293036819232461</x:v>
      </x:c>
      <x:c r="AM163" s="9" t="str">
        <x:v>0.3109888807212173</x:v>
      </x:c>
      <x:c r="AN163" s="9" t="str">
        <x:v>0.8638580020033814</x:v>
      </x:c>
      <x:c r="AO163" s="9" t="str">
        <x:v>1.2785098429650044</x:v>
      </x:c>
      <x:c r="AP163" s="10" t="str">
        <x:v>0.6756756756756757</x:v>
      </x:c>
      <x:c r="AQ163" s="6" t="str">
        <x:v>0.0</x:v>
      </x:c>
      <x:c r="AR163" s="6" t="str">
        <x:v>0.32432432432432434</x:v>
      </x:c>
      <x:c r="AS163" s="6" t="str">
        <x:v>With trade</x:v>
      </x:c>
      <x:c r="AT163" s="6" t="str">
        <x:v>1.6662015071169411</x:v>
      </x:c>
      <x:c r="AU163" s="7" t="str">
        <x:v>2024-07-09 02:30:00-05:00</x:v>
      </x:c>
      <x:c r="AV163" s="8" t="str">
        <x:v>1</x:v>
      </x:c>
      <x:c r="AW163" s="6" t="str">
        <x:v>Immediate retest (1 bar)</x:v>
      </x:c>
      <x:c r="AX163" s="6" t="str">
        <x:v>19989.75</x:v>
      </x:c>
      <x:c r="AY163" s="6" t="str">
        <x:v>0.5</x:v>
      </x:c>
      <x:c r="AZ163" s="9" t="str">
        <x:v>0.07066794656489256</x:v>
      </x:c>
      <x:c r="BA163" s="9" t="str">
        <x:v>0.3533397328244628</x:v>
      </x:c>
      <x:c r="BB163" s="9" t="str">
        <x:v>0.7066794656489256</x:v>
      </x:c>
      <x:c r="BC163" s="9" t="str">
        <x:v>0.07066794656489256</x:v>
      </x:c>
      <x:c r="BD163" s="6" t="str">
        <x:v>0.4</x:v>
      </x:c>
      <x:c r="BE163" s="6" t="str">
        <x:v>0.5</x:v>
      </x:c>
      <x:c r="BF163" s="9" t="str">
        <x:v>0.3533397328244628</x:v>
      </x:c>
      <x:c r="BG163" s="9" t="str">
        <x:v>0.28267178625957023</x:v>
      </x:c>
      <x:c r="BH163" s="6" t="str">
        <x:v>With trade</x:v>
      </x:c>
      <x:c r="BI163" s="6" t="str">
        <x:v>Penetration + same-bar reclaim</x:v>
      </x:c>
      <x:c r="BJ163" s="6" t="str">
        <x:v>False</x:v>
      </x:c>
      <x:c r="BK163" s="10" t="str">
        <x:v>True</x:v>
      </x:c>
      <x:c r="BL163" s="6" t="str">
        <x:v>True</x:v>
      </x:c>
      <x:c r="BM163" s="7" t="str">
        <x:v>2024-07-09 02:35:00-05:00</x:v>
      </x:c>
      <x:c r="BN163" s="8" t="str">
        <x:v>1</x:v>
      </x:c>
      <x:c r="BO163" s="6" t="str">
        <x:v>Immediate confirmation (1 bar)</x:v>
      </x:c>
      <x:c r="BP163" s="9" t="str">
        <x:v>0.6177714236923321</x:v>
      </x:c>
      <x:c r="BQ163" s="9" t="str">
        <x:v>1.37282538598296</x:v>
      </x:c>
      <x:c r="BR163" s="10" t="str">
        <x:v>0.45</x:v>
      </x:c>
      <x:c r="BS163" s="9" t="str">
        <x:v>1.02961903948722</x:v>
      </x:c>
      <x:c r="BT163" s="9" t="str">
        <x:v>0.68641269299148</x:v>
      </x:c>
      <x:c r="BU163" s="9" t="str">
        <x:v>0.30888571184616603</x:v>
      </x:c>
      <x:c r="BV163" s="6" t="str">
        <x:v>With trade</x:v>
      </x:c>
      <x:c r="BW163" s="7" t="str">
        <x:v>2024-07-09 02:35:00-05:00</x:v>
      </x:c>
      <x:c r="BX163" s="6" t="str">
        <x:v>19997.75</x:v>
      </x:c>
      <x:c r="BY163" s="9" t="str">
        <x:v>7.284247583198555</x:v>
      </x:c>
      <x:c r="BZ163" s="9" t="str">
        <x:v>0.8</x:v>
      </x:c>
      <x:c r="CA163" s="6" t="str">
        <x:v>19986.823628625203</x:v>
      </x:c>
      <x:c r="CB163" s="6" t="str">
        <x:v>10.926371374796872</x:v>
      </x:c>
      <x:c r="CC163" s="9" t="str">
        <x:v>1.499999999999868</x:v>
      </x:c>
      <x:c r="CD163" s="6" t="str">
        <x:v>20019.602742749597</x:v>
      </x:c>
      <x:c r="CE163" s="6" t="str">
        <x:v>21.852742749597382</x:v>
      </x:c>
      <x:c r="CF163" s="6" t="str">
        <x:v>Fixed 2.00R target</x:v>
      </x:c>
      <x:c r="CG163" s="9" t="str">
        <x:v>0.06635322698918224</x:v>
      </x:c>
      <x:c r="CH163" s="9" t="str">
        <x:v>-0.549130154393184</x:v>
      </x:c>
      <x:c r="CI163" s="9" t="str">
        <x:v>-0.6154833813823662</x:v>
      </x:c>
      <x:c r="CJ163" s="6" t="str">
        <x:v>Loss</x:v>
      </x:c>
      <x:c r="CK163" s="9" t="str">
        <x:v>0.5033693081937962</x:v>
      </x:c>
      <x:c r="CL163" s="9" t="str">
        <x:v>0.9380973470884385</x:v>
      </x:c>
      <x:c r="CM163" s="7" t="str">
        <x:v>2024-07-09 03:35:00-05:00</x:v>
      </x:c>
      <x:c r="CN163" s="6" t="str">
        <x:v>19991.75</x:v>
      </x:c>
      <x:c r="CO163" s="6" t="str">
        <x:v>TIME</x:v>
      </x:c>
      <x:c r="CP163" s="6" t="str">
        <x:v>F::Long::Same-bar Setup+BOS::Penetration + same-bar reclaim</x:v>
      </x:c>
    </x:row>
    <x:row r="164" ht="18" customHeight="1">
      <x:c r="A164" s="6" t="str">
        <x:v>A0163</x:v>
      </x:c>
      <x:c r="B164" s="6" t="str">
        <x:v>2024-07-09</x:v>
      </x:c>
      <x:c r="C164" s="6" t="str">
        <x:v>2024</x:v>
      </x:c>
      <x:c r="D164" s="6" t="str">
        <x:v>2024-Q3</x:v>
      </x:c>
      <x:c r="E164" s="6" t="str">
        <x:v>First 50%</x:v>
      </x:c>
      <x:c r="F164" s="6" t="str">
        <x:v>Short</x:v>
      </x:c>
      <x:c r="G164" s="6" t="str">
        <x:v>Short</x:v>
      </x:c>
      <x:c r="H164" s="6" t="str">
        <x:v>Premarket</x:v>
      </x:c>
      <x:c r="I164" s="6" t="str">
        <x:v>Premarket</x:v>
      </x:c>
      <x:c r="J164" s="6" t="str">
        <x:v>Bull</x:v>
      </x:c>
      <x:c r="K164" s="6" t="str">
        <x:v>Bull</x:v>
      </x:c>
      <x:c r="L164" s="6" t="str">
        <x:v>HIGH</x:v>
      </x:c>
      <x:c r="M164" s="7" t="str">
        <x:v>2024-07-09 07:20:00-05:00</x:v>
      </x:c>
      <x:c r="N164" s="6" t="str">
        <x:v>75.0</x:v>
      </x:c>
      <x:c r="O164" s="6" t="str">
        <x:v>75-79</x:v>
      </x:c>
      <x:c r="P164" s="6" t="str">
        <x:v>Matching BOS only</x:v>
      </x:c>
      <x:c r="Q164" s="6" t="str">
        <x:v>Bear BOS</x:v>
      </x:c>
      <x:c r="R164" s="6" t="str">
        <x:v>True</x:v>
      </x:c>
      <x:c r="S164" s="6" t="str">
        <x:v>False</x:v>
      </x:c>
      <x:c r="T164" s="6" t="str">
        <x:v>Recent BSL</x:v>
      </x:c>
      <x:c r="U164" s="6" t="str">
        <x:v>BSL</x:v>
      </x:c>
      <x:c r="V164" s="6" t="str">
        <x:v>Swing high / buy-side</x:v>
      </x:c>
      <x:c r="W164" s="6" t="str">
        <x:v>[20006.75]</x:v>
      </x:c>
      <x:c r="X164" s="8" t="str">
        <x:v>1</x:v>
      </x:c>
      <x:c r="Y164" s="8" t="str">
        <x:v>15.0</x:v>
      </x:c>
      <x:c r="Z164" s="6" t="str">
        <x:v>None</x:v>
      </x:c>
      <x:c r="AA164" s="6" t="str">
        <x:v>19981.0</x:v>
      </x:c>
      <x:c r="AB164" s="9" t="str">
        <x:v>0.4828497513678432</x:v>
      </x:c>
      <x:c r="AC164" s="9" t="str">
        <x:v>0.7057034827683862</x:v>
      </x:c>
      <x:c r="AD164" s="9" t="str">
        <x:v>1.1514109455694723</x:v>
      </x:c>
      <x:c r="AE164" s="6" t="str">
        <x:v>With trade</x:v>
      </x:c>
      <x:c r="AF164" s="7" t="str">
        <x:v>2024-07-09 07:20:00-05:00</x:v>
      </x:c>
      <x:c r="AG164" s="6" t="str">
        <x:v>Short</x:v>
      </x:c>
      <x:c r="AH164" s="6" t="str">
        <x:v>19981.0</x:v>
      </x:c>
      <x:c r="AI164" s="8" t="str">
        <x:v>0</x:v>
      </x:c>
      <x:c r="AJ164" s="6" t="str">
        <x:v>True</x:v>
      </x:c>
      <x:c r="AK164" s="6" t="str">
        <x:v>Same-bar Setup+BOS</x:v>
      </x:c>
      <x:c r="AL164" s="9" t="str">
        <x:v>0.7799880599019006</x:v>
      </x:c>
      <x:c r="AM164" s="9" t="str">
        <x:v>0.4828497513678432</x:v>
      </x:c>
      <x:c r="AN164" s="9" t="str">
        <x:v>0.7057034827683862</x:v>
      </x:c>
      <x:c r="AO164" s="9" t="str">
        <x:v>1.1514109455694723</x:v>
      </x:c>
      <x:c r="AP164" s="10" t="str">
        <x:v>0.6129032258064516</x:v>
      </x:c>
      <x:c r="AQ164" s="6" t="str">
        <x:v>0.3870967741935484</x:v>
      </x:c>
      <x:c r="AR164" s="6" t="str">
        <x:v>0.0</x:v>
      </x:c>
      <x:c r="AS164" s="6" t="str">
        <x:v>With trade</x:v>
      </x:c>
      <x:c r="AT164" s="6" t="str">
        <x:v>1.8279006393459805</x:v>
      </x:c>
      <x:c r="AU164" s="7" t="str">
        <x:v>2024-07-09 07:30:00-05:00</x:v>
      </x:c>
      <x:c r="AV164" s="8" t="str">
        <x:v>2</x:v>
      </x:c>
      <x:c r="AW164" s="6" t="str">
        <x:v>Delayed retest (2+ bars)</x:v>
      </x:c>
      <x:c r="AX164" s="6" t="str">
        <x:v>19980.75</x:v>
      </x:c>
      <x:c r="AY164" s="6" t="str">
        <x:v>0.0</x:v>
      </x:c>
      <x:c r="AZ164" s="9" t="str">
        <x:v>0.0</x:v>
      </x:c>
      <x:c r="BA164" s="9" t="str">
        <x:v>0.5265713535679251</x:v>
      </x:c>
      <x:c r="BB164" s="9" t="str">
        <x:v>0.9026937489735858</x:v>
      </x:c>
      <x:c r="BC164" s="9" t="str">
        <x:v>0.33851015586509464</x:v>
      </x:c>
      <x:c r="BD164" s="6" t="str">
        <x:v>0.5416666666666666</x:v>
      </x:c>
      <x:c r="BE164" s="6" t="str">
        <x:v>0.08333333333333333</x:v>
      </x:c>
      <x:c r="BF164" s="9" t="str">
        <x:v>0.488959114027359</x:v>
      </x:c>
      <x:c r="BG164" s="9" t="str">
        <x:v>0.07522447908113215</x:v>
      </x:c>
      <x:c r="BH164" s="6" t="str">
        <x:v>Against trade</x:v>
      </x:c>
      <x:c r="BI164" s="6" t="str">
        <x:v>Tolerance-only shallow touch</x:v>
      </x:c>
      <x:c r="BJ164" s="6" t="str">
        <x:v>True</x:v>
      </x:c>
      <x:c r="BK164" s="10" t="str">
        <x:v>False</x:v>
      </x:c>
      <x:c r="BL164" s="6" t="str">
        <x:v>True</x:v>
      </x:c>
      <x:c r="BM164" s="7" t="str">
        <x:v>2024-07-09 07:35:00-05:00</x:v>
      </x:c>
      <x:c r="BN164" s="8" t="str">
        <x:v>1</x:v>
      </x:c>
      <x:c r="BO164" s="6" t="str">
        <x:v>Immediate confirmation (1 bar)</x:v>
      </x:c>
      <x:c r="BP164" s="9" t="str">
        <x:v>1.2200217902321369</x:v>
      </x:c>
      <x:c r="BQ164" s="9" t="str">
        <x:v>1.9520348643714192</x:v>
      </x:c>
      <x:c r="BR164" s="10" t="str">
        <x:v>0.625</x:v>
      </x:c>
      <x:c r="BS164" s="9" t="str">
        <x:v>1.60345721001938</x:v>
      </x:c>
      <x:c r="BT164" s="9" t="str">
        <x:v>1.1154484939265252</x:v>
      </x:c>
      <x:c r="BU164" s="9" t="str">
        <x:v>0.20914659261122348</x:v>
      </x:c>
      <x:c r="BV164" s="6" t="str">
        <x:v>With trade</x:v>
      </x:c>
      <x:c r="BW164" s="7" t="str">
        <x:v>2024-07-09 07:35:00-05:00</x:v>
      </x:c>
      <x:c r="BX164" s="6" t="str">
        <x:v>19969.5</x:v>
      </x:c>
      <x:c r="BY164" s="9" t="str">
        <x:v>7.1720030494989055</x:v>
      </x:c>
      <x:c r="BZ164" s="9" t="str">
        <x:v>0.98</x:v>
      </x:c>
      <x:c r="CA164" s="6" t="str">
        <x:v>19980.258004574247</x:v>
      </x:c>
      <x:c r="CB164" s="6" t="str">
        <x:v>10.758004574247025</x:v>
      </x:c>
      <x:c r="CC164" s="9" t="str">
        <x:v>1.4999999999998141</x:v>
      </x:c>
      <x:c r="CD164" s="6" t="str">
        <x:v>19947.983990851502</x:v>
      </x:c>
      <x:c r="CE164" s="6" t="str">
        <x:v>21.516009148497687</x:v>
      </x:c>
      <x:c r="CF164" s="6" t="str">
        <x:v>Fixed 2.00R target</x:v>
      </x:c>
      <x:c r="CG164" s="9" t="str">
        <x:v>0.06739167984140258</x:v>
      </x:c>
      <x:c r="CH164" s="9" t="str">
        <x:v>-1.0</x:v>
      </x:c>
      <x:c r="CI164" s="9" t="str">
        <x:v>-1.0673916798414025</x:v>
      </x:c>
      <x:c r="CJ164" s="6" t="str">
        <x:v>Loss</x:v>
      </x:c>
      <x:c r="CK164" s="9" t="str">
        <x:v>0.0</x:v>
      </x:c>
      <x:c r="CL164" s="9" t="str">
        <x:v>1.0689714733463858</x:v>
      </x:c>
      <x:c r="CM164" s="7" t="str">
        <x:v>2024-07-09 07:45:00-05:00</x:v>
      </x:c>
      <x:c r="CN164" s="6" t="str">
        <x:v>19980.258004574247</x:v>
      </x:c>
      <x:c r="CO164" s="6" t="str">
        <x:v>STOP</x:v>
      </x:c>
      <x:c r="CP164" s="6" t="str">
        <x:v>F::Short::Same-bar Setup+BOS::Tolerance-only shallow touch</x:v>
      </x:c>
    </x:row>
    <x:row r="165" ht="18" customHeight="1">
      <x:c r="A165" s="6" t="str">
        <x:v>A0164</x:v>
      </x:c>
      <x:c r="B165" s="6" t="str">
        <x:v>2024-07-09</x:v>
      </x:c>
      <x:c r="C165" s="6" t="str">
        <x:v>2024</x:v>
      </x:c>
      <x:c r="D165" s="6" t="str">
        <x:v>2024-Q3</x:v>
      </x:c>
      <x:c r="E165" s="6" t="str">
        <x:v>First 50%</x:v>
      </x:c>
      <x:c r="F165" s="6" t="str">
        <x:v>Long</x:v>
      </x:c>
      <x:c r="G165" s="6" t="str">
        <x:v>Long</x:v>
      </x:c>
      <x:c r="H165" s="6" t="str">
        <x:v>Overnight</x:v>
      </x:c>
      <x:c r="I165" s="6" t="str">
        <x:v>Overnight</x:v>
      </x:c>
      <x:c r="J165" s="6" t="str">
        <x:v>Bull</x:v>
      </x:c>
      <x:c r="K165" s="6" t="str">
        <x:v>Bull</x:v>
      </x:c>
      <x:c r="L165" s="6" t="str">
        <x:v>LOW</x:v>
      </x:c>
      <x:c r="M165" s="7" t="str">
        <x:v>2024-07-09 22:00:00-05:00</x:v>
      </x:c>
      <x:c r="N165" s="6" t="str">
        <x:v>75.0</x:v>
      </x:c>
      <x:c r="O165" s="6" t="str">
        <x:v>75-79</x:v>
      </x:c>
      <x:c r="P165" s="6" t="str">
        <x:v>Matching BOS only</x:v>
      </x:c>
      <x:c r="Q165" s="6" t="str">
        <x:v>Bull BOS</x:v>
      </x:c>
      <x:c r="R165" s="6" t="str">
        <x:v>True</x:v>
      </x:c>
      <x:c r="S165" s="6" t="str">
        <x:v>False</x:v>
      </x:c>
      <x:c r="T165" s="6" t="str">
        <x:v>Recent SSL</x:v>
      </x:c>
      <x:c r="U165" s="6" t="str">
        <x:v>SSL</x:v>
      </x:c>
      <x:c r="V165" s="6" t="str">
        <x:v>Swing low / sell-side</x:v>
      </x:c>
      <x:c r="W165" s="6" t="str">
        <x:v>[19964.5]</x:v>
      </x:c>
      <x:c r="X165" s="8" t="str">
        <x:v>1</x:v>
      </x:c>
      <x:c r="Y165" s="8" t="str">
        <x:v>12.0</x:v>
      </x:c>
      <x:c r="Z165" s="6" t="str">
        <x:v>None</x:v>
      </x:c>
      <x:c r="AA165" s="6" t="str">
        <x:v>19973.75</x:v>
      </x:c>
      <x:c r="AB165" s="9" t="str">
        <x:v>0.280384392904222</x:v>
      </x:c>
      <x:c r="AC165" s="9" t="str">
        <x:v>0.3504804911302775</x:v>
      </x:c>
      <x:c r="AD165" s="9" t="str">
        <x:v>0.560768785808444</x:v>
      </x:c>
      <x:c r="AE165" s="6" t="str">
        <x:v>With trade</x:v>
      </x:c>
      <x:c r="AF165" s="7" t="str">
        <x:v>2024-07-09 22:00:00-05:00</x:v>
      </x:c>
      <x:c r="AG165" s="6" t="str">
        <x:v>Long</x:v>
      </x:c>
      <x:c r="AH165" s="6" t="str">
        <x:v>19973.75</x:v>
      </x:c>
      <x:c r="AI165" s="8" t="str">
        <x:v>0</x:v>
      </x:c>
      <x:c r="AJ165" s="6" t="str">
        <x:v>True</x:v>
      </x:c>
      <x:c r="AK165" s="6" t="str">
        <x:v>Same-bar Setup+BOS</x:v>
      </x:c>
      <x:c r="AL165" s="9" t="str">
        <x:v>0.560768785808444</x:v>
      </x:c>
      <x:c r="AM165" s="9" t="str">
        <x:v>0.280384392904222</x:v>
      </x:c>
      <x:c r="AN165" s="9" t="str">
        <x:v>0.3504804911302775</x:v>
      </x:c>
      <x:c r="AO165" s="9" t="str">
        <x:v>0.560768785808444</x:v>
      </x:c>
      <x:c r="AP165" s="10" t="str">
        <x:v>0.625</x:v>
      </x:c>
      <x:c r="AQ165" s="6" t="str">
        <x:v>0.25</x:v>
      </x:c>
      <x:c r="AR165" s="6" t="str">
        <x:v>0.125</x:v>
      </x:c>
      <x:c r="AS165" s="6" t="str">
        <x:v>With trade</x:v>
      </x:c>
      <x:c r="AT165" s="6" t="str">
        <x:v>0.5537388271201221</x:v>
      </x:c>
      <x:c r="AU165" s="7" t="str">
        <x:v>2024-07-09 22:05:00-05:00</x:v>
      </x:c>
      <x:c r="AV165" s="8" t="str">
        <x:v>1</x:v>
      </x:c>
      <x:c r="AW165" s="6" t="str">
        <x:v>Immediate retest (1 bar)</x:v>
      </x:c>
      <x:c r="AX165" s="6" t="str">
        <x:v>19973.25</x:v>
      </x:c>
      <x:c r="AY165" s="6" t="str">
        <x:v>0.5</x:v>
      </x:c>
      <x:c r="AZ165" s="9" t="str">
        <x:v>0.14108659195570533</x:v>
      </x:c>
      <x:c r="BA165" s="9" t="str">
        <x:v>-0.07054329597785267</x:v>
      </x:c>
      <x:c r="BB165" s="9" t="str">
        <x:v>0.9170628477120846</x:v>
      </x:c>
      <x:c r="BC165" s="9" t="str">
        <x:v>0.423259775867116</x:v>
      </x:c>
      <x:c r="BD165" s="6" t="str">
        <x:v>0.46153846153846156</x:v>
      </x:c>
      <x:c r="BE165" s="6" t="str">
        <x:v>0.07692307692307693</x:v>
      </x:c>
      <x:c r="BF165" s="9" t="str">
        <x:v>0.07054329597785267</x:v>
      </x:c>
      <x:c r="BG165" s="9" t="str">
        <x:v>0.423259775867116</x:v>
      </x:c>
      <x:c r="BH165" s="6" t="str">
        <x:v>Against trade</x:v>
      </x:c>
      <x:c r="BI165" s="6" t="str">
        <x:v>Penetration without same-bar reclaim</x:v>
      </x:c>
      <x:c r="BJ165" s="6" t="str">
        <x:v>False</x:v>
      </x:c>
      <x:c r="BK165" s="10" t="str">
        <x:v>True</x:v>
      </x:c>
      <x:c r="BL165" s="6" t="str">
        <x:v>False</x:v>
      </x:c>
      <x:c r="BM165" s="7" t="str">
        <x:v>2024-07-09 22:10:00-05:00</x:v>
      </x:c>
      <x:c r="BN165" s="8" t="str">
        <x:v>1</x:v>
      </x:c>
      <x:c r="BO165" s="6" t="str">
        <x:v>Immediate confirmation (1 bar)</x:v>
      </x:c>
      <x:c r="BP165" s="9" t="str">
        <x:v>0.3640448706148955</x:v>
      </x:c>
      <x:c r="BQ165" s="9" t="str">
        <x:v>0.5824717929838328</x:v>
      </x:c>
      <x:c r="BR165" s="10" t="str">
        <x:v>0.625</x:v>
      </x:c>
      <x:c r="BS165" s="9" t="str">
        <x:v>0.4368538447378746</x:v>
      </x:c>
      <x:c r="BT165" s="9" t="str">
        <x:v>0.5096628188608536</x:v>
      </x:c>
      <x:c r="BU165" s="9" t="str">
        <x:v>0.2184269223689373</x:v>
      </x:c>
      <x:c r="BV165" s="6" t="str">
        <x:v>With trade</x:v>
      </x:c>
      <x:c r="BW165" s="7" t="str">
        <x:v>2024-07-09 22:10:00-05:00</x:v>
      </x:c>
      <x:c r="BX165" s="6" t="str">
        <x:v>19975.25</x:v>
      </x:c>
      <x:c r="BY165" s="9" t="str">
        <x:v>3.4336426657754267</x:v>
      </x:c>
      <x:c r="BZ165" s="9" t="str">
        <x:v>0.0</x:v>
      </x:c>
      <x:c r="CA165" s="6" t="str">
        <x:v>19970.099536001337</x:v>
      </x:c>
      <x:c r="CB165" s="6" t="str">
        <x:v>5.1504639986633265</x:v>
      </x:c>
      <x:c r="CC165" s="9" t="str">
        <x:v>1.5000000000000544</x:v>
      </x:c>
      <x:c r="CD165" s="6" t="str">
        <x:v>19985.550927997327</x:v>
      </x:c>
      <x:c r="CE165" s="6" t="str">
        <x:v>10.300927997326653</x:v>
      </x:c>
      <x:c r="CF165" s="6" t="str">
        <x:v>Fixed 2.00R target</x:v>
      </x:c>
      <x:c r="CG165" s="9" t="str">
        <x:v>0.14076401663775448</x:v>
      </x:c>
      <x:c r="CH165" s="9" t="str">
        <x:v>-1.0</x:v>
      </x:c>
      <x:c r="CI165" s="9" t="str">
        <x:v>-1.1407640166377544</x:v>
      </x:c>
      <x:c r="CJ165" s="6" t="str">
        <x:v>Loss</x:v>
      </x:c>
      <x:c r="CK165" s="9" t="str">
        <x:v>0.5339324769018273</x:v>
      </x:c>
      <x:c r="CL165" s="9" t="str">
        <x:v>1.0193256377216704</x:v>
      </x:c>
      <x:c r="CM165" s="7" t="str">
        <x:v>2024-07-09 23:05:00-05:00</x:v>
      </x:c>
      <x:c r="CN165" s="6" t="str">
        <x:v>19970.099536001337</x:v>
      </x:c>
      <x:c r="CO165" s="6" t="str">
        <x:v>STOP</x:v>
      </x:c>
      <x:c r="CP165" s="6" t="str">
        <x:v>F::Long::Same-bar Setup+BOS::Penetration without same-bar reclaim</x:v>
      </x:c>
    </x:row>
    <x:row r="166" ht="18" customHeight="1">
      <x:c r="A166" s="6" t="str">
        <x:v>A0165</x:v>
      </x:c>
      <x:c r="B166" s="6" t="str">
        <x:v>2024-07-11</x:v>
      </x:c>
      <x:c r="C166" s="6" t="str">
        <x:v>2024</x:v>
      </x:c>
      <x:c r="D166" s="6" t="str">
        <x:v>2024-Q3</x:v>
      </x:c>
      <x:c r="E166" s="6" t="str">
        <x:v>First 50%</x:v>
      </x:c>
      <x:c r="F166" s="6" t="str">
        <x:v>Short</x:v>
      </x:c>
      <x:c r="G166" s="6" t="str">
        <x:v>Short</x:v>
      </x:c>
      <x:c r="H166" s="6" t="str">
        <x:v>Premarket</x:v>
      </x:c>
      <x:c r="I166" s="6" t="str">
        <x:v>Premarket</x:v>
      </x:c>
      <x:c r="J166" s="6" t="str">
        <x:v>Bull</x:v>
      </x:c>
      <x:c r="K166" s="6" t="str">
        <x:v>Bull</x:v>
      </x:c>
      <x:c r="L166" s="6" t="str">
        <x:v>HIGH</x:v>
      </x:c>
      <x:c r="M166" s="7" t="str">
        <x:v>2024-07-11 04:10:00-05:00</x:v>
      </x:c>
      <x:c r="N166" s="6" t="str">
        <x:v>75.0</x:v>
      </x:c>
      <x:c r="O166" s="6" t="str">
        <x:v>75-79</x:v>
      </x:c>
      <x:c r="P166" s="6" t="str">
        <x:v>Matching BOS only</x:v>
      </x:c>
      <x:c r="Q166" s="6" t="str">
        <x:v>Bear BOS</x:v>
      </x:c>
      <x:c r="R166" s="6" t="str">
        <x:v>True</x:v>
      </x:c>
      <x:c r="S166" s="6" t="str">
        <x:v>False</x:v>
      </x:c>
      <x:c r="T166" s="6" t="str">
        <x:v>Recent BSL</x:v>
      </x:c>
      <x:c r="U166" s="6" t="str">
        <x:v>BSL</x:v>
      </x:c>
      <x:c r="V166" s="6" t="str">
        <x:v>Swing high / buy-side</x:v>
      </x:c>
      <x:c r="W166" s="6" t="str">
        <x:v>[20151.25]</x:v>
      </x:c>
      <x:c r="X166" s="8" t="str">
        <x:v>1</x:v>
      </x:c>
      <x:c r="Y166" s="8" t="str">
        <x:v>11.0</x:v>
      </x:c>
      <x:c r="Z166" s="6" t="str">
        <x:v>Sweep below CRT reference</x:v>
      </x:c>
      <x:c r="AA166" s="6" t="str">
        <x:v>20140.5</x:v>
      </x:c>
      <x:c r="AB166" s="9" t="str">
        <x:v>0.0855786959110563</x:v>
      </x:c>
      <x:c r="AC166" s="9" t="str">
        <x:v>0.29952543568869705</x:v>
      </x:c>
      <x:c r="AD166" s="9" t="str">
        <x:v>1.0697336988882036</x:v>
      </x:c>
      <x:c r="AE166" s="6" t="str">
        <x:v>With trade</x:v>
      </x:c>
      <x:c r="AF166" s="7" t="str">
        <x:v>2024-07-11 04:10:00-05:00</x:v>
      </x:c>
      <x:c r="AG166" s="6" t="str">
        <x:v>Short</x:v>
      </x:c>
      <x:c r="AH166" s="6" t="str">
        <x:v>20140.5</x:v>
      </x:c>
      <x:c r="AI166" s="8" t="str">
        <x:v>0</x:v>
      </x:c>
      <x:c r="AJ166" s="6" t="str">
        <x:v>True</x:v>
      </x:c>
      <x:c r="AK166" s="6" t="str">
        <x:v>Same-bar Setup+BOS</x:v>
      </x:c>
      <x:c r="AL166" s="9" t="str">
        <x:v>0.3423147836442252</x:v>
      </x:c>
      <x:c r="AM166" s="9" t="str">
        <x:v>0.0855786959110563</x:v>
      </x:c>
      <x:c r="AN166" s="9" t="str">
        <x:v>0.29952543568869705</x:v>
      </x:c>
      <x:c r="AO166" s="9" t="str">
        <x:v>1.0697336988882036</x:v>
      </x:c>
      <x:c r="AP166" s="10" t="str">
        <x:v>0.28</x:v>
      </x:c>
      <x:c r="AQ166" s="6" t="str">
        <x:v>0.44</x:v>
      </x:c>
      <x:c r="AR166" s="6" t="str">
        <x:v>0.28</x:v>
      </x:c>
      <x:c r="AS166" s="6" t="str">
        <x:v>With trade</x:v>
      </x:c>
      <x:c r="AT166" s="6" t="str">
        <x:v>0.8483875284357019</x:v>
      </x:c>
      <x:c r="AU166" s="7" t="str">
        <x:v>2024-07-11 04:15:00-05:00</x:v>
      </x:c>
      <x:c r="AV166" s="8" t="str">
        <x:v>1</x:v>
      </x:c>
      <x:c r="AW166" s="6" t="str">
        <x:v>Immediate retest (1 bar)</x:v>
      </x:c>
      <x:c r="AX166" s="6" t="str">
        <x:v>20141.5</x:v>
      </x:c>
      <x:c r="AY166" s="6" t="str">
        <x:v>1.0</x:v>
      </x:c>
      <x:c r="AZ166" s="9" t="str">
        <x:v>0.1778828524279315</x:v>
      </x:c>
      <x:c r="BA166" s="9" t="str">
        <x:v>0.044470713106982876</x:v>
      </x:c>
      <x:c r="BB166" s="9" t="str">
        <x:v>0.4891778441768116</x:v>
      </x:c>
      <x:c r="BC166" s="9" t="str">
        <x:v>0.044470713106982876</x:v>
      </x:c>
      <x:c r="BD166" s="6" t="str">
        <x:v>0.45454545454545453</x:v>
      </x:c>
      <x:c r="BE166" s="6" t="str">
        <x:v>0.45454545454545453</x:v>
      </x:c>
      <x:c r="BF166" s="9" t="str">
        <x:v>0.22235356553491437</x:v>
      </x:c>
      <x:c r="BG166" s="9" t="str">
        <x:v>0.22235356553491437</x:v>
      </x:c>
      <x:c r="BH166" s="6" t="str">
        <x:v>Against trade</x:v>
      </x:c>
      <x:c r="BI166" s="6" t="str">
        <x:v>Penetration + same-bar reclaim</x:v>
      </x:c>
      <x:c r="BJ166" s="6" t="str">
        <x:v>False</x:v>
      </x:c>
      <x:c r="BK166" s="10" t="str">
        <x:v>True</x:v>
      </x:c>
      <x:c r="BL166" s="6" t="str">
        <x:v>True</x:v>
      </x:c>
      <x:c r="BM166" s="7" t="str">
        <x:v>2024-07-11 04:20:00-05:00</x:v>
      </x:c>
      <x:c r="BN166" s="8" t="str">
        <x:v>1</x:v>
      </x:c>
      <x:c r="BO166" s="6" t="str">
        <x:v>Immediate confirmation (1 bar)</x:v>
      </x:c>
      <x:c r="BP166" s="9" t="str">
        <x:v>0.17815828910877832</x:v>
      </x:c>
      <x:c r="BQ166" s="9" t="str">
        <x:v>0.9798705900982808</x:v>
      </x:c>
      <x:c r="BR166" s="10" t="str">
        <x:v>0.18181818181818182</x:v>
      </x:c>
      <x:c r="BS166" s="9" t="str">
        <x:v>0.31177700594036206</x:v>
      </x:c>
      <x:c r="BT166" s="9" t="str">
        <x:v>0.2672374336631675</x:v>
      </x:c>
      <x:c r="BU166" s="9" t="str">
        <x:v>0.5790144396035296</x:v>
      </x:c>
      <x:c r="BV166" s="6" t="str">
        <x:v>With trade</x:v>
      </x:c>
      <x:c r="BW166" s="7" t="str">
        <x:v>2024-07-11 04:20:00-05:00</x:v>
      </x:c>
      <x:c r="BX166" s="6" t="str">
        <x:v>20138.75</x:v>
      </x:c>
      <x:c r="BY166" s="9" t="str">
        <x:v>5.612986097938046</x:v>
      </x:c>
      <x:c r="BZ166" s="9" t="str">
        <x:v>0.84</x:v>
      </x:c>
      <x:c r="CA166" s="6" t="str">
        <x:v>20147.169479146905</x:v>
      </x:c>
      <x:c r="CB166" s="6" t="str">
        <x:v>8.41947914690536</x:v>
      </x:c>
      <x:c r="CC166" s="9" t="str">
        <x:v>1.4999999999996954</x:v>
      </x:c>
      <x:c r="CD166" s="6" t="str">
        <x:v>20121.911041706186</x:v>
      </x:c>
      <x:c r="CE166" s="6" t="str">
        <x:v>16.838958293814358</x:v>
      </x:c>
      <x:c r="CF166" s="6" t="str">
        <x:v>Fixed 2.00R target</x:v>
      </x:c>
      <x:c r="CG166" s="9" t="str">
        <x:v>0.08610983973592701</x:v>
      </x:c>
      <x:c r="CH166" s="9" t="str">
        <x:v>-1.0</x:v>
      </x:c>
      <x:c r="CI166" s="9" t="str">
        <x:v>-1.086109839735927</x:v>
      </x:c>
      <x:c r="CJ166" s="6" t="str">
        <x:v>Loss</x:v>
      </x:c>
      <x:c r="CK166" s="9" t="str">
        <x:v>0.41570267458723387</x:v>
      </x:c>
      <x:c r="CL166" s="9" t="str">
        <x:v>1.0392566864680846</x:v>
      </x:c>
      <x:c r="CM166" s="7" t="str">
        <x:v>2024-07-11 04:45:00-05:00</x:v>
      </x:c>
      <x:c r="CN166" s="6" t="str">
        <x:v>20147.169479146905</x:v>
      </x:c>
      <x:c r="CO166" s="6" t="str">
        <x:v>STOP</x:v>
      </x:c>
      <x:c r="CP166" s="6" t="str">
        <x:v>F::Short::Same-bar Setup+BOS::Penetration + same-bar reclaim</x:v>
      </x:c>
    </x:row>
    <x:row r="167" ht="18" customHeight="1">
      <x:c r="A167" s="6" t="str">
        <x:v>A0166</x:v>
      </x:c>
      <x:c r="B167" s="6" t="str">
        <x:v>2024-07-11</x:v>
      </x:c>
      <x:c r="C167" s="6" t="str">
        <x:v>2024</x:v>
      </x:c>
      <x:c r="D167" s="6" t="str">
        <x:v>2024-Q3</x:v>
      </x:c>
      <x:c r="E167" s="6" t="str">
        <x:v>First 50%</x:v>
      </x:c>
      <x:c r="F167" s="6" t="str">
        <x:v>Long</x:v>
      </x:c>
      <x:c r="G167" s="6" t="str">
        <x:v>Long</x:v>
      </x:c>
      <x:c r="H167" s="6" t="str">
        <x:v>Premarket</x:v>
      </x:c>
      <x:c r="I167" s="6" t="str">
        <x:v>Premarket</x:v>
      </x:c>
      <x:c r="J167" s="6" t="str">
        <x:v>Bull</x:v>
      </x:c>
      <x:c r="K167" s="6" t="str">
        <x:v>Bull</x:v>
      </x:c>
      <x:c r="L167" s="6" t="str">
        <x:v>HIGH</x:v>
      </x:c>
      <x:c r="M167" s="7" t="str">
        <x:v>2024-07-11 07:25:00-05:00</x:v>
      </x:c>
      <x:c r="N167" s="6" t="str">
        <x:v>90.0</x:v>
      </x:c>
      <x:c r="O167" s="6" t="str">
        <x:v>90-94</x:v>
      </x:c>
      <x:c r="P167" s="6" t="str">
        <x:v>Matching BOS only</x:v>
      </x:c>
      <x:c r="Q167" s="6" t="str">
        <x:v>Bull CHoCH</x:v>
      </x:c>
      <x:c r="R167" s="6" t="str">
        <x:v>True</x:v>
      </x:c>
      <x:c r="S167" s="6" t="str">
        <x:v>False</x:v>
      </x:c>
      <x:c r="T167" s="6" t="str">
        <x:v>Recent SSL</x:v>
      </x:c>
      <x:c r="U167" s="6" t="str">
        <x:v>SSL</x:v>
      </x:c>
      <x:c r="V167" s="6" t="str">
        <x:v>Swing low / sell-side</x:v>
      </x:c>
      <x:c r="W167" s="6" t="str">
        <x:v>[20129.75]</x:v>
      </x:c>
      <x:c r="X167" s="8" t="str">
        <x:v>1</x:v>
      </x:c>
      <x:c r="Y167" s="8" t="str">
        <x:v>1.0</x:v>
      </x:c>
      <x:c r="Z167" s="6" t="str">
        <x:v>None</x:v>
      </x:c>
      <x:c r="AA167" s="6" t="str">
        <x:v>20149.25</x:v>
      </x:c>
      <x:c r="AB167" s="9" t="str">
        <x:v>0.6487158551171925</x:v>
      </x:c>
      <x:c r="AC167" s="9" t="str">
        <x:v>2.59486342046877</x:v>
      </x:c>
      <x:c r="AD167" s="9" t="str">
        <x:v>2.7164976433032435</x:v>
      </x:c>
      <x:c r="AE167" s="6" t="str">
        <x:v>With trade</x:v>
      </x:c>
      <x:c r="AF167" s="7" t="str">
        <x:v>2024-07-11 07:25:00-05:00</x:v>
      </x:c>
      <x:c r="AG167" s="6" t="str">
        <x:v>Long</x:v>
      </x:c>
      <x:c r="AH167" s="6" t="str">
        <x:v>20149.25</x:v>
      </x:c>
      <x:c r="AI167" s="8" t="str">
        <x:v>0</x:v>
      </x:c>
      <x:c r="AJ167" s="6" t="str">
        <x:v>True</x:v>
      </x:c>
      <x:c r="AK167" s="6" t="str">
        <x:v>Same-bar Setup+BOS</x:v>
      </x:c>
      <x:c r="AL167" s="9" t="str">
        <x:v>2.675952902358419</x:v>
      </x:c>
      <x:c r="AM167" s="9" t="str">
        <x:v>0.6487158551171925</x:v>
      </x:c>
      <x:c r="AN167" s="9" t="str">
        <x:v>2.59486342046877</x:v>
      </x:c>
      <x:c r="AO167" s="9" t="str">
        <x:v>2.7164976433032435</x:v>
      </x:c>
      <x:c r="AP167" s="10" t="str">
        <x:v>0.9552238805970149</x:v>
      </x:c>
      <x:c r="AQ167" s="6" t="str">
        <x:v>0.0</x:v>
      </x:c>
      <x:c r="AR167" s="6" t="str">
        <x:v>0.04477611940298507</x:v>
      </x:c>
      <x:c r="AS167" s="6" t="str">
        <x:v>With trade</x:v>
      </x:c>
      <x:c r="AT167" s="6" t="str">
        <x:v>3.580805794477139</x:v>
      </x:c>
      <x:c r="AU167" s="7" t="str">
        <x:v>2024-07-11 07:30:00-05:00</x:v>
      </x:c>
      <x:c r="AV167" s="8" t="str">
        <x:v>1</x:v>
      </x:c>
      <x:c r="AW167" s="6" t="str">
        <x:v>Immediate retest (1 bar)</x:v>
      </x:c>
      <x:c r="AX167" s="6" t="str">
        <x:v>20146.5</x:v>
      </x:c>
      <x:c r="AY167" s="6" t="str">
        <x:v>2.75</x:v>
      </x:c>
      <x:c r="AZ167" s="9" t="str">
        <x:v>0.21399783582785045</x:v>
      </x:c>
      <x:c r="BA167" s="9" t="str">
        <x:v>6.361572028700645</x:v>
      </x:c>
      <x:c r="BB167" s="9" t="str">
        <x:v>7.762285135937485</x:v>
      </x:c>
      <x:c r="BC167" s="9" t="str">
        <x:v>6.517206818393627</x:v>
      </x:c>
      <x:c r="BD167" s="6" t="str">
        <x:v>0.15288220551378445</x:v>
      </x:c>
      <x:c r="BE167" s="6" t="str">
        <x:v>0.007518796992481203</x:v>
      </x:c>
      <x:c r="BF167" s="9" t="str">
        <x:v>0.058363046134868306</x:v>
      </x:c>
      <x:c r="BG167" s="9" t="str">
        <x:v>1.1867152714089888</x:v>
      </x:c>
      <x:c r="BH167" s="6" t="str">
        <x:v>With trade</x:v>
      </x:c>
      <x:c r="BI167" s="6" t="str">
        <x:v>Penetration + same-bar reclaim</x:v>
      </x:c>
      <x:c r="BJ167" s="6" t="str">
        <x:v>False</x:v>
      </x:c>
      <x:c r="BK167" s="10" t="str">
        <x:v>True</x:v>
      </x:c>
      <x:c r="BL167" s="6" t="str">
        <x:v>True</x:v>
      </x:c>
      <x:c r="BM167" s="7" t="str">
        <x:v>2024-07-11 07:35:00-05:00</x:v>
      </x:c>
      <x:c r="BN167" s="8" t="str">
        <x:v>1</x:v>
      </x:c>
      <x:c r="BO167" s="6" t="str">
        <x:v>Immediate confirmation (1 bar)</x:v>
      </x:c>
      <x:c r="BP167" s="9" t="str">
        <x:v>0.26407419351857764</x:v>
      </x:c>
      <x:c r="BQ167" s="9" t="str">
        <x:v>2.235828171790624</x:v>
      </x:c>
      <x:c r="BR167" s="10" t="str">
        <x:v>0.11811023622047244</x:v>
      </x:c>
      <x:c r="BS167" s="9" t="str">
        <x:v>5.985681719754426</x:v>
      </x:c>
      <x:c r="BT167" s="9" t="str">
        <x:v>0.22886430104943395</x:v>
      </x:c>
      <x:c r="BU167" s="9" t="str">
        <x:v>1.8133094621608998</x:v>
      </x:c>
      <x:c r="BV167" s="6" t="str">
        <x:v>With trade</x:v>
      </x:c>
      <x:c r="BW167" s="7" t="str">
        <x:v>2024-07-11 07:35:00-05:00</x:v>
      </x:c>
      <x:c r="BX167" s="6" t="str">
        <x:v>20234.25</x:v>
      </x:c>
      <x:c r="BY167" s="9" t="str">
        <x:v>14.200554586702495</x:v>
      </x:c>
      <x:c r="BZ167" s="9" t="str">
        <x:v>1.0</x:v>
      </x:c>
      <x:c r="CA167" s="6" t="str">
        <x:v>20212.949168119947</x:v>
      </x:c>
      <x:c r="CB167" s="6" t="str">
        <x:v>21.30083188005301</x:v>
      </x:c>
      <x:c r="CC167" s="9" t="str">
        <x:v>1.4999999999999485</x:v>
      </x:c>
      <x:c r="CD167" s="6" t="str">
        <x:v>20276.851663760106</x:v>
      </x:c>
      <x:c r="CE167" s="6" t="str">
        <x:v>42.60166376010602</x:v>
      </x:c>
      <x:c r="CF167" s="6" t="str">
        <x:v>Fixed 2.00R target</x:v>
      </x:c>
      <x:c r="CG167" s="9" t="str">
        <x:v>0.03403622938684007</x:v>
      </x:c>
      <x:c r="CH167" s="9" t="str">
        <x:v>-1.0</x:v>
      </x:c>
      <x:c r="CI167" s="9" t="str">
        <x:v>-1.0340362293868401</x:v>
      </x:c>
      <x:c r="CJ167" s="6" t="str">
        <x:v>Loss</x:v>
      </x:c>
      <x:c r="CK167" s="9" t="str">
        <x:v>0.0938930465843864</x:v>
      </x:c>
      <x:c r="CL167" s="9" t="str">
        <x:v>1.3497125446505542</x:v>
      </x:c>
      <x:c r="CM167" s="7" t="str">
        <x:v>2024-07-11 07:40:00-05:00</x:v>
      </x:c>
      <x:c r="CN167" s="6" t="str">
        <x:v>20212.949168119947</x:v>
      </x:c>
      <x:c r="CO167" s="6" t="str">
        <x:v>STOP</x:v>
      </x:c>
      <x:c r="CP167" s="6" t="str">
        <x:v>F::Long::Same-bar Setup+BOS::Penetration + same-bar reclaim</x:v>
      </x:c>
    </x:row>
    <x:row r="168" ht="18" customHeight="1">
      <x:c r="A168" s="6" t="str">
        <x:v>A0167</x:v>
      </x:c>
      <x:c r="B168" s="6" t="str">
        <x:v>2024-07-16</x:v>
      </x:c>
      <x:c r="C168" s="6" t="str">
        <x:v>2024</x:v>
      </x:c>
      <x:c r="D168" s="6" t="str">
        <x:v>2024-Q3</x:v>
      </x:c>
      <x:c r="E168" s="6" t="str">
        <x:v>First 50%</x:v>
      </x:c>
      <x:c r="F168" s="6" t="str">
        <x:v>Long</x:v>
      </x:c>
      <x:c r="G168" s="6" t="str">
        <x:v>Long</x:v>
      </x:c>
      <x:c r="H168" s="6" t="str">
        <x:v>Premarket</x:v>
      </x:c>
      <x:c r="I168" s="6" t="str">
        <x:v>Premarket</x:v>
      </x:c>
      <x:c r="J168" s="6" t="str">
        <x:v>Bull</x:v>
      </x:c>
      <x:c r="K168" s="6" t="str">
        <x:v>Bull</x:v>
      </x:c>
      <x:c r="L168" s="6" t="str">
        <x:v>HIGH</x:v>
      </x:c>
      <x:c r="M168" s="7" t="str">
        <x:v>2024-07-16 07:30:00-05:00</x:v>
      </x:c>
      <x:c r="N168" s="6" t="str">
        <x:v>90.0</x:v>
      </x:c>
      <x:c r="O168" s="6" t="str">
        <x:v>90-94</x:v>
      </x:c>
      <x:c r="P168" s="6" t="str">
        <x:v>Matching BOS + liquidity sweep</x:v>
      </x:c>
      <x:c r="Q168" s="6" t="str">
        <x:v>Bull BOS</x:v>
      </x:c>
      <x:c r="R168" s="6" t="str">
        <x:v>True</x:v>
      </x:c>
      <x:c r="S168" s="6" t="str">
        <x:v>True</x:v>
      </x:c>
      <x:c r="T168" s="6" t="str">
        <x:v>Recent SSL</x:v>
      </x:c>
      <x:c r="U168" s="6" t="str">
        <x:v>SSL</x:v>
      </x:c>
      <x:c r="V168" s="6" t="str">
        <x:v>Swing low / sell-side</x:v>
      </x:c>
      <x:c r="W168" s="6" t="str">
        <x:v>[19838.25,19877.5]</x:v>
      </x:c>
      <x:c r="X168" s="8" t="str">
        <x:v>2</x:v>
      </x:c>
      <x:c r="Y168" s="8" t="str">
        <x:v>0.0</x:v>
      </x:c>
      <x:c r="Z168" s="6" t="str">
        <x:v>Sweep below CRT reference</x:v>
      </x:c>
      <x:c r="AA168" s="6" t="str">
        <x:v>19900.0</x:v>
      </x:c>
      <x:c r="AB168" s="9" t="str">
        <x:v>0.3118288197346681</x:v>
      </x:c>
      <x:c r="AC168" s="9" t="str">
        <x:v>0.9538293309531024</x:v>
      </x:c>
      <x:c r="AD168" s="9" t="str">
        <x:v>5.301089935489357</x:v>
      </x:c>
      <x:c r="AE168" s="6" t="str">
        <x:v>With trade</x:v>
      </x:c>
      <x:c r="AF168" s="7" t="str">
        <x:v>2024-07-16 07:30:00-05:00</x:v>
      </x:c>
      <x:c r="AG168" s="6" t="str">
        <x:v>Long</x:v>
      </x:c>
      <x:c r="AH168" s="6" t="str">
        <x:v>19900.0</x:v>
      </x:c>
      <x:c r="AI168" s="8" t="str">
        <x:v>0</x:v>
      </x:c>
      <x:c r="AJ168" s="6" t="str">
        <x:v>True</x:v>
      </x:c>
      <x:c r="AK168" s="6" t="str">
        <x:v>Same-bar Setup+BOS</x:v>
      </x:c>
      <x:c r="AL168" s="9" t="str">
        <x:v>0.752057741713023</x:v>
      </x:c>
      <x:c r="AM168" s="9" t="str">
        <x:v>0.3118288197346681</x:v>
      </x:c>
      <x:c r="AN168" s="9" t="str">
        <x:v>0.9538293309531024</x:v>
      </x:c>
      <x:c r="AO168" s="9" t="str">
        <x:v>5.301089935489357</x:v>
      </x:c>
      <x:c r="AP168" s="10" t="str">
        <x:v>0.17993079584775087</x:v>
      </x:c>
      <x:c r="AQ168" s="6" t="str">
        <x:v>0.07612456747404844</x:v>
      </x:c>
      <x:c r="AR168" s="6" t="str">
        <x:v>0.7439446366782007</x:v>
      </x:c>
      <x:c r="AS168" s="6" t="str">
        <x:v>With trade</x:v>
      </x:c>
      <x:c r="AT168" s="6" t="str">
        <x:v>8.323807899001963</x:v>
      </x:c>
      <x:c r="AU168" s="7" t="str">
        <x:v>2024-07-16 07:35:00-05:00</x:v>
      </x:c>
      <x:c r="AV168" s="8" t="str">
        <x:v>1</x:v>
      </x:c>
      <x:c r="AW168" s="6" t="str">
        <x:v>Immediate retest (1 bar)</x:v>
      </x:c>
      <x:c r="AX168" s="6" t="str">
        <x:v>19897.25</x:v>
      </x:c>
      <x:c r="AY168" s="6" t="str">
        <x:v>2.75</x:v>
      </x:c>
      <x:c r="AZ168" s="9" t="str">
        <x:v>0.20138032427299649</x:v>
      </x:c>
      <x:c r="BA168" s="9" t="str">
        <x:v>-0.07322920882654418</x:v>
      </x:c>
      <x:c r="BB168" s="9" t="str">
        <x:v>1.0252089235716184</x:v>
      </x:c>
      <x:c r="BC168" s="9" t="str">
        <x:v>0.3661460441327209</x:v>
      </x:c>
      <x:c r="BD168" s="6" t="str">
        <x:v>0.5178571428571429</x:v>
      </x:c>
      <x:c r="BE168" s="6" t="str">
        <x:v>0.125</x:v>
      </x:c>
      <x:c r="BF168" s="9" t="str">
        <x:v>0.1281511154464523</x:v>
      </x:c>
      <x:c r="BG168" s="9" t="str">
        <x:v>0.5309117639924453</x:v>
      </x:c>
      <x:c r="BH168" s="6" t="str">
        <x:v>Against trade</x:v>
      </x:c>
      <x:c r="BI168" s="6" t="str">
        <x:v>Penetration without same-bar reclaim</x:v>
      </x:c>
      <x:c r="BJ168" s="6" t="str">
        <x:v>False</x:v>
      </x:c>
      <x:c r="BK168" s="10" t="str">
        <x:v>True</x:v>
      </x:c>
      <x:c r="BL168" s="6" t="str">
        <x:v>False</x:v>
      </x:c>
      <x:c r="BM168" s="7" t="str">
        <x:v>2024-07-16 07:40:00-05:00</x:v>
      </x:c>
      <x:c r="BN168" s="8" t="str">
        <x:v>1</x:v>
      </x:c>
      <x:c r="BO168" s="6" t="str">
        <x:v>Immediate confirmation (1 bar)</x:v>
      </x:c>
      <x:c r="BP168" s="9" t="str">
        <x:v>1.0713848892374922</x:v>
      </x:c>
      <x:c r="BQ168" s="9" t="str">
        <x:v>1.5280407436665873</x:v>
      </x:c>
      <x:c r="BR168" s="10" t="str">
        <x:v>0.7011494252873564</x:v>
      </x:c>
      <x:c r="BS168" s="9" t="str">
        <x:v>0.9835664556934355</x:v>
      </x:c>
      <x:c r="BT168" s="9" t="str">
        <x:v>1.0538212025286808</x:v>
      </x:c>
      <x:c r="BU168" s="9" t="str">
        <x:v>0.31614636075860425</x:v>
      </x:c>
      <x:c r="BV168" s="6" t="str">
        <x:v>With trade</x:v>
      </x:c>
      <x:c r="BW168" s="7" t="str">
        <x:v>2024-07-16 07:40:00-05:00</x:v>
      </x:c>
      <x:c r="BX168" s="6" t="str">
        <x:v>19914.0</x:v>
      </x:c>
      <x:c r="BY168" s="9" t="str">
        <x:v>14.233913650633498</x:v>
      </x:c>
      <x:c r="BZ168" s="9" t="str">
        <x:v>0.99</x:v>
      </x:c>
      <x:c r="CA168" s="6" t="str">
        <x:v>19892.64912952405</x:v>
      </x:c>
      <x:c r="CB168" s="6" t="str">
        <x:v>21.350870475951524</x:v>
      </x:c>
      <x:c r="CC168" s="9" t="str">
        <x:v>1.5000000000000897</x:v>
      </x:c>
      <x:c r="CD168" s="6" t="str">
        <x:v>19956.7017409519</x:v>
      </x:c>
      <x:c r="CE168" s="6" t="str">
        <x:v>42.70174095189941</x:v>
      </x:c>
      <x:c r="CF168" s="6" t="str">
        <x:v>Fixed 2.00R target</x:v>
      </x:c>
      <x:c r="CG168" s="9" t="str">
        <x:v>0.03395646097036658</x:v>
      </x:c>
      <x:c r="CH168" s="9" t="str">
        <x:v>-1.0</x:v>
      </x:c>
      <x:c r="CI168" s="9" t="str">
        <x:v>-1.0339564609703666</x:v>
      </x:c>
      <x:c r="CJ168" s="6" t="str">
        <x:v>Loss</x:v>
      </x:c>
      <x:c r="CK168" s="9" t="str">
        <x:v>0.0468364978901608</x:v>
      </x:c>
      <x:c r="CL168" s="9" t="str">
        <x:v>1.4519314345949847</x:v>
      </x:c>
      <x:c r="CM168" s="7" t="str">
        <x:v>2024-07-16 07:50:00-05:00</x:v>
      </x:c>
      <x:c r="CN168" s="6" t="str">
        <x:v>19892.64912952405</x:v>
      </x:c>
      <x:c r="CO168" s="6" t="str">
        <x:v>STOP</x:v>
      </x:c>
      <x:c r="CP168" s="6" t="str">
        <x:v>F::Long::Same-bar Setup+BOS::Penetration without same-bar reclaim</x:v>
      </x:c>
    </x:row>
    <x:row r="169" ht="18" customHeight="1">
      <x:c r="A169" s="6" t="str">
        <x:v>A0168</x:v>
      </x:c>
      <x:c r="B169" s="6" t="str">
        <x:v>2024-07-16</x:v>
      </x:c>
      <x:c r="C169" s="6" t="str">
        <x:v>2024</x:v>
      </x:c>
      <x:c r="D169" s="6" t="str">
        <x:v>2024-Q3</x:v>
      </x:c>
      <x:c r="E169" s="6" t="str">
        <x:v>First 50%</x:v>
      </x:c>
      <x:c r="F169" s="6" t="str">
        <x:v>Long</x:v>
      </x:c>
      <x:c r="G169" s="6" t="str">
        <x:v>Long</x:v>
      </x:c>
      <x:c r="H169" s="6" t="str">
        <x:v>Afternoon</x:v>
      </x:c>
      <x:c r="I169" s="6" t="str">
        <x:v>Afternoon</x:v>
      </x:c>
      <x:c r="J169" s="6" t="str">
        <x:v>Neutral</x:v>
      </x:c>
      <x:c r="K169" s="6" t="str">
        <x:v>Bear</x:v>
      </x:c>
      <x:c r="L169" s="6" t="str">
        <x:v>MID</x:v>
      </x:c>
      <x:c r="M169" s="7" t="str">
        <x:v>2024-07-16 14:50:00-05:00</x:v>
      </x:c>
      <x:c r="N169" s="6" t="str">
        <x:v>100.0</x:v>
      </x:c>
      <x:c r="O169" s="6" t="str">
        <x:v>95+</x:v>
      </x:c>
      <x:c r="P169" s="6" t="str">
        <x:v>Matching BOS only</x:v>
      </x:c>
      <x:c r="Q169" s="6" t="str">
        <x:v>Bull BOS</x:v>
      </x:c>
      <x:c r="R169" s="6" t="str">
        <x:v>True</x:v>
      </x:c>
      <x:c r="S169" s="6" t="str">
        <x:v>False</x:v>
      </x:c>
      <x:c r="T169" s="6" t="str">
        <x:v>Recent SSL</x:v>
      </x:c>
      <x:c r="U169" s="6" t="str">
        <x:v>SSL</x:v>
      </x:c>
      <x:c r="V169" s="6" t="str">
        <x:v>Swing low / sell-side</x:v>
      </x:c>
      <x:c r="W169" s="6" t="str">
        <x:v>[19757.5]</x:v>
      </x:c>
      <x:c r="X169" s="8" t="str">
        <x:v>1</x:v>
      </x:c>
      <x:c r="Y169" s="8" t="str">
        <x:v>19.0</x:v>
      </x:c>
      <x:c r="Z169" s="6" t="str">
        <x:v>Sweep below CRT reference</x:v>
      </x:c>
      <x:c r="AA169" s="6" t="str">
        <x:v>19856.0</x:v>
      </x:c>
      <x:c r="AB169" s="9" t="str">
        <x:v>0.42602578942411246</x:v>
      </x:c>
      <x:c r="AC169" s="9" t="str">
        <x:v>1.4861364747352759</x:v>
      </x:c>
      <x:c r="AD169" s="9" t="str">
        <x:v>1.832901652173507</x:v>
      </x:c>
      <x:c r="AE169" s="6" t="str">
        <x:v>With trade</x:v>
      </x:c>
      <x:c r="AF169" s="7" t="str">
        <x:v>2024-07-16 14:50:00-05:00</x:v>
      </x:c>
      <x:c r="AG169" s="6" t="str">
        <x:v>Long</x:v>
      </x:c>
      <x:c r="AH169" s="6" t="str">
        <x:v>19856.0</x:v>
      </x:c>
      <x:c r="AI169" s="8" t="str">
        <x:v>0</x:v>
      </x:c>
      <x:c r="AJ169" s="6" t="str">
        <x:v>True</x:v>
      </x:c>
      <x:c r="AK169" s="6" t="str">
        <x:v>Same-bar Setup+BOS</x:v>
      </x:c>
      <x:c r="AL169" s="9" t="str">
        <x:v>1.4861364747352759</x:v>
      </x:c>
      <x:c r="AM169" s="9" t="str">
        <x:v>0.42602578942411246</x:v>
      </x:c>
      <x:c r="AN169" s="9" t="str">
        <x:v>1.4861364747352759</x:v>
      </x:c>
      <x:c r="AO169" s="9" t="str">
        <x:v>1.832901652173507</x:v>
      </x:c>
      <x:c r="AP169" s="10" t="str">
        <x:v>0.8108108108108109</x:v>
      </x:c>
      <x:c r="AQ169" s="6" t="str">
        <x:v>0.08648648648648649</x:v>
      </x:c>
      <x:c r="AR169" s="6" t="str">
        <x:v>0.10270270270270271</x:v>
      </x:c>
      <x:c r="AS169" s="6" t="str">
        <x:v>With trade</x:v>
      </x:c>
      <x:c r="AT169" s="6" t="str">
        <x:v>2.1168027390044775</x:v>
      </x:c>
      <x:c r="AU169" s="7" t="str">
        <x:v>2024-07-16 14:55:00-05:00</x:v>
      </x:c>
      <x:c r="AV169" s="8" t="str">
        <x:v>1</x:v>
      </x:c>
      <x:c r="AW169" s="6" t="str">
        <x:v>Immediate retest (1 bar)</x:v>
      </x:c>
      <x:c r="AX169" s="6" t="str">
        <x:v>19852.0</x:v>
      </x:c>
      <x:c r="AY169" s="6" t="str">
        <x:v>4.0</x:v>
      </x:c>
      <x:c r="AZ169" s="9" t="str">
        <x:v>0.15873835453246007</x:v>
      </x:c>
      <x:c r="BA169" s="9" t="str">
        <x:v>0.2381075317986901</x:v>
      </x:c>
      <x:c r="BB169" s="9" t="str">
        <x:v>0.9821935686695967</x:v>
      </x:c>
      <x:c r="BC169" s="9" t="str">
        <x:v>0.18850179600729633</x:v>
      </x:c>
      <x:c r="BD169" s="6" t="str">
        <x:v>0.40404040404040403</x:v>
      </x:c>
      <x:c r="BE169" s="6" t="str">
        <x:v>0.40404040404040403</x:v>
      </x:c>
      <x:c r="BF169" s="9" t="str">
        <x:v>0.3968458863311502</x:v>
      </x:c>
      <x:c r="BG169" s="9" t="str">
        <x:v>0.3968458863311502</x:v>
      </x:c>
      <x:c r="BH169" s="6" t="str">
        <x:v>Against trade</x:v>
      </x:c>
      <x:c r="BI169" s="6" t="str">
        <x:v>Penetration + same-bar reclaim</x:v>
      </x:c>
      <x:c r="BJ169" s="6" t="str">
        <x:v>False</x:v>
      </x:c>
      <x:c r="BK169" s="10" t="str">
        <x:v>True</x:v>
      </x:c>
      <x:c r="BL169" s="6" t="str">
        <x:v>True</x:v>
      </x:c>
      <x:c r="BM169" s="7" t="str">
        <x:v>2024-07-16 15:05:00-05:00</x:v>
      </x:c>
      <x:c r="BN169" s="8" t="str">
        <x:v>2</x:v>
      </x:c>
      <x:c r="BO169" s="6" t="str">
        <x:v>Delayed confirmation (2+ bars)</x:v>
      </x:c>
      <x:c r="BP169" s="9" t="str">
        <x:v>0.6239653486578374</x:v>
      </x:c>
      <x:c r="BQ169" s="9" t="str">
        <x:v>0.8796888522061314</x:v>
      </x:c>
      <x:c r="BR169" s="10" t="str">
        <x:v>0.7093023255813954</x:v>
      </x:c>
      <x:c r="BS169" s="9" t="str">
        <x:v>0.5216759472385197</x:v>
      </x:c>
      <x:c r="BT169" s="9" t="str">
        <x:v>0.2761813838321575</x:v>
      </x:c>
      <x:c r="BU169" s="9" t="str">
        <x:v>0.18412092255477167</x:v>
      </x:c>
      <x:c r="BV169" s="6" t="str">
        <x:v>With trade</x:v>
      </x:c>
      <x:c r="BW169" s="7" t="str">
        <x:v>2024-07-16 15:05:00-05:00</x:v>
      </x:c>
      <x:c r="BX169" s="6" t="str">
        <x:v>19868.75</x:v>
      </x:c>
      <x:c r="BY169" s="9" t="str">
        <x:v>24.440459767201933</x:v>
      </x:c>
      <x:c r="BZ169" s="9" t="str">
        <x:v>0.37</x:v>
      </x:c>
      <x:c r="CA169" s="6" t="str">
        <x:v>19832.089310349198</x:v>
      </x:c>
      <x:c r="CB169" s="6" t="str">
        <x:v>36.66068965080194</x:v>
      </x:c>
      <x:c r="CC169" s="9" t="str">
        <x:v>1.499999999999961</x:v>
      </x:c>
      <x:c r="CD169" s="6" t="str">
        <x:v>19942.071379301608</x:v>
      </x:c>
      <x:c r="CE169" s="6" t="str">
        <x:v>73.32137930160752</x:v>
      </x:c>
      <x:c r="CF169" s="6" t="str">
        <x:v>Fixed 2.00R target</x:v>
      </x:c>
      <x:c r="CG169" s="9" t="str">
        <x:v>0.019775950941068585</x:v>
      </x:c>
      <x:c r="CH169" s="9" t="str">
        <x:v>-0.5182663005245425</x:v>
      </x:c>
      <x:c r="CI169" s="9" t="str">
        <x:v>-0.538042251465611</x:v>
      </x:c>
      <x:c r="CJ169" s="6" t="str">
        <x:v>Loss</x:v>
      </x:c>
      <x:c r="CK169" s="9" t="str">
        <x:v>0.054554347423637475</x:v>
      </x:c>
      <x:c r="CL169" s="9" t="str">
        <x:v>0.7501222770750153</x:v>
      </x:c>
      <x:c r="CM169" s="7" t="str">
        <x:v>2024-07-16 17:05:00-05:00</x:v>
      </x:c>
      <x:c r="CN169" s="6" t="str">
        <x:v>19849.75</x:v>
      </x:c>
      <x:c r="CO169" s="6" t="str">
        <x:v>TIME</x:v>
      </x:c>
      <x:c r="CP169" s="6" t="str">
        <x:v>F::Long::Same-bar Setup+BOS::Penetration + same-bar reclaim</x:v>
      </x:c>
    </x:row>
    <x:row r="170" ht="18" customHeight="1">
      <x:c r="A170" s="6" t="str">
        <x:v>A0169</x:v>
      </x:c>
      <x:c r="B170" s="6" t="str">
        <x:v>2024-07-17</x:v>
      </x:c>
      <x:c r="C170" s="6" t="str">
        <x:v>2024</x:v>
      </x:c>
      <x:c r="D170" s="6" t="str">
        <x:v>2024-Q3</x:v>
      </x:c>
      <x:c r="E170" s="6" t="str">
        <x:v>First 50%</x:v>
      </x:c>
      <x:c r="F170" s="6" t="str">
        <x:v>Short</x:v>
      </x:c>
      <x:c r="G170" s="6" t="str">
        <x:v>Short</x:v>
      </x:c>
      <x:c r="H170" s="6" t="str">
        <x:v>Premarket</x:v>
      </x:c>
      <x:c r="I170" s="6" t="str">
        <x:v>Premarket</x:v>
      </x:c>
      <x:c r="J170" s="6" t="str">
        <x:v>Bear</x:v>
      </x:c>
      <x:c r="K170" s="6" t="str">
        <x:v>Bear</x:v>
      </x:c>
      <x:c r="L170" s="6" t="str">
        <x:v>HIGH</x:v>
      </x:c>
      <x:c r="M170" s="7" t="str">
        <x:v>2024-07-17 05:50:00-05:00</x:v>
      </x:c>
      <x:c r="N170" s="6" t="str">
        <x:v>90.0</x:v>
      </x:c>
      <x:c r="O170" s="6" t="str">
        <x:v>90-94</x:v>
      </x:c>
      <x:c r="P170" s="6" t="str">
        <x:v>Matching BOS only</x:v>
      </x:c>
      <x:c r="Q170" s="6" t="str">
        <x:v>Bear CHoCH</x:v>
      </x:c>
      <x:c r="R170" s="6" t="str">
        <x:v>True</x:v>
      </x:c>
      <x:c r="S170" s="6" t="str">
        <x:v>False</x:v>
      </x:c>
      <x:c r="T170" s="6" t="str">
        <x:v>Recent BSL</x:v>
      </x:c>
      <x:c r="U170" s="6" t="str">
        <x:v>BSL</x:v>
      </x:c>
      <x:c r="V170" s="6" t="str">
        <x:v>Swing high / buy-side</x:v>
      </x:c>
      <x:c r="W170" s="6" t="str">
        <x:v>[19619.5]</x:v>
      </x:c>
      <x:c r="X170" s="8" t="str">
        <x:v>1</x:v>
      </x:c>
      <x:c r="Y170" s="8" t="str">
        <x:v>5.0</x:v>
      </x:c>
      <x:c r="Z170" s="6" t="str">
        <x:v>None</x:v>
      </x:c>
      <x:c r="AA170" s="6" t="str">
        <x:v>19597.25</x:v>
      </x:c>
      <x:c r="AB170" s="9" t="str">
        <x:v>0.17981148026486243</x:v>
      </x:c>
      <x:c r="AC170" s="9" t="str">
        <x:v>0.8810762532978259</x:v>
      </x:c>
      <x:c r="AD170" s="9" t="str">
        <x:v>1.7261902105426792</x:v>
      </x:c>
      <x:c r="AE170" s="6" t="str">
        <x:v>With trade</x:v>
      </x:c>
      <x:c r="AF170" s="7" t="str">
        <x:v>2024-07-17 05:50:00-05:00</x:v>
      </x:c>
      <x:c r="AG170" s="6" t="str">
        <x:v>Short</x:v>
      </x:c>
      <x:c r="AH170" s="6" t="str">
        <x:v>19597.25</x:v>
      </x:c>
      <x:c r="AI170" s="8" t="str">
        <x:v>0</x:v>
      </x:c>
      <x:c r="AJ170" s="6" t="str">
        <x:v>True</x:v>
      </x:c>
      <x:c r="AK170" s="6" t="str">
        <x:v>Same-bar Setup+BOS</x:v>
      </x:c>
      <x:c r="AL170" s="9" t="str">
        <x:v>0.9350196973772846</x:v>
      </x:c>
      <x:c r="AM170" s="9" t="str">
        <x:v>0.17981148026486243</x:v>
      </x:c>
      <x:c r="AN170" s="9" t="str">
        <x:v>0.8810762532978259</x:v>
      </x:c>
      <x:c r="AO170" s="9" t="str">
        <x:v>1.7261902105426792</x:v>
      </x:c>
      <x:c r="AP170" s="10" t="str">
        <x:v>0.5104166666666666</x:v>
      </x:c>
      <x:c r="AQ170" s="6" t="str">
        <x:v>0.14583333333333334</x:v>
      </x:c>
      <x:c r="AR170" s="6" t="str">
        <x:v>0.34375</x:v>
      </x:c>
      <x:c r="AS170" s="6" t="str">
        <x:v>With trade</x:v>
      </x:c>
      <x:c r="AT170" s="6" t="str">
        <x:v>1.9563631540553086</x:v>
      </x:c>
      <x:c r="AU170" s="7" t="str">
        <x:v>2024-07-17 05:55:00-05:00</x:v>
      </x:c>
      <x:c r="AV170" s="8" t="str">
        <x:v>1</x:v>
      </x:c>
      <x:c r="AW170" s="6" t="str">
        <x:v>Immediate retest (1 bar)</x:v>
      </x:c>
      <x:c r="AX170" s="6" t="str">
        <x:v>19598.25</x:v>
      </x:c>
      <x:c r="AY170" s="6" t="str">
        <x:v>1.0</x:v>
      </x:c>
      <x:c r="AZ170" s="9" t="str">
        <x:v>0.07143044633146907</x:v>
      </x:c>
      <x:c r="BA170" s="9" t="str">
        <x:v>0.053572834748601805</x:v>
      </x:c>
      <x:c r="BB170" s="9" t="str">
        <x:v>1.0893143065549034</x:v>
      </x:c>
      <x:c r="BC170" s="9" t="str">
        <x:v>0.16071850424580542</x:v>
      </x:c>
      <x:c r="BD170" s="6" t="str">
        <x:v>0.11475409836065574</x:v>
      </x:c>
      <x:c r="BE170" s="6" t="str">
        <x:v>0.7377049180327869</x:v>
      </x:c>
      <x:c r="BF170" s="9" t="str">
        <x:v>0.12500328108007086</x:v>
      </x:c>
      <x:c r="BG170" s="9" t="str">
        <x:v>0.803592521229027</x:v>
      </x:c>
      <x:c r="BH170" s="6" t="str">
        <x:v>Against trade</x:v>
      </x:c>
      <x:c r="BI170" s="6" t="str">
        <x:v>Penetration + same-bar reclaim</x:v>
      </x:c>
      <x:c r="BJ170" s="6" t="str">
        <x:v>False</x:v>
      </x:c>
      <x:c r="BK170" s="10" t="str">
        <x:v>True</x:v>
      </x:c>
      <x:c r="BL170" s="6" t="str">
        <x:v>True</x:v>
      </x:c>
      <x:c r="BM170" s="7" t="str">
        <x:v>2024-07-17 06:00:00-05:00</x:v>
      </x:c>
      <x:c r="BN170" s="8" t="str">
        <x:v>1</x:v>
      </x:c>
      <x:c r="BO170" s="6" t="str">
        <x:v>Immediate confirmation (1 bar)</x:v>
      </x:c>
      <x:c r="BP170" s="9" t="str">
        <x:v>0.6251609234935174</x:v>
      </x:c>
      <x:c r="BQ170" s="9" t="str">
        <x:v>2.0235471997290166</x:v>
      </x:c>
      <x:c r="BR170" s="10" t="str">
        <x:v>0.3089430894308943</x:v>
      </x:c>
      <x:c r="BS170" s="9" t="str">
        <x:v>0.6416125267433468</x:v>
      </x:c>
      <x:c r="BT170" s="9" t="str">
        <x:v>0.5922577169938585</x:v>
      </x:c>
      <x:c r="BU170" s="9" t="str">
        <x:v>0.9870961949897642</x:v>
      </x:c>
      <x:c r="BV170" s="6" t="str">
        <x:v>With trade</x:v>
      </x:c>
      <x:c r="BW170" s="7" t="str">
        <x:v>2024-07-17 06:00:00-05:00</x:v>
      </x:c>
      <x:c r="BX170" s="6" t="str">
        <x:v>19587.5</x:v>
      </x:c>
      <x:c r="BY170" s="9" t="str">
        <x:v>15.19608734805785</x:v>
      </x:c>
      <x:c r="BZ170" s="9" t="str">
        <x:v>0.67</x:v>
      </x:c>
      <x:c r="CA170" s="6" t="str">
        <x:v>19610.29413102209</x:v>
      </x:c>
      <x:c r="CB170" s="6" t="str">
        <x:v>22.79413102208855</x:v>
      </x:c>
      <x:c r="CC170" s="9" t="str">
        <x:v>1.5000000000001168</x:v>
      </x:c>
      <x:c r="CD170" s="6" t="str">
        <x:v>19541.911737955827</x:v>
      </x:c>
      <x:c r="CE170" s="6" t="str">
        <x:v>45.58826204417346</x:v>
      </x:c>
      <x:c r="CF170" s="6" t="str">
        <x:v>Fixed 2.00R target</x:v>
      </x:c>
      <x:c r="CG170" s="9" t="str">
        <x:v>0.0318064329496677</x:v>
      </x:c>
      <x:c r="CH170" s="9" t="str">
        <x:v>2.0</x:v>
      </x:c>
      <x:c r="CI170" s="9" t="str">
        <x:v>1.9681935670503323</x:v>
      </x:c>
      <x:c r="CJ170" s="6" t="str">
        <x:v>Win</x:v>
      </x:c>
      <x:c r="CK170" s="9" t="str">
        <x:v>2.4129018099747914</x:v>
      </x:c>
      <x:c r="CL170" s="9" t="str">
        <x:v>0.05483867749942707</x:v>
      </x:c>
      <x:c r="CM170" s="7" t="str">
        <x:v>2024-07-17 06:20:00-05:00</x:v>
      </x:c>
      <x:c r="CN170" s="6" t="str">
        <x:v>19541.911737955827</x:v>
      </x:c>
      <x:c r="CO170" s="6" t="str">
        <x:v>TARGET</x:v>
      </x:c>
      <x:c r="CP170" s="6" t="str">
        <x:v>F::Short::Same-bar Setup+BOS::Penetration + same-bar reclaim</x:v>
      </x:c>
    </x:row>
    <x:row r="171" ht="18" customHeight="1">
      <x:c r="A171" s="6" t="str">
        <x:v>A0170</x:v>
      </x:c>
      <x:c r="B171" s="6" t="str">
        <x:v>2024-07-17</x:v>
      </x:c>
      <x:c r="C171" s="6" t="str">
        <x:v>2024</x:v>
      </x:c>
      <x:c r="D171" s="6" t="str">
        <x:v>2024-Q3</x:v>
      </x:c>
      <x:c r="E171" s="6" t="str">
        <x:v>First 50%</x:v>
      </x:c>
      <x:c r="F171" s="6" t="str">
        <x:v>Short</x:v>
      </x:c>
      <x:c r="G171" s="6" t="str">
        <x:v>Short</x:v>
      </x:c>
      <x:c r="H171" s="6" t="str">
        <x:v>Afternoon</x:v>
      </x:c>
      <x:c r="I171" s="6" t="str">
        <x:v>Afternoon</x:v>
      </x:c>
      <x:c r="J171" s="6" t="str">
        <x:v>Bear</x:v>
      </x:c>
      <x:c r="K171" s="6" t="str">
        <x:v>Bear</x:v>
      </x:c>
      <x:c r="L171" s="6" t="str">
        <x:v>HIGH</x:v>
      </x:c>
      <x:c r="M171" s="7" t="str">
        <x:v>2024-07-17 14:55:00-05:00</x:v>
      </x:c>
      <x:c r="N171" s="6" t="str">
        <x:v>75.0</x:v>
      </x:c>
      <x:c r="O171" s="6" t="str">
        <x:v>75-79</x:v>
      </x:c>
      <x:c r="P171" s="6" t="str">
        <x:v>Matching BOS only</x:v>
      </x:c>
      <x:c r="Q171" s="6" t="str">
        <x:v>Bear CHoCH</x:v>
      </x:c>
      <x:c r="R171" s="6" t="str">
        <x:v>True</x:v>
      </x:c>
      <x:c r="S171" s="6" t="str">
        <x:v>False</x:v>
      </x:c>
      <x:c r="T171" s="6" t="str">
        <x:v>No recent matching sweep</x:v>
      </x:c>
      <x:c r="U171" s="6" t="str">
        <x:v>None</x:v>
      </x:c>
      <x:c r="V171" s="6" t="str">
        <x:v>None</x:v>
      </x:c>
      <x:c r="W171" s="6" t="str">
        <x:v>[]</x:v>
      </x:c>
      <x:c r="X171" s="8" t="str">
        <x:v>0</x:v>
      </x:c>
      <x:c r="Y171" s="8" t="str"/>
      <x:c r="Z171" s="6" t="str">
        <x:v>None</x:v>
      </x:c>
      <x:c r="AA171" s="6" t="str">
        <x:v>19260.25</x:v>
      </x:c>
      <x:c r="AB171" s="9" t="str">
        <x:v>0.19090834872983478</x:v>
      </x:c>
      <x:c r="AC171" s="9" t="str">
        <x:v>1.3944609820266194</x:v>
      </x:c>
      <x:c r="AD171" s="9" t="str">
        <x:v>1.6268711456977225</x:v>
      </x:c>
      <x:c r="AE171" s="6" t="str">
        <x:v>With trade</x:v>
      </x:c>
      <x:c r="AF171" s="7" t="str">
        <x:v>2024-07-17 14:55:00-05:00</x:v>
      </x:c>
      <x:c r="AG171" s="6" t="str">
        <x:v>Short</x:v>
      </x:c>
      <x:c r="AH171" s="6" t="str">
        <x:v>19260.25</x:v>
      </x:c>
      <x:c r="AI171" s="8" t="str">
        <x:v>0</x:v>
      </x:c>
      <x:c r="AJ171" s="6" t="str">
        <x:v>True</x:v>
      </x:c>
      <x:c r="AK171" s="6" t="str">
        <x:v>Same-bar Setup+BOS</x:v>
      </x:c>
      <x:c r="AL171" s="9" t="str">
        <x:v>1.3778602560501119</x:v>
      </x:c>
      <x:c r="AM171" s="9" t="str">
        <x:v>0.19090834872983478</x:v>
      </x:c>
      <x:c r="AN171" s="9" t="str">
        <x:v>1.3944609820266194</x:v>
      </x:c>
      <x:c r="AO171" s="9" t="str">
        <x:v>1.6268711456977225</x:v>
      </x:c>
      <x:c r="AP171" s="10" t="str">
        <x:v>0.8571428571428571</x:v>
      </x:c>
      <x:c r="AQ171" s="6" t="str">
        <x:v>0.05612244897959184</x:v>
      </x:c>
      <x:c r="AR171" s="6" t="str">
        <x:v>0.08673469387755102</x:v>
      </x:c>
      <x:c r="AS171" s="6" t="str">
        <x:v>With trade</x:v>
      </x:c>
      <x:c r="AT171" s="6" t="str">
        <x:v>4.761904761904762</x:v>
      </x:c>
      <x:c r="AU171" s="7" t="str">
        <x:v>2024-07-17 15:00:00-05:00</x:v>
      </x:c>
      <x:c r="AV171" s="8" t="str">
        <x:v>1</x:v>
      </x:c>
      <x:c r="AW171" s="6" t="str">
        <x:v>Immediate retest (1 bar)</x:v>
      </x:c>
      <x:c r="AX171" s="6" t="str">
        <x:v>19270.5</x:v>
      </x:c>
      <x:c r="AY171" s="6" t="str">
        <x:v>10.25</x:v>
      </x:c>
      <x:c r="AZ171" s="9" t="str">
        <x:v>0.33079825744017394</x:v>
      </x:c>
      <x:c r="BA171" s="9" t="str">
        <x:v>-0.06454600145174126</x:v>
      </x:c>
      <x:c r="BB171" s="9" t="str">
        <x:v>1.3635342806680342</x:v>
      </x:c>
      <x:c r="BC171" s="9" t="str">
        <x:v>0.23397925526256205</x:v>
      </x:c>
      <x:c r="BD171" s="6" t="str">
        <x:v>0.1952662721893491</x:v>
      </x:c>
      <x:c r="BE171" s="6" t="str">
        <x:v>0.6331360946745562</x:v>
      </x:c>
      <x:c r="BF171" s="9" t="str">
        <x:v>0.2662522559884327</x:v>
      </x:c>
      <x:c r="BG171" s="9" t="str">
        <x:v>0.8633027694170393</x:v>
      </x:c>
      <x:c r="BH171" s="6" t="str">
        <x:v>Against trade</x:v>
      </x:c>
      <x:c r="BI171" s="6" t="str">
        <x:v>Penetration without same-bar reclaim</x:v>
      </x:c>
      <x:c r="BJ171" s="6" t="str">
        <x:v>False</x:v>
      </x:c>
      <x:c r="BK171" s="10" t="str">
        <x:v>True</x:v>
      </x:c>
      <x:c r="BL171" s="6" t="str">
        <x:v>False</x:v>
      </x:c>
      <x:c r="BM171" s="7" t="str">
        <x:v>2024-07-17 15:05:00-05:00</x:v>
      </x:c>
      <x:c r="BN171" s="8" t="str">
        <x:v>1</x:v>
      </x:c>
      <x:c r="BO171" s="6" t="str">
        <x:v>Immediate confirmation (1 bar)</x:v>
      </x:c>
      <x:c r="BP171" s="9" t="str">
        <x:v>0.2726863934048496</x:v>
      </x:c>
      <x:c r="BQ171" s="9" t="str">
        <x:v>0.6858475955334097</x:v>
      </x:c>
      <x:c r="BR171" s="10" t="str">
        <x:v>0.39759036144578314</x:v>
      </x:c>
      <x:c r="BS171" s="9" t="str">
        <x:v>0.20658060106428003</x:v>
      </x:c>
      <x:c r="BT171" s="9" t="str">
        <x:v>0.2726863934048496</x:v>
      </x:c>
      <x:c r="BU171" s="9" t="str">
        <x:v>0.10742191255342562</x:v>
      </x:c>
      <x:c r="BV171" s="6" t="str">
        <x:v>With trade</x:v>
      </x:c>
      <x:c r="BW171" s="7" t="str">
        <x:v>2024-07-17 15:05:00-05:00</x:v>
      </x:c>
      <x:c r="BX171" s="6" t="str">
        <x:v>19254.0</x:v>
      </x:c>
      <x:c r="BY171" s="9" t="str">
        <x:v>30.25453487791546</x:v>
      </x:c>
      <x:c r="BZ171" s="9" t="str">
        <x:v>0.73</x:v>
      </x:c>
      <x:c r="CA171" s="6" t="str">
        <x:v>19299.38180231687</x:v>
      </x:c>
      <x:c r="CB171" s="6" t="str">
        <x:v>45.38180231687147</x:v>
      </x:c>
      <x:c r="CC171" s="9" t="str">
        <x:v>1.4999999999999432</x:v>
      </x:c>
      <x:c r="CD171" s="6" t="str">
        <x:v>19163.236395366253</x:v>
      </x:c>
      <x:c r="CE171" s="6" t="str">
        <x:v>90.76360463374658</x:v>
      </x:c>
      <x:c r="CF171" s="6" t="str">
        <x:v>Fixed 2.00R target</x:v>
      </x:c>
      <x:c r="CG171" s="9" t="str">
        <x:v>0.01597556648230493</x:v>
      </x:c>
      <x:c r="CH171" s="9" t="str">
        <x:v>-1.0</x:v>
      </x:c>
      <x:c r="CI171" s="9" t="str">
        <x:v>-1.015975566482305</x:v>
      </x:c>
      <x:c r="CJ171" s="6" t="str">
        <x:v>Loss</x:v>
      </x:c>
      <x:c r="CK171" s="9" t="str">
        <x:v>0.033052896170286054</x:v>
      </x:c>
      <x:c r="CL171" s="9" t="str">
        <x:v>1.663662440571065</x:v>
      </x:c>
      <x:c r="CM171" s="7" t="str">
        <x:v>2024-07-17 17:00:00-05:00</x:v>
      </x:c>
      <x:c r="CN171" s="6" t="str">
        <x:v>19299.38180231687</x:v>
      </x:c>
      <x:c r="CO171" s="6" t="str">
        <x:v>STOP</x:v>
      </x:c>
      <x:c r="CP171" s="6" t="str">
        <x:v>F::Short::Same-bar Setup+BOS::Penetration without same-bar reclaim</x:v>
      </x:c>
    </x:row>
    <x:row r="172" ht="18" customHeight="1">
      <x:c r="A172" s="6" t="str">
        <x:v>A0171</x:v>
      </x:c>
      <x:c r="B172" s="6" t="str">
        <x:v>2024-07-18</x:v>
      </x:c>
      <x:c r="C172" s="6" t="str">
        <x:v>2024</x:v>
      </x:c>
      <x:c r="D172" s="6" t="str">
        <x:v>2024-Q3</x:v>
      </x:c>
      <x:c r="E172" s="6" t="str">
        <x:v>First 50%</x:v>
      </x:c>
      <x:c r="F172" s="6" t="str">
        <x:v>Long</x:v>
      </x:c>
      <x:c r="G172" s="6" t="str">
        <x:v>Long</x:v>
      </x:c>
      <x:c r="H172" s="6" t="str">
        <x:v>Overnight</x:v>
      </x:c>
      <x:c r="I172" s="6" t="str">
        <x:v>Overnight</x:v>
      </x:c>
      <x:c r="J172" s="6" t="str">
        <x:v>Bear</x:v>
      </x:c>
      <x:c r="K172" s="6" t="str">
        <x:v>Bear</x:v>
      </x:c>
      <x:c r="L172" s="6" t="str">
        <x:v>HIGH</x:v>
      </x:c>
      <x:c r="M172" s="7" t="str">
        <x:v>2024-07-18 03:30:00-05:00</x:v>
      </x:c>
      <x:c r="N172" s="6" t="str">
        <x:v>90.0</x:v>
      </x:c>
      <x:c r="O172" s="6" t="str">
        <x:v>90-94</x:v>
      </x:c>
      <x:c r="P172" s="6" t="str">
        <x:v>Matching BOS only</x:v>
      </x:c>
      <x:c r="Q172" s="6" t="str">
        <x:v>Bull BOS</x:v>
      </x:c>
      <x:c r="R172" s="6" t="str">
        <x:v>True</x:v>
      </x:c>
      <x:c r="S172" s="6" t="str">
        <x:v>False</x:v>
      </x:c>
      <x:c r="T172" s="6" t="str">
        <x:v>Recent SSL</x:v>
      </x:c>
      <x:c r="U172" s="6" t="str">
        <x:v>SSL</x:v>
      </x:c>
      <x:c r="V172" s="6" t="str">
        <x:v>Swing low / sell-side</x:v>
      </x:c>
      <x:c r="W172" s="6" t="str">
        <x:v>[19301.75,19320.5]</x:v>
      </x:c>
      <x:c r="X172" s="8" t="str">
        <x:v>2</x:v>
      </x:c>
      <x:c r="Y172" s="8" t="str">
        <x:v>12.0</x:v>
      </x:c>
      <x:c r="Z172" s="6" t="str">
        <x:v>Sweep below CRT reference</x:v>
      </x:c>
      <x:c r="AA172" s="6" t="str">
        <x:v>19366.25</x:v>
      </x:c>
      <x:c r="AB172" s="9" t="str">
        <x:v>0.13314737811727798</x:v>
      </x:c>
      <x:c r="AC172" s="9" t="str">
        <x:v>1.4646211592900578</x:v>
      </x:c>
      <x:c r="AD172" s="9" t="str">
        <x:v>2.0093149788607403</x:v>
      </x:c>
      <x:c r="AE172" s="6" t="str">
        <x:v>With trade</x:v>
      </x:c>
      <x:c r="AF172" s="7" t="str">
        <x:v>2024-07-18 03:30:00-05:00</x:v>
      </x:c>
      <x:c r="AG172" s="6" t="str">
        <x:v>Long</x:v>
      </x:c>
      <x:c r="AH172" s="6" t="str">
        <x:v>19366.25</x:v>
      </x:c>
      <x:c r="AI172" s="8" t="str">
        <x:v>0</x:v>
      </x:c>
      <x:c r="AJ172" s="6" t="str">
        <x:v>True</x:v>
      </x:c>
      <x:c r="AK172" s="6" t="str">
        <x:v>Same-bar Setup+BOS</x:v>
      </x:c>
      <x:c r="AL172" s="9" t="str">
        <x:v>1.4162039308837748</x:v>
      </x:c>
      <x:c r="AM172" s="9" t="str">
        <x:v>0.13314737811727798</x:v>
      </x:c>
      <x:c r="AN172" s="9" t="str">
        <x:v>1.4646211592900578</x:v>
      </x:c>
      <x:c r="AO172" s="9" t="str">
        <x:v>2.0093149788607403</x:v>
      </x:c>
      <x:c r="AP172" s="10" t="str">
        <x:v>0.7289156626506024</x:v>
      </x:c>
      <x:c r="AQ172" s="6" t="str">
        <x:v>0.13253012048192772</x:v>
      </x:c>
      <x:c r="AR172" s="6" t="str">
        <x:v>0.13855421686746988</x:v>
      </x:c>
      <x:c r="AS172" s="6" t="str">
        <x:v>With trade</x:v>
      </x:c>
      <x:c r="AT172" s="6" t="str">
        <x:v>1.0045793819637254</x:v>
      </x:c>
      <x:c r="AU172" s="7" t="str">
        <x:v>2024-07-18 03:35:00-05:00</x:v>
      </x:c>
      <x:c r="AV172" s="8" t="str">
        <x:v>1</x:v>
      </x:c>
      <x:c r="AW172" s="6" t="str">
        <x:v>Immediate retest (1 bar)</x:v>
      </x:c>
      <x:c r="AX172" s="6" t="str">
        <x:v>19366.75</x:v>
      </x:c>
      <x:c r="AY172" s="6" t="str">
        <x:v>0.0</x:v>
      </x:c>
      <x:c r="AZ172" s="9" t="str">
        <x:v>0.0</x:v>
      </x:c>
      <x:c r="BA172" s="9" t="str">
        <x:v>0.2362349059119852</x:v>
      </x:c>
      <x:c r="BB172" s="9" t="str">
        <x:v>0.6465376372328017</x:v>
      </x:c>
      <x:c r="BC172" s="9" t="str">
        <x:v>0.12433416100630801</x:v>
      </x:c>
      <x:c r="BD172" s="6" t="str">
        <x:v>0.6730769230769231</x:v>
      </x:c>
      <x:c r="BE172" s="6" t="str">
        <x:v>0.1346153846153846</x:v>
      </x:c>
      <x:c r="BF172" s="9" t="str">
        <x:v>0.0870339127044156</x:v>
      </x:c>
      <x:c r="BG172" s="9" t="str">
        <x:v>0.43516956352207803</x:v>
      </x:c>
      <x:c r="BH172" s="6" t="str">
        <x:v>With trade</x:v>
      </x:c>
      <x:c r="BI172" s="6" t="str">
        <x:v>Tolerance-only shallow touch</x:v>
      </x:c>
      <x:c r="BJ172" s="6" t="str">
        <x:v>True</x:v>
      </x:c>
      <x:c r="BK172" s="10" t="str">
        <x:v>False</x:v>
      </x:c>
      <x:c r="BL172" s="6" t="str">
        <x:v>True</x:v>
      </x:c>
      <x:c r="BM172" s="7" t="str">
        <x:v>2024-07-18 03:40:00-05:00</x:v>
      </x:c>
      <x:c r="BN172" s="8" t="str">
        <x:v>1</x:v>
      </x:c>
      <x:c r="BO172" s="6" t="str">
        <x:v>Immediate confirmation (1 bar)</x:v>
      </x:c>
      <x:c r="BP172" s="9" t="str">
        <x:v>0.4175065569904163</x:v>
      </x:c>
      <x:c r="BQ172" s="9" t="str">
        <x:v>0.7717545447398604</x:v>
      </x:c>
      <x:c r="BR172" s="10" t="str">
        <x:v>0.5409836065573771</x:v>
      </x:c>
      <x:c r="BS172" s="9" t="str">
        <x:v>0.670540833954305</x:v>
      </x:c>
      <x:c r="BT172" s="9" t="str">
        <x:v>0.43015827083861075</x:v>
      </x:c>
      <x:c r="BU172" s="9" t="str">
        <x:v>0.0759102830891666</x:v>
      </x:c>
      <x:c r="BV172" s="6" t="str">
        <x:v>With trade</x:v>
      </x:c>
      <x:c r="BW172" s="7" t="str">
        <x:v>2024-07-18 03:40:00-05:00</x:v>
      </x:c>
      <x:c r="BX172" s="6" t="str">
        <x:v>19379.5</x:v>
      </x:c>
      <x:c r="BY172" s="9" t="str">
        <x:v>19.760168701229226</x:v>
      </x:c>
      <x:c r="BZ172" s="9" t="str">
        <x:v>0.87</x:v>
      </x:c>
      <x:c r="CA172" s="6" t="str">
        <x:v>19349.859746948157</x:v>
      </x:c>
      <x:c r="CB172" s="6" t="str">
        <x:v>29.640253051842592</x:v>
      </x:c>
      <x:c r="CC172" s="9" t="str">
        <x:v>1.499999999999937</x:v>
      </x:c>
      <x:c r="CD172" s="6" t="str">
        <x:v>19438.78050610369</x:v>
      </x:c>
      <x:c r="CE172" s="6" t="str">
        <x:v>59.28050610368882</x:v>
      </x:c>
      <x:c r="CF172" s="6" t="str">
        <x:v>Fixed 2.00R target</x:v>
      </x:c>
      <x:c r="CG172" s="9" t="str">
        <x:v>0.024459980106510265</x:v>
      </x:c>
      <x:c r="CH172" s="9" t="str">
        <x:v>-1.0</x:v>
      </x:c>
      <x:c r="CI172" s="9" t="str">
        <x:v>-1.0244599801065102</x:v>
      </x:c>
      <x:c r="CJ172" s="6" t="str">
        <x:v>Loss</x:v>
      </x:c>
      <x:c r="CK172" s="9" t="str">
        <x:v>0.39642036724344226</x:v>
      </x:c>
      <x:c r="CL172" s="9" t="str">
        <x:v>1.3832540474026496</x:v>
      </x:c>
      <x:c r="CM172" s="7" t="str">
        <x:v>2024-07-18 04:30:00-05:00</x:v>
      </x:c>
      <x:c r="CN172" s="6" t="str">
        <x:v>19349.859746948157</x:v>
      </x:c>
      <x:c r="CO172" s="6" t="str">
        <x:v>STOP</x:v>
      </x:c>
      <x:c r="CP172" s="6" t="str">
        <x:v>F::Long::Same-bar Setup+BOS::Tolerance-only shallow touch</x:v>
      </x:c>
    </x:row>
    <x:row r="173" ht="18" customHeight="1">
      <x:c r="A173" s="6" t="str">
        <x:v>A0172</x:v>
      </x:c>
      <x:c r="B173" s="6" t="str">
        <x:v>2024-07-18</x:v>
      </x:c>
      <x:c r="C173" s="6" t="str">
        <x:v>2024</x:v>
      </x:c>
      <x:c r="D173" s="6" t="str">
        <x:v>2024-Q3</x:v>
      </x:c>
      <x:c r="E173" s="6" t="str">
        <x:v>First 50%</x:v>
      </x:c>
      <x:c r="F173" s="6" t="str">
        <x:v>Short</x:v>
      </x:c>
      <x:c r="G173" s="6" t="str">
        <x:v>Short</x:v>
      </x:c>
      <x:c r="H173" s="6" t="str">
        <x:v>Opening</x:v>
      </x:c>
      <x:c r="I173" s="6" t="str">
        <x:v>Opening</x:v>
      </x:c>
      <x:c r="J173" s="6" t="str">
        <x:v>Bear</x:v>
      </x:c>
      <x:c r="K173" s="6" t="str">
        <x:v>Bear</x:v>
      </x:c>
      <x:c r="L173" s="6" t="str">
        <x:v>HIGH</x:v>
      </x:c>
      <x:c r="M173" s="7" t="str">
        <x:v>2024-07-18 09:30:00-05:00</x:v>
      </x:c>
      <x:c r="N173" s="6" t="str">
        <x:v>75.0</x:v>
      </x:c>
      <x:c r="O173" s="6" t="str">
        <x:v>75-79</x:v>
      </x:c>
      <x:c r="P173" s="6" t="str">
        <x:v>Matching BOS only</x:v>
      </x:c>
      <x:c r="Q173" s="6" t="str">
        <x:v>Bear BOS</x:v>
      </x:c>
      <x:c r="R173" s="6" t="str">
        <x:v>True</x:v>
      </x:c>
      <x:c r="S173" s="6" t="str">
        <x:v>False</x:v>
      </x:c>
      <x:c r="T173" s="6" t="str">
        <x:v>No recent matching sweep</x:v>
      </x:c>
      <x:c r="U173" s="6" t="str">
        <x:v>None</x:v>
      </x:c>
      <x:c r="V173" s="6" t="str">
        <x:v>None</x:v>
      </x:c>
      <x:c r="W173" s="6" t="str">
        <x:v>[]</x:v>
      </x:c>
      <x:c r="X173" s="8" t="str">
        <x:v>0</x:v>
      </x:c>
      <x:c r="Y173" s="8" t="str"/>
      <x:c r="Z173" s="6" t="str">
        <x:v>None</x:v>
      </x:c>
      <x:c r="AA173" s="6" t="str">
        <x:v>19282.25</x:v>
      </x:c>
      <x:c r="AB173" s="9" t="str">
        <x:v>1.638548542315532</x:v>
      </x:c>
      <x:c r="AC173" s="9" t="str">
        <x:v>2.3948017156919312</x:v>
      </x:c>
      <x:c r="AD173" s="9" t="str">
        <x:v>2.5348485996505237</x:v>
      </x:c>
      <x:c r="AE173" s="6" t="str">
        <x:v>With trade</x:v>
      </x:c>
      <x:c r="AF173" s="7" t="str">
        <x:v>2024-07-18 09:30:00-05:00</x:v>
      </x:c>
      <x:c r="AG173" s="6" t="str">
        <x:v>Short</x:v>
      </x:c>
      <x:c r="AH173" s="6" t="str">
        <x:v>19282.25</x:v>
      </x:c>
      <x:c r="AI173" s="8" t="str">
        <x:v>0</x:v>
      </x:c>
      <x:c r="AJ173" s="6" t="str">
        <x:v>True</x:v>
      </x:c>
      <x:c r="AK173" s="6" t="str">
        <x:v>Same-bar Setup+BOS</x:v>
      </x:c>
      <x:c r="AL173" s="9" t="str">
        <x:v>2.3877993714940016</x:v>
      </x:c>
      <x:c r="AM173" s="9" t="str">
        <x:v>1.638548542315532</x:v>
      </x:c>
      <x:c r="AN173" s="9" t="str">
        <x:v>2.3948017156919312</x:v>
      </x:c>
      <x:c r="AO173" s="9" t="str">
        <x:v>2.5348485996505237</x:v>
      </x:c>
      <x:c r="AP173" s="10" t="str">
        <x:v>0.9447513812154696</x:v>
      </x:c>
      <x:c r="AQ173" s="6" t="str">
        <x:v>0.011049723756906077</x:v>
      </x:c>
      <x:c r="AR173" s="6" t="str">
        <x:v>0.04419889502762431</x:v>
      </x:c>
      <x:c r="AS173" s="6" t="str">
        <x:v>With trade</x:v>
      </x:c>
      <x:c r="AT173" s="6" t="str">
        <x:v>2.337339885695979</x:v>
      </x:c>
      <x:c r="AU173" s="7" t="str">
        <x:v>2024-07-18 09:50:00-05:00</x:v>
      </x:c>
      <x:c r="AV173" s="8" t="str">
        <x:v>4</x:v>
      </x:c>
      <x:c r="AW173" s="6" t="str">
        <x:v>Delayed retest (2+ bars)</x:v>
      </x:c>
      <x:c r="AX173" s="6" t="str">
        <x:v>19282.5</x:v>
      </x:c>
      <x:c r="AY173" s="6" t="str">
        <x:v>0.25</x:v>
      </x:c>
      <x:c r="AZ173" s="9" t="str">
        <x:v>0.005962730512121077</x:v>
      </x:c>
      <x:c r="BA173" s="9" t="str">
        <x:v>0.3756520222636278</x:v>
      </x:c>
      <x:c r="BB173" s="9" t="str">
        <x:v>1.7947818841484442</x:v>
      </x:c>
      <x:c r="BC173" s="9" t="str">
        <x:v>1.1865833719120942</x:v>
      </x:c>
      <x:c r="BD173" s="6" t="str">
        <x:v>0.21262458471760798</x:v>
      </x:c>
      <x:c r="BE173" s="6" t="str">
        <x:v>0.12624584717607973</x:v>
      </x:c>
      <x:c r="BF173" s="9" t="str">
        <x:v>0.3816147527757489</x:v>
      </x:c>
      <x:c r="BG173" s="9" t="str">
        <x:v>0.22658375946060091</x:v>
      </x:c>
      <x:c r="BH173" s="6" t="str">
        <x:v>Against trade</x:v>
      </x:c>
      <x:c r="BI173" s="6" t="str">
        <x:v>Penetration + same-bar reclaim</x:v>
      </x:c>
      <x:c r="BJ173" s="6" t="str">
        <x:v>False</x:v>
      </x:c>
      <x:c r="BK173" s="10" t="str">
        <x:v>True</x:v>
      </x:c>
      <x:c r="BL173" s="6" t="str">
        <x:v>True</x:v>
      </x:c>
      <x:c r="BM173" s="7" t="str">
        <x:v>2024-07-18 09:55:00-05:00</x:v>
      </x:c>
      <x:c r="BN173" s="8" t="str">
        <x:v>1</x:v>
      </x:c>
      <x:c r="BO173" s="6" t="str">
        <x:v>Immediate confirmation (1 bar)</x:v>
      </x:c>
      <x:c r="BP173" s="9" t="str">
        <x:v>0.33358732299432076</x:v>
      </x:c>
      <x:c r="BQ173" s="9" t="str">
        <x:v>1.0126758019470452</x:v>
      </x:c>
      <x:c r="BR173" s="10" t="str">
        <x:v>0.32941176470588235</x:v>
      </x:c>
      <x:c r="BS173" s="9" t="str">
        <x:v>0.714829977844973</x:v>
      </x:c>
      <x:c r="BT173" s="9" t="str">
        <x:v>0.3395442394763622</x:v>
      </x:c>
      <x:c r="BU173" s="9" t="str">
        <x:v>0.44676873615310814</x:v>
      </x:c>
      <x:c r="BV173" s="6" t="str">
        <x:v>With trade</x:v>
      </x:c>
      <x:c r="BW173" s="7" t="str">
        <x:v>2024-07-18 09:55:00-05:00</x:v>
      </x:c>
      <x:c r="BX173" s="6" t="str">
        <x:v>19252.25</x:v>
      </x:c>
      <x:c r="BY173" s="9" t="str">
        <x:v>41.96802166921177</x:v>
      </x:c>
      <x:c r="BZ173" s="9" t="str">
        <x:v>1.0</x:v>
      </x:c>
      <x:c r="CA173" s="6" t="str">
        <x:v>19315.202032503817</x:v>
      </x:c>
      <x:c r="CB173" s="6" t="str">
        <x:v>62.95203250381746</x:v>
      </x:c>
      <x:c r="CC173" s="9" t="str">
        <x:v>1.4999999999999953</x:v>
      </x:c>
      <x:c r="CD173" s="6" t="str">
        <x:v>19126.345934992365</x:v>
      </x:c>
      <x:c r="CE173" s="6" t="str">
        <x:v>125.90406500763493</x:v>
      </x:c>
      <x:c r="CF173" s="6" t="str">
        <x:v>Fixed 2.00R target</x:v>
      </x:c>
      <x:c r="CG173" s="9" t="str">
        <x:v>0.01151670519861349</x:v>
      </x:c>
      <x:c r="CH173" s="9" t="str">
        <x:v>2.0</x:v>
      </x:c>
      <x:c r="CI173" s="9" t="str">
        <x:v>1.9884832948013864</x:v>
      </x:c>
      <x:c r="CJ173" s="6" t="str">
        <x:v>Win</x:v>
      </x:c>
      <x:c r="CK173" s="9" t="str">
        <x:v>2.0809494910598167</x:v>
      </x:c>
      <x:c r="CL173" s="9" t="str">
        <x:v>0.23827665928165842</x:v>
      </x:c>
      <x:c r="CM173" s="7" t="str">
        <x:v>2024-07-18 10:10:00-05:00</x:v>
      </x:c>
      <x:c r="CN173" s="6" t="str">
        <x:v>19126.345934992365</x:v>
      </x:c>
      <x:c r="CO173" s="6" t="str">
        <x:v>TARGET</x:v>
      </x:c>
      <x:c r="CP173" s="6" t="str">
        <x:v>F::Short::Same-bar Setup+BOS::Penetration + same-bar reclaim</x:v>
      </x:c>
    </x:row>
    <x:row r="174" ht="18" customHeight="1">
      <x:c r="A174" s="6" t="str">
        <x:v>A0173</x:v>
      </x:c>
      <x:c r="B174" s="6" t="str">
        <x:v>2024-07-18</x:v>
      </x:c>
      <x:c r="C174" s="6" t="str">
        <x:v>2024</x:v>
      </x:c>
      <x:c r="D174" s="6" t="str">
        <x:v>2024-Q3</x:v>
      </x:c>
      <x:c r="E174" s="6" t="str">
        <x:v>First 50%</x:v>
      </x:c>
      <x:c r="F174" s="6" t="str">
        <x:v>Short</x:v>
      </x:c>
      <x:c r="G174" s="6" t="str">
        <x:v>Short</x:v>
      </x:c>
      <x:c r="H174" s="6" t="str">
        <x:v>Midday</x:v>
      </x:c>
      <x:c r="I174" s="6" t="str">
        <x:v>Midday</x:v>
      </x:c>
      <x:c r="J174" s="6" t="str">
        <x:v>Bear</x:v>
      </x:c>
      <x:c r="K174" s="6" t="str">
        <x:v>Bear</x:v>
      </x:c>
      <x:c r="L174" s="6" t="str">
        <x:v>MID</x:v>
      </x:c>
      <x:c r="M174" s="7" t="str">
        <x:v>2024-07-18 13:35:00-05:00</x:v>
      </x:c>
      <x:c r="N174" s="6" t="str">
        <x:v>75.0</x:v>
      </x:c>
      <x:c r="O174" s="6" t="str">
        <x:v>75-79</x:v>
      </x:c>
      <x:c r="P174" s="6" t="str">
        <x:v>Matching BOS only</x:v>
      </x:c>
      <x:c r="Q174" s="6" t="str">
        <x:v>Bear BOS</x:v>
      </x:c>
      <x:c r="R174" s="6" t="str">
        <x:v>True</x:v>
      </x:c>
      <x:c r="S174" s="6" t="str">
        <x:v>False</x:v>
      </x:c>
      <x:c r="T174" s="6" t="str">
        <x:v>No recent matching sweep</x:v>
      </x:c>
      <x:c r="U174" s="6" t="str">
        <x:v>None</x:v>
      </x:c>
      <x:c r="V174" s="6" t="str">
        <x:v>None</x:v>
      </x:c>
      <x:c r="W174" s="6" t="str">
        <x:v>[]</x:v>
      </x:c>
      <x:c r="X174" s="8" t="str">
        <x:v>0</x:v>
      </x:c>
      <x:c r="Y174" s="8" t="str"/>
      <x:c r="Z174" s="6" t="str">
        <x:v>Sweep above CRT reference</x:v>
      </x:c>
      <x:c r="AA174" s="6" t="str">
        <x:v>19104.0</x:v>
      </x:c>
      <x:c r="AB174" s="9" t="str">
        <x:v>0.7427719268364492</x:v>
      </x:c>
      <x:c r="AC174" s="9" t="str">
        <x:v>0.9608334099443976</x:v>
      </x:c>
      <x:c r="AD174" s="9" t="str">
        <x:v>1.2538535278707033</x:v>
      </x:c>
      <x:c r="AE174" s="6" t="str">
        <x:v>With trade</x:v>
      </x:c>
      <x:c r="AF174" s="7" t="str">
        <x:v>2024-07-18 13:35:00-05:00</x:v>
      </x:c>
      <x:c r="AG174" s="6" t="str">
        <x:v>Short</x:v>
      </x:c>
      <x:c r="AH174" s="6" t="str">
        <x:v>19104.0</x:v>
      </x:c>
      <x:c r="AI174" s="8" t="str">
        <x:v>0</x:v>
      </x:c>
      <x:c r="AJ174" s="6" t="str">
        <x:v>True</x:v>
      </x:c>
      <x:c r="AK174" s="6" t="str">
        <x:v>Same-bar Setup+BOS</x:v>
      </x:c>
      <x:c r="AL174" s="9" t="str">
        <x:v>0.9540189885972742</x:v>
      </x:c>
      <x:c r="AM174" s="9" t="str">
        <x:v>0.7427719268364492</x:v>
      </x:c>
      <x:c r="AN174" s="9" t="str">
        <x:v>0.9608334099443976</x:v>
      </x:c>
      <x:c r="AO174" s="9" t="str">
        <x:v>1.2538535278707033</x:v>
      </x:c>
      <x:c r="AP174" s="10" t="str">
        <x:v>0.7663043478260869</x:v>
      </x:c>
      <x:c r="AQ174" s="6" t="str">
        <x:v>0.1956521739130435</x:v>
      </x:c>
      <x:c r="AR174" s="6" t="str">
        <x:v>0.03804347826086957</x:v>
      </x:c>
      <x:c r="AS174" s="6" t="str">
        <x:v>With trade</x:v>
      </x:c>
      <x:c r="AT174" s="6" t="str">
        <x:v>1.0605885658422434</x:v>
      </x:c>
      <x:c r="AU174" s="7" t="str">
        <x:v>2024-07-18 13:40:00-05:00</x:v>
      </x:c>
      <x:c r="AV174" s="8" t="str">
        <x:v>1</x:v>
      </x:c>
      <x:c r="AW174" s="6" t="str">
        <x:v>Immediate retest (1 bar)</x:v>
      </x:c>
      <x:c r="AX174" s="6" t="str">
        <x:v>19103.75</x:v>
      </x:c>
      <x:c r="AY174" s="6" t="str">
        <x:v>0.0</x:v>
      </x:c>
      <x:c r="AZ174" s="9" t="str">
        <x:v>0.0</x:v>
      </x:c>
      <x:c r="BA174" s="9" t="str">
        <x:v>0.26392569685956496</x:v>
      </x:c>
      <x:c r="BB174" s="9" t="str">
        <x:v>0.7501046121271846</x:v>
      </x:c>
      <x:c r="BC174" s="9" t="str">
        <x:v>0.48617891526761964</x:v>
      </x:c>
      <x:c r="BD174" s="6" t="str">
        <x:v>0.3425925925925926</x:v>
      </x:c>
      <x:c r="BE174" s="6" t="str">
        <x:v>0.009259259259259259</x:v>
      </x:c>
      <x:c r="BF174" s="9" t="str">
        <x:v>0.25698028378431326</x:v>
      </x:c>
      <x:c r="BG174" s="9" t="str">
        <x:v>0.0069454130752517095</x:v>
      </x:c>
      <x:c r="BH174" s="6" t="str">
        <x:v>Against trade</x:v>
      </x:c>
      <x:c r="BI174" s="6" t="str">
        <x:v>Tolerance-only shallow touch</x:v>
      </x:c>
      <x:c r="BJ174" s="6" t="str">
        <x:v>True</x:v>
      </x:c>
      <x:c r="BK174" s="10" t="str">
        <x:v>False</x:v>
      </x:c>
      <x:c r="BL174" s="6" t="str">
        <x:v>True</x:v>
      </x:c>
      <x:c r="BM174" s="7" t="str">
        <x:v>2024-07-18 13:45:00-05:00</x:v>
      </x:c>
      <x:c r="BN174" s="8" t="str">
        <x:v>1</x:v>
      </x:c>
      <x:c r="BO174" s="6" t="str">
        <x:v>Immediate confirmation (1 bar)</x:v>
      </x:c>
      <x:c r="BP174" s="9" t="str">
        <x:v>0.4696195078050383</x:v>
      </x:c>
      <x:c r="BQ174" s="9" t="str">
        <x:v>0.4768444233097312</x:v>
      </x:c>
      <x:c r="BR174" s="10" t="str">
        <x:v>0.9848484848484849</x:v>
      </x:c>
      <x:c r="BS174" s="9" t="str">
        <x:v>0.7441662969833683</x:v>
      </x:c>
      <x:c r="BT174" s="9" t="str">
        <x:v>0.4696195078050383</x:v>
      </x:c>
      <x:c r="BU174" s="9" t="str">
        <x:v>0.0</x:v>
      </x:c>
      <x:c r="BV174" s="6" t="str">
        <x:v>With trade</x:v>
      </x:c>
      <x:c r="BW174" s="7" t="str">
        <x:v>2024-07-18 13:45:00-05:00</x:v>
      </x:c>
      <x:c r="BX174" s="6" t="str">
        <x:v>19078.25</x:v>
      </x:c>
      <x:c r="BY174" s="9" t="str">
        <x:v>34.60248079546593</x:v>
      </x:c>
      <x:c r="BZ174" s="9" t="str">
        <x:v>0.49</x:v>
      </x:c>
      <x:c r="CA174" s="6" t="str">
        <x:v>19130.153721193197</x:v>
      </x:c>
      <x:c r="CB174" s="6" t="str">
        <x:v>51.90372119319727</x:v>
      </x:c>
      <x:c r="CC174" s="9" t="str">
        <x:v>1.4999999999999531</x:v>
      </x:c>
      <x:c r="CD174" s="6" t="str">
        <x:v>18974.442557613602</x:v>
      </x:c>
      <x:c r="CE174" s="6" t="str">
        <x:v>103.80744238639818</x:v>
      </x:c>
      <x:c r="CF174" s="6" t="str">
        <x:v>Fixed 2.00R target</x:v>
      </x:c>
      <x:c r="CG174" s="9" t="str">
        <x:v>0.013968169975740038</x:v>
      </x:c>
      <x:c r="CH174" s="9" t="str">
        <x:v>-1.0</x:v>
      </x:c>
      <x:c r="CI174" s="9" t="str">
        <x:v>-1.0139681699757401</x:v>
      </x:c>
      <x:c r="CJ174" s="6" t="str">
        <x:v>Loss</x:v>
      </x:c>
      <x:c r="CK174" s="9" t="str">
        <x:v>0.293813230524187</x:v>
      </x:c>
      <x:c r="CL174" s="9" t="str">
        <x:v>1.06447088435812</x:v>
      </x:c>
      <x:c r="CM174" s="7" t="str">
        <x:v>2024-07-18 14:00:00-05:00</x:v>
      </x:c>
      <x:c r="CN174" s="6" t="str">
        <x:v>19130.153721193197</x:v>
      </x:c>
      <x:c r="CO174" s="6" t="str">
        <x:v>STOP</x:v>
      </x:c>
      <x:c r="CP174" s="6" t="str">
        <x:v>F::Short::Same-bar Setup+BOS::Tolerance-only shallow touch</x:v>
      </x:c>
    </x:row>
    <x:row r="175" ht="18" customHeight="1">
      <x:c r="A175" s="6" t="str">
        <x:v>A0174</x:v>
      </x:c>
      <x:c r="B175" s="6" t="str">
        <x:v>2024-07-19</x:v>
      </x:c>
      <x:c r="C175" s="6" t="str">
        <x:v>2024</x:v>
      </x:c>
      <x:c r="D175" s="6" t="str">
        <x:v>2024-Q3</x:v>
      </x:c>
      <x:c r="E175" s="6" t="str">
        <x:v>First 50%</x:v>
      </x:c>
      <x:c r="F175" s="6" t="str">
        <x:v>Short</x:v>
      </x:c>
      <x:c r="G175" s="6" t="str">
        <x:v>Short</x:v>
      </x:c>
      <x:c r="H175" s="6" t="str">
        <x:v>Midday</x:v>
      </x:c>
      <x:c r="I175" s="6" t="str">
        <x:v>Midday</x:v>
      </x:c>
      <x:c r="J175" s="6" t="str">
        <x:v>Bear</x:v>
      </x:c>
      <x:c r="K175" s="6" t="str">
        <x:v>Bear</x:v>
      </x:c>
      <x:c r="L175" s="6" t="str">
        <x:v>MID</x:v>
      </x:c>
      <x:c r="M175" s="7" t="str">
        <x:v>2024-07-19 12:00:00-05:00</x:v>
      </x:c>
      <x:c r="N175" s="6" t="str">
        <x:v>75.0</x:v>
      </x:c>
      <x:c r="O175" s="6" t="str">
        <x:v>75-79</x:v>
      </x:c>
      <x:c r="P175" s="6" t="str">
        <x:v>Matching BOS only</x:v>
      </x:c>
      <x:c r="Q175" s="6" t="str">
        <x:v>Bear BOS</x:v>
      </x:c>
      <x:c r="R175" s="6" t="str">
        <x:v>True</x:v>
      </x:c>
      <x:c r="S175" s="6" t="str">
        <x:v>False</x:v>
      </x:c>
      <x:c r="T175" s="6" t="str">
        <x:v>No recent matching sweep</x:v>
      </x:c>
      <x:c r="U175" s="6" t="str">
        <x:v>None</x:v>
      </x:c>
      <x:c r="V175" s="6" t="str">
        <x:v>None</x:v>
      </x:c>
      <x:c r="W175" s="6" t="str">
        <x:v>[]</x:v>
      </x:c>
      <x:c r="X175" s="8" t="str">
        <x:v>0</x:v>
      </x:c>
      <x:c r="Y175" s="8" t="str"/>
      <x:c r="Z175" s="6" t="str">
        <x:v>None</x:v>
      </x:c>
      <x:c r="AA175" s="6" t="str">
        <x:v>18966.5</x:v>
      </x:c>
      <x:c r="AB175" s="9" t="str">
        <x:v>0.25609332643833194</x:v>
      </x:c>
      <x:c r="AC175" s="9" t="str">
        <x:v>0.9551588932024272</x:v>
      </x:c>
      <x:c r="AD175" s="9" t="str">
        <x:v>1.1281949245796785</x:v>
      </x:c>
      <x:c r="AE175" s="6" t="str">
        <x:v>With trade</x:v>
      </x:c>
      <x:c r="AF175" s="7" t="str">
        <x:v>2024-07-19 12:00:00-05:00</x:v>
      </x:c>
      <x:c r="AG175" s="6" t="str">
        <x:v>Short</x:v>
      </x:c>
      <x:c r="AH175" s="6" t="str">
        <x:v>18966.5</x:v>
      </x:c>
      <x:c r="AI175" s="8" t="str">
        <x:v>0</x:v>
      </x:c>
      <x:c r="AJ175" s="6" t="str">
        <x:v>True</x:v>
      </x:c>
      <x:c r="AK175" s="6" t="str">
        <x:v>Same-bar Setup+BOS</x:v>
      </x:c>
      <x:c r="AL175" s="9" t="str">
        <x:v>0.9551588932024272</x:v>
      </x:c>
      <x:c r="AM175" s="9" t="str">
        <x:v>0.25609332643833194</x:v>
      </x:c>
      <x:c r="AN175" s="9" t="str">
        <x:v>0.9551588932024272</x:v>
      </x:c>
      <x:c r="AO175" s="9" t="str">
        <x:v>1.1281949245796785</x:v>
      </x:c>
      <x:c r="AP175" s="10" t="str">
        <x:v>0.8466257668711656</x:v>
      </x:c>
      <x:c r="AQ175" s="6" t="str">
        <x:v>0.049079754601226995</x:v>
      </x:c>
      <x:c r="AR175" s="6" t="str">
        <x:v>0.10429447852760736</x:v>
      </x:c>
      <x:c r="AS175" s="6" t="str">
        <x:v>With trade</x:v>
      </x:c>
      <x:c r="AT175" s="6" t="str">
        <x:v>0.9226803420668586</x:v>
      </x:c>
      <x:c r="AU175" s="7" t="str">
        <x:v>2024-07-19 12:05:00-05:00</x:v>
      </x:c>
      <x:c r="AV175" s="8" t="str">
        <x:v>1</x:v>
      </x:c>
      <x:c r="AW175" s="6" t="str">
        <x:v>Immediate retest (1 bar)</x:v>
      </x:c>
      <x:c r="AX175" s="6" t="str">
        <x:v>18963.75</x:v>
      </x:c>
      <x:c r="AY175" s="6" t="str">
        <x:v>0.0</x:v>
      </x:c>
      <x:c r="AZ175" s="9" t="str">
        <x:v>0.0</x:v>
      </x:c>
      <x:c r="BA175" s="9" t="str">
        <x:v>0.28452081780643546</x:v>
      </x:c>
      <x:c r="BB175" s="9" t="str">
        <x:v>0.6401718400644798</x:v>
      </x:c>
      <x:c r="BC175" s="9" t="str">
        <x:v>0.028452081780643547</x:v>
      </x:c>
      <x:c r="BD175" s="6" t="str">
        <x:v>0.2777777777777778</x:v>
      </x:c>
      <x:c r="BE175" s="6" t="str">
        <x:v>0.6777777777777778</x:v>
      </x:c>
      <x:c r="BF175" s="9" t="str">
        <x:v>0.17782551112902217</x:v>
      </x:c>
      <x:c r="BG175" s="9" t="str">
        <x:v>0.4338942471548141</x:v>
      </x:c>
      <x:c r="BH175" s="6" t="str">
        <x:v>With trade</x:v>
      </x:c>
      <x:c r="BI175" s="6" t="str">
        <x:v>Tolerance-only shallow touch</x:v>
      </x:c>
      <x:c r="BJ175" s="6" t="str">
        <x:v>True</x:v>
      </x:c>
      <x:c r="BK175" s="10" t="str">
        <x:v>False</x:v>
      </x:c>
      <x:c r="BL175" s="6" t="str">
        <x:v>True</x:v>
      </x:c>
      <x:c r="BM175" s="7" t="str">
        <x:v>2024-07-19 12:10:00-05:00</x:v>
      </x:c>
      <x:c r="BN175" s="8" t="str">
        <x:v>1</x:v>
      </x:c>
      <x:c r="BO175" s="6" t="str">
        <x:v>Immediate confirmation (1 bar)</x:v>
      </x:c>
      <x:c r="BP175" s="9" t="str">
        <x:v>0.08715346149529037</x:v>
      </x:c>
      <x:c r="BQ175" s="9" t="str">
        <x:v>0.7262788457940864</x:v>
      </x:c>
      <x:c r="BR175" s="10" t="str">
        <x:v>0.12</x:v>
      </x:c>
      <x:c r="BS175" s="9" t="str">
        <x:v>0.38492778827086577</x:v>
      </x:c>
      <x:c r="BT175" s="9" t="str">
        <x:v>0.09441624995323122</x:v>
      </x:c>
      <x:c r="BU175" s="9" t="str">
        <x:v>0.1379929807008764</x:v>
      </x:c>
      <x:c r="BV175" s="6" t="str">
        <x:v>With trade</x:v>
      </x:c>
      <x:c r="BW175" s="7" t="str">
        <x:v>2024-07-19 12:10:00-05:00</x:v>
      </x:c>
      <x:c r="BX175" s="6" t="str">
        <x:v>18953.25</x:v>
      </x:c>
      <x:c r="BY175" s="9" t="str">
        <x:v>34.422040714494344</x:v>
      </x:c>
      <x:c r="BZ175" s="9" t="str">
        <x:v>0.61</x:v>
      </x:c>
      <x:c r="CA175" s="6" t="str">
        <x:v>19004.88306107174</x:v>
      </x:c>
      <x:c r="CB175" s="6" t="str">
        <x:v>51.633061071741395</x:v>
      </x:c>
      <x:c r="CC175" s="9" t="str">
        <x:v>1.4999999999999964</x:v>
      </x:c>
      <x:c r="CD175" s="6" t="str">
        <x:v>18849.983877856517</x:v>
      </x:c>
      <x:c r="CE175" s="6" t="str">
        <x:v>103.26612214348279</x:v>
      </x:c>
      <x:c r="CF175" s="6" t="str">
        <x:v>Fixed 2.00R target</x:v>
      </x:c>
      <x:c r="CG175" s="9" t="str">
        <x:v>0.014041391018685703</x:v>
      </x:c>
      <x:c r="CH175" s="9" t="str">
        <x:v>-1.0</x:v>
      </x:c>
      <x:c r="CI175" s="9" t="str">
        <x:v>-1.0140413910186856</x:v>
      </x:c>
      <x:c r="CJ175" s="6" t="str">
        <x:v>Loss</x:v>
      </x:c>
      <x:c r="CK175" s="9" t="str">
        <x:v>0.7117532688782063</x:v>
      </x:c>
      <x:c r="CL175" s="9" t="str">
        <x:v>1.0361578199995656</x:v>
      </x:c>
      <x:c r="CM175" s="7" t="str">
        <x:v>2024-07-19 13:10:00-05:00</x:v>
      </x:c>
      <x:c r="CN175" s="6" t="str">
        <x:v>19004.88306107174</x:v>
      </x:c>
      <x:c r="CO175" s="6" t="str">
        <x:v>STOP</x:v>
      </x:c>
      <x:c r="CP175" s="6" t="str">
        <x:v>F::Short::Same-bar Setup+BOS::Tolerance-only shallow touch</x:v>
      </x:c>
    </x:row>
    <x:row r="176" ht="18" customHeight="1">
      <x:c r="A176" s="6" t="str">
        <x:v>A0175</x:v>
      </x:c>
      <x:c r="B176" s="6" t="str">
        <x:v>2024-07-19</x:v>
      </x:c>
      <x:c r="C176" s="6" t="str">
        <x:v>2024</x:v>
      </x:c>
      <x:c r="D176" s="6" t="str">
        <x:v>2024-Q3</x:v>
      </x:c>
      <x:c r="E176" s="6" t="str">
        <x:v>First 50%</x:v>
      </x:c>
      <x:c r="F176" s="6" t="str">
        <x:v>Long</x:v>
      </x:c>
      <x:c r="G176" s="6" t="str">
        <x:v>Long</x:v>
      </x:c>
      <x:c r="H176" s="6" t="str">
        <x:v>Afternoon</x:v>
      </x:c>
      <x:c r="I176" s="6" t="str">
        <x:v>Afternoon</x:v>
      </x:c>
      <x:c r="J176" s="6" t="str">
        <x:v>Bear</x:v>
      </x:c>
      <x:c r="K176" s="6" t="str">
        <x:v>Bear</x:v>
      </x:c>
      <x:c r="L176" s="6" t="str">
        <x:v>MID</x:v>
      </x:c>
      <x:c r="M176" s="7" t="str">
        <x:v>2024-07-19 14:00:00-05:00</x:v>
      </x:c>
      <x:c r="N176" s="6" t="str">
        <x:v>75.0</x:v>
      </x:c>
      <x:c r="O176" s="6" t="str">
        <x:v>75-79</x:v>
      </x:c>
      <x:c r="P176" s="6" t="str">
        <x:v>Matching BOS only</x:v>
      </x:c>
      <x:c r="Q176" s="6" t="str">
        <x:v>Bull CHoCH</x:v>
      </x:c>
      <x:c r="R176" s="6" t="str">
        <x:v>True</x:v>
      </x:c>
      <x:c r="S176" s="6" t="str">
        <x:v>False</x:v>
      </x:c>
      <x:c r="T176" s="6" t="str">
        <x:v>No recent matching sweep</x:v>
      </x:c>
      <x:c r="U176" s="6" t="str">
        <x:v>None</x:v>
      </x:c>
      <x:c r="V176" s="6" t="str">
        <x:v>None</x:v>
      </x:c>
      <x:c r="W176" s="6" t="str">
        <x:v>[]</x:v>
      </x:c>
      <x:c r="X176" s="8" t="str">
        <x:v>0</x:v>
      </x:c>
      <x:c r="Y176" s="8" t="str"/>
      <x:c r="Z176" s="6" t="str">
        <x:v>None</x:v>
      </x:c>
      <x:c r="AA176" s="6" t="str">
        <x:v>19008.5</x:v>
      </x:c>
      <x:c r="AB176" s="9" t="str">
        <x:v>0.6541380027228223</x:v>
      </x:c>
      <x:c r="AC176" s="9" t="str">
        <x:v>1.461715783862109</x:v>
      </x:c>
      <x:c r="AD176" s="9" t="str">
        <x:v>1.784746896317824</x:v>
      </x:c>
      <x:c r="AE176" s="6" t="str">
        <x:v>With trade</x:v>
      </x:c>
      <x:c r="AF176" s="7" t="str">
        <x:v>2024-07-19 14:00:00-05:00</x:v>
      </x:c>
      <x:c r="AG176" s="6" t="str">
        <x:v>Long</x:v>
      </x:c>
      <x:c r="AH176" s="6" t="str">
        <x:v>19008.5</x:v>
      </x:c>
      <x:c r="AI176" s="8" t="str">
        <x:v>0</x:v>
      </x:c>
      <x:c r="AJ176" s="6" t="str">
        <x:v>True</x:v>
      </x:c>
      <x:c r="AK176" s="6" t="str">
        <x:v>Same-bar Setup+BOS</x:v>
      </x:c>
      <x:c r="AL176" s="9" t="str">
        <x:v>1.477867339484895</x:v>
      </x:c>
      <x:c r="AM176" s="9" t="str">
        <x:v>0.6541380027228223</x:v>
      </x:c>
      <x:c r="AN176" s="9" t="str">
        <x:v>1.461715783862109</x:v>
      </x:c>
      <x:c r="AO176" s="9" t="str">
        <x:v>1.784746896317824</x:v>
      </x:c>
      <x:c r="AP176" s="10" t="str">
        <x:v>0.8190045248868778</x:v>
      </x:c>
      <x:c r="AQ176" s="6" t="str">
        <x:v>0.1085972850678733</x:v>
      </x:c>
      <x:c r="AR176" s="6" t="str">
        <x:v>0.07239819004524888</x:v>
      </x:c>
      <x:c r="AS176" s="6" t="str">
        <x:v>With trade</x:v>
      </x:c>
      <x:c r="AT176" s="6" t="str">
        <x:v>1.579524463366689</x:v>
      </x:c>
      <x:c r="AU176" s="7" t="str">
        <x:v>2024-07-19 14:05:00-05:00</x:v>
      </x:c>
      <x:c r="AV176" s="8" t="str">
        <x:v>1</x:v>
      </x:c>
      <x:c r="AW176" s="6" t="str">
        <x:v>Immediate retest (1 bar)</x:v>
      </x:c>
      <x:c r="AX176" s="6" t="str">
        <x:v>19006.5</x:v>
      </x:c>
      <x:c r="AY176" s="6" t="str">
        <x:v>2.0</x:v>
      </x:c>
      <x:c r="AZ176" s="9" t="str">
        <x:v>0.06539183478828918</x:v>
      </x:c>
      <x:c r="BA176" s="9" t="str">
        <x:v>0.28608927719876515</x:v>
      </x:c>
      <x:c r="BB176" s="9" t="str">
        <x:v>0.8419198728992232</x:v>
      </x:c>
      <x:c r="BC176" s="9" t="str">
        <x:v>0.3841770293811989</x:v>
      </x:c>
      <x:c r="BD176" s="6" t="str">
        <x:v>0.1262135922330097</x:v>
      </x:c>
      <x:c r="BE176" s="6" t="str">
        <x:v>0.4174757281553398</x:v>
      </x:c>
      <x:c r="BF176" s="9" t="str">
        <x:v>0.35148111198705434</x:v>
      </x:c>
      <x:c r="BG176" s="9" t="str">
        <x:v>0.10626173153096992</x:v>
      </x:c>
      <x:c r="BH176" s="6" t="str">
        <x:v>Against trade</x:v>
      </x:c>
      <x:c r="BI176" s="6" t="str">
        <x:v>Penetration + same-bar reclaim</x:v>
      </x:c>
      <x:c r="BJ176" s="6" t="str">
        <x:v>False</x:v>
      </x:c>
      <x:c r="BK176" s="10" t="str">
        <x:v>True</x:v>
      </x:c>
      <x:c r="BL176" s="6" t="str">
        <x:v>True</x:v>
      </x:c>
      <x:c r="BM176" s="7" t="str">
        <x:v>2024-07-19 14:10:00-05:00</x:v>
      </x:c>
      <x:c r="BN176" s="8" t="str">
        <x:v>1</x:v>
      </x:c>
      <x:c r="BO176" s="6" t="str">
        <x:v>Immediate confirmation (1 bar)</x:v>
      </x:c>
      <x:c r="BP176" s="9" t="str">
        <x:v>0.21584278565460877</x:v>
      </x:c>
      <x:c r="BQ176" s="9" t="str">
        <x:v>0.7969579778016324</x:v>
      </x:c>
      <x:c r="BR176" s="10" t="str">
        <x:v>0.2708333333333333</x:v>
      </x:c>
      <x:c r="BS176" s="9" t="str">
        <x:v>0.514702027330221</x:v>
      </x:c>
      <x:c r="BT176" s="9" t="str">
        <x:v>0.2241444312567091</x:v>
      </x:c>
      <x:c r="BU176" s="9" t="str">
        <x:v>0.24904936806301012</x:v>
      </x:c>
      <x:c r="BV176" s="6" t="str">
        <x:v>With trade</x:v>
      </x:c>
      <x:c r="BW176" s="7" t="str">
        <x:v>2024-07-19 14:10:00-05:00</x:v>
      </x:c>
      <x:c r="BX176" s="6" t="str">
        <x:v>19024.0</x:v>
      </x:c>
      <x:c r="BY176" s="9" t="str">
        <x:v>30.114511264700262</x:v>
      </x:c>
      <x:c r="BZ176" s="9" t="str">
        <x:v>0.36</x:v>
      </x:c>
      <x:c r="CA176" s="6" t="str">
        <x:v>18978.82823310295</x:v>
      </x:c>
      <x:c r="CB176" s="6" t="str">
        <x:v>45.171766897048656</x:v>
      </x:c>
      <x:c r="CC176" s="9" t="str">
        <x:v>1.4999999999999423</x:v>
      </x:c>
      <x:c r="CD176" s="6" t="str">
        <x:v>19114.3435337941</x:v>
      </x:c>
      <x:c r="CE176" s="6" t="str">
        <x:v>90.34353379410095</x:v>
      </x:c>
      <x:c r="CF176" s="6" t="str">
        <x:v>Fixed 2.00R target</x:v>
      </x:c>
      <x:c r="CG176" s="9" t="str">
        <x:v>0.01604984816406127</x:v>
      </x:c>
      <x:c r="CH176" s="9" t="str">
        <x:v>-1.0</x:v>
      </x:c>
      <x:c r="CI176" s="9" t="str">
        <x:v>-1.0160498481640612</x:v>
      </x:c>
      <x:c r="CJ176" s="6" t="str">
        <x:v>Loss</x:v>
      </x:c>
      <x:c r="CK176" s="9" t="str">
        <x:v>0.5091675969288403</x:v>
      </x:c>
      <x:c r="CL176" s="9" t="str">
        <x:v>1.4610896259697155</x:v>
      </x:c>
      <x:c r="CM176" s="7" t="str">
        <x:v>2024-07-19 14:35:00-05:00</x:v>
      </x:c>
      <x:c r="CN176" s="6" t="str">
        <x:v>18978.82823310295</x:v>
      </x:c>
      <x:c r="CO176" s="6" t="str">
        <x:v>STOP</x:v>
      </x:c>
      <x:c r="CP176" s="6" t="str">
        <x:v>F::Long::Same-bar Setup+BOS::Penetration + same-bar reclaim</x:v>
      </x:c>
    </x:row>
    <x:row r="177" ht="18" customHeight="1">
      <x:c r="A177" s="6" t="str">
        <x:v>A0176</x:v>
      </x:c>
      <x:c r="B177" s="6" t="str">
        <x:v>2024-07-23</x:v>
      </x:c>
      <x:c r="C177" s="6" t="str">
        <x:v>2024</x:v>
      </x:c>
      <x:c r="D177" s="6" t="str">
        <x:v>2024-Q3</x:v>
      </x:c>
      <x:c r="E177" s="6" t="str">
        <x:v>First 50%</x:v>
      </x:c>
      <x:c r="F177" s="6" t="str">
        <x:v>Short</x:v>
      </x:c>
      <x:c r="G177" s="6" t="str">
        <x:v>Short</x:v>
      </x:c>
      <x:c r="H177" s="6" t="str">
        <x:v>Premarket</x:v>
      </x:c>
      <x:c r="I177" s="6" t="str">
        <x:v>Premarket</x:v>
      </x:c>
      <x:c r="J177" s="6" t="str">
        <x:v>Bull</x:v>
      </x:c>
      <x:c r="K177" s="6" t="str">
        <x:v>Bull</x:v>
      </x:c>
      <x:c r="L177" s="6" t="str">
        <x:v>HIGH</x:v>
      </x:c>
      <x:c r="M177" s="7" t="str">
        <x:v>2024-07-23 07:20:00-05:00</x:v>
      </x:c>
      <x:c r="N177" s="6" t="str">
        <x:v>90.0</x:v>
      </x:c>
      <x:c r="O177" s="6" t="str">
        <x:v>90-94</x:v>
      </x:c>
      <x:c r="P177" s="6" t="str">
        <x:v>Matching BOS only</x:v>
      </x:c>
      <x:c r="Q177" s="6" t="str">
        <x:v>Bear CHoCH</x:v>
      </x:c>
      <x:c r="R177" s="6" t="str">
        <x:v>True</x:v>
      </x:c>
      <x:c r="S177" s="6" t="str">
        <x:v>False</x:v>
      </x:c>
      <x:c r="T177" s="6" t="str">
        <x:v>Recent BSL</x:v>
      </x:c>
      <x:c r="U177" s="6" t="str">
        <x:v>BSL</x:v>
      </x:c>
      <x:c r="V177" s="6" t="str">
        <x:v>Swing high / buy-side</x:v>
      </x:c>
      <x:c r="W177" s="6" t="str">
        <x:v>[19260.75]</x:v>
      </x:c>
      <x:c r="X177" s="8" t="str">
        <x:v>1</x:v>
      </x:c>
      <x:c r="Y177" s="8" t="str">
        <x:v>16.0</x:v>
      </x:c>
      <x:c r="Z177" s="6" t="str">
        <x:v>None</x:v>
      </x:c>
      <x:c r="AA177" s="6" t="str">
        <x:v>19214.5</x:v>
      </x:c>
      <x:c r="AB177" s="9" t="str">
        <x:v>0.27642523520509965</x:v>
      </x:c>
      <x:c r="AC177" s="9" t="str">
        <x:v>2.2482585796681436</x:v>
      </x:c>
      <x:c r="AD177" s="9" t="str">
        <x:v>2.56154051290059</x:v>
      </x:c>
      <x:c r="AE177" s="6" t="str">
        <x:v>With trade</x:v>
      </x:c>
      <x:c r="AF177" s="7" t="str">
        <x:v>2024-07-23 07:20:00-05:00</x:v>
      </x:c>
      <x:c r="AG177" s="6" t="str">
        <x:v>Short</x:v>
      </x:c>
      <x:c r="AH177" s="6" t="str">
        <x:v>19214.5</x:v>
      </x:c>
      <x:c r="AI177" s="8" t="str">
        <x:v>0</x:v>
      </x:c>
      <x:c r="AJ177" s="6" t="str">
        <x:v>True</x:v>
      </x:c>
      <x:c r="AK177" s="6" t="str">
        <x:v>Same-bar Setup+BOS</x:v>
      </x:c>
      <x:c r="AL177" s="9" t="str">
        <x:v>2.2482585796681436</x:v>
      </x:c>
      <x:c r="AM177" s="9" t="str">
        <x:v>0.27642523520509965</x:v>
      </x:c>
      <x:c r="AN177" s="9" t="str">
        <x:v>2.2482585796681436</x:v>
      </x:c>
      <x:c r="AO177" s="9" t="str">
        <x:v>2.56154051290059</x:v>
      </x:c>
      <x:c r="AP177" s="10" t="str">
        <x:v>0.8776978417266187</x:v>
      </x:c>
      <x:c r="AQ177" s="6" t="str">
        <x:v>0.0</x:v>
      </x:c>
      <x:c r="AR177" s="6" t="str">
        <x:v>0.1223021582733813</x:v>
      </x:c>
      <x:c r="AS177" s="6" t="str">
        <x:v>With trade</x:v>
      </x:c>
      <x:c r="AT177" s="6" t="str">
        <x:v>2.6372498717290918</x:v>
      </x:c>
      <x:c r="AU177" s="7" t="str">
        <x:v>2024-07-23 07:25:00-05:00</x:v>
      </x:c>
      <x:c r="AV177" s="8" t="str">
        <x:v>1</x:v>
      </x:c>
      <x:c r="AW177" s="6" t="str">
        <x:v>Immediate retest (1 bar)</x:v>
      </x:c>
      <x:c r="AX177" s="6" t="str">
        <x:v>19217.75</x:v>
      </x:c>
      <x:c r="AY177" s="6" t="str">
        <x:v>3.25</x:v>
      </x:c>
      <x:c r="AZ177" s="9" t="str">
        <x:v>0.23531393132327755</x:v>
      </x:c>
      <x:c r="BA177" s="9" t="str">
        <x:v>-0.01810107164025212</x:v>
      </x:c>
      <x:c r="BB177" s="9" t="str">
        <x:v>1.230872871537144</x:v>
      </x:c>
      <x:c r="BC177" s="9" t="str">
        <x:v>0.3620214328050424</x:v>
      </x:c>
      <x:c r="BD177" s="6" t="str">
        <x:v>0.17647058823529413</x:v>
      </x:c>
      <x:c r="BE177" s="6" t="str">
        <x:v>0.5294117647058824</x:v>
      </x:c>
      <x:c r="BF177" s="9" t="str">
        <x:v>0.21721285968302542</x:v>
      </x:c>
      <x:c r="BG177" s="9" t="str">
        <x:v>0.6516385790490763</x:v>
      </x:c>
      <x:c r="BH177" s="6" t="str">
        <x:v>Against trade</x:v>
      </x:c>
      <x:c r="BI177" s="6" t="str">
        <x:v>Penetration without same-bar reclaim</x:v>
      </x:c>
      <x:c r="BJ177" s="6" t="str">
        <x:v>False</x:v>
      </x:c>
      <x:c r="BK177" s="10" t="str">
        <x:v>True</x:v>
      </x:c>
      <x:c r="BL177" s="6" t="str">
        <x:v>False</x:v>
      </x:c>
      <x:c r="BM177" s="7" t="str">
        <x:v>2024-07-23 07:30:00-05:00</x:v>
      </x:c>
      <x:c r="BN177" s="8" t="str">
        <x:v>1</x:v>
      </x:c>
      <x:c r="BO177" s="6" t="str">
        <x:v>Immediate confirmation (1 bar)</x:v>
      </x:c>
      <x:c r="BP177" s="9" t="str">
        <x:v>1.3610348776960888</x:v>
      </x:c>
      <x:c r="BQ177" s="9" t="str">
        <x:v>1.932333468333953</x:v>
      </x:c>
      <x:c r="BR177" s="10" t="str">
        <x:v>0.7043478260869566</x:v>
      </x:c>
      <x:c r="BS177" s="9" t="str">
        <x:v>1.3610348776960888</x:v>
      </x:c>
      <x:c r="BT177" s="9" t="str">
        <x:v>1.3778377774207318</x:v>
      </x:c>
      <x:c r="BU177" s="9" t="str">
        <x:v>0.26884639559428913</x:v>
      </x:c>
      <x:c r="BV177" s="6" t="str">
        <x:v>With trade</x:v>
      </x:c>
      <x:c r="BW177" s="7" t="str">
        <x:v>2024-07-23 07:30:00-05:00</x:v>
      </x:c>
      <x:c r="BX177" s="6" t="str">
        <x:v>19194.25</x:v>
      </x:c>
      <x:c r="BY177" s="9" t="str">
        <x:v>14.878384332279918</x:v>
      </x:c>
      <x:c r="BZ177" s="9" t="str">
        <x:v>0.83</x:v>
      </x:c>
      <x:c r="CA177" s="6" t="str">
        <x:v>19216.56757649842</x:v>
      </x:c>
      <x:c r="CB177" s="6" t="str">
        <x:v>22.31757649841893</x:v>
      </x:c>
      <x:c r="CC177" s="9" t="str">
        <x:v>1.4999999999999363</x:v>
      </x:c>
      <x:c r="CD177" s="6" t="str">
        <x:v>19149.61484700316</x:v>
      </x:c>
      <x:c r="CE177" s="6" t="str">
        <x:v>44.6351529968415</x:v>
      </x:c>
      <x:c r="CF177" s="6" t="str">
        <x:v>Fixed 2.00R target</x:v>
      </x:c>
      <x:c r="CG177" s="9" t="str">
        <x:v>0.03248560613431131</x:v>
      </x:c>
      <x:c r="CH177" s="9" t="str">
        <x:v>-1.0</x:v>
      </x:c>
      <x:c r="CI177" s="9" t="str">
        <x:v>-1.0324856061343113</x:v>
      </x:c>
      <x:c r="CJ177" s="6" t="str">
        <x:v>Loss</x:v>
      </x:c>
      <x:c r="CK177" s="9" t="str">
        <x:v>0.3584618607924007</x:v>
      </x:c>
      <x:c r="CL177" s="9" t="str">
        <x:v>1.5794725741165156</x:v>
      </x:c>
      <x:c r="CM177" s="7" t="str">
        <x:v>2024-07-23 07:45:00-05:00</x:v>
      </x:c>
      <x:c r="CN177" s="6" t="str">
        <x:v>19216.56757649842</x:v>
      </x:c>
      <x:c r="CO177" s="6" t="str">
        <x:v>STOP</x:v>
      </x:c>
      <x:c r="CP177" s="6" t="str">
        <x:v>F::Short::Same-bar Setup+BOS::Penetration without same-bar reclaim</x:v>
      </x:c>
    </x:row>
    <x:row r="178" ht="18" customHeight="1">
      <x:c r="A178" s="6" t="str">
        <x:v>A0177</x:v>
      </x:c>
      <x:c r="B178" s="6" t="str">
        <x:v>2024-07-23</x:v>
      </x:c>
      <x:c r="C178" s="6" t="str">
        <x:v>2024</x:v>
      </x:c>
      <x:c r="D178" s="6" t="str">
        <x:v>2024-Q3</x:v>
      </x:c>
      <x:c r="E178" s="6" t="str">
        <x:v>First 50%</x:v>
      </x:c>
      <x:c r="F178" s="6" t="str">
        <x:v>Short</x:v>
      </x:c>
      <x:c r="G178" s="6" t="str">
        <x:v>Short</x:v>
      </x:c>
      <x:c r="H178" s="6" t="str">
        <x:v>Overnight</x:v>
      </x:c>
      <x:c r="I178" s="6" t="str">
        <x:v>Overnight</x:v>
      </x:c>
      <x:c r="J178" s="6" t="str">
        <x:v>Bear</x:v>
      </x:c>
      <x:c r="K178" s="6" t="str">
        <x:v>Bear</x:v>
      </x:c>
      <x:c r="L178" s="6" t="str">
        <x:v>LOW</x:v>
      </x:c>
      <x:c r="M178" s="7" t="str">
        <x:v>2024-07-23 20:45:00-05:00</x:v>
      </x:c>
      <x:c r="N178" s="6" t="str">
        <x:v>90.0</x:v>
      </x:c>
      <x:c r="O178" s="6" t="str">
        <x:v>90-94</x:v>
      </x:c>
      <x:c r="P178" s="6" t="str">
        <x:v>Matching BOS only</x:v>
      </x:c>
      <x:c r="Q178" s="6" t="str">
        <x:v>Bear CHoCH</x:v>
      </x:c>
      <x:c r="R178" s="6" t="str">
        <x:v>True</x:v>
      </x:c>
      <x:c r="S178" s="6" t="str">
        <x:v>False</x:v>
      </x:c>
      <x:c r="T178" s="6" t="str">
        <x:v>Recent BSL</x:v>
      </x:c>
      <x:c r="U178" s="6" t="str">
        <x:v>BSL</x:v>
      </x:c>
      <x:c r="V178" s="6" t="str">
        <x:v>Swing high / buy-side</x:v>
      </x:c>
      <x:c r="W178" s="6" t="str">
        <x:v>[19099.0]</x:v>
      </x:c>
      <x:c r="X178" s="8" t="str">
        <x:v>1</x:v>
      </x:c>
      <x:c r="Y178" s="8" t="str">
        <x:v>12.0</x:v>
      </x:c>
      <x:c r="Z178" s="6" t="str">
        <x:v>None</x:v>
      </x:c>
      <x:c r="AA178" s="6" t="str">
        <x:v>19082.75</x:v>
      </x:c>
      <x:c r="AB178" s="9" t="str">
        <x:v>0.31690892635128864</x:v>
      </x:c>
      <x:c r="AC178" s="9" t="str">
        <x:v>0.9507267790538659</x:v>
      </x:c>
      <x:c r="AD178" s="9" t="str">
        <x:v>1.194502876247165</x:v>
      </x:c>
      <x:c r="AE178" s="6" t="str">
        <x:v>With trade</x:v>
      </x:c>
      <x:c r="AF178" s="7" t="str">
        <x:v>2024-07-23 20:45:00-05:00</x:v>
      </x:c>
      <x:c r="AG178" s="6" t="str">
        <x:v>Short</x:v>
      </x:c>
      <x:c r="AH178" s="6" t="str">
        <x:v>19082.75</x:v>
      </x:c>
      <x:c r="AI178" s="8" t="str">
        <x:v>0</x:v>
      </x:c>
      <x:c r="AJ178" s="6" t="str">
        <x:v>True</x:v>
      </x:c>
      <x:c r="AK178" s="6" t="str">
        <x:v>Same-bar Setup+BOS</x:v>
      </x:c>
      <x:c r="AL178" s="9" t="str">
        <x:v>0.9507267790538659</x:v>
      </x:c>
      <x:c r="AM178" s="9" t="str">
        <x:v>0.31690892635128864</x:v>
      </x:c>
      <x:c r="AN178" s="9" t="str">
        <x:v>0.9507267790538659</x:v>
      </x:c>
      <x:c r="AO178" s="9" t="str">
        <x:v>1.194502876247165</x:v>
      </x:c>
      <x:c r="AP178" s="10" t="str">
        <x:v>0.7959183673469388</x:v>
      </x:c>
      <x:c r="AQ178" s="6" t="str">
        <x:v>0.0</x:v>
      </x:c>
      <x:c r="AR178" s="6" t="str">
        <x:v>0.20408163265306123</x:v>
      </x:c>
      <x:c r="AS178" s="6" t="str">
        <x:v>With trade</x:v>
      </x:c>
      <x:c r="AT178" s="6" t="str">
        <x:v>0.809539805172993</x:v>
      </x:c>
      <x:c r="AU178" s="7" t="str">
        <x:v>2024-07-23 20:50:00-05:00</x:v>
      </x:c>
      <x:c r="AV178" s="8" t="str">
        <x:v>1</x:v>
      </x:c>
      <x:c r="AW178" s="6" t="str">
        <x:v>Immediate retest (1 bar)</x:v>
      </x:c>
      <x:c r="AX178" s="6" t="str">
        <x:v>19082.5</x:v>
      </x:c>
      <x:c r="AY178" s="6" t="str">
        <x:v>0.0</x:v>
      </x:c>
      <x:c r="AZ178" s="9" t="str">
        <x:v>0.0</x:v>
      </x:c>
      <x:c r="BA178" s="9" t="str">
        <x:v>0.6934662625474166</x:v>
      </x:c>
      <x:c r="BB178" s="9" t="str">
        <x:v>0.7925328714827619</x:v>
      </x:c>
      <x:c r="BC178" s="9" t="str">
        <x:v>0.39626643574138093</x:v>
      </x:c>
      <x:c r="BD178" s="6" t="str">
        <x:v>0.34375</x:v>
      </x:c>
      <x:c r="BE178" s="6" t="str">
        <x:v>0.15625</x:v>
      </x:c>
      <x:c r="BF178" s="9" t="str">
        <x:v>0.2724331745721994</x:v>
      </x:c>
      <x:c r="BG178" s="9" t="str">
        <x:v>0.12383326116918153</x:v>
      </x:c>
      <x:c r="BH178" s="6" t="str">
        <x:v>With trade</x:v>
      </x:c>
      <x:c r="BI178" s="6" t="str">
        <x:v>Tolerance-only shallow touch</x:v>
      </x:c>
      <x:c r="BJ178" s="6" t="str">
        <x:v>True</x:v>
      </x:c>
      <x:c r="BK178" s="10" t="str">
        <x:v>False</x:v>
      </x:c>
      <x:c r="BL178" s="6" t="str">
        <x:v>True</x:v>
      </x:c>
      <x:c r="BM178" s="7" t="str">
        <x:v>2024-07-23 21:00:00-05:00</x:v>
      </x:c>
      <x:c r="BN178" s="8" t="str">
        <x:v>2</x:v>
      </x:c>
      <x:c r="BO178" s="6" t="str">
        <x:v>Delayed confirmation (2+ bars)</x:v>
      </x:c>
      <x:c r="BP178" s="9" t="str">
        <x:v>0.15758389100402764</x:v>
      </x:c>
      <x:c r="BQ178" s="9" t="str">
        <x:v>0.735391491352129</x:v>
      </x:c>
      <x:c r="BR178" s="10" t="str">
        <x:v>0.21428571428571427</x:v>
      </x:c>
      <x:c r="BS178" s="9" t="str">
        <x:v>0.7879194550201383</x:v>
      </x:c>
      <x:c r="BT178" s="9" t="str">
        <x:v>0.052527963668009214</x:v>
      </x:c>
      <x:c r="BU178" s="9" t="str">
        <x:v>0.13131990917002304</x:v>
      </x:c>
      <x:c r="BV178" s="6" t="str">
        <x:v>With trade</x:v>
      </x:c>
      <x:c r="BW178" s="7" t="str">
        <x:v>2024-07-23 21:00:00-05:00</x:v>
      </x:c>
      <x:c r="BX178" s="6" t="str">
        <x:v>19075.25</x:v>
      </x:c>
      <x:c r="BY178" s="9" t="str">
        <x:v>9.518739450098119</x:v>
      </x:c>
      <x:c r="BZ178" s="9" t="str">
        <x:v>0.0</x:v>
      </x:c>
      <x:c r="CA178" s="6" t="str">
        <x:v>19089.528109175146</x:v>
      </x:c>
      <x:c r="CB178" s="6" t="str">
        <x:v>14.2781091751458</x:v>
      </x:c>
      <x:c r="CC178" s="9" t="str">
        <x:v>1.4999999999998552</x:v>
      </x:c>
      <x:c r="CD178" s="6" t="str">
        <x:v>19046.693781649705</x:v>
      </x:c>
      <x:c r="CE178" s="6" t="str">
        <x:v>28.55621835029524</x:v>
      </x:c>
      <x:c r="CF178" s="6" t="str">
        <x:v>Fixed 2.00R target</x:v>
      </x:c>
      <x:c r="CG178" s="9" t="str">
        <x:v>0.05077703154574714</x:v>
      </x:c>
      <x:c r="CH178" s="9" t="str">
        <x:v>-0.5252796366800921</x:v>
      </x:c>
      <x:c r="CI178" s="9" t="str">
        <x:v>-0.5760566682258392</x:v>
      </x:c>
      <x:c r="CJ178" s="6" t="str">
        <x:v>Loss</x:v>
      </x:c>
      <x:c r="CK178" s="9" t="str">
        <x:v>0.035018642445342855</x:v>
      </x:c>
      <x:c r="CL178" s="9" t="str">
        <x:v>0.7704101337975429</x:v>
      </x:c>
      <x:c r="CM178" s="7" t="str">
        <x:v>2024-07-23 22:00:00-05:00</x:v>
      </x:c>
      <x:c r="CN178" s="6" t="str">
        <x:v>19082.75</x:v>
      </x:c>
      <x:c r="CO178" s="6" t="str">
        <x:v>TIME</x:v>
      </x:c>
      <x:c r="CP178" s="6" t="str">
        <x:v>F::Short::Same-bar Setup+BOS::Tolerance-only shallow touch</x:v>
      </x:c>
    </x:row>
    <x:row r="179" ht="18" customHeight="1">
      <x:c r="A179" s="6" t="str">
        <x:v>A0178</x:v>
      </x:c>
      <x:c r="B179" s="6" t="str">
        <x:v>2024-07-24</x:v>
      </x:c>
      <x:c r="C179" s="6" t="str">
        <x:v>2024</x:v>
      </x:c>
      <x:c r="D179" s="6" t="str">
        <x:v>2024-Q3</x:v>
      </x:c>
      <x:c r="E179" s="6" t="str">
        <x:v>First 50%</x:v>
      </x:c>
      <x:c r="F179" s="6" t="str">
        <x:v>Short</x:v>
      </x:c>
      <x:c r="G179" s="6" t="str">
        <x:v>Short</x:v>
      </x:c>
      <x:c r="H179" s="6" t="str">
        <x:v>Morning</x:v>
      </x:c>
      <x:c r="I179" s="6" t="str">
        <x:v>Morning</x:v>
      </x:c>
      <x:c r="J179" s="6" t="str">
        <x:v>Bear</x:v>
      </x:c>
      <x:c r="K179" s="6" t="str">
        <x:v>Bear</x:v>
      </x:c>
      <x:c r="L179" s="6" t="str">
        <x:v>HIGH</x:v>
      </x:c>
      <x:c r="M179" s="7" t="str">
        <x:v>2024-07-24 10:55:00-05:00</x:v>
      </x:c>
      <x:c r="N179" s="6" t="str">
        <x:v>75.0</x:v>
      </x:c>
      <x:c r="O179" s="6" t="str">
        <x:v>75-79</x:v>
      </x:c>
      <x:c r="P179" s="6" t="str">
        <x:v>Matching BOS only</x:v>
      </x:c>
      <x:c r="Q179" s="6" t="str">
        <x:v>Bear BOS</x:v>
      </x:c>
      <x:c r="R179" s="6" t="str">
        <x:v>True</x:v>
      </x:c>
      <x:c r="S179" s="6" t="str">
        <x:v>False</x:v>
      </x:c>
      <x:c r="T179" s="6" t="str">
        <x:v>No recent matching sweep</x:v>
      </x:c>
      <x:c r="U179" s="6" t="str">
        <x:v>None</x:v>
      </x:c>
      <x:c r="V179" s="6" t="str">
        <x:v>None</x:v>
      </x:c>
      <x:c r="W179" s="6" t="str">
        <x:v>[]</x:v>
      </x:c>
      <x:c r="X179" s="8" t="str">
        <x:v>0</x:v>
      </x:c>
      <x:c r="Y179" s="8" t="str"/>
      <x:c r="Z179" s="6" t="str">
        <x:v>None</x:v>
      </x:c>
      <x:c r="AA179" s="6" t="str">
        <x:v>18632.5</x:v>
      </x:c>
      <x:c r="AB179" s="9" t="str">
        <x:v>0.3968074929881059</x:v>
      </x:c>
      <x:c r="AC179" s="9" t="str">
        <x:v>1.38421218484223</x:v>
      </x:c>
      <x:c r="AD179" s="9" t="str">
        <x:v>1.4672649159327638</x:v>
      </x:c>
      <x:c r="AE179" s="6" t="str">
        <x:v>With trade</x:v>
      </x:c>
      <x:c r="AF179" s="7" t="str">
        <x:v>2024-07-24 10:55:00-05:00</x:v>
      </x:c>
      <x:c r="AG179" s="6" t="str">
        <x:v>Short</x:v>
      </x:c>
      <x:c r="AH179" s="6" t="str">
        <x:v>18632.5</x:v>
      </x:c>
      <x:c r="AI179" s="8" t="str">
        <x:v>0</x:v>
      </x:c>
      <x:c r="AJ179" s="6" t="str">
        <x:v>True</x:v>
      </x:c>
      <x:c r="AK179" s="6" t="str">
        <x:v>Same-bar Setup+BOS</x:v>
      </x:c>
      <x:c r="AL179" s="9" t="str">
        <x:v>1.3565279411453854</x:v>
      </x:c>
      <x:c r="AM179" s="9" t="str">
        <x:v>0.3968074929881059</x:v>
      </x:c>
      <x:c r="AN179" s="9" t="str">
        <x:v>1.38421218484223</x:v>
      </x:c>
      <x:c r="AO179" s="9" t="str">
        <x:v>1.4672649159327638</x:v>
      </x:c>
      <x:c r="AP179" s="10" t="str">
        <x:v>0.9433962264150944</x:v>
      </x:c>
      <x:c r="AQ179" s="6" t="str">
        <x:v>0.006289308176100629</x:v>
      </x:c>
      <x:c r="AR179" s="6" t="str">
        <x:v>0.050314465408805034</x:v>
      </x:c>
      <x:c r="AS179" s="6" t="str">
        <x:v>With trade</x:v>
      </x:c>
      <x:c r="AT179" s="6" t="str">
        <x:v>0.9240357279936506</x:v>
      </x:c>
      <x:c r="AU179" s="7" t="str">
        <x:v>2024-07-24 11:15:00-05:00</x:v>
      </x:c>
      <x:c r="AV179" s="8" t="str">
        <x:v>4</x:v>
      </x:c>
      <x:c r="AW179" s="6" t="str">
        <x:v>Delayed retest (2+ bars)</x:v>
      </x:c>
      <x:c r="AX179" s="6" t="str">
        <x:v>18630.0</x:v>
      </x:c>
      <x:c r="AY179" s="6" t="str">
        <x:v>0.0</x:v>
      </x:c>
      <x:c r="AZ179" s="9" t="str">
        <x:v>0.0</x:v>
      </x:c>
      <x:c r="BA179" s="9" t="str">
        <x:v>0.5249801506714163</x:v>
      </x:c>
      <x:c r="BB179" s="9" t="str">
        <x:v>0.9093406181272747</x:v>
      </x:c>
      <x:c r="BC179" s="9" t="str">
        <x:v>0.1499943287632618</x:v>
      </x:c>
      <x:c r="BD179" s="6" t="str">
        <x:v>0.4742268041237113</x:v>
      </x:c>
      <x:c r="BE179" s="6" t="str">
        <x:v>0.36082474226804123</x:v>
      </x:c>
      <x:c r="BF179" s="9" t="str">
        <x:v>0.4312336951943777</x:v>
      </x:c>
      <x:c r="BG179" s="9" t="str">
        <x:v>0.32811259416963523</x:v>
      </x:c>
      <x:c r="BH179" s="6" t="str">
        <x:v>Against trade</x:v>
      </x:c>
      <x:c r="BI179" s="6" t="str">
        <x:v>Tolerance-only shallow touch</x:v>
      </x:c>
      <x:c r="BJ179" s="6" t="str">
        <x:v>True</x:v>
      </x:c>
      <x:c r="BK179" s="10" t="str">
        <x:v>False</x:v>
      </x:c>
      <x:c r="BL179" s="6" t="str">
        <x:v>True</x:v>
      </x:c>
      <x:c r="BM179" s="7" t="str">
        <x:v>2024-07-24 11:20:00-05:00</x:v>
      </x:c>
      <x:c r="BN179" s="8" t="str">
        <x:v>1</x:v>
      </x:c>
      <x:c r="BO179" s="6" t="str">
        <x:v>Immediate confirmation (1 bar)</x:v>
      </x:c>
      <x:c r="BP179" s="9" t="str">
        <x:v>0.18197750902550852</x:v>
      </x:c>
      <x:c r="BQ179" s="9" t="str">
        <x:v>0.7183322724691126</x:v>
      </x:c>
      <x:c r="BR179" s="10" t="str">
        <x:v>0.25333333333333335</x:v>
      </x:c>
      <x:c r="BS179" s="9" t="str">
        <x:v>0.7470655633678771</x:v>
      </x:c>
      <x:c r="BT179" s="9" t="str">
        <x:v>0.21071079992427302</x:v>
      </x:c>
      <x:c r="BU179" s="9" t="str">
        <x:v>0.2777551453547235</x:v>
      </x:c>
      <x:c r="BV179" s="6" t="str">
        <x:v>With trade</x:v>
      </x:c>
      <x:c r="BW179" s="7" t="str">
        <x:v>2024-07-24 11:20:00-05:00</x:v>
      </x:c>
      <x:c r="BX179" s="6" t="str">
        <x:v>18613.0</x:v>
      </x:c>
      <x:c r="BY179" s="9" t="str">
        <x:v>26.102126715748007</x:v>
      </x:c>
      <x:c r="BZ179" s="9" t="str">
        <x:v>0.72</x:v>
      </x:c>
      <x:c r="CA179" s="6" t="str">
        <x:v>18652.153190073623</x:v>
      </x:c>
      <x:c r="CB179" s="6" t="str">
        <x:v>39.15319007362268</x:v>
      </x:c>
      <x:c r="CC179" s="9" t="str">
        <x:v>1.5000000000000258</x:v>
      </x:c>
      <x:c r="CD179" s="6" t="str">
        <x:v>18534.693619852755</x:v>
      </x:c>
      <x:c r="CE179" s="6" t="str">
        <x:v>78.30638014724536</x:v>
      </x:c>
      <x:c r="CF179" s="6" t="str">
        <x:v>Fixed 2.00R target</x:v>
      </x:c>
      <x:c r="CG179" s="9" t="str">
        <x:v>0.018517009690314584</x:v>
      </x:c>
      <x:c r="CH179" s="9" t="str">
        <x:v>-0.217095975679554</x:v>
      </x:c>
      <x:c r="CI179" s="9" t="str">
        <x:v>-0.23561298536986858</x:v>
      </x:c>
      <x:c r="CJ179" s="6" t="str">
        <x:v>Loss</x:v>
      </x:c>
      <x:c r="CK179" s="9" t="str">
        <x:v>1.0727095268871898</x:v>
      </x:c>
      <x:c r="CL179" s="9" t="str">
        <x:v>0.7662210906337069</x:v>
      </x:c>
      <x:c r="CM179" s="7" t="str">
        <x:v>2024-07-24 12:20:00-05:00</x:v>
      </x:c>
      <x:c r="CN179" s="6" t="str">
        <x:v>18621.5</x:v>
      </x:c>
      <x:c r="CO179" s="6" t="str">
        <x:v>TIME</x:v>
      </x:c>
      <x:c r="CP179" s="6" t="str">
        <x:v>F::Short::Same-bar Setup+BOS::Tolerance-only shallow touch</x:v>
      </x:c>
    </x:row>
    <x:row r="180" ht="18" customHeight="1">
      <x:c r="A180" s="6" t="str">
        <x:v>A0179</x:v>
      </x:c>
      <x:c r="B180" s="6" t="str">
        <x:v>2024-07-24</x:v>
      </x:c>
      <x:c r="C180" s="6" t="str">
        <x:v>2024</x:v>
      </x:c>
      <x:c r="D180" s="6" t="str">
        <x:v>2024-Q3</x:v>
      </x:c>
      <x:c r="E180" s="6" t="str">
        <x:v>First 50%</x:v>
      </x:c>
      <x:c r="F180" s="6" t="str">
        <x:v>Short</x:v>
      </x:c>
      <x:c r="G180" s="6" t="str">
        <x:v>Short</x:v>
      </x:c>
      <x:c r="H180" s="6" t="str">
        <x:v>Overnight</x:v>
      </x:c>
      <x:c r="I180" s="6" t="str">
        <x:v>Overnight</x:v>
      </x:c>
      <x:c r="J180" s="6" t="str">
        <x:v>Bear</x:v>
      </x:c>
      <x:c r="K180" s="6" t="str">
        <x:v>Bear</x:v>
      </x:c>
      <x:c r="L180" s="6" t="str">
        <x:v>MID</x:v>
      </x:c>
      <x:c r="M180" s="7" t="str">
        <x:v>2024-07-24 21:30:00-05:00</x:v>
      </x:c>
      <x:c r="N180" s="6" t="str">
        <x:v>90.0</x:v>
      </x:c>
      <x:c r="O180" s="6" t="str">
        <x:v>90-94</x:v>
      </x:c>
      <x:c r="P180" s="6" t="str">
        <x:v>Matching BOS only</x:v>
      </x:c>
      <x:c r="Q180" s="6" t="str">
        <x:v>Bear BOS</x:v>
      </x:c>
      <x:c r="R180" s="6" t="str">
        <x:v>True</x:v>
      </x:c>
      <x:c r="S180" s="6" t="str">
        <x:v>False</x:v>
      </x:c>
      <x:c r="T180" s="6" t="str">
        <x:v>Recent BSL</x:v>
      </x:c>
      <x:c r="U180" s="6" t="str">
        <x:v>BSL</x:v>
      </x:c>
      <x:c r="V180" s="6" t="str">
        <x:v>Swing high / buy-side</x:v>
      </x:c>
      <x:c r="W180" s="6" t="str">
        <x:v>[18564.75]</x:v>
      </x:c>
      <x:c r="X180" s="8" t="str">
        <x:v>1</x:v>
      </x:c>
      <x:c r="Y180" s="8" t="str">
        <x:v>17.0</x:v>
      </x:c>
      <x:c r="Z180" s="6" t="str">
        <x:v>None</x:v>
      </x:c>
      <x:c r="AA180" s="6" t="str">
        <x:v>18509.75</x:v>
      </x:c>
      <x:c r="AB180" s="9" t="str">
        <x:v>0.10993801139630299</x:v>
      </x:c>
      <x:c r="AC180" s="9" t="str">
        <x:v>1.0077651044661107</x:v>
      </x:c>
      <x:c r="AD180" s="9" t="str">
        <x:v>2.1437912222279083</x:v>
      </x:c>
      <x:c r="AE180" s="6" t="str">
        <x:v>With trade</x:v>
      </x:c>
      <x:c r="AF180" s="7" t="str">
        <x:v>2024-07-24 21:30:00-05:00</x:v>
      </x:c>
      <x:c r="AG180" s="6" t="str">
        <x:v>Short</x:v>
      </x:c>
      <x:c r="AH180" s="6" t="str">
        <x:v>18509.75</x:v>
      </x:c>
      <x:c r="AI180" s="8" t="str">
        <x:v>0</x:v>
      </x:c>
      <x:c r="AJ180" s="6" t="str">
        <x:v>True</x:v>
      </x:c>
      <x:c r="AK180" s="6" t="str">
        <x:v>Same-bar Setup+BOS</x:v>
      </x:c>
      <x:c r="AL180" s="9" t="str">
        <x:v>1.0077651044661107</x:v>
      </x:c>
      <x:c r="AM180" s="9" t="str">
        <x:v>0.10993801139630299</x:v>
      </x:c>
      <x:c r="AN180" s="9" t="str">
        <x:v>1.0077651044661107</x:v>
      </x:c>
      <x:c r="AO180" s="9" t="str">
        <x:v>2.1437912222279083</x:v>
      </x:c>
      <x:c r="AP180" s="10" t="str">
        <x:v>0.4700854700854701</x:v>
      </x:c>
      <x:c r="AQ180" s="6" t="str">
        <x:v>0.17094017094017094</x:v>
      </x:c>
      <x:c r="AR180" s="6" t="str">
        <x:v>0.358974358974359</x:v>
      </x:c>
      <x:c r="AS180" s="6" t="str">
        <x:v>With trade</x:v>
      </x:c>
      <x:c r="AT180" s="6" t="str">
        <x:v>2.3167155425219943</x:v>
      </x:c>
      <x:c r="AU180" s="7" t="str">
        <x:v>2024-07-24 21:35:00-05:00</x:v>
      </x:c>
      <x:c r="AV180" s="8" t="str">
        <x:v>1</x:v>
      </x:c>
      <x:c r="AW180" s="6" t="str">
        <x:v>Immediate retest (1 bar)</x:v>
      </x:c>
      <x:c r="AX180" s="6" t="str">
        <x:v>18511.0</x:v>
      </x:c>
      <x:c r="AY180" s="6" t="str">
        <x:v>1.25</x:v>
      </x:c>
      <x:c r="AZ180" s="9" t="str">
        <x:v>0.08711986007423993</x:v>
      </x:c>
      <x:c r="BA180" s="9" t="str">
        <x:v>0.9408944888017913</x:v>
      </x:c>
      <x:c r="BB180" s="9" t="str">
        <x:v>1.6378533693957107</x:v>
      </x:c>
      <x:c r="BC180" s="9" t="str">
        <x:v>0.8189266846978553</x:v>
      </x:c>
      <x:c r="BD180" s="6" t="str">
        <x:v>0.1276595744680851</x:v>
      </x:c>
      <x:c r="BE180" s="6" t="str">
        <x:v>0.3723404255319149</x:v>
      </x:c>
      <x:c r="BF180" s="9" t="str">
        <x:v>0.20908766417817584</x:v>
      </x:c>
      <x:c r="BG180" s="9" t="str">
        <x:v>0.6098390205196795</x:v>
      </x:c>
      <x:c r="BH180" s="6" t="str">
        <x:v>With trade</x:v>
      </x:c>
      <x:c r="BI180" s="6" t="str">
        <x:v>Penetration + same-bar reclaim</x:v>
      </x:c>
      <x:c r="BJ180" s="6" t="str">
        <x:v>False</x:v>
      </x:c>
      <x:c r="BK180" s="10" t="str">
        <x:v>True</x:v>
      </x:c>
      <x:c r="BL180" s="6" t="str">
        <x:v>True</x:v>
      </x:c>
      <x:c r="BM180" s="7" t="str">
        <x:v>2024-07-24 21:45:00-05:00</x:v>
      </x:c>
      <x:c r="BN180" s="8" t="str">
        <x:v>2</x:v>
      </x:c>
      <x:c r="BO180" s="6" t="str">
        <x:v>Delayed confirmation (2+ bars)</x:v>
      </x:c>
      <x:c r="BP180" s="9" t="str">
        <x:v>0.8742132570932847</x:v>
      </x:c>
      <x:c r="BQ180" s="9" t="str">
        <x:v>1.4398806587418806</x:v>
      </x:c>
      <x:c r="BR180" s="10" t="str">
        <x:v>0.6071428571428571</x:v>
      </x:c>
      <x:c r="BS180" s="9" t="str">
        <x:v>1.7141436413593816</x:v>
      </x:c>
      <x:c r="BT180" s="9" t="str">
        <x:v>0.7885060750253156</x:v>
      </x:c>
      <x:c r="BU180" s="9" t="str">
        <x:v>0.13713149130875055</x:v>
      </x:c>
      <x:c r="BV180" s="6" t="str">
        <x:v>With trade</x:v>
      </x:c>
      <x:c r="BW180" s="7" t="str">
        <x:v>2024-07-24 21:45:00-05:00</x:v>
      </x:c>
      <x:c r="BX180" s="6" t="str">
        <x:v>18484.75</x:v>
      </x:c>
      <x:c r="BY180" s="9" t="str">
        <x:v>14.584542039997325</x:v>
      </x:c>
      <x:c r="BZ180" s="9" t="str">
        <x:v>0.39</x:v>
      </x:c>
      <x:c r="CA180" s="6" t="str">
        <x:v>18506.626813059996</x:v>
      </x:c>
      <x:c r="CB180" s="6" t="str">
        <x:v>21.876813059996493</x:v>
      </x:c>
      <x:c r="CC180" s="9" t="str">
        <x:v>1.5000000000000346</x:v>
      </x:c>
      <x:c r="CD180" s="6" t="str">
        <x:v>18440.996373880007</x:v>
      </x:c>
      <x:c r="CE180" s="6" t="str">
        <x:v>43.75362611999299</x:v>
      </x:c>
      <x:c r="CF180" s="6" t="str">
        <x:v>Fixed 2.00R target</x:v>
      </x:c>
      <x:c r="CG180" s="9" t="str">
        <x:v>0.033140110399613947</x:v>
      </x:c>
      <x:c r="CH180" s="9" t="str">
        <x:v>-1.0</x:v>
      </x:c>
      <x:c r="CI180" s="9" t="str">
        <x:v>-1.0331401103996138</x:v>
      </x:c>
      <x:c r="CJ180" s="6" t="str">
        <x:v>Loss</x:v>
      </x:c>
      <x:c r="CK180" s="9" t="str">
        <x:v>0.04571049710291579</x:v>
      </x:c>
      <x:c r="CL180" s="9" t="str">
        <x:v>1.0513414333670632</x:v>
      </x:c>
      <x:c r="CM180" s="7" t="str">
        <x:v>2024-07-24 22:05:00-05:00</x:v>
      </x:c>
      <x:c r="CN180" s="6" t="str">
        <x:v>18506.626813059996</x:v>
      </x:c>
      <x:c r="CO180" s="6" t="str">
        <x:v>STOP</x:v>
      </x:c>
      <x:c r="CP180" s="6" t="str">
        <x:v>F::Short::Same-bar Setup+BOS::Penetration + same-bar reclaim</x:v>
      </x:c>
    </x:row>
    <x:row r="181" ht="18" customHeight="1">
      <x:c r="A181" s="6" t="str">
        <x:v>A0180</x:v>
      </x:c>
      <x:c r="B181" s="6" t="str">
        <x:v>2024-07-25</x:v>
      </x:c>
      <x:c r="C181" s="6" t="str">
        <x:v>2024</x:v>
      </x:c>
      <x:c r="D181" s="6" t="str">
        <x:v>2024-Q3</x:v>
      </x:c>
      <x:c r="E181" s="6" t="str">
        <x:v>First 50%</x:v>
      </x:c>
      <x:c r="F181" s="6" t="str">
        <x:v>Long</x:v>
      </x:c>
      <x:c r="G181" s="6" t="str">
        <x:v>Long</x:v>
      </x:c>
      <x:c r="H181" s="6" t="str">
        <x:v>Morning</x:v>
      </x:c>
      <x:c r="I181" s="6" t="str">
        <x:v>Morning</x:v>
      </x:c>
      <x:c r="J181" s="6" t="str">
        <x:v>Bear</x:v>
      </x:c>
      <x:c r="K181" s="6" t="str">
        <x:v>Bear</x:v>
      </x:c>
      <x:c r="L181" s="6" t="str">
        <x:v>HIGH</x:v>
      </x:c>
      <x:c r="M181" s="7" t="str">
        <x:v>2024-07-25 11:10:00-05:00</x:v>
      </x:c>
      <x:c r="N181" s="6" t="str">
        <x:v>75.0</x:v>
      </x:c>
      <x:c r="O181" s="6" t="str">
        <x:v>75-79</x:v>
      </x:c>
      <x:c r="P181" s="6" t="str">
        <x:v>Matching BOS only</x:v>
      </x:c>
      <x:c r="Q181" s="6" t="str">
        <x:v>Bull BOS</x:v>
      </x:c>
      <x:c r="R181" s="6" t="str">
        <x:v>True</x:v>
      </x:c>
      <x:c r="S181" s="6" t="str">
        <x:v>False</x:v>
      </x:c>
      <x:c r="T181" s="6" t="str">
        <x:v>No recent matching sweep</x:v>
      </x:c>
      <x:c r="U181" s="6" t="str">
        <x:v>None</x:v>
      </x:c>
      <x:c r="V181" s="6" t="str">
        <x:v>None</x:v>
      </x:c>
      <x:c r="W181" s="6" t="str">
        <x:v>[]</x:v>
      </x:c>
      <x:c r="X181" s="8" t="str">
        <x:v>0</x:v>
      </x:c>
      <x:c r="Y181" s="8" t="str"/>
      <x:c r="Z181" s="6" t="str">
        <x:v>None</x:v>
      </x:c>
      <x:c r="AA181" s="6" t="str">
        <x:v>18542.5</x:v>
      </x:c>
      <x:c r="AB181" s="9" t="str">
        <x:v>0.15458997783824044</x:v>
      </x:c>
      <x:c r="AC181" s="9" t="str">
        <x:v>0.9821010356782334</x:v>
      </x:c>
      <x:c r="AD181" s="9" t="str">
        <x:v>1.0593960245973535</x:v>
      </x:c>
      <x:c r="AE181" s="6" t="str">
        <x:v>With trade</x:v>
      </x:c>
      <x:c r="AF181" s="7" t="str">
        <x:v>2024-07-25 11:10:00-05:00</x:v>
      </x:c>
      <x:c r="AG181" s="6" t="str">
        <x:v>Long</x:v>
      </x:c>
      <x:c r="AH181" s="6" t="str">
        <x:v>18542.5</x:v>
      </x:c>
      <x:c r="AI181" s="8" t="str">
        <x:v>0</x:v>
      </x:c>
      <x:c r="AJ181" s="6" t="str">
        <x:v>True</x:v>
      </x:c>
      <x:c r="AK181" s="6" t="str">
        <x:v>Same-bar Setup+BOS</x:v>
      </x:c>
      <x:c r="AL181" s="9" t="str">
        <x:v>0.9684607435160356</x:v>
      </x:c>
      <x:c r="AM181" s="9" t="str">
        <x:v>0.15458997783824044</x:v>
      </x:c>
      <x:c r="AN181" s="9" t="str">
        <x:v>0.9821010356782334</x:v>
      </x:c>
      <x:c r="AO181" s="9" t="str">
        <x:v>1.0593960245973535</x:v>
      </x:c>
      <x:c r="AP181" s="10" t="str">
        <x:v>0.927038626609442</x:v>
      </x:c>
      <x:c r="AQ181" s="6" t="str">
        <x:v>0.02145922746781116</x:v>
      </x:c>
      <x:c r="AR181" s="6" t="str">
        <x:v>0.05150214592274678</x:v>
      </x:c>
      <x:c r="AS181" s="6" t="str">
        <x:v>With trade</x:v>
      </x:c>
      <x:c r="AT181" s="6" t="str">
        <x:v>0.8403538755403639</x:v>
      </x:c>
      <x:c r="AU181" s="7" t="str">
        <x:v>2024-07-25 11:15:00-05:00</x:v>
      </x:c>
      <x:c r="AV181" s="8" t="str">
        <x:v>1</x:v>
      </x:c>
      <x:c r="AW181" s="6" t="str">
        <x:v>Immediate retest (1 bar)</x:v>
      </x:c>
      <x:c r="AX181" s="6" t="str">
        <x:v>18535.25</x:v>
      </x:c>
      <x:c r="AY181" s="6" t="str">
        <x:v>7.25</x:v>
      </x:c>
      <x:c r="AZ181" s="9" t="str">
        <x:v>0.13559655814117103</x:v>
      </x:c>
      <x:c r="BA181" s="9" t="str">
        <x:v>0.48160156857036607</x:v>
      </x:c>
      <x:c r="BB181" s="9" t="str">
        <x:v>0.631225356864072</x:v>
      </x:c>
      <x:c r="BC181" s="9" t="str">
        <x:v>0.3273020368924818</x:v>
      </x:c>
      <x:c r="BD181" s="6" t="str">
        <x:v>0.022222222222222223</x:v>
      </x:c>
      <x:c r="BE181" s="6" t="str">
        <x:v>0.45925925925925926</x:v>
      </x:c>
      <x:c r="BF181" s="9" t="str">
        <x:v>0.2898960898190553</x:v>
      </x:c>
      <x:c r="BG181" s="9" t="str">
        <x:v>0.014027230152534934</x:v>
      </x:c>
      <x:c r="BH181" s="6" t="str">
        <x:v>With trade</x:v>
      </x:c>
      <x:c r="BI181" s="6" t="str">
        <x:v>Penetration + same-bar reclaim</x:v>
      </x:c>
      <x:c r="BJ181" s="6" t="str">
        <x:v>False</x:v>
      </x:c>
      <x:c r="BK181" s="10" t="str">
        <x:v>True</x:v>
      </x:c>
      <x:c r="BL181" s="6" t="str">
        <x:v>True</x:v>
      </x:c>
      <x:c r="BM181" s="7" t="str">
        <x:v>2024-07-25 11:20:00-05:00</x:v>
      </x:c>
      <x:c r="BN181" s="8" t="str">
        <x:v>1</x:v>
      </x:c>
      <x:c r="BO181" s="6" t="str">
        <x:v>Immediate confirmation (1 bar)</x:v>
      </x:c>
      <x:c r="BP181" s="9" t="str">
        <x:v>0.7733518322619529</x:v>
      </x:c>
      <x:c r="BQ181" s="9" t="str">
        <x:v>1.201457310835534</x:v>
      </x:c>
      <x:c r="BR181" s="10" t="str">
        <x:v>0.6436781609195402</x:v>
      </x:c>
      <x:c r="BS181" s="9" t="str">
        <x:v>1.2336803038464486</x:v>
      </x:c>
      <x:c r="BT181" s="9" t="str">
        <x:v>0.759541978114418</x:v>
      </x:c>
      <x:c r="BU181" s="9" t="str">
        <x:v>0.25778394408731764</x:v>
      </x:c>
      <x:c r="BV181" s="6" t="str">
        <x:v>With trade</x:v>
      </x:c>
      <x:c r="BW181" s="7" t="str">
        <x:v>2024-07-25 11:20:00-05:00</x:v>
      </x:c>
      <x:c r="BX181" s="6" t="str">
        <x:v>18609.5</x:v>
      </x:c>
      <x:c r="BY181" s="9" t="str">
        <x:v>54.30904569936234</x:v>
      </x:c>
      <x:c r="BZ181" s="9" t="str">
        <x:v>0.81</x:v>
      </x:c>
      <x:c r="CA181" s="6" t="str">
        <x:v>18528.036431450957</x:v>
      </x:c>
      <x:c r="CB181" s="6" t="str">
        <x:v>81.46356854904298</x:v>
      </x:c>
      <x:c r="CC181" s="9" t="str">
        <x:v>1.49999999999999</x:v>
      </x:c>
      <x:c r="CD181" s="6" t="str">
        <x:v>18772.427137098086</x:v>
      </x:c>
      <x:c r="CE181" s="6" t="str">
        <x:v>162.92713709808595</x:v>
      </x:c>
      <x:c r="CF181" s="6" t="str">
        <x:v>Fixed 2.00R target</x:v>
      </x:c>
      <x:c r="CG181" s="9" t="str">
        <x:v>0.008899683783966977</x:v>
      </x:c>
      <x:c r="CH181" s="9" t="str">
        <x:v>-1.0</x:v>
      </x:c>
      <x:c r="CI181" s="9" t="str">
        <x:v>-1.008899683783967</x:v>
      </x:c>
      <x:c r="CJ181" s="6" t="str">
        <x:v>Loss</x:v>
      </x:c>
      <x:c r="CK181" s="9" t="str">
        <x:v>0.5339810270380186</x:v>
      </x:c>
      <x:c r="CL181" s="9" t="str">
        <x:v>1.224473734414767</x:v>
      </x:c>
      <x:c r="CM181" s="7" t="str">
        <x:v>2024-07-25 12:20:00-05:00</x:v>
      </x:c>
      <x:c r="CN181" s="6" t="str">
        <x:v>18528.036431450957</x:v>
      </x:c>
      <x:c r="CO181" s="6" t="str">
        <x:v>STOP</x:v>
      </x:c>
      <x:c r="CP181" s="6" t="str">
        <x:v>F::Long::Same-bar Setup+BOS::Penetration + same-bar reclaim</x:v>
      </x:c>
    </x:row>
    <x:row r="182" ht="18" customHeight="1">
      <x:c r="A182" s="6" t="str">
        <x:v>A0181</x:v>
      </x:c>
      <x:c r="B182" s="6" t="str">
        <x:v>2024-07-25</x:v>
      </x:c>
      <x:c r="C182" s="6" t="str">
        <x:v>2024</x:v>
      </x:c>
      <x:c r="D182" s="6" t="str">
        <x:v>2024-Q3</x:v>
      </x:c>
      <x:c r="E182" s="6" t="str">
        <x:v>First 50%</x:v>
      </x:c>
      <x:c r="F182" s="6" t="str">
        <x:v>Long</x:v>
      </x:c>
      <x:c r="G182" s="6" t="str">
        <x:v>Long</x:v>
      </x:c>
      <x:c r="H182" s="6" t="str">
        <x:v>Overnight</x:v>
      </x:c>
      <x:c r="I182" s="6" t="str">
        <x:v>Overnight</x:v>
      </x:c>
      <x:c r="J182" s="6" t="str">
        <x:v>Bear</x:v>
      </x:c>
      <x:c r="K182" s="6" t="str">
        <x:v>Bear</x:v>
      </x:c>
      <x:c r="L182" s="6" t="str">
        <x:v>LOW</x:v>
      </x:c>
      <x:c r="M182" s="7" t="str">
        <x:v>2024-07-25 23:25:00-05:00</x:v>
      </x:c>
      <x:c r="N182" s="6" t="str">
        <x:v>90.0</x:v>
      </x:c>
      <x:c r="O182" s="6" t="str">
        <x:v>90-94</x:v>
      </x:c>
      <x:c r="P182" s="6" t="str">
        <x:v>Matching BOS only</x:v>
      </x:c>
      <x:c r="Q182" s="6" t="str">
        <x:v>Bull CHoCH</x:v>
      </x:c>
      <x:c r="R182" s="6" t="str">
        <x:v>True</x:v>
      </x:c>
      <x:c r="S182" s="6" t="str">
        <x:v>False</x:v>
      </x:c>
      <x:c r="T182" s="6" t="str">
        <x:v>Recent SSL</x:v>
      </x:c>
      <x:c r="U182" s="6" t="str">
        <x:v>SSL</x:v>
      </x:c>
      <x:c r="V182" s="6" t="str">
        <x:v>Swing low / sell-side</x:v>
      </x:c>
      <x:c r="W182" s="6" t="str">
        <x:v>[18331.5]</x:v>
      </x:c>
      <x:c r="X182" s="8" t="str">
        <x:v>1</x:v>
      </x:c>
      <x:c r="Y182" s="8" t="str">
        <x:v>20.0</x:v>
      </x:c>
      <x:c r="Z182" s="6" t="str">
        <x:v>None</x:v>
      </x:c>
      <x:c r="AA182" s="6" t="str">
        <x:v>18351.75</x:v>
      </x:c>
      <x:c r="AB182" s="9" t="str">
        <x:v>0.6866277996651222</x:v>
      </x:c>
      <x:c r="AC182" s="9" t="str">
        <x:v>1.0299416994976833</x:v>
      </x:c>
      <x:c r="AD182" s="9" t="str">
        <x:v>1.610934453060479</x:v>
      </x:c>
      <x:c r="AE182" s="6" t="str">
        <x:v>With trade</x:v>
      </x:c>
      <x:c r="AF182" s="7" t="str">
        <x:v>2024-07-25 23:25:00-05:00</x:v>
      </x:c>
      <x:c r="AG182" s="6" t="str">
        <x:v>Long</x:v>
      </x:c>
      <x:c r="AH182" s="6" t="str">
        <x:v>18351.75</x:v>
      </x:c>
      <x:c r="AI182" s="8" t="str">
        <x:v>0</x:v>
      </x:c>
      <x:c r="AJ182" s="6" t="str">
        <x:v>True</x:v>
      </x:c>
      <x:c r="AK182" s="6" t="str">
        <x:v>Same-bar Setup+BOS</x:v>
      </x:c>
      <x:c r="AL182" s="9" t="str">
        <x:v>0.97712417644652</x:v>
      </x:c>
      <x:c r="AM182" s="9" t="str">
        <x:v>0.6866277996651222</x:v>
      </x:c>
      <x:c r="AN182" s="9" t="str">
        <x:v>1.0299416994976833</x:v>
      </x:c>
      <x:c r="AO182" s="9" t="str">
        <x:v>1.610934453060479</x:v>
      </x:c>
      <x:c r="AP182" s="10" t="str">
        <x:v>0.639344262295082</x:v>
      </x:c>
      <x:c r="AQ182" s="6" t="str">
        <x:v>0.11475409836065574</x:v>
      </x:c>
      <x:c r="AR182" s="6" t="str">
        <x:v>0.2459016393442623</x:v>
      </x:c>
      <x:c r="AS182" s="6" t="str">
        <x:v>With trade</x:v>
      </x:c>
      <x:c r="AT182" s="6" t="str">
        <x:v>1.7026874647622627</x:v>
      </x:c>
      <x:c r="AU182" s="7" t="str">
        <x:v>2024-07-25 23:30:00-05:00</x:v>
      </x:c>
      <x:c r="AV182" s="8" t="str">
        <x:v>1</x:v>
      </x:c>
      <x:c r="AW182" s="6" t="str">
        <x:v>Immediate retest (1 bar)</x:v>
      </x:c>
      <x:c r="AX182" s="6" t="str">
        <x:v>18351.75</x:v>
      </x:c>
      <x:c r="AY182" s="6" t="str">
        <x:v>0.0</x:v>
      </x:c>
      <x:c r="AZ182" s="9" t="str">
        <x:v>0.0</x:v>
      </x:c>
      <x:c r="BA182" s="9" t="str">
        <x:v>0.6890534936316158</x:v>
      </x:c>
      <x:c r="BB182" s="9" t="str">
        <x:v>0.9540740681053143</x:v>
      </x:c>
      <x:c r="BC182" s="9" t="str">
        <x:v>0.053004114894739676</x:v>
      </x:c>
      <x:c r="BD182" s="6" t="str">
        <x:v>0.2222222222222222</x:v>
      </x:c>
      <x:c r="BE182" s="6" t="str">
        <x:v>0.7222222222222222</x:v>
      </x:c>
      <x:c r="BF182" s="9" t="str">
        <x:v>0.6890534936316158</x:v>
      </x:c>
      <x:c r="BG182" s="9" t="str">
        <x:v>0.2120164595789587</x:v>
      </x:c>
      <x:c r="BH182" s="6" t="str">
        <x:v>Against trade</x:v>
      </x:c>
      <x:c r="BI182" s="6" t="str">
        <x:v>Exact BOS touch</x:v>
      </x:c>
      <x:c r="BJ182" s="6" t="str">
        <x:v>True</x:v>
      </x:c>
      <x:c r="BK182" s="10" t="str">
        <x:v>False</x:v>
      </x:c>
      <x:c r="BL182" s="6" t="str">
        <x:v>True</x:v>
      </x:c>
      <x:c r="BM182" s="7" t="str">
        <x:v>2024-07-25 23:45:00-05:00</x:v>
      </x:c>
      <x:c r="BN182" s="8" t="str">
        <x:v>3</x:v>
      </x:c>
      <x:c r="BO182" s="6" t="str">
        <x:v>Delayed confirmation (2+ bars)</x:v>
      </x:c>
      <x:c r="BP182" s="9" t="str">
        <x:v>0.6180355814079109</x:v>
      </x:c>
      <x:c r="BQ182" s="9" t="str">
        <x:v>1.0113309513947633</x:v>
      </x:c>
      <x:c r="BR182" s="10" t="str">
        <x:v>0.6111111111111112</x:v>
      </x:c>
      <x:c r="BS182" s="9" t="str">
        <x:v>0.7865907399737048</x:v>
      </x:c>
      <x:c r="BT182" s="9" t="str">
        <x:v>0.05618505285526463</x:v>
      </x:c>
      <x:c r="BU182" s="9" t="str">
        <x:v>0.05618505285526463</x:v>
      </x:c>
      <x:c r="BV182" s="6" t="str">
        <x:v>With trade</x:v>
      </x:c>
      <x:c r="BW182" s="7" t="str">
        <x:v>2024-07-25 23:45:00-05:00</x:v>
      </x:c>
      <x:c r="BX182" s="6" t="str">
        <x:v>18358.75</x:v>
      </x:c>
      <x:c r="BY182" s="9" t="str">
        <x:v>8.899164005203017</x:v>
      </x:c>
      <x:c r="BZ182" s="9" t="str">
        <x:v>0.01</x:v>
      </x:c>
      <x:c r="CA182" s="6" t="str">
        <x:v>18345.401253992197</x:v>
      </x:c>
      <x:c r="CB182" s="6" t="str">
        <x:v>13.348746007803129</x:v>
      </x:c>
      <x:c r="CC182" s="9" t="str">
        <x:v>1.499999999999843</x:v>
      </x:c>
      <x:c r="CD182" s="6" t="str">
        <x:v>18385.44749201561</x:v>
      </x:c>
      <x:c r="CE182" s="6" t="str">
        <x:v>26.697492015609896</x:v>
      </x:c>
      <x:c r="CF182" s="6" t="str">
        <x:v>Fixed 2.00R target</x:v>
      </x:c>
      <x:c r="CG182" s="9" t="str">
        <x:v>0.05431221776009482</x:v>
      </x:c>
      <x:c r="CH182" s="9" t="str">
        <x:v>-1.0</x:v>
      </x:c>
      <x:c r="CI182" s="9" t="str">
        <x:v>-1.0543122177600948</x:v>
      </x:c>
      <x:c r="CJ182" s="6" t="str">
        <x:v>Loss</x:v>
      </x:c>
      <x:c r="CK182" s="9" t="str">
        <x:v>1.4608113742370332</x:v>
      </x:c>
      <x:c r="CL182" s="9" t="str">
        <x:v>1.6480948837546017</x:v>
      </x:c>
      <x:c r="CM182" s="7" t="str">
        <x:v>2024-07-26 00:45:00-05:00</x:v>
      </x:c>
      <x:c r="CN182" s="6" t="str">
        <x:v>18345.401253992197</x:v>
      </x:c>
      <x:c r="CO182" s="6" t="str">
        <x:v>STOP</x:v>
      </x:c>
      <x:c r="CP182" s="6" t="str">
        <x:v>F::Long::Same-bar Setup+BOS::Exact BOS touch</x:v>
      </x:c>
    </x:row>
    <x:row r="183" ht="18" customHeight="1">
      <x:c r="A183" s="6" t="str">
        <x:v>A0182</x:v>
      </x:c>
      <x:c r="B183" s="6" t="str">
        <x:v>2024-07-26</x:v>
      </x:c>
      <x:c r="C183" s="6" t="str">
        <x:v>2024</x:v>
      </x:c>
      <x:c r="D183" s="6" t="str">
        <x:v>2024-Q3</x:v>
      </x:c>
      <x:c r="E183" s="6" t="str">
        <x:v>First 50%</x:v>
      </x:c>
      <x:c r="F183" s="6" t="str">
        <x:v>Long</x:v>
      </x:c>
      <x:c r="G183" s="6" t="str">
        <x:v>Long</x:v>
      </x:c>
      <x:c r="H183" s="6" t="str">
        <x:v>Morning</x:v>
      </x:c>
      <x:c r="I183" s="6" t="str">
        <x:v>Morning</x:v>
      </x:c>
      <x:c r="J183" s="6" t="str">
        <x:v>Bear</x:v>
      </x:c>
      <x:c r="K183" s="6" t="str">
        <x:v>Bear</x:v>
      </x:c>
      <x:c r="L183" s="6" t="str">
        <x:v>HIGH</x:v>
      </x:c>
      <x:c r="M183" s="7" t="str">
        <x:v>2024-07-26 10:40:00-05:00</x:v>
      </x:c>
      <x:c r="N183" s="6" t="str">
        <x:v>85.0</x:v>
      </x:c>
      <x:c r="O183" s="6" t="str">
        <x:v>85-89</x:v>
      </x:c>
      <x:c r="P183" s="6" t="str">
        <x:v>Matching BOS only</x:v>
      </x:c>
      <x:c r="Q183" s="6" t="str">
        <x:v>Bull CHoCH</x:v>
      </x:c>
      <x:c r="R183" s="6" t="str">
        <x:v>True</x:v>
      </x:c>
      <x:c r="S183" s="6" t="str">
        <x:v>False</x:v>
      </x:c>
      <x:c r="T183" s="6" t="str">
        <x:v>Recent SSL</x:v>
      </x:c>
      <x:c r="U183" s="6" t="str">
        <x:v>SSL</x:v>
      </x:c>
      <x:c r="V183" s="6" t="str">
        <x:v>Swing low / sell-side</x:v>
      </x:c>
      <x:c r="W183" s="6" t="str">
        <x:v>[18307.75]</x:v>
      </x:c>
      <x:c r="X183" s="8" t="str">
        <x:v>1</x:v>
      </x:c>
      <x:c r="Y183" s="8" t="str">
        <x:v>11.0</x:v>
      </x:c>
      <x:c r="Z183" s="6" t="str">
        <x:v>None</x:v>
      </x:c>
      <x:c r="AA183" s="6" t="str">
        <x:v>18424.25</x:v>
      </x:c>
      <x:c r="AB183" s="9" t="str">
        <x:v>0.011494329734625448</x:v>
      </x:c>
      <x:c r="AC183" s="9" t="str">
        <x:v>0.4137958704465161</x:v>
      </x:c>
      <x:c r="AD183" s="9" t="str">
        <x:v>0.8505804003622831</x:v>
      </x:c>
      <x:c r="AE183" s="6" t="str">
        <x:v>With trade</x:v>
      </x:c>
      <x:c r="AF183" s="7" t="str">
        <x:v>2024-07-26 10:40:00-05:00</x:v>
      </x:c>
      <x:c r="AG183" s="6" t="str">
        <x:v>Long</x:v>
      </x:c>
      <x:c r="AH183" s="6" t="str">
        <x:v>18424.25</x:v>
      </x:c>
      <x:c r="AI183" s="8" t="str">
        <x:v>0</x:v>
      </x:c>
      <x:c r="AJ183" s="6" t="str">
        <x:v>True</x:v>
      </x:c>
      <x:c r="AK183" s="6" t="str">
        <x:v>Same-bar Setup+BOS</x:v>
      </x:c>
      <x:c r="AL183" s="9" t="str">
        <x:v>0.42529020018114155</x:v>
      </x:c>
      <x:c r="AM183" s="9" t="str">
        <x:v>0.011494329734625448</x:v>
      </x:c>
      <x:c r="AN183" s="9" t="str">
        <x:v>0.4137958704465161</x:v>
      </x:c>
      <x:c r="AO183" s="9" t="str">
        <x:v>0.8505804003622831</x:v>
      </x:c>
      <x:c r="AP183" s="10" t="str">
        <x:v>0.4864864864864865</x:v>
      </x:c>
      <x:c r="AQ183" s="6" t="str">
        <x:v>0.07432432432432433</x:v>
      </x:c>
      <x:c r="AR183" s="6" t="str">
        <x:v>0.4391891891891892</x:v>
      </x:c>
      <x:c r="AS183" s="6" t="str">
        <x:v>With trade</x:v>
      </x:c>
      <x:c r="AT183" s="6" t="str">
        <x:v>0.6405084375350703</x:v>
      </x:c>
      <x:c r="AU183" s="7" t="str">
        <x:v>2024-07-26 10:45:00-05:00</x:v>
      </x:c>
      <x:c r="AV183" s="8" t="str">
        <x:v>1</x:v>
      </x:c>
      <x:c r="AW183" s="6" t="str">
        <x:v>Immediate retest (1 bar)</x:v>
      </x:c>
      <x:c r="AX183" s="6" t="str">
        <x:v>18418.25</x:v>
      </x:c>
      <x:c r="AY183" s="6" t="str">
        <x:v>6.0</x:v>
      </x:c>
      <x:c r="AZ183" s="9" t="str">
        <x:v>0.13994257256502843</x:v>
      </x:c>
      <x:c r="BA183" s="9" t="str">
        <x:v>0.6530653386367993</x:v>
      </x:c>
      <x:c r="BB183" s="9" t="str">
        <x:v>0.8105007327724563</x:v>
      </x:c>
      <x:c r="BC183" s="9" t="str">
        <x:v>0.6530653386367993</x:v>
      </x:c>
      <x:c r="BD183" s="6" t="str">
        <x:v>0.02158273381294964</x:v>
      </x:c>
      <x:c r="BE183" s="6" t="str">
        <x:v>0.17266187050359713</x:v>
      </x:c>
      <x:c r="BF183" s="9" t="str">
        <x:v>0.13994257256502843</x:v>
      </x:c>
      <x:c r="BG183" s="9" t="str">
        <x:v>0.017492821570628554</x:v>
      </x:c>
      <x:c r="BH183" s="6" t="str">
        <x:v>With trade</x:v>
      </x:c>
      <x:c r="BI183" s="6" t="str">
        <x:v>Penetration + same-bar reclaim</x:v>
      </x:c>
      <x:c r="BJ183" s="6" t="str">
        <x:v>False</x:v>
      </x:c>
      <x:c r="BK183" s="10" t="str">
        <x:v>True</x:v>
      </x:c>
      <x:c r="BL183" s="6" t="str">
        <x:v>True</x:v>
      </x:c>
      <x:c r="BM183" s="7" t="str">
        <x:v>2024-07-26 10:55:00-05:00</x:v>
      </x:c>
      <x:c r="BN183" s="8" t="str">
        <x:v>2</x:v>
      </x:c>
      <x:c r="BO183" s="6" t="str">
        <x:v>Delayed confirmation (2+ bars)</x:v>
      </x:c>
      <x:c r="BP183" s="9" t="str">
        <x:v>0.23931386115295883</x:v>
      </x:c>
      <x:c r="BQ183" s="9" t="str">
        <x:v>0.6811240663584213</x:v>
      </x:c>
      <x:c r="BR183" s="10" t="str">
        <x:v>0.35135135135135137</x:v>
      </x:c>
      <x:c r="BS183" s="9" t="str">
        <x:v>0.5706715150570557</x:v>
      </x:c>
      <x:c r="BT183" s="9" t="str">
        <x:v>-0.11658880415144147</x:v>
      </x:c>
      <x:c r="BU183" s="9" t="str">
        <x:v>0.29454013680364166</x:v>
      </x:c>
      <x:c r="BV183" s="6" t="str">
        <x:v>With trade</x:v>
      </x:c>
      <x:c r="BW183" s="7" t="str">
        <x:v>2024-07-26 10:55:00-05:00</x:v>
      </x:c>
      <x:c r="BX183" s="6" t="str">
        <x:v>18447.5</x:v>
      </x:c>
      <x:c r="BY183" s="9" t="str">
        <x:v>40.741476289867855</x:v>
      </x:c>
      <x:c r="BZ183" s="9" t="str">
        <x:v>0.78</x:v>
      </x:c>
      <x:c r="CA183" s="6" t="str">
        <x:v>18386.3877855652</x:v>
      </x:c>
      <x:c r="CB183" s="6" t="str">
        <x:v>61.11221443480099</x:v>
      </x:c>
      <x:c r="CC183" s="9" t="str">
        <x:v>1.4999999999999805</x:v>
      </x:c>
      <x:c r="CD183" s="6" t="str">
        <x:v>18569.724428869602</x:v>
      </x:c>
      <x:c r="CE183" s="6" t="str">
        <x:v>122.22442886960198</x:v>
      </x:c>
      <x:c r="CF183" s="6" t="str">
        <x:v>Fixed 2.00R target</x:v>
      </x:c>
      <x:c r="CG183" s="9" t="str">
        <x:v>0.011863422176813498</x:v>
      </x:c>
      <x:c r="CH183" s="9" t="str">
        <x:v>1.5013365306518955</x:v>
      </x:c>
      <x:c r="CI183" s="9" t="str">
        <x:v>1.489473108475082</x:v>
      </x:c>
      <x:c r="CJ183" s="6" t="str">
        <x:v>Win</x:v>
      </x:c>
      <x:c r="CK183" s="9" t="str">
        <x:v>1.7099691275544973</x:v>
      </x:c>
      <x:c r="CL183" s="9" t="str">
        <x:v>0.12681589223490292</x:v>
      </x:c>
      <x:c r="CM183" s="7" t="str">
        <x:v>2024-07-26 11:55:00-05:00</x:v>
      </x:c>
      <x:c r="CN183" s="6" t="str">
        <x:v>18539.25</x:v>
      </x:c>
      <x:c r="CO183" s="6" t="str">
        <x:v>TIME</x:v>
      </x:c>
      <x:c r="CP183" s="6" t="str">
        <x:v>F::Long::Same-bar Setup+BOS::Penetration + same-bar reclaim</x:v>
      </x:c>
    </x:row>
    <x:row r="184" ht="18" customHeight="1">
      <x:c r="A184" s="6" t="str">
        <x:v>A0183</x:v>
      </x:c>
      <x:c r="B184" s="6" t="str">
        <x:v>2024-07-30</x:v>
      </x:c>
      <x:c r="C184" s="6" t="str">
        <x:v>2024</x:v>
      </x:c>
      <x:c r="D184" s="6" t="str">
        <x:v>2024-Q3</x:v>
      </x:c>
      <x:c r="E184" s="6" t="str">
        <x:v>First 50%</x:v>
      </x:c>
      <x:c r="F184" s="6" t="str">
        <x:v>Short</x:v>
      </x:c>
      <x:c r="G184" s="6" t="str">
        <x:v>Short</x:v>
      </x:c>
      <x:c r="H184" s="6" t="str">
        <x:v>Morning</x:v>
      </x:c>
      <x:c r="I184" s="6" t="str">
        <x:v>Morning</x:v>
      </x:c>
      <x:c r="J184" s="6" t="str">
        <x:v>Bear</x:v>
      </x:c>
      <x:c r="K184" s="6" t="str">
        <x:v>Bear</x:v>
      </x:c>
      <x:c r="L184" s="6" t="str">
        <x:v>HIGH</x:v>
      </x:c>
      <x:c r="M184" s="7" t="str">
        <x:v>2024-07-30 10:35:00-05:00</x:v>
      </x:c>
      <x:c r="N184" s="6" t="str">
        <x:v>75.0</x:v>
      </x:c>
      <x:c r="O184" s="6" t="str">
        <x:v>75-79</x:v>
      </x:c>
      <x:c r="P184" s="6" t="str">
        <x:v>Matching BOS only</x:v>
      </x:c>
      <x:c r="Q184" s="6" t="str">
        <x:v>Bear BOS</x:v>
      </x:c>
      <x:c r="R184" s="6" t="str">
        <x:v>True</x:v>
      </x:c>
      <x:c r="S184" s="6" t="str">
        <x:v>False</x:v>
      </x:c>
      <x:c r="T184" s="6" t="str">
        <x:v>No recent matching sweep</x:v>
      </x:c>
      <x:c r="U184" s="6" t="str">
        <x:v>None</x:v>
      </x:c>
      <x:c r="V184" s="6" t="str">
        <x:v>None</x:v>
      </x:c>
      <x:c r="W184" s="6" t="str">
        <x:v>[]</x:v>
      </x:c>
      <x:c r="X184" s="8" t="str">
        <x:v>0</x:v>
      </x:c>
      <x:c r="Y184" s="8" t="str"/>
      <x:c r="Z184" s="6" t="str">
        <x:v>None</x:v>
      </x:c>
      <x:c r="AA184" s="6" t="str">
        <x:v>18238.5</x:v>
      </x:c>
      <x:c r="AB184" s="9" t="str">
        <x:v>0.5487016345687777</x:v>
      </x:c>
      <x:c r="AC184" s="9" t="str">
        <x:v>1.2739968986539438</x:v>
      </x:c>
      <x:c r="AD184" s="9" t="str">
        <x:v>1.6461049037063333</x:v>
      </x:c>
      <x:c r="AE184" s="6" t="str">
        <x:v>With trade</x:v>
      </x:c>
      <x:c r="AF184" s="7" t="str">
        <x:v>2024-07-30 10:35:00-05:00</x:v>
      </x:c>
      <x:c r="AG184" s="6" t="str">
        <x:v>Short</x:v>
      </x:c>
      <x:c r="AH184" s="6" t="str">
        <x:v>18238.5</x:v>
      </x:c>
      <x:c r="AI184" s="8" t="str">
        <x:v>0</x:v>
      </x:c>
      <x:c r="AJ184" s="6" t="str">
        <x:v>True</x:v>
      </x:c>
      <x:c r="AK184" s="6" t="str">
        <x:v>Same-bar Setup+BOS</x:v>
      </x:c>
      <x:c r="AL184" s="9" t="str">
        <x:v>1.2613830679742017</x:v>
      </x:c>
      <x:c r="AM184" s="9" t="str">
        <x:v>0.5487016345687777</x:v>
      </x:c>
      <x:c r="AN184" s="9" t="str">
        <x:v>1.2739968986539438</x:v>
      </x:c>
      <x:c r="AO184" s="9" t="str">
        <x:v>1.6461049037063333</x:v>
      </x:c>
      <x:c r="AP184" s="10" t="str">
        <x:v>0.7739463601532567</x:v>
      </x:c>
      <x:c r="AQ184" s="6" t="str">
        <x:v>0.14559386973180077</x:v>
      </x:c>
      <x:c r="AR184" s="6" t="str">
        <x:v>0.08045977011494253</x:v>
      </x:c>
      <x:c r="AS184" s="6" t="str">
        <x:v>With trade</x:v>
      </x:c>
      <x:c r="AT184" s="6" t="str">
        <x:v>1.1315235798224457</x:v>
      </x:c>
      <x:c r="AU184" s="7" t="str">
        <x:v>2024-07-30 11:05:00-05:00</x:v>
      </x:c>
      <x:c r="AV184" s="8" t="str">
        <x:v>6</x:v>
      </x:c>
      <x:c r="AW184" s="6" t="str">
        <x:v>Delayed retest (2+ bars)</x:v>
      </x:c>
      <x:c r="AX184" s="6" t="str">
        <x:v>18235.75</x:v>
      </x:c>
      <x:c r="AY184" s="6" t="str">
        <x:v>0.0</x:v>
      </x:c>
      <x:c r="AZ184" s="9" t="str">
        <x:v>0.0</x:v>
      </x:c>
      <x:c r="BA184" s="9" t="str">
        <x:v>0.2182088021670083</x:v>
      </x:c>
      <x:c r="BB184" s="9" t="str">
        <x:v>1.1046820609704795</x:v>
      </x:c>
      <x:c r="BC184" s="9" t="str">
        <x:v>0.729635682245934</x:v>
      </x:c>
      <x:c r="BD184" s="6" t="str">
        <x:v>0.12962962962962962</x:v>
      </x:c>
      <x:c r="BE184" s="6" t="str">
        <x:v>0.20987654320987653</x:v>
      </x:c>
      <x:c r="BF184" s="9" t="str">
        <x:v>0.1431995264220992</x:v>
      </x:c>
      <x:c r="BG184" s="9" t="str">
        <x:v>0.2318468523024463</x:v>
      </x:c>
      <x:c r="BH184" s="6" t="str">
        <x:v>Against trade</x:v>
      </x:c>
      <x:c r="BI184" s="6" t="str">
        <x:v>Tolerance-only shallow touch</x:v>
      </x:c>
      <x:c r="BJ184" s="6" t="str">
        <x:v>True</x:v>
      </x:c>
      <x:c r="BK184" s="10" t="str">
        <x:v>False</x:v>
      </x:c>
      <x:c r="BL184" s="6" t="str">
        <x:v>True</x:v>
      </x:c>
      <x:c r="BM184" s="7" t="str">
        <x:v>2024-07-30 11:10:00-05:00</x:v>
      </x:c>
      <x:c r="BN184" s="8" t="str">
        <x:v>1</x:v>
      </x:c>
      <x:c r="BO184" s="6" t="str">
        <x:v>Immediate confirmation (1 bar)</x:v>
      </x:c>
      <x:c r="BP184" s="9" t="str">
        <x:v>0.3487044086842362</x:v>
      </x:c>
      <x:c r="BQ184" s="9" t="str">
        <x:v>0.7043829055421571</x:v>
      </x:c>
      <x:c r="BR184" s="10" t="str">
        <x:v>0.49504950495049505</x:v>
      </x:c>
      <x:c r="BS184" s="9" t="str">
        <x:v>0.5649011420684626</x:v>
      </x:c>
      <x:c r="BT184" s="9" t="str">
        <x:v>0.34173032051055147</x:v>
      </x:c>
      <x:c r="BU184" s="9" t="str">
        <x:v>0.06974088173684724</x:v>
      </x:c>
      <x:c r="BV184" s="6" t="str">
        <x:v>With trade</x:v>
      </x:c>
      <x:c r="BW184" s="7" t="str">
        <x:v>2024-07-30 11:10:00-05:00</x:v>
      </x:c>
      <x:c r="BX184" s="6" t="str">
        <x:v>18218.25</x:v>
      </x:c>
      <x:c r="BY184" s="9" t="str">
        <x:v>35.84698010319445</x:v>
      </x:c>
      <x:c r="BZ184" s="9" t="str">
        <x:v>0.86</x:v>
      </x:c>
      <x:c r="CA184" s="6" t="str">
        <x:v>18272.020470154792</x:v>
      </x:c>
      <x:c r="CB184" s="6" t="str">
        <x:v>53.77047015479184</x:v>
      </x:c>
      <x:c r="CC184" s="9" t="str">
        <x:v>1.5000000000000047</x:v>
      </x:c>
      <x:c r="CD184" s="6" t="str">
        <x:v>18110.709059690416</x:v>
      </x:c>
      <x:c r="CE184" s="6" t="str">
        <x:v>107.54094030958368</x:v>
      </x:c>
      <x:c r="CF184" s="6" t="str">
        <x:v>Fixed 2.00R target</x:v>
      </x:c>
      <x:c r="CG184" s="9" t="str">
        <x:v>0.013483237135790424</x:v>
      </x:c>
      <x:c r="CH184" s="9" t="str">
        <x:v>2.0</x:v>
      </x:c>
      <x:c r="CI184" s="9" t="str">
        <x:v>1.9865167628642095</x:v>
      </x:c>
      <x:c r="CJ184" s="6" t="str">
        <x:v>Win</x:v>
      </x:c>
      <x:c r="CK184" s="9" t="str">
        <x:v>2.11082402056857</x:v>
      </x:c>
      <x:c r="CL184" s="9" t="str">
        <x:v>0.13948176347369404</x:v>
      </x:c>
      <x:c r="CM184" s="7" t="str">
        <x:v>2024-07-30 11:50:00-05:00</x:v>
      </x:c>
      <x:c r="CN184" s="6" t="str">
        <x:v>18110.709059690416</x:v>
      </x:c>
      <x:c r="CO184" s="6" t="str">
        <x:v>TARGET</x:v>
      </x:c>
      <x:c r="CP184" s="6" t="str">
        <x:v>F::Short::Same-bar Setup+BOS::Tolerance-only shallow touch</x:v>
      </x:c>
    </x:row>
    <x:row r="185" ht="18" customHeight="1">
      <x:c r="A185" s="6" t="str">
        <x:v>A0184</x:v>
      </x:c>
      <x:c r="B185" s="6" t="str">
        <x:v>2024-07-31</x:v>
      </x:c>
      <x:c r="C185" s="6" t="str">
        <x:v>2024</x:v>
      </x:c>
      <x:c r="D185" s="6" t="str">
        <x:v>2024-Q3</x:v>
      </x:c>
      <x:c r="E185" s="6" t="str">
        <x:v>First 50%</x:v>
      </x:c>
      <x:c r="F185" s="6" t="str">
        <x:v>Long</x:v>
      </x:c>
      <x:c r="G185" s="6" t="str">
        <x:v>Long</x:v>
      </x:c>
      <x:c r="H185" s="6" t="str">
        <x:v>Midday</x:v>
      </x:c>
      <x:c r="I185" s="6" t="str">
        <x:v>Midday</x:v>
      </x:c>
      <x:c r="J185" s="6" t="str">
        <x:v>Bull</x:v>
      </x:c>
      <x:c r="K185" s="6" t="str">
        <x:v>Bull</x:v>
      </x:c>
      <x:c r="L185" s="6" t="str">
        <x:v>HIGH</x:v>
      </x:c>
      <x:c r="M185" s="7" t="str">
        <x:v>2024-07-31 13:30:00-05:00</x:v>
      </x:c>
      <x:c r="N185" s="6" t="str">
        <x:v>75.0</x:v>
      </x:c>
      <x:c r="O185" s="6" t="str">
        <x:v>75-79</x:v>
      </x:c>
      <x:c r="P185" s="6" t="str">
        <x:v>Matching BOS only</x:v>
      </x:c>
      <x:c r="Q185" s="6" t="str">
        <x:v>Bull CHoCH</x:v>
      </x:c>
      <x:c r="R185" s="6" t="str">
        <x:v>True</x:v>
      </x:c>
      <x:c r="S185" s="6" t="str">
        <x:v>False</x:v>
      </x:c>
      <x:c r="T185" s="6" t="str">
        <x:v>No recent matching sweep</x:v>
      </x:c>
      <x:c r="U185" s="6" t="str">
        <x:v>None</x:v>
      </x:c>
      <x:c r="V185" s="6" t="str">
        <x:v>None</x:v>
      </x:c>
      <x:c r="W185" s="6" t="str">
        <x:v>[]</x:v>
      </x:c>
      <x:c r="X185" s="8" t="str">
        <x:v>0</x:v>
      </x:c>
      <x:c r="Y185" s="8" t="str"/>
      <x:c r="Z185" s="6" t="str">
        <x:v>None</x:v>
      </x:c>
      <x:c r="AA185" s="6" t="str">
        <x:v>18742.25</x:v>
      </x:c>
      <x:c r="AB185" s="9" t="str">
        <x:v>0.7134874670604319</x:v>
      </x:c>
      <x:c r="AC185" s="9" t="str">
        <x:v>0.9436447144992808</x:v>
      </x:c>
      <x:c r="AD185" s="9" t="str">
        <x:v>1.687819814551559</x:v>
      </x:c>
      <x:c r="AE185" s="6" t="str">
        <x:v>With trade</x:v>
      </x:c>
      <x:c r="AF185" s="7" t="str">
        <x:v>2024-07-31 13:30:00-05:00</x:v>
      </x:c>
      <x:c r="AG185" s="6" t="str">
        <x:v>Long</x:v>
      </x:c>
      <x:c r="AH185" s="6" t="str">
        <x:v>18742.25</x:v>
      </x:c>
      <x:c r="AI185" s="8" t="str">
        <x:v>0</x:v>
      </x:c>
      <x:c r="AJ185" s="6" t="str">
        <x:v>True</x:v>
      </x:c>
      <x:c r="AK185" s="6" t="str">
        <x:v>Same-bar Setup+BOS</x:v>
      </x:c>
      <x:c r="AL185" s="9" t="str">
        <x:v>0.9513166227472424</x:v>
      </x:c>
      <x:c r="AM185" s="9" t="str">
        <x:v>0.7134874670604319</x:v>
      </x:c>
      <x:c r="AN185" s="9" t="str">
        <x:v>0.9436447144992808</x:v>
      </x:c>
      <x:c r="AO185" s="9" t="str">
        <x:v>1.687819814551559</x:v>
      </x:c>
      <x:c r="AP185" s="10" t="str">
        <x:v>0.5590909090909091</x:v>
      </x:c>
      <x:c r="AQ185" s="6" t="str">
        <x:v>0.4409090909090909</x:v>
      </x:c>
      <x:c r="AR185" s="6" t="str">
        <x:v>0.0</x:v>
      </x:c>
      <x:c r="AS185" s="6" t="str">
        <x:v>With trade</x:v>
      </x:c>
      <x:c r="AT185" s="6" t="str">
        <x:v>1.8704704935005176</x:v>
      </x:c>
      <x:c r="AU185" s="7" t="str">
        <x:v>2024-07-31 13:35:00-05:00</x:v>
      </x:c>
      <x:c r="AV185" s="8" t="str">
        <x:v>1</x:v>
      </x:c>
      <x:c r="AW185" s="6" t="str">
        <x:v>Immediate retest (1 bar)</x:v>
      </x:c>
      <x:c r="AX185" s="6" t="str">
        <x:v>18705.5</x:v>
      </x:c>
      <x:c r="AY185" s="6" t="str">
        <x:v>36.75</x:v>
      </x:c>
      <x:c r="AZ185" s="9" t="str">
        <x:v>1.0518817548363795</x:v>
      </x:c>
      <x:c r="BA185" s="9" t="str">
        <x:v>0.15742448031564862</x:v>
      </x:c>
      <x:c r="BB185" s="9" t="str">
        <x:v>1.8747824473954517</x:v>
      </x:c>
      <x:c r="BC185" s="9" t="str">
        <x:v>0.4364951499661166</x:v>
      </x:c>
      <x:c r="BD185" s="6" t="str">
        <x:v>0.12213740458015267</x:v>
      </x:c>
      <x:c r="BE185" s="6" t="str">
        <x:v>0.6450381679389313</x:v>
      </x:c>
      <x:c r="BF185" s="9" t="str">
        <x:v>1.209306235152028</x:v>
      </x:c>
      <x:c r="BG185" s="9" t="str">
        <x:v>0.22898106227730708</x:v>
      </x:c>
      <x:c r="BH185" s="6" t="str">
        <x:v>Against trade</x:v>
      </x:c>
      <x:c r="BI185" s="6" t="str">
        <x:v>Penetration + same-bar reclaim</x:v>
      </x:c>
      <x:c r="BJ185" s="6" t="str">
        <x:v>False</x:v>
      </x:c>
      <x:c r="BK185" s="10" t="str">
        <x:v>True</x:v>
      </x:c>
      <x:c r="BL185" s="6" t="str">
        <x:v>True</x:v>
      </x:c>
      <x:c r="BM185" s="7" t="str">
        <x:v>2024-07-31 13:40:00-05:00</x:v>
      </x:c>
      <x:c r="BN185" s="8" t="str">
        <x:v>1</x:v>
      </x:c>
      <x:c r="BO185" s="6" t="str">
        <x:v>Immediate confirmation (1 bar)</x:v>
      </x:c>
      <x:c r="BP185" s="9" t="str">
        <x:v>1.3981193056825123</x:v>
      </x:c>
      <x:c r="BQ185" s="9" t="str">
        <x:v>1.5488968778639598</x:v>
      </x:c>
      <x:c r="BR185" s="10" t="str">
        <x:v>0.9026548672566371</x:v>
      </x:c>
      <x:c r="BS185" s="9" t="str">
        <x:v>1.562603929880455</x:v>
      </x:c>
      <x:c r="BT185" s="9" t="str">
        <x:v>1.4118263576990076</x:v>
      </x:c>
      <x:c r="BU185" s="9" t="str">
        <x:v>0.061681734074228486</x:v>
      </x:c>
      <x:c r="BV185" s="6" t="str">
        <x:v>With trade</x:v>
      </x:c>
      <x:c r="BW185" s="7" t="str">
        <x:v>2024-07-31 13:40:00-05:00</x:v>
      </x:c>
      <x:c r="BX185" s="6" t="str">
        <x:v>18799.25</x:v>
      </x:c>
      <x:c r="BY185" s="9" t="str">
        <x:v>36.47757368968137</x:v>
      </x:c>
      <x:c r="BZ185" s="9" t="str">
        <x:v>1.0</x:v>
      </x:c>
      <x:c r="CA185" s="6" t="str">
        <x:v>18744.533639465477</x:v>
      </x:c>
      <x:c r="CB185" s="6" t="str">
        <x:v>54.71636053452312</x:v>
      </x:c>
      <x:c r="CC185" s="9" t="str">
        <x:v>1.500000000000029</x:v>
      </x:c>
      <x:c r="CD185" s="6" t="str">
        <x:v>18908.682721069043</x:v>
      </x:c>
      <x:c r="CE185" s="6" t="str">
        <x:v>109.4327210690426</x:v>
      </x:c>
      <x:c r="CF185" s="6" t="str">
        <x:v>Fixed 2.00R target</x:v>
      </x:c>
      <x:c r="CG185" s="9" t="str">
        <x:v>0.013250150282611789</x:v>
      </x:c>
      <x:c r="CH185" s="9" t="str">
        <x:v>-1.0</x:v>
      </x:c>
      <x:c r="CI185" s="9" t="str">
        <x:v>-1.013250150282612</x:v>
      </x:c>
      <x:c r="CJ185" s="6" t="str">
        <x:v>Loss</x:v>
      </x:c>
      <x:c r="CK185" s="9" t="str">
        <x:v>0.667076531469421</x:v>
      </x:c>
      <x:c r="CL185" s="9" t="str">
        <x:v>1.2016515601127242</x:v>
      </x:c>
      <x:c r="CM185" s="7" t="str">
        <x:v>2024-07-31 14:15:00-05:00</x:v>
      </x:c>
      <x:c r="CN185" s="6" t="str">
        <x:v>18744.533639465477</x:v>
      </x:c>
      <x:c r="CO185" s="6" t="str">
        <x:v>STOP</x:v>
      </x:c>
      <x:c r="CP185" s="6" t="str">
        <x:v>F::Long::Same-bar Setup+BOS::Penetration + same-bar reclaim</x:v>
      </x:c>
    </x:row>
    <x:row r="186" ht="18" customHeight="1">
      <x:c r="A186" s="6" t="str">
        <x:v>A0185</x:v>
      </x:c>
      <x:c r="B186" s="6" t="str">
        <x:v>2024-08-01</x:v>
      </x:c>
      <x:c r="C186" s="6" t="str">
        <x:v>2024</x:v>
      </x:c>
      <x:c r="D186" s="6" t="str">
        <x:v>2024-Q3</x:v>
      </x:c>
      <x:c r="E186" s="6" t="str">
        <x:v>First 50%</x:v>
      </x:c>
      <x:c r="F186" s="6" t="str">
        <x:v>Short</x:v>
      </x:c>
      <x:c r="G186" s="6" t="str">
        <x:v>Short</x:v>
      </x:c>
      <x:c r="H186" s="6" t="str">
        <x:v>Premarket</x:v>
      </x:c>
      <x:c r="I186" s="6" t="str">
        <x:v>Premarket</x:v>
      </x:c>
      <x:c r="J186" s="6" t="str">
        <x:v>Bull</x:v>
      </x:c>
      <x:c r="K186" s="6" t="str">
        <x:v>Bull</x:v>
      </x:c>
      <x:c r="L186" s="6" t="str">
        <x:v>HIGH</x:v>
      </x:c>
      <x:c r="M186" s="7" t="str">
        <x:v>2024-08-01 08:05:00-05:00</x:v>
      </x:c>
      <x:c r="N186" s="6" t="str">
        <x:v>90.0</x:v>
      </x:c>
      <x:c r="O186" s="6" t="str">
        <x:v>90-94</x:v>
      </x:c>
      <x:c r="P186" s="6" t="str">
        <x:v>Matching BOS only</x:v>
      </x:c>
      <x:c r="Q186" s="6" t="str">
        <x:v>Bear CHoCH</x:v>
      </x:c>
      <x:c r="R186" s="6" t="str">
        <x:v>True</x:v>
      </x:c>
      <x:c r="S186" s="6" t="str">
        <x:v>False</x:v>
      </x:c>
      <x:c r="T186" s="6" t="str">
        <x:v>Recent BSL</x:v>
      </x:c>
      <x:c r="U186" s="6" t="str">
        <x:v>BSL</x:v>
      </x:c>
      <x:c r="V186" s="6" t="str">
        <x:v>Swing high / buy-side</x:v>
      </x:c>
      <x:c r="W186" s="6" t="str">
        <x:v>[18894.5]</x:v>
      </x:c>
      <x:c r="X186" s="8" t="str">
        <x:v>1</x:v>
      </x:c>
      <x:c r="Y186" s="8" t="str">
        <x:v>7.0</x:v>
      </x:c>
      <x:c r="Z186" s="6" t="str">
        <x:v>None</x:v>
      </x:c>
      <x:c r="AA186" s="6" t="str">
        <x:v>18829.5</x:v>
      </x:c>
      <x:c r="AB186" s="9" t="str">
        <x:v>0.23380566193265656</x:v>
      </x:c>
      <x:c r="AC186" s="9" t="str">
        <x:v>1.4251011774942874</x:v>
      </x:c>
      <x:c r="AD186" s="9" t="str">
        <x:v>2.015182133800516</x:v>
      </x:c>
      <x:c r="AE186" s="6" t="str">
        <x:v>With trade</x:v>
      </x:c>
      <x:c r="AF186" s="7" t="str">
        <x:v>2024-08-01 08:05:00-05:00</x:v>
      </x:c>
      <x:c r="AG186" s="6" t="str">
        <x:v>Short</x:v>
      </x:c>
      <x:c r="AH186" s="6" t="str">
        <x:v>18829.5</x:v>
      </x:c>
      <x:c r="AI186" s="8" t="str">
        <x:v>0</x:v>
      </x:c>
      <x:c r="AJ186" s="6" t="str">
        <x:v>True</x:v>
      </x:c>
      <x:c r="AK186" s="6" t="str">
        <x:v>Same-bar Setup+BOS</x:v>
      </x:c>
      <x:c r="AL186" s="9" t="str">
        <x:v>1.4362347804434616</x:v>
      </x:c>
      <x:c r="AM186" s="9" t="str">
        <x:v>0.23380566193265656</x:v>
      </x:c>
      <x:c r="AN186" s="9" t="str">
        <x:v>1.4251011774942874</x:v>
      </x:c>
      <x:c r="AO186" s="9" t="str">
        <x:v>2.015182133800516</x:v>
      </x:c>
      <x:c r="AP186" s="10" t="str">
        <x:v>0.7071823204419889</x:v>
      </x:c>
      <x:c r="AQ186" s="6" t="str">
        <x:v>0.10497237569060773</x:v>
      </x:c>
      <x:c r="AR186" s="6" t="str">
        <x:v>0.1878453038674033</x:v>
      </x:c>
      <x:c r="AS186" s="6" t="str">
        <x:v>With trade</x:v>
      </x:c>
      <x:c r="AT186" s="6" t="str">
        <x:v>2.44674419431701</x:v>
      </x:c>
      <x:c r="AU186" s="7" t="str">
        <x:v>2024-08-01 08:10:00-05:00</x:v>
      </x:c>
      <x:c r="AV186" s="8" t="str">
        <x:v>1</x:v>
      </x:c>
      <x:c r="AW186" s="6" t="str">
        <x:v>Immediate retest (1 bar)</x:v>
      </x:c>
      <x:c r="AX186" s="6" t="str">
        <x:v>18829.0</x:v>
      </x:c>
      <x:c r="AY186" s="6" t="str">
        <x:v>0.0</x:v>
      </x:c>
      <x:c r="AZ186" s="9" t="str">
        <x:v>0.0</x:v>
      </x:c>
      <x:c r="BA186" s="9" t="str">
        <x:v>0.5825545026934068</x:v>
      </x:c>
      <x:c r="BB186" s="9" t="str">
        <x:v>0.6625129638474039</x:v>
      </x:c>
      <x:c r="BC186" s="9" t="str">
        <x:v>0.33125648192370194</x:v>
      </x:c>
      <x:c r="BD186" s="6" t="str">
        <x:v>0.3448275862068966</x:v>
      </x:c>
      <x:c r="BE186" s="6" t="str">
        <x:v>0.15517241379310345</x:v>
      </x:c>
      <x:c r="BF186" s="9" t="str">
        <x:v>0.2284527461542772</x:v>
      </x:c>
      <x:c r="BG186" s="9" t="str">
        <x:v>0.10280373576942473</x:v>
      </x:c>
      <x:c r="BH186" s="6" t="str">
        <x:v>With trade</x:v>
      </x:c>
      <x:c r="BI186" s="6" t="str">
        <x:v>Tolerance-only shallow touch</x:v>
      </x:c>
      <x:c r="BJ186" s="6" t="str">
        <x:v>True</x:v>
      </x:c>
      <x:c r="BK186" s="10" t="str">
        <x:v>False</x:v>
      </x:c>
      <x:c r="BL186" s="6" t="str">
        <x:v>True</x:v>
      </x:c>
      <x:c r="BM186" s="7" t="str">
        <x:v>2024-08-01 08:15:00-05:00</x:v>
      </x:c>
      <x:c r="BN186" s="8" t="str">
        <x:v>1</x:v>
      </x:c>
      <x:c r="BO186" s="6" t="str">
        <x:v>Immediate confirmation (1 bar)</x:v>
      </x:c>
      <x:c r="BP186" s="9" t="str">
        <x:v>0.868672239689707</x:v>
      </x:c>
      <x:c r="BQ186" s="9" t="str">
        <x:v>1.3252820067060913</x:v>
      </x:c>
      <x:c r="BR186" s="10" t="str">
        <x:v>0.6554621848739496</x:v>
      </x:c>
      <x:c r="BS186" s="9" t="str">
        <x:v>1.4366502425637462</x:v>
      </x:c>
      <x:c r="BT186" s="9" t="str">
        <x:v>0.868672239689707</x:v>
      </x:c>
      <x:c r="BU186" s="9" t="str">
        <x:v>0.22273647171530947</x:v>
      </x:c>
      <x:c r="BV186" s="6" t="str">
        <x:v>With trade</x:v>
      </x:c>
      <x:c r="BW186" s="7" t="str">
        <x:v>2024-08-01 08:15:00-05:00</x:v>
      </x:c>
      <x:c r="BX186" s="6" t="str">
        <x:v>18797.25</x:v>
      </x:c>
      <x:c r="BY186" s="9" t="str">
        <x:v>22.448052451826335</x:v>
      </x:c>
      <x:c r="BZ186" s="9" t="str">
        <x:v>0.77</x:v>
      </x:c>
      <x:c r="CA186" s="6" t="str">
        <x:v>18830.92207867774</x:v>
      </x:c>
      <x:c r="CB186" s="6" t="str">
        <x:v>33.6720786777405</x:v>
      </x:c>
      <x:c r="CC186" s="9" t="str">
        <x:v>1.5000000000000444</x:v>
      </x:c>
      <x:c r="CD186" s="6" t="str">
        <x:v>18729.905842644523</x:v>
      </x:c>
      <x:c r="CE186" s="6" t="str">
        <x:v>67.34415735547736</x:v>
      </x:c>
      <x:c r="CF186" s="6" t="str">
        <x:v>Fixed 2.00R target</x:v>
      </x:c>
      <x:c r="CG186" s="9" t="str">
        <x:v>0.021531192265812613</x:v>
      </x:c>
      <x:c r="CH186" s="9" t="str">
        <x:v>-1.0</x:v>
      </x:c>
      <x:c r="CI186" s="9" t="str">
        <x:v>-1.0215311922658126</x:v>
      </x:c>
      <x:c r="CJ186" s="6" t="str">
        <x:v>Loss</x:v>
      </x:c>
      <x:c r="CK186" s="9" t="str">
        <x:v>0.8835213378040347</x:v>
      </x:c>
      <x:c r="CL186" s="9" t="str">
        <x:v>1.03201231894757</x:v>
      </x:c>
      <x:c r="CM186" s="7" t="str">
        <x:v>2024-08-01 08:35:00-05:00</x:v>
      </x:c>
      <x:c r="CN186" s="6" t="str">
        <x:v>18830.92207867774</x:v>
      </x:c>
      <x:c r="CO186" s="6" t="str">
        <x:v>STOP</x:v>
      </x:c>
      <x:c r="CP186" s="6" t="str">
        <x:v>F::Short::Same-bar Setup+BOS::Tolerance-only shallow touch</x:v>
      </x:c>
    </x:row>
    <x:row r="187" ht="18" customHeight="1">
      <x:c r="A187" s="6" t="str">
        <x:v>A0186</x:v>
      </x:c>
      <x:c r="B187" s="6" t="str">
        <x:v>2024-08-01</x:v>
      </x:c>
      <x:c r="C187" s="6" t="str">
        <x:v>2024</x:v>
      </x:c>
      <x:c r="D187" s="6" t="str">
        <x:v>2024-Q3</x:v>
      </x:c>
      <x:c r="E187" s="6" t="str">
        <x:v>First 50%</x:v>
      </x:c>
      <x:c r="F187" s="6" t="str">
        <x:v>Short</x:v>
      </x:c>
      <x:c r="G187" s="6" t="str">
        <x:v>Short</x:v>
      </x:c>
      <x:c r="H187" s="6" t="str">
        <x:v>Opening</x:v>
      </x:c>
      <x:c r="I187" s="6" t="str">
        <x:v>Premarket</x:v>
      </x:c>
      <x:c r="J187" s="6" t="str">
        <x:v>Bull</x:v>
      </x:c>
      <x:c r="K187" s="6" t="str">
        <x:v>Bull</x:v>
      </x:c>
      <x:c r="L187" s="6" t="str">
        <x:v>HIGH</x:v>
      </x:c>
      <x:c r="M187" s="7" t="str">
        <x:v>2024-08-01 09:20:00-05:00</x:v>
      </x:c>
      <x:c r="N187" s="6" t="str">
        <x:v>75.0</x:v>
      </x:c>
      <x:c r="O187" s="6" t="str">
        <x:v>75-79</x:v>
      </x:c>
      <x:c r="P187" s="6" t="str">
        <x:v>Matching BOS only</x:v>
      </x:c>
      <x:c r="Q187" s="6" t="str">
        <x:v>Bear CHoCH</x:v>
      </x:c>
      <x:c r="R187" s="6" t="str">
        <x:v>True</x:v>
      </x:c>
      <x:c r="S187" s="6" t="str">
        <x:v>False</x:v>
      </x:c>
      <x:c r="T187" s="6" t="str">
        <x:v>Recent BSL</x:v>
      </x:c>
      <x:c r="U187" s="6" t="str">
        <x:v>BSL</x:v>
      </x:c>
      <x:c r="V187" s="6" t="str">
        <x:v>Swing high / buy-side</x:v>
      </x:c>
      <x:c r="W187" s="6" t="str">
        <x:v>[18924.75,18923.0]</x:v>
      </x:c>
      <x:c r="X187" s="8" t="str">
        <x:v>2</x:v>
      </x:c>
      <x:c r="Y187" s="8" t="str">
        <x:v>7.0</x:v>
      </x:c>
      <x:c r="Z187" s="6" t="str">
        <x:v>None</x:v>
      </x:c>
      <x:c r="AA187" s="6" t="str">
        <x:v>18767.5</x:v>
      </x:c>
      <x:c r="AB187" s="9" t="str">
        <x:v>0.02197375615067744</x:v>
      </x:c>
      <x:c r="AC187" s="9" t="str">
        <x:v>0.8295092946880733</x:v>
      </x:c>
      <x:c r="AD187" s="9" t="str">
        <x:v>1.9556642974102922</x:v>
      </x:c>
      <x:c r="AE187" s="6" t="str">
        <x:v>With trade</x:v>
      </x:c>
      <x:c r="AF187" s="7" t="str">
        <x:v>2024-08-01 09:20:00-05:00</x:v>
      </x:c>
      <x:c r="AG187" s="6" t="str">
        <x:v>Short</x:v>
      </x:c>
      <x:c r="AH187" s="6" t="str">
        <x:v>18767.5</x:v>
      </x:c>
      <x:c r="AI187" s="8" t="str">
        <x:v>0</x:v>
      </x:c>
      <x:c r="AJ187" s="6" t="str">
        <x:v>True</x:v>
      </x:c>
      <x:c r="AK187" s="6" t="str">
        <x:v>Same-bar Setup+BOS</x:v>
      </x:c>
      <x:c r="AL187" s="9" t="str">
        <x:v>0.8130289775750653</x:v>
      </x:c>
      <x:c r="AM187" s="9" t="str">
        <x:v>0.02197375615067744</x:v>
      </x:c>
      <x:c r="AN187" s="9" t="str">
        <x:v>0.8295092946880733</x:v>
      </x:c>
      <x:c r="AO187" s="9" t="str">
        <x:v>1.9556642974102922</x:v>
      </x:c>
      <x:c r="AP187" s="10" t="str">
        <x:v>0.4241573033707865</x:v>
      </x:c>
      <x:c r="AQ187" s="6" t="str">
        <x:v>0.10393258426966293</x:v>
      </x:c>
      <x:c r="AR187" s="6" t="str">
        <x:v>0.47191011235955055</x:v>
      </x:c>
      <x:c r="AS187" s="6" t="str">
        <x:v>With trade</x:v>
      </x:c>
      <x:c r="AT187" s="6" t="str">
        <x:v>2.0662655906089507</x:v>
      </x:c>
      <x:c r="AU187" s="7" t="str">
        <x:v>2024-08-01 09:25:00-05:00</x:v>
      </x:c>
      <x:c r="AV187" s="8" t="str">
        <x:v>1</x:v>
      </x:c>
      <x:c r="AW187" s="6" t="str">
        <x:v>Immediate retest (1 bar)</x:v>
      </x:c>
      <x:c r="AX187" s="6" t="str">
        <x:v>18776.75</x:v>
      </x:c>
      <x:c r="AY187" s="6" t="str">
        <x:v>9.25</x:v>
      </x:c>
      <x:c r="AZ187" s="9" t="str">
        <x:v>0.1959553515430907</x:v>
      </x:c>
      <x:c r="BA187" s="9" t="str">
        <x:v>1.2445812868277382</x:v>
      </x:c>
      <x:c r="BB187" s="9" t="str">
        <x:v>1.4670170912820575</x:v>
      </x:c>
      <x:c r="BC187" s="9" t="str">
        <x:v>1.2445812868277382</x:v>
      </x:c>
      <x:c r="BD187" s="6" t="str">
        <x:v>0.13357400722021662</x:v>
      </x:c>
      <x:c r="BE187" s="6" t="str">
        <x:v>0.018050541516245487</x:v>
      </x:c>
      <x:c r="BF187" s="9" t="str">
        <x:v>0.1959553515430907</x:v>
      </x:c>
      <x:c r="BG187" s="9" t="str">
        <x:v>0.026480452911228473</x:v>
      </x:c>
      <x:c r="BH187" s="6" t="str">
        <x:v>With trade</x:v>
      </x:c>
      <x:c r="BI187" s="6" t="str">
        <x:v>Penetration + same-bar reclaim</x:v>
      </x:c>
      <x:c r="BJ187" s="6" t="str">
        <x:v>False</x:v>
      </x:c>
      <x:c r="BK187" s="10" t="str">
        <x:v>True</x:v>
      </x:c>
      <x:c r="BL187" s="6" t="str">
        <x:v>True</x:v>
      </x:c>
      <x:c r="BM187" s="7" t="str">
        <x:v>2024-08-01 09:35:00-05:00</x:v>
      </x:c>
      <x:c r="BN187" s="8" t="str">
        <x:v>2</x:v>
      </x:c>
      <x:c r="BO187" s="6" t="str">
        <x:v>Delayed confirmation (2+ bars)</x:v>
      </x:c>
      <x:c r="BP187" s="9" t="str">
        <x:v>0.5440654648228579</x:v>
      </x:c>
      <x:c r="BQ187" s="9" t="str">
        <x:v>1.2176703260321107</x:v>
      </x:c>
      <x:c r="BR187" s="10" t="str">
        <x:v>0.44680851063829785</x:v>
      </x:c>
      <x:c r="BS187" s="9" t="str">
        <x:v>1.4093886326839749</x:v>
      </x:c>
      <x:c r="BT187" s="9" t="str">
        <x:v>0.19171830665186423</x:v>
      </x:c>
      <x:c r="BU187" s="9" t="str">
        <x:v>0.036271030988190525</x:v>
      </x:c>
      <x:c r="BV187" s="6" t="str">
        <x:v>With trade</x:v>
      </x:c>
      <x:c r="BW187" s="7" t="str">
        <x:v>2024-08-01 09:35:00-05:00</x:v>
      </x:c>
      <x:c r="BX187" s="6" t="str">
        <x:v>18699.5</x:v>
      </x:c>
      <x:c r="BY187" s="9" t="str">
        <x:v>48.2478703340355</x:v>
      </x:c>
      <x:c r="BZ187" s="9" t="str">
        <x:v>1.0</x:v>
      </x:c>
      <x:c r="CA187" s="6" t="str">
        <x:v>18771.871805501054</x:v>
      </x:c>
      <x:c r="CB187" s="6" t="str">
        <x:v>72.37180550105404</x:v>
      </x:c>
      <x:c r="CC187" s="9" t="str">
        <x:v>1.5000000000000164</x:v>
      </x:c>
      <x:c r="CD187" s="6" t="str">
        <x:v>18554.756388997892</x:v>
      </x:c>
      <x:c r="CE187" s="6" t="str">
        <x:v>144.74361100210808</x:v>
      </x:c>
      <x:c r="CF187" s="6" t="str">
        <x:v>Fixed 2.00R target</x:v>
      </x:c>
      <x:c r="CG187" s="9" t="str">
        <x:v>0.01001771332054775</x:v>
      </x:c>
      <x:c r="CH187" s="9" t="str">
        <x:v>2.0</x:v>
      </x:c>
      <x:c r="CI187" s="9" t="str">
        <x:v>1.9899822866794523</x:v>
      </x:c>
      <x:c r="CJ187" s="6" t="str">
        <x:v>Win</x:v>
      </x:c>
      <x:c r="CK187" s="9" t="str">
        <x:v>2.248803921267788</x:v>
      </x:c>
      <x:c r="CL187" s="9" t="str">
        <x:v>0.1381753561454862</x:v>
      </x:c>
      <x:c r="CM187" s="7" t="str">
        <x:v>2024-08-01 10:00:00-05:00</x:v>
      </x:c>
      <x:c r="CN187" s="6" t="str">
        <x:v>18554.756388997892</x:v>
      </x:c>
      <x:c r="CO187" s="6" t="str">
        <x:v>TARGET</x:v>
      </x:c>
      <x:c r="CP187" s="6" t="str">
        <x:v>F::Short::Same-bar Setup+BOS::Penetration + same-bar reclaim</x:v>
      </x:c>
    </x:row>
    <x:row r="188" ht="18" customHeight="1">
      <x:c r="A188" s="6" t="str">
        <x:v>A0187</x:v>
      </x:c>
      <x:c r="B188" s="6" t="str">
        <x:v>2024-08-02</x:v>
      </x:c>
      <x:c r="C188" s="6" t="str">
        <x:v>2024</x:v>
      </x:c>
      <x:c r="D188" s="6" t="str">
        <x:v>2024-Q3</x:v>
      </x:c>
      <x:c r="E188" s="6" t="str">
        <x:v>First 50%</x:v>
      </x:c>
      <x:c r="F188" s="6" t="str">
        <x:v>Short</x:v>
      </x:c>
      <x:c r="G188" s="6" t="str">
        <x:v>Short</x:v>
      </x:c>
      <x:c r="H188" s="6" t="str">
        <x:v>Premarket</x:v>
      </x:c>
      <x:c r="I188" s="6" t="str">
        <x:v>Premarket</x:v>
      </x:c>
      <x:c r="J188" s="6" t="str">
        <x:v>Bear</x:v>
      </x:c>
      <x:c r="K188" s="6" t="str">
        <x:v>Bear</x:v>
      </x:c>
      <x:c r="L188" s="6" t="str">
        <x:v>HIGH</x:v>
      </x:c>
      <x:c r="M188" s="7" t="str">
        <x:v>2024-08-02 07:30:00-05:00</x:v>
      </x:c>
      <x:c r="N188" s="6" t="str">
        <x:v>90.0</x:v>
      </x:c>
      <x:c r="O188" s="6" t="str">
        <x:v>90-94</x:v>
      </x:c>
      <x:c r="P188" s="6" t="str">
        <x:v>Matching BOS + liquidity sweep</x:v>
      </x:c>
      <x:c r="Q188" s="6" t="str">
        <x:v>Bear BOS</x:v>
      </x:c>
      <x:c r="R188" s="6" t="str">
        <x:v>True</x:v>
      </x:c>
      <x:c r="S188" s="6" t="str">
        <x:v>True</x:v>
      </x:c>
      <x:c r="T188" s="6" t="str">
        <x:v>Recent BSL</x:v>
      </x:c>
      <x:c r="U188" s="6" t="str">
        <x:v>BSL</x:v>
      </x:c>
      <x:c r="V188" s="6" t="str">
        <x:v>Swing high / buy-side</x:v>
      </x:c>
      <x:c r="W188" s="6" t="str">
        <x:v>[18003.0]</x:v>
      </x:c>
      <x:c r="X188" s="8" t="str">
        <x:v>1</x:v>
      </x:c>
      <x:c r="Y188" s="8" t="str">
        <x:v>0.0</x:v>
      </x:c>
      <x:c r="Z188" s="6" t="str">
        <x:v>Sweep above CRT reference</x:v>
      </x:c>
      <x:c r="AA188" s="6" t="str">
        <x:v>17931.75</x:v>
      </x:c>
      <x:c r="AB188" s="9" t="str">
        <x:v>2.98213112752753</x:v>
      </x:c>
      <x:c r="AC188" s="9" t="str">
        <x:v>4.044350400828265</x:v>
      </x:c>
      <x:c r="AD188" s="9" t="str">
        <x:v>5.838907185535098</x:v>
      </x:c>
      <x:c r="AE188" s="6" t="str">
        <x:v>With trade</x:v>
      </x:c>
      <x:c r="AF188" s="7" t="str">
        <x:v>2024-08-02 07:30:00-05:00</x:v>
      </x:c>
      <x:c r="AG188" s="6" t="str">
        <x:v>Short</x:v>
      </x:c>
      <x:c r="AH188" s="6" t="str">
        <x:v>17931.75</x:v>
      </x:c>
      <x:c r="AI188" s="8" t="str">
        <x:v>0</x:v>
      </x:c>
      <x:c r="AJ188" s="6" t="str">
        <x:v>True</x:v>
      </x:c>
      <x:c r="AK188" s="6" t="str">
        <x:v>Same-bar Setup+BOS</x:v>
      </x:c>
      <x:c r="AL188" s="9" t="str">
        <x:v>3.833226073215697</x:v>
      </x:c>
      <x:c r="AM188" s="9" t="str">
        <x:v>2.98213112752753</x:v>
      </x:c>
      <x:c r="AN188" s="9" t="str">
        <x:v>4.044350400828265</x:v>
      </x:c>
      <x:c r="AO188" s="9" t="str">
        <x:v>5.838907185535098</x:v>
      </x:c>
      <x:c r="AP188" s="10" t="str">
        <x:v>0.6926553672316385</x:v>
      </x:c>
      <x:c r="AQ188" s="6" t="str">
        <x:v>0.23502824858757063</x:v>
      </x:c>
      <x:c r="AR188" s="6" t="str">
        <x:v>0.07231638418079096</x:v>
      </x:c>
      <x:c r="AS188" s="6" t="str">
        <x:v>With trade</x:v>
      </x:c>
      <x:c r="AT188" s="6" t="str">
        <x:v>15.025529548556696</x:v>
      </x:c>
      <x:c r="AU188" s="7" t="str">
        <x:v>2024-08-02 08:15:00-05:00</x:v>
      </x:c>
      <x:c r="AV188" s="8" t="str">
        <x:v>9</x:v>
      </x:c>
      <x:c r="AW188" s="6" t="str">
        <x:v>Delayed retest (2+ bars)</x:v>
      </x:c>
      <x:c r="AX188" s="6" t="str">
        <x:v>17932.5</x:v>
      </x:c>
      <x:c r="AY188" s="6" t="str">
        <x:v>0.75</x:v>
      </x:c>
      <x:c r="AZ188" s="9" t="str">
        <x:v>0.01626260347284986</x:v>
      </x:c>
      <x:c r="BA188" s="9" t="str">
        <x:v>0.35235640857841366</x:v>
      </x:c>
      <x:c r="BB188" s="9" t="str">
        <x:v>1.1004361683295072</x:v>
      </x:c>
      <x:c r="BC188" s="9" t="str">
        <x:v>0.5800328571983118</x:v>
      </x:c>
      <x:c r="BD188" s="6" t="str">
        <x:v>0.33497536945812806</x:v>
      </x:c>
      <x:c r="BE188" s="6" t="str">
        <x:v>0.13793103448275862</x:v>
      </x:c>
      <x:c r="BF188" s="9" t="str">
        <x:v>0.3686190120512635</x:v>
      </x:c>
      <x:c r="BG188" s="9" t="str">
        <x:v>0.15178429907993204</x:v>
      </x:c>
      <x:c r="BH188" s="6" t="str">
        <x:v>Against trade</x:v>
      </x:c>
      <x:c r="BI188" s="6" t="str">
        <x:v>Penetration + same-bar reclaim</x:v>
      </x:c>
      <x:c r="BJ188" s="6" t="str">
        <x:v>False</x:v>
      </x:c>
      <x:c r="BK188" s="10" t="str">
        <x:v>True</x:v>
      </x:c>
      <x:c r="BL188" s="6" t="str">
        <x:v>True</x:v>
      </x:c>
      <x:c r="BM188" s="7" t="str">
        <x:v>2024-08-02 08:20:00-05:00</x:v>
      </x:c>
      <x:c r="BN188" s="8" t="str">
        <x:v>1</x:v>
      </x:c>
      <x:c r="BO188" s="6" t="str">
        <x:v>Immediate confirmation (1 bar)</x:v>
      </x:c>
      <x:c r="BP188" s="9" t="str">
        <x:v>0.0781144134974804</x:v>
      </x:c>
      <x:c r="BQ188" s="9" t="str">
        <x:v>0.6193357070157375</x:v>
      </x:c>
      <x:c r="BR188" s="10" t="str">
        <x:v>0.12612612612612611</x:v>
      </x:c>
      <x:c r="BS188" s="9" t="str">
        <x:v>0.45752727905667095</x:v>
      </x:c>
      <x:c r="BT188" s="9" t="str">
        <x:v>0.09485321638979763</x:v>
      </x:c>
      <x:c r="BU188" s="9" t="str">
        <x:v>0.1562288269949608</x:v>
      </x:c>
      <x:c r="BV188" s="6" t="str">
        <x:v>With trade</x:v>
      </x:c>
      <x:c r="BW188" s="7" t="str">
        <x:v>2024-08-02 08:20:00-05:00</x:v>
      </x:c>
      <x:c r="BX188" s="6" t="str">
        <x:v>17911.25</x:v>
      </x:c>
      <x:c r="BY188" s="9" t="str">
        <x:v>44.80607154674333</x:v>
      </x:c>
      <x:c r="BZ188" s="9" t="str">
        <x:v>0.94</x:v>
      </x:c>
      <x:c r="CA188" s="6" t="str">
        <x:v>17978.459107320115</x:v>
      </x:c>
      <x:c r="CB188" s="6" t="str">
        <x:v>67.20910732011544</x:v>
      </x:c>
      <x:c r="CC188" s="9" t="str">
        <x:v>1.5000000000000098</x:v>
      </x:c>
      <x:c r="CD188" s="6" t="str">
        <x:v>17776.83178535977</x:v>
      </x:c>
      <x:c r="CE188" s="6" t="str">
        <x:v>134.41821464023087</x:v>
      </x:c>
      <x:c r="CF188" s="6" t="str">
        <x:v>Fixed 2.00R target</x:v>
      </x:c>
      <x:c r="CG188" s="9" t="str">
        <x:v>0.010787228530604367</x:v>
      </x:c>
      <x:c r="CH188" s="9" t="str">
        <x:v>-1.0</x:v>
      </x:c>
      <x:c r="CI188" s="9" t="str">
        <x:v>-1.0107872285306043</x:v>
      </x:c>
      <x:c r="CJ188" s="6" t="str">
        <x:v>Loss</x:v>
      </x:c>
      <x:c r="CK188" s="9" t="str">
        <x:v>1.588326407782091</x:v>
      </x:c>
      <x:c r="CL188" s="9" t="str">
        <x:v>1.0675636511322253</x:v>
      </x:c>
      <x:c r="CM188" s="7" t="str">
        <x:v>2024-08-02 08:35:00-05:00</x:v>
      </x:c>
      <x:c r="CN188" s="6" t="str">
        <x:v>17978.459107320115</x:v>
      </x:c>
      <x:c r="CO188" s="6" t="str">
        <x:v>STOP</x:v>
      </x:c>
      <x:c r="CP188" s="6" t="str">
        <x:v>F::Short::Same-bar Setup+BOS::Penetration + same-bar reclaim</x:v>
      </x:c>
    </x:row>
    <x:row r="189" ht="18" customHeight="1">
      <x:c r="A189" s="6" t="str">
        <x:v>A0188</x:v>
      </x:c>
      <x:c r="B189" s="6" t="str">
        <x:v>2024-08-02</x:v>
      </x:c>
      <x:c r="C189" s="6" t="str">
        <x:v>2024</x:v>
      </x:c>
      <x:c r="D189" s="6" t="str">
        <x:v>2024-Q3</x:v>
      </x:c>
      <x:c r="E189" s="6" t="str">
        <x:v>First 50%</x:v>
      </x:c>
      <x:c r="F189" s="6" t="str">
        <x:v>Short</x:v>
      </x:c>
      <x:c r="G189" s="6" t="str">
        <x:v>Short</x:v>
      </x:c>
      <x:c r="H189" s="6" t="str">
        <x:v>Opening</x:v>
      </x:c>
      <x:c r="I189" s="6" t="str">
        <x:v>Premarket</x:v>
      </x:c>
      <x:c r="J189" s="6" t="str">
        <x:v>Bear</x:v>
      </x:c>
      <x:c r="K189" s="6" t="str">
        <x:v>Bear</x:v>
      </x:c>
      <x:c r="L189" s="6" t="str">
        <x:v>HIGH</x:v>
      </x:c>
      <x:c r="M189" s="7" t="str">
        <x:v>2024-08-02 09:05:00-05:00</x:v>
      </x:c>
      <x:c r="N189" s="6" t="str">
        <x:v>75.0</x:v>
      </x:c>
      <x:c r="O189" s="6" t="str">
        <x:v>75-79</x:v>
      </x:c>
      <x:c r="P189" s="6" t="str">
        <x:v>Matching BOS only</x:v>
      </x:c>
      <x:c r="Q189" s="6" t="str">
        <x:v>Bear BOS</x:v>
      </x:c>
      <x:c r="R189" s="6" t="str">
        <x:v>True</x:v>
      </x:c>
      <x:c r="S189" s="6" t="str">
        <x:v>False</x:v>
      </x:c>
      <x:c r="T189" s="6" t="str">
        <x:v>Recent BSL</x:v>
      </x:c>
      <x:c r="U189" s="6" t="str">
        <x:v>BSL</x:v>
      </x:c>
      <x:c r="V189" s="6" t="str">
        <x:v>Swing high / buy-side</x:v>
      </x:c>
      <x:c r="W189" s="6" t="str">
        <x:v>[18003.0]</x:v>
      </x:c>
      <x:c r="X189" s="8" t="str">
        <x:v>1</x:v>
      </x:c>
      <x:c r="Y189" s="8" t="str">
        <x:v>19.0</x:v>
      </x:c>
      <x:c r="Z189" s="6" t="str">
        <x:v>None</x:v>
      </x:c>
      <x:c r="AA189" s="6" t="str">
        <x:v>17804.5</x:v>
      </x:c>
      <x:c r="AB189" s="9" t="str">
        <x:v>0.9158616822569752</x:v>
      </x:c>
      <x:c r="AC189" s="9" t="str">
        <x:v>0.9574917587232014</x:v>
      </x:c>
      <x:c r="AD189" s="9" t="str">
        <x:v>1.4362376380848019</x:v>
      </x:c>
      <x:c r="AE189" s="6" t="str">
        <x:v>With trade</x:v>
      </x:c>
      <x:c r="AF189" s="7" t="str">
        <x:v>2024-08-02 09:05:00-05:00</x:v>
      </x:c>
      <x:c r="AG189" s="6" t="str">
        <x:v>Short</x:v>
      </x:c>
      <x:c r="AH189" s="6" t="str">
        <x:v>17804.5</x:v>
      </x:c>
      <x:c r="AI189" s="8" t="str">
        <x:v>0</x:v>
      </x:c>
      <x:c r="AJ189" s="6" t="str">
        <x:v>True</x:v>
      </x:c>
      <x:c r="AK189" s="6" t="str">
        <x:v>Same-bar Setup+BOS</x:v>
      </x:c>
      <x:c r="AL189" s="9" t="str">
        <x:v>0.9678992778397578</x:v>
      </x:c>
      <x:c r="AM189" s="9" t="str">
        <x:v>0.9158616822569752</x:v>
      </x:c>
      <x:c r="AN189" s="9" t="str">
        <x:v>0.9574917587232014</x:v>
      </x:c>
      <x:c r="AO189" s="9" t="str">
        <x:v>1.4362376380848019</x:v>
      </x:c>
      <x:c r="AP189" s="10" t="str">
        <x:v>0.6666666666666666</x:v>
      </x:c>
      <x:c r="AQ189" s="6" t="str">
        <x:v>0.043478260869565216</x:v>
      </x:c>
      <x:c r="AR189" s="6" t="str">
        <x:v>0.2898550724637681</x:v>
      </x:c>
      <x:c r="AS189" s="6" t="str">
        <x:v>With trade</x:v>
      </x:c>
      <x:c r="AT189" s="6" t="str">
        <x:v>1.8970435757321003</x:v>
      </x:c>
      <x:c r="AU189" s="7" t="str">
        <x:v>2024-08-02 09:45:00-05:00</x:v>
      </x:c>
      <x:c r="AV189" s="8" t="str">
        <x:v>8</x:v>
      </x:c>
      <x:c r="AW189" s="6" t="str">
        <x:v>Delayed retest (2+ bars)</x:v>
      </x:c>
      <x:c r="AX189" s="6" t="str">
        <x:v>17808.75</x:v>
      </x:c>
      <x:c r="AY189" s="6" t="str">
        <x:v>4.25</x:v>
      </x:c>
      <x:c r="AZ189" s="9" t="str">
        <x:v>0.058096648094468954</x:v>
      </x:c>
      <x:c r="BA189" s="9" t="str">
        <x:v>0.01708724943954969</x:v>
      </x:c>
      <x:c r="BB189" s="9" t="str">
        <x:v>1.3464752558365158</x:v>
      </x:c>
      <x:c r="BC189" s="9" t="str">
        <x:v>1.1995249106563883</x:v>
      </x:c>
      <x:c r="BD189" s="6" t="str">
        <x:v>0.05583756345177665</x:v>
      </x:c>
      <x:c r="BE189" s="6" t="str">
        <x:v>0.0532994923857868</x:v>
      </x:c>
      <x:c r="BF189" s="9" t="str">
        <x:v>0.07518389753401865</x:v>
      </x:c>
      <x:c r="BG189" s="9" t="str">
        <x:v>0.0717664476461087</x:v>
      </x:c>
      <x:c r="BH189" s="6" t="str">
        <x:v>Against trade</x:v>
      </x:c>
      <x:c r="BI189" s="6" t="str">
        <x:v>Penetration + same-bar reclaim</x:v>
      </x:c>
      <x:c r="BJ189" s="6" t="str">
        <x:v>False</x:v>
      </x:c>
      <x:c r="BK189" s="10" t="str">
        <x:v>True</x:v>
      </x:c>
      <x:c r="BL189" s="6" t="str">
        <x:v>True</x:v>
      </x:c>
      <x:c r="BM189" s="7" t="str">
        <x:v>2024-08-02 09:50:00-05:00</x:v>
      </x:c>
      <x:c r="BN189" s="8" t="str">
        <x:v>1</x:v>
      </x:c>
      <x:c r="BO189" s="6" t="str">
        <x:v>Immediate confirmation (1 bar)</x:v>
      </x:c>
      <x:c r="BP189" s="9" t="str">
        <x:v>1.068675173461289</x:v>
      </x:c>
      <x:c r="BQ189" s="9" t="str">
        <x:v>1.256279592626907</x:v>
      </x:c>
      <x:c r="BR189" s="10" t="str">
        <x:v>0.8506666666666667</x:v>
      </x:c>
      <x:c r="BS189" s="9" t="str">
        <x:v>1.0720252523749605</x:v>
      </x:c>
      <x:c r="BT189" s="9" t="str">
        <x:v>1.0552748578066018</x:v>
      </x:c>
      <x:c r="BU189" s="9" t="str">
        <x:v>0.15075355111522884</x:v>
      </x:c>
      <x:c r="BV189" s="6" t="str">
        <x:v>With trade</x:v>
      </x:c>
      <x:c r="BW189" s="7" t="str">
        <x:v>2024-08-02 09:50:00-05:00</x:v>
      </x:c>
      <x:c r="BX189" s="6" t="str">
        <x:v>17724.5</x:v>
      </x:c>
      <x:c r="BY189" s="9" t="str">
        <x:v>74.62510777872845</x:v>
      </x:c>
      <x:c r="BZ189" s="9" t="str">
        <x:v>1.0</x:v>
      </x:c>
      <x:c r="CA189" s="6" t="str">
        <x:v>17836.437661668093</x:v>
      </x:c>
      <x:c r="CB189" s="6" t="str">
        <x:v>111.93766166809291</x:v>
      </x:c>
      <x:c r="CC189" s="9" t="str">
        <x:v>1.5000000000000033</x:v>
      </x:c>
      <x:c r="CD189" s="6" t="str">
        <x:v>17500.624676663814</x:v>
      </x:c>
      <x:c r="CE189" s="6" t="str">
        <x:v>223.87532333618583</x:v>
      </x:c>
      <x:c r="CF189" s="6" t="str">
        <x:v>Fixed 2.00R target</x:v>
      </x:c>
      <x:c r="CG189" s="9" t="str">
        <x:v>0.006476819233098706</x:v>
      </x:c>
      <x:c r="CH189" s="9" t="str">
        <x:v>-1.0</x:v>
      </x:c>
      <x:c r="CI189" s="9" t="str">
        <x:v>-1.0064768192330986</x:v>
      </x:c>
      <x:c r="CJ189" s="6" t="str">
        <x:v>Loss</x:v>
      </x:c>
      <x:c r="CK189" s="9" t="str">
        <x:v>0.5136787667630008</x:v>
      </x:c>
      <x:c r="CL189" s="9" t="str">
        <x:v>1.0742586383174062</x:v>
      </x:c>
      <x:c r="CM189" s="7" t="str">
        <x:v>2024-08-02 10:35:00-05:00</x:v>
      </x:c>
      <x:c r="CN189" s="6" t="str">
        <x:v>17836.437661668093</x:v>
      </x:c>
      <x:c r="CO189" s="6" t="str">
        <x:v>STOP</x:v>
      </x:c>
      <x:c r="CP189" s="6" t="str">
        <x:v>F::Short::Same-bar Setup+BOS::Penetration + same-bar reclaim</x:v>
      </x:c>
    </x:row>
    <x:row r="190" ht="18" customHeight="1">
      <x:c r="A190" s="6" t="str">
        <x:v>A0189</x:v>
      </x:c>
      <x:c r="B190" s="6" t="str">
        <x:v>2024-08-02</x:v>
      </x:c>
      <x:c r="C190" s="6" t="str">
        <x:v>2024</x:v>
      </x:c>
      <x:c r="D190" s="6" t="str">
        <x:v>2024-Q3</x:v>
      </x:c>
      <x:c r="E190" s="6" t="str">
        <x:v>First 50%</x:v>
      </x:c>
      <x:c r="F190" s="6" t="str">
        <x:v>Long</x:v>
      </x:c>
      <x:c r="G190" s="6" t="str">
        <x:v>Long</x:v>
      </x:c>
      <x:c r="H190" s="6" t="str">
        <x:v>Morning</x:v>
      </x:c>
      <x:c r="I190" s="6" t="str">
        <x:v>Morning</x:v>
      </x:c>
      <x:c r="J190" s="6" t="str">
        <x:v>Bear</x:v>
      </x:c>
      <x:c r="K190" s="6" t="str">
        <x:v>Bear</x:v>
      </x:c>
      <x:c r="L190" s="6" t="str">
        <x:v>HIGH</x:v>
      </x:c>
      <x:c r="M190" s="7" t="str">
        <x:v>2024-08-02 10:35:00-05:00</x:v>
      </x:c>
      <x:c r="N190" s="6" t="str">
        <x:v>85.0</x:v>
      </x:c>
      <x:c r="O190" s="6" t="str">
        <x:v>85-89</x:v>
      </x:c>
      <x:c r="P190" s="6" t="str">
        <x:v>Matching BOS only</x:v>
      </x:c>
      <x:c r="Q190" s="6" t="str">
        <x:v>Bull CHoCH</x:v>
      </x:c>
      <x:c r="R190" s="6" t="str">
        <x:v>True</x:v>
      </x:c>
      <x:c r="S190" s="6" t="str">
        <x:v>False</x:v>
      </x:c>
      <x:c r="T190" s="6" t="str">
        <x:v>Recent SSL</x:v>
      </x:c>
      <x:c r="U190" s="6" t="str">
        <x:v>SSL</x:v>
      </x:c>
      <x:c r="V190" s="6" t="str">
        <x:v>Swing low / sell-side</x:v>
      </x:c>
      <x:c r="W190" s="6" t="str">
        <x:v>[17649.0]</x:v>
      </x:c>
      <x:c r="X190" s="8" t="str">
        <x:v>1</x:v>
      </x:c>
      <x:c r="Y190" s="8" t="str">
        <x:v>17.0</x:v>
      </x:c>
      <x:c r="Z190" s="6" t="str">
        <x:v>None</x:v>
      </x:c>
      <x:c r="AA190" s="6" t="str">
        <x:v>17815.5</x:v>
      </x:c>
      <x:c r="AB190" s="9" t="str">
        <x:v>0.01836596176830588</x:v>
      </x:c>
      <x:c r="AC190" s="9" t="str">
        <x:v>0.5473056606955153</x:v>
      </x:c>
      <x:c r="AD190" s="9" t="str">
        <x:v>1.2268462461228329</x:v>
      </x:c>
      <x:c r="AE190" s="6" t="str">
        <x:v>With trade</x:v>
      </x:c>
      <x:c r="AF190" s="7" t="str">
        <x:v>2024-08-02 10:35:00-05:00</x:v>
      </x:c>
      <x:c r="AG190" s="6" t="str">
        <x:v>Long</x:v>
      </x:c>
      <x:c r="AH190" s="6" t="str">
        <x:v>17815.5</x:v>
      </x:c>
      <x:c r="AI190" s="8" t="str">
        <x:v>0</x:v>
      </x:c>
      <x:c r="AJ190" s="6" t="str">
        <x:v>True</x:v>
      </x:c>
      <x:c r="AK190" s="6" t="str">
        <x:v>Same-bar Setup+BOS</x:v>
      </x:c>
      <x:c r="AL190" s="9" t="str">
        <x:v>0.5362860836345318</x:v>
      </x:c>
      <x:c r="AM190" s="9" t="str">
        <x:v>0.01836596176830588</x:v>
      </x:c>
      <x:c r="AN190" s="9" t="str">
        <x:v>0.5473056606955153</x:v>
      </x:c>
      <x:c r="AO190" s="9" t="str">
        <x:v>1.2268462461228329</x:v>
      </x:c>
      <x:c r="AP190" s="10" t="str">
        <x:v>0.44610778443113774</x:v>
      </x:c>
      <x:c r="AQ190" s="6" t="str">
        <x:v>0.33532934131736525</x:v>
      </x:c>
      <x:c r="AR190" s="6" t="str">
        <x:v>0.218562874251497</x:v>
      </x:c>
      <x:c r="AS190" s="6" t="str">
        <x:v>With trade</x:v>
      </x:c>
      <x:c r="AT190" s="6" t="str">
        <x:v>0.9259285731303457</x:v>
      </x:c>
      <x:c r="AU190" s="7" t="str">
        <x:v>2024-08-02 10:40:00-05:00</x:v>
      </x:c>
      <x:c r="AV190" s="8" t="str">
        <x:v>1</x:v>
      </x:c>
      <x:c r="AW190" s="6" t="str">
        <x:v>Immediate retest (1 bar)</x:v>
      </x:c>
      <x:c r="AX190" s="6" t="str">
        <x:v>17812.25</x:v>
      </x:c>
      <x:c r="AY190" s="6" t="str">
        <x:v>3.25</x:v>
      </x:c>
      <x:c r="AZ190" s="9" t="str">
        <x:v>0.04779216236345613</x:v>
      </x:c>
      <x:c r="BA190" s="9" t="str">
        <x:v>0.8859931638148406</x:v>
      </x:c>
      <x:c r="BB190" s="9" t="str">
        <x:v>0.9889301289053616</x:v>
      </x:c>
      <x:c r="BC190" s="9" t="str">
        <x:v>0.8712878830876234</x:v>
      </x:c>
      <x:c r="BD190" s="6" t="str">
        <x:v>0.055762081784386616</x:v>
      </x:c>
      <x:c r="BE190" s="6" t="str">
        <x:v>0.06319702602230483</x:v>
      </x:c>
      <x:c r="BF190" s="9" t="str">
        <x:v>0.062497443090673406</x:v>
      </x:c>
      <x:c r="BG190" s="9" t="str">
        <x:v>0.05514480272706477</x:v>
      </x:c>
      <x:c r="BH190" s="6" t="str">
        <x:v>With trade</x:v>
      </x:c>
      <x:c r="BI190" s="6" t="str">
        <x:v>Penetration + same-bar reclaim</x:v>
      </x:c>
      <x:c r="BJ190" s="6" t="str">
        <x:v>False</x:v>
      </x:c>
      <x:c r="BK190" s="10" t="str">
        <x:v>True</x:v>
      </x:c>
      <x:c r="BL190" s="6" t="str">
        <x:v>True</x:v>
      </x:c>
      <x:c r="BM190" s="7" t="str">
        <x:v>2024-08-02 10:55:00-05:00</x:v>
      </x:c>
      <x:c r="BN190" s="8" t="str">
        <x:v>3</x:v>
      </x:c>
      <x:c r="BO190" s="6" t="str">
        <x:v>Delayed confirmation (2+ bars)</x:v>
      </x:c>
      <x:c r="BP190" s="9" t="str">
        <x:v>0.5655426891283979</x:v>
      </x:c>
      <x:c r="BQ190" s="9" t="str">
        <x:v>1.1126035910303775</x:v>
      </x:c>
      <x:c r="BR190" s="10" t="str">
        <x:v>0.5083056478405316</x:v>
      </x:c>
      <x:c r="BS190" s="9" t="str">
        <x:v>0.6098989784718016</x:v>
      </x:c>
      <x:c r="BT190" s="9" t="str">
        <x:v>-0.2809231658415571</x:v>
      </x:c>
      <x:c r="BU190" s="9" t="str">
        <x:v>0.01848178722641823</x:v>
      </x:c>
      <x:c r="BV190" s="6" t="str">
        <x:v>With trade</x:v>
      </x:c>
      <x:c r="BW190" s="7" t="str">
        <x:v>2024-08-02 10:55:00-05:00</x:v>
      </x:c>
      <x:c r="BX190" s="6" t="str">
        <x:v>17856.75</x:v>
      </x:c>
      <x:c r="BY190" s="9" t="str">
        <x:v>67.6341516481277</x:v>
      </x:c>
      <x:c r="BZ190" s="9" t="str">
        <x:v>0.78</x:v>
      </x:c>
      <x:c r="CA190" s="6" t="str">
        <x:v>17755.298772527807</x:v>
      </x:c>
      <x:c r="CB190" s="6" t="str">
        <x:v>101.45122747219284</x:v>
      </x:c>
      <x:c r="CC190" s="9" t="str">
        <x:v>1.500000000000019</x:v>
      </x:c>
      <x:c r="CD190" s="6" t="str">
        <x:v>18059.652454944382</x:v>
      </x:c>
      <x:c r="CE190" s="6" t="str">
        <x:v>202.90245494438204</x:v>
      </x:c>
      <x:c r="CF190" s="6" t="str">
        <x:v>Fixed 2.00R target</x:v>
      </x:c>
      <x:c r="CG190" s="9" t="str">
        <x:v>0.007146291060881624</x:v>
      </x:c>
      <x:c r="CH190" s="9" t="str">
        <x:v>-1.0</x:v>
      </x:c>
      <x:c r="CI190" s="9" t="str">
        <x:v>-1.0071462910608817</x:v>
      </x:c>
      <x:c r="CJ190" s="6" t="str">
        <x:v>Loss</x:v>
      </x:c>
      <x:c r="CK190" s="9" t="str">
        <x:v>0.3819569360126386</x:v>
      </x:c>
      <x:c r="CL190" s="9" t="str">
        <x:v>1.1039787569913682</x:v>
      </x:c>
      <x:c r="CM190" s="7" t="str">
        <x:v>2024-08-02 11:55:00-05:00</x:v>
      </x:c>
      <x:c r="CN190" s="6" t="str">
        <x:v>17755.298772527807</x:v>
      </x:c>
      <x:c r="CO190" s="6" t="str">
        <x:v>STOP</x:v>
      </x:c>
      <x:c r="CP190" s="6" t="str">
        <x:v>F::Long::Same-bar Setup+BOS::Penetration + same-bar reclaim</x:v>
      </x:c>
    </x:row>
    <x:row r="191" ht="18" customHeight="1">
      <x:c r="A191" s="6" t="str">
        <x:v>A0190</x:v>
      </x:c>
      <x:c r="B191" s="6" t="str">
        <x:v>2024-08-06</x:v>
      </x:c>
      <x:c r="C191" s="6" t="str">
        <x:v>2024</x:v>
      </x:c>
      <x:c r="D191" s="6" t="str">
        <x:v>2024-Q3</x:v>
      </x:c>
      <x:c r="E191" s="6" t="str">
        <x:v>First 50%</x:v>
      </x:c>
      <x:c r="F191" s="6" t="str">
        <x:v>Long</x:v>
      </x:c>
      <x:c r="G191" s="6" t="str">
        <x:v>Long</x:v>
      </x:c>
      <x:c r="H191" s="6" t="str">
        <x:v>Premarket</x:v>
      </x:c>
      <x:c r="I191" s="6" t="str">
        <x:v>Premarket</x:v>
      </x:c>
      <x:c r="J191" s="6" t="str">
        <x:v>Bear</x:v>
      </x:c>
      <x:c r="K191" s="6" t="str">
        <x:v>Bear</x:v>
      </x:c>
      <x:c r="L191" s="6" t="str">
        <x:v>HIGH</x:v>
      </x:c>
      <x:c r="M191" s="7" t="str">
        <x:v>2024-08-06 09:00:00-05:00</x:v>
      </x:c>
      <x:c r="N191" s="6" t="str">
        <x:v>75.0</x:v>
      </x:c>
      <x:c r="O191" s="6" t="str">
        <x:v>75-79</x:v>
      </x:c>
      <x:c r="P191" s="6" t="str">
        <x:v>Matching BOS only</x:v>
      </x:c>
      <x:c r="Q191" s="6" t="str">
        <x:v>Bull CHoCH</x:v>
      </x:c>
      <x:c r="R191" s="6" t="str">
        <x:v>True</x:v>
      </x:c>
      <x:c r="S191" s="6" t="str">
        <x:v>False</x:v>
      </x:c>
      <x:c r="T191" s="6" t="str">
        <x:v>Recent SSL</x:v>
      </x:c>
      <x:c r="U191" s="6" t="str">
        <x:v>SSL</x:v>
      </x:c>
      <x:c r="V191" s="6" t="str">
        <x:v>Swing low / sell-side</x:v>
      </x:c>
      <x:c r="W191" s="6" t="str">
        <x:v>[17315.0]</x:v>
      </x:c>
      <x:c r="X191" s="8" t="str">
        <x:v>1</x:v>
      </x:c>
      <x:c r="Y191" s="8" t="str">
        <x:v>5.0</x:v>
      </x:c>
      <x:c r="Z191" s="6" t="str">
        <x:v>Sweep below CRT reference</x:v>
      </x:c>
      <x:c r="AA191" s="6" t="str">
        <x:v>17436.5</x:v>
      </x:c>
      <x:c r="AB191" s="9" t="str">
        <x:v>0.10806870828893342</x:v>
      </x:c>
      <x:c r="AC191" s="9" t="str">
        <x:v>0.5982374923137386</x:v>
      </x:c>
      <x:c r="AD191" s="9" t="str">
        <x:v>1.281386112568782</x:v>
      </x:c>
      <x:c r="AE191" s="6" t="str">
        <x:v>With trade</x:v>
      </x:c>
      <x:c r="AF191" s="7" t="str">
        <x:v>2024-08-06 09:00:00-05:00</x:v>
      </x:c>
      <x:c r="AG191" s="6" t="str">
        <x:v>Long</x:v>
      </x:c>
      <x:c r="AH191" s="6" t="str">
        <x:v>17436.5</x:v>
      </x:c>
      <x:c r="AI191" s="8" t="str">
        <x:v>0</x:v>
      </x:c>
      <x:c r="AJ191" s="6" t="str">
        <x:v>True</x:v>
      </x:c>
      <x:c r="AK191" s="6" t="str">
        <x:v>Same-bar Setup+BOS</x:v>
      </x:c>
      <x:c r="AL191" s="9" t="str">
        <x:v>0.6213950726613672</x:v>
      </x:c>
      <x:c r="AM191" s="9" t="str">
        <x:v>0.10806870828893342</x:v>
      </x:c>
      <x:c r="AN191" s="9" t="str">
        <x:v>0.5982374923137386</x:v>
      </x:c>
      <x:c r="AO191" s="9" t="str">
        <x:v>1.281386112568782</x:v>
      </x:c>
      <x:c r="AP191" s="10" t="str">
        <x:v>0.46686746987951805</x:v>
      </x:c>
      <x:c r="AQ191" s="6" t="str">
        <x:v>0.05120481927710843</x:v>
      </x:c>
      <x:c r="AR191" s="6" t="str">
        <x:v>0.4819277108433735</x:v>
      </x:c>
      <x:c r="AS191" s="6" t="str">
        <x:v>With trade</x:v>
      </x:c>
      <x:c r="AT191" s="6" t="str">
        <x:v>2.1436718420863348</x:v>
      </x:c>
      <x:c r="AU191" s="7" t="str">
        <x:v>2024-08-06 09:05:00-05:00</x:v>
      </x:c>
      <x:c r="AV191" s="8" t="str">
        <x:v>1</x:v>
      </x:c>
      <x:c r="AW191" s="6" t="str">
        <x:v>Immediate retest (1 bar)</x:v>
      </x:c>
      <x:c r="AX191" s="6" t="str">
        <x:v>17398.0</x:v>
      </x:c>
      <x:c r="AY191" s="6" t="str">
        <x:v>38.5</x:v>
      </x:c>
      <x:c r="AZ191" s="9" t="str">
        <x:v>0.5756659573164835</x:v>
      </x:c>
      <x:c r="BA191" s="9" t="str">
        <x:v>0.7177134013296418</x:v>
      </x:c>
      <x:c r="BB191" s="9" t="str">
        <x:v>1.409260168235807</x:v>
      </x:c>
      <x:c r="BC191" s="9" t="str">
        <x:v>0.6167849542676609</x:v>
      </x:c>
      <x:c r="BD191" s="6" t="str">
        <x:v>0.08222811671087533</x:v>
      </x:c>
      <x:c r="BE191" s="6" t="str">
        <x:v>0.48010610079575594</x:v>
      </x:c>
      <x:c r="BF191" s="9" t="str">
        <x:v>0.6765944043784644</x:v>
      </x:c>
      <x:c r="BG191" s="9" t="str">
        <x:v>0.11588080958968175</x:v>
      </x:c>
      <x:c r="BH191" s="6" t="str">
        <x:v>With trade</x:v>
      </x:c>
      <x:c r="BI191" s="6" t="str">
        <x:v>Penetration + same-bar reclaim</x:v>
      </x:c>
      <x:c r="BJ191" s="6" t="str">
        <x:v>False</x:v>
      </x:c>
      <x:c r="BK191" s="10" t="str">
        <x:v>True</x:v>
      </x:c>
      <x:c r="BL191" s="6" t="str">
        <x:v>True</x:v>
      </x:c>
      <x:c r="BM191" s="7" t="str">
        <x:v>2024-08-06 09:15:00-05:00</x:v>
      </x:c>
      <x:c r="BN191" s="8" t="str">
        <x:v>2</x:v>
      </x:c>
      <x:c r="BO191" s="6" t="str">
        <x:v>Delayed confirmation (2+ bars)</x:v>
      </x:c>
      <x:c r="BP191" s="9" t="str">
        <x:v>0.391431516240384</x:v>
      </x:c>
      <x:c r="BQ191" s="9" t="str">
        <x:v>1.0475452958433136</x:v>
      </x:c>
      <x:c r="BR191" s="10" t="str">
        <x:v>0.3736654804270463</x:v>
      </x:c>
      <x:c r="BS191" s="9" t="str">
        <x:v>0.5181807691182226</x:v>
      </x:c>
      <x:c r="BT191" s="9" t="str">
        <x:v>-0.1975797177213367</x:v>
      </x:c>
      <x:c r="BU191" s="9" t="str">
        <x:v>0.5330924459273801</x:v>
      </x:c>
      <x:c r="BV191" s="6" t="str">
        <x:v>With trade</x:v>
      </x:c>
      <x:c r="BW191" s="7" t="str">
        <x:v>2024-08-06 09:15:00-05:00</x:v>
      </x:c>
      <x:c r="BX191" s="6" t="str">
        <x:v>17471.25</x:v>
      </x:c>
      <x:c r="BY191" s="9" t="str">
        <x:v>67.06153927544116</x:v>
      </x:c>
      <x:c r="BZ191" s="9" t="str">
        <x:v>1.0</x:v>
      </x:c>
      <x:c r="CA191" s="6" t="str">
        <x:v>17370.65769108684</x:v>
      </x:c>
      <x:c r="CB191" s="6" t="str">
        <x:v>100.5923089131611</x:v>
      </x:c>
      <x:c r="CC191" s="9" t="str">
        <x:v>1.4999999999999905</x:v>
      </x:c>
      <x:c r="CD191" s="6" t="str">
        <x:v>17672.434617826322</x:v>
      </x:c>
      <x:c r="CE191" s="6" t="str">
        <x:v>201.1846178263222</x:v>
      </x:c>
      <x:c r="CF191" s="6" t="str">
        <x:v>Fixed 2.00R target</x:v>
      </x:c>
      <x:c r="CG191" s="9" t="str">
        <x:v>0.0072073104577594985</x:v>
      </x:c>
      <x:c r="CH191" s="9" t="str">
        <x:v>0.5293645267250908</x:v>
      </x:c>
      <x:c r="CI191" s="9" t="str">
        <x:v>0.5221572162673314</x:v>
      </x:c>
      <x:c r="CJ191" s="6" t="str">
        <x:v>Win</x:v>
      </x:c>
      <x:c r="CK191" s="9" t="str">
        <x:v>1.3122275592058672</x:v>
      </x:c>
      <x:c r="CL191" s="9" t="str">
        <x:v>0.8077158271627024</x:v>
      </x:c>
      <x:c r="CM191" s="7" t="str">
        <x:v>2024-08-06 10:15:00-05:00</x:v>
      </x:c>
      <x:c r="CN191" s="6" t="str">
        <x:v>17524.5</x:v>
      </x:c>
      <x:c r="CO191" s="6" t="str">
        <x:v>TIME</x:v>
      </x:c>
      <x:c r="CP191" s="6" t="str">
        <x:v>F::Long::Same-bar Setup+BOS::Penetration + same-bar reclaim</x:v>
      </x:c>
    </x:row>
    <x:row r="192" ht="18" customHeight="1">
      <x:c r="A192" s="6" t="str">
        <x:v>A0191</x:v>
      </x:c>
      <x:c r="B192" s="6" t="str">
        <x:v>2024-08-06</x:v>
      </x:c>
      <x:c r="C192" s="6" t="str">
        <x:v>2024</x:v>
      </x:c>
      <x:c r="D192" s="6" t="str">
        <x:v>2024-Q3</x:v>
      </x:c>
      <x:c r="E192" s="6" t="str">
        <x:v>First 50%</x:v>
      </x:c>
      <x:c r="F192" s="6" t="str">
        <x:v>Long</x:v>
      </x:c>
      <x:c r="G192" s="6" t="str">
        <x:v>Long</x:v>
      </x:c>
      <x:c r="H192" s="6" t="str">
        <x:v>Opening</x:v>
      </x:c>
      <x:c r="I192" s="6" t="str">
        <x:v>Opening</x:v>
      </x:c>
      <x:c r="J192" s="6" t="str">
        <x:v>Neutral</x:v>
      </x:c>
      <x:c r="K192" s="6" t="str">
        <x:v>Bear</x:v>
      </x:c>
      <x:c r="L192" s="6" t="str">
        <x:v>HIGH</x:v>
      </x:c>
      <x:c r="M192" s="7" t="str">
        <x:v>2024-08-06 09:40:00-05:00</x:v>
      </x:c>
      <x:c r="N192" s="6" t="str">
        <x:v>85.0</x:v>
      </x:c>
      <x:c r="O192" s="6" t="str">
        <x:v>85-89</x:v>
      </x:c>
      <x:c r="P192" s="6" t="str">
        <x:v>Matching BOS only</x:v>
      </x:c>
      <x:c r="Q192" s="6" t="str">
        <x:v>Bull BOS</x:v>
      </x:c>
      <x:c r="R192" s="6" t="str">
        <x:v>True</x:v>
      </x:c>
      <x:c r="S192" s="6" t="str">
        <x:v>False</x:v>
      </x:c>
      <x:c r="T192" s="6" t="str">
        <x:v>Recent SSL</x:v>
      </x:c>
      <x:c r="U192" s="6" t="str">
        <x:v>SSL</x:v>
      </x:c>
      <x:c r="V192" s="6" t="str">
        <x:v>Swing low / sell-side</x:v>
      </x:c>
      <x:c r="W192" s="6" t="str">
        <x:v>[17315.0]</x:v>
      </x:c>
      <x:c r="X192" s="8" t="str">
        <x:v>1</x:v>
      </x:c>
      <x:c r="Y192" s="8" t="str">
        <x:v>13.0</x:v>
      </x:c>
      <x:c r="Z192" s="6" t="str">
        <x:v>None</x:v>
      </x:c>
      <x:c r="AA192" s="6" t="str">
        <x:v>17492.25</x:v>
      </x:c>
      <x:c r="AB192" s="9" t="str">
        <x:v>0.3977625072728775</x:v>
      </x:c>
      <x:c r="AC192" s="9" t="str">
        <x:v>0.5069522151517065</x:v>
      </x:c>
      <x:c r="AD192" s="9" t="str">
        <x:v>0.8033242793942427</x:v>
      </x:c>
      <x:c r="AE192" s="6" t="str">
        <x:v>With trade</x:v>
      </x:c>
      <x:c r="AF192" s="7" t="str">
        <x:v>2024-08-06 09:40:00-05:00</x:v>
      </x:c>
      <x:c r="AG192" s="6" t="str">
        <x:v>Long</x:v>
      </x:c>
      <x:c r="AH192" s="6" t="str">
        <x:v>17492.25</x:v>
      </x:c>
      <x:c r="AI192" s="8" t="str">
        <x:v>0</x:v>
      </x:c>
      <x:c r="AJ192" s="6" t="str">
        <x:v>True</x:v>
      </x:c>
      <x:c r="AK192" s="6" t="str">
        <x:v>Same-bar Setup+BOS</x:v>
      </x:c>
      <x:c r="AL192" s="9" t="str">
        <x:v>0.5264503772729261</x:v>
      </x:c>
      <x:c r="AM192" s="9" t="str">
        <x:v>0.3977625072728775</x:v>
      </x:c>
      <x:c r="AN192" s="9" t="str">
        <x:v>0.5069522151517065</x:v>
      </x:c>
      <x:c r="AO192" s="9" t="str">
        <x:v>0.8033242793942427</x:v>
      </x:c>
      <x:c r="AP192" s="10" t="str">
        <x:v>0.6310679611650486</x:v>
      </x:c>
      <x:c r="AQ192" s="6" t="str">
        <x:v>0.17475728155339806</x:v>
      </x:c>
      <x:c r="AR192" s="6" t="str">
        <x:v>0.1941747572815534</x:v>
      </x:c>
      <x:c r="AS192" s="6" t="str">
        <x:v>With trade</x:v>
      </x:c>
      <x:c r="AT192" s="6" t="str">
        <x:v>1.1119920589832752</x:v>
      </x:c>
      <x:c r="AU192" s="7" t="str">
        <x:v>2024-08-06 10:15:00-05:00</x:v>
      </x:c>
      <x:c r="AV192" s="8" t="str">
        <x:v>7</x:v>
      </x:c>
      <x:c r="AW192" s="6" t="str">
        <x:v>Delayed retest (2+ bars)</x:v>
      </x:c>
      <x:c r="AX192" s="6" t="str">
        <x:v>17494.0</x:v>
      </x:c>
      <x:c r="AY192" s="6" t="str">
        <x:v>0.0</x:v>
      </x:c>
      <x:c r="AZ192" s="9" t="str">
        <x:v>0.0</x:v>
      </x:c>
      <x:c r="BA192" s="9" t="str">
        <x:v>0.5479246008108343</x:v>
      </x:c>
      <x:c r="BB192" s="9" t="str">
        <x:v>0.8325055950304149</x:v>
      </x:c>
      <x:c r="BC192" s="9" t="str">
        <x:v>0.004247477525665382</x:v>
      </x:c>
      <x:c r="BD192" s="6" t="str">
        <x:v>0.37244897959183676</x:v>
      </x:c>
      <x:c r="BE192" s="6" t="str">
        <x:v>0.6224489795918368</x:v>
      </x:c>
      <x:c r="BF192" s="9" t="str">
        <x:v>0.5181922581311766</x:v>
      </x:c>
      <x:c r="BG192" s="9" t="str">
        <x:v>0.3100658593735729</x:v>
      </x:c>
      <x:c r="BH192" s="6" t="str">
        <x:v>Against trade</x:v>
      </x:c>
      <x:c r="BI192" s="6" t="str">
        <x:v>Tolerance-only shallow touch</x:v>
      </x:c>
      <x:c r="BJ192" s="6" t="str">
        <x:v>True</x:v>
      </x:c>
      <x:c r="BK192" s="10" t="str">
        <x:v>False</x:v>
      </x:c>
      <x:c r="BL192" s="6" t="str">
        <x:v>True</x:v>
      </x:c>
      <x:c r="BM192" s="7" t="str">
        <x:v>2024-08-06 10:20:00-05:00</x:v>
      </x:c>
      <x:c r="BN192" s="8" t="str">
        <x:v>1</x:v>
      </x:c>
      <x:c r="BO192" s="6" t="str">
        <x:v>Immediate confirmation (1 bar)</x:v>
      </x:c>
      <x:c r="BP192" s="9" t="str">
        <x:v>0.0983314169091626</x:v>
      </x:c>
      <x:c r="BQ192" s="9" t="str">
        <x:v>0.9149097051548172</x:v>
      </x:c>
      <x:c r="BR192" s="10" t="str">
        <x:v>0.10747663551401869</x:v>
      </x:c>
      <x:c r="BS192" s="9" t="str">
        <x:v>0.6412918494075821</x:v>
      </x:c>
      <x:c r="BT192" s="9" t="str">
        <x:v>0.0897808589170615</x:v>
      </x:c>
      <x:c r="BU192" s="9" t="str">
        <x:v>0.4403537365932064</x:v>
      </x:c>
      <x:c r="BV192" s="6" t="str">
        <x:v>With trade</x:v>
      </x:c>
      <x:c r="BW192" s="7" t="str">
        <x:v>2024-08-06 10:20:00-05:00</x:v>
      </x:c>
      <x:c r="BX192" s="6" t="str">
        <x:v>17529.75</x:v>
      </x:c>
      <x:c r="BY192" s="9" t="str">
        <x:v>58.47571590788509</x:v>
      </x:c>
      <x:c r="BZ192" s="9" t="str">
        <x:v>0.81</x:v>
      </x:c>
      <x:c r="CA192" s="6" t="str">
        <x:v>17442.036426138173</x:v>
      </x:c>
      <x:c r="CB192" s="6" t="str">
        <x:v>87.71357386182717</x:v>
      </x:c>
      <x:c r="CC192" s="9" t="str">
        <x:v>1.499999999999992</x:v>
      </x:c>
      <x:c r="CD192" s="6" t="str">
        <x:v>17705.177147723654</x:v>
      </x:c>
      <x:c r="CE192" s="6" t="str">
        <x:v>175.42714772365434</x:v>
      </x:c>
      <x:c r="CF192" s="6" t="str">
        <x:v>Fixed 2.00R target</x:v>
      </x:c>
      <x:c r="CG192" s="9" t="str">
        <x:v>0.008265539392364435</x:v>
      </x:c>
      <x:c r="CH192" s="9" t="str">
        <x:v>0.9377111931337535</x:v>
      </x:c>
      <x:c r="CI192" s="9" t="str">
        <x:v>0.9294456537413891</x:v>
      </x:c>
      <x:c r="CJ192" s="6" t="str">
        <x:v>Win</x:v>
      </x:c>
      <x:c r="CK192" s="9" t="str">
        <x:v>1.2911342568072721</x:v>
      </x:c>
      <x:c r="CL192" s="9" t="str">
        <x:v>0.9719134251021629</x:v>
      </x:c>
      <x:c r="CM192" s="7" t="str">
        <x:v>2024-08-06 11:20:00-05:00</x:v>
      </x:c>
      <x:c r="CN192" s="6" t="str">
        <x:v>17612.0</x:v>
      </x:c>
      <x:c r="CO192" s="6" t="str">
        <x:v>TIME</x:v>
      </x:c>
      <x:c r="CP192" s="6" t="str">
        <x:v>F::Long::Same-bar Setup+BOS::Tolerance-only shallow touch</x:v>
      </x:c>
    </x:row>
    <x:row r="193" ht="18" customHeight="1">
      <x:c r="A193" s="6" t="str">
        <x:v>A0192</x:v>
      </x:c>
      <x:c r="B193" s="6" t="str">
        <x:v>2024-08-06</x:v>
      </x:c>
      <x:c r="C193" s="6" t="str">
        <x:v>2024</x:v>
      </x:c>
      <x:c r="D193" s="6" t="str">
        <x:v>2024-Q3</x:v>
      </x:c>
      <x:c r="E193" s="6" t="str">
        <x:v>First 50%</x:v>
      </x:c>
      <x:c r="F193" s="6" t="str">
        <x:v>Short</x:v>
      </x:c>
      <x:c r="G193" s="6" t="str">
        <x:v>Short</x:v>
      </x:c>
      <x:c r="H193" s="6" t="str">
        <x:v>After-hours</x:v>
      </x:c>
      <x:c r="I193" s="6" t="str">
        <x:v>Afternoon</x:v>
      </x:c>
      <x:c r="J193" s="6" t="str">
        <x:v>Bear</x:v>
      </x:c>
      <x:c r="K193" s="6" t="str">
        <x:v>Bear</x:v>
      </x:c>
      <x:c r="L193" s="6" t="str">
        <x:v>LOW</x:v>
      </x:c>
      <x:c r="M193" s="7" t="str">
        <x:v>2024-08-06 15:45:00-05:00</x:v>
      </x:c>
      <x:c r="N193" s="6" t="str">
        <x:v>75.0</x:v>
      </x:c>
      <x:c r="O193" s="6" t="str">
        <x:v>75-79</x:v>
      </x:c>
      <x:c r="P193" s="6" t="str">
        <x:v>Matching BOS only</x:v>
      </x:c>
      <x:c r="Q193" s="6" t="str">
        <x:v>Bear BOS</x:v>
      </x:c>
      <x:c r="R193" s="6" t="str">
        <x:v>True</x:v>
      </x:c>
      <x:c r="S193" s="6" t="str">
        <x:v>False</x:v>
      </x:c>
      <x:c r="T193" s="6" t="str">
        <x:v>No recent matching sweep</x:v>
      </x:c>
      <x:c r="U193" s="6" t="str">
        <x:v>None</x:v>
      </x:c>
      <x:c r="V193" s="6" t="str">
        <x:v>None</x:v>
      </x:c>
      <x:c r="W193" s="6" t="str">
        <x:v>[]</x:v>
      </x:c>
      <x:c r="X193" s="8" t="str">
        <x:v>0</x:v>
      </x:c>
      <x:c r="Y193" s="8" t="str"/>
      <x:c r="Z193" s="6" t="str">
        <x:v>None</x:v>
      </x:c>
      <x:c r="AA193" s="6" t="str">
        <x:v>17386.75</x:v>
      </x:c>
      <x:c r="AB193" s="9" t="str">
        <x:v>0.5357292482294811</x:v>
      </x:c>
      <x:c r="AC193" s="9" t="str">
        <x:v>1.3221208052635818</x:v>
      </x:c>
      <x:c r="AD193" s="9" t="str">
        <x:v>1.327035752495045</x:v>
      </x:c>
      <x:c r="AE193" s="6" t="str">
        <x:v>With trade</x:v>
      </x:c>
      <x:c r="AF193" s="7" t="str">
        <x:v>2024-08-06 15:45:00-05:00</x:v>
      </x:c>
      <x:c r="AG193" s="6" t="str">
        <x:v>Short</x:v>
      </x:c>
      <x:c r="AH193" s="6" t="str">
        <x:v>17386.75</x:v>
      </x:c>
      <x:c r="AI193" s="8" t="str">
        <x:v>0</x:v>
      </x:c>
      <x:c r="AJ193" s="6" t="str">
        <x:v>True</x:v>
      </x:c>
      <x:c r="AK193" s="6" t="str">
        <x:v>Same-bar Setup+BOS</x:v>
      </x:c>
      <x:c r="AL193" s="9" t="str">
        <x:v>1.371270277578213</x:v>
      </x:c>
      <x:c r="AM193" s="9" t="str">
        <x:v>0.5357292482294811</x:v>
      </x:c>
      <x:c r="AN193" s="9" t="str">
        <x:v>1.3221208052635818</x:v>
      </x:c>
      <x:c r="AO193" s="9" t="str">
        <x:v>1.327035752495045</x:v>
      </x:c>
      <x:c r="AP193" s="10" t="str">
        <x:v>0.9962962962962963</x:v>
      </x:c>
      <x:c r="AQ193" s="6" t="str">
        <x:v>0.0</x:v>
      </x:c>
      <x:c r="AR193" s="6" t="str">
        <x:v>0.003703703703703704</x:v>
      </x:c>
      <x:c r="AS193" s="6" t="str">
        <x:v>With trade</x:v>
      </x:c>
      <x:c r="AT193" s="6" t="str">
        <x:v>0.22917577428792416</x:v>
      </x:c>
      <x:c r="AU193" s="7" t="str">
        <x:v>2024-08-06 17:20:00-05:00</x:v>
      </x:c>
      <x:c r="AV193" s="8" t="str">
        <x:v>7</x:v>
      </x:c>
      <x:c r="AW193" s="6" t="str">
        <x:v>Delayed retest (2+ bars)</x:v>
      </x:c>
      <x:c r="AX193" s="6" t="str">
        <x:v>17403.0</x:v>
      </x:c>
      <x:c r="AY193" s="6" t="str">
        <x:v>16.25</x:v>
      </x:c>
      <x:c r="AZ193" s="9" t="str">
        <x:v>0.35442032251631744</x:v>
      </x:c>
      <x:c r="BA193" s="9" t="str">
        <x:v>0.4034939056339614</x:v>
      </x:c>
      <x:c r="BB193" s="9" t="str">
        <x:v>1.0087347640849036</x:v>
      </x:c>
      <x:c r="BC193" s="9" t="str">
        <x:v>0.25082053593462467</x:v>
      </x:c>
      <x:c r="BD193" s="6" t="str">
        <x:v>0.7513513513513513</x:v>
      </x:c>
      <x:c r="BE193" s="6" t="str">
        <x:v>0.0</x:v>
      </x:c>
      <x:c r="BF193" s="9" t="str">
        <x:v>0.7579142281502789</x:v>
      </x:c>
      <x:c r="BG193" s="9" t="str">
        <x:v>0.0</x:v>
      </x:c>
      <x:c r="BH193" s="6" t="str">
        <x:v>Against trade</x:v>
      </x:c>
      <x:c r="BI193" s="6" t="str">
        <x:v>Penetration + same-bar reclaim</x:v>
      </x:c>
      <x:c r="BJ193" s="6" t="str">
        <x:v>False</x:v>
      </x:c>
      <x:c r="BK193" s="10" t="str">
        <x:v>True</x:v>
      </x:c>
      <x:c r="BL193" s="6" t="str">
        <x:v>True</x:v>
      </x:c>
      <x:c r="BM193" s="7" t="str">
        <x:v>2024-08-06 17:25:00-05:00</x:v>
      </x:c>
      <x:c r="BN193" s="8" t="str">
        <x:v>1</x:v>
      </x:c>
      <x:c r="BO193" s="6" t="str">
        <x:v>Immediate confirmation (1 bar)</x:v>
      </x:c>
      <x:c r="BP193" s="9" t="str">
        <x:v>0.04524932954151506</x:v>
      </x:c>
      <x:c r="BQ193" s="9" t="str">
        <x:v>0.5147111235347338</x:v>
      </x:c>
      <x:c r="BR193" s="10" t="str">
        <x:v>0.08791208791208792</x:v>
      </x:c>
      <x:c r="BS193" s="9" t="str">
        <x:v>0.4468371292224612</x:v>
      </x:c>
      <x:c r="BT193" s="9" t="str">
        <x:v>0.028280830963446912</x:v>
      </x:c>
      <x:c r="BU193" s="9" t="str">
        <x:v>0.14706032100992394</x:v>
      </x:c>
      <x:c r="BV193" s="6" t="str">
        <x:v>With trade</x:v>
      </x:c>
      <x:c r="BW193" s="7" t="str">
        <x:v>2024-08-06 17:25:00-05:00</x:v>
      </x:c>
      <x:c r="BX193" s="6" t="str">
        <x:v>17367.0</x:v>
      </x:c>
      <x:c r="BY193" s="9" t="str">
        <x:v>44.199549921840344</x:v>
      </x:c>
      <x:c r="BZ193" s="9" t="str">
        <x:v>0.33</x:v>
      </x:c>
      <x:c r="CA193" s="6" t="str">
        <x:v>17433.29932488276</x:v>
      </x:c>
      <x:c r="CB193" s="6" t="str">
        <x:v>66.29932488275881</x:v>
      </x:c>
      <x:c r="CC193" s="9" t="str">
        <x:v>1.4999999999999614</x:v>
      </x:c>
      <x:c r="CD193" s="6" t="str">
        <x:v>17234.40135023448</x:v>
      </x:c>
      <x:c r="CE193" s="6" t="str">
        <x:v>132.59864976552126</x:v>
      </x:c>
      <x:c r="CF193" s="6" t="str">
        <x:v>Fixed 2.00R target</x:v>
      </x:c>
      <x:c r="CG193" s="9" t="str">
        <x:v>0.010935254639199754</x:v>
      </x:c>
      <x:c r="CH193" s="9" t="str">
        <x:v>0.4675764052623223</x:v>
      </x:c>
      <x:c r="CI193" s="9" t="str">
        <x:v>0.45664115062312255</x:v>
      </x:c>
      <x:c r="CJ193" s="6" t="str">
        <x:v>Win</x:v>
      </x:c>
      <x:c r="CK193" s="9" t="str">
        <x:v>0.6070951713486761</x:v>
      </x:c>
      <x:c r="CL193" s="9" t="str">
        <x:v>0.33936997156137166</x:v>
      </x:c>
      <x:c r="CM193" s="7" t="str">
        <x:v>2024-08-06 18:25:00-05:00</x:v>
      </x:c>
      <x:c r="CN193" s="6" t="str">
        <x:v>17336.0</x:v>
      </x:c>
      <x:c r="CO193" s="6" t="str">
        <x:v>TIME</x:v>
      </x:c>
      <x:c r="CP193" s="6" t="str">
        <x:v>F::Short::Same-bar Setup+BOS::Penetration + same-bar reclaim</x:v>
      </x:c>
    </x:row>
    <x:row r="194" ht="18" customHeight="1">
      <x:c r="A194" s="6" t="str">
        <x:v>A0193</x:v>
      </x:c>
      <x:c r="B194" s="6" t="str">
        <x:v>2024-08-07</x:v>
      </x:c>
      <x:c r="C194" s="6" t="str">
        <x:v>2024</x:v>
      </x:c>
      <x:c r="D194" s="6" t="str">
        <x:v>2024-Q3</x:v>
      </x:c>
      <x:c r="E194" s="6" t="str">
        <x:v>First 50%</x:v>
      </x:c>
      <x:c r="F194" s="6" t="str">
        <x:v>Short</x:v>
      </x:c>
      <x:c r="G194" s="6" t="str">
        <x:v>Short</x:v>
      </x:c>
      <x:c r="H194" s="6" t="str">
        <x:v>Morning</x:v>
      </x:c>
      <x:c r="I194" s="6" t="str">
        <x:v>Morning</x:v>
      </x:c>
      <x:c r="J194" s="6" t="str">
        <x:v>Bull</x:v>
      </x:c>
      <x:c r="K194" s="6" t="str">
        <x:v>Bull</x:v>
      </x:c>
      <x:c r="L194" s="6" t="str">
        <x:v>HIGH</x:v>
      </x:c>
      <x:c r="M194" s="7" t="str">
        <x:v>2024-08-07 10:40:00-05:00</x:v>
      </x:c>
      <x:c r="N194" s="6" t="str">
        <x:v>75.0</x:v>
      </x:c>
      <x:c r="O194" s="6" t="str">
        <x:v>75-79</x:v>
      </x:c>
      <x:c r="P194" s="6" t="str">
        <x:v>Matching BOS only</x:v>
      </x:c>
      <x:c r="Q194" s="6" t="str">
        <x:v>Bear CHoCH</x:v>
      </x:c>
      <x:c r="R194" s="6" t="str">
        <x:v>True</x:v>
      </x:c>
      <x:c r="S194" s="6" t="str">
        <x:v>False</x:v>
      </x:c>
      <x:c r="T194" s="6" t="str">
        <x:v>No recent matching sweep</x:v>
      </x:c>
      <x:c r="U194" s="6" t="str">
        <x:v>None</x:v>
      </x:c>
      <x:c r="V194" s="6" t="str">
        <x:v>None</x:v>
      </x:c>
      <x:c r="W194" s="6" t="str">
        <x:v>[]</x:v>
      </x:c>
      <x:c r="X194" s="8" t="str">
        <x:v>0</x:v>
      </x:c>
      <x:c r="Y194" s="8" t="str"/>
      <x:c r="Z194" s="6" t="str">
        <x:v>None</x:v>
      </x:c>
      <x:c r="AA194" s="6" t="str">
        <x:v>17668.25</x:v>
      </x:c>
      <x:c r="AB194" s="9" t="str">
        <x:v>0.3452637691754729</x:v>
      </x:c>
      <x:c r="AC194" s="9" t="str">
        <x:v>1.349184574931848</x:v>
      </x:c>
      <x:c r="AD194" s="9" t="str">
        <x:v>1.5191605843720808</x:v>
      </x:c>
      <x:c r="AE194" s="6" t="str">
        <x:v>With trade</x:v>
      </x:c>
      <x:c r="AF194" s="7" t="str">
        <x:v>2024-08-07 10:40:00-05:00</x:v>
      </x:c>
      <x:c r="AG194" s="6" t="str">
        <x:v>Short</x:v>
      </x:c>
      <x:c r="AH194" s="6" t="str">
        <x:v>17668.25</x:v>
      </x:c>
      <x:c r="AI194" s="8" t="str">
        <x:v>0</x:v>
      </x:c>
      <x:c r="AJ194" s="6" t="str">
        <x:v>True</x:v>
      </x:c>
      <x:c r="AK194" s="6" t="str">
        <x:v>Same-bar Setup+BOS</x:v>
      </x:c>
      <x:c r="AL194" s="9" t="str">
        <x:v>1.36511982581687</x:v>
      </x:c>
      <x:c r="AM194" s="9" t="str">
        <x:v>0.3452637691754729</x:v>
      </x:c>
      <x:c r="AN194" s="9" t="str">
        <x:v>1.349184574931848</x:v>
      </x:c>
      <x:c r="AO194" s="9" t="str">
        <x:v>1.5191605843720808</x:v>
      </x:c>
      <x:c r="AP194" s="10" t="str">
        <x:v>0.8881118881118881</x:v>
      </x:c>
      <x:c r="AQ194" s="6" t="str">
        <x:v>0.08041958041958042</x:v>
      </x:c>
      <x:c r="AR194" s="6" t="str">
        <x:v>0.03146853146853147</x:v>
      </x:c>
      <x:c r="AS194" s="6" t="str">
        <x:v>With trade</x:v>
      </x:c>
      <x:c r="AT194" s="6" t="str">
        <x:v>0.9962949979034775</x:v>
      </x:c>
      <x:c r="AU194" s="7" t="str">
        <x:v>2024-08-07 10:50:00-05:00</x:v>
      </x:c>
      <x:c r="AV194" s="8" t="str">
        <x:v>2</x:v>
      </x:c>
      <x:c r="AW194" s="6" t="str">
        <x:v>Delayed retest (2+ bars)</x:v>
      </x:c>
      <x:c r="AX194" s="6" t="str">
        <x:v>17666.0</x:v>
      </x:c>
      <x:c r="AY194" s="6" t="str">
        <x:v>0.0</x:v>
      </x:c>
      <x:c r="AZ194" s="9" t="str">
        <x:v>0.0</x:v>
      </x:c>
      <x:c r="BA194" s="9" t="str">
        <x:v>0.26962833707333617</x:v>
      </x:c>
      <x:c r="BB194" s="9" t="str">
        <x:v>0.9199084441325586</x:v>
      </x:c>
      <x:c r="BC194" s="9" t="str">
        <x:v>0.549830334424058</x:v>
      </x:c>
      <x:c r="BD194" s="6" t="str">
        <x:v>0.2413793103448276</x:v>
      </x:c>
      <x:c r="BE194" s="6" t="str">
        <x:v>0.16091954022988506</x:v>
      </x:c>
      <x:c r="BF194" s="9" t="str">
        <x:v>0.22204686582510036</x:v>
      </x:c>
      <x:c r="BG194" s="9" t="str">
        <x:v>0.14803124388340025</x:v>
      </x:c>
      <x:c r="BH194" s="6" t="str">
        <x:v>Against trade</x:v>
      </x:c>
      <x:c r="BI194" s="6" t="str">
        <x:v>Tolerance-only shallow touch</x:v>
      </x:c>
      <x:c r="BJ194" s="6" t="str">
        <x:v>True</x:v>
      </x:c>
      <x:c r="BK194" s="10" t="str">
        <x:v>False</x:v>
      </x:c>
      <x:c r="BL194" s="6" t="str">
        <x:v>True</x:v>
      </x:c>
      <x:c r="BM194" s="7" t="str">
        <x:v>2024-08-07 11:00:00-05:00</x:v>
      </x:c>
      <x:c r="BN194" s="8" t="str">
        <x:v>2</x:v>
      </x:c>
      <x:c r="BO194" s="6" t="str">
        <x:v>Delayed confirmation (2+ bars)</x:v>
      </x:c>
      <x:c r="BP194" s="9" t="str">
        <x:v>1.9313567877247355</x:v>
      </x:c>
      <x:c r="BQ194" s="9" t="str">
        <x:v>2.361083672993489</x:v>
      </x:c>
      <x:c r="BR194" s="10" t="str">
        <x:v>0.8179959100204499</x:v>
      </x:c>
      <x:c r="BS194" s="9" t="str">
        <x:v>2.0279246271109725</x:v>
      </x:c>
      <x:c r="BT194" s="9" t="str">
        <x:v>1.7816766366760686</x:v>
      </x:c>
      <x:c r="BU194" s="9" t="str">
        <x:v>0.03379874378518287</x:v>
      </x:c>
      <x:c r="BV194" s="6" t="str">
        <x:v>With trade</x:v>
      </x:c>
      <x:c r="BW194" s="7" t="str">
        <x:v>2024-08-07 11:00:00-05:00</x:v>
      </x:c>
      <x:c r="BX194" s="6" t="str">
        <x:v>17563.25</x:v>
      </x:c>
      <x:c r="BY194" s="9" t="str">
        <x:v>51.77707228181621</x:v>
      </x:c>
      <x:c r="BZ194" s="9" t="str">
        <x:v>1.0</x:v>
      </x:c>
      <x:c r="CA194" s="6" t="str">
        <x:v>17640.915608422725</x:v>
      </x:c>
      <x:c r="CB194" s="6" t="str">
        <x:v>77.6656084227252</x:v>
      </x:c>
      <x:c r="CC194" s="9" t="str">
        <x:v>1.500000000000017</x:v>
      </x:c>
      <x:c r="CD194" s="6" t="str">
        <x:v>17407.91878315455</x:v>
      </x:c>
      <x:c r="CE194" s="6" t="str">
        <x:v>155.3312168454504</x:v>
      </x:c>
      <x:c r="CF194" s="6" t="str">
        <x:v>Fixed 2.00R target</x:v>
      </x:c>
      <x:c r="CG194" s="9" t="str">
        <x:v>0.00933489114066945</x:v>
      </x:c>
      <x:c r="CH194" s="9" t="str">
        <x:v>-1.0</x:v>
      </x:c>
      <x:c r="CI194" s="9" t="str">
        <x:v>-1.0093348911406694</x:v>
      </x:c>
      <x:c r="CJ194" s="6" t="str">
        <x:v>Loss</x:v>
      </x:c>
      <x:c r="CK194" s="9" t="str">
        <x:v>0.08047319948852973</x:v>
      </x:c>
      <x:c r="CL194" s="9" t="str">
        <x:v>1.242506200102899</x:v>
      </x:c>
      <x:c r="CM194" s="7" t="str">
        <x:v>2024-08-07 11:20:00-05:00</x:v>
      </x:c>
      <x:c r="CN194" s="6" t="str">
        <x:v>17640.915608422725</x:v>
      </x:c>
      <x:c r="CO194" s="6" t="str">
        <x:v>STOP</x:v>
      </x:c>
      <x:c r="CP194" s="6" t="str">
        <x:v>F::Short::Same-bar Setup+BOS::Tolerance-only shallow touch</x:v>
      </x:c>
    </x:row>
    <x:row r="195" ht="18" customHeight="1">
      <x:c r="A195" s="6" t="str">
        <x:v>A0194</x:v>
      </x:c>
      <x:c r="B195" s="6" t="str">
        <x:v>2024-08-11</x:v>
      </x:c>
      <x:c r="C195" s="6" t="str">
        <x:v>2024</x:v>
      </x:c>
      <x:c r="D195" s="6" t="str">
        <x:v>2024-Q3</x:v>
      </x:c>
      <x:c r="E195" s="6" t="str">
        <x:v>First 50%</x:v>
      </x:c>
      <x:c r="F195" s="6" t="str">
        <x:v>Long</x:v>
      </x:c>
      <x:c r="G195" s="6" t="str">
        <x:v>Long</x:v>
      </x:c>
      <x:c r="H195" s="6" t="str">
        <x:v>Overnight</x:v>
      </x:c>
      <x:c r="I195" s="6" t="str">
        <x:v>Overnight</x:v>
      </x:c>
      <x:c r="J195" s="6" t="str">
        <x:v>Bull</x:v>
      </x:c>
      <x:c r="K195" s="6" t="str">
        <x:v>Bull</x:v>
      </x:c>
      <x:c r="L195" s="6" t="str">
        <x:v>LOW</x:v>
      </x:c>
      <x:c r="M195" s="7" t="str">
        <x:v>2024-08-11 21:15:00-05:00</x:v>
      </x:c>
      <x:c r="N195" s="6" t="str">
        <x:v>75.0</x:v>
      </x:c>
      <x:c r="O195" s="6" t="str">
        <x:v>75-79</x:v>
      </x:c>
      <x:c r="P195" s="6" t="str">
        <x:v>Matching BOS only</x:v>
      </x:c>
      <x:c r="Q195" s="6" t="str">
        <x:v>Bull BOS</x:v>
      </x:c>
      <x:c r="R195" s="6" t="str">
        <x:v>True</x:v>
      </x:c>
      <x:c r="S195" s="6" t="str">
        <x:v>False</x:v>
      </x:c>
      <x:c r="T195" s="6" t="str">
        <x:v>Recent SSL</x:v>
      </x:c>
      <x:c r="U195" s="6" t="str">
        <x:v>SSL</x:v>
      </x:c>
      <x:c r="V195" s="6" t="str">
        <x:v>Swing low / sell-side</x:v>
      </x:c>
      <x:c r="W195" s="6" t="str">
        <x:v>[17851.25]</x:v>
      </x:c>
      <x:c r="X195" s="8" t="str">
        <x:v>1</x:v>
      </x:c>
      <x:c r="Y195" s="8" t="str">
        <x:v>14.0</x:v>
      </x:c>
      <x:c r="Z195" s="6" t="str">
        <x:v>None</x:v>
      </x:c>
      <x:c r="AA195" s="6" t="str">
        <x:v>17889.25</x:v>
      </x:c>
      <x:c r="AB195" s="9" t="str">
        <x:v>0.25560323207499663</x:v>
      </x:c>
      <x:c r="AC195" s="9" t="str">
        <x:v>0.43133045412655685</x:v>
      </x:c>
      <x:c r="AD195" s="9" t="str">
        <x:v>0.8946113122624882</x:v>
      </x:c>
      <x:c r="AE195" s="6" t="str">
        <x:v>With trade</x:v>
      </x:c>
      <x:c r="AF195" s="7" t="str">
        <x:v>2024-08-11 21:15:00-05:00</x:v>
      </x:c>
      <x:c r="AG195" s="6" t="str">
        <x:v>Long</x:v>
      </x:c>
      <x:c r="AH195" s="6" t="str">
        <x:v>17889.25</x:v>
      </x:c>
      <x:c r="AI195" s="8" t="str">
        <x:v>0</x:v>
      </x:c>
      <x:c r="AJ195" s="6" t="str">
        <x:v>True</x:v>
      </x:c>
      <x:c r="AK195" s="6" t="str">
        <x:v>Same-bar Setup+BOS</x:v>
      </x:c>
      <x:c r="AL195" s="9" t="str">
        <x:v>0.383404848112495</x:v>
      </x:c>
      <x:c r="AM195" s="9" t="str">
        <x:v>0.25560323207499663</x:v>
      </x:c>
      <x:c r="AN195" s="9" t="str">
        <x:v>0.43133045412655685</x:v>
      </x:c>
      <x:c r="AO195" s="9" t="str">
        <x:v>0.8946113122624882</x:v>
      </x:c>
      <x:c r="AP195" s="10" t="str">
        <x:v>0.48214285714285715</x:v>
      </x:c>
      <x:c r="AQ195" s="6" t="str">
        <x:v>0.0</x:v>
      </x:c>
      <x:c r="AR195" s="6" t="str">
        <x:v>0.5178571428571429</x:v>
      </x:c>
      <x:c r="AS195" s="6" t="str">
        <x:v>With trade</x:v>
      </x:c>
      <x:c r="AT195" s="6" t="str">
        <x:v>0.8707753479125249</x:v>
      </x:c>
      <x:c r="AU195" s="7" t="str">
        <x:v>2024-08-11 21:20:00-05:00</x:v>
      </x:c>
      <x:c r="AV195" s="8" t="str">
        <x:v>1</x:v>
      </x:c>
      <x:c r="AW195" s="6" t="str">
        <x:v>Immediate retest (1 bar)</x:v>
      </x:c>
      <x:c r="AX195" s="6" t="str">
        <x:v>17885.25</x:v>
      </x:c>
      <x:c r="AY195" s="6" t="str">
        <x:v>4.0</x:v>
      </x:c>
      <x:c r="AZ195" s="9" t="str">
        <x:v>0.2645373838663899</x:v>
      </x:c>
      <x:c r="BA195" s="9" t="str">
        <x:v>-0.09920151894989622</x:v>
      </x:c>
      <x:c r="BB195" s="9" t="str">
        <x:v>0.5456083542244292</x:v>
      </x:c>
      <x:c r="BC195" s="9" t="str">
        <x:v>0.31413814334133805</x:v>
      </x:c>
      <x:c r="BD195" s="6" t="str">
        <x:v>0.12121212121212122</x:v>
      </x:c>
      <x:c r="BE195" s="6" t="str">
        <x:v>0.30303030303030304</x:v>
      </x:c>
      <x:c r="BF195" s="9" t="str">
        <x:v>0.16533586491649369</x:v>
      </x:c>
      <x:c r="BG195" s="9" t="str">
        <x:v>0.06613434596659748</x:v>
      </x:c>
      <x:c r="BH195" s="6" t="str">
        <x:v>Against trade</x:v>
      </x:c>
      <x:c r="BI195" s="6" t="str">
        <x:v>Penetration without same-bar reclaim</x:v>
      </x:c>
      <x:c r="BJ195" s="6" t="str">
        <x:v>False</x:v>
      </x:c>
      <x:c r="BK195" s="10" t="str">
        <x:v>True</x:v>
      </x:c>
      <x:c r="BL195" s="6" t="str">
        <x:v>False</x:v>
      </x:c>
      <x:c r="BM195" s="7" t="str">
        <x:v>2024-08-11 21:25:00-05:00</x:v>
      </x:c>
      <x:c r="BN195" s="8" t="str">
        <x:v>1</x:v>
      </x:c>
      <x:c r="BO195" s="6" t="str">
        <x:v>Immediate confirmation (1 bar)</x:v>
      </x:c>
      <x:c r="BP195" s="9" t="str">
        <x:v>0.7784418612925845</x:v>
      </x:c>
      <x:c r="BQ195" s="9" t="str">
        <x:v>0.9771929748140954</x:v>
      </x:c>
      <x:c r="BR195" s="10" t="str">
        <x:v>0.7966101694915254</x:v>
      </x:c>
      <x:c r="BS195" s="9" t="str">
        <x:v>0.6956288973252883</x:v>
      </x:c>
      <x:c r="BT195" s="9" t="str">
        <x:v>0.7950044540860437</x:v>
      </x:c>
      <x:c r="BU195" s="9" t="str">
        <x:v>0.08281296396729622</x:v>
      </x:c>
      <x:c r="BV195" s="6" t="str">
        <x:v>With trade</x:v>
      </x:c>
      <x:c r="BW195" s="7" t="str">
        <x:v>2024-08-11 21:25:00-05:00</x:v>
      </x:c>
      <x:c r="BX195" s="6" t="str">
        <x:v>17899.75</x:v>
      </x:c>
      <x:c r="BY195" s="9" t="str">
        <x:v>15.094255055206563</x:v>
      </x:c>
      <x:c r="BZ195" s="9" t="str">
        <x:v>0.0</x:v>
      </x:c>
      <x:c r="CA195" s="6" t="str">
        <x:v>17877.10861741719</x:v>
      </x:c>
      <x:c r="CB195" s="6" t="str">
        <x:v>22.641382582809456</x:v>
      </x:c>
      <x:c r="CC195" s="9" t="str">
        <x:v>1.4999999999999742</x:v>
      </x:c>
      <x:c r="CD195" s="6" t="str">
        <x:v>17945.03276516562</x:v>
      </x:c>
      <x:c r="CE195" s="6" t="str">
        <x:v>45.28276516561891</x:v>
      </x:c>
      <x:c r="CF195" s="6" t="str">
        <x:v>Fixed 2.00R target</x:v>
      </x:c>
      <x:c r="CG195" s="9" t="str">
        <x:v>0.032021012734021755</x:v>
      </x:c>
      <x:c r="CH195" s="9" t="str">
        <x:v>0.2650014846953479</x:v>
      </x:c>
      <x:c r="CI195" s="9" t="str">
        <x:v>0.23298047196132615</x:v>
      </x:c>
      <x:c r="CJ195" s="6" t="str">
        <x:v>Win</x:v>
      </x:c>
      <x:c r="CK195" s="9" t="str">
        <x:v>1.3139656949477894</x:v>
      </x:c>
      <x:c r="CL195" s="9" t="str">
        <x:v>0.18770938499254133</x:v>
      </x:c>
      <x:c r="CM195" s="7" t="str">
        <x:v>2024-08-11 22:25:00-05:00</x:v>
      </x:c>
      <x:c r="CN195" s="6" t="str">
        <x:v>17905.75</x:v>
      </x:c>
      <x:c r="CO195" s="6" t="str">
        <x:v>TIME</x:v>
      </x:c>
      <x:c r="CP195" s="6" t="str">
        <x:v>F::Long::Same-bar Setup+BOS::Penetration without same-bar reclaim</x:v>
      </x:c>
    </x:row>
    <x:row r="196" ht="18" customHeight="1">
      <x:c r="A196" s="6" t="str">
        <x:v>A0195</x:v>
      </x:c>
      <x:c r="B196" s="6" t="str">
        <x:v>2024-08-12</x:v>
      </x:c>
      <x:c r="C196" s="6" t="str">
        <x:v>2024</x:v>
      </x:c>
      <x:c r="D196" s="6" t="str">
        <x:v>2024-Q3</x:v>
      </x:c>
      <x:c r="E196" s="6" t="str">
        <x:v>First 50%</x:v>
      </x:c>
      <x:c r="F196" s="6" t="str">
        <x:v>Short</x:v>
      </x:c>
      <x:c r="G196" s="6" t="str">
        <x:v>Short</x:v>
      </x:c>
      <x:c r="H196" s="6" t="str">
        <x:v>Midday</x:v>
      </x:c>
      <x:c r="I196" s="6" t="str">
        <x:v>Morning</x:v>
      </x:c>
      <x:c r="J196" s="6" t="str">
        <x:v>Neutral</x:v>
      </x:c>
      <x:c r="K196" s="6" t="str">
        <x:v>Bull</x:v>
      </x:c>
      <x:c r="L196" s="6" t="str">
        <x:v>HIGH</x:v>
      </x:c>
      <x:c r="M196" s="7" t="str">
        <x:v>2024-08-12 11:55:00-05:00</x:v>
      </x:c>
      <x:c r="N196" s="6" t="str">
        <x:v>75.0</x:v>
      </x:c>
      <x:c r="O196" s="6" t="str">
        <x:v>75-79</x:v>
      </x:c>
      <x:c r="P196" s="6" t="str">
        <x:v>Matching BOS only</x:v>
      </x:c>
      <x:c r="Q196" s="6" t="str">
        <x:v>Bear CHoCH</x:v>
      </x:c>
      <x:c r="R196" s="6" t="str">
        <x:v>True</x:v>
      </x:c>
      <x:c r="S196" s="6" t="str">
        <x:v>False</x:v>
      </x:c>
      <x:c r="T196" s="6" t="str">
        <x:v>No recent matching sweep</x:v>
      </x:c>
      <x:c r="U196" s="6" t="str">
        <x:v>None</x:v>
      </x:c>
      <x:c r="V196" s="6" t="str">
        <x:v>None</x:v>
      </x:c>
      <x:c r="W196" s="6" t="str">
        <x:v>[]</x:v>
      </x:c>
      <x:c r="X196" s="8" t="str">
        <x:v>0</x:v>
      </x:c>
      <x:c r="Y196" s="8" t="str"/>
      <x:c r="Z196" s="6" t="str">
        <x:v>None</x:v>
      </x:c>
      <x:c r="AA196" s="6" t="str">
        <x:v>17938.0</x:v>
      </x:c>
      <x:c r="AB196" s="9" t="str">
        <x:v>1.4627634722980325</x:v>
      </x:c>
      <x:c r="AC196" s="9" t="str">
        <x:v>1.8077548572739834</x:v>
      </x:c>
      <x:c r="AD196" s="9" t="str">
        <x:v>1.987150377461478</x:v>
      </x:c>
      <x:c r="AE196" s="6" t="str">
        <x:v>With trade</x:v>
      </x:c>
      <x:c r="AF196" s="7" t="str">
        <x:v>2024-08-12 11:55:00-05:00</x:v>
      </x:c>
      <x:c r="AG196" s="6" t="str">
        <x:v>Short</x:v>
      </x:c>
      <x:c r="AH196" s="6" t="str">
        <x:v>17938.0</x:v>
      </x:c>
      <x:c r="AI196" s="8" t="str">
        <x:v>0</x:v>
      </x:c>
      <x:c r="AJ196" s="6" t="str">
        <x:v>True</x:v>
      </x:c>
      <x:c r="AK196" s="6" t="str">
        <x:v>Same-bar Setup+BOS</x:v>
      </x:c>
      <x:c r="AL196" s="9" t="str">
        <x:v>1.8215545126730215</x:v>
      </x:c>
      <x:c r="AM196" s="9" t="str">
        <x:v>1.4627634722980325</x:v>
      </x:c>
      <x:c r="AN196" s="9" t="str">
        <x:v>1.8077548572739834</x:v>
      </x:c>
      <x:c r="AO196" s="9" t="str">
        <x:v>1.987150377461478</x:v>
      </x:c>
      <x:c r="AP196" s="10" t="str">
        <x:v>0.9097222222222222</x:v>
      </x:c>
      <x:c r="AQ196" s="6" t="str">
        <x:v>0.06597222222222222</x:v>
      </x:c>
      <x:c r="AR196" s="6" t="str">
        <x:v>0.024305555555555556</x:v>
      </x:c>
      <x:c r="AS196" s="6" t="str">
        <x:v>With trade</x:v>
      </x:c>
      <x:c r="AT196" s="6" t="str">
        <x:v>1.335806281149299</x:v>
      </x:c>
      <x:c r="AU196" s="7" t="str">
        <x:v>2024-08-12 12:20:00-05:00</x:v>
      </x:c>
      <x:c r="AV196" s="8" t="str">
        <x:v>5</x:v>
      </x:c>
      <x:c r="AW196" s="6" t="str">
        <x:v>Delayed retest (2+ bars)</x:v>
      </x:c>
      <x:c r="AX196" s="6" t="str">
        <x:v>17952.5</x:v>
      </x:c>
      <x:c r="AY196" s="6" t="str">
        <x:v>14.5</x:v>
      </x:c>
      <x:c r="AZ196" s="9" t="str">
        <x:v>0.42830006422093914</x:v>
      </x:c>
      <x:c r="BA196" s="9" t="str">
        <x:v>-0.02953793546351304</x:v>
      </x:c>
      <x:c r="BB196" s="9" t="str">
        <x:v>0.9009070316371478</x:v>
      </x:c>
      <x:c r="BC196" s="9" t="str">
        <x:v>0.4061466126233043</x:v>
      </x:c>
      <x:c r="BD196" s="6" t="str">
        <x:v>0.4426229508196721</x:v>
      </x:c>
      <x:c r="BE196" s="6" t="str">
        <x:v>0.10655737704918032</x:v>
      </x:c>
      <x:c r="BF196" s="9" t="str">
        <x:v>0.39876212875742606</x:v>
      </x:c>
      <x:c r="BG196" s="9" t="str">
        <x:v>0.09599829025641739</x:v>
      </x:c>
      <x:c r="BH196" s="6" t="str">
        <x:v>Against trade</x:v>
      </x:c>
      <x:c r="BI196" s="6" t="str">
        <x:v>Penetration without same-bar reclaim</x:v>
      </x:c>
      <x:c r="BJ196" s="6" t="str">
        <x:v>False</x:v>
      </x:c>
      <x:c r="BK196" s="10" t="str">
        <x:v>True</x:v>
      </x:c>
      <x:c r="BL196" s="6" t="str">
        <x:v>False</x:v>
      </x:c>
      <x:c r="BM196" s="7" t="str">
        <x:v>2024-08-12 12:25:00-05:00</x:v>
      </x:c>
      <x:c r="BN196" s="8" t="str">
        <x:v>1</x:v>
      </x:c>
      <x:c r="BO196" s="6" t="str">
        <x:v>Immediate confirmation (1 bar)</x:v>
      </x:c>
      <x:c r="BP196" s="9" t="str">
        <x:v>0.6741056381300822</x:v>
      </x:c>
      <x:c r="BQ196" s="9" t="str">
        <x:v>1.2394845604327318</x:v>
      </x:c>
      <x:c r="BR196" s="10" t="str">
        <x:v>0.543859649122807</x:v>
      </x:c>
      <x:c r="BS196" s="9" t="str">
        <x:v>0.637863399520938</x:v>
      </x:c>
      <x:c r="BT196" s="9" t="str">
        <x:v>0.6668571904082533</x:v>
      </x:c>
      <x:c r="BU196" s="9" t="str">
        <x:v>0.0</x:v>
      </x:c>
      <x:c r="BV196" s="6" t="str">
        <x:v>With trade</x:v>
      </x:c>
      <x:c r="BW196" s="7" t="str">
        <x:v>2024-08-12 12:25:00-05:00</x:v>
      </x:c>
      <x:c r="BX196" s="6" t="str">
        <x:v>17916.0</x:v>
      </x:c>
      <x:c r="BY196" s="9" t="str">
        <x:v>34.49014321330071</x:v>
      </x:c>
      <x:c r="BZ196" s="9" t="str">
        <x:v>0.8</x:v>
      </x:c>
      <x:c r="CA196" s="6" t="str">
        <x:v>17967.73521481995</x:v>
      </x:c>
      <x:c r="CB196" s="6" t="str">
        <x:v>51.73521481994976</x:v>
      </x:c>
      <x:c r="CC196" s="9" t="str">
        <x:v>1.499999999999962</x:v>
      </x:c>
      <x:c r="CD196" s="6" t="str">
        <x:v>17812.529570360097</x:v>
      </x:c>
      <x:c r="CE196" s="6" t="str">
        <x:v>103.47042963990316</x:v>
      </x:c>
      <x:c r="CF196" s="6" t="str">
        <x:v>Fixed 2.00R target</x:v>
      </x:c>
      <x:c r="CG196" s="9" t="str">
        <x:v>0.014013665595536113</x:v>
      </x:c>
      <x:c r="CH196" s="9" t="str">
        <x:v>0.6281988025584996</x:v>
      </x:c>
      <x:c r="CI196" s="9" t="str">
        <x:v>0.6141851369629635</x:v>
      </x:c>
      <x:c r="CJ196" s="6" t="str">
        <x:v>Win</x:v>
      </x:c>
      <x:c r="CK196" s="9" t="str">
        <x:v>1.3047205899292242</x:v>
      </x:c>
      <x:c r="CL196" s="9" t="str">
        <x:v>0.3624223860914512</x:v>
      </x:c>
      <x:c r="CM196" s="7" t="str">
        <x:v>2024-08-12 13:25:00-05:00</x:v>
      </x:c>
      <x:c r="CN196" s="6" t="str">
        <x:v>17883.5</x:v>
      </x:c>
      <x:c r="CO196" s="6" t="str">
        <x:v>TIME</x:v>
      </x:c>
      <x:c r="CP196" s="6" t="str">
        <x:v>F::Short::Same-bar Setup+BOS::Penetration without same-bar reclaim</x:v>
      </x:c>
    </x:row>
    <x:row r="197" ht="18" customHeight="1">
      <x:c r="A197" s="6" t="str">
        <x:v>A0196</x:v>
      </x:c>
      <x:c r="B197" s="6" t="str">
        <x:v>2024-08-15</x:v>
      </x:c>
      <x:c r="C197" s="6" t="str">
        <x:v>2024</x:v>
      </x:c>
      <x:c r="D197" s="6" t="str">
        <x:v>2024-Q3</x:v>
      </x:c>
      <x:c r="E197" s="6" t="str">
        <x:v>First 50%</x:v>
      </x:c>
      <x:c r="F197" s="6" t="str">
        <x:v>Long</x:v>
      </x:c>
      <x:c r="G197" s="6" t="str">
        <x:v>Long</x:v>
      </x:c>
      <x:c r="H197" s="6" t="str">
        <x:v>Midday</x:v>
      </x:c>
      <x:c r="I197" s="6" t="str">
        <x:v>Midday</x:v>
      </x:c>
      <x:c r="J197" s="6" t="str">
        <x:v>Bull</x:v>
      </x:c>
      <x:c r="K197" s="6" t="str">
        <x:v>Bull</x:v>
      </x:c>
      <x:c r="L197" s="6" t="str">
        <x:v>MID</x:v>
      </x:c>
      <x:c r="M197" s="7" t="str">
        <x:v>2024-08-15 12:45:00-05:00</x:v>
      </x:c>
      <x:c r="N197" s="6" t="str">
        <x:v>75.0</x:v>
      </x:c>
      <x:c r="O197" s="6" t="str">
        <x:v>75-79</x:v>
      </x:c>
      <x:c r="P197" s="6" t="str">
        <x:v>Matching BOS only</x:v>
      </x:c>
      <x:c r="Q197" s="6" t="str">
        <x:v>Bull BOS</x:v>
      </x:c>
      <x:c r="R197" s="6" t="str">
        <x:v>True</x:v>
      </x:c>
      <x:c r="S197" s="6" t="str">
        <x:v>False</x:v>
      </x:c>
      <x:c r="T197" s="6" t="str">
        <x:v>No recent matching sweep</x:v>
      </x:c>
      <x:c r="U197" s="6" t="str">
        <x:v>None</x:v>
      </x:c>
      <x:c r="V197" s="6" t="str">
        <x:v>None</x:v>
      </x:c>
      <x:c r="W197" s="6" t="str">
        <x:v>[]</x:v>
      </x:c>
      <x:c r="X197" s="8" t="str">
        <x:v>0</x:v>
      </x:c>
      <x:c r="Y197" s="8" t="str"/>
      <x:c r="Z197" s="6" t="str">
        <x:v>None</x:v>
      </x:c>
      <x:c r="AA197" s="6" t="str">
        <x:v>18832.5</x:v>
      </x:c>
      <x:c r="AB197" s="9" t="str">
        <x:v>0.2899226275816223</x:v>
      </x:c>
      <x:c r="AC197" s="9" t="str">
        <x:v>0.648874452206488</x:v>
      </x:c>
      <x:c r="AD197" s="9" t="str">
        <x:v>0.9249912403794616</x:v>
      </x:c>
      <x:c r="AE197" s="6" t="str">
        <x:v>With trade</x:v>
      </x:c>
      <x:c r="AF197" s="7" t="str">
        <x:v>2024-08-15 12:45:00-05:00</x:v>
      </x:c>
      <x:c r="AG197" s="6" t="str">
        <x:v>Long</x:v>
      </x:c>
      <x:c r="AH197" s="6" t="str">
        <x:v>18832.5</x:v>
      </x:c>
      <x:c r="AI197" s="8" t="str">
        <x:v>0</x:v>
      </x:c>
      <x:c r="AJ197" s="6" t="str">
        <x:v>True</x:v>
      </x:c>
      <x:c r="AK197" s="6" t="str">
        <x:v>Same-bar Setup+BOS</x:v>
      </x:c>
      <x:c r="AL197" s="9" t="str">
        <x:v>0.6350686127978392</x:v>
      </x:c>
      <x:c r="AM197" s="9" t="str">
        <x:v>0.2899226275816223</x:v>
      </x:c>
      <x:c r="AN197" s="9" t="str">
        <x:v>0.648874452206488</x:v>
      </x:c>
      <x:c r="AO197" s="9" t="str">
        <x:v>0.9249912403794616</x:v>
      </x:c>
      <x:c r="AP197" s="10" t="str">
        <x:v>0.7014925373134329</x:v>
      </x:c>
      <x:c r="AQ197" s="6" t="str">
        <x:v>0.2835820895522388</x:v>
      </x:c>
      <x:c r="AR197" s="6" t="str">
        <x:v>0.014925373134328358</x:v>
      </x:c>
      <x:c r="AS197" s="6" t="str">
        <x:v>With trade</x:v>
      </x:c>
      <x:c r="AT197" s="6" t="str">
        <x:v>1.1230837922309866</x:v>
      </x:c>
      <x:c r="AU197" s="7" t="str">
        <x:v>2024-08-15 13:10:00-05:00</x:v>
      </x:c>
      <x:c r="AV197" s="8" t="str">
        <x:v>5</x:v>
      </x:c>
      <x:c r="AW197" s="6" t="str">
        <x:v>Delayed retest (2+ bars)</x:v>
      </x:c>
      <x:c r="AX197" s="6" t="str">
        <x:v>18833.25</x:v>
      </x:c>
      <x:c r="AY197" s="6" t="str">
        <x:v>0.0</x:v>
      </x:c>
      <x:c r="AZ197" s="9" t="str">
        <x:v>0.0</x:v>
      </x:c>
      <x:c r="BA197" s="9" t="str">
        <x:v>0.11865685196467546</x:v>
      </x:c>
      <x:c r="BB197" s="9" t="str">
        <x:v>1.1124079871688324</x:v>
      </x:c>
      <x:c r="BC197" s="9" t="str">
        <x:v>0.8305979637527282</x:v>
      </x:c>
      <x:c r="BD197" s="6" t="str">
        <x:v>0.18666666666666668</x:v>
      </x:c>
      <x:c r="BE197" s="6" t="str">
        <x:v>0.06666666666666667</x:v>
      </x:c>
      <x:c r="BF197" s="9" t="str">
        <x:v>0.07416053247792216</x:v>
      </x:c>
      <x:c r="BG197" s="9" t="str">
        <x:v>0.20764949093818205</x:v>
      </x:c>
      <x:c r="BH197" s="6" t="str">
        <x:v>Against trade</x:v>
      </x:c>
      <x:c r="BI197" s="6" t="str">
        <x:v>Tolerance-only shallow touch</x:v>
      </x:c>
      <x:c r="BJ197" s="6" t="str">
        <x:v>True</x:v>
      </x:c>
      <x:c r="BK197" s="10" t="str">
        <x:v>False</x:v>
      </x:c>
      <x:c r="BL197" s="6" t="str">
        <x:v>True</x:v>
      </x:c>
      <x:c r="BM197" s="7" t="str">
        <x:v>2024-08-15 13:15:00-05:00</x:v>
      </x:c>
      <x:c r="BN197" s="8" t="str">
        <x:v>1</x:v>
      </x:c>
      <x:c r="BO197" s="6" t="str">
        <x:v>Immediate confirmation (1 bar)</x:v>
      </x:c>
      <x:c r="BP197" s="9" t="str">
        <x:v>0.6426862709066422</x:v>
      </x:c>
      <x:c r="BQ197" s="9" t="str">
        <x:v>1.1977335048714697</x:v>
      </x:c>
      <x:c r="BR197" s="10" t="str">
        <x:v>0.5365853658536586</x:v>
      </x:c>
      <x:c r="BS197" s="9" t="str">
        <x:v>0.7595383201623954</x:v>
      </x:c>
      <x:c r="BT197" s="9" t="str">
        <x:v>0.6426862709066422</x:v>
      </x:c>
      <x:c r="BU197" s="9" t="str">
        <x:v>0.39437566623816683</x:v>
      </x:c>
      <x:c r="BV197" s="6" t="str">
        <x:v>With trade</x:v>
      </x:c>
      <x:c r="BW197" s="7" t="str">
        <x:v>2024-08-15 13:15:00-05:00</x:v>
      </x:c>
      <x:c r="BX197" s="6" t="str">
        <x:v>18845.5</x:v>
      </x:c>
      <x:c r="BY197" s="9" t="str">
        <x:v>17.11566046755942</x:v>
      </x:c>
      <x:c r="BZ197" s="9" t="str">
        <x:v>0.34</x:v>
      </x:c>
      <x:c r="CA197" s="6" t="str">
        <x:v>18819.826509298662</x:v>
      </x:c>
      <x:c r="CB197" s="6" t="str">
        <x:v>25.67349070133787</x:v>
      </x:c>
      <x:c r="CC197" s="9" t="str">
        <x:v>1.4999999999999265</x:v>
      </x:c>
      <x:c r="CD197" s="6" t="str">
        <x:v>18896.84698140268</x:v>
      </x:c>
      <x:c r="CE197" s="6" t="str">
        <x:v>51.346981402679376</x:v>
      </x:c>
      <x:c r="CF197" s="6" t="str">
        <x:v>Fixed 2.00R target</x:v>
      </x:c>
      <x:c r="CG197" s="9" t="str">
        <x:v>0.028239245236808395</x:v>
      </x:c>
      <x:c r="CH197" s="9" t="str">
        <x:v>0.04868835385656381</x:v>
      </x:c>
      <x:c r="CI197" s="9" t="str">
        <x:v>0.020449108619755414</x:v>
      </x:c>
      <x:c r="CJ197" s="6" t="str">
        <x:v>Win</x:v>
      </x:c>
      <x:c r="CK197" s="9" t="str">
        <x:v>0.33108080622465014</x:v>
      </x:c>
      <x:c r="CL197" s="9" t="str">
        <x:v>0.7887513324763724</x:v>
      </x:c>
      <x:c r="CM197" s="7" t="str">
        <x:v>2024-08-15 14:15:00-05:00</x:v>
      </x:c>
      <x:c r="CN197" s="6" t="str">
        <x:v>18846.75</x:v>
      </x:c>
      <x:c r="CO197" s="6" t="str">
        <x:v>TIME</x:v>
      </x:c>
      <x:c r="CP197" s="6" t="str">
        <x:v>F::Long::Same-bar Setup+BOS::Tolerance-only shallow touch</x:v>
      </x:c>
    </x:row>
    <x:row r="198" ht="18" customHeight="1">
      <x:c r="A198" s="6" t="str">
        <x:v>A0197</x:v>
      </x:c>
      <x:c r="B198" s="6" t="str">
        <x:v>2024-08-19</x:v>
      </x:c>
      <x:c r="C198" s="6" t="str">
        <x:v>2024</x:v>
      </x:c>
      <x:c r="D198" s="6" t="str">
        <x:v>2024-Q3</x:v>
      </x:c>
      <x:c r="E198" s="6" t="str">
        <x:v>First 50%</x:v>
      </x:c>
      <x:c r="F198" s="6" t="str">
        <x:v>Long</x:v>
      </x:c>
      <x:c r="G198" s="6" t="str">
        <x:v>Long</x:v>
      </x:c>
      <x:c r="H198" s="6" t="str">
        <x:v>Midday</x:v>
      </x:c>
      <x:c r="I198" s="6" t="str">
        <x:v>Morning</x:v>
      </x:c>
      <x:c r="J198" s="6" t="str">
        <x:v>Bull</x:v>
      </x:c>
      <x:c r="K198" s="6" t="str">
        <x:v>Bull</x:v>
      </x:c>
      <x:c r="L198" s="6" t="str">
        <x:v>MID</x:v>
      </x:c>
      <x:c r="M198" s="7" t="str">
        <x:v>2024-08-19 11:50:00-05:00</x:v>
      </x:c>
      <x:c r="N198" s="6" t="str">
        <x:v>75.0</x:v>
      </x:c>
      <x:c r="O198" s="6" t="str">
        <x:v>75-79</x:v>
      </x:c>
      <x:c r="P198" s="6" t="str">
        <x:v>Matching BOS only</x:v>
      </x:c>
      <x:c r="Q198" s="6" t="str">
        <x:v>Bull BOS</x:v>
      </x:c>
      <x:c r="R198" s="6" t="str">
        <x:v>True</x:v>
      </x:c>
      <x:c r="S198" s="6" t="str">
        <x:v>False</x:v>
      </x:c>
      <x:c r="T198" s="6" t="str">
        <x:v>No recent matching sweep</x:v>
      </x:c>
      <x:c r="U198" s="6" t="str">
        <x:v>None</x:v>
      </x:c>
      <x:c r="V198" s="6" t="str">
        <x:v>None</x:v>
      </x:c>
      <x:c r="W198" s="6" t="str">
        <x:v>[]</x:v>
      </x:c>
      <x:c r="X198" s="8" t="str">
        <x:v>0</x:v>
      </x:c>
      <x:c r="Y198" s="8" t="str"/>
      <x:c r="Z198" s="6" t="str">
        <x:v>None</x:v>
      </x:c>
      <x:c r="AA198" s="6" t="str">
        <x:v>18942.5</x:v>
      </x:c>
      <x:c r="AB198" s="9" t="str">
        <x:v>0.8687314271415655</x:v>
      </x:c>
      <x:c r="AC198" s="9" t="str">
        <x:v>1.1824399980537974</x:v>
      </x:c>
      <x:c r="AD198" s="9" t="str">
        <x:v>1.278965712180638</x:v>
      </x:c>
      <x:c r="AE198" s="6" t="str">
        <x:v>With trade</x:v>
      </x:c>
      <x:c r="AF198" s="7" t="str">
        <x:v>2024-08-19 11:50:00-05:00</x:v>
      </x:c>
      <x:c r="AG198" s="6" t="str">
        <x:v>Long</x:v>
      </x:c>
      <x:c r="AH198" s="6" t="str">
        <x:v>18942.5</x:v>
      </x:c>
      <x:c r="AI198" s="8" t="str">
        <x:v>0</x:v>
      </x:c>
      <x:c r="AJ198" s="6" t="str">
        <x:v>True</x:v>
      </x:c>
      <x:c r="AK198" s="6" t="str">
        <x:v>Same-bar Setup+BOS</x:v>
      </x:c>
      <x:c r="AL198" s="9" t="str">
        <x:v>1.2065714265855076</x:v>
      </x:c>
      <x:c r="AM198" s="9" t="str">
        <x:v>0.8687314271415655</x:v>
      </x:c>
      <x:c r="AN198" s="9" t="str">
        <x:v>1.1824399980537974</x:v>
      </x:c>
      <x:c r="AO198" s="9" t="str">
        <x:v>1.278965712180638</x:v>
      </x:c>
      <x:c r="AP198" s="10" t="str">
        <x:v>0.9245283018867925</x:v>
      </x:c>
      <x:c r="AQ198" s="6" t="str">
        <x:v>0.0660377358490566</x:v>
      </x:c>
      <x:c r="AR198" s="6" t="str">
        <x:v>0.009433962264150943</x:v>
      </x:c>
      <x:c r="AS198" s="6" t="str">
        <x:v>With trade</x:v>
      </x:c>
      <x:c r="AT198" s="6" t="str">
        <x:v>1.9432588501129802</x:v>
      </x:c>
      <x:c r="AU198" s="7" t="str">
        <x:v>2024-08-19 12:10:00-05:00</x:v>
      </x:c>
      <x:c r="AV198" s="8" t="str">
        <x:v>4</x:v>
      </x:c>
      <x:c r="AW198" s="6" t="str">
        <x:v>Delayed retest (2+ bars)</x:v>
      </x:c>
      <x:c r="AX198" s="6" t="str">
        <x:v>18937.5</x:v>
      </x:c>
      <x:c r="AY198" s="6" t="str">
        <x:v>5.0</x:v>
      </x:c>
      <x:c r="AZ198" s="9" t="str">
        <x:v>0.26017955785167485</x:v>
      </x:c>
      <x:c r="BA198" s="9" t="str">
        <x:v>0.11708080103325369</x:v>
      </x:c>
      <x:c r="BB198" s="9" t="str">
        <x:v>1.1057631208696181</x:v>
      </x:c>
      <x:c r="BC198" s="9" t="str">
        <x:v>0.7285027619846896</x:v>
      </x:c>
      <x:c r="BD198" s="6" t="str">
        <x:v>0.0</x:v>
      </x:c>
      <x:c r="BE198" s="6" t="str">
        <x:v>0.3411764705882353</x:v>
      </x:c>
      <x:c r="BF198" s="9" t="str">
        <x:v>0.37726035888492854</x:v>
      </x:c>
      <x:c r="BG198" s="9" t="str">
        <x:v>0.0</x:v>
      </x:c>
      <x:c r="BH198" s="6" t="str">
        <x:v>Against trade</x:v>
      </x:c>
      <x:c r="BI198" s="6" t="str">
        <x:v>Penetration + same-bar reclaim</x:v>
      </x:c>
      <x:c r="BJ198" s="6" t="str">
        <x:v>False</x:v>
      </x:c>
      <x:c r="BK198" s="10" t="str">
        <x:v>True</x:v>
      </x:c>
      <x:c r="BL198" s="6" t="str">
        <x:v>True</x:v>
      </x:c>
      <x:c r="BM198" s="7" t="str">
        <x:v>2024-08-19 12:15:00-05:00</x:v>
      </x:c>
      <x:c r="BN198" s="8" t="str">
        <x:v>1</x:v>
      </x:c>
      <x:c r="BO198" s="6" t="str">
        <x:v>Immediate confirmation (1 bar)</x:v>
      </x:c>
      <x:c r="BP198" s="9" t="str">
        <x:v>0.3525100446765074</x:v>
      </x:c>
      <x:c r="BQ198" s="9" t="str">
        <x:v>0.9530827133846311</x:v>
      </x:c>
      <x:c r="BR198" s="10" t="str">
        <x:v>0.3698630136986301</x:v>
      </x:c>
      <x:c r="BS198" s="9" t="str">
        <x:v>0.4439015377407871</x:v>
      </x:c>
      <x:c r="BT198" s="9" t="str">
        <x:v>0.32639818951528465</x:v>
      </x:c>
      <x:c r="BU198" s="9" t="str">
        <x:v>0.4047337549989529</x:v>
      </x:c>
      <x:c r="BV198" s="6" t="str">
        <x:v>With trade</x:v>
      </x:c>
      <x:c r="BW198" s="7" t="str">
        <x:v>2024-08-19 12:15:00-05:00</x:v>
      </x:c>
      <x:c r="BX198" s="6" t="str">
        <x:v>18951.0</x:v>
      </x:c>
      <x:c r="BY198" s="9" t="str">
        <x:v>19.148390526557513</x:v>
      </x:c>
      <x:c r="BZ198" s="9" t="str">
        <x:v>0.59</x:v>
      </x:c>
      <x:c r="CA198" s="6" t="str">
        <x:v>18922.277414210163</x:v>
      </x:c>
      <x:c r="CB198" s="6" t="str">
        <x:v>28.722585789837467</x:v>
      </x:c>
      <x:c r="CC198" s="9" t="str">
        <x:v>1.5000000000000626</x:v>
      </x:c>
      <x:c r="CD198" s="6" t="str">
        <x:v>19008.44517157967</x:v>
      </x:c>
      <x:c r="CE198" s="6" t="str">
        <x:v>57.445171579671296</x:v>
      </x:c>
      <x:c r="CF198" s="6" t="str">
        <x:v>Fixed 2.00R target</x:v>
      </x:c>
      <x:c r="CG198" s="9" t="str">
        <x:v>0.02524145998918096</x:v>
      </x:c>
      <x:c r="CH198" s="9" t="str">
        <x:v>1.401336226985622</x:v>
      </x:c>
      <x:c r="CI198" s="9" t="str">
        <x:v>1.376094766996441</x:v>
      </x:c>
      <x:c r="CJ198" s="6" t="str">
        <x:v>Win</x:v>
      </x:c>
      <x:c r="CK198" s="9" t="str">
        <x:v>1.5580073579528937</x:v>
      </x:c>
      <x:c r="CL198" s="9" t="str">
        <x:v>0.13926322752651563</x:v>
      </x:c>
      <x:c r="CM198" s="7" t="str">
        <x:v>2024-08-19 13:15:00-05:00</x:v>
      </x:c>
      <x:c r="CN198" s="6" t="str">
        <x:v>18991.25</x:v>
      </x:c>
      <x:c r="CO198" s="6" t="str">
        <x:v>TIME</x:v>
      </x:c>
      <x:c r="CP198" s="6" t="str">
        <x:v>F::Long::Same-bar Setup+BOS::Penetration + same-bar reclaim</x:v>
      </x:c>
    </x:row>
    <x:row r="199" ht="18" customHeight="1">
      <x:c r="A199" s="6" t="str">
        <x:v>A0198</x:v>
      </x:c>
      <x:c r="B199" s="6" t="str">
        <x:v>2024-08-20</x:v>
      </x:c>
      <x:c r="C199" s="6" t="str">
        <x:v>2024</x:v>
      </x:c>
      <x:c r="D199" s="6" t="str">
        <x:v>2024-Q3</x:v>
      </x:c>
      <x:c r="E199" s="6" t="str">
        <x:v>First 50%</x:v>
      </x:c>
      <x:c r="F199" s="6" t="str">
        <x:v>Long</x:v>
      </x:c>
      <x:c r="G199" s="6" t="str">
        <x:v>Long</x:v>
      </x:c>
      <x:c r="H199" s="6" t="str">
        <x:v>Premarket</x:v>
      </x:c>
      <x:c r="I199" s="6" t="str">
        <x:v>Premarket</x:v>
      </x:c>
      <x:c r="J199" s="6" t="str">
        <x:v>Bull</x:v>
      </x:c>
      <x:c r="K199" s="6" t="str">
        <x:v>Bull</x:v>
      </x:c>
      <x:c r="L199" s="6" t="str">
        <x:v>HIGH</x:v>
      </x:c>
      <x:c r="M199" s="7" t="str">
        <x:v>2024-08-20 08:50:00-05:00</x:v>
      </x:c>
      <x:c r="N199" s="6" t="str">
        <x:v>90.0</x:v>
      </x:c>
      <x:c r="O199" s="6" t="str">
        <x:v>90-94</x:v>
      </x:c>
      <x:c r="P199" s="6" t="str">
        <x:v>Matching BOS only</x:v>
      </x:c>
      <x:c r="Q199" s="6" t="str">
        <x:v>Bull CHoCH</x:v>
      </x:c>
      <x:c r="R199" s="6" t="str">
        <x:v>True</x:v>
      </x:c>
      <x:c r="S199" s="6" t="str">
        <x:v>False</x:v>
      </x:c>
      <x:c r="T199" s="6" t="str">
        <x:v>Recent SSL</x:v>
      </x:c>
      <x:c r="U199" s="6" t="str">
        <x:v>SSL</x:v>
      </x:c>
      <x:c r="V199" s="6" t="str">
        <x:v>Swing low / sell-side</x:v>
      </x:c>
      <x:c r="W199" s="6" t="str">
        <x:v>[19107.5]</x:v>
      </x:c>
      <x:c r="X199" s="8" t="str">
        <x:v>1</x:v>
      </x:c>
      <x:c r="Y199" s="8" t="str">
        <x:v>11.0</x:v>
      </x:c>
      <x:c r="Z199" s="6" t="str">
        <x:v>None</x:v>
      </x:c>
      <x:c r="AA199" s="6" t="str">
        <x:v>19144.5</x:v>
      </x:c>
      <x:c r="AB199" s="9" t="str">
        <x:v>1.504853855352101</x:v>
      </x:c>
      <x:c r="AC199" s="9" t="str">
        <x:v>1.504853855352101</x:v>
      </x:c>
      <x:c r="AD199" s="9" t="str">
        <x:v>2.086919969214706</x:v>
      </x:c>
      <x:c r="AE199" s="6" t="str">
        <x:v>With trade</x:v>
      </x:c>
      <x:c r="AF199" s="7" t="str">
        <x:v>2024-08-20 08:50:00-05:00</x:v>
      </x:c>
      <x:c r="AG199" s="6" t="str">
        <x:v>Long</x:v>
      </x:c>
      <x:c r="AH199" s="6" t="str">
        <x:v>19144.5</x:v>
      </x:c>
      <x:c r="AI199" s="8" t="str">
        <x:v>0</x:v>
      </x:c>
      <x:c r="AJ199" s="6" t="str">
        <x:v>True</x:v>
      </x:c>
      <x:c r="AK199" s="6" t="str">
        <x:v>Same-bar Setup+BOS</x:v>
      </x:c>
      <x:c r="AL199" s="9" t="str">
        <x:v>1.504853855352101</x:v>
      </x:c>
      <x:c r="AM199" s="9" t="str">
        <x:v>1.504853855352101</x:v>
      </x:c>
      <x:c r="AN199" s="9" t="str">
        <x:v>1.504853855352101</x:v>
      </x:c>
      <x:c r="AO199" s="9" t="str">
        <x:v>2.086919969214706</x:v>
      </x:c>
      <x:c r="AP199" s="10" t="str">
        <x:v>0.7210884353741497</x:v>
      </x:c>
      <x:c r="AQ199" s="6" t="str">
        <x:v>0.034013605442176874</x:v>
      </x:c>
      <x:c r="AR199" s="6" t="str">
        <x:v>0.24489795918367346</x:v>
      </x:c>
      <x:c r="AS199" s="6" t="str">
        <x:v>With trade</x:v>
      </x:c>
      <x:c r="AT199" s="6" t="str">
        <x:v>2.837938523485677</x:v>
      </x:c>
      <x:c r="AU199" s="7" t="str">
        <x:v>2024-08-20 09:00:00-05:00</x:v>
      </x:c>
      <x:c r="AV199" s="8" t="str">
        <x:v>2</x:v>
      </x:c>
      <x:c r="AW199" s="6" t="str">
        <x:v>Delayed retest (2+ bars)</x:v>
      </x:c>
      <x:c r="AX199" s="6" t="str">
        <x:v>19141.75</x:v>
      </x:c>
      <x:c r="AY199" s="6" t="str">
        <x:v>2.75</x:v>
      </x:c>
      <x:c r="AZ199" s="9" t="str">
        <x:v>0.13770949761543333</x:v>
      </x:c>
      <x:c r="BA199" s="9" t="str">
        <x:v>0.46320467379736663</x:v>
      </x:c>
      <x:c r="BB199" s="9" t="str">
        <x:v>2.2158710070847</x:v>
      </x:c>
      <x:c r="BC199" s="9" t="str">
        <x:v>1.3645759309165666</x:v>
      </x:c>
      <x:c r="BD199" s="6" t="str">
        <x:v>0.11299435028248588</x:v>
      </x:c>
      <x:c r="BE199" s="6" t="str">
        <x:v>0.2711864406779661</x:v>
      </x:c>
      <x:c r="BF199" s="9" t="str">
        <x:v>0.6009141714127999</x:v>
      </x:c>
      <x:c r="BG199" s="9" t="str">
        <x:v>0.2503809047553333</x:v>
      </x:c>
      <x:c r="BH199" s="6" t="str">
        <x:v>Against trade</x:v>
      </x:c>
      <x:c r="BI199" s="6" t="str">
        <x:v>Penetration + same-bar reclaim</x:v>
      </x:c>
      <x:c r="BJ199" s="6" t="str">
        <x:v>False</x:v>
      </x:c>
      <x:c r="BK199" s="10" t="str">
        <x:v>True</x:v>
      </x:c>
      <x:c r="BL199" s="6" t="str">
        <x:v>True</x:v>
      </x:c>
      <x:c r="BM199" s="7" t="str">
        <x:v>2024-08-20 09:05:00-05:00</x:v>
      </x:c>
      <x:c r="BN199" s="8" t="str">
        <x:v>1</x:v>
      </x:c>
      <x:c r="BO199" s="6" t="str">
        <x:v>Immediate confirmation (1 bar)</x:v>
      </x:c>
      <x:c r="BP199" s="9" t="str">
        <x:v>0.4090602971276256</x:v>
      </x:c>
      <x:c r="BQ199" s="9" t="str">
        <x:v>1.1280147587458766</x:v>
      </x:c>
      <x:c r="BR199" s="10" t="str">
        <x:v>0.3626373626373626</x:v>
      </x:c>
      <x:c r="BS199" s="9" t="str">
        <x:v>0.9172867268922513</x:v>
      </x:c>
      <x:c r="BT199" s="9" t="str">
        <x:v>0.45864336344612566</x:v>
      </x:c>
      <x:c r="BU199" s="9" t="str">
        <x:v>0.30989416449062546</x:v>
      </x:c>
      <x:c r="BV199" s="6" t="str">
        <x:v>With trade</x:v>
      </x:c>
      <x:c r="BW199" s="7" t="str">
        <x:v>2024-08-20 09:05:00-05:00</x:v>
      </x:c>
      <x:c r="BX199" s="6" t="str">
        <x:v>19163.0</x:v>
      </x:c>
      <x:c r="BY199" s="9" t="str">
        <x:v>20.168175836008903</x:v>
      </x:c>
      <x:c r="BZ199" s="9" t="str">
        <x:v>1.0</x:v>
      </x:c>
      <x:c r="CA199" s="6" t="str">
        <x:v>19132.747736245987</x:v>
      </x:c>
      <x:c r="CB199" s="6" t="str">
        <x:v>30.252263754013256</x:v>
      </x:c>
      <x:c r="CC199" s="9" t="str">
        <x:v>1.4999999999999951</x:v>
      </x:c>
      <x:c r="CD199" s="6" t="str">
        <x:v>19223.504527508027</x:v>
      </x:c>
      <x:c r="CE199" s="6" t="str">
        <x:v>60.50452750802651</x:v>
      </x:c>
      <x:c r="CF199" s="6" t="str">
        <x:v>Fixed 2.00R target</x:v>
      </x:c>
      <x:c r="CG199" s="9" t="str">
        <x:v>0.023965148720608443</x:v>
      </x:c>
      <x:c r="CH199" s="9" t="str">
        <x:v>-1.0</x:v>
      </x:c>
      <x:c r="CI199" s="9" t="str">
        <x:v>-1.0239651487206085</x:v>
      </x:c>
      <x:c r="CJ199" s="6" t="str">
        <x:v>Loss</x:v>
      </x:c>
      <x:c r="CK199" s="9" t="str">
        <x:v>0.03305537754566682</x:v>
      </x:c>
      <x:c r="CL199" s="9" t="str">
        <x:v>2.495681004697845</x:v>
      </x:c>
      <x:c r="CM199" s="7" t="str">
        <x:v>2024-08-20 09:10:00-05:00</x:v>
      </x:c>
      <x:c r="CN199" s="6" t="str">
        <x:v>19132.747736245987</x:v>
      </x:c>
      <x:c r="CO199" s="6" t="str">
        <x:v>STOP</x:v>
      </x:c>
      <x:c r="CP199" s="6" t="str">
        <x:v>F::Long::Same-bar Setup+BOS::Penetration + same-bar reclaim</x:v>
      </x:c>
    </x:row>
    <x:row r="200" ht="18" customHeight="1">
      <x:c r="A200" s="6" t="str">
        <x:v>A0199</x:v>
      </x:c>
      <x:c r="B200" s="6" t="str">
        <x:v>2024-08-22</x:v>
      </x:c>
      <x:c r="C200" s="6" t="str">
        <x:v>2024</x:v>
      </x:c>
      <x:c r="D200" s="6" t="str">
        <x:v>2024-Q3</x:v>
      </x:c>
      <x:c r="E200" s="6" t="str">
        <x:v>First 50%</x:v>
      </x:c>
      <x:c r="F200" s="6" t="str">
        <x:v>Short</x:v>
      </x:c>
      <x:c r="G200" s="6" t="str">
        <x:v>Short</x:v>
      </x:c>
      <x:c r="H200" s="6" t="str">
        <x:v>Overnight</x:v>
      </x:c>
      <x:c r="I200" s="6" t="str">
        <x:v>Overnight</x:v>
      </x:c>
      <x:c r="J200" s="6" t="str">
        <x:v>Bull</x:v>
      </x:c>
      <x:c r="K200" s="6" t="str">
        <x:v>Bull</x:v>
      </x:c>
      <x:c r="L200" s="6" t="str">
        <x:v>HIGH</x:v>
      </x:c>
      <x:c r="M200" s="7" t="str">
        <x:v>2024-08-22 02:30:00-05:00</x:v>
      </x:c>
      <x:c r="N200" s="6" t="str">
        <x:v>90.0</x:v>
      </x:c>
      <x:c r="O200" s="6" t="str">
        <x:v>90-94</x:v>
      </x:c>
      <x:c r="P200" s="6" t="str">
        <x:v>Matching BOS only</x:v>
      </x:c>
      <x:c r="Q200" s="6" t="str">
        <x:v>Bear CHoCH</x:v>
      </x:c>
      <x:c r="R200" s="6" t="str">
        <x:v>True</x:v>
      </x:c>
      <x:c r="S200" s="6" t="str">
        <x:v>False</x:v>
      </x:c>
      <x:c r="T200" s="6" t="str">
        <x:v>Recent BSL</x:v>
      </x:c>
      <x:c r="U200" s="6" t="str">
        <x:v>BSL</x:v>
      </x:c>
      <x:c r="V200" s="6" t="str">
        <x:v>Swing high / buy-side</x:v>
      </x:c>
      <x:c r="W200" s="6" t="str">
        <x:v>[19176.25]</x:v>
      </x:c>
      <x:c r="X200" s="8" t="str">
        <x:v>1</x:v>
      </x:c>
      <x:c r="Y200" s="8" t="str">
        <x:v>9.0</x:v>
      </x:c>
      <x:c r="Z200" s="6" t="str">
        <x:v>None</x:v>
      </x:c>
      <x:c r="AA200" s="6" t="str">
        <x:v>19166.5</x:v>
      </x:c>
      <x:c r="AB200" s="9" t="str">
        <x:v>0.1730703179159096</x:v>
      </x:c>
      <x:c r="AC200" s="9" t="str">
        <x:v>1.6730130731871262</x:v>
      </x:c>
      <x:c r="AD200" s="9" t="str">
        <x:v>2.1345339209628853</x:v>
      </x:c>
      <x:c r="AE200" s="6" t="str">
        <x:v>With trade</x:v>
      </x:c>
      <x:c r="AF200" s="7" t="str">
        <x:v>2024-08-22 02:30:00-05:00</x:v>
      </x:c>
      <x:c r="AG200" s="6" t="str">
        <x:v>Short</x:v>
      </x:c>
      <x:c r="AH200" s="6" t="str">
        <x:v>19166.5</x:v>
      </x:c>
      <x:c r="AI200" s="8" t="str">
        <x:v>0</x:v>
      </x:c>
      <x:c r="AJ200" s="6" t="str">
        <x:v>True</x:v>
      </x:c>
      <x:c r="AK200" s="6" t="str">
        <x:v>Same-bar Setup+BOS</x:v>
      </x:c>
      <x:c r="AL200" s="9" t="str">
        <x:v>1.730703179159096</x:v>
      </x:c>
      <x:c r="AM200" s="9" t="str">
        <x:v>0.1730703179159096</x:v>
      </x:c>
      <x:c r="AN200" s="9" t="str">
        <x:v>1.6730130731871262</x:v>
      </x:c>
      <x:c r="AO200" s="9" t="str">
        <x:v>2.1345339209628853</x:v>
      </x:c>
      <x:c r="AP200" s="10" t="str">
        <x:v>0.7837837837837838</x:v>
      </x:c>
      <x:c r="AQ200" s="6" t="str">
        <x:v>0.0</x:v>
      </x:c>
      <x:c r="AR200" s="6" t="str">
        <x:v>0.21621621621621623</x:v>
      </x:c>
      <x:c r="AS200" s="6" t="str">
        <x:v>With trade</x:v>
      </x:c>
      <x:c r="AT200" s="6" t="str">
        <x:v>2.7781954887218046</x:v>
      </x:c>
      <x:c r="AU200" s="7" t="str">
        <x:v>2024-08-22 02:35:00-05:00</x:v>
      </x:c>
      <x:c r="AV200" s="8" t="str">
        <x:v>1</x:v>
      </x:c>
      <x:c r="AW200" s="6" t="str">
        <x:v>Immediate retest (1 bar)</x:v>
      </x:c>
      <x:c r="AX200" s="6" t="str">
        <x:v>19171.75</x:v>
      </x:c>
      <x:c r="AY200" s="6" t="str">
        <x:v>5.25</x:v>
      </x:c>
      <x:c r="AZ200" s="9" t="str">
        <x:v>0.6090943174140687</x:v>
      </x:c>
      <x:c r="BA200" s="9" t="str">
        <x:v>-0.058008982610863694</x:v>
      </x:c>
      <x:c r="BB200" s="9" t="str">
        <x:v>0.9281437217738191</x:v>
      </x:c>
      <x:c r="BC200" s="9" t="str">
        <x:v>0.17402694783259107</x:v>
      </x:c>
      <x:c r="BD200" s="6" t="str">
        <x:v>0.59375</x:v>
      </x:c>
      <x:c r="BE200" s="6" t="str">
        <x:v>0.21875</x:v>
      </x:c>
      <x:c r="BF200" s="9" t="str">
        <x:v>0.5510853348032051</x:v>
      </x:c>
      <x:c r="BG200" s="9" t="str">
        <x:v>0.2030314391380229</x:v>
      </x:c>
      <x:c r="BH200" s="6" t="str">
        <x:v>Against trade</x:v>
      </x:c>
      <x:c r="BI200" s="6" t="str">
        <x:v>Penetration without same-bar reclaim</x:v>
      </x:c>
      <x:c r="BJ200" s="6" t="str">
        <x:v>False</x:v>
      </x:c>
      <x:c r="BK200" s="10" t="str">
        <x:v>True</x:v>
      </x:c>
      <x:c r="BL200" s="6" t="str">
        <x:v>False</x:v>
      </x:c>
      <x:c r="BM200" s="7" t="str">
        <x:v>2024-08-22 02:40:00-05:00</x:v>
      </x:c>
      <x:c r="BN200" s="8" t="str">
        <x:v>1</x:v>
      </x:c>
      <x:c r="BO200" s="6" t="str">
        <x:v>Immediate confirmation (1 bar)</x:v>
      </x:c>
      <x:c r="BP200" s="9" t="str">
        <x:v>0.14761503226633174</x:v>
      </x:c>
      <x:c r="BQ200" s="9" t="str">
        <x:v>0.7675981677849251</x:v>
      </x:c>
      <x:c r="BR200" s="10" t="str">
        <x:v>0.19230769230769232</x:v>
      </x:c>
      <x:c r="BS200" s="9" t="str">
        <x:v>0.14761503226633174</x:v>
      </x:c>
      <x:c r="BT200" s="9" t="str">
        <x:v>0.20666104517286446</x:v>
      </x:c>
      <x:c r="BU200" s="9" t="str">
        <x:v>0.14761503226633174</x:v>
      </x:c>
      <x:c r="BV200" s="6" t="str">
        <x:v>With trade</x:v>
      </x:c>
      <x:c r="BW200" s="7" t="str">
        <x:v>2024-08-22 02:40:00-05:00</x:v>
      </x:c>
      <x:c r="BX200" s="6" t="str">
        <x:v>19165.25</x:v>
      </x:c>
      <x:c r="BY200" s="9" t="str">
        <x:v>8.467972270904701</x:v>
      </x:c>
      <x:c r="BZ200" s="9" t="str">
        <x:v>0.8</x:v>
      </x:c>
      <x:c r="CA200" s="6" t="str">
        <x:v>19177.951958406356</x:v>
      </x:c>
      <x:c r="CB200" s="6" t="str">
        <x:v>12.701958406356425</x:v>
      </x:c>
      <x:c r="CC200" s="9" t="str">
        <x:v>1.499999999999926</x:v>
      </x:c>
      <x:c r="CD200" s="6" t="str">
        <x:v>19139.846083187287</x:v>
      </x:c>
      <x:c r="CE200" s="6" t="str">
        <x:v>25.40391681271285</x:v>
      </x:c>
      <x:c r="CF200" s="6" t="str">
        <x:v>Fixed 2.00R target</x:v>
      </x:c>
      <x:c r="CG200" s="9" t="str">
        <x:v>0.05707781247631776</x:v>
      </x:c>
      <x:c r="CH200" s="9" t="str">
        <x:v>-1.0</x:v>
      </x:c>
      <x:c r="CI200" s="9" t="str">
        <x:v>-1.0570778124763178</x:v>
      </x:c>
      <x:c r="CJ200" s="6" t="str">
        <x:v>Loss</x:v>
      </x:c>
      <x:c r="CK200" s="9" t="str">
        <x:v>0.05904601290653561</x:v>
      </x:c>
      <x:c r="CL200" s="9" t="str">
        <x:v>1.023464223713284</x:v>
      </x:c>
      <x:c r="CM200" s="7" t="str">
        <x:v>2024-08-22 02:50:00-05:00</x:v>
      </x:c>
      <x:c r="CN200" s="6" t="str">
        <x:v>19177.951958406356</x:v>
      </x:c>
      <x:c r="CO200" s="6" t="str">
        <x:v>STOP</x:v>
      </x:c>
      <x:c r="CP200" s="6" t="str">
        <x:v>F::Short::Same-bar Setup+BOS::Penetration without same-bar reclaim</x:v>
      </x:c>
    </x:row>
    <x:row r="201" ht="18" customHeight="1">
      <x:c r="A201" s="6" t="str">
        <x:v>A0200</x:v>
      </x:c>
      <x:c r="B201" s="6" t="str">
        <x:v>2024-08-26</x:v>
      </x:c>
      <x:c r="C201" s="6" t="str">
        <x:v>2024</x:v>
      </x:c>
      <x:c r="D201" s="6" t="str">
        <x:v>2024-Q3</x:v>
      </x:c>
      <x:c r="E201" s="6" t="str">
        <x:v>First 50%</x:v>
      </x:c>
      <x:c r="F201" s="6" t="str">
        <x:v>Short</x:v>
      </x:c>
      <x:c r="G201" s="6" t="str">
        <x:v>Short</x:v>
      </x:c>
      <x:c r="H201" s="6" t="str">
        <x:v>Midday</x:v>
      </x:c>
      <x:c r="I201" s="6" t="str">
        <x:v>Midday</x:v>
      </x:c>
      <x:c r="J201" s="6" t="str">
        <x:v>Bear</x:v>
      </x:c>
      <x:c r="K201" s="6" t="str">
        <x:v>Bear</x:v>
      </x:c>
      <x:c r="L201" s="6" t="str">
        <x:v>MID</x:v>
      </x:c>
      <x:c r="M201" s="7" t="str">
        <x:v>2024-08-26 12:45:00-05:00</x:v>
      </x:c>
      <x:c r="N201" s="6" t="str">
        <x:v>100.0</x:v>
      </x:c>
      <x:c r="O201" s="6" t="str">
        <x:v>95+</x:v>
      </x:c>
      <x:c r="P201" s="6" t="str">
        <x:v>Matching BOS only</x:v>
      </x:c>
      <x:c r="Q201" s="6" t="str">
        <x:v>Bear BOS</x:v>
      </x:c>
      <x:c r="R201" s="6" t="str">
        <x:v>True</x:v>
      </x:c>
      <x:c r="S201" s="6" t="str">
        <x:v>False</x:v>
      </x:c>
      <x:c r="T201" s="6" t="str">
        <x:v>Recent BSL</x:v>
      </x:c>
      <x:c r="U201" s="6" t="str">
        <x:v>BSL</x:v>
      </x:c>
      <x:c r="V201" s="6" t="str">
        <x:v>Swing high / buy-side</x:v>
      </x:c>
      <x:c r="W201" s="6" t="str">
        <x:v>[18896.5]</x:v>
      </x:c>
      <x:c r="X201" s="8" t="str">
        <x:v>1</x:v>
      </x:c>
      <x:c r="Y201" s="8" t="str">
        <x:v>13.0</x:v>
      </x:c>
      <x:c r="Z201" s="6" t="str">
        <x:v>None</x:v>
      </x:c>
      <x:c r="AA201" s="6" t="str">
        <x:v>18804.25</x:v>
      </x:c>
      <x:c r="AB201" s="9" t="str">
        <x:v>0.12281797955101953</x:v>
      </x:c>
      <x:c r="AC201" s="9" t="str">
        <x:v>1.0351801133585932</x:v>
      </x:c>
      <x:c r="AD201" s="9" t="str">
        <x:v>1.5878610213381812</x:v>
      </x:c>
      <x:c r="AE201" s="6" t="str">
        <x:v>With trade</x:v>
      </x:c>
      <x:c r="AF201" s="7" t="str">
        <x:v>2024-08-26 12:45:00-05:00</x:v>
      </x:c>
      <x:c r="AG201" s="6" t="str">
        <x:v>Short</x:v>
      </x:c>
      <x:c r="AH201" s="6" t="str">
        <x:v>18804.25</x:v>
      </x:c>
      <x:c r="AI201" s="8" t="str">
        <x:v>0</x:v>
      </x:c>
      <x:c r="AJ201" s="6" t="str">
        <x:v>True</x:v>
      </x:c>
      <x:c r="AK201" s="6" t="str">
        <x:v>Same-bar Setup+BOS</x:v>
      </x:c>
      <x:c r="AL201" s="9" t="str">
        <x:v>1.0351801133585932</x:v>
      </x:c>
      <x:c r="AM201" s="9" t="str">
        <x:v>0.12281797955101953</x:v>
      </x:c>
      <x:c r="AN201" s="9" t="str">
        <x:v>1.0351801133585932</x:v>
      </x:c>
      <x:c r="AO201" s="9" t="str">
        <x:v>1.5878610213381812</x:v>
      </x:c>
      <x:c r="AP201" s="10" t="str">
        <x:v>0.6519337016574586</x:v>
      </x:c>
      <x:c r="AQ201" s="6" t="str">
        <x:v>0.027624309392265192</x:v>
      </x:c>
      <x:c r="AR201" s="6" t="str">
        <x:v>0.32044198895027626</x:v>
      </x:c>
      <x:c r="AS201" s="6" t="str">
        <x:v>With trade</x:v>
      </x:c>
      <x:c r="AT201" s="6" t="str">
        <x:v>1.8346488414079167</x:v>
      </x:c>
      <x:c r="AU201" s="7" t="str">
        <x:v>2024-08-26 12:50:00-05:00</x:v>
      </x:c>
      <x:c r="AV201" s="8" t="str">
        <x:v>1</x:v>
      </x:c>
      <x:c r="AW201" s="6" t="str">
        <x:v>Immediate retest (1 bar)</x:v>
      </x:c>
      <x:c r="AX201" s="6" t="str">
        <x:v>18809.25</x:v>
      </x:c>
      <x:c r="AY201" s="6" t="str">
        <x:v>5.0</x:v>
      </x:c>
      <x:c r="AZ201" s="9" t="str">
        <x:v>0.18112804568767488</x:v>
      </x:c>
      <x:c r="BA201" s="9" t="str">
        <x:v>0.036225609137534975</x:v>
      </x:c>
      <x:c r="BB201" s="9" t="str">
        <x:v>0.5796097462005596</x:v>
      </x:c>
      <x:c r="BC201" s="9" t="str">
        <x:v>0.09056402284383744</x:v>
      </x:c>
      <x:c r="BD201" s="6" t="str">
        <x:v>0.375</x:v>
      </x:c>
      <x:c r="BE201" s="6" t="str">
        <x:v>0.46875</x:v>
      </x:c>
      <x:c r="BF201" s="9" t="str">
        <x:v>0.21735365482520985</x:v>
      </x:c>
      <x:c r="BG201" s="9" t="str">
        <x:v>0.27169206853151234</x:v>
      </x:c>
      <x:c r="BH201" s="6" t="str">
        <x:v>Against trade</x:v>
      </x:c>
      <x:c r="BI201" s="6" t="str">
        <x:v>Penetration + same-bar reclaim</x:v>
      </x:c>
      <x:c r="BJ201" s="6" t="str">
        <x:v>False</x:v>
      </x:c>
      <x:c r="BK201" s="10" t="str">
        <x:v>True</x:v>
      </x:c>
      <x:c r="BL201" s="6" t="str">
        <x:v>True</x:v>
      </x:c>
      <x:c r="BM201" s="7" t="str">
        <x:v>2024-08-26 12:55:00-05:00</x:v>
      </x:c>
      <x:c r="BN201" s="8" t="str">
        <x:v>1</x:v>
      </x:c>
      <x:c r="BO201" s="6" t="str">
        <x:v>Immediate confirmation (1 bar)</x:v>
      </x:c>
      <x:c r="BP201" s="9" t="str">
        <x:v>0.1393082322639361</x:v>
      </x:c>
      <x:c r="BQ201" s="9" t="str">
        <x:v>0.6686795148668933</x:v>
      </x:c>
      <x:c r="BR201" s="10" t="str">
        <x:v>0.20833333333333334</x:v>
      </x:c>
      <x:c r="BS201" s="9" t="str">
        <x:v>0.1857443096852481</x:v>
      </x:c>
      <x:c r="BT201" s="9" t="str">
        <x:v>0.1485954477481985</x:v>
      </x:c>
      <x:c r="BU201" s="9" t="str">
        <x:v>0.07429772387409925</x:v>
      </x:c>
      <x:c r="BV201" s="6" t="str">
        <x:v>With trade</x:v>
      </x:c>
      <x:c r="BW201" s="7" t="str">
        <x:v>2024-08-26 12:55:00-05:00</x:v>
      </x:c>
      <x:c r="BX201" s="6" t="str">
        <x:v>18799.25</x:v>
      </x:c>
      <x:c r="BY201" s="9" t="str">
        <x:v>26.918725039128894</x:v>
      </x:c>
      <x:c r="BZ201" s="9" t="str">
        <x:v>0.66</x:v>
      </x:c>
      <x:c r="CA201" s="6" t="str">
        <x:v>18839.628087558693</x:v>
      </x:c>
      <x:c r="CB201" s="6" t="str">
        <x:v>40.37808755869264</x:v>
      </x:c>
      <x:c r="CC201" s="9" t="str">
        <x:v>1.499999999999974</x:v>
      </x:c>
      <x:c r="CD201" s="6" t="str">
        <x:v>18718.493824882615</x:v>
      </x:c>
      <x:c r="CE201" s="6" t="str">
        <x:v>80.75617511738528</x:v>
      </x:c>
      <x:c r="CF201" s="6" t="str">
        <x:v>Fixed 2.00R target</x:v>
      </x:c>
      <x:c r="CG201" s="9" t="str">
        <x:v>0.017955283269574296</x:v>
      </x:c>
      <x:c r="CH201" s="9" t="str">
        <x:v>-1.0</x:v>
      </x:c>
      <x:c r="CI201" s="9" t="str">
        <x:v>-1.0179552832695742</x:v>
      </x:c>
      <x:c r="CJ201" s="6" t="str">
        <x:v>Loss</x:v>
      </x:c>
      <x:c r="CK201" s="9" t="str">
        <x:v>0.5634244060452623</x:v>
      </x:c>
      <x:c r="CL201" s="9" t="str">
        <x:v>1.0401681342374074</x:v>
      </x:c>
      <x:c r="CM201" s="7" t="str">
        <x:v>2024-08-26 13:20:00-05:00</x:v>
      </x:c>
      <x:c r="CN201" s="6" t="str">
        <x:v>18839.628087558693</x:v>
      </x:c>
      <x:c r="CO201" s="6" t="str">
        <x:v>STOP</x:v>
      </x:c>
      <x:c r="CP201" s="6" t="str">
        <x:v>F::Short::Same-bar Setup+BOS::Penetration + same-bar reclaim</x:v>
      </x:c>
    </x:row>
    <x:row r="202" ht="18" customHeight="1">
      <x:c r="A202" s="6" t="str">
        <x:v>A0201</x:v>
      </x:c>
      <x:c r="B202" s="6" t="str">
        <x:v>2024-08-26</x:v>
      </x:c>
      <x:c r="C202" s="6" t="str">
        <x:v>2024</x:v>
      </x:c>
      <x:c r="D202" s="6" t="str">
        <x:v>2024-Q3</x:v>
      </x:c>
      <x:c r="E202" s="6" t="str">
        <x:v>First 50%</x:v>
      </x:c>
      <x:c r="F202" s="6" t="str">
        <x:v>Short</x:v>
      </x:c>
      <x:c r="G202" s="6" t="str">
        <x:v>Short</x:v>
      </x:c>
      <x:c r="H202" s="6" t="str">
        <x:v>Overnight</x:v>
      </x:c>
      <x:c r="I202" s="6" t="str">
        <x:v>Overnight</x:v>
      </x:c>
      <x:c r="J202" s="6" t="str">
        <x:v>Bear</x:v>
      </x:c>
      <x:c r="K202" s="6" t="str">
        <x:v>Bear</x:v>
      </x:c>
      <x:c r="L202" s="6" t="str">
        <x:v>LOW</x:v>
      </x:c>
      <x:c r="M202" s="7" t="str">
        <x:v>2024-08-26 19:50:00-05:00</x:v>
      </x:c>
      <x:c r="N202" s="6" t="str">
        <x:v>75.0</x:v>
      </x:c>
      <x:c r="O202" s="6" t="str">
        <x:v>75-79</x:v>
      </x:c>
      <x:c r="P202" s="6" t="str">
        <x:v>Matching BOS only</x:v>
      </x:c>
      <x:c r="Q202" s="6" t="str">
        <x:v>Bear CHoCH</x:v>
      </x:c>
      <x:c r="R202" s="6" t="str">
        <x:v>True</x:v>
      </x:c>
      <x:c r="S202" s="6" t="str">
        <x:v>False</x:v>
      </x:c>
      <x:c r="T202" s="6" t="str">
        <x:v>Recent BSL</x:v>
      </x:c>
      <x:c r="U202" s="6" t="str">
        <x:v>BSL</x:v>
      </x:c>
      <x:c r="V202" s="6" t="str">
        <x:v>Swing high / buy-side</x:v>
      </x:c>
      <x:c r="W202" s="6" t="str">
        <x:v>[18836.5]</x:v>
      </x:c>
      <x:c r="X202" s="8" t="str">
        <x:v>1</x:v>
      </x:c>
      <x:c r="Y202" s="8" t="str">
        <x:v>17.0</x:v>
      </x:c>
      <x:c r="Z202" s="6" t="str">
        <x:v>None</x:v>
      </x:c>
      <x:c r="AA202" s="6" t="str">
        <x:v>18824.25</x:v>
      </x:c>
      <x:c r="AB202" s="9" t="str">
        <x:v>0.042747933142070337</x:v>
      </x:c>
      <x:c r="AC202" s="9" t="str">
        <x:v>0.5770970974179496</x:v>
      </x:c>
      <x:c r="AD202" s="9" t="str">
        <x:v>1.6244214593986728</x:v>
      </x:c>
      <x:c r="AE202" s="6" t="str">
        <x:v>With trade</x:v>
      </x:c>
      <x:c r="AF202" s="7" t="str">
        <x:v>2024-08-26 19:50:00-05:00</x:v>
      </x:c>
      <x:c r="AG202" s="6" t="str">
        <x:v>Short</x:v>
      </x:c>
      <x:c r="AH202" s="6" t="str">
        <x:v>18824.25</x:v>
      </x:c>
      <x:c r="AI202" s="8" t="str">
        <x:v>0</x:v>
      </x:c>
      <x:c r="AJ202" s="6" t="str">
        <x:v>True</x:v>
      </x:c>
      <x:c r="AK202" s="6" t="str">
        <x:v>Same-bar Setup+BOS</x:v>
      </x:c>
      <x:c r="AL202" s="9" t="str">
        <x:v>0.5557231308469144</x:v>
      </x:c>
      <x:c r="AM202" s="9" t="str">
        <x:v>0.042747933142070337</x:v>
      </x:c>
      <x:c r="AN202" s="9" t="str">
        <x:v>0.5770970974179496</x:v>
      </x:c>
      <x:c r="AO202" s="9" t="str">
        <x:v>1.6244214593986728</x:v>
      </x:c>
      <x:c r="AP202" s="10" t="str">
        <x:v>0.35526315789473684</x:v>
      </x:c>
      <x:c r="AQ202" s="6" t="str">
        <x:v>0.0</x:v>
      </x:c>
      <x:c r="AR202" s="6" t="str">
        <x:v>0.6447368421052632</x:v>
      </x:c>
      <x:c r="AS202" s="6" t="str">
        <x:v>With trade</x:v>
      </x:c>
      <x:c r="AT202" s="6" t="str">
        <x:v>2.1223805532271585</x:v>
      </x:c>
      <x:c r="AU202" s="7" t="str">
        <x:v>2024-08-26 19:55:00-05:00</x:v>
      </x:c>
      <x:c r="AV202" s="8" t="str">
        <x:v>1</x:v>
      </x:c>
      <x:c r="AW202" s="6" t="str">
        <x:v>Immediate retest (1 bar)</x:v>
      </x:c>
      <x:c r="AX202" s="6" t="str">
        <x:v>18823.75</x:v>
      </x:c>
      <x:c r="AY202" s="6" t="str">
        <x:v>0.0</x:v>
      </x:c>
      <x:c r="AZ202" s="9" t="str">
        <x:v>0.0</x:v>
      </x:c>
      <x:c r="BA202" s="9" t="str">
        <x:v>0.41226469470628896</x:v>
      </x:c>
      <x:c r="BB202" s="9" t="str">
        <x:v>0.802831247585931</x:v>
      </x:c>
      <x:c r="BC202" s="9" t="str">
        <x:v>0.2820758437464082</x:v>
      </x:c>
      <x:c r="BD202" s="6" t="str">
        <x:v>0.10810810810810811</x:v>
      </x:c>
      <x:c r="BE202" s="6" t="str">
        <x:v>0.5405405405405406</x:v>
      </x:c>
      <x:c r="BF202" s="9" t="str">
        <x:v>0.08679256730658715</x:v>
      </x:c>
      <x:c r="BG202" s="9" t="str">
        <x:v>0.4339628365329357</x:v>
      </x:c>
      <x:c r="BH202" s="6" t="str">
        <x:v>With trade</x:v>
      </x:c>
      <x:c r="BI202" s="6" t="str">
        <x:v>Tolerance-only shallow touch</x:v>
      </x:c>
      <x:c r="BJ202" s="6" t="str">
        <x:v>True</x:v>
      </x:c>
      <x:c r="BK202" s="10" t="str">
        <x:v>False</x:v>
      </x:c>
      <x:c r="BL202" s="6" t="str">
        <x:v>True</x:v>
      </x:c>
      <x:c r="BM202" s="7" t="str">
        <x:v>2024-08-26 20:00:00-05:00</x:v>
      </x:c>
      <x:c r="BN202" s="8" t="str">
        <x:v>1</x:v>
      </x:c>
      <x:c r="BO202" s="6" t="str">
        <x:v>Immediate confirmation (1 bar)</x:v>
      </x:c>
      <x:c r="BP202" s="9" t="str">
        <x:v>0.042870508533234035</x:v>
      </x:c>
      <x:c r="BQ202" s="9" t="str">
        <x:v>1.157503730397319</x:v>
      </x:c>
      <x:c r="BR202" s="10" t="str">
        <x:v>0.037037037037037035</x:v>
      </x:c>
      <x:c r="BS202" s="9" t="str">
        <x:v>0.42870508533234036</x:v>
      </x:c>
      <x:c r="BT202" s="9" t="str">
        <x:v>0.021435254266617017</x:v>
      </x:c>
      <x:c r="BU202" s="9" t="str">
        <x:v>0.6216223737318936</x:v>
      </x:c>
      <x:c r="BV202" s="6" t="str">
        <x:v>With trade</x:v>
      </x:c>
      <x:c r="BW202" s="7" t="str">
        <x:v>2024-08-26 20:00:00-05:00</x:v>
      </x:c>
      <x:c r="BX202" s="6" t="str">
        <x:v>18819.25</x:v>
      </x:c>
      <x:c r="BY202" s="9" t="str">
        <x:v>11.663029366968914</x:v>
      </x:c>
      <x:c r="BZ202" s="9" t="str">
        <x:v>0.13</x:v>
      </x:c>
      <x:c r="CA202" s="6" t="str">
        <x:v>18836.744544050453</x:v>
      </x:c>
      <x:c r="CB202" s="6" t="str">
        <x:v>17.494544050452532</x:v>
      </x:c>
      <x:c r="CC202" s="9" t="str">
        <x:v>1.499999999999928</x:v>
      </x:c>
      <x:c r="CD202" s="6" t="str">
        <x:v>18784.260911899095</x:v>
      </x:c>
      <x:c r="CE202" s="6" t="str">
        <x:v>34.989088100905064</x:v>
      </x:c>
      <x:c r="CF202" s="6" t="str">
        <x:v>Fixed 2.00R target</x:v>
      </x:c>
      <x:c r="CG202" s="9" t="str">
        <x:v>0.041441491582128225</x:v>
      </x:c>
      <x:c r="CH202" s="9" t="str">
        <x:v>-1.0</x:v>
      </x:c>
      <x:c r="CI202" s="9" t="str">
        <x:v>-1.0414414915821282</x:v>
      </x:c>
      <x:c r="CJ202" s="6" t="str">
        <x:v>Loss</x:v>
      </x:c>
      <x:c r="CK202" s="9" t="str">
        <x:v>0.10003118657755088</x:v>
      </x:c>
      <x:c r="CL202" s="9" t="str">
        <x:v>1.1003430523530597</x:v>
      </x:c>
      <x:c r="CM202" s="7" t="str">
        <x:v>2024-08-26 20:15:00-05:00</x:v>
      </x:c>
      <x:c r="CN202" s="6" t="str">
        <x:v>18836.744544050453</x:v>
      </x:c>
      <x:c r="CO202" s="6" t="str">
        <x:v>STOP</x:v>
      </x:c>
      <x:c r="CP202" s="6" t="str">
        <x:v>F::Short::Same-bar Setup+BOS::Tolerance-only shallow touch</x:v>
      </x:c>
    </x:row>
    <x:row r="203" ht="18" customHeight="1">
      <x:c r="A203" s="6" t="str">
        <x:v>A0202</x:v>
      </x:c>
      <x:c r="B203" s="6" t="str">
        <x:v>2024-09-03</x:v>
      </x:c>
      <x:c r="C203" s="6" t="str">
        <x:v>2024</x:v>
      </x:c>
      <x:c r="D203" s="6" t="str">
        <x:v>2024-Q3</x:v>
      </x:c>
      <x:c r="E203" s="6" t="str">
        <x:v>First 50%</x:v>
      </x:c>
      <x:c r="F203" s="6" t="str">
        <x:v>Short</x:v>
      </x:c>
      <x:c r="G203" s="6" t="str">
        <x:v>Short</x:v>
      </x:c>
      <x:c r="H203" s="6" t="str">
        <x:v>Afternoon</x:v>
      </x:c>
      <x:c r="I203" s="6" t="str">
        <x:v>Afternoon</x:v>
      </x:c>
      <x:c r="J203" s="6" t="str">
        <x:v>Bear</x:v>
      </x:c>
      <x:c r="K203" s="6" t="str">
        <x:v>Bear</x:v>
      </x:c>
      <x:c r="L203" s="6" t="str">
        <x:v>MID</x:v>
      </x:c>
      <x:c r="M203" s="7" t="str">
        <x:v>2024-09-03 14:30:00-05:00</x:v>
      </x:c>
      <x:c r="N203" s="6" t="str">
        <x:v>75.0</x:v>
      </x:c>
      <x:c r="O203" s="6" t="str">
        <x:v>75-79</x:v>
      </x:c>
      <x:c r="P203" s="6" t="str">
        <x:v>Matching BOS only</x:v>
      </x:c>
      <x:c r="Q203" s="6" t="str">
        <x:v>Bear BOS</x:v>
      </x:c>
      <x:c r="R203" s="6" t="str">
        <x:v>True</x:v>
      </x:c>
      <x:c r="S203" s="6" t="str">
        <x:v>False</x:v>
      </x:c>
      <x:c r="T203" s="6" t="str">
        <x:v>No recent matching sweep</x:v>
      </x:c>
      <x:c r="U203" s="6" t="str">
        <x:v>None</x:v>
      </x:c>
      <x:c r="V203" s="6" t="str">
        <x:v>None</x:v>
      </x:c>
      <x:c r="W203" s="6" t="str">
        <x:v>[]</x:v>
      </x:c>
      <x:c r="X203" s="8" t="str">
        <x:v>0</x:v>
      </x:c>
      <x:c r="Y203" s="8" t="str"/>
      <x:c r="Z203" s="6" t="str">
        <x:v>None</x:v>
      </x:c>
      <x:c r="AA203" s="6" t="str">
        <x:v>18293.0</x:v>
      </x:c>
      <x:c r="AB203" s="9" t="str">
        <x:v>0.6532619821483971</x:v>
      </x:c>
      <x:c r="AC203" s="9" t="str">
        <x:v>0.8611180673774326</x:v>
      </x:c>
      <x:c r="AD203" s="9" t="str">
        <x:v>1.2867281466559337</x:v>
      </x:c>
      <x:c r="AE203" s="6" t="str">
        <x:v>With trade</x:v>
      </x:c>
      <x:c r="AF203" s="7" t="str">
        <x:v>2024-09-03 14:30:00-05:00</x:v>
      </x:c>
      <x:c r="AG203" s="6" t="str">
        <x:v>Short</x:v>
      </x:c>
      <x:c r="AH203" s="6" t="str">
        <x:v>18293.0</x:v>
      </x:c>
      <x:c r="AI203" s="8" t="str">
        <x:v>0</x:v>
      </x:c>
      <x:c r="AJ203" s="6" t="str">
        <x:v>True</x:v>
      </x:c>
      <x:c r="AK203" s="6" t="str">
        <x:v>Same-bar Setup+BOS</x:v>
      </x:c>
      <x:c r="AL203" s="9" t="str">
        <x:v>0.841322249736572</x:v>
      </x:c>
      <x:c r="AM203" s="9" t="str">
        <x:v>0.6532619821483971</x:v>
      </x:c>
      <x:c r="AN203" s="9" t="str">
        <x:v>0.8611180673774326</x:v>
      </x:c>
      <x:c r="AO203" s="9" t="str">
        <x:v>1.2867281466559337</x:v>
      </x:c>
      <x:c r="AP203" s="10" t="str">
        <x:v>0.6692307692307692</x:v>
      </x:c>
      <x:c r="AQ203" s="6" t="str">
        <x:v>0.3153846153846154</x:v>
      </x:c>
      <x:c r="AR203" s="6" t="str">
        <x:v>0.015384615384615385</x:v>
      </x:c>
      <x:c r="AS203" s="6" t="str">
        <x:v>With trade</x:v>
      </x:c>
      <x:c r="AT203" s="6" t="str">
        <x:v>1.8048644257134152</x:v>
      </x:c>
      <x:c r="AU203" s="7" t="str">
        <x:v>2024-09-03 15:00:00-05:00</x:v>
      </x:c>
      <x:c r="AV203" s="8" t="str">
        <x:v>6</x:v>
      </x:c>
      <x:c r="AW203" s="6" t="str">
        <x:v>Delayed retest (2+ bars)</x:v>
      </x:c>
      <x:c r="AX203" s="6" t="str">
        <x:v>18300.25</x:v>
      </x:c>
      <x:c r="AY203" s="6" t="str">
        <x:v>7.25</x:v>
      </x:c>
      <x:c r="AZ203" s="9" t="str">
        <x:v>0.23095804569032366</x:v>
      </x:c>
      <x:c r="BA203" s="9" t="str">
        <x:v>-0.07167663486941078</x:v>
      </x:c>
      <x:c r="BB203" s="9" t="str">
        <x:v>0.9556884649254772</x:v>
      </x:c>
      <x:c r="BC203" s="9" t="str">
        <x:v>0.6610178549067884</x:v>
      </x:c>
      <x:c r="BD203" s="6" t="str">
        <x:v>0.16666666666666666</x:v>
      </x:c>
      <x:c r="BE203" s="6" t="str">
        <x:v>0.14166666666666666</x:v>
      </x:c>
      <x:c r="BF203" s="9" t="str">
        <x:v>0.15928141082091288</x:v>
      </x:c>
      <x:c r="BG203" s="9" t="str">
        <x:v>0.13538919919777592</x:v>
      </x:c>
      <x:c r="BH203" s="6" t="str">
        <x:v>Against trade</x:v>
      </x:c>
      <x:c r="BI203" s="6" t="str">
        <x:v>Penetration without same-bar reclaim</x:v>
      </x:c>
      <x:c r="BJ203" s="6" t="str">
        <x:v>False</x:v>
      </x:c>
      <x:c r="BK203" s="10" t="str">
        <x:v>True</x:v>
      </x:c>
      <x:c r="BL203" s="6" t="str">
        <x:v>False</x:v>
      </x:c>
      <x:c r="BM203" s="7" t="str">
        <x:v>2024-09-03 15:05:00-05:00</x:v>
      </x:c>
      <x:c r="BN203" s="8" t="str">
        <x:v>1</x:v>
      </x:c>
      <x:c r="BO203" s="6" t="str">
        <x:v>Immediate confirmation (1 bar)</x:v>
      </x:c>
      <x:c r="BP203" s="9" t="str">
        <x:v>0.11493369257497091</x:v>
      </x:c>
      <x:c r="BQ203" s="9" t="str">
        <x:v>0.5746684628748545</x:v>
      </x:c>
      <x:c r="BR203" s="10" t="str">
        <x:v>0.2</x:v>
      </x:c>
      <x:c r="BS203" s="9" t="str">
        <x:v>0.06567639575712624</x:v>
      </x:c>
      <x:c r="BT203" s="9" t="str">
        <x:v>0.13956234098389325</x:v>
      </x:c>
      <x:c r="BU203" s="9" t="str">
        <x:v>0.0</x:v>
      </x:c>
      <x:c r="BV203" s="6" t="str">
        <x:v>With trade</x:v>
      </x:c>
      <x:c r="BW203" s="7" t="str">
        <x:v>2024-09-03 15:05:00-05:00</x:v>
      </x:c>
      <x:c r="BX203" s="6" t="str">
        <x:v>18291.0</x:v>
      </x:c>
      <x:c r="BY203" s="9" t="str">
        <x:v>30.452341011465897</x:v>
      </x:c>
      <x:c r="BZ203" s="9" t="str">
        <x:v>0.62</x:v>
      </x:c>
      <x:c r="CA203" s="6" t="str">
        <x:v>18336.6785115172</x:v>
      </x:c>
      <x:c r="CB203" s="6" t="str">
        <x:v>45.678511517198785</x:v>
      </x:c>
      <x:c r="CC203" s="9" t="str">
        <x:v>1.499999999999998</x:v>
      </x:c>
      <x:c r="CD203" s="6" t="str">
        <x:v>18199.642976965602</x:v>
      </x:c>
      <x:c r="CE203" s="6" t="str">
        <x:v>91.35702303439757</x:v>
      </x:c>
      <x:c r="CF203" s="6" t="str">
        <x:v>Fixed 2.00R target</x:v>
      </x:c>
      <x:c r="CG203" s="9" t="str">
        <x:v>0.015871795641305527</x:v>
      </x:c>
      <x:c r="CH203" s="9" t="str">
        <x:v>1.5981256300900717</x:v>
      </x:c>
      <x:c r="CI203" s="9" t="str">
        <x:v>1.5822538344487662</x:v>
      </x:c>
      <x:c r="CJ203" s="6" t="str">
        <x:v>Win</x:v>
      </x:c>
      <x:c r="CK203" s="9" t="str">
        <x:v>1.7842087514019316</x:v>
      </x:c>
      <x:c r="CL203" s="9" t="str">
        <x:v>0.010946065959521053</x:v>
      </x:c>
      <x:c r="CM203" s="7" t="str">
        <x:v>2024-09-03 17:05:00-05:00</x:v>
      </x:c>
      <x:c r="CN203" s="6" t="str">
        <x:v>18218.0</x:v>
      </x:c>
      <x:c r="CO203" s="6" t="str">
        <x:v>TIME</x:v>
      </x:c>
      <x:c r="CP203" s="6" t="str">
        <x:v>F::Short::Same-bar Setup+BOS::Penetration without same-bar reclaim</x:v>
      </x:c>
    </x:row>
    <x:row r="204" ht="18" customHeight="1">
      <x:c r="A204" s="6" t="str">
        <x:v>A0203</x:v>
      </x:c>
      <x:c r="B204" s="6" t="str">
        <x:v>2024-09-05</x:v>
      </x:c>
      <x:c r="C204" s="6" t="str">
        <x:v>2024</x:v>
      </x:c>
      <x:c r="D204" s="6" t="str">
        <x:v>2024-Q3</x:v>
      </x:c>
      <x:c r="E204" s="6" t="str">
        <x:v>First 50%</x:v>
      </x:c>
      <x:c r="F204" s="6" t="str">
        <x:v>Short</x:v>
      </x:c>
      <x:c r="G204" s="6" t="str">
        <x:v>Short</x:v>
      </x:c>
      <x:c r="H204" s="6" t="str">
        <x:v>Premarket</x:v>
      </x:c>
      <x:c r="I204" s="6" t="str">
        <x:v>Premarket</x:v>
      </x:c>
      <x:c r="J204" s="6" t="str">
        <x:v>Bear</x:v>
      </x:c>
      <x:c r="K204" s="6" t="str">
        <x:v>Bear</x:v>
      </x:c>
      <x:c r="L204" s="6" t="str">
        <x:v>HIGH</x:v>
      </x:c>
      <x:c r="M204" s="7" t="str">
        <x:v>2024-09-05 06:45:00-05:00</x:v>
      </x:c>
      <x:c r="N204" s="6" t="str">
        <x:v>90.0</x:v>
      </x:c>
      <x:c r="O204" s="6" t="str">
        <x:v>90-94</x:v>
      </x:c>
      <x:c r="P204" s="6" t="str">
        <x:v>Matching BOS only</x:v>
      </x:c>
      <x:c r="Q204" s="6" t="str">
        <x:v>Bear BOS</x:v>
      </x:c>
      <x:c r="R204" s="6" t="str">
        <x:v>True</x:v>
      </x:c>
      <x:c r="S204" s="6" t="str">
        <x:v>False</x:v>
      </x:c>
      <x:c r="T204" s="6" t="str">
        <x:v>Recent BSL</x:v>
      </x:c>
      <x:c r="U204" s="6" t="str">
        <x:v>BSL</x:v>
      </x:c>
      <x:c r="V204" s="6" t="str">
        <x:v>Swing high / buy-side</x:v>
      </x:c>
      <x:c r="W204" s="6" t="str">
        <x:v>[18226.5]</x:v>
      </x:c>
      <x:c r="X204" s="8" t="str">
        <x:v>1</x:v>
      </x:c>
      <x:c r="Y204" s="8" t="str">
        <x:v>3.0</x:v>
      </x:c>
      <x:c r="Z204" s="6" t="str">
        <x:v>None</x:v>
      </x:c>
      <x:c r="AA204" s="6" t="str">
        <x:v>18188.25</x:v>
      </x:c>
      <x:c r="AB204" s="9" t="str">
        <x:v>0.34270617875642456</x:v>
      </x:c>
      <x:c r="AC204" s="9" t="str">
        <x:v>1.4602263268752005</x:v>
      </x:c>
      <x:c r="AD204" s="9" t="str">
        <x:v>1.7284311624237065</x:v>
      </x:c>
      <x:c r="AE204" s="6" t="str">
        <x:v>With trade</x:v>
      </x:c>
      <x:c r="AF204" s="7" t="str">
        <x:v>2024-09-05 06:45:00-05:00</x:v>
      </x:c>
      <x:c r="AG204" s="6" t="str">
        <x:v>Short</x:v>
      </x:c>
      <x:c r="AH204" s="6" t="str">
        <x:v>18188.25</x:v>
      </x:c>
      <x:c r="AI204" s="8" t="str">
        <x:v>0</x:v>
      </x:c>
      <x:c r="AJ204" s="6" t="str">
        <x:v>True</x:v>
      </x:c>
      <x:c r="AK204" s="6" t="str">
        <x:v>Same-bar Setup+BOS</x:v>
      </x:c>
      <x:c r="AL204" s="9" t="str">
        <x:v>1.4900268641583678</x:v>
      </x:c>
      <x:c r="AM204" s="9" t="str">
        <x:v>0.34270617875642456</x:v>
      </x:c>
      <x:c r="AN204" s="9" t="str">
        <x:v>1.4602263268752005</x:v>
      </x:c>
      <x:c r="AO204" s="9" t="str">
        <x:v>1.7284311624237065</x:v>
      </x:c>
      <x:c r="AP204" s="10" t="str">
        <x:v>0.8448275862068966</x:v>
      </x:c>
      <x:c r="AQ204" s="6" t="str">
        <x:v>0.08620689655172414</x:v>
      </x:c>
      <x:c r="AR204" s="6" t="str">
        <x:v>0.06896551724137931</x:v>
      </x:c>
      <x:c r="AS204" s="6" t="str">
        <x:v>With trade</x:v>
      </x:c>
      <x:c r="AT204" s="6" t="str">
        <x:v>1.6652360515021458</x:v>
      </x:c>
      <x:c r="AU204" s="7" t="str">
        <x:v>2024-09-05 06:50:00-05:00</x:v>
      </x:c>
      <x:c r="AV204" s="8" t="str">
        <x:v>1</x:v>
      </x:c>
      <x:c r="AW204" s="6" t="str">
        <x:v>Immediate retest (1 bar)</x:v>
      </x:c>
      <x:c r="AX204" s="6" t="str">
        <x:v>18191.25</x:v>
      </x:c>
      <x:c r="AY204" s="6" t="str">
        <x:v>3.0</x:v>
      </x:c>
      <x:c r="AZ204" s="9" t="str">
        <x:v>0.1763839727353774</x:v>
      </x:c>
      <x:c r="BA204" s="9" t="str">
        <x:v>0.10289065076230348</x:v>
      </x:c>
      <x:c r="BB204" s="9" t="str">
        <x:v>1.1758931515691826</x:v>
      </x:c>
      <x:c r="BC204" s="9" t="str">
        <x:v>0.2792746234976809</x:v>
      </x:c>
      <x:c r="BD204" s="6" t="str">
        <x:v>0.2375</x:v>
      </x:c>
      <x:c r="BE204" s="6" t="str">
        <x:v>0.525</x:v>
      </x:c>
      <x:c r="BF204" s="9" t="str">
        <x:v>0.2792746234976809</x:v>
      </x:c>
      <x:c r="BG204" s="9" t="str">
        <x:v>0.6173439045738208</x:v>
      </x:c>
      <x:c r="BH204" s="6" t="str">
        <x:v>Against trade</x:v>
      </x:c>
      <x:c r="BI204" s="6" t="str">
        <x:v>Penetration + same-bar reclaim</x:v>
      </x:c>
      <x:c r="BJ204" s="6" t="str">
        <x:v>False</x:v>
      </x:c>
      <x:c r="BK204" s="10" t="str">
        <x:v>True</x:v>
      </x:c>
      <x:c r="BL204" s="6" t="str">
        <x:v>True</x:v>
      </x:c>
      <x:c r="BM204" s="7" t="str">
        <x:v>2024-09-05 06:55:00-05:00</x:v>
      </x:c>
      <x:c r="BN204" s="8" t="str">
        <x:v>1</x:v>
      </x:c>
      <x:c r="BO204" s="6" t="str">
        <x:v>Immediate confirmation (1 bar)</x:v>
      </x:c>
      <x:c r="BP204" s="9" t="str">
        <x:v>0.5133932248709213</x:v>
      </x:c>
      <x:c r="BQ204" s="9" t="str">
        <x:v>1.0267864497418426</x:v>
      </x:c>
      <x:c r="BR204" s="10" t="str">
        <x:v>0.5</x:v>
      </x:c>
      <x:c r="BS204" s="9" t="str">
        <x:v>0.5280616027243762</x:v>
      </x:c>
      <x:c r="BT204" s="9" t="str">
        <x:v>0.42538295775019197</x:v>
      </x:c>
      <x:c r="BU204" s="9" t="str">
        <x:v>0.17602053424145875</x:v>
      </x:c>
      <x:c r="BV204" s="6" t="str">
        <x:v>With trade</x:v>
      </x:c>
      <x:c r="BW204" s="7" t="str">
        <x:v>2024-09-05 06:55:00-05:00</x:v>
      </x:c>
      <x:c r="BX204" s="6" t="str">
        <x:v>18179.25</x:v>
      </x:c>
      <x:c r="BY204" s="9" t="str">
        <x:v>17.043466053140744</x:v>
      </x:c>
      <x:c r="BZ204" s="9" t="str">
        <x:v>0.67</x:v>
      </x:c>
      <x:c r="CA204" s="6" t="str">
        <x:v>18204.815199079712</x:v>
      </x:c>
      <x:c r="CB204" s="6" t="str">
        <x:v>25.56519907971233</x:v>
      </x:c>
      <x:c r="CC204" s="9" t="str">
        <x:v>1.5000000000000713</x:v>
      </x:c>
      <x:c r="CD204" s="6" t="str">
        <x:v>18128.11960184058</x:v>
      </x:c>
      <x:c r="CE204" s="6" t="str">
        <x:v>51.13039815942102</x:v>
      </x:c>
      <x:c r="CF204" s="6" t="str">
        <x:v>Fixed 2.00R target</x:v>
      </x:c>
      <x:c r="CG204" s="9" t="str">
        <x:v>0.02835886385001145</x:v>
      </x:c>
      <x:c r="CH204" s="9" t="str">
        <x:v>2.0</x:v>
      </x:c>
      <x:c r="CI204" s="9" t="str">
        <x:v>1.9716411361499886</x:v>
      </x:c>
      <x:c r="CJ204" s="6" t="str">
        <x:v>Win</x:v>
      </x:c>
      <x:c r="CK204" s="9" t="str">
        <x:v>2.6696447693286642</x:v>
      </x:c>
      <x:c r="CL204" s="9" t="str">
        <x:v>0.3324832313449618</x:v>
      </x:c>
      <x:c r="CM204" s="7" t="str">
        <x:v>2024-09-05 07:15:00-05:00</x:v>
      </x:c>
      <x:c r="CN204" s="6" t="str">
        <x:v>18128.11960184058</x:v>
      </x:c>
      <x:c r="CO204" s="6" t="str">
        <x:v>TARGET</x:v>
      </x:c>
      <x:c r="CP204" s="6" t="str">
        <x:v>F::Short::Same-bar Setup+BOS::Penetration + same-bar reclaim</x:v>
      </x:c>
    </x:row>
    <x:row r="205" ht="18" customHeight="1">
      <x:c r="A205" s="6" t="str">
        <x:v>A0204</x:v>
      </x:c>
      <x:c r="B205" s="6" t="str">
        <x:v>2024-09-06</x:v>
      </x:c>
      <x:c r="C205" s="6" t="str">
        <x:v>2024</x:v>
      </x:c>
      <x:c r="D205" s="6" t="str">
        <x:v>2024-Q3</x:v>
      </x:c>
      <x:c r="E205" s="6" t="str">
        <x:v>First 50%</x:v>
      </x:c>
      <x:c r="F205" s="6" t="str">
        <x:v>Long</x:v>
      </x:c>
      <x:c r="G205" s="6" t="str">
        <x:v>Long</x:v>
      </x:c>
      <x:c r="H205" s="6" t="str">
        <x:v>Midday</x:v>
      </x:c>
      <x:c r="I205" s="6" t="str">
        <x:v>Midday</x:v>
      </x:c>
      <x:c r="J205" s="6" t="str">
        <x:v>Bear</x:v>
      </x:c>
      <x:c r="K205" s="6" t="str">
        <x:v>Bear</x:v>
      </x:c>
      <x:c r="L205" s="6" t="str">
        <x:v>MID</x:v>
      </x:c>
      <x:c r="M205" s="7" t="str">
        <x:v>2024-09-06 12:05:00-05:00</x:v>
      </x:c>
      <x:c r="N205" s="6" t="str">
        <x:v>85.0</x:v>
      </x:c>
      <x:c r="O205" s="6" t="str">
        <x:v>85-89</x:v>
      </x:c>
      <x:c r="P205" s="6" t="str">
        <x:v>Matching BOS only</x:v>
      </x:c>
      <x:c r="Q205" s="6" t="str">
        <x:v>Bull CHoCH</x:v>
      </x:c>
      <x:c r="R205" s="6" t="str">
        <x:v>True</x:v>
      </x:c>
      <x:c r="S205" s="6" t="str">
        <x:v>False</x:v>
      </x:c>
      <x:c r="T205" s="6" t="str">
        <x:v>Recent SSL</x:v>
      </x:c>
      <x:c r="U205" s="6" t="str">
        <x:v>SSL</x:v>
      </x:c>
      <x:c r="V205" s="6" t="str">
        <x:v>Swing low / sell-side</x:v>
      </x:c>
      <x:c r="W205" s="6" t="str">
        <x:v>[17698.75]</x:v>
      </x:c>
      <x:c r="X205" s="8" t="str">
        <x:v>1</x:v>
      </x:c>
      <x:c r="Y205" s="8" t="str">
        <x:v>4.0</x:v>
      </x:c>
      <x:c r="Z205" s="6" t="str">
        <x:v>None</x:v>
      </x:c>
      <x:c r="AA205" s="6" t="str">
        <x:v>17760.5</x:v>
      </x:c>
      <x:c r="AB205" s="9" t="str">
        <x:v>0.0995134553718914</x:v>
      </x:c>
      <x:c r="AC205" s="9" t="str">
        <x:v>0.7836684610536447</x:v>
      </x:c>
      <x:c r="AD205" s="9" t="str">
        <x:v>1.169283100619724</x:v>
      </x:c>
      <x:c r="AE205" s="6" t="str">
        <x:v>With trade</x:v>
      </x:c>
      <x:c r="AF205" s="7" t="str">
        <x:v>2024-09-06 12:05:00-05:00</x:v>
      </x:c>
      <x:c r="AG205" s="6" t="str">
        <x:v>Long</x:v>
      </x:c>
      <x:c r="AH205" s="6" t="str">
        <x:v>17760.5</x:v>
      </x:c>
      <x:c r="AI205" s="8" t="str">
        <x:v>0</x:v>
      </x:c>
      <x:c r="AJ205" s="6" t="str">
        <x:v>True</x:v>
      </x:c>
      <x:c r="AK205" s="6" t="str">
        <x:v>Same-bar Setup+BOS</x:v>
      </x:c>
      <x:c r="AL205" s="9" t="str">
        <x:v>0.7961076429751311</x:v>
      </x:c>
      <x:c r="AM205" s="9" t="str">
        <x:v>0.0995134553718914</x:v>
      </x:c>
      <x:c r="AN205" s="9" t="str">
        <x:v>0.7836684610536447</x:v>
      </x:c>
      <x:c r="AO205" s="9" t="str">
        <x:v>1.169283100619724</x:v>
      </x:c>
      <x:c r="AP205" s="10" t="str">
        <x:v>0.6702127659574468</x:v>
      </x:c>
      <x:c r="AQ205" s="6" t="str">
        <x:v>0.16489361702127658</x:v>
      </x:c>
      <x:c r="AR205" s="6" t="str">
        <x:v>0.16489361702127658</x:v>
      </x:c>
      <x:c r="AS205" s="6" t="str">
        <x:v>With trade</x:v>
      </x:c>
      <x:c r="AT205" s="6" t="str">
        <x:v>1.0461411982324529</x:v>
      </x:c>
      <x:c r="AU205" s="7" t="str">
        <x:v>2024-09-06 12:10:00-05:00</x:v>
      </x:c>
      <x:c r="AV205" s="8" t="str">
        <x:v>1</x:v>
      </x:c>
      <x:c r="AW205" s="6" t="str">
        <x:v>Immediate retest (1 bar)</x:v>
      </x:c>
      <x:c r="AX205" s="6" t="str">
        <x:v>17759.75</x:v>
      </x:c>
      <x:c r="AY205" s="6" t="str">
        <x:v>0.75</x:v>
      </x:c>
      <x:c r="AZ205" s="9" t="str">
        <x:v>0.019185356788965383</x:v>
      </x:c>
      <x:c r="BA205" s="9" t="str">
        <x:v>0.4412632061462038</x:v>
      </x:c>
      <x:c r="BB205" s="9" t="str">
        <x:v>0.6331167740358576</x:v>
      </x:c>
      <x:c r="BC205" s="9" t="str">
        <x:v>0.33894130327172173</x:v>
      </x:c>
      <x:c r="BD205" s="6" t="str">
        <x:v>0.2727272727272727</x:v>
      </x:c>
      <x:c r="BE205" s="6" t="str">
        <x:v>0.1919191919191919</x:v>
      </x:c>
      <x:c r="BF205" s="9" t="str">
        <x:v>0.12150725966344741</x:v>
      </x:c>
      <x:c r="BG205" s="9" t="str">
        <x:v>0.17266821110068845</x:v>
      </x:c>
      <x:c r="BH205" s="6" t="str">
        <x:v>With trade</x:v>
      </x:c>
      <x:c r="BI205" s="6" t="str">
        <x:v>Penetration + same-bar reclaim</x:v>
      </x:c>
      <x:c r="BJ205" s="6" t="str">
        <x:v>False</x:v>
      </x:c>
      <x:c r="BK205" s="10" t="str">
        <x:v>True</x:v>
      </x:c>
      <x:c r="BL205" s="6" t="str">
        <x:v>True</x:v>
      </x:c>
      <x:c r="BM205" s="7" t="str">
        <x:v>2024-09-06 12:20:00-05:00</x:v>
      </x:c>
      <x:c r="BN205" s="8" t="str">
        <x:v>2</x:v>
      </x:c>
      <x:c r="BO205" s="6" t="str">
        <x:v>Delayed confirmation (2+ bars)</x:v>
      </x:c>
      <x:c r="BP205" s="9" t="str">
        <x:v>0.9154723182559514</x:v>
      </x:c>
      <x:c r="BQ205" s="9" t="str">
        <x:v>1.0282478936932788</x:v>
      </x:c>
      <x:c r="BR205" s="10" t="str">
        <x:v>0.8903225806451613</x:v>
      </x:c>
      <x:c r="BS205" s="9" t="str">
        <x:v>1.1675588986452714</x:v>
      </x:c>
      <x:c r="BT205" s="9" t="str">
        <x:v>0.7098227395172957</x:v>
      </x:c>
      <x:c r="BU205" s="9" t="str">
        <x:v>0.026535429514665258</x:v>
      </x:c>
      <x:c r="BV205" s="6" t="str">
        <x:v>With trade</x:v>
      </x:c>
      <x:c r="BW205" s="7" t="str">
        <x:v>2024-09-06 12:20:00-05:00</x:v>
      </x:c>
      <x:c r="BX205" s="6" t="str">
        <x:v>17804.5</x:v>
      </x:c>
      <x:c r="BY205" s="9" t="str">
        <x:v>37.685464991148265</x:v>
      </x:c>
      <x:c r="BZ205" s="9" t="str">
        <x:v>0.46</x:v>
      </x:c>
      <x:c r="CA205" s="6" t="str">
        <x:v>17747.97180251328</x:v>
      </x:c>
      <x:c r="CB205" s="6" t="str">
        <x:v>56.52819748672118</x:v>
      </x:c>
      <x:c r="CC205" s="9" t="str">
        <x:v>1.4999999999999678</x:v>
      </x:c>
      <x:c r="CD205" s="6" t="str">
        <x:v>17917.556394973446</x:v>
      </x:c>
      <x:c r="CE205" s="6" t="str">
        <x:v>113.056394973446</x:v>
      </x:c>
      <x:c r="CF205" s="6" t="str">
        <x:v>Fixed 2.00R target</x:v>
      </x:c>
      <x:c r="CG205" s="9" t="str">
        <x:v>0.01282545759875515</x:v>
      </x:c>
      <x:c r="CH205" s="9" t="str">
        <x:v>-1.0</x:v>
      </x:c>
      <x:c r="CI205" s="9" t="str">
        <x:v>-1.0128254575987552</x:v>
      </x:c>
      <x:c r="CJ205" s="6" t="str">
        <x:v>Loss</x:v>
      </x:c>
      <x:c r="CK205" s="9" t="str">
        <x:v>0.06633857378666458</x:v>
      </x:c>
      <x:c r="CL205" s="9" t="str">
        <x:v>1.0658397521724108</x:v>
      </x:c>
      <x:c r="CM205" s="7" t="str">
        <x:v>2024-09-06 12:30:00-05:00</x:v>
      </x:c>
      <x:c r="CN205" s="6" t="str">
        <x:v>17747.97180251328</x:v>
      </x:c>
      <x:c r="CO205" s="6" t="str">
        <x:v>STOP</x:v>
      </x:c>
      <x:c r="CP205" s="6" t="str">
        <x:v>F::Long::Same-bar Setup+BOS::Penetration + same-bar reclaim</x:v>
      </x:c>
    </x:row>
    <x:row r="206" ht="18" customHeight="1">
      <x:c r="A206" s="6" t="str">
        <x:v>A0205</x:v>
      </x:c>
      <x:c r="B206" s="6" t="str">
        <x:v>2024-09-10</x:v>
      </x:c>
      <x:c r="C206" s="6" t="str">
        <x:v>2024</x:v>
      </x:c>
      <x:c r="D206" s="6" t="str">
        <x:v>2024-Q3</x:v>
      </x:c>
      <x:c r="E206" s="6" t="str">
        <x:v>First 50%</x:v>
      </x:c>
      <x:c r="F206" s="6" t="str">
        <x:v>Short</x:v>
      </x:c>
      <x:c r="G206" s="6" t="str">
        <x:v>Short</x:v>
      </x:c>
      <x:c r="H206" s="6" t="str">
        <x:v>Premarket</x:v>
      </x:c>
      <x:c r="I206" s="6" t="str">
        <x:v>Premarket</x:v>
      </x:c>
      <x:c r="J206" s="6" t="str">
        <x:v>Bear</x:v>
      </x:c>
      <x:c r="K206" s="6" t="str">
        <x:v>Bear</x:v>
      </x:c>
      <x:c r="L206" s="6" t="str">
        <x:v>HIGH</x:v>
      </x:c>
      <x:c r="M206" s="7" t="str">
        <x:v>2024-09-10 04:05:00-05:00</x:v>
      </x:c>
      <x:c r="N206" s="6" t="str">
        <x:v>90.0</x:v>
      </x:c>
      <x:c r="O206" s="6" t="str">
        <x:v>90-94</x:v>
      </x:c>
      <x:c r="P206" s="6" t="str">
        <x:v>Matching BOS only</x:v>
      </x:c>
      <x:c r="Q206" s="6" t="str">
        <x:v>Bear CHoCH</x:v>
      </x:c>
      <x:c r="R206" s="6" t="str">
        <x:v>True</x:v>
      </x:c>
      <x:c r="S206" s="6" t="str">
        <x:v>False</x:v>
      </x:c>
      <x:c r="T206" s="6" t="str">
        <x:v>Recent BSL</x:v>
      </x:c>
      <x:c r="U206" s="6" t="str">
        <x:v>BSL</x:v>
      </x:c>
      <x:c r="V206" s="6" t="str">
        <x:v>Swing high / buy-side</x:v>
      </x:c>
      <x:c r="W206" s="6" t="str">
        <x:v>[17943.25]</x:v>
      </x:c>
      <x:c r="X206" s="8" t="str">
        <x:v>1</x:v>
      </x:c>
      <x:c r="Y206" s="8" t="str">
        <x:v>14.0</x:v>
      </x:c>
      <x:c r="Z206" s="6" t="str">
        <x:v>None</x:v>
      </x:c>
      <x:c r="AA206" s="6" t="str">
        <x:v>17875.5</x:v>
      </x:c>
      <x:c r="AB206" s="9" t="str">
        <x:v>1.5385749513227587</x:v>
      </x:c>
      <x:c r="AC206" s="9" t="str">
        <x:v>1.93076072322856</x:v>
      </x:c>
      <x:c r="AD206" s="9" t="str">
        <x:v>2.202273949932576</x:v>
      </x:c>
      <x:c r="AE206" s="6" t="str">
        <x:v>With trade</x:v>
      </x:c>
      <x:c r="AF206" s="7" t="str">
        <x:v>2024-09-10 04:05:00-05:00</x:v>
      </x:c>
      <x:c r="AG206" s="6" t="str">
        <x:v>Short</x:v>
      </x:c>
      <x:c r="AH206" s="6" t="str">
        <x:v>17875.5</x:v>
      </x:c>
      <x:c r="AI206" s="8" t="str">
        <x:v>0</x:v>
      </x:c>
      <x:c r="AJ206" s="6" t="str">
        <x:v>True</x:v>
      </x:c>
      <x:c r="AK206" s="6" t="str">
        <x:v>Same-bar Setup+BOS</x:v>
      </x:c>
      <x:c r="AL206" s="9" t="str">
        <x:v>1.8855085187778906</x:v>
      </x:c>
      <x:c r="AM206" s="9" t="str">
        <x:v>1.5385749513227587</x:v>
      </x:c>
      <x:c r="AN206" s="9" t="str">
        <x:v>1.93076072322856</x:v>
      </x:c>
      <x:c r="AO206" s="9" t="str">
        <x:v>2.202273949932576</x:v>
      </x:c>
      <x:c r="AP206" s="10" t="str">
        <x:v>0.8767123287671232</x:v>
      </x:c>
      <x:c r="AQ206" s="6" t="str">
        <x:v>0.11643835616438356</x:v>
      </x:c>
      <x:c r="AR206" s="6" t="str">
        <x:v>0.00684931506849315</x:v>
      </x:c>
      <x:c r="AS206" s="6" t="str">
        <x:v>With trade</x:v>
      </x:c>
      <x:c r="AT206" s="6" t="str">
        <x:v>2.756558147483551</x:v>
      </x:c>
      <x:c r="AU206" s="7" t="str">
        <x:v>2024-09-10 04:25:00-05:00</x:v>
      </x:c>
      <x:c r="AV206" s="8" t="str">
        <x:v>4</x:v>
      </x:c>
      <x:c r="AW206" s="6" t="str">
        <x:v>Delayed retest (2+ bars)</x:v>
      </x:c>
      <x:c r="AX206" s="6" t="str">
        <x:v>17876.25</x:v>
      </x:c>
      <x:c r="AY206" s="6" t="str">
        <x:v>0.75</x:v>
      </x:c>
      <x:c r="AZ206" s="9" t="str">
        <x:v>0.04598886870067677</x:v>
      </x:c>
      <x:c r="BA206" s="9" t="str">
        <x:v>0.24527396640360943</x:v>
      </x:c>
      <x:c r="BB206" s="9" t="str">
        <x:v>0.935106996913761</x:v>
      </x:c>
      <x:c r="BC206" s="9" t="str">
        <x:v>0.3219220809047374</x:v>
      </x:c>
      <x:c r="BD206" s="6" t="str">
        <x:v>0.3114754098360656</x:v>
      </x:c>
      <x:c r="BE206" s="6" t="str">
        <x:v>0.3442622950819672</x:v>
      </x:c>
      <x:c r="BF206" s="9" t="str">
        <x:v>0.2912628351042862</x:v>
      </x:c>
      <x:c r="BG206" s="9" t="str">
        <x:v>0.3219220809047374</x:v>
      </x:c>
      <x:c r="BH206" s="6" t="str">
        <x:v>Against trade</x:v>
      </x:c>
      <x:c r="BI206" s="6" t="str">
        <x:v>Penetration + same-bar reclaim</x:v>
      </x:c>
      <x:c r="BJ206" s="6" t="str">
        <x:v>False</x:v>
      </x:c>
      <x:c r="BK206" s="10" t="str">
        <x:v>True</x:v>
      </x:c>
      <x:c r="BL206" s="6" t="str">
        <x:v>True</x:v>
      </x:c>
      <x:c r="BM206" s="7" t="str">
        <x:v>2024-09-10 04:30:00-05:00</x:v>
      </x:c>
      <x:c r="BN206" s="8" t="str">
        <x:v>1</x:v>
      </x:c>
      <x:c r="BO206" s="6" t="str">
        <x:v>Immediate confirmation (1 bar)</x:v>
      </x:c>
      <x:c r="BP206" s="9" t="str">
        <x:v>0.21585159070528204</x:v>
      </x:c>
      <x:c r="BQ206" s="9" t="str">
        <x:v>0.9250782458797802</x:v>
      </x:c>
      <x:c r="BR206" s="10" t="str">
        <x:v>0.23333333333333334</x:v>
      </x:c>
      <x:c r="BS206" s="9" t="str">
        <x:v>0.4779570937045531</x:v>
      </x:c>
      <x:c r="BT206" s="9" t="str">
        <x:v>0.23126956146994504</x:v>
      </x:c>
      <x:c r="BU206" s="9" t="str">
        <x:v>0.40086723988123807</x:v>
      </x:c>
      <x:c r="BV206" s="6" t="str">
        <x:v>With trade</x:v>
      </x:c>
      <x:c r="BW206" s="7" t="str">
        <x:v>2024-09-10 04:30:00-05:00</x:v>
      </x:c>
      <x:c r="BX206" s="6" t="str">
        <x:v>17867.75</x:v>
      </x:c>
      <x:c r="BY206" s="9" t="str">
        <x:v>16.214844600236493</x:v>
      </x:c>
      <x:c r="BZ206" s="9" t="str">
        <x:v>0.95</x:v>
      </x:c>
      <x:c r="CA206" s="6" t="str">
        <x:v>17892.072266900355</x:v>
      </x:c>
      <x:c r="CB206" s="6" t="str">
        <x:v>24.322266900355316</x:v>
      </x:c>
      <x:c r="CC206" s="9" t="str">
        <x:v>1.5000000000000355</x:v>
      </x:c>
      <x:c r="CD206" s="6" t="str">
        <x:v>17819.10546619929</x:v>
      </x:c>
      <x:c r="CE206" s="6" t="str">
        <x:v>48.64453380071063</x:v>
      </x:c>
      <x:c r="CF206" s="6" t="str">
        <x:v>Fixed 2.00R target</x:v>
      </x:c>
      <x:c r="CG206" s="9" t="str">
        <x:v>0.029808076811681097</x:v>
      </x:c>
      <x:c r="CH206" s="9" t="str">
        <x:v>-1.0</x:v>
      </x:c>
      <x:c r="CI206" s="9" t="str">
        <x:v>-1.029808076811681</x:v>
      </x:c>
      <x:c r="CJ206" s="6" t="str">
        <x:v>Loss</x:v>
      </x:c>
      <x:c r="CK206" s="9" t="str">
        <x:v>0.05139323588220879</x:v>
      </x:c>
      <x:c r="CL206" s="9" t="str">
        <x:v>1.1512084837614769</x:v>
      </x:c>
      <x:c r="CM206" s="7" t="str">
        <x:v>2024-09-10 04:35:00-05:00</x:v>
      </x:c>
      <x:c r="CN206" s="6" t="str">
        <x:v>17892.072266900355</x:v>
      </x:c>
      <x:c r="CO206" s="6" t="str">
        <x:v>STOP</x:v>
      </x:c>
      <x:c r="CP206" s="6" t="str">
        <x:v>F::Short::Same-bar Setup+BOS::Penetration + same-bar reclaim</x:v>
      </x:c>
    </x:row>
    <x:row r="207" ht="18" customHeight="1">
      <x:c r="A207" s="6" t="str">
        <x:v>A0206</x:v>
      </x:c>
      <x:c r="B207" s="6" t="str">
        <x:v>2024-09-11</x:v>
      </x:c>
      <x:c r="C207" s="6" t="str">
        <x:v>2024</x:v>
      </x:c>
      <x:c r="D207" s="6" t="str">
        <x:v>2024-Q3</x:v>
      </x:c>
      <x:c r="E207" s="6" t="str">
        <x:v>First 50%</x:v>
      </x:c>
      <x:c r="F207" s="6" t="str">
        <x:v>Short</x:v>
      </x:c>
      <x:c r="G207" s="6" t="str">
        <x:v>Short</x:v>
      </x:c>
      <x:c r="H207" s="6" t="str">
        <x:v>Overnight</x:v>
      </x:c>
      <x:c r="I207" s="6" t="str">
        <x:v>Overnight</x:v>
      </x:c>
      <x:c r="J207" s="6" t="str">
        <x:v>Bull</x:v>
      </x:c>
      <x:c r="K207" s="6" t="str">
        <x:v>Bull</x:v>
      </x:c>
      <x:c r="L207" s="6" t="str">
        <x:v>HIGH</x:v>
      </x:c>
      <x:c r="M207" s="7" t="str">
        <x:v>2024-09-11 03:30:00-05:00</x:v>
      </x:c>
      <x:c r="N207" s="6" t="str">
        <x:v>90.0</x:v>
      </x:c>
      <x:c r="O207" s="6" t="str">
        <x:v>90-94</x:v>
      </x:c>
      <x:c r="P207" s="6" t="str">
        <x:v>Matching BOS only</x:v>
      </x:c>
      <x:c r="Q207" s="6" t="str">
        <x:v>Bear CHoCH</x:v>
      </x:c>
      <x:c r="R207" s="6" t="str">
        <x:v>True</x:v>
      </x:c>
      <x:c r="S207" s="6" t="str">
        <x:v>False</x:v>
      </x:c>
      <x:c r="T207" s="6" t="str">
        <x:v>Recent BSL</x:v>
      </x:c>
      <x:c r="U207" s="6" t="str">
        <x:v>BSL</x:v>
      </x:c>
      <x:c r="V207" s="6" t="str">
        <x:v>Swing high / buy-side</x:v>
      </x:c>
      <x:c r="W207" s="6" t="str">
        <x:v>[18066.75]</x:v>
      </x:c>
      <x:c r="X207" s="8" t="str">
        <x:v>1</x:v>
      </x:c>
      <x:c r="Y207" s="8" t="str">
        <x:v>17.0</x:v>
      </x:c>
      <x:c r="Z207" s="6" t="str">
        <x:v>None</x:v>
      </x:c>
      <x:c r="AA207" s="6" t="str">
        <x:v>18055.0</x:v>
      </x:c>
      <x:c r="AB207" s="9" t="str">
        <x:v>0.26955094122732676</x:v>
      </x:c>
      <x:c r="AC207" s="9" t="str">
        <x:v>1.8119813271392522</x:v>
      </x:c>
      <x:c r="AD207" s="9" t="str">
        <x:v>2.0216320592049506</x:v>
      </x:c>
      <x:c r="AE207" s="6" t="str">
        <x:v>With trade</x:v>
      </x:c>
      <x:c r="AF207" s="7" t="str">
        <x:v>2024-09-11 03:30:00-05:00</x:v>
      </x:c>
      <x:c r="AG207" s="6" t="str">
        <x:v>Short</x:v>
      </x:c>
      <x:c r="AH207" s="6" t="str">
        <x:v>18055.0</x:v>
      </x:c>
      <x:c r="AI207" s="8" t="str">
        <x:v>0</x:v>
      </x:c>
      <x:c r="AJ207" s="6" t="str">
        <x:v>True</x:v>
      </x:c>
      <x:c r="AK207" s="6" t="str">
        <x:v>Same-bar Setup+BOS</x:v>
      </x:c>
      <x:c r="AL207" s="9" t="str">
        <x:v>1.8119813271392522</x:v>
      </x:c>
      <x:c r="AM207" s="9" t="str">
        <x:v>0.26955094122732676</x:v>
      </x:c>
      <x:c r="AN207" s="9" t="str">
        <x:v>1.8119813271392522</x:v>
      </x:c>
      <x:c r="AO207" s="9" t="str">
        <x:v>2.0216320592049506</x:v>
      </x:c>
      <x:c r="AP207" s="10" t="str">
        <x:v>0.8962962962962963</x:v>
      </x:c>
      <x:c r="AQ207" s="6" t="str">
        <x:v>0.022222222222222223</x:v>
      </x:c>
      <x:c r="AR207" s="6" t="str">
        <x:v>0.08148148148148149</x:v>
      </x:c>
      <x:c r="AS207" s="6" t="str">
        <x:v>With trade</x:v>
      </x:c>
      <x:c r="AT207" s="6" t="str">
        <x:v>1.2565279316347524</x:v>
      </x:c>
      <x:c r="AU207" s="7" t="str">
        <x:v>2024-09-11 03:35:00-05:00</x:v>
      </x:c>
      <x:c r="AV207" s="8" t="str">
        <x:v>1</x:v>
      </x:c>
      <x:c r="AW207" s="6" t="str">
        <x:v>Immediate retest (1 bar)</x:v>
      </x:c>
      <x:c r="AX207" s="6" t="str">
        <x:v>18054.5</x:v>
      </x:c>
      <x:c r="AY207" s="6" t="str">
        <x:v>0.0</x:v>
      </x:c>
      <x:c r="AZ207" s="9" t="str">
        <x:v>0.0</x:v>
      </x:c>
      <x:c r="BA207" s="9" t="str">
        <x:v>0.4460996812067279</x:v>
      </x:c>
      <x:c r="BB207" s="9" t="str">
        <x:v>0.6460754003683645</x:v>
      </x:c>
      <x:c r="BC207" s="9" t="str">
        <x:v>0.12306198102254563</x:v>
      </x:c>
      <x:c r="BD207" s="6" t="str">
        <x:v>0.4523809523809524</x:v>
      </x:c>
      <x:c r="BE207" s="6" t="str">
        <x:v>0.35714285714285715</x:v>
      </x:c>
      <x:c r="BF207" s="9" t="str">
        <x:v>0.2922722049285459</x:v>
      </x:c>
      <x:c r="BG207" s="9" t="str">
        <x:v>0.23074121441727305</x:v>
      </x:c>
      <x:c r="BH207" s="6" t="str">
        <x:v>With trade</x:v>
      </x:c>
      <x:c r="BI207" s="6" t="str">
        <x:v>Tolerance-only shallow touch</x:v>
      </x:c>
      <x:c r="BJ207" s="6" t="str">
        <x:v>True</x:v>
      </x:c>
      <x:c r="BK207" s="10" t="str">
        <x:v>False</x:v>
      </x:c>
      <x:c r="BL207" s="6" t="str">
        <x:v>True</x:v>
      </x:c>
      <x:c r="BM207" s="7" t="str">
        <x:v>2024-09-11 03:40:00-05:00</x:v>
      </x:c>
      <x:c r="BN207" s="8" t="str">
        <x:v>1</x:v>
      </x:c>
      <x:c r="BO207" s="6" t="str">
        <x:v>Immediate confirmation (1 bar)</x:v>
      </x:c>
      <x:c r="BP207" s="9" t="str">
        <x:v>0.7999098132468612</x:v>
      </x:c>
      <x:c r="BQ207" s="9" t="str">
        <x:v>0.9691215045106203</x:v>
      </x:c>
      <x:c r="BR207" s="10" t="str">
        <x:v>0.8253968253968254</x:v>
      </x:c>
      <x:c r="BS207" s="9" t="str">
        <x:v>1.2921620060141603</x:v>
      </x:c>
      <x:c r="BT207" s="9" t="str">
        <x:v>0.8460584563187955</x:v>
      </x:c>
      <x:c r="BU207" s="9" t="str">
        <x:v>0.0153828810239781</x:v>
      </x:c>
      <x:c r="BV207" s="6" t="str">
        <x:v>With trade</x:v>
      </x:c>
      <x:c r="BW207" s="7" t="str">
        <x:v>2024-09-11 03:40:00-05:00</x:v>
      </x:c>
      <x:c r="BX207" s="6" t="str">
        <x:v>18034.0</x:v>
      </x:c>
      <x:c r="BY207" s="9" t="str">
        <x:v>16.251832124964885</x:v>
      </x:c>
      <x:c r="BZ207" s="9" t="str">
        <x:v>0.82</x:v>
      </x:c>
      <x:c r="CA207" s="6" t="str">
        <x:v>18058.377748187446</x:v>
      </x:c>
      <x:c r="CB207" s="6" t="str">
        <x:v>24.37774818744583</x:v>
      </x:c>
      <x:c r="CC207" s="9" t="str">
        <x:v>1.499999999999908</x:v>
      </x:c>
      <x:c r="CD207" s="6" t="str">
        <x:v>17985.244503625105</x:v>
      </x:c>
      <x:c r="CE207" s="6" t="str">
        <x:v>48.7554963748953</x:v>
      </x:c>
      <x:c r="CF207" s="6" t="str">
        <x:v>Fixed 2.00R target</x:v>
      </x:c>
      <x:c r="CG207" s="9" t="str">
        <x:v>0.029740236646359483</x:v>
      </x:c>
      <x:c r="CH207" s="9" t="str">
        <x:v>-1.0</x:v>
      </x:c>
      <x:c r="CI207" s="9" t="str">
        <x:v>-1.0297402366463595</x:v>
      </x:c>
      <x:c r="CJ207" s="6" t="str">
        <x:v>Loss</x:v>
      </x:c>
      <x:c r="CK207" s="9" t="str">
        <x:v>0.2768918584316228</x:v>
      </x:c>
      <x:c r="CL207" s="9" t="str">
        <x:v>1.1793542118383933</x:v>
      </x:c>
      <x:c r="CM207" s="7" t="str">
        <x:v>2024-09-11 04:10:00-05:00</x:v>
      </x:c>
      <x:c r="CN207" s="6" t="str">
        <x:v>18058.377748187446</x:v>
      </x:c>
      <x:c r="CO207" s="6" t="str">
        <x:v>STOP</x:v>
      </x:c>
      <x:c r="CP207" s="6" t="str">
        <x:v>F::Short::Same-bar Setup+BOS::Tolerance-only shallow touch</x:v>
      </x:c>
    </x:row>
    <x:row r="208" ht="18" customHeight="1">
      <x:c r="A208" s="6" t="str">
        <x:v>A0207</x:v>
      </x:c>
      <x:c r="B208" s="6" t="str">
        <x:v>2024-09-11</x:v>
      </x:c>
      <x:c r="C208" s="6" t="str">
        <x:v>2024</x:v>
      </x:c>
      <x:c r="D208" s="6" t="str">
        <x:v>2024-Q3</x:v>
      </x:c>
      <x:c r="E208" s="6" t="str">
        <x:v>First 50%</x:v>
      </x:c>
      <x:c r="F208" s="6" t="str">
        <x:v>Long</x:v>
      </x:c>
      <x:c r="G208" s="6" t="str">
        <x:v>Long</x:v>
      </x:c>
      <x:c r="H208" s="6" t="str">
        <x:v>Midday</x:v>
      </x:c>
      <x:c r="I208" s="6" t="str">
        <x:v>Midday</x:v>
      </x:c>
      <x:c r="J208" s="6" t="str">
        <x:v>Bull</x:v>
      </x:c>
      <x:c r="K208" s="6" t="str">
        <x:v>Bull</x:v>
      </x:c>
      <x:c r="L208" s="6" t="str">
        <x:v>MID</x:v>
      </x:c>
      <x:c r="M208" s="7" t="str">
        <x:v>2024-09-11 13:20:00-05:00</x:v>
      </x:c>
      <x:c r="N208" s="6" t="str">
        <x:v>75.0</x:v>
      </x:c>
      <x:c r="O208" s="6" t="str">
        <x:v>75-79</x:v>
      </x:c>
      <x:c r="P208" s="6" t="str">
        <x:v>Matching BOS only</x:v>
      </x:c>
      <x:c r="Q208" s="6" t="str">
        <x:v>Bull BOS</x:v>
      </x:c>
      <x:c r="R208" s="6" t="str">
        <x:v>True</x:v>
      </x:c>
      <x:c r="S208" s="6" t="str">
        <x:v>False</x:v>
      </x:c>
      <x:c r="T208" s="6" t="str">
        <x:v>No recent matching sweep</x:v>
      </x:c>
      <x:c r="U208" s="6" t="str">
        <x:v>None</x:v>
      </x:c>
      <x:c r="V208" s="6" t="str">
        <x:v>None</x:v>
      </x:c>
      <x:c r="W208" s="6" t="str">
        <x:v>[]</x:v>
      </x:c>
      <x:c r="X208" s="8" t="str">
        <x:v>0</x:v>
      </x:c>
      <x:c r="Y208" s="8" t="str"/>
      <x:c r="Z208" s="6" t="str">
        <x:v>None</x:v>
      </x:c>
      <x:c r="AA208" s="6" t="str">
        <x:v>18332.75</x:v>
      </x:c>
      <x:c r="AB208" s="9" t="str">
        <x:v>0.0742295186036236</x:v>
      </x:c>
      <x:c r="AC208" s="9" t="str">
        <x:v>0.801678800919135</x:v>
      </x:c>
      <x:c r="AD208" s="9" t="str">
        <x:v>0.8313706083605844</x:v>
      </x:c>
      <x:c r="AE208" s="6" t="str">
        <x:v>With trade</x:v>
      </x:c>
      <x:c r="AF208" s="7" t="str">
        <x:v>2024-09-11 13:20:00-05:00</x:v>
      </x:c>
      <x:c r="AG208" s="6" t="str">
        <x:v>Long</x:v>
      </x:c>
      <x:c r="AH208" s="6" t="str">
        <x:v>18332.75</x:v>
      </x:c>
      <x:c r="AI208" s="8" t="str">
        <x:v>0</x:v>
      </x:c>
      <x:c r="AJ208" s="6" t="str">
        <x:v>True</x:v>
      </x:c>
      <x:c r="AK208" s="6" t="str">
        <x:v>Same-bar Setup+BOS</x:v>
      </x:c>
      <x:c r="AL208" s="9" t="str">
        <x:v>0.7868328971984102</x:v>
      </x:c>
      <x:c r="AM208" s="9" t="str">
        <x:v>0.0742295186036236</x:v>
      </x:c>
      <x:c r="AN208" s="9" t="str">
        <x:v>0.801678800919135</x:v>
      </x:c>
      <x:c r="AO208" s="9" t="str">
        <x:v>0.8313706083605844</x:v>
      </x:c>
      <x:c r="AP208" s="10" t="str">
        <x:v>0.9642857142857143</x:v>
      </x:c>
      <x:c r="AQ208" s="6" t="str">
        <x:v>0.026785714285714284</x:v>
      </x:c>
      <x:c r="AR208" s="6" t="str">
        <x:v>0.008928571428571428</x:v>
      </x:c>
      <x:c r="AS208" s="6" t="str">
        <x:v>With trade</x:v>
      </x:c>
      <x:c r="AT208" s="6" t="str">
        <x:v>0.7401512136888181</x:v>
      </x:c>
      <x:c r="AU208" s="7" t="str">
        <x:v>2024-09-11 13:25:00-05:00</x:v>
      </x:c>
      <x:c r="AV208" s="8" t="str">
        <x:v>1</x:v>
      </x:c>
      <x:c r="AW208" s="6" t="str">
        <x:v>Immediate retest (1 bar)</x:v>
      </x:c>
      <x:c r="AX208" s="6" t="str">
        <x:v>18324.0</x:v>
      </x:c>
      <x:c r="AY208" s="6" t="str">
        <x:v>8.75</x:v>
      </x:c>
      <x:c r="AZ208" s="9" t="str">
        <x:v>0.2421756455679348</x:v>
      </x:c>
      <x:c r="BA208" s="9" t="str">
        <x:v>1.3838608318167702</x:v>
      </x:c>
      <x:c r="BB208" s="9" t="str">
        <x:v>1.8820507312708077</x:v>
      </x:c>
      <x:c r="BC208" s="9" t="str">
        <x:v>1.3146677902259318</x:v>
      </x:c>
      <x:c r="BD208" s="6" t="str">
        <x:v>0.13602941176470587</x:v>
      </x:c>
      <x:c r="BE208" s="6" t="str">
        <x:v>0.16544117647058823</x:v>
      </x:c>
      <x:c r="BF208" s="9" t="str">
        <x:v>0.3113686871587733</x:v>
      </x:c>
      <x:c r="BG208" s="9" t="str">
        <x:v>0.2560142538861025</x:v>
      </x:c>
      <x:c r="BH208" s="6" t="str">
        <x:v>With trade</x:v>
      </x:c>
      <x:c r="BI208" s="6" t="str">
        <x:v>Penetration + same-bar reclaim</x:v>
      </x:c>
      <x:c r="BJ208" s="6" t="str">
        <x:v>False</x:v>
      </x:c>
      <x:c r="BK208" s="10" t="str">
        <x:v>True</x:v>
      </x:c>
      <x:c r="BL208" s="6" t="str">
        <x:v>True</x:v>
      </x:c>
      <x:c r="BM208" s="7" t="str">
        <x:v>2024-09-11 13:30:00-05:00</x:v>
      </x:c>
      <x:c r="BN208" s="8" t="str">
        <x:v>1</x:v>
      </x:c>
      <x:c r="BO208" s="6" t="str">
        <x:v>Immediate confirmation (1 bar)</x:v>
      </x:c>
      <x:c r="BP208" s="9" t="str">
        <x:v>0.3169330316479435</x:v>
      </x:c>
      <x:c r="BQ208" s="9" t="str">
        <x:v>0.7676822322139076</x:v>
      </x:c>
      <x:c r="BR208" s="10" t="str">
        <x:v>0.41284403669724773</x:v>
      </x:c>
      <x:c r="BS208" s="9" t="str">
        <x:v>1.711438370898895</x:v>
      </x:c>
      <x:c r="BT208" s="9" t="str">
        <x:v>0.30284711913025714</x:v>
      </x:c>
      <x:c r="BU208" s="9" t="str">
        <x:v>0.2112886877652957</x:v>
      </x:c>
      <x:c r="BV208" s="6" t="str">
        <x:v>With trade</x:v>
      </x:c>
      <x:c r="BW208" s="7" t="str">
        <x:v>2024-09-11 13:30:00-05:00</x:v>
      </x:c>
      <x:c r="BX208" s="6" t="str">
        <x:v>18393.5</x:v>
      </x:c>
      <x:c r="BY208" s="9" t="str">
        <x:v>35.49645785263796</x:v>
      </x:c>
      <x:c r="BZ208" s="9" t="str">
        <x:v>0.47</x:v>
      </x:c>
      <x:c r="CA208" s="6" t="str">
        <x:v>18340.25531322104</x:v>
      </x:c>
      <x:c r="CB208" s="6" t="str">
        <x:v>53.24468677895857</x:v>
      </x:c>
      <x:c r="CC208" s="9" t="str">
        <x:v>1.5000000000000457</x:v>
      </x:c>
      <x:c r="CD208" s="6" t="str">
        <x:v>18499.989373557913</x:v>
      </x:c>
      <x:c r="CE208" s="6" t="str">
        <x:v>106.4893735579135</x:v>
      </x:c>
      <x:c r="CF208" s="6" t="str">
        <x:v>Fixed 2.00R target</x:v>
      </x:c>
      <x:c r="CG208" s="9" t="str">
        <x:v>0.01361638210042975</x:v>
      </x:c>
      <x:c r="CH208" s="9" t="str">
        <x:v>1.4273724684588864</x:v>
      </x:c>
      <x:c r="CI208" s="9" t="str">
        <x:v>1.4137560863584566</x:v>
      </x:c>
      <x:c r="CJ208" s="6" t="str">
        <x:v>Win</x:v>
      </x:c>
      <x:c r="CK208" s="9" t="str">
        <x:v>1.4367630768039668</x:v>
      </x:c>
      <x:c r="CL208" s="9" t="str">
        <x:v>0.6244754549507437</x:v>
      </x:c>
      <x:c r="CM208" s="7" t="str">
        <x:v>2024-09-11 14:30:00-05:00</x:v>
      </x:c>
      <x:c r="CN208" s="6" t="str">
        <x:v>18469.5</x:v>
      </x:c>
      <x:c r="CO208" s="6" t="str">
        <x:v>TIME</x:v>
      </x:c>
      <x:c r="CP208" s="6" t="str">
        <x:v>F::Long::Same-bar Setup+BOS::Penetration + same-bar reclaim</x:v>
      </x:c>
    </x:row>
    <x:row r="209" ht="18" customHeight="1">
      <x:c r="A209" s="6" t="str">
        <x:v>A0208</x:v>
      </x:c>
      <x:c r="B209" s="6" t="str">
        <x:v>2024-09-12</x:v>
      </x:c>
      <x:c r="C209" s="6" t="str">
        <x:v>2024</x:v>
      </x:c>
      <x:c r="D209" s="6" t="str">
        <x:v>2024-Q3</x:v>
      </x:c>
      <x:c r="E209" s="6" t="str">
        <x:v>First 50%</x:v>
      </x:c>
      <x:c r="F209" s="6" t="str">
        <x:v>Long</x:v>
      </x:c>
      <x:c r="G209" s="6" t="str">
        <x:v>Long</x:v>
      </x:c>
      <x:c r="H209" s="6" t="str">
        <x:v>Opening</x:v>
      </x:c>
      <x:c r="I209" s="6" t="str">
        <x:v>Premarket</x:v>
      </x:c>
      <x:c r="J209" s="6" t="str">
        <x:v>Bull</x:v>
      </x:c>
      <x:c r="K209" s="6" t="str">
        <x:v>Bull</x:v>
      </x:c>
      <x:c r="L209" s="6" t="str">
        <x:v>HIGH</x:v>
      </x:c>
      <x:c r="M209" s="7" t="str">
        <x:v>2024-09-12 09:10:00-05:00</x:v>
      </x:c>
      <x:c r="N209" s="6" t="str">
        <x:v>90.0</x:v>
      </x:c>
      <x:c r="O209" s="6" t="str">
        <x:v>90-94</x:v>
      </x:c>
      <x:c r="P209" s="6" t="str">
        <x:v>Matching BOS only</x:v>
      </x:c>
      <x:c r="Q209" s="6" t="str">
        <x:v>Bull CHoCH</x:v>
      </x:c>
      <x:c r="R209" s="6" t="str">
        <x:v>True</x:v>
      </x:c>
      <x:c r="S209" s="6" t="str">
        <x:v>False</x:v>
      </x:c>
      <x:c r="T209" s="6" t="str">
        <x:v>Recent SSL</x:v>
      </x:c>
      <x:c r="U209" s="6" t="str">
        <x:v>SSL</x:v>
      </x:c>
      <x:c r="V209" s="6" t="str">
        <x:v>Swing low / sell-side</x:v>
      </x:c>
      <x:c r="W209" s="6" t="str">
        <x:v>[18488.75,18496.5,18499.5,18511.0]</x:v>
      </x:c>
      <x:c r="X209" s="8" t="str">
        <x:v>4</x:v>
      </x:c>
      <x:c r="Y209" s="8" t="str">
        <x:v>8.0</x:v>
      </x:c>
      <x:c r="Z209" s="6" t="str">
        <x:v>None</x:v>
      </x:c>
      <x:c r="AA209" s="6" t="str">
        <x:v>18551.25</x:v>
      </x:c>
      <x:c r="AB209" s="9" t="str">
        <x:v>0.5947131226018466</x:v>
      </x:c>
      <x:c r="AC209" s="9" t="str">
        <x:v>1.7065680909444294</x:v>
      </x:c>
      <x:c r="AD209" s="9" t="str">
        <x:v>2.0879602021782224</x:v>
      </x:c>
      <x:c r="AE209" s="6" t="str">
        <x:v>With trade</x:v>
      </x:c>
      <x:c r="AF209" s="7" t="str">
        <x:v>2024-09-12 09:10:00-05:00</x:v>
      </x:c>
      <x:c r="AG209" s="6" t="str">
        <x:v>Long</x:v>
      </x:c>
      <x:c r="AH209" s="6" t="str">
        <x:v>18551.25</x:v>
      </x:c>
      <x:c r="AI209" s="8" t="str">
        <x:v>0</x:v>
      </x:c>
      <x:c r="AJ209" s="6" t="str">
        <x:v>True</x:v>
      </x:c>
      <x:c r="AK209" s="6" t="str">
        <x:v>Same-bar Setup+BOS</x:v>
      </x:c>
      <x:c r="AL209" s="9" t="str">
        <x:v>1.693639544800911</x:v>
      </x:c>
      <x:c r="AM209" s="9" t="str">
        <x:v>0.5947131226018466</x:v>
      </x:c>
      <x:c r="AN209" s="9" t="str">
        <x:v>1.7065680909444294</x:v>
      </x:c>
      <x:c r="AO209" s="9" t="str">
        <x:v>2.0879602021782224</x:v>
      </x:c>
      <x:c r="AP209" s="10" t="str">
        <x:v>0.8173374613003096</x:v>
      </x:c>
      <x:c r="AQ209" s="6" t="str">
        <x:v>0.11145510835913312</x:v>
      </x:c>
      <x:c r="AR209" s="6" t="str">
        <x:v>0.07120743034055728</x:v>
      </x:c>
      <x:c r="AS209" s="6" t="str">
        <x:v>With trade</x:v>
      </x:c>
      <x:c r="AT209" s="6" t="str">
        <x:v>1.607351111041538</x:v>
      </x:c>
      <x:c r="AU209" s="7" t="str">
        <x:v>2024-09-12 09:35:00-05:00</x:v>
      </x:c>
      <x:c r="AV209" s="8" t="str">
        <x:v>5</x:v>
      </x:c>
      <x:c r="AW209" s="6" t="str">
        <x:v>Delayed retest (2+ bars)</x:v>
      </x:c>
      <x:c r="AX209" s="6" t="str">
        <x:v>18521.75</x:v>
      </x:c>
      <x:c r="AY209" s="6" t="str">
        <x:v>29.5</x:v>
      </x:c>
      <x:c r="AZ209" s="9" t="str">
        <x:v>0.6997110950517246</x:v>
      </x:c>
      <x:c r="BA209" s="9" t="str">
        <x:v>0.22533069162682653</x:v>
      </x:c>
      <x:c r="BB209" s="9" t="str">
        <x:v>2.401550792338546</x:v>
      </x:c>
      <x:c r="BC209" s="9" t="str">
        <x:v>1.45278998548875</x:v>
      </x:c>
      <x:c r="BD209" s="6" t="str">
        <x:v>0.009876543209876543</x:v>
      </x:c>
      <x:c r="BE209" s="6" t="str">
        <x:v>0.3851851851851852</x:v>
      </x:c>
      <x:c r="BF209" s="9" t="str">
        <x:v>0.9250417866785511</x:v>
      </x:c>
      <x:c r="BG209" s="9" t="str">
        <x:v>0.0237190201712449</x:v>
      </x:c>
      <x:c r="BH209" s="6" t="str">
        <x:v>Against trade</x:v>
      </x:c>
      <x:c r="BI209" s="6" t="str">
        <x:v>Penetration + same-bar reclaim</x:v>
      </x:c>
      <x:c r="BJ209" s="6" t="str">
        <x:v>False</x:v>
      </x:c>
      <x:c r="BK209" s="10" t="str">
        <x:v>True</x:v>
      </x:c>
      <x:c r="BL209" s="6" t="str">
        <x:v>True</x:v>
      </x:c>
      <x:c r="BM209" s="7" t="str">
        <x:v>2024-09-12 09:40:00-05:00</x:v>
      </x:c>
      <x:c r="BN209" s="8" t="str">
        <x:v>1</x:v>
      </x:c>
      <x:c r="BO209" s="6" t="str">
        <x:v>Immediate confirmation (1 bar)</x:v>
      </x:c>
      <x:c r="BP209" s="9" t="str">
        <x:v>0.35467979383478593</x:v>
      </x:c>
      <x:c r="BQ209" s="9" t="str">
        <x:v>1.040394061915372</x:v>
      </x:c>
      <x:c r="BR209" s="10" t="str">
        <x:v>0.3409090909090909</x:v>
      </x:c>
      <x:c r="BS209" s="9" t="str">
        <x:v>0.5911329897246432</x:v>
      </x:c>
      <x:c r="BT209" s="9" t="str">
        <x:v>0.3665024536292788</x:v>
      </x:c>
      <x:c r="BU209" s="9" t="str">
        <x:v>0.2423645257871037</x:v>
      </x:c>
      <x:c r="BV209" s="6" t="str">
        <x:v>With trade</x:v>
      </x:c>
      <x:c r="BW209" s="7" t="str">
        <x:v>2024-09-12 09:40:00-05:00</x:v>
      </x:c>
      <x:c r="BX209" s="6" t="str">
        <x:v>18576.25</x:v>
      </x:c>
      <x:c r="BY209" s="9" t="str">
        <x:v>42.29166775423124</x:v>
      </x:c>
      <x:c r="BZ209" s="9" t="str">
        <x:v>1.0</x:v>
      </x:c>
      <x:c r="CA209" s="6" t="str">
        <x:v>18512.812498368654</x:v>
      </x:c>
      <x:c r="CB209" s="6" t="str">
        <x:v>63.437501631346095</x:v>
      </x:c>
      <x:c r="CC209" s="9" t="str">
        <x:v>1.4999999999999818</x:v>
      </x:c>
      <x:c r="CD209" s="6" t="str">
        <x:v>18703.125003262692</x:v>
      </x:c>
      <x:c r="CE209" s="6" t="str">
        <x:v>126.87500326269219</x:v>
      </x:c>
      <x:c r="CF209" s="6" t="str">
        <x:v>Fixed 2.00R target</x:v>
      </x:c>
      <x:c r="CG209" s="9" t="str">
        <x:v>0.011428571134676574</x:v>
      </x:c>
      <x:c r="CH209" s="9" t="str">
        <x:v>-0.6778324948842576</x:v>
      </x:c>
      <x:c r="CI209" s="9" t="str">
        <x:v>-0.6892610660189341</x:v>
      </x:c>
      <x:c r="CJ209" s="6" t="str">
        <x:v>Loss</x:v>
      </x:c>
      <x:c r="CK209" s="9" t="str">
        <x:v>1.1822659794493007</x:v>
      </x:c>
      <x:c r="CL209" s="9" t="str">
        <x:v>0.9182265773722902</x:v>
      </x:c>
      <x:c r="CM209" s="7" t="str">
        <x:v>2024-09-12 10:40:00-05:00</x:v>
      </x:c>
      <x:c r="CN209" s="6" t="str">
        <x:v>18533.25</x:v>
      </x:c>
      <x:c r="CO209" s="6" t="str">
        <x:v>TIME</x:v>
      </x:c>
      <x:c r="CP209" s="6" t="str">
        <x:v>F::Long::Same-bar Setup+BOS::Penetration + same-bar reclaim</x:v>
      </x:c>
    </x:row>
    <x:row r="210" ht="18" customHeight="1">
      <x:c r="A210" s="6" t="str">
        <x:v>A0209</x:v>
      </x:c>
      <x:c r="B210" s="6" t="str">
        <x:v>2024-09-12</x:v>
      </x:c>
      <x:c r="C210" s="6" t="str">
        <x:v>2024</x:v>
      </x:c>
      <x:c r="D210" s="6" t="str">
        <x:v>2024-Q3</x:v>
      </x:c>
      <x:c r="E210" s="6" t="str">
        <x:v>First 50%</x:v>
      </x:c>
      <x:c r="F210" s="6" t="str">
        <x:v>Long</x:v>
      </x:c>
      <x:c r="G210" s="6" t="str">
        <x:v>Long</x:v>
      </x:c>
      <x:c r="H210" s="6" t="str">
        <x:v>Midday</x:v>
      </x:c>
      <x:c r="I210" s="6" t="str">
        <x:v>Midday</x:v>
      </x:c>
      <x:c r="J210" s="6" t="str">
        <x:v>Bull</x:v>
      </x:c>
      <x:c r="K210" s="6" t="str">
        <x:v>Bull</x:v>
      </x:c>
      <x:c r="L210" s="6" t="str">
        <x:v>MID</x:v>
      </x:c>
      <x:c r="M210" s="7" t="str">
        <x:v>2024-09-12 12:10:00-05:00</x:v>
      </x:c>
      <x:c r="N210" s="6" t="str">
        <x:v>85.0</x:v>
      </x:c>
      <x:c r="O210" s="6" t="str">
        <x:v>85-89</x:v>
      </x:c>
      <x:c r="P210" s="6" t="str">
        <x:v>Matching BOS only</x:v>
      </x:c>
      <x:c r="Q210" s="6" t="str">
        <x:v>Bull BOS</x:v>
      </x:c>
      <x:c r="R210" s="6" t="str">
        <x:v>True</x:v>
      </x:c>
      <x:c r="S210" s="6" t="str">
        <x:v>False</x:v>
      </x:c>
      <x:c r="T210" s="6" t="str">
        <x:v>Recent SSL</x:v>
      </x:c>
      <x:c r="U210" s="6" t="str">
        <x:v>SSL</x:v>
      </x:c>
      <x:c r="V210" s="6" t="str">
        <x:v>Swing low / sell-side</x:v>
      </x:c>
      <x:c r="W210" s="6" t="str">
        <x:v>[18518.0]</x:v>
      </x:c>
      <x:c r="X210" s="8" t="str">
        <x:v>1</x:v>
      </x:c>
      <x:c r="Y210" s="8" t="str">
        <x:v>17.0</x:v>
      </x:c>
      <x:c r="Z210" s="6" t="str">
        <x:v>None</x:v>
      </x:c>
      <x:c r="AA210" s="6" t="str">
        <x:v>18651.25</x:v>
      </x:c>
      <x:c r="AB210" s="9" t="str">
        <x:v>0.08207531924256778</x:v>
      </x:c>
      <x:c r="AC210" s="9" t="str">
        <x:v>0.23801842580344656</x:v>
      </x:c>
      <x:c r="AD210" s="9" t="str">
        <x:v>0.5745272346979745</x:v>
      </x:c>
      <x:c r="AE210" s="6" t="str">
        <x:v>With trade</x:v>
      </x:c>
      <x:c r="AF210" s="7" t="str">
        <x:v>2024-09-12 12:10:00-05:00</x:v>
      </x:c>
      <x:c r="AG210" s="6" t="str">
        <x:v>Long</x:v>
      </x:c>
      <x:c r="AH210" s="6" t="str">
        <x:v>18651.25</x:v>
      </x:c>
      <x:c r="AI210" s="8" t="str">
        <x:v>0</x:v>
      </x:c>
      <x:c r="AJ210" s="6" t="str">
        <x:v>True</x:v>
      </x:c>
      <x:c r="AK210" s="6" t="str">
        <x:v>Same-bar Setup+BOS</x:v>
      </x:c>
      <x:c r="AL210" s="9" t="str">
        <x:v>0.24622595772770334</x:v>
      </x:c>
      <x:c r="AM210" s="9" t="str">
        <x:v>0.08207531924256778</x:v>
      </x:c>
      <x:c r="AN210" s="9" t="str">
        <x:v>0.23801842580344656</x:v>
      </x:c>
      <x:c r="AO210" s="9" t="str">
        <x:v>0.5745272346979745</x:v>
      </x:c>
      <x:c r="AP210" s="10" t="str">
        <x:v>0.4142857142857143</x:v>
      </x:c>
      <x:c r="AQ210" s="6" t="str">
        <x:v>0.2857142857142857</x:v>
      </x:c>
      <x:c r="AR210" s="6" t="str">
        <x:v>0.3</x:v>
      </x:c>
      <x:c r="AS210" s="6" t="str">
        <x:v>With trade</x:v>
      </x:c>
      <x:c r="AT210" s="6" t="str">
        <x:v>0.8226658539063294</x:v>
      </x:c>
      <x:c r="AU210" s="7" t="str">
        <x:v>2024-09-12 12:15:00-05:00</x:v>
      </x:c>
      <x:c r="AV210" s="8" t="str">
        <x:v>1</x:v>
      </x:c>
      <x:c r="AW210" s="6" t="str">
        <x:v>Immediate retest (1 bar)</x:v>
      </x:c>
      <x:c r="AX210" s="6" t="str">
        <x:v>18651.5</x:v>
      </x:c>
      <x:c r="AY210" s="6" t="str">
        <x:v>0.0</x:v>
      </x:c>
      <x:c r="AZ210" s="9" t="str">
        <x:v>0.0</x:v>
      </x:c>
      <x:c r="BA210" s="9" t="str">
        <x:v>0.41704384307930564</x:v>
      </x:c>
      <x:c r="BB210" s="9" t="str">
        <x:v>0.5191770291395438</x:v>
      </x:c>
      <x:c r="BC210" s="9" t="str">
        <x:v>0.3234217558574207</x:v>
      </x:c>
      <x:c r="BD210" s="6" t="str">
        <x:v>0.21311475409836064</x:v>
      </x:c>
      <x:c r="BE210" s="6" t="str">
        <x:v>0.16393442622950818</x:v>
      </x:c>
      <x:c r="BF210" s="9" t="str">
        <x:v>0.08511098838353176</x:v>
      </x:c>
      <x:c r="BG210" s="9" t="str">
        <x:v>0.1106442848985913</x:v>
      </x:c>
      <x:c r="BH210" s="6" t="str">
        <x:v>With trade</x:v>
      </x:c>
      <x:c r="BI210" s="6" t="str">
        <x:v>Tolerance-only shallow touch</x:v>
      </x:c>
      <x:c r="BJ210" s="6" t="str">
        <x:v>True</x:v>
      </x:c>
      <x:c r="BK210" s="10" t="str">
        <x:v>False</x:v>
      </x:c>
      <x:c r="BL210" s="6" t="str">
        <x:v>True</x:v>
      </x:c>
      <x:c r="BM210" s="7" t="str">
        <x:v>2024-09-12 12:20:00-05:00</x:v>
      </x:c>
      <x:c r="BN210" s="8" t="str">
        <x:v>1</x:v>
      </x:c>
      <x:c r="BO210" s="6" t="str">
        <x:v>Immediate confirmation (1 bar)</x:v>
      </x:c>
      <x:c r="BP210" s="9" t="str">
        <x:v>0.43183289548026793</x:v>
      </x:c>
      <x:c r="BQ210" s="9" t="str">
        <x:v>1.0668812711865443</x:v>
      </x:c>
      <x:c r="BR210" s="10" t="str">
        <x:v>0.40476190476190477</x:v>
      </x:c>
      <x:c r="BS210" s="9" t="str">
        <x:v>0.8297965442562012</x:v>
      </x:c>
      <x:c r="BT210" s="9" t="str">
        <x:v>0.4148982721281006</x:v>
      </x:c>
      <x:c r="BU210" s="9" t="str">
        <x:v>0.5503752589454396</x:v>
      </x:c>
      <x:c r="BV210" s="6" t="str">
        <x:v>With trade</x:v>
      </x:c>
      <x:c r="BW210" s="7" t="str">
        <x:v>2024-09-12 12:20:00-05:00</x:v>
      </x:c>
      <x:c r="BX210" s="6" t="str">
        <x:v>18675.75</x:v>
      </x:c>
      <x:c r="BY210" s="9" t="str">
        <x:v>29.52530975163423</x:v>
      </x:c>
      <x:c r="BZ210" s="9" t="str">
        <x:v>0.58</x:v>
      </x:c>
      <x:c r="CA210" s="6" t="str">
        <x:v>18631.462035372548</x:v>
      </x:c>
      <x:c r="CB210" s="6" t="str">
        <x:v>44.28796462745231</x:v>
      </x:c>
      <x:c r="CC210" s="9" t="str">
        <x:v>1.5000000000000329</x:v>
      </x:c>
      <x:c r="CD210" s="6" t="str">
        <x:v>18764.3259292549</x:v>
      </x:c>
      <x:c r="CE210" s="6" t="str">
        <x:v>88.57592925490098</x:v>
      </x:c>
      <x:c r="CF210" s="6" t="str">
        <x:v>Fixed 2.00R target</x:v>
      </x:c>
      <x:c r="CG210" s="9" t="str">
        <x:v>0.01637013590709477</x:v>
      </x:c>
      <x:c r="CH210" s="9" t="str">
        <x:v>1.2757416258632752</x:v>
      </x:c>
      <x:c r="CI210" s="9" t="str">
        <x:v>1.2593714899561805</x:v>
      </x:c>
      <x:c r="CJ210" s="6" t="str">
        <x:v>Win</x:v>
      </x:c>
      <x:c r="CK210" s="9" t="str">
        <x:v>1.388639114877694</x:v>
      </x:c>
      <x:c r="CL210" s="9" t="str">
        <x:v>0.44594508160706436</x:v>
      </x:c>
      <x:c r="CM210" s="7" t="str">
        <x:v>2024-09-12 13:20:00-05:00</x:v>
      </x:c>
      <x:c r="CN210" s="6" t="str">
        <x:v>18732.25</x:v>
      </x:c>
      <x:c r="CO210" s="6" t="str">
        <x:v>TIME</x:v>
      </x:c>
      <x:c r="CP210" s="6" t="str">
        <x:v>F::Long::Same-bar Setup+BOS::Tolerance-only shallow touch</x:v>
      </x:c>
    </x:row>
    <x:row r="211" ht="18" customHeight="1">
      <x:c r="A211" s="6" t="str">
        <x:v>A0210</x:v>
      </x:c>
      <x:c r="B211" s="6" t="str">
        <x:v>2024-09-13</x:v>
      </x:c>
      <x:c r="C211" s="6" t="str">
        <x:v>2024</x:v>
      </x:c>
      <x:c r="D211" s="6" t="str">
        <x:v>2024-Q3</x:v>
      </x:c>
      <x:c r="E211" s="6" t="str">
        <x:v>First 50%</x:v>
      </x:c>
      <x:c r="F211" s="6" t="str">
        <x:v>Long</x:v>
      </x:c>
      <x:c r="G211" s="6" t="str">
        <x:v>Long</x:v>
      </x:c>
      <x:c r="H211" s="6" t="str">
        <x:v>Premarket</x:v>
      </x:c>
      <x:c r="I211" s="6" t="str">
        <x:v>Premarket</x:v>
      </x:c>
      <x:c r="J211" s="6" t="str">
        <x:v>Bull</x:v>
      </x:c>
      <x:c r="K211" s="6" t="str">
        <x:v>Bull</x:v>
      </x:c>
      <x:c r="L211" s="6" t="str">
        <x:v>HIGH</x:v>
      </x:c>
      <x:c r="M211" s="7" t="str">
        <x:v>2024-09-13 08:35:00-05:00</x:v>
      </x:c>
      <x:c r="N211" s="6" t="str">
        <x:v>90.0</x:v>
      </x:c>
      <x:c r="O211" s="6" t="str">
        <x:v>90-94</x:v>
      </x:c>
      <x:c r="P211" s="6" t="str">
        <x:v>Matching BOS only</x:v>
      </x:c>
      <x:c r="Q211" s="6" t="str">
        <x:v>Bull CHoCH</x:v>
      </x:c>
      <x:c r="R211" s="6" t="str">
        <x:v>True</x:v>
      </x:c>
      <x:c r="S211" s="6" t="str">
        <x:v>False</x:v>
      </x:c>
      <x:c r="T211" s="6" t="str">
        <x:v>Recent SSL</x:v>
      </x:c>
      <x:c r="U211" s="6" t="str">
        <x:v>SSL</x:v>
      </x:c>
      <x:c r="V211" s="6" t="str">
        <x:v>Swing low / sell-side</x:v>
      </x:c>
      <x:c r="W211" s="6" t="str">
        <x:v>[18663.5]</x:v>
      </x:c>
      <x:c r="X211" s="8" t="str">
        <x:v>1</x:v>
      </x:c>
      <x:c r="Y211" s="8" t="str">
        <x:v>1.0</x:v>
      </x:c>
      <x:c r="Z211" s="6" t="str">
        <x:v>None</x:v>
      </x:c>
      <x:c r="AA211" s="6" t="str">
        <x:v>18721.0</x:v>
      </x:c>
      <x:c r="AB211" s="9" t="str">
        <x:v>0.6506254904323913</x:v>
      </x:c>
      <x:c r="AC211" s="9" t="str">
        <x:v>1.248138695931526</x:v>
      </x:c>
      <x:c r="AD211" s="9" t="str">
        <x:v>2.3236624658299685</x:v>
      </x:c>
      <x:c r="AE211" s="6" t="str">
        <x:v>With trade</x:v>
      </x:c>
      <x:c r="AF211" s="7" t="str">
        <x:v>2024-09-13 08:35:00-05:00</x:v>
      </x:c>
      <x:c r="AG211" s="6" t="str">
        <x:v>Long</x:v>
      </x:c>
      <x:c r="AH211" s="6" t="str">
        <x:v>18721.0</x:v>
      </x:c>
      <x:c r="AI211" s="8" t="str">
        <x:v>0</x:v>
      </x:c>
      <x:c r="AJ211" s="6" t="str">
        <x:v>True</x:v>
      </x:c>
      <x:c r="AK211" s="6" t="str">
        <x:v>Same-bar Setup+BOS</x:v>
      </x:c>
      <x:c r="AL211" s="9" t="str">
        <x:v>1.2746948383981542</x:v>
      </x:c>
      <x:c r="AM211" s="9" t="str">
        <x:v>0.6506254904323913</x:v>
      </x:c>
      <x:c r="AN211" s="9" t="str">
        <x:v>1.248138695931526</x:v>
      </x:c>
      <x:c r="AO211" s="9" t="str">
        <x:v>2.3236624658299685</x:v>
      </x:c>
      <x:c r="AP211" s="10" t="str">
        <x:v>0.5371428571428571</x:v>
      </x:c>
      <x:c r="AQ211" s="6" t="str">
        <x:v>0.25142857142857145</x:v>
      </x:c>
      <x:c r="AR211" s="6" t="str">
        <x:v>0.21142857142857144</x:v>
      </x:c>
      <x:c r="AS211" s="6" t="str">
        <x:v>With trade</x:v>
      </x:c>
      <x:c r="AT211" s="6" t="str">
        <x:v>7.288801571709233</x:v>
      </x:c>
      <x:c r="AU211" s="7" t="str">
        <x:v>2024-09-13 08:40:00-05:00</x:v>
      </x:c>
      <x:c r="AV211" s="8" t="str">
        <x:v>1</x:v>
      </x:c>
      <x:c r="AW211" s="6" t="str">
        <x:v>Immediate retest (1 bar)</x:v>
      </x:c>
      <x:c r="AX211" s="6" t="str">
        <x:v>18717.25</x:v>
      </x:c>
      <x:c r="AY211" s="6" t="str">
        <x:v>3.75</x:v>
      </x:c>
      <x:c r="AZ211" s="9" t="str">
        <x:v>0.18009397928996038</x:v>
      </x:c>
      <x:c r="BA211" s="9" t="str">
        <x:v>1.644858344181638</x:v>
      </x:c>
      <x:c r="BB211" s="9" t="str">
        <x:v>2.245171608481506</x:v>
      </x:c>
      <x:c r="BC211" s="9" t="str">
        <x:v>1.0685576104537649</x:v>
      </x:c>
      <x:c r="BD211" s="6" t="str">
        <x:v>0.18716577540106952</x:v>
      </x:c>
      <x:c r="BE211" s="6" t="str">
        <x:v>0.33689839572192515</x:v>
      </x:c>
      <x:c r="BF211" s="9" t="str">
        <x:v>0.7563947130178336</x:v>
      </x:c>
      <x:c r="BG211" s="9" t="str">
        <x:v>0.4202192850099075</x:v>
      </x:c>
      <x:c r="BH211" s="6" t="str">
        <x:v>With trade</x:v>
      </x:c>
      <x:c r="BI211" s="6" t="str">
        <x:v>Penetration + same-bar reclaim</x:v>
      </x:c>
      <x:c r="BJ211" s="6" t="str">
        <x:v>False</x:v>
      </x:c>
      <x:c r="BK211" s="10" t="str">
        <x:v>True</x:v>
      </x:c>
      <x:c r="BL211" s="6" t="str">
        <x:v>True</x:v>
      </x:c>
      <x:c r="BM211" s="7" t="str">
        <x:v>2024-09-13 08:50:00-05:00</x:v>
      </x:c>
      <x:c r="BN211" s="8" t="str">
        <x:v>2</x:v>
      </x:c>
      <x:c r="BO211" s="6" t="str">
        <x:v>Delayed confirmation (2+ bars)</x:v>
      </x:c>
      <x:c r="BP211" s="9" t="str">
        <x:v>0.1471897828733249</x:v>
      </x:c>
      <x:c r="BQ211" s="9" t="str">
        <x:v>1.1548736810060878</x:v>
      </x:c>
      <x:c r="BR211" s="10" t="str">
        <x:v>0.12745098039215685</x:v>
      </x:c>
      <x:c r="BS211" s="9" t="str">
        <x:v>0.8944609882302053</x:v>
      </x:c>
      <x:c r="BT211" s="9" t="str">
        <x:v>-0.6566928774348342</x:v>
      </x:c>
      <x:c r="BU211" s="9" t="str">
        <x:v>0.47553622159074205</x:v>
      </x:c>
      <x:c r="BV211" s="6" t="str">
        <x:v>With trade</x:v>
      </x:c>
      <x:c r="BW211" s="7" t="str">
        <x:v>2024-09-13 08:50:00-05:00</x:v>
      </x:c>
      <x:c r="BX211" s="6" t="str">
        <x:v>18740.75</x:v>
      </x:c>
      <x:c r="BY211" s="9" t="str">
        <x:v>22.080336940214313</x:v>
      </x:c>
      <x:c r="BZ211" s="9" t="str">
        <x:v>1.0</x:v>
      </x:c>
      <x:c r="CA211" s="6" t="str">
        <x:v>18707.629494589677</x:v>
      </x:c>
      <x:c r="CB211" s="6" t="str">
        <x:v>33.12050541032295</x:v>
      </x:c>
      <x:c r="CC211" s="9" t="str">
        <x:v>1.500000000000067</x:v>
      </x:c>
      <x:c r="CD211" s="6" t="str">
        <x:v>18806.991010820642</x:v>
      </x:c>
      <x:c r="CE211" s="6" t="str">
        <x:v>66.24101082064226</x:v>
      </x:c>
      <x:c r="CF211" s="6" t="str">
        <x:v>Fixed 2.00R target</x:v>
      </x:c>
      <x:c r="CG211" s="9" t="str">
        <x:v>0.021889762581160162</x:v>
      </x:c>
      <x:c r="CH211" s="9" t="str">
        <x:v>-1.0</x:v>
      </x:c>
      <x:c r="CI211" s="9" t="str">
        <x:v>-1.0218897625811603</x:v>
      </x:c>
      <x:c r="CJ211" s="6" t="str">
        <x:v>Loss</x:v>
      </x:c>
      <x:c r="CK211" s="9" t="str">
        <x:v>1.0567471590904907</x:v>
      </x:c>
      <x:c r="CL211" s="9" t="str">
        <x:v>1.932337662336897</x:v>
      </x:c>
      <x:c r="CM211" s="7" t="str">
        <x:v>2024-09-13 09:00:00-05:00</x:v>
      </x:c>
      <x:c r="CN211" s="6" t="str">
        <x:v>18707.629494589677</x:v>
      </x:c>
      <x:c r="CO211" s="6" t="str">
        <x:v>STOP</x:v>
      </x:c>
      <x:c r="CP211" s="6" t="str">
        <x:v>F::Long::Same-bar Setup+BOS::Penetration + same-bar reclaim</x:v>
      </x:c>
    </x:row>
    <x:row r="212" ht="18" customHeight="1">
      <x:c r="A212" s="6" t="str">
        <x:v>A0211</x:v>
      </x:c>
      <x:c r="B212" s="6" t="str">
        <x:v>2024-09-16</x:v>
      </x:c>
      <x:c r="C212" s="6" t="str">
        <x:v>2024</x:v>
      </x:c>
      <x:c r="D212" s="6" t="str">
        <x:v>2024-Q3</x:v>
      </x:c>
      <x:c r="E212" s="6" t="str">
        <x:v>First 50%</x:v>
      </x:c>
      <x:c r="F212" s="6" t="str">
        <x:v>Short</x:v>
      </x:c>
      <x:c r="G212" s="6" t="str">
        <x:v>Short</x:v>
      </x:c>
      <x:c r="H212" s="6" t="str">
        <x:v>Overnight</x:v>
      </x:c>
      <x:c r="I212" s="6" t="str">
        <x:v>Overnight</x:v>
      </x:c>
      <x:c r="J212" s="6" t="str">
        <x:v>Bull</x:v>
      </x:c>
      <x:c r="K212" s="6" t="str">
        <x:v>Bull</x:v>
      </x:c>
      <x:c r="L212" s="6" t="str">
        <x:v>LOW</x:v>
      </x:c>
      <x:c r="M212" s="7" t="str">
        <x:v>2024-09-16 00:15:00-05:00</x:v>
      </x:c>
      <x:c r="N212" s="6" t="str">
        <x:v>90.0</x:v>
      </x:c>
      <x:c r="O212" s="6" t="str">
        <x:v>90-94</x:v>
      </x:c>
      <x:c r="P212" s="6" t="str">
        <x:v>Matching BOS only</x:v>
      </x:c>
      <x:c r="Q212" s="6" t="str">
        <x:v>Bear CHoCH</x:v>
      </x:c>
      <x:c r="R212" s="6" t="str">
        <x:v>True</x:v>
      </x:c>
      <x:c r="S212" s="6" t="str">
        <x:v>False</x:v>
      </x:c>
      <x:c r="T212" s="6" t="str">
        <x:v>Recent BSL</x:v>
      </x:c>
      <x:c r="U212" s="6" t="str">
        <x:v>BSL</x:v>
      </x:c>
      <x:c r="V212" s="6" t="str">
        <x:v>Equal high / buy-side</x:v>
      </x:c>
      <x:c r="W212" s="6" t="str">
        <x:v>[18794.5]</x:v>
      </x:c>
      <x:c r="X212" s="8" t="str">
        <x:v>1</x:v>
      </x:c>
      <x:c r="Y212" s="8" t="str">
        <x:v>4.0</x:v>
      </x:c>
      <x:c r="Z212" s="6" t="str">
        <x:v>None</x:v>
      </x:c>
      <x:c r="AA212" s="6" t="str">
        <x:v>18781.25</x:v>
      </x:c>
      <x:c r="AB212" s="9" t="str">
        <x:v>0.3083039013355865</x:v>
      </x:c>
      <x:c r="AC212" s="9" t="str">
        <x:v>0.9689551184832718</x:v>
      </x:c>
      <x:c r="AD212" s="9" t="str">
        <x:v>1.717693164583982</x:v>
      </x:c>
      <x:c r="AE212" s="6" t="str">
        <x:v>With trade</x:v>
      </x:c>
      <x:c r="AF212" s="7" t="str">
        <x:v>2024-09-16 00:15:00-05:00</x:v>
      </x:c>
      <x:c r="AG212" s="6" t="str">
        <x:v>Short</x:v>
      </x:c>
      <x:c r="AH212" s="6" t="str">
        <x:v>18781.25</x:v>
      </x:c>
      <x:c r="AI212" s="8" t="str">
        <x:v>0</x:v>
      </x:c>
      <x:c r="AJ212" s="6" t="str">
        <x:v>True</x:v>
      </x:c>
      <x:c r="AK212" s="6" t="str">
        <x:v>Same-bar Setup+BOS</x:v>
      </x:c>
      <x:c r="AL212" s="9" t="str">
        <x:v>0.9689551184832718</x:v>
      </x:c>
      <x:c r="AM212" s="9" t="str">
        <x:v>0.3083039013355865</x:v>
      </x:c>
      <x:c r="AN212" s="9" t="str">
        <x:v>0.9689551184832718</x:v>
      </x:c>
      <x:c r="AO212" s="9" t="str">
        <x:v>1.717693164583982</x:v>
      </x:c>
      <x:c r="AP212" s="10" t="str">
        <x:v>0.5641025641025641</x:v>
      </x:c>
      <x:c r="AQ212" s="6" t="str">
        <x:v>0.10256410256410256</x:v>
      </x:c>
      <x:c r="AR212" s="6" t="str">
        <x:v>0.3333333333333333</x:v>
      </x:c>
      <x:c r="AS212" s="6" t="str">
        <x:v>With trade</x:v>
      </x:c>
      <x:c r="AT212" s="6" t="str">
        <x:v>2.9585798816568047</x:v>
      </x:c>
      <x:c r="AU212" s="7" t="str">
        <x:v>2024-09-16 00:20:00-05:00</x:v>
      </x:c>
      <x:c r="AV212" s="8" t="str">
        <x:v>1</x:v>
      </x:c>
      <x:c r="AW212" s="6" t="str">
        <x:v>Immediate retest (1 bar)</x:v>
      </x:c>
      <x:c r="AX212" s="6" t="str">
        <x:v>18782.75</x:v>
      </x:c>
      <x:c r="AY212" s="6" t="str">
        <x:v>1.5</x:v>
      </x:c>
      <x:c r="AZ212" s="9" t="str">
        <x:v>0.2708250695532739</x:v>
      </x:c>
      <x:c r="BA212" s="9" t="str">
        <x:v>-0.0</x:v>
      </x:c>
      <x:c r="BB212" s="9" t="str">
        <x:v>0.6770626738831848</x:v>
      </x:c>
      <x:c r="BC212" s="9" t="str">
        <x:v>0.13541253477663695</x:v>
      </x:c>
      <x:c r="BD212" s="6" t="str">
        <x:v>0.4</x:v>
      </x:c>
      <x:c r="BE212" s="6" t="str">
        <x:v>0.4</x:v>
      </x:c>
      <x:c r="BF212" s="9" t="str">
        <x:v>0.2708250695532739</x:v>
      </x:c>
      <x:c r="BG212" s="9" t="str">
        <x:v>0.2708250695532739</x:v>
      </x:c>
      <x:c r="BH212" s="6" t="str">
        <x:v>Against trade</x:v>
      </x:c>
      <x:c r="BI212" s="6" t="str">
        <x:v>Penetration without same-bar reclaim</x:v>
      </x:c>
      <x:c r="BJ212" s="6" t="str">
        <x:v>False</x:v>
      </x:c>
      <x:c r="BK212" s="10" t="str">
        <x:v>True</x:v>
      </x:c>
      <x:c r="BL212" s="6" t="str">
        <x:v>False</x:v>
      </x:c>
      <x:c r="BM212" s="7" t="str">
        <x:v>2024-09-16 00:30:00-05:00</x:v>
      </x:c>
      <x:c r="BN212" s="8" t="str">
        <x:v>2</x:v>
      </x:c>
      <x:c r="BO212" s="6" t="str">
        <x:v>Delayed confirmation (2+ bars)</x:v>
      </x:c>
      <x:c r="BP212" s="9" t="str">
        <x:v>0.43202318021452535</x:v>
      </x:c>
      <x:c r="BQ212" s="9" t="str">
        <x:v>0.6720360581114839</x:v>
      </x:c>
      <x:c r="BR212" s="10" t="str">
        <x:v>0.6428571428571429</x:v>
      </x:c>
      <x:c r="BS212" s="9" t="str">
        <x:v>0.33601802905574196</x:v>
      </x:c>
      <x:c r="BT212" s="9" t="str">
        <x:v>0.33601802905574196</x:v>
      </x:c>
      <x:c r="BU212" s="9" t="str">
        <x:v>0.0</x:v>
      </x:c>
      <x:c r="BV212" s="6" t="str">
        <x:v>With trade</x:v>
      </x:c>
      <x:c r="BW212" s="7" t="str">
        <x:v>2024-09-16 00:30:00-05:00</x:v>
      </x:c>
      <x:c r="BX212" s="6" t="str">
        <x:v>18779.5</x:v>
      </x:c>
      <x:c r="BY212" s="9" t="str">
        <x:v>5.208053880078241</x:v>
      </x:c>
      <x:c r="BZ212" s="9" t="str">
        <x:v>0.0</x:v>
      </x:c>
      <x:c r="CA212" s="6" t="str">
        <x:v>18787.312080820117</x:v>
      </x:c>
      <x:c r="CB212" s="6" t="str">
        <x:v>7.812080820116535</x:v>
      </x:c>
      <x:c r="CC212" s="9" t="str">
        <x:v>1.4999999999998412</x:v>
      </x:c>
      <x:c r="CD212" s="6" t="str">
        <x:v>18763.875838359767</x:v>
      </x:c>
      <x:c r="CE212" s="6" t="str">
        <x:v>15.62416164023307</x:v>
      </x:c>
      <x:c r="CF212" s="6" t="str">
        <x:v>Fixed 2.00R target</x:v>
      </x:c>
      <x:c r="CG212" s="9" t="str">
        <x:v>0.09280497945350046</x:v>
      </x:c>
      <x:c r="CH212" s="9" t="str">
        <x:v>2.0</x:v>
      </x:c>
      <x:c r="CI212" s="9" t="str">
        <x:v>1.9071950205464996</x:v>
      </x:c>
      <x:c r="CJ212" s="6" t="str">
        <x:v>Win</x:v>
      </x:c>
      <x:c r="CK212" s="9" t="str">
        <x:v>2.7841493836050137</x:v>
      </x:c>
      <x:c r="CL212" s="9" t="str">
        <x:v>0.3840206046351743</x:v>
      </x:c>
      <x:c r="CM212" s="7" t="str">
        <x:v>2024-09-16 01:10:00-05:00</x:v>
      </x:c>
      <x:c r="CN212" s="6" t="str">
        <x:v>18763.875838359767</x:v>
      </x:c>
      <x:c r="CO212" s="6" t="str">
        <x:v>TARGET</x:v>
      </x:c>
      <x:c r="CP212" s="6" t="str">
        <x:v>F::Short::Same-bar Setup+BOS::Penetration without same-bar reclaim</x:v>
      </x:c>
    </x:row>
    <x:row r="213" ht="18" customHeight="1">
      <x:c r="A213" s="6" t="str">
        <x:v>A0212</x:v>
      </x:c>
      <x:c r="B213" s="6" t="str">
        <x:v>2024-09-18</x:v>
      </x:c>
      <x:c r="C213" s="6" t="str">
        <x:v>2024</x:v>
      </x:c>
      <x:c r="D213" s="6" t="str">
        <x:v>2024-Q3</x:v>
      </x:c>
      <x:c r="E213" s="6" t="str">
        <x:v>First 50%</x:v>
      </x:c>
      <x:c r="F213" s="6" t="str">
        <x:v>Short</x:v>
      </x:c>
      <x:c r="G213" s="6" t="str">
        <x:v>Short</x:v>
      </x:c>
      <x:c r="H213" s="6" t="str">
        <x:v>Overnight</x:v>
      </x:c>
      <x:c r="I213" s="6" t="str">
        <x:v>Overnight</x:v>
      </x:c>
      <x:c r="J213" s="6" t="str">
        <x:v>Neutral</x:v>
      </x:c>
      <x:c r="K213" s="6" t="str">
        <x:v>Bull</x:v>
      </x:c>
      <x:c r="L213" s="6" t="str">
        <x:v>HIGH</x:v>
      </x:c>
      <x:c r="M213" s="7" t="str">
        <x:v>2024-09-18 02:25:00-05:00</x:v>
      </x:c>
      <x:c r="N213" s="6" t="str">
        <x:v>90.0</x:v>
      </x:c>
      <x:c r="O213" s="6" t="str">
        <x:v>90-94</x:v>
      </x:c>
      <x:c r="P213" s="6" t="str">
        <x:v>Matching BOS only</x:v>
      </x:c>
      <x:c r="Q213" s="6" t="str">
        <x:v>Bear CHoCH</x:v>
      </x:c>
      <x:c r="R213" s="6" t="str">
        <x:v>True</x:v>
      </x:c>
      <x:c r="S213" s="6" t="str">
        <x:v>False</x:v>
      </x:c>
      <x:c r="T213" s="6" t="str">
        <x:v>Recent BSL</x:v>
      </x:c>
      <x:c r="U213" s="6" t="str">
        <x:v>BSL</x:v>
      </x:c>
      <x:c r="V213" s="6" t="str">
        <x:v>Swing high / buy-side</x:v>
      </x:c>
      <x:c r="W213" s="6" t="str">
        <x:v>[18741.0]</x:v>
      </x:c>
      <x:c r="X213" s="8" t="str">
        <x:v>1</x:v>
      </x:c>
      <x:c r="Y213" s="8" t="str">
        <x:v>14.0</x:v>
      </x:c>
      <x:c r="Z213" s="6" t="str">
        <x:v>None</x:v>
      </x:c>
      <x:c r="AA213" s="6" t="str">
        <x:v>18724.5</x:v>
      </x:c>
      <x:c r="AB213" s="9" t="str">
        <x:v>0.6734526727598394</x:v>
      </x:c>
      <x:c r="AC213" s="9" t="str">
        <x:v>1.535472093892434</x:v>
      </x:c>
      <x:c r="AD213" s="9" t="str">
        <x:v>2.2089247666522733</x:v>
      </x:c>
      <x:c r="AE213" s="6" t="str">
        <x:v>With trade</x:v>
      </x:c>
      <x:c r="AF213" s="7" t="str">
        <x:v>2024-09-18 02:25:00-05:00</x:v>
      </x:c>
      <x:c r="AG213" s="6" t="str">
        <x:v>Short</x:v>
      </x:c>
      <x:c r="AH213" s="6" t="str">
        <x:v>18724.5</x:v>
      </x:c>
      <x:c r="AI213" s="8" t="str">
        <x:v>0</x:v>
      </x:c>
      <x:c r="AJ213" s="6" t="str">
        <x:v>True</x:v>
      </x:c>
      <x:c r="AK213" s="6" t="str">
        <x:v>Same-bar Setup+BOS</x:v>
      </x:c>
      <x:c r="AL213" s="9" t="str">
        <x:v>1.4007815593404662</x:v>
      </x:c>
      <x:c r="AM213" s="9" t="str">
        <x:v>0.6734526727598394</x:v>
      </x:c>
      <x:c r="AN213" s="9" t="str">
        <x:v>1.535472093892434</x:v>
      </x:c>
      <x:c r="AO213" s="9" t="str">
        <x:v>2.2089247666522733</x:v>
      </x:c>
      <x:c r="AP213" s="10" t="str">
        <x:v>0.6951219512195121</x:v>
      </x:c>
      <x:c r="AQ213" s="6" t="str">
        <x:v>0.04878048780487805</x:v>
      </x:c>
      <x:c r="AR213" s="6" t="str">
        <x:v>0.25609756097560976</x:v>
      </x:c>
      <x:c r="AS213" s="6" t="str">
        <x:v>With trade</x:v>
      </x:c>
      <x:c r="AT213" s="6" t="str">
        <x:v>2.9910122292618238</x:v>
      </x:c>
      <x:c r="AU213" s="7" t="str">
        <x:v>2024-09-18 02:30:00-05:00</x:v>
      </x:c>
      <x:c r="AV213" s="8" t="str">
        <x:v>1</x:v>
      </x:c>
      <x:c r="AW213" s="6" t="str">
        <x:v>Immediate retest (1 bar)</x:v>
      </x:c>
      <x:c r="AX213" s="6" t="str">
        <x:v>18725.0</x:v>
      </x:c>
      <x:c r="AY213" s="6" t="str">
        <x:v>0.5</x:v>
      </x:c>
      <x:c r="AZ213" s="9" t="str">
        <x:v>0.05277166838051263</x:v>
      </x:c>
      <x:c r="BA213" s="9" t="str">
        <x:v>1.0290475334199962</x:v>
      </x:c>
      <x:c r="BB213" s="9" t="str">
        <x:v>1.266520041132303</x:v>
      </x:c>
      <x:c r="BC213" s="9" t="str">
        <x:v>0.29024417609281944</x:v>
      </x:c>
      <x:c r="BD213" s="6" t="str">
        <x:v>0.625</x:v>
      </x:c>
      <x:c r="BE213" s="6" t="str">
        <x:v>0.14583333333333334</x:v>
      </x:c>
      <x:c r="BF213" s="9" t="str">
        <x:v>0.7915750257076893</x:v>
      </x:c>
      <x:c r="BG213" s="9" t="str">
        <x:v>0.18470083933179418</x:v>
      </x:c>
      <x:c r="BH213" s="6" t="str">
        <x:v>With trade</x:v>
      </x:c>
      <x:c r="BI213" s="6" t="str">
        <x:v>Penetration + same-bar reclaim</x:v>
      </x:c>
      <x:c r="BJ213" s="6" t="str">
        <x:v>False</x:v>
      </x:c>
      <x:c r="BK213" s="10" t="str">
        <x:v>True</x:v>
      </x:c>
      <x:c r="BL213" s="6" t="str">
        <x:v>True</x:v>
      </x:c>
      <x:c r="BM213" s="7" t="str">
        <x:v>2024-09-18 03:00:00-05:00</x:v>
      </x:c>
      <x:c r="BN213" s="8" t="str">
        <x:v>6</x:v>
      </x:c>
      <x:c r="BO213" s="6" t="str">
        <x:v>Delayed confirmation (2+ bars)</x:v>
      </x:c>
      <x:c r="BP213" s="9" t="str">
        <x:v>1.15213228986783</x:v>
      </x:c>
      <x:c r="BQ213" s="9" t="str">
        <x:v>1.5933744434342327</x:v>
      </x:c>
      <x:c r="BR213" s="10" t="str">
        <x:v>0.7230769230769231</x:v>
      </x:c>
      <x:c r="BS213" s="9" t="str">
        <x:v>1.519834084506499</x:v>
      </x:c>
      <x:c r="BT213" s="9" t="str">
        <x:v>0.5638094184459593</x:v>
      </x:c>
      <x:c r="BU213" s="9" t="str">
        <x:v>0.1961076238072902</x:v>
      </x:c>
      <x:c r="BV213" s="6" t="str">
        <x:v>With trade</x:v>
      </x:c>
      <x:c r="BW213" s="7" t="str">
        <x:v>2024-09-18 03:00:00-05:00</x:v>
      </x:c>
      <x:c r="BX213" s="6" t="str">
        <x:v>18709.0</x:v>
      </x:c>
      <x:c r="BY213" s="9" t="str">
        <x:v>10.198481635601008</x:v>
      </x:c>
      <x:c r="BZ213" s="9" t="str">
        <x:v>1.0</x:v>
      </x:c>
      <x:c r="CA213" s="6" t="str">
        <x:v>18724.2977224534</x:v>
      </x:c>
      <x:c r="CB213" s="6" t="str">
        <x:v>15.297722453400638</x:v>
      </x:c>
      <x:c r="CC213" s="9" t="str">
        <x:v>1.4999999999999143</x:v>
      </x:c>
      <x:c r="CD213" s="6" t="str">
        <x:v>18678.4045550932</x:v>
      </x:c>
      <x:c r="CE213" s="6" t="str">
        <x:v>30.595444906801276</x:v>
      </x:c>
      <x:c r="CF213" s="6" t="str">
        <x:v>Fixed 2.00R target</x:v>
      </x:c>
      <x:c r="CG213" s="9" t="str">
        <x:v>0.04739267575343117</x:v>
      </x:c>
      <x:c r="CH213" s="9" t="str">
        <x:v>-0.11439611388758594</x:v>
      </x:c>
      <x:c r="CI213" s="9" t="str">
        <x:v>-0.16178878964101712</x:v>
      </x:c>
      <x:c r="CJ213" s="6" t="str">
        <x:v>Loss</x:v>
      </x:c>
      <x:c r="CK213" s="9" t="str">
        <x:v>1.7159417083138873</x:v>
      </x:c>
      <x:c r="CL213" s="9" t="str">
        <x:v>0.2778191337270103</x:v>
      </x:c>
      <x:c r="CM213" s="7" t="str">
        <x:v>2024-09-18 04:00:00-05:00</x:v>
      </x:c>
      <x:c r="CN213" s="6" t="str">
        <x:v>18710.75</x:v>
      </x:c>
      <x:c r="CO213" s="6" t="str">
        <x:v>TIME</x:v>
      </x:c>
      <x:c r="CP213" s="6" t="str">
        <x:v>F::Short::Same-bar Setup+BOS::Penetration + same-bar reclaim</x:v>
      </x:c>
    </x:row>
    <x:row r="214" ht="18" customHeight="1">
      <x:c r="A214" s="6" t="str">
        <x:v>A0213</x:v>
      </x:c>
      <x:c r="B214" s="6" t="str">
        <x:v>2024-09-19</x:v>
      </x:c>
      <x:c r="C214" s="6" t="str">
        <x:v>2024</x:v>
      </x:c>
      <x:c r="D214" s="6" t="str">
        <x:v>2024-Q3</x:v>
      </x:c>
      <x:c r="E214" s="6" t="str">
        <x:v>First 50%</x:v>
      </x:c>
      <x:c r="F214" s="6" t="str">
        <x:v>Long</x:v>
      </x:c>
      <x:c r="G214" s="6" t="str">
        <x:v>Long</x:v>
      </x:c>
      <x:c r="H214" s="6" t="str">
        <x:v>Overnight</x:v>
      </x:c>
      <x:c r="I214" s="6" t="str">
        <x:v>Overnight</x:v>
      </x:c>
      <x:c r="J214" s="6" t="str">
        <x:v>Bull</x:v>
      </x:c>
      <x:c r="K214" s="6" t="str">
        <x:v>Bull</x:v>
      </x:c>
      <x:c r="L214" s="6" t="str">
        <x:v>LOW</x:v>
      </x:c>
      <x:c r="M214" s="7" t="str">
        <x:v>2024-09-19 00:50:00-05:00</x:v>
      </x:c>
      <x:c r="N214" s="6" t="str">
        <x:v>90.0</x:v>
      </x:c>
      <x:c r="O214" s="6" t="str">
        <x:v>90-94</x:v>
      </x:c>
      <x:c r="P214" s="6" t="str">
        <x:v>Matching BOS only</x:v>
      </x:c>
      <x:c r="Q214" s="6" t="str">
        <x:v>Bull BOS</x:v>
      </x:c>
      <x:c r="R214" s="6" t="str">
        <x:v>True</x:v>
      </x:c>
      <x:c r="S214" s="6" t="str">
        <x:v>False</x:v>
      </x:c>
      <x:c r="T214" s="6" t="str">
        <x:v>Recent SSL</x:v>
      </x:c>
      <x:c r="U214" s="6" t="str">
        <x:v>SSL</x:v>
      </x:c>
      <x:c r="V214" s="6" t="str">
        <x:v>Swing low / sell-side</x:v>
      </x:c>
      <x:c r="W214" s="6" t="str">
        <x:v>[18873.5]</x:v>
      </x:c>
      <x:c r="X214" s="8" t="str">
        <x:v>1</x:v>
      </x:c>
      <x:c r="Y214" s="8" t="str">
        <x:v>1.0</x:v>
      </x:c>
      <x:c r="Z214" s="6" t="str">
        <x:v>None</x:v>
      </x:c>
      <x:c r="AA214" s="6" t="str">
        <x:v>18896.25</x:v>
      </x:c>
      <x:c r="AB214" s="9" t="str">
        <x:v>0.10813587709942019</x:v>
      </x:c>
      <x:c r="AC214" s="9" t="str">
        <x:v>0.6307926164132844</x:v>
      </x:c>
      <x:c r="AD214" s="9" t="str">
        <x:v>1.784241972140433</x:v>
      </x:c>
      <x:c r="AE214" s="6" t="str">
        <x:v>With trade</x:v>
      </x:c>
      <x:c r="AF214" s="7" t="str">
        <x:v>2024-09-19 00:50:00-05:00</x:v>
      </x:c>
      <x:c r="AG214" s="6" t="str">
        <x:v>Long</x:v>
      </x:c>
      <x:c r="AH214" s="6" t="str">
        <x:v>18896.25</x:v>
      </x:c>
      <x:c r="AI214" s="8" t="str">
        <x:v>0</x:v>
      </x:c>
      <x:c r="AJ214" s="6" t="str">
        <x:v>True</x:v>
      </x:c>
      <x:c r="AK214" s="6" t="str">
        <x:v>Same-bar Setup+BOS</x:v>
      </x:c>
      <x:c r="AL214" s="9" t="str">
        <x:v>0.7389284935127046</x:v>
      </x:c>
      <x:c r="AM214" s="9" t="str">
        <x:v>0.10813587709942019</x:v>
      </x:c>
      <x:c r="AN214" s="9" t="str">
        <x:v>0.6307926164132844</x:v>
      </x:c>
      <x:c r="AO214" s="9" t="str">
        <x:v>1.784241972140433</x:v>
      </x:c>
      <x:c r="AP214" s="10" t="str">
        <x:v>0.35353535353535354</x:v>
      </x:c>
      <x:c r="AQ214" s="6" t="str">
        <x:v>0.5353535353535354</x:v>
      </x:c>
      <x:c r="AR214" s="6" t="str">
        <x:v>0.1111111111111111</x:v>
      </x:c>
      <x:c r="AS214" s="6" t="str">
        <x:v>With trade</x:v>
      </x:c>
      <x:c r="AT214" s="6" t="str">
        <x:v>2.780037971250339</x:v>
      </x:c>
      <x:c r="AU214" s="7" t="str">
        <x:v>2024-09-19 00:55:00-05:00</x:v>
      </x:c>
      <x:c r="AV214" s="8" t="str">
        <x:v>1</x:v>
      </x:c>
      <x:c r="AW214" s="6" t="str">
        <x:v>Immediate retest (1 bar)</x:v>
      </x:c>
      <x:c r="AX214" s="6" t="str">
        <x:v>18893.75</x:v>
      </x:c>
      <x:c r="AY214" s="6" t="str">
        <x:v>2.5</x:v>
      </x:c>
      <x:c r="AZ214" s="9" t="str">
        <x:v>0.17192370028625678</x:v>
      </x:c>
      <x:c r="BA214" s="9" t="str">
        <x:v>0.7048871711736528</x:v>
      </x:c>
      <x:c r="BB214" s="9" t="str">
        <x:v>1.5988904126621881</x:v>
      </x:c>
      <x:c r="BC214" s="9" t="str">
        <x:v>0.5501558409160217</x:v>
      </x:c>
      <x:c r="BD214" s="6" t="str">
        <x:v>0.45161290322580644</x:v>
      </x:c>
      <x:c r="BE214" s="6" t="str">
        <x:v>0.20430107526881722</x:v>
      </x:c>
      <x:c r="BF214" s="9" t="str">
        <x:v>0.3266550305438879</x:v>
      </x:c>
      <x:c r="BG214" s="9" t="str">
        <x:v>0.7220795412022785</x:v>
      </x:c>
      <x:c r="BH214" s="6" t="str">
        <x:v>With trade</x:v>
      </x:c>
      <x:c r="BI214" s="6" t="str">
        <x:v>Penetration + same-bar reclaim</x:v>
      </x:c>
      <x:c r="BJ214" s="6" t="str">
        <x:v>False</x:v>
      </x:c>
      <x:c r="BK214" s="10" t="str">
        <x:v>True</x:v>
      </x:c>
      <x:c r="BL214" s="6" t="str">
        <x:v>True</x:v>
      </x:c>
      <x:c r="BM214" s="7" t="str">
        <x:v>2024-09-19 01:05:00-05:00</x:v>
      </x:c>
      <x:c r="BN214" s="8" t="str">
        <x:v>2</x:v>
      </x:c>
      <x:c r="BO214" s="6" t="str">
        <x:v>Delayed confirmation (2+ bars)</x:v>
      </x:c>
      <x:c r="BP214" s="9" t="str">
        <x:v>0.05364013061724435</x:v>
      </x:c>
      <x:c r="BQ214" s="9" t="str">
        <x:v>0.715201741563258</x:v>
      </x:c>
      <x:c r="BR214" s="10" t="str">
        <x:v>0.075</x:v>
      </x:c>
      <x:c r="BS214" s="9" t="str">
        <x:v>0.5364013061724435</x:v>
      </x:c>
      <x:c r="BT214" s="9" t="str">
        <x:v>-0.19668047892989596</x:v>
      </x:c>
      <x:c r="BU214" s="9" t="str">
        <x:v>0.3933609578597919</x:v>
      </x:c>
      <x:c r="BV214" s="6" t="str">
        <x:v>With trade</x:v>
      </x:c>
      <x:c r="BW214" s="7" t="str">
        <x:v>2024-09-19 01:05:00-05:00</x:v>
      </x:c>
      <x:c r="BX214" s="6" t="str">
        <x:v>18903.75</x:v>
      </x:c>
      <x:c r="BY214" s="9" t="str">
        <x:v>13.982068860937641</x:v>
      </x:c>
      <x:c r="BZ214" s="9" t="str">
        <x:v>0.11</x:v>
      </x:c>
      <x:c r="CA214" s="6" t="str">
        <x:v>18882.776896708594</x:v>
      </x:c>
      <x:c r="CB214" s="6" t="str">
        <x:v>20.973103291406005</x:v>
      </x:c>
      <x:c r="CC214" s="9" t="str">
        <x:v>1.4999999999999674</x:v>
      </x:c>
      <x:c r="CD214" s="6" t="str">
        <x:v>18945.696206582812</x:v>
      </x:c>
      <x:c r="CE214" s="6" t="str">
        <x:v>41.94620658281201</x:v>
      </x:c>
      <x:c r="CF214" s="6" t="str">
        <x:v>Fixed 2.00R target</x:v>
      </x:c>
      <x:c r="CG214" s="9" t="str">
        <x:v>0.03456808417555822</x:v>
      </x:c>
      <x:c r="CH214" s="9" t="str">
        <x:v>2.0</x:v>
      </x:c>
      <x:c r="CI214" s="9" t="str">
        <x:v>1.9654319158244418</x:v>
      </x:c>
      <x:c r="CJ214" s="6" t="str">
        <x:v>Win</x:v>
      </x:c>
      <x:c r="CK214" s="9" t="str">
        <x:v>2.026404934429275</x:v>
      </x:c>
      <x:c r="CL214" s="9" t="str">
        <x:v>0.703281712537219</x:v>
      </x:c>
      <x:c r="CM214" s="7" t="str">
        <x:v>2024-09-19 01:55:00-05:00</x:v>
      </x:c>
      <x:c r="CN214" s="6" t="str">
        <x:v>18945.696206582812</x:v>
      </x:c>
      <x:c r="CO214" s="6" t="str">
        <x:v>TARGET</x:v>
      </x:c>
      <x:c r="CP214" s="6" t="str">
        <x:v>F::Long::Same-bar Setup+BOS::Penetration + same-bar reclaim</x:v>
      </x:c>
    </x:row>
    <x:row r="215" ht="18" customHeight="1">
      <x:c r="A215" s="6" t="str">
        <x:v>A0214</x:v>
      </x:c>
      <x:c r="B215" s="6" t="str">
        <x:v>2024-09-19</x:v>
      </x:c>
      <x:c r="C215" s="6" t="str">
        <x:v>2024</x:v>
      </x:c>
      <x:c r="D215" s="6" t="str">
        <x:v>2024-Q3</x:v>
      </x:c>
      <x:c r="E215" s="6" t="str">
        <x:v>First 50%</x:v>
      </x:c>
      <x:c r="F215" s="6" t="str">
        <x:v>Long</x:v>
      </x:c>
      <x:c r="G215" s="6" t="str">
        <x:v>Long</x:v>
      </x:c>
      <x:c r="H215" s="6" t="str">
        <x:v>Premarket</x:v>
      </x:c>
      <x:c r="I215" s="6" t="str">
        <x:v>Premarket</x:v>
      </x:c>
      <x:c r="J215" s="6" t="str">
        <x:v>Bull</x:v>
      </x:c>
      <x:c r="K215" s="6" t="str">
        <x:v>Bull</x:v>
      </x:c>
      <x:c r="L215" s="6" t="str">
        <x:v>HIGH</x:v>
      </x:c>
      <x:c r="M215" s="7" t="str">
        <x:v>2024-09-19 08:50:00-05:00</x:v>
      </x:c>
      <x:c r="N215" s="6" t="str">
        <x:v>75.0</x:v>
      </x:c>
      <x:c r="O215" s="6" t="str">
        <x:v>75-79</x:v>
      </x:c>
      <x:c r="P215" s="6" t="str">
        <x:v>Matching liquidity sweep only</x:v>
      </x:c>
      <x:c r="Q215" s="6" t="str">
        <x:v>Recent bull structure</x:v>
      </x:c>
      <x:c r="R215" s="6" t="str">
        <x:v>False</x:v>
      </x:c>
      <x:c r="S215" s="6" t="str">
        <x:v>True</x:v>
      </x:c>
      <x:c r="T215" s="6" t="str">
        <x:v>Recent SSL</x:v>
      </x:c>
      <x:c r="U215" s="6" t="str">
        <x:v>SSL</x:v>
      </x:c>
      <x:c r="V215" s="6" t="str">
        <x:v>Equal low / sell-side | Swing low / sell-side</x:v>
      </x:c>
      <x:c r="W215" s="6" t="str">
        <x:v>[18991.0,19003.5,19004.5]</x:v>
      </x:c>
      <x:c r="X215" s="8" t="str">
        <x:v>3</x:v>
      </x:c>
      <x:c r="Y215" s="8" t="str">
        <x:v>0.0</x:v>
      </x:c>
      <x:c r="Z215" s="6" t="str">
        <x:v>None</x:v>
      </x:c>
      <x:c r="AA215" s="6" t="str">
        <x:v>19044.5</x:v>
      </x:c>
      <x:c r="AB215" s="9" t="str">
        <x:v>-0.6947211887186292</x:v>
      </x:c>
      <x:c r="AC215" s="9" t="str">
        <x:v>0.5557769509749034</x:v>
      </x:c>
      <x:c r="AD215" s="9" t="str">
        <x:v>2.0444652125148233</x:v>
      </x:c>
      <x:c r="AE215" s="6" t="str">
        <x:v>Against trade</x:v>
      </x:c>
      <x:c r="AF215" s="7" t="str">
        <x:v>2024-09-19 09:15:00-05:00</x:v>
      </x:c>
      <x:c r="AG215" s="6" t="str">
        <x:v>Long</x:v>
      </x:c>
      <x:c r="AH215" s="6" t="str">
        <x:v>19098.5</x:v>
      </x:c>
      <x:c r="AI215" s="8" t="str">
        <x:v>5</x:v>
      </x:c>
      <x:c r="AJ215" s="6" t="str">
        <x:v>False</x:v>
      </x:c>
      <x:c r="AK215" s="6" t="str">
        <x:v>Delayed BOS</x:v>
      </x:c>
      <x:c r="AL215" s="9" t="str">
        <x:v>0.8589728877792764</x:v>
      </x:c>
      <x:c r="AM215" s="9" t="str">
        <x:v>0.4294864438896382</x:v>
      </x:c>
      <x:c r="AN215" s="9" t="str">
        <x:v>0.8675626166570692</x:v>
      </x:c>
      <x:c r="AO215" s="9" t="str">
        <x:v>1.1853825851354014</x:v>
      </x:c>
      <x:c r="AP215" s="10" t="str">
        <x:v>0.7318840579710145</x:v>
      </x:c>
      <x:c r="AQ215" s="6" t="str">
        <x:v>0.021739130434782608</x:v>
      </x:c>
      <x:c r="AR215" s="6" t="str">
        <x:v>0.2463768115942029</x:v>
      </x:c>
      <x:c r="AS215" s="6" t="str">
        <x:v>With trade</x:v>
      </x:c>
      <x:c r="AT215" s="6" t="str">
        <x:v>1.4237092156917597</x:v>
      </x:c>
      <x:c r="AU215" s="7" t="str">
        <x:v>2024-09-19 09:20:00-05:00</x:v>
      </x:c>
      <x:c r="AV215" s="8" t="str">
        <x:v>1</x:v>
      </x:c>
      <x:c r="AW215" s="6" t="str">
        <x:v>Immediate retest (1 bar)</x:v>
      </x:c>
      <x:c r="AX215" s="6" t="str">
        <x:v>19097.5</x:v>
      </x:c>
      <x:c r="AY215" s="6" t="str">
        <x:v>1.0</x:v>
      </x:c>
      <x:c r="AZ215" s="9" t="str">
        <x:v>0.03492501102595216</x:v>
      </x:c>
      <x:c r="BA215" s="9" t="str">
        <x:v>0.6897689677625553</x:v>
      </x:c>
      <x:c r="BB215" s="9" t="str">
        <x:v>0.7858127480839238</x:v>
      </x:c>
      <x:c r="BC215" s="9" t="str">
        <x:v>0.24447507718166517</x:v>
      </x:c>
      <x:c r="BD215" s="6" t="str">
        <x:v>0.07777777777777778</x:v>
      </x:c>
      <x:c r="BE215" s="6" t="str">
        <x:v>0.6111111111111112</x:v>
      </x:c>
      <x:c r="BF215" s="9" t="str">
        <x:v>0.4802189016068423</x:v>
      </x:c>
      <x:c r="BG215" s="9" t="str">
        <x:v>0.06111876929541629</x:v>
      </x:c>
      <x:c r="BH215" s="6" t="str">
        <x:v>With trade</x:v>
      </x:c>
      <x:c r="BI215" s="6" t="str">
        <x:v>Penetration + same-bar reclaim</x:v>
      </x:c>
      <x:c r="BJ215" s="6" t="str">
        <x:v>False</x:v>
      </x:c>
      <x:c r="BK215" s="10" t="str">
        <x:v>True</x:v>
      </x:c>
      <x:c r="BL215" s="6" t="str">
        <x:v>True</x:v>
      </x:c>
      <x:c r="BM215" s="7" t="str">
        <x:v>2024-09-19 09:25:00-05:00</x:v>
      </x:c>
      <x:c r="BN215" s="8" t="str">
        <x:v>1</x:v>
      </x:c>
      <x:c r="BO215" s="6" t="str">
        <x:v>Immediate confirmation (1 bar)</x:v>
      </x:c>
      <x:c r="BP215" s="9" t="str">
        <x:v>1.1873460531324904</x:v>
      </x:c>
      <x:c r="BQ215" s="9" t="str">
        <x:v>1.723300868782573</x:v>
      </x:c>
      <x:c r="BR215" s="10" t="str">
        <x:v>0.6889952153110048</x:v>
      </x:c>
      <x:c r="BS215" s="9" t="str">
        <x:v>1.8469827493172075</x:v>
      </x:c>
      <x:c r="BT215" s="9" t="str">
        <x:v>1.1955915118347995</x:v>
      </x:c>
      <x:c r="BU215" s="9" t="str">
        <x:v>0.3050819719854316</x:v>
      </x:c>
      <x:c r="BV215" s="6" t="str">
        <x:v>With trade</x:v>
      </x:c>
      <x:c r="BW215" s="7" t="str">
        <x:v>2024-09-19 09:25:00-05:00</x:v>
      </x:c>
      <x:c r="BX215" s="6" t="str">
        <x:v>19154.5</x:v>
      </x:c>
      <x:c r="BY215" s="9" t="str">
        <x:v>30.31972010604976</x:v>
      </x:c>
      <x:c r="BZ215" s="9" t="str">
        <x:v>1.0</x:v>
      </x:c>
      <x:c r="CA215" s="6" t="str">
        <x:v>19109.020419840926</x:v>
      </x:c>
      <x:c r="CB215" s="6" t="str">
        <x:v>45.47958015907352</x:v>
      </x:c>
      <x:c r="CC215" s="9" t="str">
        <x:v>1.4999999999999631</x:v>
      </x:c>
      <x:c r="CD215" s="6" t="str">
        <x:v>19245.45916031815</x:v>
      </x:c>
      <x:c r="CE215" s="6" t="str">
        <x:v>90.95916031815068</x:v>
      </x:c>
      <x:c r="CF215" s="6" t="str">
        <x:v>Fixed 2.00R target</x:v>
      </x:c>
      <x:c r="CG215" s="9" t="str">
        <x:v>0.01594122015779772</x:v>
      </x:c>
      <x:c r="CH215" s="9" t="str">
        <x:v>-1.0</x:v>
      </x:c>
      <x:c r="CI215" s="9" t="str">
        <x:v>-1.0159412201577978</x:v>
      </x:c>
      <x:c r="CJ215" s="6" t="str">
        <x:v>Loss</x:v>
      </x:c>
      <x:c r="CK215" s="9" t="str">
        <x:v>0.6486427512483209</x:v>
      </x:c>
      <x:c r="CL215" s="9" t="str">
        <x:v>1.1268793559822525</x:v>
      </x:c>
      <x:c r="CM215" s="7" t="str">
        <x:v>2024-09-19 09:45:00-05:00</x:v>
      </x:c>
      <x:c r="CN215" s="6" t="str">
        <x:v>19109.020419840926</x:v>
      </x:c>
      <x:c r="CO215" s="6" t="str">
        <x:v>STOP</x:v>
      </x:c>
      <x:c r="CP215" s="6" t="str">
        <x:v>F::Long::Delayed BOS::Penetration + same-bar reclaim</x:v>
      </x:c>
    </x:row>
    <x:row r="216" ht="18" customHeight="1">
      <x:c r="A216" s="6" t="str">
        <x:v>A0215</x:v>
      </x:c>
      <x:c r="B216" s="6" t="str">
        <x:v>2024-09-19</x:v>
      </x:c>
      <x:c r="C216" s="6" t="str">
        <x:v>2024</x:v>
      </x:c>
      <x:c r="D216" s="6" t="str">
        <x:v>2024-Q3</x:v>
      </x:c>
      <x:c r="E216" s="6" t="str">
        <x:v>First 50%</x:v>
      </x:c>
      <x:c r="F216" s="6" t="str">
        <x:v>Short</x:v>
      </x:c>
      <x:c r="G216" s="6" t="str">
        <x:v>Short</x:v>
      </x:c>
      <x:c r="H216" s="6" t="str">
        <x:v>Afternoon</x:v>
      </x:c>
      <x:c r="I216" s="6" t="str">
        <x:v>Afternoon</x:v>
      </x:c>
      <x:c r="J216" s="6" t="str">
        <x:v>Bull</x:v>
      </x:c>
      <x:c r="K216" s="6" t="str">
        <x:v>Bull</x:v>
      </x:c>
      <x:c r="L216" s="6" t="str">
        <x:v>HIGH</x:v>
      </x:c>
      <x:c r="M216" s="7" t="str">
        <x:v>2024-09-19 14:10:00-05:00</x:v>
      </x:c>
      <x:c r="N216" s="6" t="str">
        <x:v>75.0</x:v>
      </x:c>
      <x:c r="O216" s="6" t="str">
        <x:v>75-79</x:v>
      </x:c>
      <x:c r="P216" s="6" t="str">
        <x:v>Matching BOS only</x:v>
      </x:c>
      <x:c r="Q216" s="6" t="str">
        <x:v>Bear CHoCH</x:v>
      </x:c>
      <x:c r="R216" s="6" t="str">
        <x:v>True</x:v>
      </x:c>
      <x:c r="S216" s="6" t="str">
        <x:v>False</x:v>
      </x:c>
      <x:c r="T216" s="6" t="str">
        <x:v>No recent matching sweep</x:v>
      </x:c>
      <x:c r="U216" s="6" t="str">
        <x:v>None</x:v>
      </x:c>
      <x:c r="V216" s="6" t="str">
        <x:v>None</x:v>
      </x:c>
      <x:c r="W216" s="6" t="str">
        <x:v>[]</x:v>
      </x:c>
      <x:c r="X216" s="8" t="str">
        <x:v>0</x:v>
      </x:c>
      <x:c r="Y216" s="8" t="str"/>
      <x:c r="Z216" s="6" t="str">
        <x:v>None</x:v>
      </x:c>
      <x:c r="AA216" s="6" t="str">
        <x:v>19141.75</x:v>
      </x:c>
      <x:c r="AB216" s="9" t="str">
        <x:v>0.5219062765426323</x:v>
      </x:c>
      <x:c r="AC216" s="9" t="str">
        <x:v>0.8731893472924811</x:v>
      </x:c>
      <x:c r="AD216" s="9" t="str">
        <x:v>1.2244724180423299</x:v>
      </x:c>
      <x:c r="AE216" s="6" t="str">
        <x:v>With trade</x:v>
      </x:c>
      <x:c r="AF216" s="7" t="str">
        <x:v>2024-09-19 14:10:00-05:00</x:v>
      </x:c>
      <x:c r="AG216" s="6" t="str">
        <x:v>Short</x:v>
      </x:c>
      <x:c r="AH216" s="6" t="str">
        <x:v>19141.75</x:v>
      </x:c>
      <x:c r="AI216" s="8" t="str">
        <x:v>0</x:v>
      </x:c>
      <x:c r="AJ216" s="6" t="str">
        <x:v>True</x:v>
      </x:c>
      <x:c r="AK216" s="6" t="str">
        <x:v>Same-bar Setup+BOS</x:v>
      </x:c>
      <x:c r="AL216" s="9" t="str">
        <x:v>0.8631526881281997</x:v>
      </x:c>
      <x:c r="AM216" s="9" t="str">
        <x:v>0.5219062765426323</x:v>
      </x:c>
      <x:c r="AN216" s="9" t="str">
        <x:v>0.8731893472924811</x:v>
      </x:c>
      <x:c r="AO216" s="9" t="str">
        <x:v>1.2244724180423299</x:v>
      </x:c>
      <x:c r="AP216" s="10" t="str">
        <x:v>0.7131147540983607</x:v>
      </x:c>
      <x:c r="AQ216" s="6" t="str">
        <x:v>0.1557377049180328</x:v>
      </x:c>
      <x:c r="AR216" s="6" t="str">
        <x:v>0.13114754098360656</x:v>
      </x:c>
      <x:c r="AS216" s="6" t="str">
        <x:v>With trade</x:v>
      </x:c>
      <x:c r="AT216" s="6" t="str">
        <x:v>0.9915249543012242</x:v>
      </x:c>
      <x:c r="AU216" s="7" t="str">
        <x:v>2024-09-19 14:15:00-05:00</x:v>
      </x:c>
      <x:c r="AV216" s="8" t="str">
        <x:v>1</x:v>
      </x:c>
      <x:c r="AW216" s="6" t="str">
        <x:v>Immediate retest (1 bar)</x:v>
      </x:c>
      <x:c r="AX216" s="6" t="str">
        <x:v>19147.0</x:v>
      </x:c>
      <x:c r="AY216" s="6" t="str">
        <x:v>5.25</x:v>
      </x:c>
      <x:c r="AZ216" s="9" t="str">
        <x:v>0.20729747533223616</x:v>
      </x:c>
      <x:c r="BA216" s="9" t="str">
        <x:v>0.7995759762814824</x:v>
      </x:c>
      <x:c r="BB216" s="9" t="str">
        <x:v>1.2141709269459546</x:v>
      </x:c>
      <x:c r="BC216" s="9" t="str">
        <x:v>0.2763966337763149</x:v>
      </x:c>
      <x:c r="BD216" s="6" t="str">
        <x:v>0.6016260162601627</x:v>
      </x:c>
      <x:c r="BE216" s="6" t="str">
        <x:v>0.17073170731707318</x:v>
      </x:c>
      <x:c r="BF216" s="9" t="str">
        <x:v>0.7304768178374036</x:v>
      </x:c>
      <x:c r="BG216" s="9" t="str">
        <x:v>0.20729747533223616</x:v>
      </x:c>
      <x:c r="BH216" s="6" t="str">
        <x:v>With trade</x:v>
      </x:c>
      <x:c r="BI216" s="6" t="str">
        <x:v>Penetration + same-bar reclaim</x:v>
      </x:c>
      <x:c r="BJ216" s="6" t="str">
        <x:v>False</x:v>
      </x:c>
      <x:c r="BK216" s="10" t="str">
        <x:v>True</x:v>
      </x:c>
      <x:c r="BL216" s="6" t="str">
        <x:v>True</x:v>
      </x:c>
      <x:c r="BM216" s="7" t="str">
        <x:v>2024-09-19 14:25:00-05:00</x:v>
      </x:c>
      <x:c r="BN216" s="8" t="str">
        <x:v>2</x:v>
      </x:c>
      <x:c r="BO216" s="6" t="str">
        <x:v>Delayed confirmation (2+ bars)</x:v>
      </x:c>
      <x:c r="BP216" s="9" t="str">
        <x:v>0.2709592474368682</x:v>
      </x:c>
      <x:c r="BQ216" s="9" t="str">
        <x:v>1.055806722771245</x:v>
      </x:c>
      <x:c r="BR216" s="10" t="str">
        <x:v>0.25663716814159293</x:v>
      </x:c>
      <x:c r="BS216" s="9" t="str">
        <x:v>0.33636320371473294</x:v>
      </x:c>
      <x:c r="BT216" s="9" t="str">
        <x:v>-0.4204540046434162</x:v>
      </x:c>
      <x:c r="BU216" s="9" t="str">
        <x:v>0.0934342232540925</x:v>
      </x:c>
      <x:c r="BV216" s="6" t="str">
        <x:v>With trade</x:v>
      </x:c>
      <x:c r="BW216" s="7" t="str">
        <x:v>2024-09-19 14:25:00-05:00</x:v>
      </x:c>
      <x:c r="BX216" s="6" t="str">
        <x:v>19132.75</x:v>
      </x:c>
      <x:c r="BY216" s="9" t="str">
        <x:v>26.75679117277296</x:v>
      </x:c>
      <x:c r="BZ216" s="9" t="str">
        <x:v>0.68</x:v>
      </x:c>
      <x:c r="CA216" s="6" t="str">
        <x:v>19172.88518675916</x:v>
      </x:c>
      <x:c r="CB216" s="6" t="str">
        <x:v>40.13518675915839</x:v>
      </x:c>
      <x:c r="CC216" s="9" t="str">
        <x:v>1.4999999999999607</x:v>
      </x:c>
      <x:c r="CD216" s="6" t="str">
        <x:v>19052.47962648168</x:v>
      </x:c>
      <x:c r="CE216" s="6" t="str">
        <x:v>80.27037351832041</x:v>
      </x:c>
      <x:c r="CF216" s="6" t="str">
        <x:v>Fixed 2.00R target</x:v>
      </x:c>
      <x:c r="CG216" s="9" t="str">
        <x:v>0.01806394982912502</x:v>
      </x:c>
      <x:c r="CH216" s="9" t="str">
        <x:v>0.9654869736256224</x:v>
      </x:c>
      <x:c r="CI216" s="9" t="str">
        <x:v>0.9474230237964973</x:v>
      </x:c>
      <x:c r="CJ216" s="6" t="str">
        <x:v>Win</x:v>
      </x:c>
      <x:c r="CK216" s="9" t="str">
        <x:v>1.389055452377545</x:v>
      </x:c>
      <x:c r="CL216" s="9" t="str">
        <x:v>0.7350158895988802</x:v>
      </x:c>
      <x:c r="CM216" s="7" t="str">
        <x:v>2024-09-19 15:25:00-05:00</x:v>
      </x:c>
      <x:c r="CN216" s="6" t="str">
        <x:v>19094.0</x:v>
      </x:c>
      <x:c r="CO216" s="6" t="str">
        <x:v>TIME</x:v>
      </x:c>
      <x:c r="CP216" s="6" t="str">
        <x:v>F::Short::Same-bar Setup+BOS::Penetration + same-bar reclaim</x:v>
      </x:c>
    </x:row>
    <x:row r="217" ht="18" customHeight="1">
      <x:c r="A217" s="6" t="str">
        <x:v>A0216</x:v>
      </x:c>
      <x:c r="B217" s="6" t="str">
        <x:v>2024-09-19</x:v>
      </x:c>
      <x:c r="C217" s="6" t="str">
        <x:v>2024</x:v>
      </x:c>
      <x:c r="D217" s="6" t="str">
        <x:v>2024-Q3</x:v>
      </x:c>
      <x:c r="E217" s="6" t="str">
        <x:v>First 50%</x:v>
      </x:c>
      <x:c r="F217" s="6" t="str">
        <x:v>Long</x:v>
      </x:c>
      <x:c r="G217" s="6" t="str">
        <x:v>Long</x:v>
      </x:c>
      <x:c r="H217" s="6" t="str">
        <x:v>Overnight</x:v>
      </x:c>
      <x:c r="I217" s="6" t="str">
        <x:v>Overnight</x:v>
      </x:c>
      <x:c r="J217" s="6" t="str">
        <x:v>Bull</x:v>
      </x:c>
      <x:c r="K217" s="6" t="str">
        <x:v>Bull</x:v>
      </x:c>
      <x:c r="L217" s="6" t="str">
        <x:v>LOW</x:v>
      </x:c>
      <x:c r="M217" s="7" t="str">
        <x:v>2024-09-19 20:45:00-05:00</x:v>
      </x:c>
      <x:c r="N217" s="6" t="str">
        <x:v>90.0</x:v>
      </x:c>
      <x:c r="O217" s="6" t="str">
        <x:v>90-94</x:v>
      </x:c>
      <x:c r="P217" s="6" t="str">
        <x:v>Matching BOS only</x:v>
      </x:c>
      <x:c r="Q217" s="6" t="str">
        <x:v>Bull CHoCH</x:v>
      </x:c>
      <x:c r="R217" s="6" t="str">
        <x:v>True</x:v>
      </x:c>
      <x:c r="S217" s="6" t="str">
        <x:v>False</x:v>
      </x:c>
      <x:c r="T217" s="6" t="str">
        <x:v>Recent SSL</x:v>
      </x:c>
      <x:c r="U217" s="6" t="str">
        <x:v>SSL</x:v>
      </x:c>
      <x:c r="V217" s="6" t="str">
        <x:v>Swing low / sell-side</x:v>
      </x:c>
      <x:c r="W217" s="6" t="str">
        <x:v>[19057.5]</x:v>
      </x:c>
      <x:c r="X217" s="8" t="str">
        <x:v>1</x:v>
      </x:c>
      <x:c r="Y217" s="8" t="str">
        <x:v>19.0</x:v>
      </x:c>
      <x:c r="Z217" s="6" t="str">
        <x:v>None</x:v>
      </x:c>
      <x:c r="AA217" s="6" t="str">
        <x:v>19073.5</x:v>
      </x:c>
      <x:c r="AB217" s="9" t="str">
        <x:v>0.025783584181519704</x:v>
      </x:c>
      <x:c r="AC217" s="9" t="str">
        <x:v>0.6445896045379925</x:v>
      </x:c>
      <x:c r="AD217" s="9" t="str">
        <x:v>0.953992614716229</x:v>
      </x:c>
      <x:c r="AE217" s="6" t="str">
        <x:v>With trade</x:v>
      </x:c>
      <x:c r="AF217" s="7" t="str">
        <x:v>2024-09-19 20:45:00-05:00</x:v>
      </x:c>
      <x:c r="AG217" s="6" t="str">
        <x:v>Long</x:v>
      </x:c>
      <x:c r="AH217" s="6" t="str">
        <x:v>19073.5</x:v>
      </x:c>
      <x:c r="AI217" s="8" t="str">
        <x:v>0</x:v>
      </x:c>
      <x:c r="AJ217" s="6" t="str">
        <x:v>True</x:v>
      </x:c>
      <x:c r="AK217" s="6" t="str">
        <x:v>Same-bar Setup+BOS</x:v>
      </x:c>
      <x:c r="AL217" s="9" t="str">
        <x:v>0.696156772901032</x:v>
      </x:c>
      <x:c r="AM217" s="9" t="str">
        <x:v>0.025783584181519704</x:v>
      </x:c>
      <x:c r="AN217" s="9" t="str">
        <x:v>0.6445896045379925</x:v>
      </x:c>
      <x:c r="AO217" s="9" t="str">
        <x:v>0.953992614716229</x:v>
      </x:c>
      <x:c r="AP217" s="10" t="str">
        <x:v>0.6756756756756757</x:v>
      </x:c>
      <x:c r="AQ217" s="6" t="str">
        <x:v>0.1891891891891892</x:v>
      </x:c>
      <x:c r="AR217" s="6" t="str">
        <x:v>0.13513513513513514</x:v>
      </x:c>
      <x:c r="AS217" s="6" t="str">
        <x:v>With trade</x:v>
      </x:c>
      <x:c r="AT217" s="6" t="str">
        <x:v>1.4830841856805665</x:v>
      </x:c>
      <x:c r="AU217" s="7" t="str">
        <x:v>2024-09-19 20:50:00-05:00</x:v>
      </x:c>
      <x:c r="AV217" s="8" t="str">
        <x:v>1</x:v>
      </x:c>
      <x:c r="AW217" s="6" t="str">
        <x:v>Immediate retest (1 bar)</x:v>
      </x:c>
      <x:c r="AX217" s="6" t="str">
        <x:v>19072.75</x:v>
      </x:c>
      <x:c r="AY217" s="6" t="str">
        <x:v>0.75</x:v>
      </x:c>
      <x:c r="AZ217" s="9" t="str">
        <x:v>0.07760578391605018</x:v>
      </x:c>
      <x:c r="BA217" s="9" t="str">
        <x:v>0.7501892445218185</x:v>
      </x:c>
      <x:c r="BB217" s="9" t="str">
        <x:v>0.9571380016312856</x:v>
      </x:c>
      <x:c r="BC217" s="9" t="str">
        <x:v>0.7501892445218185</x:v>
      </x:c>
      <x:c r="BD217" s="6" t="str">
        <x:v>0.13513513513513514</x:v>
      </x:c>
      <x:c r="BE217" s="6" t="str">
        <x:v>0.08108108108108109</x:v>
      </x:c>
      <x:c r="BF217" s="9" t="str">
        <x:v>0.07760578391605018</x:v>
      </x:c>
      <x:c r="BG217" s="9" t="str">
        <x:v>0.12934297319341698</x:v>
      </x:c>
      <x:c r="BH217" s="6" t="str">
        <x:v>With trade</x:v>
      </x:c>
      <x:c r="BI217" s="6" t="str">
        <x:v>Penetration + same-bar reclaim</x:v>
      </x:c>
      <x:c r="BJ217" s="6" t="str">
        <x:v>False</x:v>
      </x:c>
      <x:c r="BK217" s="10" t="str">
        <x:v>True</x:v>
      </x:c>
      <x:c r="BL217" s="6" t="str">
        <x:v>True</x:v>
      </x:c>
      <x:c r="BM217" s="7" t="str">
        <x:v>2024-09-19 20:55:00-05:00</x:v>
      </x:c>
      <x:c r="BN217" s="8" t="str">
        <x:v>1</x:v>
      </x:c>
      <x:c r="BO217" s="6" t="str">
        <x:v>Immediate confirmation (1 bar)</x:v>
      </x:c>
      <x:c r="BP217" s="9" t="str">
        <x:v>0.07439687215935203</x:v>
      </x:c>
      <x:c r="BQ217" s="9" t="str">
        <x:v>1.537535357959942</x:v>
      </x:c>
      <x:c r="BR217" s="10" t="str">
        <x:v>0.04838709677419355</x:v>
      </x:c>
      <x:c r="BS217" s="9" t="str">
        <x:v>0.768767678979971</x:v>
      </x:c>
      <x:c r="BT217" s="9" t="str">
        <x:v>0.049597914772901354</x:v>
      </x:c>
      <x:c r="BU217" s="9" t="str">
        <x:v>0.9175614232986751</x:v>
      </x:c>
      <x:c r="BV217" s="6" t="str">
        <x:v>With trade</x:v>
      </x:c>
      <x:c r="BW217" s="7" t="str">
        <x:v>2024-09-19 20:55:00-05:00</x:v>
      </x:c>
      <x:c r="BX217" s="6" t="str">
        <x:v>19081.25</x:v>
      </x:c>
      <x:c r="BY217" s="9" t="str">
        <x:v>10.081068978189851</x:v>
      </x:c>
      <x:c r="BZ217" s="9" t="str">
        <x:v>0.06</x:v>
      </x:c>
      <x:c r="CA217" s="6" t="str">
        <x:v>19066.128396532717</x:v>
      </x:c>
      <x:c r="CB217" s="6" t="str">
        <x:v>15.121603467283421</x:v>
      </x:c>
      <x:c r="CC217" s="9" t="str">
        <x:v>1.4999999999998657</x:v>
      </x:c>
      <x:c r="CD217" s="6" t="str">
        <x:v>19111.49320693457</x:v>
      </x:c>
      <x:c r="CE217" s="6" t="str">
        <x:v>30.24320693457048</x:v>
      </x:c>
      <x:c r="CF217" s="6" t="str">
        <x:v>Fixed 2.00R target</x:v>
      </x:c>
      <x:c r="CG217" s="9" t="str">
        <x:v>0.04794465094714227</x:v>
      </x:c>
      <x:c r="CH217" s="9" t="str">
        <x:v>-1.0</x:v>
      </x:c>
      <x:c r="CI217" s="9" t="str">
        <x:v>-1.0479446509471422</x:v>
      </x:c>
      <x:c r="CJ217" s="6" t="str">
        <x:v>Loss</x:v>
      </x:c>
      <x:c r="CK217" s="9" t="str">
        <x:v>0.9754256572004808</x:v>
      </x:c>
      <x:c r="CL217" s="9" t="str">
        <x:v>1.107686763261563</x:v>
      </x:c>
      <x:c r="CM217" s="7" t="str">
        <x:v>2024-09-19 21:20:00-05:00</x:v>
      </x:c>
      <x:c r="CN217" s="6" t="str">
        <x:v>19066.128396532717</x:v>
      </x:c>
      <x:c r="CO217" s="6" t="str">
        <x:v>STOP</x:v>
      </x:c>
      <x:c r="CP217" s="6" t="str">
        <x:v>F::Long::Same-bar Setup+BOS::Penetration + same-bar reclaim</x:v>
      </x:c>
    </x:row>
    <x:row r="218" ht="18" customHeight="1">
      <x:c r="A218" s="6" t="str">
        <x:v>A0217</x:v>
      </x:c>
      <x:c r="B218" s="6" t="str">
        <x:v>2024-09-20</x:v>
      </x:c>
      <x:c r="C218" s="6" t="str">
        <x:v>2024</x:v>
      </x:c>
      <x:c r="D218" s="6" t="str">
        <x:v>2024-Q3</x:v>
      </x:c>
      <x:c r="E218" s="6" t="str">
        <x:v>First 50%</x:v>
      </x:c>
      <x:c r="F218" s="6" t="str">
        <x:v>Short</x:v>
      </x:c>
      <x:c r="G218" s="6" t="str">
        <x:v>Short</x:v>
      </x:c>
      <x:c r="H218" s="6" t="str">
        <x:v>Overnight</x:v>
      </x:c>
      <x:c r="I218" s="6" t="str">
        <x:v>Overnight</x:v>
      </x:c>
      <x:c r="J218" s="6" t="str">
        <x:v>Bull</x:v>
      </x:c>
      <x:c r="K218" s="6" t="str">
        <x:v>Bull</x:v>
      </x:c>
      <x:c r="L218" s="6" t="str">
        <x:v>HIGH</x:v>
      </x:c>
      <x:c r="M218" s="7" t="str">
        <x:v>2024-09-20 03:25:00-05:00</x:v>
      </x:c>
      <x:c r="N218" s="6" t="str">
        <x:v>75.0</x:v>
      </x:c>
      <x:c r="O218" s="6" t="str">
        <x:v>75-79</x:v>
      </x:c>
      <x:c r="P218" s="6" t="str">
        <x:v>Matching BOS only</x:v>
      </x:c>
      <x:c r="Q218" s="6" t="str">
        <x:v>Bear CHoCH</x:v>
      </x:c>
      <x:c r="R218" s="6" t="str">
        <x:v>True</x:v>
      </x:c>
      <x:c r="S218" s="6" t="str">
        <x:v>False</x:v>
      </x:c>
      <x:c r="T218" s="6" t="str">
        <x:v>Recent BSL</x:v>
      </x:c>
      <x:c r="U218" s="6" t="str">
        <x:v>BSL</x:v>
      </x:c>
      <x:c r="V218" s="6" t="str">
        <x:v>Swing high / buy-side</x:v>
      </x:c>
      <x:c r="W218" s="6" t="str">
        <x:v>[19080.25]</x:v>
      </x:c>
      <x:c r="X218" s="8" t="str">
        <x:v>1</x:v>
      </x:c>
      <x:c r="Y218" s="8" t="str">
        <x:v>13.0</x:v>
      </x:c>
      <x:c r="Z218" s="6" t="str">
        <x:v>None</x:v>
      </x:c>
      <x:c r="AA218" s="6" t="str">
        <x:v>19049.25</x:v>
      </x:c>
      <x:c r="AB218" s="9" t="str">
        <x:v>0.7386217593312703</x:v>
      </x:c>
      <x:c r="AC218" s="9" t="str">
        <x:v>0.9417427431473697</x:v>
      </x:c>
      <x:c r="AD218" s="9" t="str">
        <x:v>1.2741225348464413</x:v>
      </x:c>
      <x:c r="AE218" s="6" t="str">
        <x:v>With trade</x:v>
      </x:c>
      <x:c r="AF218" s="7" t="str">
        <x:v>2024-09-20 03:25:00-05:00</x:v>
      </x:c>
      <x:c r="AG218" s="6" t="str">
        <x:v>Short</x:v>
      </x:c>
      <x:c r="AH218" s="6" t="str">
        <x:v>19049.25</x:v>
      </x:c>
      <x:c r="AI218" s="8" t="str">
        <x:v>0</x:v>
      </x:c>
      <x:c r="AJ218" s="6" t="str">
        <x:v>True</x:v>
      </x:c>
      <x:c r="AK218" s="6" t="str">
        <x:v>Same-bar Setup+BOS</x:v>
      </x:c>
      <x:c r="AL218" s="9" t="str">
        <x:v>0.9232771991640879</x:v>
      </x:c>
      <x:c r="AM218" s="9" t="str">
        <x:v>0.7386217593312703</x:v>
      </x:c>
      <x:c r="AN218" s="9" t="str">
        <x:v>0.9417427431473697</x:v>
      </x:c>
      <x:c r="AO218" s="9" t="str">
        <x:v>1.2741225348464413</x:v>
      </x:c>
      <x:c r="AP218" s="10" t="str">
        <x:v>0.7391304347826086</x:v>
      </x:c>
      <x:c r="AQ218" s="6" t="str">
        <x:v>0.17391304347826086</x:v>
      </x:c>
      <x:c r="AR218" s="6" t="str">
        <x:v>0.08695652173913043</x:v>
      </x:c>
      <x:c r="AS218" s="6" t="str">
        <x:v>With trade</x:v>
      </x:c>
      <x:c r="AT218" s="6" t="str">
        <x:v>1.5780383601490775</x:v>
      </x:c>
      <x:c r="AU218" s="7" t="str">
        <x:v>2024-09-20 03:35:00-05:00</x:v>
      </x:c>
      <x:c r="AV218" s="8" t="str">
        <x:v>2</x:v>
      </x:c>
      <x:c r="AW218" s="6" t="str">
        <x:v>Delayed retest (2+ bars)</x:v>
      </x:c>
      <x:c r="AX218" s="6" t="str">
        <x:v>19049.5</x:v>
      </x:c>
      <x:c r="AY218" s="6" t="str">
        <x:v>0.25</x:v>
      </x:c>
      <x:c r="AZ218" s="9" t="str">
        <x:v>0.018360344503189855</x:v>
      </x:c>
      <x:c r="BA218" s="9" t="str">
        <x:v>0.07344137801275942</x:v>
      </x:c>
      <x:c r="BB218" s="9" t="str">
        <x:v>0.9363775696626826</x:v>
      </x:c>
      <x:c r="BC218" s="9" t="str">
        <x:v>0.8445758471467333</x:v>
      </x:c>
      <x:c r="BD218" s="6" t="str">
        <x:v>0.09803921568627451</x:v>
      </x:c>
      <x:c r="BE218" s="6" t="str">
        <x:v>0.0</x:v>
      </x:c>
      <x:c r="BF218" s="9" t="str">
        <x:v>0.09180172251594927</x:v>
      </x:c>
      <x:c r="BG218" s="9" t="str">
        <x:v>0.0</x:v>
      </x:c>
      <x:c r="BH218" s="6" t="str">
        <x:v>Against trade</x:v>
      </x:c>
      <x:c r="BI218" s="6" t="str">
        <x:v>Penetration + same-bar reclaim</x:v>
      </x:c>
      <x:c r="BJ218" s="6" t="str">
        <x:v>False</x:v>
      </x:c>
      <x:c r="BK218" s="10" t="str">
        <x:v>True</x:v>
      </x:c>
      <x:c r="BL218" s="6" t="str">
        <x:v>True</x:v>
      </x:c>
      <x:c r="BM218" s="7" t="str">
        <x:v>2024-09-20 03:50:00-05:00</x:v>
      </x:c>
      <x:c r="BN218" s="8" t="str">
        <x:v>3</x:v>
      </x:c>
      <x:c r="BO218" s="6" t="str">
        <x:v>Delayed confirmation (2+ bars)</x:v>
      </x:c>
      <x:c r="BP218" s="9" t="str">
        <x:v>0.6429968386197924</x:v>
      </x:c>
      <x:c r="BQ218" s="9" t="str">
        <x:v>1.0911461503851023</x:v>
      </x:c>
      <x:c r="BR218" s="10" t="str">
        <x:v>0.5892857142857143</x:v>
      </x:c>
      <x:c r="BS218" s="9" t="str">
        <x:v>0.4676340644507581</x:v>
      </x:c>
      <x:c r="BT218" s="9" t="str">
        <x:v>0.38969505370896507</x:v>
      </x:c>
      <x:c r="BU218" s="9" t="str">
        <x:v>0.4286645590798616</x:v>
      </x:c>
      <x:c r="BV218" s="6" t="str">
        <x:v>With trade</x:v>
      </x:c>
      <x:c r="BW218" s="7" t="str">
        <x:v>2024-09-20 03:50:00-05:00</x:v>
      </x:c>
      <x:c r="BX218" s="6" t="str">
        <x:v>19043.25</x:v>
      </x:c>
      <x:c r="BY218" s="9" t="str">
        <x:v>12.830545197871915</x:v>
      </x:c>
      <x:c r="BZ218" s="9" t="str">
        <x:v>0.95</x:v>
      </x:c>
      <x:c r="CA218" s="6" t="str">
        <x:v>19062.495817796807</x:v>
      </x:c>
      <x:c r="CB218" s="6" t="str">
        <x:v>19.245817796807387</x:v>
      </x:c>
      <x:c r="CC218" s="9" t="str">
        <x:v>1.499999999999962</x:v>
      </x:c>
      <x:c r="CD218" s="6" t="str">
        <x:v>19004.758364406385</x:v>
      </x:c>
      <x:c r="CE218" s="6" t="str">
        <x:v>38.491635593614774</x:v>
      </x:c>
      <x:c r="CF218" s="6" t="str">
        <x:v>Fixed 2.00R target</x:v>
      </x:c>
      <x:c r="CG218" s="9" t="str">
        <x:v>0.03767052185853424</x:v>
      </x:c>
      <x:c r="CH218" s="9" t="str">
        <x:v>-1.0</x:v>
      </x:c>
      <x:c r="CI218" s="9" t="str">
        <x:v>-1.0376705218585343</x:v>
      </x:c>
      <x:c r="CJ218" s="6" t="str">
        <x:v>Loss</x:v>
      </x:c>
      <x:c r="CK218" s="9" t="str">
        <x:v>0.012989835123632497</x:v>
      </x:c>
      <x:c r="CL218" s="9" t="str">
        <x:v>1.2080546664978222</x:v>
      </x:c>
      <x:c r="CM218" s="7" t="str">
        <x:v>2024-09-20 04:15:00-05:00</x:v>
      </x:c>
      <x:c r="CN218" s="6" t="str">
        <x:v>19062.495817796807</x:v>
      </x:c>
      <x:c r="CO218" s="6" t="str">
        <x:v>STOP</x:v>
      </x:c>
      <x:c r="CP218" s="6" t="str">
        <x:v>F::Short::Same-bar Setup+BOS::Penetration + same-bar reclaim</x:v>
      </x:c>
    </x:row>
    <x:row r="219" ht="18" customHeight="1">
      <x:c r="A219" s="6" t="str">
        <x:v>A0218</x:v>
      </x:c>
      <x:c r="B219" s="6" t="str">
        <x:v>2024-09-25</x:v>
      </x:c>
      <x:c r="C219" s="6" t="str">
        <x:v>2024</x:v>
      </x:c>
      <x:c r="D219" s="6" t="str">
        <x:v>2024-Q3</x:v>
      </x:c>
      <x:c r="E219" s="6" t="str">
        <x:v>First 50%</x:v>
      </x:c>
      <x:c r="F219" s="6" t="str">
        <x:v>Long</x:v>
      </x:c>
      <x:c r="G219" s="6" t="str">
        <x:v>Long</x:v>
      </x:c>
      <x:c r="H219" s="6" t="str">
        <x:v>Overnight</x:v>
      </x:c>
      <x:c r="I219" s="6" t="str">
        <x:v>Overnight</x:v>
      </x:c>
      <x:c r="J219" s="6" t="str">
        <x:v>Bull</x:v>
      </x:c>
      <x:c r="K219" s="6" t="str">
        <x:v>Bull</x:v>
      </x:c>
      <x:c r="L219" s="6" t="str">
        <x:v>LOW</x:v>
      </x:c>
      <x:c r="M219" s="7" t="str">
        <x:v>2024-09-25 20:50:00-05:00</x:v>
      </x:c>
      <x:c r="N219" s="6" t="str">
        <x:v>75.0</x:v>
      </x:c>
      <x:c r="O219" s="6" t="str">
        <x:v>75-79</x:v>
      </x:c>
      <x:c r="P219" s="6" t="str">
        <x:v>Matching BOS only</x:v>
      </x:c>
      <x:c r="Q219" s="6" t="str">
        <x:v>Bull CHoCH</x:v>
      </x:c>
      <x:c r="R219" s="6" t="str">
        <x:v>True</x:v>
      </x:c>
      <x:c r="S219" s="6" t="str">
        <x:v>False</x:v>
      </x:c>
      <x:c r="T219" s="6" t="str">
        <x:v>Recent SSL</x:v>
      </x:c>
      <x:c r="U219" s="6" t="str">
        <x:v>SSL</x:v>
      </x:c>
      <x:c r="V219" s="6" t="str">
        <x:v>Swing low / sell-side</x:v>
      </x:c>
      <x:c r="W219" s="6" t="str">
        <x:v>[19316.75]</x:v>
      </x:c>
      <x:c r="X219" s="8" t="str">
        <x:v>1</x:v>
      </x:c>
      <x:c r="Y219" s="8" t="str">
        <x:v>5.0</x:v>
      </x:c>
      <x:c r="Z219" s="6" t="str">
        <x:v>None</x:v>
      </x:c>
      <x:c r="AA219" s="6" t="str">
        <x:v>19334.5</x:v>
      </x:c>
      <x:c r="AB219" s="9" t="str">
        <x:v>0.2704481153480861</x:v>
      </x:c>
      <x:c r="AC219" s="9" t="str">
        <x:v>0.7302099114398325</x:v>
      </x:c>
      <x:c r="AD219" s="9" t="str">
        <x:v>1.3251957652056219</x:v>
      </x:c>
      <x:c r="AE219" s="6" t="str">
        <x:v>With trade</x:v>
      </x:c>
      <x:c r="AF219" s="7" t="str">
        <x:v>2024-09-25 20:50:00-05:00</x:v>
      </x:c>
      <x:c r="AG219" s="6" t="str">
        <x:v>Long</x:v>
      </x:c>
      <x:c r="AH219" s="6" t="str">
        <x:v>19334.5</x:v>
      </x:c>
      <x:c r="AI219" s="8" t="str">
        <x:v>0</x:v>
      </x:c>
      <x:c r="AJ219" s="6" t="str">
        <x:v>True</x:v>
      </x:c>
      <x:c r="AK219" s="6" t="str">
        <x:v>Same-bar Setup+BOS</x:v>
      </x:c>
      <x:c r="AL219" s="9" t="str">
        <x:v>0.7842995345094498</x:v>
      </x:c>
      <x:c r="AM219" s="9" t="str">
        <x:v>0.2704481153480861</x:v>
      </x:c>
      <x:c r="AN219" s="9" t="str">
        <x:v>0.7302099114398325</x:v>
      </x:c>
      <x:c r="AO219" s="9" t="str">
        <x:v>1.3251957652056219</x:v>
      </x:c>
      <x:c r="AP219" s="10" t="str">
        <x:v>0.5510204081632653</x:v>
      </x:c>
      <x:c r="AQ219" s="6" t="str">
        <x:v>0.02040816326530612</x:v>
      </x:c>
      <x:c r="AR219" s="6" t="str">
        <x:v>0.42857142857142855</x:v>
      </x:c>
      <x:c r="AS219" s="6" t="str">
        <x:v>With trade</x:v>
      </x:c>
      <x:c r="AT219" s="6" t="str">
        <x:v>1.0252978182304913</x:v>
      </x:c>
      <x:c r="AU219" s="7" t="str">
        <x:v>2024-09-25 20:55:00-05:00</x:v>
      </x:c>
      <x:c r="AV219" s="8" t="str">
        <x:v>1</x:v>
      </x:c>
      <x:c r="AW219" s="6" t="str">
        <x:v>Immediate retest (1 bar)</x:v>
      </x:c>
      <x:c r="AX219" s="6" t="str">
        <x:v>19335.25</x:v>
      </x:c>
      <x:c r="AY219" s="6" t="str">
        <x:v>0.0</x:v>
      </x:c>
      <x:c r="AZ219" s="9" t="str">
        <x:v>0.0</x:v>
      </x:c>
      <x:c r="BA219" s="9" t="str">
        <x:v>0.8722186512403469</x:v>
      </x:c>
      <x:c r="BB219" s="9" t="str">
        <x:v>1.295112542750818</x:v>
      </x:c>
      <x:c r="BC219" s="9" t="str">
        <x:v>0.6607717054851113</x:v>
      </x:c>
      <x:c r="BD219" s="6" t="str">
        <x:v>0.3877551020408163</x:v>
      </x:c>
      <x:c r="BE219" s="6" t="str">
        <x:v>0.10204081632653061</x:v>
      </x:c>
      <x:c r="BF219" s="9" t="str">
        <x:v>0.13215434109702226</x:v>
      </x:c>
      <x:c r="BG219" s="9" t="str">
        <x:v>0.5021864961686846</x:v>
      </x:c>
      <x:c r="BH219" s="6" t="str">
        <x:v>With trade</x:v>
      </x:c>
      <x:c r="BI219" s="6" t="str">
        <x:v>Tolerance-only shallow touch</x:v>
      </x:c>
      <x:c r="BJ219" s="6" t="str">
        <x:v>True</x:v>
      </x:c>
      <x:c r="BK219" s="10" t="str">
        <x:v>False</x:v>
      </x:c>
      <x:c r="BL219" s="6" t="str">
        <x:v>True</x:v>
      </x:c>
      <x:c r="BM219" s="7" t="str">
        <x:v>2024-09-25 21:00:00-05:00</x:v>
      </x:c>
      <x:c r="BN219" s="8" t="str">
        <x:v>1</x:v>
      </x:c>
      <x:c r="BO219" s="6" t="str">
        <x:v>Immediate confirmation (1 bar)</x:v>
      </x:c>
      <x:c r="BP219" s="9" t="str">
        <x:v>0.396339224120347</x:v>
      </x:c>
      <x:c r="BQ219" s="9" t="str">
        <x:v>1.0040593677715457</x:v>
      </x:c>
      <x:c r="BR219" s="10" t="str">
        <x:v>0.39473684210526316</x:v>
      </x:c>
      <x:c r="BS219" s="9" t="str">
        <x:v>1.2947081321264668</x:v>
      </x:c>
      <x:c r="BT219" s="9" t="str">
        <x:v>0.42276183906170345</x:v>
      </x:c>
      <x:c r="BU219" s="9" t="str">
        <x:v>0.21138091953085172</x:v>
      </x:c>
      <x:c r="BV219" s="6" t="str">
        <x:v>With trade</x:v>
      </x:c>
      <x:c r="BW219" s="7" t="str">
        <x:v>2024-09-25 21:00:00-05:00</x:v>
      </x:c>
      <x:c r="BX219" s="6" t="str">
        <x:v>19346.75</x:v>
      </x:c>
      <x:c r="BY219" s="9" t="str">
        <x:v>9.46159191869772</x:v>
      </x:c>
      <x:c r="BZ219" s="9" t="str">
        <x:v>0.3</x:v>
      </x:c>
      <x:c r="CA219" s="6" t="str">
        <x:v>19332.557612121953</x:v>
      </x:c>
      <x:c r="CB219" s="6" t="str">
        <x:v>14.192387878047157</x:v>
      </x:c>
      <x:c r="CC219" s="9" t="str">
        <x:v>1.5000000000000608</x:v>
      </x:c>
      <x:c r="CD219" s="6" t="str">
        <x:v>19375.134775756094</x:v>
      </x:c>
      <x:c r="CE219" s="6" t="str">
        <x:v>28.384775756094314</x:v>
      </x:c>
      <x:c r="CF219" s="6" t="str">
        <x:v>Fixed 2.00R target</x:v>
      </x:c>
      <x:c r="CG219" s="9" t="str">
        <x:v>0.05108372221995376</x:v>
      </x:c>
      <x:c r="CH219" s="9" t="str">
        <x:v>0.7222181417304101</x:v>
      </x:c>
      <x:c r="CI219" s="9" t="str">
        <x:v>0.6711344195104564</x:v>
      </x:c>
      <x:c r="CJ219" s="6" t="str">
        <x:v>Win</x:v>
      </x:c>
      <x:c r="CK219" s="9" t="str">
        <x:v>1.144979980792067</x:v>
      </x:c>
      <x:c r="CL219" s="9" t="str">
        <x:v>0.8102935248682321</x:v>
      </x:c>
      <x:c r="CM219" s="7" t="str">
        <x:v>2024-09-25 22:00:00-05:00</x:v>
      </x:c>
      <x:c r="CN219" s="6" t="str">
        <x:v>19357.0</x:v>
      </x:c>
      <x:c r="CO219" s="6" t="str">
        <x:v>TIME</x:v>
      </x:c>
      <x:c r="CP219" s="6" t="str">
        <x:v>F::Long::Same-bar Setup+BOS::Tolerance-only shallow touch</x:v>
      </x:c>
    </x:row>
    <x:row r="220" ht="18" customHeight="1">
      <x:c r="A220" s="6" t="str">
        <x:v>A0219</x:v>
      </x:c>
      <x:c r="B220" s="6" t="str">
        <x:v>2024-09-26</x:v>
      </x:c>
      <x:c r="C220" s="6" t="str">
        <x:v>2024</x:v>
      </x:c>
      <x:c r="D220" s="6" t="str">
        <x:v>2024-Q3</x:v>
      </x:c>
      <x:c r="E220" s="6" t="str">
        <x:v>First 50%</x:v>
      </x:c>
      <x:c r="F220" s="6" t="str">
        <x:v>Long</x:v>
      </x:c>
      <x:c r="G220" s="6" t="str">
        <x:v>Long</x:v>
      </x:c>
      <x:c r="H220" s="6" t="str">
        <x:v>Premarket</x:v>
      </x:c>
      <x:c r="I220" s="6" t="str">
        <x:v>Premarket</x:v>
      </x:c>
      <x:c r="J220" s="6" t="str">
        <x:v>Bull</x:v>
      </x:c>
      <x:c r="K220" s="6" t="str">
        <x:v>Bull</x:v>
      </x:c>
      <x:c r="L220" s="6" t="str">
        <x:v>MID</x:v>
      </x:c>
      <x:c r="M220" s="7" t="str">
        <x:v>2024-09-26 05:40:00-05:00</x:v>
      </x:c>
      <x:c r="N220" s="6" t="str">
        <x:v>90.0</x:v>
      </x:c>
      <x:c r="O220" s="6" t="str">
        <x:v>90-94</x:v>
      </x:c>
      <x:c r="P220" s="6" t="str">
        <x:v>Matching BOS only</x:v>
      </x:c>
      <x:c r="Q220" s="6" t="str">
        <x:v>Bull CHoCH</x:v>
      </x:c>
      <x:c r="R220" s="6" t="str">
        <x:v>True</x:v>
      </x:c>
      <x:c r="S220" s="6" t="str">
        <x:v>False</x:v>
      </x:c>
      <x:c r="T220" s="6" t="str">
        <x:v>Recent SSL</x:v>
      </x:c>
      <x:c r="U220" s="6" t="str">
        <x:v>SSL</x:v>
      </x:c>
      <x:c r="V220" s="6" t="str">
        <x:v>Swing low / sell-side</x:v>
      </x:c>
      <x:c r="W220" s="6" t="str">
        <x:v>[19480.75]</x:v>
      </x:c>
      <x:c r="X220" s="8" t="str">
        <x:v>1</x:v>
      </x:c>
      <x:c r="Y220" s="8" t="str">
        <x:v>18.0</x:v>
      </x:c>
      <x:c r="Z220" s="6" t="str">
        <x:v>None</x:v>
      </x:c>
      <x:c r="AA220" s="6" t="str">
        <x:v>19502.75</x:v>
      </x:c>
      <x:c r="AB220" s="9" t="str">
        <x:v>1.4052781828088725</x:v>
      </x:c>
      <x:c r="AC220" s="9" t="str">
        <x:v>1.5404010850020333</x:v>
      </x:c>
      <x:c r="AD220" s="9" t="str">
        <x:v>1.648499406756562</x:v>
      </x:c>
      <x:c r="AE220" s="6" t="str">
        <x:v>With trade</x:v>
      </x:c>
      <x:c r="AF220" s="7" t="str">
        <x:v>2024-09-26 05:40:00-05:00</x:v>
      </x:c>
      <x:c r="AG220" s="6" t="str">
        <x:v>Long</x:v>
      </x:c>
      <x:c r="AH220" s="6" t="str">
        <x:v>19502.75</x:v>
      </x:c>
      <x:c r="AI220" s="8" t="str">
        <x:v>0</x:v>
      </x:c>
      <x:c r="AJ220" s="6" t="str">
        <x:v>True</x:v>
      </x:c>
      <x:c r="AK220" s="6" t="str">
        <x:v>Same-bar Setup+BOS</x:v>
      </x:c>
      <x:c r="AL220" s="9" t="str">
        <x:v>1.648499406756562</x:v>
      </x:c>
      <x:c r="AM220" s="9" t="str">
        <x:v>1.4052781828088725</x:v>
      </x:c>
      <x:c r="AN220" s="9" t="str">
        <x:v>1.5404010850020333</x:v>
      </x:c>
      <x:c r="AO220" s="9" t="str">
        <x:v>1.648499406756562</x:v>
      </x:c>
      <x:c r="AP220" s="10" t="str">
        <x:v>0.9344262295081968</x:v>
      </x:c>
      <x:c r="AQ220" s="6" t="str">
        <x:v>0.04918032786885246</x:v>
      </x:c>
      <x:c r="AR220" s="6" t="str">
        <x:v>0.01639344262295082</x:v>
      </x:c>
      <x:c r="AS220" s="6" t="str">
        <x:v>With trade</x:v>
      </x:c>
      <x:c r="AT220" s="6" t="str">
        <x:v>1.6964729259811226</x:v>
      </x:c>
      <x:c r="AU220" s="7" t="str">
        <x:v>2024-09-26 06:00:00-05:00</x:v>
      </x:c>
      <x:c r="AV220" s="8" t="str">
        <x:v>4</x:v>
      </x:c>
      <x:c r="AW220" s="6" t="str">
        <x:v>Delayed retest (2+ bars)</x:v>
      </x:c>
      <x:c r="AX220" s="6" t="str">
        <x:v>19502.25</x:v>
      </x:c>
      <x:c r="AY220" s="6" t="str">
        <x:v>0.5</x:v>
      </x:c>
      <x:c r="AZ220" s="9" t="str">
        <x:v>0.04780459041551132</x:v>
      </x:c>
      <x:c r="BA220" s="9" t="str">
        <x:v>0.5258504945706246</x:v>
      </x:c>
      <x:c r="BB220" s="9" t="str">
        <x:v>2.2229134543212767</x:v>
      </x:c>
      <x:c r="BC220" s="9" t="str">
        <x:v>1.410235417257584</x:v>
      </x:c>
      <x:c r="BD220" s="6" t="str">
        <x:v>0.10752688172043011</x:v>
      </x:c>
      <x:c r="BE220" s="6" t="str">
        <x:v>0.25806451612903225</x:v>
      </x:c>
      <x:c r="BF220" s="9" t="str">
        <x:v>0.5736550849861359</x:v>
      </x:c>
      <x:c r="BG220" s="9" t="str">
        <x:v>0.2390229520775566</x:v>
      </x:c>
      <x:c r="BH220" s="6" t="str">
        <x:v>Against trade</x:v>
      </x:c>
      <x:c r="BI220" s="6" t="str">
        <x:v>Penetration + same-bar reclaim</x:v>
      </x:c>
      <x:c r="BJ220" s="6" t="str">
        <x:v>False</x:v>
      </x:c>
      <x:c r="BK220" s="10" t="str">
        <x:v>True</x:v>
      </x:c>
      <x:c r="BL220" s="6" t="str">
        <x:v>True</x:v>
      </x:c>
      <x:c r="BM220" s="7" t="str">
        <x:v>2024-09-26 06:05:00-05:00</x:v>
      </x:c>
      <x:c r="BN220" s="8" t="str">
        <x:v>1</x:v>
      </x:c>
      <x:c r="BO220" s="6" t="str">
        <x:v>Immediate confirmation (1 bar)</x:v>
      </x:c>
      <x:c r="BP220" s="9" t="str">
        <x:v>0.4779128942128257</x:v>
      </x:c>
      <x:c r="BQ220" s="9" t="str">
        <x:v>1.003617077846934</x:v>
      </x:c>
      <x:c r="BR220" s="10" t="str">
        <x:v>0.47619047619047616</x:v>
      </x:c>
      <x:c r="BS220" s="9" t="str">
        <x:v>1.003617077846934</x:v>
      </x:c>
      <x:c r="BT220" s="9" t="str">
        <x:v>0.4779128942128257</x:v>
      </x:c>
      <x:c r="BU220" s="9" t="str">
        <x:v>0.023895644710641286</x:v>
      </x:c>
      <x:c r="BV220" s="6" t="str">
        <x:v>With trade</x:v>
      </x:c>
      <x:c r="BW220" s="7" t="str">
        <x:v>2024-09-26 06:05:00-05:00</x:v>
      </x:c>
      <x:c r="BX220" s="6" t="str">
        <x:v>19513.25</x:v>
      </x:c>
      <x:c r="BY220" s="9" t="str">
        <x:v>10.462157561652614</x:v>
      </x:c>
      <x:c r="BZ220" s="9" t="str">
        <x:v>0.54</x:v>
      </x:c>
      <x:c r="CA220" s="6" t="str">
        <x:v>19497.55676365752</x:v>
      </x:c>
      <x:c r="CB220" s="6" t="str">
        <x:v>15.693236342478485</x:v>
      </x:c>
      <x:c r="CC220" s="9" t="str">
        <x:v>1.4999999999999585</x:v>
      </x:c>
      <x:c r="CD220" s="6" t="str">
        <x:v>19544.636472684957</x:v>
      </x:c>
      <x:c r="CE220" s="6" t="str">
        <x:v>31.38647268495697</x:v>
      </x:c>
      <x:c r="CF220" s="6" t="str">
        <x:v>Fixed 2.00R target</x:v>
      </x:c>
      <x:c r="CG220" s="9" t="str">
        <x:v>0.04619824644057443</x:v>
      </x:c>
      <x:c r="CH220" s="9" t="str">
        <x:v>-1.0</x:v>
      </x:c>
      <x:c r="CI220" s="9" t="str">
        <x:v>-1.0461982464405744</x:v>
      </x:c>
      <x:c r="CJ220" s="6" t="str">
        <x:v>Loss</x:v>
      </x:c>
      <x:c r="CK220" s="9" t="str">
        <x:v>1.0832692268824349</x:v>
      </x:c>
      <x:c r="CL220" s="9" t="str">
        <x:v>1.5452516912881793</x:v>
      </x:c>
      <x:c r="CM220" s="7" t="str">
        <x:v>2024-09-26 07:05:00-05:00</x:v>
      </x:c>
      <x:c r="CN220" s="6" t="str">
        <x:v>19497.55676365752</x:v>
      </x:c>
      <x:c r="CO220" s="6" t="str">
        <x:v>STOP</x:v>
      </x:c>
      <x:c r="CP220" s="6" t="str">
        <x:v>F::Long::Same-bar Setup+BOS::Penetration + same-bar reclaim</x:v>
      </x:c>
    </x:row>
    <x:row r="221" ht="18" customHeight="1">
      <x:c r="A221" s="6" t="str">
        <x:v>A0220</x:v>
      </x:c>
      <x:c r="B221" s="6" t="str">
        <x:v>2024-09-26</x:v>
      </x:c>
      <x:c r="C221" s="6" t="str">
        <x:v>2024</x:v>
      </x:c>
      <x:c r="D221" s="6" t="str">
        <x:v>2024-Q3</x:v>
      </x:c>
      <x:c r="E221" s="6" t="str">
        <x:v>First 50%</x:v>
      </x:c>
      <x:c r="F221" s="6" t="str">
        <x:v>Short</x:v>
      </x:c>
      <x:c r="G221" s="6" t="str">
        <x:v>Short</x:v>
      </x:c>
      <x:c r="H221" s="6" t="str">
        <x:v>Premarket</x:v>
      </x:c>
      <x:c r="I221" s="6" t="str">
        <x:v>Premarket</x:v>
      </x:c>
      <x:c r="J221" s="6" t="str">
        <x:v>Bull</x:v>
      </x:c>
      <x:c r="K221" s="6" t="str">
        <x:v>Bull</x:v>
      </x:c>
      <x:c r="L221" s="6" t="str">
        <x:v>HIGH</x:v>
      </x:c>
      <x:c r="M221" s="7" t="str">
        <x:v>2024-09-26 08:30:00-05:00</x:v>
      </x:c>
      <x:c r="N221" s="6" t="str">
        <x:v>90.0</x:v>
      </x:c>
      <x:c r="O221" s="6" t="str">
        <x:v>90-94</x:v>
      </x:c>
      <x:c r="P221" s="6" t="str">
        <x:v>Matching BOS only</x:v>
      </x:c>
      <x:c r="Q221" s="6" t="str">
        <x:v>Bear CHoCH</x:v>
      </x:c>
      <x:c r="R221" s="6" t="str">
        <x:v>True</x:v>
      </x:c>
      <x:c r="S221" s="6" t="str">
        <x:v>False</x:v>
      </x:c>
      <x:c r="T221" s="6" t="str">
        <x:v>Recent BSL</x:v>
      </x:c>
      <x:c r="U221" s="6" t="str">
        <x:v>BSL</x:v>
      </x:c>
      <x:c r="V221" s="6" t="str">
        <x:v>Swing high / buy-side</x:v>
      </x:c>
      <x:c r="W221" s="6" t="str">
        <x:v>[19530.25]</x:v>
      </x:c>
      <x:c r="X221" s="8" t="str">
        <x:v>1</x:v>
      </x:c>
      <x:c r="Y221" s="8" t="str">
        <x:v>13.0</x:v>
      </x:c>
      <x:c r="Z221" s="6" t="str">
        <x:v>None</x:v>
      </x:c>
      <x:c r="AA221" s="6" t="str">
        <x:v>19488.0</x:v>
      </x:c>
      <x:c r="AB221" s="9" t="str">
        <x:v>0.6719471962369745</x:v>
      </x:c>
      <x:c r="AC221" s="9" t="str">
        <x:v>2.8934869062449313</x:v>
      </x:c>
      <x:c r="AD221" s="9" t="str">
        <x:v>3.9356907208165652</x:v>
      </x:c>
      <x:c r="AE221" s="6" t="str">
        <x:v>With trade</x:v>
      </x:c>
      <x:c r="AF221" s="7" t="str">
        <x:v>2024-09-26 08:30:00-05:00</x:v>
      </x:c>
      <x:c r="AG221" s="6" t="str">
        <x:v>Short</x:v>
      </x:c>
      <x:c r="AH221" s="6" t="str">
        <x:v>19488.0</x:v>
      </x:c>
      <x:c r="AI221" s="8" t="str">
        <x:v>0</x:v>
      </x:c>
      <x:c r="AJ221" s="6" t="str">
        <x:v>True</x:v>
      </x:c>
      <x:c r="AK221" s="6" t="str">
        <x:v>Same-bar Setup+BOS</x:v>
      </x:c>
      <x:c r="AL221" s="9" t="str">
        <x:v>2.920913322417869</x:v>
      </x:c>
      <x:c r="AM221" s="9" t="str">
        <x:v>0.6719471962369745</x:v>
      </x:c>
      <x:c r="AN221" s="9" t="str">
        <x:v>2.8934869062449313</x:v>
      </x:c>
      <x:c r="AO221" s="9" t="str">
        <x:v>3.9356907208165652</x:v>
      </x:c>
      <x:c r="AP221" s="10" t="str">
        <x:v>0.735191637630662</x:v>
      </x:c>
      <x:c r="AQ221" s="6" t="str">
        <x:v>0.20209059233449478</x:v>
      </x:c>
      <x:c r="AR221" s="6" t="str">
        <x:v>0.0627177700348432</x:v>
      </x:c>
      <x:c r="AS221" s="6" t="str">
        <x:v>With trade</x:v>
      </x:c>
      <x:c r="AT221" s="6" t="str">
        <x:v>12.32512</x:v>
      </x:c>
      <x:c r="AU221" s="7" t="str">
        <x:v>2024-09-26 08:35:00-05:00</x:v>
      </x:c>
      <x:c r="AV221" s="8" t="str">
        <x:v>1</x:v>
      </x:c>
      <x:c r="AW221" s="6" t="str">
        <x:v>Immediate retest (1 bar)</x:v>
      </x:c>
      <x:c r="AX221" s="6" t="str">
        <x:v>19490.75</x:v>
      </x:c>
      <x:c r="AY221" s="6" t="str">
        <x:v>2.75</x:v>
      </x:c>
      <x:c r="AZ221" s="9" t="str">
        <x:v>0.1383658792185178</x:v>
      </x:c>
      <x:c r="BA221" s="9" t="str">
        <x:v>0.8553527078962919</x:v>
      </x:c>
      <x:c r="BB221" s="9" t="str">
        <x:v>2.075488188277767</x:v>
      </x:c>
      <x:c r="BC221" s="9" t="str">
        <x:v>0.23899560955925805</x:v>
      </x:c>
      <x:c r="BD221" s="6" t="str">
        <x:v>0.36363636363636365</x:v>
      </x:c>
      <x:c r="BE221" s="6" t="str">
        <x:v>0.5212121212121212</x:v>
      </x:c>
      <x:c r="BF221" s="9" t="str">
        <x:v>0.7547229775555517</x:v>
      </x:c>
      <x:c r="BG221" s="9" t="str">
        <x:v>1.0817696011629574</x:v>
      </x:c>
      <x:c r="BH221" s="6" t="str">
        <x:v>With trade</x:v>
      </x:c>
      <x:c r="BI221" s="6" t="str">
        <x:v>Penetration + same-bar reclaim</x:v>
      </x:c>
      <x:c r="BJ221" s="6" t="str">
        <x:v>False</x:v>
      </x:c>
      <x:c r="BK221" s="10" t="str">
        <x:v>True</x:v>
      </x:c>
      <x:c r="BL221" s="6" t="str">
        <x:v>True</x:v>
      </x:c>
      <x:c r="BM221" s="7" t="str">
        <x:v>2024-09-26 08:40:00-05:00</x:v>
      </x:c>
      <x:c r="BN221" s="8" t="str">
        <x:v>1</x:v>
      </x:c>
      <x:c r="BO221" s="6" t="str">
        <x:v>Immediate confirmation (1 bar)</x:v>
      </x:c>
      <x:c r="BP221" s="9" t="str">
        <x:v>0.4411410261432893</x:v>
      </x:c>
      <x:c r="BQ221" s="9" t="str">
        <x:v>1.335676995822737</x:v>
      </x:c>
      <x:c r="BR221" s="10" t="str">
        <x:v>0.3302752293577982</x:v>
      </x:c>
      <x:c r="BS221" s="9" t="str">
        <x:v>1.2744074088583912</x:v>
      </x:c>
      <x:c r="BT221" s="9" t="str">
        <x:v>0.4411410261432893</x:v>
      </x:c>
      <x:c r="BU221" s="9" t="str">
        <x:v>0.049015669571476586</x:v>
      </x:c>
      <x:c r="BV221" s="6" t="str">
        <x:v>With trade</x:v>
      </x:c>
      <x:c r="BW221" s="7" t="str">
        <x:v>2024-09-26 08:40:00-05:00</x:v>
      </x:c>
      <x:c r="BX221" s="6" t="str">
        <x:v>19462.0</x:v>
      </x:c>
      <x:c r="BY221" s="9" t="str">
        <x:v>20.401639082819433</x:v>
      </x:c>
      <x:c r="BZ221" s="9" t="str">
        <x:v>1.0</x:v>
      </x:c>
      <x:c r="CA221" s="6" t="str">
        <x:v>19492.602458624227</x:v>
      </x:c>
      <x:c r="CB221" s="6" t="str">
        <x:v>30.602458624227438</x:v>
      </x:c>
      <x:c r="CC221" s="9" t="str">
        <x:v>1.499999999999916</x:v>
      </x:c>
      <x:c r="CD221" s="6" t="str">
        <x:v>19400.79508275154</x:v>
      </x:c>
      <x:c r="CE221" s="6" t="str">
        <x:v>61.204917248458514</x:v>
      </x:c>
      <x:c r="CF221" s="6" t="str">
        <x:v>Fixed 2.00R target</x:v>
      </x:c>
      <x:c r="CG221" s="9" t="str">
        <x:v>0.02369090695954834</x:v>
      </x:c>
      <x:c r="CH221" s="9" t="str">
        <x:v>2.0</x:v>
      </x:c>
      <x:c r="CI221" s="9" t="str">
        <x:v>1.9763090930404517</x:v>
      </x:c>
      <x:c r="CJ221" s="6" t="str">
        <x:v>Win</x:v>
      </x:c>
      <x:c r="CK221" s="9" t="str">
        <x:v>2.0423195654783055</x:v>
      </x:c>
      <x:c r="CL221" s="9" t="str">
        <x:v>0.4574795826671404</x:v>
      </x:c>
      <x:c r="CM221" s="7" t="str">
        <x:v>2024-09-26 09:20:00-05:00</x:v>
      </x:c>
      <x:c r="CN221" s="6" t="str">
        <x:v>19400.79508275154</x:v>
      </x:c>
      <x:c r="CO221" s="6" t="str">
        <x:v>TARGET</x:v>
      </x:c>
      <x:c r="CP221" s="6" t="str">
        <x:v>F::Short::Same-bar Setup+BOS::Penetration + same-bar reclaim</x:v>
      </x:c>
    </x:row>
    <x:row r="222" ht="18" customHeight="1">
      <x:c r="A222" s="6" t="str">
        <x:v>A0221</x:v>
      </x:c>
      <x:c r="B222" s="6" t="str">
        <x:v>2024-09-30</x:v>
      </x:c>
      <x:c r="C222" s="6" t="str">
        <x:v>2024</x:v>
      </x:c>
      <x:c r="D222" s="6" t="str">
        <x:v>2024-Q3</x:v>
      </x:c>
      <x:c r="E222" s="6" t="str">
        <x:v>First 50%</x:v>
      </x:c>
      <x:c r="F222" s="6" t="str">
        <x:v>Short</x:v>
      </x:c>
      <x:c r="G222" s="6" t="str">
        <x:v>Short</x:v>
      </x:c>
      <x:c r="H222" s="6" t="str">
        <x:v>Midday</x:v>
      </x:c>
      <x:c r="I222" s="6" t="str">
        <x:v>Midday</x:v>
      </x:c>
      <x:c r="J222" s="6" t="str">
        <x:v>Bear</x:v>
      </x:c>
      <x:c r="K222" s="6" t="str">
        <x:v>Bear</x:v>
      </x:c>
      <x:c r="L222" s="6" t="str">
        <x:v>HIGH</x:v>
      </x:c>
      <x:c r="M222" s="7" t="str">
        <x:v>2024-09-30 13:10:00-05:00</x:v>
      </x:c>
      <x:c r="N222" s="6" t="str">
        <x:v>75.0</x:v>
      </x:c>
      <x:c r="O222" s="6" t="str">
        <x:v>75-79</x:v>
      </x:c>
      <x:c r="P222" s="6" t="str">
        <x:v>Matching BOS only</x:v>
      </x:c>
      <x:c r="Q222" s="6" t="str">
        <x:v>Bear CHoCH</x:v>
      </x:c>
      <x:c r="R222" s="6" t="str">
        <x:v>True</x:v>
      </x:c>
      <x:c r="S222" s="6" t="str">
        <x:v>False</x:v>
      </x:c>
      <x:c r="T222" s="6" t="str">
        <x:v>No recent matching sweep</x:v>
      </x:c>
      <x:c r="U222" s="6" t="str">
        <x:v>None</x:v>
      </x:c>
      <x:c r="V222" s="6" t="str">
        <x:v>None</x:v>
      </x:c>
      <x:c r="W222" s="6" t="str">
        <x:v>[]</x:v>
      </x:c>
      <x:c r="X222" s="8" t="str">
        <x:v>0</x:v>
      </x:c>
      <x:c r="Y222" s="8" t="str"/>
      <x:c r="Z222" s="6" t="str">
        <x:v>None</x:v>
      </x:c>
      <x:c r="AA222" s="6" t="str">
        <x:v>19194.5</x:v>
      </x:c>
      <x:c r="AB222" s="9" t="str">
        <x:v>0.30965057121764716</x:v>
      </x:c>
      <x:c r="AC222" s="9" t="str">
        <x:v>1.4376633663676475</x:v>
      </x:c>
      <x:c r="AD222" s="9" t="str">
        <x:v>1.736254988613236</x:v>
      </x:c>
      <x:c r="AE222" s="6" t="str">
        <x:v>With trade</x:v>
      </x:c>
      <x:c r="AF222" s="7" t="str">
        <x:v>2024-09-30 13:10:00-05:00</x:v>
      </x:c>
      <x:c r="AG222" s="6" t="str">
        <x:v>Short</x:v>
      </x:c>
      <x:c r="AH222" s="6" t="str">
        <x:v>19194.5</x:v>
      </x:c>
      <x:c r="AI222" s="8" t="str">
        <x:v>0</x:v>
      </x:c>
      <x:c r="AJ222" s="6" t="str">
        <x:v>True</x:v>
      </x:c>
      <x:c r="AK222" s="6" t="str">
        <x:v>Same-bar Setup+BOS</x:v>
      </x:c>
      <x:c r="AL222" s="9" t="str">
        <x:v>1.4266044173955887</x:v>
      </x:c>
      <x:c r="AM222" s="9" t="str">
        <x:v>0.30965057121764716</x:v>
      </x:c>
      <x:c r="AN222" s="9" t="str">
        <x:v>1.4376633663676475</x:v>
      </x:c>
      <x:c r="AO222" s="9" t="str">
        <x:v>1.736254988613236</x:v>
      </x:c>
      <x:c r="AP222" s="10" t="str">
        <x:v>0.8280254777070064</x:v>
      </x:c>
      <x:c r="AQ222" s="6" t="str">
        <x:v>0.0</x:v>
      </x:c>
      <x:c r="AR222" s="6" t="str">
        <x:v>0.17197452229299362</x:v>
      </x:c>
      <x:c r="AS222" s="6" t="str">
        <x:v>With trade</x:v>
      </x:c>
      <x:c r="AT222" s="6" t="str">
        <x:v>2.172778037100427</x:v>
      </x:c>
      <x:c r="AU222" s="7" t="str">
        <x:v>2024-09-30 13:40:00-05:00</x:v>
      </x:c>
      <x:c r="AV222" s="8" t="str">
        <x:v>6</x:v>
      </x:c>
      <x:c r="AW222" s="6" t="str">
        <x:v>Delayed retest (2+ bars)</x:v>
      </x:c>
      <x:c r="AX222" s="6" t="str">
        <x:v>19191.5</x:v>
      </x:c>
      <x:c r="AY222" s="6" t="str">
        <x:v>0.0</x:v>
      </x:c>
      <x:c r="AZ222" s="9" t="str">
        <x:v>0.0</x:v>
      </x:c>
      <x:c r="BA222" s="9" t="str">
        <x:v>0.40147096422273115</x:v>
      </x:c>
      <x:c r="BB222" s="9" t="str">
        <x:v>0.7783620734930502</x:v>
      </x:c>
      <x:c r="BC222" s="9" t="str">
        <x:v>0.2457985495241211</x:v>
      </x:c>
      <x:c r="BD222" s="6" t="str">
        <x:v>0.3894736842105263</x:v>
      </x:c>
      <x:c r="BE222" s="6" t="str">
        <x:v>0.29473684210526313</x:v>
      </x:c>
      <x:c r="BF222" s="9" t="str">
        <x:v>0.30315154441308273</x:v>
      </x:c>
      <x:c r="BG222" s="9" t="str">
        <x:v>0.22941197955584638</x:v>
      </x:c>
      <x:c r="BH222" s="6" t="str">
        <x:v>Against trade</x:v>
      </x:c>
      <x:c r="BI222" s="6" t="str">
        <x:v>Tolerance-only shallow touch</x:v>
      </x:c>
      <x:c r="BJ222" s="6" t="str">
        <x:v>True</x:v>
      </x:c>
      <x:c r="BK222" s="10" t="str">
        <x:v>False</x:v>
      </x:c>
      <x:c r="BL222" s="6" t="str">
        <x:v>True</x:v>
      </x:c>
      <x:c r="BM222" s="7" t="str">
        <x:v>2024-09-30 13:55:00-05:00</x:v>
      </x:c>
      <x:c r="BN222" s="8" t="str">
        <x:v>3</x:v>
      </x:c>
      <x:c r="BO222" s="6" t="str">
        <x:v>Delayed confirmation (2+ bars)</x:v>
      </x:c>
      <x:c r="BP222" s="9" t="str">
        <x:v>0.7832314092654515</x:v>
      </x:c>
      <x:c r="BQ222" s="9" t="str">
        <x:v>0.9179808990315507</x:v>
      </x:c>
      <x:c r="BR222" s="10" t="str">
        <x:v>0.8532110091743119</x:v>
      </x:c>
      <x:c r="BS222" s="9" t="str">
        <x:v>0.7327003506031643</x:v>
      </x:c>
      <x:c r="BT222" s="9" t="str">
        <x:v>0.32003003819448556</x:v>
      </x:c>
      <x:c r="BU222" s="9" t="str">
        <x:v>0.10948396043495559</x:v>
      </x:c>
      <x:c r="BV222" s="6" t="str">
        <x:v>With trade</x:v>
      </x:c>
      <x:c r="BW222" s="7" t="str">
        <x:v>2024-09-30 13:55:00-05:00</x:v>
      </x:c>
      <x:c r="BX222" s="6" t="str">
        <x:v>19172.75</x:v>
      </x:c>
      <x:c r="BY222" s="9" t="str">
        <x:v>29.684713515006838</x:v>
      </x:c>
      <x:c r="BZ222" s="9" t="str">
        <x:v>0.93</x:v>
      </x:c>
      <x:c r="CA222" s="6" t="str">
        <x:v>19217.27707027251</x:v>
      </x:c>
      <x:c r="CB222" s="6" t="str">
        <x:v>44.52707027251017</x:v>
      </x:c>
      <x:c r="CC222" s="9" t="str">
        <x:v>1.4999999999999971</x:v>
      </x:c>
      <x:c r="CD222" s="6" t="str">
        <x:v>19083.69585945498</x:v>
      </x:c>
      <x:c r="CE222" s="6" t="str">
        <x:v>89.05414054502035</x:v>
      </x:c>
      <x:c r="CF222" s="6" t="str">
        <x:v>Fixed 2.00R target</x:v>
      </x:c>
      <x:c r="CG222" s="9" t="str">
        <x:v>0.016282230013403683</x:v>
      </x:c>
      <x:c r="CH222" s="9" t="str">
        <x:v>-1.0</x:v>
      </x:c>
      <x:c r="CI222" s="9" t="str">
        <x:v>-1.0162822300134038</x:v>
      </x:c>
      <x:c r="CJ222" s="6" t="str">
        <x:v>Loss</x:v>
      </x:c>
      <x:c r="CK222" s="9" t="str">
        <x:v>0.6400600763889723</x:v>
      </x:c>
      <x:c r="CL222" s="9" t="str">
        <x:v>1.6226084392667808</x:v>
      </x:c>
      <x:c r="CM222" s="7" t="str">
        <x:v>2024-09-30 14:45:00-05:00</x:v>
      </x:c>
      <x:c r="CN222" s="6" t="str">
        <x:v>19217.27707027251</x:v>
      </x:c>
      <x:c r="CO222" s="6" t="str">
        <x:v>STOP</x:v>
      </x:c>
      <x:c r="CP222" s="6" t="str">
        <x:v>F::Short::Same-bar Setup+BOS::Tolerance-only shallow touch</x:v>
      </x:c>
    </x:row>
    <x:row r="223" ht="18" customHeight="1">
      <x:c r="A223" s="6" t="str">
        <x:v>A0222</x:v>
      </x:c>
      <x:c r="B223" s="6" t="str">
        <x:v>2024-10-01</x:v>
      </x:c>
      <x:c r="C223" s="6" t="str">
        <x:v>2024</x:v>
      </x:c>
      <x:c r="D223" s="6" t="str">
        <x:v>2024-Q4</x:v>
      </x:c>
      <x:c r="E223" s="6" t="str">
        <x:v>First 50%</x:v>
      </x:c>
      <x:c r="F223" s="6" t="str">
        <x:v>Long</x:v>
      </x:c>
      <x:c r="G223" s="6" t="str">
        <x:v>Long</x:v>
      </x:c>
      <x:c r="H223" s="6" t="str">
        <x:v>Midday</x:v>
      </x:c>
      <x:c r="I223" s="6" t="str">
        <x:v>Midday</x:v>
      </x:c>
      <x:c r="J223" s="6" t="str">
        <x:v>Bear</x:v>
      </x:c>
      <x:c r="K223" s="6" t="str">
        <x:v>Bear</x:v>
      </x:c>
      <x:c r="L223" s="6" t="str">
        <x:v>HIGH</x:v>
      </x:c>
      <x:c r="M223" s="7" t="str">
        <x:v>2024-10-01 12:55:00-05:00</x:v>
      </x:c>
      <x:c r="N223" s="6" t="str">
        <x:v>75.0</x:v>
      </x:c>
      <x:c r="O223" s="6" t="str">
        <x:v>75-79</x:v>
      </x:c>
      <x:c r="P223" s="6" t="str">
        <x:v>Matching BOS only</x:v>
      </x:c>
      <x:c r="Q223" s="6" t="str">
        <x:v>Bull CHoCH</x:v>
      </x:c>
      <x:c r="R223" s="6" t="str">
        <x:v>True</x:v>
      </x:c>
      <x:c r="S223" s="6" t="str">
        <x:v>False</x:v>
      </x:c>
      <x:c r="T223" s="6" t="str">
        <x:v>No recent matching sweep</x:v>
      </x:c>
      <x:c r="U223" s="6" t="str">
        <x:v>None</x:v>
      </x:c>
      <x:c r="V223" s="6" t="str">
        <x:v>None</x:v>
      </x:c>
      <x:c r="W223" s="6" t="str">
        <x:v>[]</x:v>
      </x:c>
      <x:c r="X223" s="8" t="str">
        <x:v>0</x:v>
      </x:c>
      <x:c r="Y223" s="8" t="str"/>
      <x:c r="Z223" s="6" t="str">
        <x:v>None</x:v>
      </x:c>
      <x:c r="AA223" s="6" t="str">
        <x:v>19021.5</x:v>
      </x:c>
      <x:c r="AB223" s="9" t="str">
        <x:v>0.07676893867762145</x:v>
      </x:c>
      <x:c r="AC223" s="9" t="str">
        <x:v>1.1220075652883135</x:v>
      </x:c>
      <x:c r="AD223" s="9" t="str">
        <x:v>1.2283030188419433</x:v>
      </x:c>
      <x:c r="AE223" s="6" t="str">
        <x:v>With trade</x:v>
      </x:c>
      <x:c r="AF223" s="7" t="str">
        <x:v>2024-10-01 12:55:00-05:00</x:v>
      </x:c>
      <x:c r="AG223" s="6" t="str">
        <x:v>Long</x:v>
      </x:c>
      <x:c r="AH223" s="6" t="str">
        <x:v>19021.5</x:v>
      </x:c>
      <x:c r="AI223" s="8" t="str">
        <x:v>0</x:v>
      </x:c>
      <x:c r="AJ223" s="6" t="str">
        <x:v>True</x:v>
      </x:c>
      <x:c r="AK223" s="6" t="str">
        <x:v>Same-bar Setup+BOS</x:v>
      </x:c>
      <x:c r="AL223" s="9" t="str">
        <x:v>1.1101969593379102</x:v>
      </x:c>
      <x:c r="AM223" s="9" t="str">
        <x:v>0.07676893867762145</x:v>
      </x:c>
      <x:c r="AN223" s="9" t="str">
        <x:v>1.1220075652883135</x:v>
      </x:c>
      <x:c r="AO223" s="9" t="str">
        <x:v>1.2283030188419433</x:v>
      </x:c>
      <x:c r="AP223" s="10" t="str">
        <x:v>0.9134615384615384</x:v>
      </x:c>
      <x:c r="AQ223" s="6" t="str">
        <x:v>0.03365384615384615</x:v>
      </x:c>
      <x:c r="AR223" s="6" t="str">
        <x:v>0.052884615384615384</x:v>
      </x:c>
      <x:c r="AS223" s="6" t="str">
        <x:v>With trade</x:v>
      </x:c>
      <x:c r="AT223" s="6" t="str">
        <x:v>1.29557723269249</x:v>
      </x:c>
      <x:c r="AU223" s="7" t="str">
        <x:v>2024-10-01 13:00:00-05:00</x:v>
      </x:c>
      <x:c r="AV223" s="8" t="str">
        <x:v>1</x:v>
      </x:c>
      <x:c r="AW223" s="6" t="str">
        <x:v>Immediate retest (1 bar)</x:v>
      </x:c>
      <x:c r="AX223" s="6" t="str">
        <x:v>19022.0</x:v>
      </x:c>
      <x:c r="AY223" s="6" t="str">
        <x:v>0.0</x:v>
      </x:c>
      <x:c r="AZ223" s="9" t="str">
        <x:v>0.0</x:v>
      </x:c>
      <x:c r="BA223" s="9" t="str">
        <x:v>0.5524551010981751</x:v>
      </x:c>
      <x:c r="BB223" s="9" t="str">
        <x:v>0.7806430776387256</x:v>
      </x:c>
      <x:c r="BC223" s="9" t="str">
        <x:v>0.4864006868364368</x:v>
      </x:c>
      <x:c r="BD223" s="6" t="str">
        <x:v>0.3076923076923077</x:v>
      </x:c>
      <x:c r="BE223" s="6" t="str">
        <x:v>0.06923076923076923</x:v>
      </x:c>
      <x:c r="BF223" s="9" t="str">
        <x:v>0.05404452075960409</x:v>
      </x:c>
      <x:c r="BG223" s="9" t="str">
        <x:v>0.2401978700426848</x:v>
      </x:c>
      <x:c r="BH223" s="6" t="str">
        <x:v>With trade</x:v>
      </x:c>
      <x:c r="BI223" s="6" t="str">
        <x:v>Tolerance-only shallow touch</x:v>
      </x:c>
      <x:c r="BJ223" s="6" t="str">
        <x:v>True</x:v>
      </x:c>
      <x:c r="BK223" s="10" t="str">
        <x:v>False</x:v>
      </x:c>
      <x:c r="BL223" s="6" t="str">
        <x:v>True</x:v>
      </x:c>
      <x:c r="BM223" s="7" t="str">
        <x:v>2024-10-01 13:05:00-05:00</x:v>
      </x:c>
      <x:c r="BN223" s="8" t="str">
        <x:v>1</x:v>
      </x:c>
      <x:c r="BO223" s="6" t="str">
        <x:v>Immediate confirmation (1 bar)</x:v>
      </x:c>
      <x:c r="BP223" s="9" t="str">
        <x:v>0.17768971592698435</x:v>
      </x:c>
      <x:c r="BQ223" s="9" t="str">
        <x:v>0.7352677900426939</x:v>
      </x:c>
      <x:c r="BR223" s="10" t="str">
        <x:v>0.24166666666666667</x:v>
      </x:c>
      <x:c r="BS223" s="9" t="str">
        <x:v>0.7475222532100722</x:v>
      </x:c>
      <x:c r="BT223" s="9" t="str">
        <x:v>0.18381694751067348</x:v>
      </x:c>
      <x:c r="BU223" s="9" t="str">
        <x:v>0.29410711601707756</x:v>
      </x:c>
      <x:c r="BV223" s="6" t="str">
        <x:v>With trade</x:v>
      </x:c>
      <x:c r="BW223" s="7" t="str">
        <x:v>2024-10-01 13:05:00-05:00</x:v>
      </x:c>
      <x:c r="BX223" s="6" t="str">
        <x:v>19052.0</x:v>
      </x:c>
      <x:c r="BY223" s="9" t="str">
        <x:v>40.80146091841998</x:v>
      </x:c>
      <x:c r="BZ223" s="9" t="str">
        <x:v>0.68</x:v>
      </x:c>
      <x:c r="CA223" s="6" t="str">
        <x:v>18990.79780862237</x:v>
      </x:c>
      <x:c r="CB223" s="6" t="str">
        <x:v>61.20219137762979</x:v>
      </x:c>
      <x:c r="CC223" s="9" t="str">
        <x:v>1.4999999999999956</x:v>
      </x:c>
      <x:c r="CD223" s="6" t="str">
        <x:v>19174.40438275526</x:v>
      </x:c>
      <x:c r="CE223" s="6" t="str">
        <x:v>122.40438275525958</x:v>
      </x:c>
      <x:c r="CF223" s="6" t="str">
        <x:v>Fixed 2.00R target</x:v>
      </x:c>
      <x:c r="CG223" s="9" t="str">
        <x:v>0.011845981061798991</x:v>
      </x:c>
      <x:c r="CH223" s="9" t="str">
        <x:v>0.4820088845835438</x:v>
      </x:c>
      <x:c r="CI223" s="9" t="str">
        <x:v>0.4701629035217448</x:v>
      </x:c>
      <x:c r="CJ223" s="6" t="str">
        <x:v>Win</x:v>
      </x:c>
      <x:c r="CK223" s="9" t="str">
        <x:v>0.8945758112186135</x:v>
      </x:c>
      <x:c r="CL223" s="9" t="str">
        <x:v>0.15522320012012472</x:v>
      </x:c>
      <x:c r="CM223" s="7" t="str">
        <x:v>2024-10-01 14:05:00-05:00</x:v>
      </x:c>
      <x:c r="CN223" s="6" t="str">
        <x:v>19081.5</x:v>
      </x:c>
      <x:c r="CO223" s="6" t="str">
        <x:v>TIME</x:v>
      </x:c>
      <x:c r="CP223" s="6" t="str">
        <x:v>F::Long::Same-bar Setup+BOS::Tolerance-only shallow touch</x:v>
      </x:c>
    </x:row>
    <x:row r="224" ht="18" customHeight="1">
      <x:c r="A224" s="6" t="str">
        <x:v>A0223</x:v>
      </x:c>
      <x:c r="B224" s="6" t="str">
        <x:v>2024-10-02</x:v>
      </x:c>
      <x:c r="C224" s="6" t="str">
        <x:v>2024</x:v>
      </x:c>
      <x:c r="D224" s="6" t="str">
        <x:v>2024-Q4</x:v>
      </x:c>
      <x:c r="E224" s="6" t="str">
        <x:v>First 50%</x:v>
      </x:c>
      <x:c r="F224" s="6" t="str">
        <x:v>Short</x:v>
      </x:c>
      <x:c r="G224" s="6" t="str">
        <x:v>Short</x:v>
      </x:c>
      <x:c r="H224" s="6" t="str">
        <x:v>Premarket</x:v>
      </x:c>
      <x:c r="I224" s="6" t="str">
        <x:v>Premarket</x:v>
      </x:c>
      <x:c r="J224" s="6" t="str">
        <x:v>Bear</x:v>
      </x:c>
      <x:c r="K224" s="6" t="str">
        <x:v>Bear</x:v>
      </x:c>
      <x:c r="L224" s="6" t="str">
        <x:v>HIGH</x:v>
      </x:c>
      <x:c r="M224" s="7" t="str">
        <x:v>2024-10-02 04:00:00-05:00</x:v>
      </x:c>
      <x:c r="N224" s="6" t="str">
        <x:v>90.0</x:v>
      </x:c>
      <x:c r="O224" s="6" t="str">
        <x:v>90-94</x:v>
      </x:c>
      <x:c r="P224" s="6" t="str">
        <x:v>Matching BOS only</x:v>
      </x:c>
      <x:c r="Q224" s="6" t="str">
        <x:v>Bear CHoCH</x:v>
      </x:c>
      <x:c r="R224" s="6" t="str">
        <x:v>True</x:v>
      </x:c>
      <x:c r="S224" s="6" t="str">
        <x:v>False</x:v>
      </x:c>
      <x:c r="T224" s="6" t="str">
        <x:v>Recent BSL</x:v>
      </x:c>
      <x:c r="U224" s="6" t="str">
        <x:v>BSL</x:v>
      </x:c>
      <x:c r="V224" s="6" t="str">
        <x:v>Swing high / buy-side</x:v>
      </x:c>
      <x:c r="W224" s="6" t="str">
        <x:v>[18978.0]</x:v>
      </x:c>
      <x:c r="X224" s="8" t="str">
        <x:v>1</x:v>
      </x:c>
      <x:c r="Y224" s="8" t="str">
        <x:v>18.0</x:v>
      </x:c>
      <x:c r="Z224" s="6" t="str">
        <x:v>None</x:v>
      </x:c>
      <x:c r="AA224" s="6" t="str">
        <x:v>18957.75</x:v>
      </x:c>
      <x:c r="AB224" s="9" t="str">
        <x:v>0.07941809989641098</x:v>
      </x:c>
      <x:c r="AC224" s="9" t="str">
        <x:v>0.7941809989641098</x:v>
      </x:c>
      <x:c r="AD224" s="9" t="str">
        <x:v>1.1912714984461648</x:v>
      </x:c>
      <x:c r="AE224" s="6" t="str">
        <x:v>With trade</x:v>
      </x:c>
      <x:c r="AF224" s="7" t="str">
        <x:v>2024-10-02 04:00:00-05:00</x:v>
      </x:c>
      <x:c r="AG224" s="6" t="str">
        <x:v>Short</x:v>
      </x:c>
      <x:c r="AH224" s="6" t="str">
        <x:v>18957.75</x:v>
      </x:c>
      <x:c r="AI224" s="8" t="str">
        <x:v>0</x:v>
      </x:c>
      <x:c r="AJ224" s="6" t="str">
        <x:v>True</x:v>
      </x:c>
      <x:c r="AK224" s="6" t="str">
        <x:v>Same-bar Setup+BOS</x:v>
      </x:c>
      <x:c r="AL224" s="9" t="str">
        <x:v>0.7677082989986395</x:v>
      </x:c>
      <x:c r="AM224" s="9" t="str">
        <x:v>0.07941809989641098</x:v>
      </x:c>
      <x:c r="AN224" s="9" t="str">
        <x:v>0.7941809989641098</x:v>
      </x:c>
      <x:c r="AO224" s="9" t="str">
        <x:v>1.1912714984461648</x:v>
      </x:c>
      <x:c r="AP224" s="10" t="str">
        <x:v>0.6666666666666666</x:v>
      </x:c>
      <x:c r="AQ224" s="6" t="str">
        <x:v>0.06666666666666667</x:v>
      </x:c>
      <x:c r="AR224" s="6" t="str">
        <x:v>0.26666666666666666</x:v>
      </x:c>
      <x:c r="AS224" s="6" t="str">
        <x:v>With trade</x:v>
      </x:c>
      <x:c r="AT224" s="6" t="str">
        <x:v>1.951168175121027</x:v>
      </x:c>
      <x:c r="AU224" s="7" t="str">
        <x:v>2024-10-02 04:05:00-05:00</x:v>
      </x:c>
      <x:c r="AV224" s="8" t="str">
        <x:v>1</x:v>
      </x:c>
      <x:c r="AW224" s="6" t="str">
        <x:v>Immediate retest (1 bar)</x:v>
      </x:c>
      <x:c r="AX224" s="6" t="str">
        <x:v>18957.5</x:v>
      </x:c>
      <x:c r="AY224" s="6" t="str">
        <x:v>0.0</x:v>
      </x:c>
      <x:c r="AZ224" s="9" t="str">
        <x:v>0.0</x:v>
      </x:c>
      <x:c r="BA224" s="9" t="str">
        <x:v>0.9393807665937463</x:v>
      </x:c>
      <x:c r="BB224" s="9" t="str">
        <x:v>1.0055343417059819</x:v>
      </x:c>
      <x:c r="BC224" s="9" t="str">
        <x:v>0.807073616369275</x:v>
      </x:c>
      <x:c r="BD224" s="6" t="str">
        <x:v>0.11842105263157894</x:v>
      </x:c>
      <x:c r="BE224" s="6" t="str">
        <x:v>0.07894736842105263</x:v>
      </x:c>
      <x:c r="BF224" s="9" t="str">
        <x:v>0.11907643520202417</x:v>
      </x:c>
      <x:c r="BG224" s="9" t="str">
        <x:v>0.07938429013468279</x:v>
      </x:c>
      <x:c r="BH224" s="6" t="str">
        <x:v>With trade</x:v>
      </x:c>
      <x:c r="BI224" s="6" t="str">
        <x:v>Tolerance-only shallow touch</x:v>
      </x:c>
      <x:c r="BJ224" s="6" t="str">
        <x:v>True</x:v>
      </x:c>
      <x:c r="BK224" s="10" t="str">
        <x:v>False</x:v>
      </x:c>
      <x:c r="BL224" s="6" t="str">
        <x:v>True</x:v>
      </x:c>
      <x:c r="BM224" s="7" t="str">
        <x:v>2024-10-02 04:15:00-05:00</x:v>
      </x:c>
      <x:c r="BN224" s="8" t="str">
        <x:v>2</x:v>
      </x:c>
      <x:c r="BO224" s="6" t="str">
        <x:v>Delayed confirmation (2+ bars)</x:v>
      </x:c>
      <x:c r="BP224" s="9" t="str">
        <x:v>0.14728478033136438</x:v>
      </x:c>
      <x:c r="BQ224" s="9" t="str">
        <x:v>0.7765924781108303</x:v>
      </x:c>
      <x:c r="BR224" s="10" t="str">
        <x:v>0.1896551724137931</x:v>
      </x:c>
      <x:c r="BS224" s="9" t="str">
        <x:v>0.6426972232641355</x:v>
      </x:c>
      <x:c r="BT224" s="9" t="str">
        <x:v>-0.30795908614739825</x:v>
      </x:c>
      <x:c r="BU224" s="9" t="str">
        <x:v>0.14728478033136438</x:v>
      </x:c>
      <x:c r="BV224" s="6" t="str">
        <x:v>With trade</x:v>
      </x:c>
      <x:c r="BW224" s="7" t="str">
        <x:v>2024-10-02 04:15:00-05:00</x:v>
      </x:c>
      <x:c r="BX224" s="6" t="str">
        <x:v>18945.75</x:v>
      </x:c>
      <x:c r="BY224" s="9" t="str">
        <x:v>18.671311413256635</x:v>
      </x:c>
      <x:c r="BZ224" s="9" t="str">
        <x:v>0.67</x:v>
      </x:c>
      <x:c r="CA224" s="6" t="str">
        <x:v>18973.756967119883</x:v>
      </x:c>
      <x:c r="CB224" s="6" t="str">
        <x:v>28.006967119883484</x:v>
      </x:c>
      <x:c r="CC224" s="9" t="str">
        <x:v>1.4999999999999214</x:v>
      </x:c>
      <x:c r="CD224" s="6" t="str">
        <x:v>18889.73606576023</x:v>
      </x:c>
      <x:c r="CE224" s="6" t="str">
        <x:v>56.013934239770606</x:v>
      </x:c>
      <x:c r="CF224" s="6" t="str">
        <x:v>Fixed 2.00R target</x:v>
      </x:c>
      <x:c r="CG224" s="9" t="str">
        <x:v>0.025886415937029034</x:v>
      </x:c>
      <x:c r="CH224" s="9" t="str">
        <x:v>0.05355810193867795</x:v>
      </x:c>
      <x:c r="CI224" s="9" t="str">
        <x:v>0.027671686001648918</x:v>
      </x:c>
      <x:c r="CJ224" s="6" t="str">
        <x:v>Win</x:v>
      </x:c>
      <x:c r="CK224" s="9" t="str">
        <x:v>1.4817741536368345</x:v>
      </x:c>
      <x:c r="CL224" s="9" t="str">
        <x:v>0.4909492677712403</x:v>
      </x:c>
      <x:c r="CM224" s="7" t="str">
        <x:v>2024-10-02 05:15:00-05:00</x:v>
      </x:c>
      <x:c r="CN224" s="6" t="str">
        <x:v>18944.25</x:v>
      </x:c>
      <x:c r="CO224" s="6" t="str">
        <x:v>TIME</x:v>
      </x:c>
      <x:c r="CP224" s="6" t="str">
        <x:v>F::Short::Same-bar Setup+BOS::Tolerance-only shallow touch</x:v>
      </x:c>
    </x:row>
    <x:row r="225" ht="18" customHeight="1">
      <x:c r="A225" s="6" t="str">
        <x:v>A0224</x:v>
      </x:c>
      <x:c r="B225" s="6" t="str">
        <x:v>2024-10-03</x:v>
      </x:c>
      <x:c r="C225" s="6" t="str">
        <x:v>2024</x:v>
      </x:c>
      <x:c r="D225" s="6" t="str">
        <x:v>2024-Q4</x:v>
      </x:c>
      <x:c r="E225" s="6" t="str">
        <x:v>First 50%</x:v>
      </x:c>
      <x:c r="F225" s="6" t="str">
        <x:v>Long</x:v>
      </x:c>
      <x:c r="G225" s="6" t="str">
        <x:v>Long</x:v>
      </x:c>
      <x:c r="H225" s="6" t="str">
        <x:v>Afternoon</x:v>
      </x:c>
      <x:c r="I225" s="6" t="str">
        <x:v>Afternoon</x:v>
      </x:c>
      <x:c r="J225" s="6" t="str">
        <x:v>Neutral</x:v>
      </x:c>
      <x:c r="K225" s="6" t="str">
        <x:v>Bear</x:v>
      </x:c>
      <x:c r="L225" s="6" t="str">
        <x:v>LOW</x:v>
      </x:c>
      <x:c r="M225" s="7" t="str">
        <x:v>2024-10-03 14:50:00-05:00</x:v>
      </x:c>
      <x:c r="N225" s="6" t="str">
        <x:v>85.0</x:v>
      </x:c>
      <x:c r="O225" s="6" t="str">
        <x:v>85-89</x:v>
      </x:c>
      <x:c r="P225" s="6" t="str">
        <x:v>Matching BOS only</x:v>
      </x:c>
      <x:c r="Q225" s="6" t="str">
        <x:v>Bull CHoCH</x:v>
      </x:c>
      <x:c r="R225" s="6" t="str">
        <x:v>True</x:v>
      </x:c>
      <x:c r="S225" s="6" t="str">
        <x:v>False</x:v>
      </x:c>
      <x:c r="T225" s="6" t="str">
        <x:v>Recent SSL</x:v>
      </x:c>
      <x:c r="U225" s="6" t="str">
        <x:v>SSL</x:v>
      </x:c>
      <x:c r="V225" s="6" t="str">
        <x:v>Swing low / sell-side</x:v>
      </x:c>
      <x:c r="W225" s="6" t="str">
        <x:v>[18950.25]</x:v>
      </x:c>
      <x:c r="X225" s="8" t="str">
        <x:v>1</x:v>
      </x:c>
      <x:c r="Y225" s="8" t="str">
        <x:v>9.0</x:v>
      </x:c>
      <x:c r="Z225" s="6" t="str">
        <x:v>None</x:v>
      </x:c>
      <x:c r="AA225" s="6" t="str">
        <x:v>18991.75</x:v>
      </x:c>
      <x:c r="AB225" s="9" t="str">
        <x:v>0.19786994585421586</x:v>
      </x:c>
      <x:c r="AC225" s="9" t="str">
        <x:v>0.43739672241458244</x:v>
      </x:c>
      <x:c r="AD225" s="9" t="str">
        <x:v>1.4371606593621993</x:v>
      </x:c>
      <x:c r="AE225" s="6" t="str">
        <x:v>With trade</x:v>
      </x:c>
      <x:c r="AF225" s="7" t="str">
        <x:v>2024-10-03 14:50:00-05:00</x:v>
      </x:c>
      <x:c r="AG225" s="6" t="str">
        <x:v>Long</x:v>
      </x:c>
      <x:c r="AH225" s="6" t="str">
        <x:v>18991.75</x:v>
      </x:c>
      <x:c r="AI225" s="8" t="str">
        <x:v>0</x:v>
      </x:c>
      <x:c r="AJ225" s="6" t="str">
        <x:v>True</x:v>
      </x:c>
      <x:c r="AK225" s="6" t="str">
        <x:v>Same-bar Setup+BOS</x:v>
      </x:c>
      <x:c r="AL225" s="9" t="str">
        <x:v>0.4790535531207331</x:v>
      </x:c>
      <x:c r="AM225" s="9" t="str">
        <x:v>0.19786994585421586</x:v>
      </x:c>
      <x:c r="AN225" s="9" t="str">
        <x:v>0.43739672241458244</x:v>
      </x:c>
      <x:c r="AO225" s="9" t="str">
        <x:v>1.4371606593621993</x:v>
      </x:c>
      <x:c r="AP225" s="10" t="str">
        <x:v>0.30434782608695654</x:v>
      </x:c>
      <x:c r="AQ225" s="6" t="str">
        <x:v>0.2753623188405797</x:v>
      </x:c>
      <x:c r="AR225" s="6" t="str">
        <x:v>0.42028985507246375</x:v>
      </x:c>
      <x:c r="AS225" s="6" t="str">
        <x:v>With trade</x:v>
      </x:c>
      <x:c r="AT225" s="6" t="str">
        <x:v>2.6918080701469513</x:v>
      </x:c>
      <x:c r="AU225" s="7" t="str">
        <x:v>2024-10-03 14:55:00-05:00</x:v>
      </x:c>
      <x:c r="AV225" s="8" t="str">
        <x:v>1</x:v>
      </x:c>
      <x:c r="AW225" s="6" t="str">
        <x:v>Immediate retest (1 bar)</x:v>
      </x:c>
      <x:c r="AX225" s="6" t="str">
        <x:v>18987.75</x:v>
      </x:c>
      <x:c r="AY225" s="6" t="str">
        <x:v>4.0</x:v>
      </x:c>
      <x:c r="AZ225" s="9" t="str">
        <x:v>0.1570502952368127</x:v>
      </x:c>
      <x:c r="BA225" s="9" t="str">
        <x:v>0.853960980350169</x:v>
      </x:c>
      <x:c r="BB225" s="9" t="str">
        <x:v>1.7471845345095411</x:v>
      </x:c>
      <x:c r="BC225" s="9" t="str">
        <x:v>0.6674637547564539</x:v>
      </x:c>
      <x:c r="BD225" s="6" t="str">
        <x:v>0.42134831460674155</x:v>
      </x:c>
      <x:c r="BE225" s="6" t="str">
        <x:v>0.19662921348314608</x:v>
      </x:c>
      <x:c r="BF225" s="9" t="str">
        <x:v>0.34354752083052775</x:v>
      </x:c>
      <x:c r="BG225" s="9" t="str">
        <x:v>0.7361732589225595</x:v>
      </x:c>
      <x:c r="BH225" s="6" t="str">
        <x:v>With trade</x:v>
      </x:c>
      <x:c r="BI225" s="6" t="str">
        <x:v>Penetration + same-bar reclaim</x:v>
      </x:c>
      <x:c r="BJ225" s="6" t="str">
        <x:v>False</x:v>
      </x:c>
      <x:c r="BK225" s="10" t="str">
        <x:v>True</x:v>
      </x:c>
      <x:c r="BL225" s="6" t="str">
        <x:v>True</x:v>
      </x:c>
      <x:c r="BM225" s="7" t="str">
        <x:v>2024-10-03 15:00:00-05:00</x:v>
      </x:c>
      <x:c r="BN225" s="8" t="str">
        <x:v>1</x:v>
      </x:c>
      <x:c r="BO225" s="6" t="str">
        <x:v>Immediate confirmation (1 bar)</x:v>
      </x:c>
      <x:c r="BP225" s="9" t="str">
        <x:v>0.44624213536504886</x:v>
      </x:c>
      <x:c r="BQ225" s="9" t="str">
        <x:v>0.5679445359191532</x:v>
      </x:c>
      <x:c r="BR225" s="10" t="str">
        <x:v>0.7857142857142857</x:v>
      </x:c>
      <x:c r="BS225" s="9" t="str">
        <x:v>1.3590101395208307</x:v>
      </x:c>
      <x:c r="BT225" s="9" t="str">
        <x:v>0.47666773550357494</x:v>
      </x:c>
      <x:c r="BU225" s="9" t="str">
        <x:v>0.1014186671284202</x:v>
      </x:c>
      <x:c r="BV225" s="6" t="str">
        <x:v>With trade</x:v>
      </x:c>
      <x:c r="BW225" s="7" t="str">
        <x:v>2024-10-03 15:00:00-05:00</x:v>
      </x:c>
      <x:c r="BX225" s="6" t="str">
        <x:v>19025.25</x:v>
      </x:c>
      <x:c r="BY225" s="9" t="str">
        <x:v>24.650294376620078</x:v>
      </x:c>
      <x:c r="BZ225" s="9" t="str">
        <x:v>0.32</x:v>
      </x:c>
      <x:c r="CA225" s="6" t="str">
        <x:v>18988.27455843507</x:v>
      </x:c>
      <x:c r="CB225" s="6" t="str">
        <x:v>36.9754415649295</x:v>
      </x:c>
      <x:c r="CC225" s="9" t="str">
        <x:v>1.499999999999975</x:v>
      </x:c>
      <x:c r="CD225" s="6" t="str">
        <x:v>19099.20088312986</x:v>
      </x:c>
      <x:c r="CE225" s="6" t="str">
        <x:v>73.950883129859</x:v>
      </x:c>
      <x:c r="CF225" s="6" t="str">
        <x:v>Fixed 2.00R target</x:v>
      </x:c>
      <x:c r="CG225" s="9" t="str">
        <x:v>0.019607608978161568</x:v>
      </x:c>
      <x:c r="CH225" s="9" t="str">
        <x:v>-1.0</x:v>
      </x:c>
      <x:c r="CI225" s="9" t="str">
        <x:v>-1.0196076089781616</x:v>
      </x:c>
      <x:c r="CJ225" s="6" t="str">
        <x:v>Loss</x:v>
      </x:c>
      <x:c r="CK225" s="9" t="str">
        <x:v>0.480048357741197</x:v>
      </x:c>
      <x:c r="CL225" s="9" t="str">
        <x:v>1.2035015165906064</x:v>
      </x:c>
      <x:c r="CM225" s="7" t="str">
        <x:v>2024-10-03 15:55:00-05:00</x:v>
      </x:c>
      <x:c r="CN225" s="6" t="str">
        <x:v>18988.27455843507</x:v>
      </x:c>
      <x:c r="CO225" s="6" t="str">
        <x:v>STOP</x:v>
      </x:c>
      <x:c r="CP225" s="6" t="str">
        <x:v>F::Long::Same-bar Setup+BOS::Penetration + same-bar reclaim</x:v>
      </x:c>
    </x:row>
    <x:row r="226" ht="18" customHeight="1">
      <x:c r="A226" s="6" t="str">
        <x:v>A0225</x:v>
      </x:c>
      <x:c r="B226" s="6" t="str">
        <x:v>2024-10-04</x:v>
      </x:c>
      <x:c r="C226" s="6" t="str">
        <x:v>2024</x:v>
      </x:c>
      <x:c r="D226" s="6" t="str">
        <x:v>2024-Q4</x:v>
      </x:c>
      <x:c r="E226" s="6" t="str">
        <x:v>First 50%</x:v>
      </x:c>
      <x:c r="F226" s="6" t="str">
        <x:v>Long</x:v>
      </x:c>
      <x:c r="G226" s="6" t="str">
        <x:v>Long</x:v>
      </x:c>
      <x:c r="H226" s="6" t="str">
        <x:v>Morning</x:v>
      </x:c>
      <x:c r="I226" s="6" t="str">
        <x:v>Morning</x:v>
      </x:c>
      <x:c r="J226" s="6" t="str">
        <x:v>Bull</x:v>
      </x:c>
      <x:c r="K226" s="6" t="str">
        <x:v>Bull</x:v>
      </x:c>
      <x:c r="L226" s="6" t="str">
        <x:v>MID</x:v>
      </x:c>
      <x:c r="M226" s="7" t="str">
        <x:v>2024-10-04 11:35:00-05:00</x:v>
      </x:c>
      <x:c r="N226" s="6" t="str">
        <x:v>75.0</x:v>
      </x:c>
      <x:c r="O226" s="6" t="str">
        <x:v>75-79</x:v>
      </x:c>
      <x:c r="P226" s="6" t="str">
        <x:v>Matching BOS only</x:v>
      </x:c>
      <x:c r="Q226" s="6" t="str">
        <x:v>Bull CHoCH</x:v>
      </x:c>
      <x:c r="R226" s="6" t="str">
        <x:v>True</x:v>
      </x:c>
      <x:c r="S226" s="6" t="str">
        <x:v>False</x:v>
      </x:c>
      <x:c r="T226" s="6" t="str">
        <x:v>No recent matching sweep</x:v>
      </x:c>
      <x:c r="U226" s="6" t="str">
        <x:v>None</x:v>
      </x:c>
      <x:c r="V226" s="6" t="str">
        <x:v>None</x:v>
      </x:c>
      <x:c r="W226" s="6" t="str">
        <x:v>[]</x:v>
      </x:c>
      <x:c r="X226" s="8" t="str">
        <x:v>0</x:v>
      </x:c>
      <x:c r="Y226" s="8" t="str"/>
      <x:c r="Z226" s="6" t="str">
        <x:v>None</x:v>
      </x:c>
      <x:c r="AA226" s="6" t="str">
        <x:v>19174.25</x:v>
      </x:c>
      <x:c r="AB226" s="9" t="str">
        <x:v>0.33024776979426146</x:v>
      </x:c>
      <x:c r="AC226" s="9" t="str">
        <x:v>1.376032374142756</x:v>
      </x:c>
      <x:c r="AD226" s="9" t="str">
        <x:v>1.561796744652028</x:v>
      </x:c>
      <x:c r="AE226" s="6" t="str">
        <x:v>With trade</x:v>
      </x:c>
      <x:c r="AF226" s="7" t="str">
        <x:v>2024-10-04 11:35:00-05:00</x:v>
      </x:c>
      <x:c r="AG226" s="6" t="str">
        <x:v>Long</x:v>
      </x:c>
      <x:c r="AH226" s="6" t="str">
        <x:v>19174.25</x:v>
      </x:c>
      <x:c r="AI226" s="8" t="str">
        <x:v>0</x:v>
      </x:c>
      <x:c r="AJ226" s="6" t="str">
        <x:v>True</x:v>
      </x:c>
      <x:c r="AK226" s="6" t="str">
        <x:v>Same-bar Setup+BOS</x:v>
      </x:c>
      <x:c r="AL226" s="9" t="str">
        <x:v>1.376032374142756</x:v>
      </x:c>
      <x:c r="AM226" s="9" t="str">
        <x:v>0.33024776979426146</x:v>
      </x:c>
      <x:c r="AN226" s="9" t="str">
        <x:v>1.376032374142756</x:v>
      </x:c>
      <x:c r="AO226" s="9" t="str">
        <x:v>1.561796744652028</x:v>
      </x:c>
      <x:c r="AP226" s="10" t="str">
        <x:v>0.8810572687224669</x:v>
      </x:c>
      <x:c r="AQ226" s="6" t="str">
        <x:v>0.09691629955947137</x:v>
      </x:c>
      <x:c r="AR226" s="6" t="str">
        <x:v>0.022026431718061675</x:v>
      </x:c>
      <x:c r="AS226" s="6" t="str">
        <x:v>With trade</x:v>
      </x:c>
      <x:c r="AT226" s="6" t="str">
        <x:v>1.2334162320130833</x:v>
      </x:c>
      <x:c r="AU226" s="7" t="str">
        <x:v>2024-10-04 11:40:00-05:00</x:v>
      </x:c>
      <x:c r="AV226" s="8" t="str">
        <x:v>1</x:v>
      </x:c>
      <x:c r="AW226" s="6" t="str">
        <x:v>Immediate retest (1 bar)</x:v>
      </x:c>
      <x:c r="AX226" s="6" t="str">
        <x:v>19169.25</x:v>
      </x:c>
      <x:c r="AY226" s="6" t="str">
        <x:v>5.0</x:v>
      </x:c>
      <x:c r="AZ226" s="9" t="str">
        <x:v>0.13735654389649357</x:v>
      </x:c>
      <x:c r="BA226" s="9" t="str">
        <x:v>0.7211218554565912</x:v>
      </x:c>
      <x:c r="BB226" s="9" t="str">
        <x:v>1.0233062520288772</x:v>
      </x:c>
      <x:c r="BC226" s="9" t="str">
        <x:v>0.384598322910182</x:v>
      </x:c>
      <x:c r="BD226" s="6" t="str">
        <x:v>0.1610738255033557</x:v>
      </x:c>
      <x:c r="BE226" s="6" t="str">
        <x:v>0.46308724832214765</x:v>
      </x:c>
      <x:c r="BF226" s="9" t="str">
        <x:v>0.4738800764429028</x:v>
      </x:c>
      <x:c r="BG226" s="9" t="str">
        <x:v>0.16482785267579228</x:v>
      </x:c>
      <x:c r="BH226" s="6" t="str">
        <x:v>With trade</x:v>
      </x:c>
      <x:c r="BI226" s="6" t="str">
        <x:v>Penetration + same-bar reclaim</x:v>
      </x:c>
      <x:c r="BJ226" s="6" t="str">
        <x:v>False</x:v>
      </x:c>
      <x:c r="BK226" s="10" t="str">
        <x:v>True</x:v>
      </x:c>
      <x:c r="BL226" s="6" t="str">
        <x:v>True</x:v>
      </x:c>
      <x:c r="BM226" s="7" t="str">
        <x:v>2024-10-04 11:55:00-05:00</x:v>
      </x:c>
      <x:c r="BN226" s="8" t="str">
        <x:v>3</x:v>
      </x:c>
      <x:c r="BO226" s="6" t="str">
        <x:v>Delayed confirmation (2+ bars)</x:v>
      </x:c>
      <x:c r="BP226" s="9" t="str">
        <x:v>0.09564528897946499</x:v>
      </x:c>
      <x:c r="BQ226" s="9" t="str">
        <x:v>0.6548023630132603</x:v>
      </x:c>
      <x:c r="BR226" s="10" t="str">
        <x:v>0.14606741573033707</x:v>
      </x:c>
      <x:c r="BS226" s="9" t="str">
        <x:v>0.15450392835144344</x:v>
      </x:c>
      <x:c r="BT226" s="9" t="str">
        <x:v>-0.6180157134057738</x:v>
      </x:c>
      <x:c r="BU226" s="9" t="str">
        <x:v>0.10300261890096231</x:v>
      </x:c>
      <x:c r="BV226" s="6" t="str">
        <x:v>With trade</x:v>
      </x:c>
      <x:c r="BW226" s="7" t="str">
        <x:v>2024-10-04 11:55:00-05:00</x:v>
      </x:c>
      <x:c r="BX226" s="6" t="str">
        <x:v>19179.5</x:v>
      </x:c>
      <x:c r="BY226" s="9" t="str">
        <x:v>33.979718548372766</x:v>
      </x:c>
      <x:c r="BZ226" s="9" t="str">
        <x:v>0.64</x:v>
      </x:c>
      <x:c r="CA226" s="6" t="str">
        <x:v>19128.530422177442</x:v>
      </x:c>
      <x:c r="CB226" s="6" t="str">
        <x:v>50.96957782255777</x:v>
      </x:c>
      <x:c r="CC226" s="9" t="str">
        <x:v>1.4999999999999594</x:v>
      </x:c>
      <x:c r="CD226" s="6" t="str">
        <x:v>19281.43915564512</x:v>
      </x:c>
      <x:c r="CE226" s="6" t="str">
        <x:v>101.93915564511917</x:v>
      </x:c>
      <x:c r="CF226" s="6" t="str">
        <x:v>Fixed 2.00R target</x:v>
      </x:c>
      <x:c r="CG226" s="9" t="str">
        <x:v>0.014224171181561846</x:v>
      </x:c>
      <x:c r="CH226" s="9" t="str">
        <x:v>-1.0</x:v>
      </x:c>
      <x:c r="CI226" s="9" t="str">
        <x:v>-1.0142241711815618</x:v>
      </x:c>
      <x:c r="CJ226" s="6" t="str">
        <x:v>Loss</x:v>
      </x:c>
      <x:c r="CK226" s="9" t="str">
        <x:v>0.3237225165458903</x:v>
      </x:c>
      <x:c r="CL226" s="9" t="str">
        <x:v>1.3782731386271996</x:v>
      </x:c>
      <x:c r="CM226" s="7" t="str">
        <x:v>2024-10-04 12:35:00-05:00</x:v>
      </x:c>
      <x:c r="CN226" s="6" t="str">
        <x:v>19128.530422177442</x:v>
      </x:c>
      <x:c r="CO226" s="6" t="str">
        <x:v>STOP</x:v>
      </x:c>
      <x:c r="CP226" s="6" t="str">
        <x:v>F::Long::Same-bar Setup+BOS::Penetration + same-bar reclaim</x:v>
      </x:c>
    </x:row>
    <x:row r="227" ht="18" customHeight="1">
      <x:c r="A227" s="6" t="str">
        <x:v>A0226</x:v>
      </x:c>
      <x:c r="B227" s="6" t="str">
        <x:v>2024-10-07</x:v>
      </x:c>
      <x:c r="C227" s="6" t="str">
        <x:v>2024</x:v>
      </x:c>
      <x:c r="D227" s="6" t="str">
        <x:v>2024-Q4</x:v>
      </x:c>
      <x:c r="E227" s="6" t="str">
        <x:v>First 50%</x:v>
      </x:c>
      <x:c r="F227" s="6" t="str">
        <x:v>Long</x:v>
      </x:c>
      <x:c r="G227" s="6" t="str">
        <x:v>Long</x:v>
      </x:c>
      <x:c r="H227" s="6" t="str">
        <x:v>Overnight</x:v>
      </x:c>
      <x:c r="I227" s="6" t="str">
        <x:v>Overnight</x:v>
      </x:c>
      <x:c r="J227" s="6" t="str">
        <x:v>Bear</x:v>
      </x:c>
      <x:c r="K227" s="6" t="str">
        <x:v>Bear</x:v>
      </x:c>
      <x:c r="L227" s="6" t="str">
        <x:v>LOW</x:v>
      </x:c>
      <x:c r="M227" s="7" t="str">
        <x:v>2024-10-07 19:00:00-05:00</x:v>
      </x:c>
      <x:c r="N227" s="6" t="str">
        <x:v>90.0</x:v>
      </x:c>
      <x:c r="O227" s="6" t="str">
        <x:v>90-94</x:v>
      </x:c>
      <x:c r="P227" s="6" t="str">
        <x:v>Matching BOS only</x:v>
      </x:c>
      <x:c r="Q227" s="6" t="str">
        <x:v>Bull CHoCH</x:v>
      </x:c>
      <x:c r="R227" s="6" t="str">
        <x:v>True</x:v>
      </x:c>
      <x:c r="S227" s="6" t="str">
        <x:v>False</x:v>
      </x:c>
      <x:c r="T227" s="6" t="str">
        <x:v>Recent SSL</x:v>
      </x:c>
      <x:c r="U227" s="6" t="str">
        <x:v>SSL</x:v>
      </x:c>
      <x:c r="V227" s="6" t="str">
        <x:v>Swing low / sell-side</x:v>
      </x:c>
      <x:c r="W227" s="6" t="str">
        <x:v>[18939.25]</x:v>
      </x:c>
      <x:c r="X227" s="8" t="str">
        <x:v>1</x:v>
      </x:c>
      <x:c r="Y227" s="8" t="str">
        <x:v>18.0</x:v>
      </x:c>
      <x:c r="Z227" s="6" t="str">
        <x:v>None</x:v>
      </x:c>
      <x:c r="AA227" s="6" t="str">
        <x:v>19030.0</x:v>
      </x:c>
      <x:c r="AB227" s="9" t="str">
        <x:v>0.0892421427801273</x:v>
      </x:c>
      <x:c r="AC227" s="9" t="str">
        <x:v>1.1346501010616186</x:v>
      </x:c>
      <x:c r="AD227" s="9" t="str">
        <x:v>1.2238922438417459</x:v>
      </x:c>
      <x:c r="AE227" s="6" t="str">
        <x:v>With trade</x:v>
      </x:c>
      <x:c r="AF227" s="7" t="str">
        <x:v>2024-10-07 19:00:00-05:00</x:v>
      </x:c>
      <x:c r="AG227" s="6" t="str">
        <x:v>Long</x:v>
      </x:c>
      <x:c r="AH227" s="6" t="str">
        <x:v>19030.0</x:v>
      </x:c>
      <x:c r="AI227" s="8" t="str">
        <x:v>0</x:v>
      </x:c>
      <x:c r="AJ227" s="6" t="str">
        <x:v>True</x:v>
      </x:c>
      <x:c r="AK227" s="6" t="str">
        <x:v>Same-bar Setup+BOS</x:v>
      </x:c>
      <x:c r="AL227" s="9" t="str">
        <x:v>1.1856456112216913</x:v>
      </x:c>
      <x:c r="AM227" s="9" t="str">
        <x:v>0.0892421427801273</x:v>
      </x:c>
      <x:c r="AN227" s="9" t="str">
        <x:v>1.1346501010616186</x:v>
      </x:c>
      <x:c r="AO227" s="9" t="str">
        <x:v>1.2238922438417459</x:v>
      </x:c>
      <x:c r="AP227" s="10" t="str">
        <x:v>0.9270833333333334</x:v>
      </x:c>
      <x:c r="AQ227" s="6" t="str">
        <x:v>0.07291666666666667</x:v>
      </x:c>
      <x:c r="AR227" s="6" t="str">
        <x:v>0.0</x:v>
      </x:c>
      <x:c r="AS227" s="6" t="str">
        <x:v>With trade</x:v>
      </x:c>
      <x:c r="AT227" s="6" t="str">
        <x:v>0.9144901610017889</x:v>
      </x:c>
      <x:c r="AU227" s="7" t="str">
        <x:v>2024-10-07 19:05:00-05:00</x:v>
      </x:c>
      <x:c r="AV227" s="8" t="str">
        <x:v>1</x:v>
      </x:c>
      <x:c r="AW227" s="6" t="str">
        <x:v>Immediate retest (1 bar)</x:v>
      </x:c>
      <x:c r="AX227" s="6" t="str">
        <x:v>19028.75</x:v>
      </x:c>
      <x:c r="AY227" s="6" t="str">
        <x:v>1.25</x:v>
      </x:c>
      <x:c r="AZ227" s="9" t="str">
        <x:v>0.06459366445025277</x:v>
      </x:c>
      <x:c r="BA227" s="9" t="str">
        <x:v>0.2971308564711628</x:v>
      </x:c>
      <x:c r="BB227" s="9" t="str">
        <x:v>0.8267989049632356</x:v>
      </x:c>
      <x:c r="BC227" s="9" t="str">
        <x:v>0.15502479468060668</x:v>
      </x:c>
      <x:c r="BD227" s="6" t="str">
        <x:v>0.5625</x:v>
      </x:c>
      <x:c r="BE227" s="6" t="str">
        <x:v>0.25</x:v>
      </x:c>
      <x:c r="BF227" s="9" t="str">
        <x:v>0.2066997262408089</x:v>
      </x:c>
      <x:c r="BG227" s="9" t="str">
        <x:v>0.46507438404182</x:v>
      </x:c>
      <x:c r="BH227" s="6" t="str">
        <x:v>With trade</x:v>
      </x:c>
      <x:c r="BI227" s="6" t="str">
        <x:v>Penetration + same-bar reclaim</x:v>
      </x:c>
      <x:c r="BJ227" s="6" t="str">
        <x:v>False</x:v>
      </x:c>
      <x:c r="BK227" s="10" t="str">
        <x:v>True</x:v>
      </x:c>
      <x:c r="BL227" s="6" t="str">
        <x:v>True</x:v>
      </x:c>
      <x:c r="BM227" s="7" t="str">
        <x:v>2024-10-07 19:10:00-05:00</x:v>
      </x:c>
      <x:c r="BN227" s="8" t="str">
        <x:v>1</x:v>
      </x:c>
      <x:c r="BO227" s="6" t="str">
        <x:v>Immediate confirmation (1 bar)</x:v>
      </x:c>
      <x:c r="BP227" s="9" t="str">
        <x:v>0.5552016934138242</x:v>
      </x:c>
      <x:c r="BQ227" s="9" t="str">
        <x:v>1.0071100485180997</x:v>
      </x:c>
      <x:c r="BR227" s="10" t="str">
        <x:v>0.5512820512820513</x:v>
      </x:c>
      <x:c r="BS227" s="9" t="str">
        <x:v>0.8779933756311638</x:v>
      </x:c>
      <x:c r="BT227" s="9" t="str">
        <x:v>0.5810250279912114</x:v>
      </x:c>
      <x:c r="BU227" s="9" t="str">
        <x:v>0.29696834763995245</x:v>
      </x:c>
      <x:c r="BV227" s="6" t="str">
        <x:v>With trade</x:v>
      </x:c>
      <x:c r="BW227" s="7" t="str">
        <x:v>2024-10-07 19:10:00-05:00</x:v>
      </x:c>
      <x:c r="BX227" s="6" t="str">
        <x:v>19047.0</x:v>
      </x:c>
      <x:c r="BY227" s="9" t="str">
        <x:v>19.36233287384338</x:v>
      </x:c>
      <x:c r="BZ227" s="9" t="str">
        <x:v>0.14</x:v>
      </x:c>
      <x:c r="CA227" s="6" t="str">
        <x:v>19017.956500689234</x:v>
      </x:c>
      <x:c r="CB227" s="6" t="str">
        <x:v>29.043499310766492</x:v>
      </x:c>
      <x:c r="CC227" s="9" t="str">
        <x:v>1.5000000000000735</x:v>
      </x:c>
      <x:c r="CD227" s="6" t="str">
        <x:v>19105.08699862153</x:v>
      </x:c>
      <x:c r="CE227" s="6" t="str">
        <x:v>58.08699862152935</x:v>
      </x:c>
      <x:c r="CF227" s="6" t="str">
        <x:v>Fixed 2.00R target</x:v>
      </x:c>
      <x:c r="CG227" s="9" t="str">
        <x:v>0.024962556758139708</x:v>
      </x:c>
      <x:c r="CH227" s="9" t="str">
        <x:v>-0.8866011538236261</x:v>
      </x:c>
      <x:c r="CI227" s="9" t="str">
        <x:v>-0.9115637105817659</x:v>
      </x:c>
      <x:c r="CJ227" s="6" t="str">
        <x:v>Loss</x:v>
      </x:c>
      <x:c r="CK227" s="9" t="str">
        <x:v>0.3184877931210928</x:v>
      </x:c>
      <x:c r="CL227" s="9" t="str">
        <x:v>0.9296400447858925</x:v>
      </x:c>
      <x:c r="CM227" s="7" t="str">
        <x:v>2024-10-07 20:10:00-05:00</x:v>
      </x:c>
      <x:c r="CN227" s="6" t="str">
        <x:v>19021.25</x:v>
      </x:c>
      <x:c r="CO227" s="6" t="str">
        <x:v>TIME</x:v>
      </x:c>
      <x:c r="CP227" s="6" t="str">
        <x:v>F::Long::Same-bar Setup+BOS::Penetration + same-bar reclaim</x:v>
      </x:c>
    </x:row>
    <x:row r="228" ht="18" customHeight="1">
      <x:c r="A228" s="6" t="str">
        <x:v>A0227</x:v>
      </x:c>
      <x:c r="B228" s="6" t="str">
        <x:v>2024-10-07</x:v>
      </x:c>
      <x:c r="C228" s="6" t="str">
        <x:v>2024</x:v>
      </x:c>
      <x:c r="D228" s="6" t="str">
        <x:v>2024-Q4</x:v>
      </x:c>
      <x:c r="E228" s="6" t="str">
        <x:v>First 50%</x:v>
      </x:c>
      <x:c r="F228" s="6" t="str">
        <x:v>Long</x:v>
      </x:c>
      <x:c r="G228" s="6" t="str">
        <x:v>Long</x:v>
      </x:c>
      <x:c r="H228" s="6" t="str">
        <x:v>Overnight</x:v>
      </x:c>
      <x:c r="I228" s="6" t="str">
        <x:v>Overnight</x:v>
      </x:c>
      <x:c r="J228" s="6" t="str">
        <x:v>Bear</x:v>
      </x:c>
      <x:c r="K228" s="6" t="str">
        <x:v>Bear</x:v>
      </x:c>
      <x:c r="L228" s="6" t="str">
        <x:v>MID</x:v>
      </x:c>
      <x:c r="M228" s="7" t="str">
        <x:v>2024-10-07 21:40:00-05:00</x:v>
      </x:c>
      <x:c r="N228" s="6" t="str">
        <x:v>90.0</x:v>
      </x:c>
      <x:c r="O228" s="6" t="str">
        <x:v>90-94</x:v>
      </x:c>
      <x:c r="P228" s="6" t="str">
        <x:v>Matching BOS only</x:v>
      </x:c>
      <x:c r="Q228" s="6" t="str">
        <x:v>Bull CHoCH</x:v>
      </x:c>
      <x:c r="R228" s="6" t="str">
        <x:v>True</x:v>
      </x:c>
      <x:c r="S228" s="6" t="str">
        <x:v>False</x:v>
      </x:c>
      <x:c r="T228" s="6" t="str">
        <x:v>Recent SSL</x:v>
      </x:c>
      <x:c r="U228" s="6" t="str">
        <x:v>SSL</x:v>
      </x:c>
      <x:c r="V228" s="6" t="str">
        <x:v>Swing low / sell-side</x:v>
      </x:c>
      <x:c r="W228" s="6" t="str">
        <x:v>[18993.25]</x:v>
      </x:c>
      <x:c r="X228" s="8" t="str">
        <x:v>1</x:v>
      </x:c>
      <x:c r="Y228" s="8" t="str">
        <x:v>17.0</x:v>
      </x:c>
      <x:c r="Z228" s="6" t="str">
        <x:v>None</x:v>
      </x:c>
      <x:c r="AA228" s="6" t="str">
        <x:v>19019.25</x:v>
      </x:c>
      <x:c r="AB228" s="9" t="str">
        <x:v>0.11699276564255312</x:v>
      </x:c>
      <x:c r="AC228" s="9" t="str">
        <x:v>1.1309300678780134</x:v>
      </x:c>
      <x:c r="AD228" s="9" t="str">
        <x:v>1.4169123838931434</x:v>
      </x:c>
      <x:c r="AE228" s="6" t="str">
        <x:v>With trade</x:v>
      </x:c>
      <x:c r="AF228" s="7" t="str">
        <x:v>2024-10-07 21:40:00-05:00</x:v>
      </x:c>
      <x:c r="AG228" s="6" t="str">
        <x:v>Long</x:v>
      </x:c>
      <x:c r="AH228" s="6" t="str">
        <x:v>19019.25</x:v>
      </x:c>
      <x:c r="AI228" s="8" t="str">
        <x:v>0</x:v>
      </x:c>
      <x:c r="AJ228" s="6" t="str">
        <x:v>True</x:v>
      </x:c>
      <x:c r="AK228" s="6" t="str">
        <x:v>Same-bar Setup+BOS</x:v>
      </x:c>
      <x:c r="AL228" s="9" t="str">
        <x:v>1.1049316755130016</x:v>
      </x:c>
      <x:c r="AM228" s="9" t="str">
        <x:v>0.11699276564255312</x:v>
      </x:c>
      <x:c r="AN228" s="9" t="str">
        <x:v>1.1309300678780134</x:v>
      </x:c>
      <x:c r="AO228" s="9" t="str">
        <x:v>1.4169123838931434</x:v>
      </x:c>
      <x:c r="AP228" s="10" t="str">
        <x:v>0.7981651376146789</x:v>
      </x:c>
      <x:c r="AQ228" s="6" t="str">
        <x:v>0.12844036697247707</x:v>
      </x:c>
      <x:c r="AR228" s="6" t="str">
        <x:v>0.07339449541284404</x:v>
      </x:c>
      <x:c r="AS228" s="6" t="str">
        <x:v>With trade</x:v>
      </x:c>
      <x:c r="AT228" s="6" t="str">
        <x:v>1.1628841132757581</x:v>
      </x:c>
      <x:c r="AU228" s="7" t="str">
        <x:v>2024-10-07 21:45:00-05:00</x:v>
      </x:c>
      <x:c r="AV228" s="8" t="str">
        <x:v>1</x:v>
      </x:c>
      <x:c r="AW228" s="6" t="str">
        <x:v>Immediate retest (1 bar)</x:v>
      </x:c>
      <x:c r="AX228" s="6" t="str">
        <x:v>19015.25</x:v>
      </x:c>
      <x:c r="AY228" s="6" t="str">
        <x:v>4.0</x:v>
      </x:c>
      <x:c r="AZ228" s="9" t="str">
        <x:v>0.21332077058092927</x:v>
      </x:c>
      <x:c r="BA228" s="9" t="str">
        <x:v>-0.0666627408065404</x:v>
      </x:c>
      <x:c r="BB228" s="9" t="str">
        <x:v>0.666627408065404</x:v>
      </x:c>
      <x:c r="BC228" s="9" t="str">
        <x:v>0.21332077058092927</x:v>
      </x:c>
      <x:c r="BD228" s="6" t="str">
        <x:v>0.46</x:v>
      </x:c>
      <x:c r="BE228" s="6" t="str">
        <x:v>0.22</x:v>
      </x:c>
      <x:c r="BF228" s="9" t="str">
        <x:v>0.14665802977438888</x:v>
      </x:c>
      <x:c r="BG228" s="9" t="str">
        <x:v>0.30664860771008584</x:v>
      </x:c>
      <x:c r="BH228" s="6" t="str">
        <x:v>Against trade</x:v>
      </x:c>
      <x:c r="BI228" s="6" t="str">
        <x:v>Penetration without same-bar reclaim</x:v>
      </x:c>
      <x:c r="BJ228" s="6" t="str">
        <x:v>False</x:v>
      </x:c>
      <x:c r="BK228" s="10" t="str">
        <x:v>True</x:v>
      </x:c>
      <x:c r="BL228" s="6" t="str">
        <x:v>False</x:v>
      </x:c>
      <x:c r="BM228" s="7" t="str">
        <x:v>2024-10-07 21:50:00-05:00</x:v>
      </x:c>
      <x:c r="BN228" s="8" t="str">
        <x:v>1</x:v>
      </x:c>
      <x:c r="BO228" s="6" t="str">
        <x:v>Immediate confirmation (1 bar)</x:v>
      </x:c>
      <x:c r="BP228" s="9" t="str">
        <x:v>0.5329335185187204</x:v>
      </x:c>
      <x:c r="BQ228" s="9" t="str">
        <x:v>1.3258346070465725</x:v>
      </x:c>
      <x:c r="BR228" s="10" t="str">
        <x:v>0.4019607843137255</x:v>
      </x:c>
      <x:c r="BS228" s="9" t="str">
        <x:v>0.46794162601643735</x:v>
      </x:c>
      <x:c r="BT228" s="9" t="str">
        <x:v>0.5329335185187204</x:v>
      </x:c>
      <x:c r="BU228" s="9" t="str">
        <x:v>0.4419448690155242</x:v>
      </x:c>
      <x:c r="BV228" s="6" t="str">
        <x:v>With trade</x:v>
      </x:c>
      <x:c r="BW228" s="7" t="str">
        <x:v>2024-10-07 21:50:00-05:00</x:v>
      </x:c>
      <x:c r="BX228" s="6" t="str">
        <x:v>19028.25</x:v>
      </x:c>
      <x:c r="BY228" s="9" t="str">
        <x:v>19.233168197957788</x:v>
      </x:c>
      <x:c r="BZ228" s="9" t="str">
        <x:v>0.44</x:v>
      </x:c>
      <x:c r="CA228" s="6" t="str">
        <x:v>18999.400247703063</x:v>
      </x:c>
      <x:c r="CB228" s="6" t="str">
        <x:v>28.849752296937368</x:v>
      </x:c>
      <x:c r="CC228" s="9" t="str">
        <x:v>1.5000000000000357</x:v>
      </x:c>
      <x:c r="CD228" s="6" t="str">
        <x:v>19085.949504593875</x:v>
      </x:c>
      <x:c r="CE228" s="6" t="str">
        <x:v>57.699504593874735</x:v>
      </x:c>
      <x:c r="CF228" s="6" t="str">
        <x:v>Fixed 2.00R target</x:v>
      </x:c>
      <x:c r="CG228" s="9" t="str">
        <x:v>0.025130198434215482</x:v>
      </x:c>
      <x:c r="CH228" s="9" t="str">
        <x:v>-0.6412533393558586</x:v>
      </x:c>
      <x:c r="CI228" s="9" t="str">
        <x:v>-0.6663835377900741</x:v>
      </x:c>
      <x:c r="CJ228" s="6" t="str">
        <x:v>Loss</x:v>
      </x:c>
      <x:c r="CK228" s="9" t="str">
        <x:v>0.3206266696779217</x:v>
      </x:c>
      <x:c r="CL228" s="9" t="str">
        <x:v>0.7019124390246394</x:v>
      </x:c>
      <x:c r="CM228" s="7" t="str">
        <x:v>2024-10-07 22:50:00-05:00</x:v>
      </x:c>
      <x:c r="CN228" s="6" t="str">
        <x:v>19009.75</x:v>
      </x:c>
      <x:c r="CO228" s="6" t="str">
        <x:v>TIME</x:v>
      </x:c>
      <x:c r="CP228" s="6" t="str">
        <x:v>F::Long::Same-bar Setup+BOS::Penetration without same-bar reclaim</x:v>
      </x:c>
    </x:row>
    <x:row r="229" ht="18" customHeight="1">
      <x:c r="A229" s="6" t="str">
        <x:v>A0228</x:v>
      </x:c>
      <x:c r="B229" s="6" t="str">
        <x:v>2024-10-08</x:v>
      </x:c>
      <x:c r="C229" s="6" t="str">
        <x:v>2024</x:v>
      </x:c>
      <x:c r="D229" s="6" t="str">
        <x:v>2024-Q4</x:v>
      </x:c>
      <x:c r="E229" s="6" t="str">
        <x:v>First 50%</x:v>
      </x:c>
      <x:c r="F229" s="6" t="str">
        <x:v>Long</x:v>
      </x:c>
      <x:c r="G229" s="6" t="str">
        <x:v>Long</x:v>
      </x:c>
      <x:c r="H229" s="6" t="str">
        <x:v>Overnight</x:v>
      </x:c>
      <x:c r="I229" s="6" t="str">
        <x:v>Overnight</x:v>
      </x:c>
      <x:c r="J229" s="6" t="str">
        <x:v>Bear</x:v>
      </x:c>
      <x:c r="K229" s="6" t="str">
        <x:v>Bear</x:v>
      </x:c>
      <x:c r="L229" s="6" t="str">
        <x:v>HIGH</x:v>
      </x:c>
      <x:c r="M229" s="7" t="str">
        <x:v>2024-10-08 02:35:00-05:00</x:v>
      </x:c>
      <x:c r="N229" s="6" t="str">
        <x:v>75.0</x:v>
      </x:c>
      <x:c r="O229" s="6" t="str">
        <x:v>75-79</x:v>
      </x:c>
      <x:c r="P229" s="6" t="str">
        <x:v>Matching BOS only</x:v>
      </x:c>
      <x:c r="Q229" s="6" t="str">
        <x:v>Bull CHoCH</x:v>
      </x:c>
      <x:c r="R229" s="6" t="str">
        <x:v>True</x:v>
      </x:c>
      <x:c r="S229" s="6" t="str">
        <x:v>False</x:v>
      </x:c>
      <x:c r="T229" s="6" t="str">
        <x:v>Recent SSL</x:v>
      </x:c>
      <x:c r="U229" s="6" t="str">
        <x:v>SSL</x:v>
      </x:c>
      <x:c r="V229" s="6" t="str">
        <x:v>Swing low / sell-side</x:v>
      </x:c>
      <x:c r="W229" s="6" t="str">
        <x:v>[18979.75]</x:v>
      </x:c>
      <x:c r="X229" s="8" t="str">
        <x:v>1</x:v>
      </x:c>
      <x:c r="Y229" s="8" t="str">
        <x:v>7.0</x:v>
      </x:c>
      <x:c r="Z229" s="6" t="str">
        <x:v>None</x:v>
      </x:c>
      <x:c r="AA229" s="6" t="str">
        <x:v>19022.5</x:v>
      </x:c>
      <x:c r="AB229" s="9" t="str">
        <x:v>0.41335726770596637</x:v>
      </x:c>
      <x:c r="AC229" s="9" t="str">
        <x:v>0.8396319500277443</x:v>
      </x:c>
      <x:c r="AD229" s="9" t="str">
        <x:v>1.3046588761969564</x:v>
      </x:c>
      <x:c r="AE229" s="6" t="str">
        <x:v>With trade</x:v>
      </x:c>
      <x:c r="AF229" s="7" t="str">
        <x:v>2024-10-08 02:35:00-05:00</x:v>
      </x:c>
      <x:c r="AG229" s="6" t="str">
        <x:v>Long</x:v>
      </x:c>
      <x:c r="AH229" s="6" t="str">
        <x:v>19022.5</x:v>
      </x:c>
      <x:c r="AI229" s="8" t="str">
        <x:v>0</x:v>
      </x:c>
      <x:c r="AJ229" s="6" t="str">
        <x:v>True</x:v>
      </x:c>
      <x:c r="AK229" s="6" t="str">
        <x:v>Same-bar Setup+BOS</x:v>
      </x:c>
      <x:c r="AL229" s="9" t="str">
        <x:v>0.8654667792593671</x:v>
      </x:c>
      <x:c r="AM229" s="9" t="str">
        <x:v>0.41335726770596637</x:v>
      </x:c>
      <x:c r="AN229" s="9" t="str">
        <x:v>0.8396319500277443</x:v>
      </x:c>
      <x:c r="AO229" s="9" t="str">
        <x:v>1.3046588761969564</x:v>
      </x:c>
      <x:c r="AP229" s="10" t="str">
        <x:v>0.6435643564356436</x:v>
      </x:c>
      <x:c r="AQ229" s="6" t="str">
        <x:v>0.15841584158415842</x:v>
      </x:c>
      <x:c r="AR229" s="6" t="str">
        <x:v>0.19801980198019803</x:v>
      </x:c>
      <x:c r="AS229" s="6" t="str">
        <x:v>With trade</x:v>
      </x:c>
      <x:c r="AT229" s="6" t="str">
        <x:v>2.1181738537914923</x:v>
      </x:c>
      <x:c r="AU229" s="7" t="str">
        <x:v>2024-10-08 02:55:00-05:00</x:v>
      </x:c>
      <x:c r="AV229" s="8" t="str">
        <x:v>4</x:v>
      </x:c>
      <x:c r="AW229" s="6" t="str">
        <x:v>Delayed retest (2+ bars)</x:v>
      </x:c>
      <x:c r="AX229" s="6" t="str">
        <x:v>19023.25</x:v>
      </x:c>
      <x:c r="AY229" s="6" t="str">
        <x:v>0.0</x:v>
      </x:c>
      <x:c r="AZ229" s="9" t="str">
        <x:v>0.0</x:v>
      </x:c>
      <x:c r="BA229" s="9" t="str">
        <x:v>0.513871397415967</x:v>
      </x:c>
      <x:c r="BB229" s="9" t="str">
        <x:v>0.8607345906717446</x:v>
      </x:c>
      <x:c r="BC229" s="9" t="str">
        <x:v>0.33401640832037854</x:v>
      </x:c>
      <x:c r="BD229" s="6" t="str">
        <x:v>0.44776119402985076</x:v>
      </x:c>
      <x:c r="BE229" s="6" t="str">
        <x:v>0.16417910447761194</x:v>
      </x:c>
      <x:c r="BF229" s="9" t="str">
        <x:v>0.14131463428939092</x:v>
      </x:c>
      <x:c r="BG229" s="9" t="str">
        <x:v>0.38540354806197524</x:v>
      </x:c>
      <x:c r="BH229" s="6" t="str">
        <x:v>With trade</x:v>
      </x:c>
      <x:c r="BI229" s="6" t="str">
        <x:v>Tolerance-only shallow touch</x:v>
      </x:c>
      <x:c r="BJ229" s="6" t="str">
        <x:v>True</x:v>
      </x:c>
      <x:c r="BK229" s="10" t="str">
        <x:v>False</x:v>
      </x:c>
      <x:c r="BL229" s="6" t="str">
        <x:v>True</x:v>
      </x:c>
      <x:c r="BM229" s="7" t="str">
        <x:v>2024-10-08 03:05:00-05:00</x:v>
      </x:c>
      <x:c r="BN229" s="8" t="str">
        <x:v>2</x:v>
      </x:c>
      <x:c r="BO229" s="6" t="str">
        <x:v>Delayed confirmation (2+ bars)</x:v>
      </x:c>
      <x:c r="BP229" s="9" t="str">
        <x:v>0.038824586030757696</x:v>
      </x:c>
      <x:c r="BQ229" s="9" t="str">
        <x:v>0.8541408926766694</x:v>
      </x:c>
      <x:c r="BR229" s="10" t="str">
        <x:v>0.045454545454545456</x:v>
      </x:c>
      <x:c r="BS229" s="9" t="str">
        <x:v>0.3494212742768193</x:v>
      </x:c>
      <x:c r="BT229" s="9" t="str">
        <x:v>-0.16823987279995004</x:v>
      </x:c>
      <x:c r="BU229" s="9" t="str">
        <x:v>0.7635501919382348</x:v>
      </x:c>
      <x:c r="BV229" s="6" t="str">
        <x:v>With trade</x:v>
      </x:c>
      <x:c r="BW229" s="7" t="str">
        <x:v>2024-10-08 03:05:00-05:00</x:v>
      </x:c>
      <x:c r="BX229" s="6" t="str">
        <x:v>19029.25</x:v>
      </x:c>
      <x:c r="BY229" s="9" t="str">
        <x:v>19.317656069940664</x:v>
      </x:c>
      <x:c r="BZ229" s="9" t="str">
        <x:v>0.89</x:v>
      </x:c>
      <x:c r="CA229" s="6" t="str">
        <x:v>19000.27351589509</x:v>
      </x:c>
      <x:c r="CB229" s="6" t="str">
        <x:v>28.976484104910924</x:v>
      </x:c>
      <x:c r="CC229" s="9" t="str">
        <x:v>1.4999999999999962</x:v>
      </x:c>
      <x:c r="CD229" s="6" t="str">
        <x:v>19087.202968209822</x:v>
      </x:c>
      <x:c r="CE229" s="6" t="str">
        <x:v>57.95296820982185</x:v>
      </x:c>
      <x:c r="CF229" s="6" t="str">
        <x:v>Fixed 2.00R target</x:v>
      </x:c>
      <x:c r="CG229" s="9" t="str">
        <x:v>0.025020288775377247</x:v>
      </x:c>
      <x:c r="CH229" s="9" t="str">
        <x:v>1.3459189823996003</x:v>
      </x:c>
      <x:c r="CI229" s="9" t="str">
        <x:v>1.320898693624223</x:v>
      </x:c>
      <x:c r="CJ229" s="6" t="str">
        <x:v>Win</x:v>
      </x:c>
      <x:c r="CK229" s="9" t="str">
        <x:v>1.5788664985841505</x:v>
      </x:c>
      <x:c r="CL229" s="9" t="str">
        <x:v>0.6125656907075119</x:v>
      </x:c>
      <x:c r="CM229" s="7" t="str">
        <x:v>2024-10-08 04:05:00-05:00</x:v>
      </x:c>
      <x:c r="CN229" s="6" t="str">
        <x:v>19068.25</x:v>
      </x:c>
      <x:c r="CO229" s="6" t="str">
        <x:v>TIME</x:v>
      </x:c>
      <x:c r="CP229" s="6" t="str">
        <x:v>F::Long::Same-bar Setup+BOS::Tolerance-only shallow touch</x:v>
      </x:c>
    </x:row>
    <x:row r="230" ht="18" customHeight="1">
      <x:c r="A230" s="6" t="str">
        <x:v>A0229</x:v>
      </x:c>
      <x:c r="B230" s="6" t="str">
        <x:v>2024-10-08</x:v>
      </x:c>
      <x:c r="C230" s="6" t="str">
        <x:v>2024</x:v>
      </x:c>
      <x:c r="D230" s="6" t="str">
        <x:v>2024-Q4</x:v>
      </x:c>
      <x:c r="E230" s="6" t="str">
        <x:v>First 50%</x:v>
      </x:c>
      <x:c r="F230" s="6" t="str">
        <x:v>Long</x:v>
      </x:c>
      <x:c r="G230" s="6" t="str">
        <x:v>Long</x:v>
      </x:c>
      <x:c r="H230" s="6" t="str">
        <x:v>Midday</x:v>
      </x:c>
      <x:c r="I230" s="6" t="str">
        <x:v>Midday</x:v>
      </x:c>
      <x:c r="J230" s="6" t="str">
        <x:v>Bull</x:v>
      </x:c>
      <x:c r="K230" s="6" t="str">
        <x:v>Bull</x:v>
      </x:c>
      <x:c r="L230" s="6" t="str">
        <x:v>MID</x:v>
      </x:c>
      <x:c r="M230" s="7" t="str">
        <x:v>2024-10-08 13:35:00-05:00</x:v>
      </x:c>
      <x:c r="N230" s="6" t="str">
        <x:v>75.0</x:v>
      </x:c>
      <x:c r="O230" s="6" t="str">
        <x:v>75-79</x:v>
      </x:c>
      <x:c r="P230" s="6" t="str">
        <x:v>Matching BOS only</x:v>
      </x:c>
      <x:c r="Q230" s="6" t="str">
        <x:v>Bull CHoCH</x:v>
      </x:c>
      <x:c r="R230" s="6" t="str">
        <x:v>True</x:v>
      </x:c>
      <x:c r="S230" s="6" t="str">
        <x:v>False</x:v>
      </x:c>
      <x:c r="T230" s="6" t="str">
        <x:v>No recent matching sweep</x:v>
      </x:c>
      <x:c r="U230" s="6" t="str">
        <x:v>None</x:v>
      </x:c>
      <x:c r="V230" s="6" t="str">
        <x:v>None</x:v>
      </x:c>
      <x:c r="W230" s="6" t="str">
        <x:v>[]</x:v>
      </x:c>
      <x:c r="X230" s="8" t="str">
        <x:v>0</x:v>
      </x:c>
      <x:c r="Y230" s="8" t="str"/>
      <x:c r="Z230" s="6" t="str">
        <x:v>None</x:v>
      </x:c>
      <x:c r="AA230" s="6" t="str">
        <x:v>19274.0</x:v>
      </x:c>
      <x:c r="AB230" s="9" t="str">
        <x:v>0.5670495324553547</x:v>
      </x:c>
      <x:c r="AC230" s="9" t="str">
        <x:v>1.3231155757291608</x:v>
      </x:c>
      <x:c r="AD230" s="9" t="str">
        <x:v>1.8496615701519903</x:v>
      </x:c>
      <x:c r="AE230" s="6" t="str">
        <x:v>With trade</x:v>
      </x:c>
      <x:c r="AF230" s="7" t="str">
        <x:v>2024-10-08 13:35:00-05:00</x:v>
      </x:c>
      <x:c r="AG230" s="6" t="str">
        <x:v>Long</x:v>
      </x:c>
      <x:c r="AH230" s="6" t="str">
        <x:v>19274.0</x:v>
      </x:c>
      <x:c r="AI230" s="8" t="str">
        <x:v>0</x:v>
      </x:c>
      <x:c r="AJ230" s="6" t="str">
        <x:v>True</x:v>
      </x:c>
      <x:c r="AK230" s="6" t="str">
        <x:v>Same-bar Setup+BOS</x:v>
      </x:c>
      <x:c r="AL230" s="9" t="str">
        <x:v>1.3231155757291608</x:v>
      </x:c>
      <x:c r="AM230" s="9" t="str">
        <x:v>0.5670495324553547</x:v>
      </x:c>
      <x:c r="AN230" s="9" t="str">
        <x:v>1.3231155757291608</x:v>
      </x:c>
      <x:c r="AO230" s="9" t="str">
        <x:v>1.8496615701519903</x:v>
      </x:c>
      <x:c r="AP230" s="10" t="str">
        <x:v>0.7153284671532847</x:v>
      </x:c>
      <x:c r="AQ230" s="6" t="str">
        <x:v>0.25547445255474455</x:v>
      </x:c>
      <x:c r="AR230" s="6" t="str">
        <x:v>0.029197080291970802</x:v>
      </x:c>
      <x:c r="AS230" s="6" t="str">
        <x:v>With trade</x:v>
      </x:c>
      <x:c r="AT230" s="6" t="str">
        <x:v>1.9979593379185248</x:v>
      </x:c>
      <x:c r="AU230" s="7" t="str">
        <x:v>2024-10-08 13:40:00-05:00</x:v>
      </x:c>
      <x:c r="AV230" s="8" t="str">
        <x:v>1</x:v>
      </x:c>
      <x:c r="AW230" s="6" t="str">
        <x:v>Immediate retest (1 bar)</x:v>
      </x:c>
      <x:c r="AX230" s="6" t="str">
        <x:v>19272.5</x:v>
      </x:c>
      <x:c r="AY230" s="6" t="str">
        <x:v>1.5</x:v>
      </x:c>
      <x:c r="AZ230" s="9" t="str">
        <x:v>0.0827685001502106</x:v>
      </x:c>
      <x:c r="BA230" s="9" t="str">
        <x:v>0.137947500250351</x:v>
      </x:c>
      <x:c r="BB230" s="9" t="str">
        <x:v>0.7173270013018251</x:v>
      </x:c>
      <x:c r="BC230" s="9" t="str">
        <x:v>0.45522675082615827</x:v>
      </x:c>
      <x:c r="BD230" s="6" t="str">
        <x:v>0.057692307692307696</x:v>
      </x:c>
      <x:c r="BE230" s="6" t="str">
        <x:v>0.3076923076923077</x:v>
      </x:c>
      <x:c r="BF230" s="9" t="str">
        <x:v>0.22071600040056158</x:v>
      </x:c>
      <x:c r="BG230" s="9" t="str">
        <x:v>0.0413842500751053</x:v>
      </x:c>
      <x:c r="BH230" s="6" t="str">
        <x:v>Against trade</x:v>
      </x:c>
      <x:c r="BI230" s="6" t="str">
        <x:v>Penetration + same-bar reclaim</x:v>
      </x:c>
      <x:c r="BJ230" s="6" t="str">
        <x:v>False</x:v>
      </x:c>
      <x:c r="BK230" s="10" t="str">
        <x:v>True</x:v>
      </x:c>
      <x:c r="BL230" s="6" t="str">
        <x:v>True</x:v>
      </x:c>
      <x:c r="BM230" s="7" t="str">
        <x:v>2024-10-08 13:45:00-05:00</x:v>
      </x:c>
      <x:c r="BN230" s="8" t="str">
        <x:v>1</x:v>
      </x:c>
      <x:c r="BO230" s="6" t="str">
        <x:v>Immediate confirmation (1 bar)</x:v>
      </x:c>
      <x:c r="BP230" s="9" t="str">
        <x:v>0.22732173872950595</x:v>
      </x:c>
      <x:c r="BQ230" s="9" t="str">
        <x:v>0.6109271728355473</x:v>
      </x:c>
      <x:c r="BR230" s="10" t="str">
        <x:v>0.37209302325581395</x:v>
      </x:c>
      <x:c r="BS230" s="9" t="str">
        <x:v>0.3836054341060413</x:v>
      </x:c>
      <x:c r="BT230" s="9" t="str">
        <x:v>0.2415293474001001</x:v>
      </x:c>
      <x:c r="BU230" s="9" t="str">
        <x:v>0.2415293474001001</x:v>
      </x:c>
      <x:c r="BV230" s="6" t="str">
        <x:v>With trade</x:v>
      </x:c>
      <x:c r="BW230" s="7" t="str">
        <x:v>2024-10-08 13:45:00-05:00</x:v>
      </x:c>
      <x:c r="BX230" s="6" t="str">
        <x:v>19280.75</x:v>
      </x:c>
      <x:c r="BY230" s="9" t="str">
        <x:v>17.596205371100336</x:v>
      </x:c>
      <x:c r="BZ230" s="9" t="str">
        <x:v>0.41</x:v>
      </x:c>
      <x:c r="CA230" s="6" t="str">
        <x:v>19254.35569194335</x:v>
      </x:c>
      <x:c r="CB230" s="6" t="str">
        <x:v>26.394308056649606</x:v>
      </x:c>
      <x:c r="CC230" s="9" t="str">
        <x:v>1.499999999999949</x:v>
      </x:c>
      <x:c r="CD230" s="6" t="str">
        <x:v>19333.5386161133</x:v>
      </x:c>
      <x:c r="CE230" s="6" t="str">
        <x:v>52.78861611329921</x:v>
      </x:c>
      <x:c r="CF230" s="6" t="str">
        <x:v>Fixed 2.00R target</x:v>
      </x:c>
      <x:c r="CG230" s="9" t="str">
        <x:v>0.027468043429816236</x:v>
      </x:c>
      <x:c r="CH230" s="9" t="str">
        <x:v>2.0</x:v>
      </x:c>
      <x:c r="CI230" s="9" t="str">
        <x:v>1.9725319565701838</x:v>
      </x:c>
      <x:c r="CJ230" s="6" t="str">
        <x:v>Win</x:v>
      </x:c>
      <x:c r="CK230" s="9" t="str">
        <x:v>2.131141300589191</x:v>
      </x:c>
      <x:c r="CL230" s="9" t="str">
        <x:v>0.009471739113729737</x:v>
      </x:c>
      <x:c r="CM230" s="7" t="str">
        <x:v>2024-10-08 14:30:00-05:00</x:v>
      </x:c>
      <x:c r="CN230" s="6" t="str">
        <x:v>19333.5386161133</x:v>
      </x:c>
      <x:c r="CO230" s="6" t="str">
        <x:v>TARGET</x:v>
      </x:c>
      <x:c r="CP230" s="6" t="str">
        <x:v>F::Long::Same-bar Setup+BOS::Penetration + same-bar reclaim</x:v>
      </x:c>
    </x:row>
    <x:row r="231" ht="18" customHeight="1">
      <x:c r="A231" s="6" t="str">
        <x:v>A0230</x:v>
      </x:c>
      <x:c r="B231" s="6" t="str">
        <x:v>2024-10-09</x:v>
      </x:c>
      <x:c r="C231" s="6" t="str">
        <x:v>2024</x:v>
      </x:c>
      <x:c r="D231" s="6" t="str">
        <x:v>2024-Q4</x:v>
      </x:c>
      <x:c r="E231" s="6" t="str">
        <x:v>First 50%</x:v>
      </x:c>
      <x:c r="F231" s="6" t="str">
        <x:v>Long</x:v>
      </x:c>
      <x:c r="G231" s="6" t="str">
        <x:v>Long</x:v>
      </x:c>
      <x:c r="H231" s="6" t="str">
        <x:v>Premarket</x:v>
      </x:c>
      <x:c r="I231" s="6" t="str">
        <x:v>Premarket</x:v>
      </x:c>
      <x:c r="J231" s="6" t="str">
        <x:v>Bull</x:v>
      </x:c>
      <x:c r="K231" s="6" t="str">
        <x:v>Bull</x:v>
      </x:c>
      <x:c r="L231" s="6" t="str">
        <x:v>HIGH</x:v>
      </x:c>
      <x:c r="M231" s="7" t="str">
        <x:v>2024-10-09 09:10:00-05:00</x:v>
      </x:c>
      <x:c r="N231" s="6" t="str">
        <x:v>75.0</x:v>
      </x:c>
      <x:c r="O231" s="6" t="str">
        <x:v>75-79</x:v>
      </x:c>
      <x:c r="P231" s="6" t="str">
        <x:v>Matching BOS only</x:v>
      </x:c>
      <x:c r="Q231" s="6" t="str">
        <x:v>Bull BOS</x:v>
      </x:c>
      <x:c r="R231" s="6" t="str">
        <x:v>True</x:v>
      </x:c>
      <x:c r="S231" s="6" t="str">
        <x:v>False</x:v>
      </x:c>
      <x:c r="T231" s="6" t="str">
        <x:v>Recent SSL</x:v>
      </x:c>
      <x:c r="U231" s="6" t="str">
        <x:v>SSL</x:v>
      </x:c>
      <x:c r="V231" s="6" t="str">
        <x:v>Swing low / sell-side</x:v>
      </x:c>
      <x:c r="W231" s="6" t="str">
        <x:v>[19274.75]</x:v>
      </x:c>
      <x:c r="X231" s="8" t="str">
        <x:v>1</x:v>
      </x:c>
      <x:c r="Y231" s="8" t="str">
        <x:v>7.0</x:v>
      </x:c>
      <x:c r="Z231" s="6" t="str">
        <x:v>Sweep above CRT reference</x:v>
      </x:c>
      <x:c r="AA231" s="6" t="str">
        <x:v>19326.25</x:v>
      </x:c>
      <x:c r="AB231" s="9" t="str">
        <x:v>0.011184784758131042</x:v>
      </x:c>
      <x:c r="AC231" s="9" t="str">
        <x:v>0.7046414397622557</x:v>
      </x:c>
      <x:c r="AD231" s="9" t="str">
        <x:v>1.0066306282317938</x:v>
      </x:c>
      <x:c r="AE231" s="6" t="str">
        <x:v>With trade</x:v>
      </x:c>
      <x:c r="AF231" s="7" t="str">
        <x:v>2024-10-09 09:10:00-05:00</x:v>
      </x:c>
      <x:c r="AG231" s="6" t="str">
        <x:v>Long</x:v>
      </x:c>
      <x:c r="AH231" s="6" t="str">
        <x:v>19326.25</x:v>
      </x:c>
      <x:c r="AI231" s="8" t="str">
        <x:v>0</x:v>
      </x:c>
      <x:c r="AJ231" s="6" t="str">
        <x:v>True</x:v>
      </x:c>
      <x:c r="AK231" s="6" t="str">
        <x:v>Same-bar Setup+BOS</x:v>
      </x:c>
      <x:c r="AL231" s="9" t="str">
        <x:v>0.7270110092785178</x:v>
      </x:c>
      <x:c r="AM231" s="9" t="str">
        <x:v>0.011184784758131042</x:v>
      </x:c>
      <x:c r="AN231" s="9" t="str">
        <x:v>0.7046414397622557</x:v>
      </x:c>
      <x:c r="AO231" s="9" t="str">
        <x:v>1.0066306282317938</x:v>
      </x:c>
      <x:c r="AP231" s="10" t="str">
        <x:v>0.7</x:v>
      </x:c>
      <x:c r="AQ231" s="6" t="str">
        <x:v>0.3</x:v>
      </x:c>
      <x:c r="AR231" s="6" t="str">
        <x:v>0.0</x:v>
      </x:c>
      <x:c r="AS231" s="6" t="str">
        <x:v>With trade</x:v>
      </x:c>
      <x:c r="AT231" s="6" t="str">
        <x:v>1.6333928547453782</x:v>
      </x:c>
      <x:c r="AU231" s="7" t="str">
        <x:v>2024-10-09 09:15:00-05:00</x:v>
      </x:c>
      <x:c r="AV231" s="8" t="str">
        <x:v>1</x:v>
      </x:c>
      <x:c r="AW231" s="6" t="str">
        <x:v>Immediate retest (1 bar)</x:v>
      </x:c>
      <x:c r="AX231" s="6" t="str">
        <x:v>19319.5</x:v>
      </x:c>
      <x:c r="AY231" s="6" t="str">
        <x:v>6.75</x:v>
      </x:c>
      <x:c r="AZ231" s="9" t="str">
        <x:v>0.2968679802632253</x:v>
      </x:c>
      <x:c r="BA231" s="9" t="str">
        <x:v>0.868613720029437</x:v>
      </x:c>
      <x:c r="BB231" s="9" t="str">
        <x:v>1.2204572521932597</x:v>
      </x:c>
      <x:c r="BC231" s="9" t="str">
        <x:v>0.8576186096493176</x:v>
      </x:c>
      <x:c r="BD231" s="6" t="str">
        <x:v>0.04504504504504504</x:v>
      </x:c>
      <x:c r="BE231" s="6" t="str">
        <x:v>0.25225225225225223</x:v>
      </x:c>
      <x:c r="BF231" s="9" t="str">
        <x:v>0.3078630906433448</x:v>
      </x:c>
      <x:c r="BG231" s="9" t="str">
        <x:v>0.05497555190059728</x:v>
      </x:c>
      <x:c r="BH231" s="6" t="str">
        <x:v>With trade</x:v>
      </x:c>
      <x:c r="BI231" s="6" t="str">
        <x:v>Penetration + same-bar reclaim</x:v>
      </x:c>
      <x:c r="BJ231" s="6" t="str">
        <x:v>False</x:v>
      </x:c>
      <x:c r="BK231" s="10" t="str">
        <x:v>True</x:v>
      </x:c>
      <x:c r="BL231" s="6" t="str">
        <x:v>True</x:v>
      </x:c>
      <x:c r="BM231" s="7" t="str">
        <x:v>2024-10-09 09:20:00-05:00</x:v>
      </x:c>
      <x:c r="BN231" s="8" t="str">
        <x:v>1</x:v>
      </x:c>
      <x:c r="BO231" s="6" t="str">
        <x:v>Immediate confirmation (1 bar)</x:v>
      </x:c>
      <x:c r="BP231" s="9" t="str">
        <x:v>0.4944931027090521</x:v>
      </x:c>
      <x:c r="BQ231" s="9" t="str">
        <x:v>1.2899820070670924</x:v>
      </x:c>
      <x:c r="BR231" s="10" t="str">
        <x:v>0.38333333333333336</x:v>
      </x:c>
      <x:c r="BS231" s="9" t="str">
        <x:v>1.354481107420447</x:v>
      </x:c>
      <x:c r="BT231" s="9" t="str">
        <x:v>0.5052429527679445</x:v>
      </x:c>
      <x:c r="BU231" s="9" t="str">
        <x:v>0.5697420531212991</x:v>
      </x:c>
      <x:c r="BV231" s="6" t="str">
        <x:v>With trade</x:v>
      </x:c>
      <x:c r="BW231" s="7" t="str">
        <x:v>2024-10-09 09:20:00-05:00</x:v>
      </x:c>
      <x:c r="BX231" s="6" t="str">
        <x:v>19357.75</x:v>
      </x:c>
      <x:c r="BY231" s="9" t="str">
        <x:v>23.2561383303385</x:v>
      </x:c>
      <x:c r="BZ231" s="9" t="str">
        <x:v>1.0</x:v>
      </x:c>
      <x:c r="CA231" s="6" t="str">
        <x:v>19322.865792504494</x:v>
      </x:c>
      <x:c r="CB231" s="6" t="str">
        <x:v>34.884207495506416</x:v>
      </x:c>
      <x:c r="CC231" s="9" t="str">
        <x:v>1.4999999999999425</x:v>
      </x:c>
      <x:c r="CD231" s="6" t="str">
        <x:v>19427.518414991016</x:v>
      </x:c>
      <x:c r="CE231" s="6" t="str">
        <x:v>69.76841499101647</x:v>
      </x:c>
      <x:c r="CF231" s="6" t="str">
        <x:v>Fixed 2.00R target</x:v>
      </x:c>
      <x:c r="CG231" s="9" t="str">
        <x:v>0.02078304344719284</x:v>
      </x:c>
      <x:c r="CH231" s="9" t="str">
        <x:v>1.6769766091872202</x:v>
      </x:c>
      <x:c r="CI231" s="9" t="str">
        <x:v>1.6561935657400273</x:v>
      </x:c>
      <x:c r="CJ231" s="6" t="str">
        <x:v>Win</x:v>
      </x:c>
      <x:c r="CK231" s="9" t="str">
        <x:v>1.9421395773066412</x:v>
      </x:c>
      <x:c r="CL231" s="9" t="str">
        <x:v>0.5159928028268568</x:v>
      </x:c>
      <x:c r="CM231" s="7" t="str">
        <x:v>2024-10-09 10:20:00-05:00</x:v>
      </x:c>
      <x:c r="CN231" s="6" t="str">
        <x:v>19416.25</x:v>
      </x:c>
      <x:c r="CO231" s="6" t="str">
        <x:v>TIME</x:v>
      </x:c>
      <x:c r="CP231" s="6" t="str">
        <x:v>F::Long::Same-bar Setup+BOS::Penetration + same-bar reclaim</x:v>
      </x:c>
    </x:row>
    <x:row r="232" ht="18" customHeight="1">
      <x:c r="A232" s="6" t="str">
        <x:v>A0231</x:v>
      </x:c>
      <x:c r="B232" s="6" t="str">
        <x:v>2024-10-09</x:v>
      </x:c>
      <x:c r="C232" s="6" t="str">
        <x:v>2024</x:v>
      </x:c>
      <x:c r="D232" s="6" t="str">
        <x:v>2024-Q4</x:v>
      </x:c>
      <x:c r="E232" s="6" t="str">
        <x:v>First 50%</x:v>
      </x:c>
      <x:c r="F232" s="6" t="str">
        <x:v>Long</x:v>
      </x:c>
      <x:c r="G232" s="6" t="str">
        <x:v>Long</x:v>
      </x:c>
      <x:c r="H232" s="6" t="str">
        <x:v>Midday</x:v>
      </x:c>
      <x:c r="I232" s="6" t="str">
        <x:v>Midday</x:v>
      </x:c>
      <x:c r="J232" s="6" t="str">
        <x:v>Bull</x:v>
      </x:c>
      <x:c r="K232" s="6" t="str">
        <x:v>Bull</x:v>
      </x:c>
      <x:c r="L232" s="6" t="str">
        <x:v>HIGH</x:v>
      </x:c>
      <x:c r="M232" s="7" t="str">
        <x:v>2024-10-09 13:25:00-05:00</x:v>
      </x:c>
      <x:c r="N232" s="6" t="str">
        <x:v>100.0</x:v>
      </x:c>
      <x:c r="O232" s="6" t="str">
        <x:v>95+</x:v>
      </x:c>
      <x:c r="P232" s="6" t="str">
        <x:v>Matching BOS only</x:v>
      </x:c>
      <x:c r="Q232" s="6" t="str">
        <x:v>Bull BOS</x:v>
      </x:c>
      <x:c r="R232" s="6" t="str">
        <x:v>True</x:v>
      </x:c>
      <x:c r="S232" s="6" t="str">
        <x:v>False</x:v>
      </x:c>
      <x:c r="T232" s="6" t="str">
        <x:v>Recent SSL</x:v>
      </x:c>
      <x:c r="U232" s="6" t="str">
        <x:v>SSL</x:v>
      </x:c>
      <x:c r="V232" s="6" t="str">
        <x:v>Swing low / sell-side</x:v>
      </x:c>
      <x:c r="W232" s="6" t="str">
        <x:v>[19393.5,19406.5]</x:v>
      </x:c>
      <x:c r="X232" s="8" t="str">
        <x:v>2</x:v>
      </x:c>
      <x:c r="Y232" s="8" t="str">
        <x:v>7.0</x:v>
      </x:c>
      <x:c r="Z232" s="6" t="str">
        <x:v>None</x:v>
      </x:c>
      <x:c r="AA232" s="6" t="str">
        <x:v>19454.75</x:v>
      </x:c>
      <x:c r="AB232" s="9" t="str">
        <x:v>1.1754918422941438</x:v>
      </x:c>
      <x:c r="AC232" s="9" t="str">
        <x:v>1.8611954169657279</x:v>
      </x:c>
      <x:c r="AD232" s="9" t="str">
        <x:v>2.1115316426394806</x:v>
      </x:c>
      <x:c r="AE232" s="6" t="str">
        <x:v>With trade</x:v>
      </x:c>
      <x:c r="AF232" s="7" t="str">
        <x:v>2024-10-09 13:25:00-05:00</x:v>
      </x:c>
      <x:c r="AG232" s="6" t="str">
        <x:v>Long</x:v>
      </x:c>
      <x:c r="AH232" s="6" t="str">
        <x:v>19454.75</x:v>
      </x:c>
      <x:c r="AI232" s="8" t="str">
        <x:v>0</x:v>
      </x:c>
      <x:c r="AJ232" s="6" t="str">
        <x:v>True</x:v>
      </x:c>
      <x:c r="AK232" s="6" t="str">
        <x:v>Same-bar Setup+BOS</x:v>
      </x:c>
      <x:c r="AL232" s="9" t="str">
        <x:v>1.850311233240782</x:v>
      </x:c>
      <x:c r="AM232" s="9" t="str">
        <x:v>1.1754918422941438</x:v>
      </x:c>
      <x:c r="AN232" s="9" t="str">
        <x:v>1.8611954169657279</x:v>
      </x:c>
      <x:c r="AO232" s="9" t="str">
        <x:v>2.1115316426394806</x:v>
      </x:c>
      <x:c r="AP232" s="10" t="str">
        <x:v>0.8814432989690721</x:v>
      </x:c>
      <x:c r="AQ232" s="6" t="str">
        <x:v>0.1134020618556701</x:v>
      </x:c>
      <x:c r="AR232" s="6" t="str">
        <x:v>0.005154639175257732</x:v>
      </x:c>
      <x:c r="AS232" s="6" t="str">
        <x:v>With trade</x:v>
      </x:c>
      <x:c r="AT232" s="6" t="str">
        <x:v>2.9452988862792635</x:v>
      </x:c>
      <x:c r="AU232" s="7" t="str">
        <x:v>2024-10-09 13:30:00-05:00</x:v>
      </x:c>
      <x:c r="AV232" s="8" t="str">
        <x:v>1</x:v>
      </x:c>
      <x:c r="AW232" s="6" t="str">
        <x:v>Immediate retest (1 bar)</x:v>
      </x:c>
      <x:c r="AX232" s="6" t="str">
        <x:v>19451.5</x:v>
      </x:c>
      <x:c r="AY232" s="6" t="str">
        <x:v>3.25</x:v>
      </x:c>
      <x:c r="AZ232" s="9" t="str">
        <x:v>0.13773336890941354</x:v>
      </x:c>
      <x:c r="BA232" s="9" t="str">
        <x:v>0.010594874531493348</x:v>
      </x:c>
      <x:c r="BB232" s="9" t="str">
        <x:v>1.3455490654996554</x:v>
      </x:c>
      <x:c r="BC232" s="9" t="str">
        <x:v>1.123056700338295</x:v>
      </x:c>
      <x:c r="BD232" s="6" t="str">
        <x:v>0.05511811023622047</x:v>
      </x:c>
      <x:c r="BE232" s="6" t="str">
        <x:v>0.11023622047244094</x:v>
      </x:c>
      <x:c r="BF232" s="9" t="str">
        <x:v>0.1483282434409069</x:v>
      </x:c>
      <x:c r="BG232" s="9" t="str">
        <x:v>0.07416412172045345</x:v>
      </x:c>
      <x:c r="BH232" s="6" t="str">
        <x:v>Against trade</x:v>
      </x:c>
      <x:c r="BI232" s="6" t="str">
        <x:v>Penetration + same-bar reclaim</x:v>
      </x:c>
      <x:c r="BJ232" s="6" t="str">
        <x:v>False</x:v>
      </x:c>
      <x:c r="BK232" s="10" t="str">
        <x:v>True</x:v>
      </x:c>
      <x:c r="BL232" s="6" t="str">
        <x:v>True</x:v>
      </x:c>
      <x:c r="BM232" s="7" t="str">
        <x:v>2024-10-09 13:35:00-05:00</x:v>
      </x:c>
      <x:c r="BN232" s="8" t="str">
        <x:v>1</x:v>
      </x:c>
      <x:c r="BO232" s="6" t="str">
        <x:v>Immediate confirmation (1 bar)</x:v>
      </x:c>
      <x:c r="BP232" s="9" t="str">
        <x:v>0.033096707750001265</x:v>
      </x:c>
      <x:c r="BQ232" s="9" t="str">
        <x:v>0.4633539085000177</x:v>
      </x:c>
      <x:c r="BR232" s="10" t="str">
        <x:v>0.07142857142857142</x:v>
      </x:c>
      <x:c r="BS232" s="9" t="str">
        <x:v>0.022064471833334175</x:v>
      </x:c>
      <x:c r="BT232" s="9" t="str">
        <x:v>0.011032235916667087</x:v>
      </x:c>
      <x:c r="BU232" s="9" t="str">
        <x:v>0.16548353875000632</x:v>
      </x:c>
      <x:c r="BV232" s="6" t="str">
        <x:v>With trade</x:v>
      </x:c>
      <x:c r="BW232" s="7" t="str">
        <x:v>2024-10-09 13:35:00-05:00</x:v>
      </x:c>
      <x:c r="BX232" s="6" t="str">
        <x:v>19455.25</x:v>
      </x:c>
      <x:c r="BY232" s="9" t="str">
        <x:v>22.660864206349085</x:v>
      </x:c>
      <x:c r="BZ232" s="9" t="str">
        <x:v>0.77</x:v>
      </x:c>
      <x:c r="CA232" s="6" t="str">
        <x:v>19421.258703690477</x:v>
      </x:c>
      <x:c r="CB232" s="6" t="str">
        <x:v>33.99129630952302</x:v>
      </x:c>
      <x:c r="CC232" s="9" t="str">
        <x:v>1.4999999999999734</x:v>
      </x:c>
      <x:c r="CD232" s="6" t="str">
        <x:v>19523.232592619046</x:v>
      </x:c>
      <x:c r="CE232" s="6" t="str">
        <x:v>67.98259261904605</x:v>
      </x:c>
      <x:c r="CF232" s="6" t="str">
        <x:v>Fixed 2.00R target</x:v>
      </x:c>
      <x:c r="CG232" s="9" t="str">
        <x:v>0.021328989438890084</x:v>
      </x:c>
      <x:c r="CH232" s="9" t="str">
        <x:v>0.6619341550000253</x:v>
      </x:c>
      <x:c r="CI232" s="9" t="str">
        <x:v>0.6406051655611352</x:v>
      </x:c>
      <x:c r="CJ232" s="6" t="str">
        <x:v>Win</x:v>
      </x:c>
      <x:c r="CK232" s="9" t="str">
        <x:v>1.228255598722291</x:v>
      </x:c>
      <x:c r="CL232" s="9" t="str">
        <x:v>0.7207727465555959</x:v>
      </x:c>
      <x:c r="CM232" s="7" t="str">
        <x:v>2024-10-09 14:35:00-05:00</x:v>
      </x:c>
      <x:c r="CN232" s="6" t="str">
        <x:v>19477.75</x:v>
      </x:c>
      <x:c r="CO232" s="6" t="str">
        <x:v>TIME</x:v>
      </x:c>
      <x:c r="CP232" s="6" t="str">
        <x:v>F::Long::Same-bar Setup+BOS::Penetration + same-bar reclaim</x:v>
      </x:c>
    </x:row>
    <x:row r="233" ht="18" customHeight="1">
      <x:c r="A233" s="6" t="str">
        <x:v>A0232</x:v>
      </x:c>
      <x:c r="B233" s="6" t="str">
        <x:v>2024-10-09</x:v>
      </x:c>
      <x:c r="C233" s="6" t="str">
        <x:v>2024</x:v>
      </x:c>
      <x:c r="D233" s="6" t="str">
        <x:v>2024-Q4</x:v>
      </x:c>
      <x:c r="E233" s="6" t="str">
        <x:v>First 50%</x:v>
      </x:c>
      <x:c r="F233" s="6" t="str">
        <x:v>Long</x:v>
      </x:c>
      <x:c r="G233" s="6" t="str">
        <x:v>Long</x:v>
      </x:c>
      <x:c r="H233" s="6" t="str">
        <x:v>Overnight</x:v>
      </x:c>
      <x:c r="I233" s="6" t="str">
        <x:v>Overnight</x:v>
      </x:c>
      <x:c r="J233" s="6" t="str">
        <x:v>Bull</x:v>
      </x:c>
      <x:c r="K233" s="6" t="str">
        <x:v>Bull</x:v>
      </x:c>
      <x:c r="L233" s="6" t="str">
        <x:v>LOW</x:v>
      </x:c>
      <x:c r="M233" s="7" t="str">
        <x:v>2024-10-09 21:10:00-05:00</x:v>
      </x:c>
      <x:c r="N233" s="6" t="str">
        <x:v>75.0</x:v>
      </x:c>
      <x:c r="O233" s="6" t="str">
        <x:v>75-79</x:v>
      </x:c>
      <x:c r="P233" s="6" t="str">
        <x:v>Matching liquidity sweep only</x:v>
      </x:c>
      <x:c r="Q233" s="6" t="str">
        <x:v>Recent bull structure</x:v>
      </x:c>
      <x:c r="R233" s="6" t="str">
        <x:v>False</x:v>
      </x:c>
      <x:c r="S233" s="6" t="str">
        <x:v>True</x:v>
      </x:c>
      <x:c r="T233" s="6" t="str">
        <x:v>Recent SSL</x:v>
      </x:c>
      <x:c r="U233" s="6" t="str">
        <x:v>SSL</x:v>
      </x:c>
      <x:c r="V233" s="6" t="str">
        <x:v>Swing low / sell-side</x:v>
      </x:c>
      <x:c r="W233" s="6" t="str">
        <x:v>[19471.25]</x:v>
      </x:c>
      <x:c r="X233" s="8" t="str">
        <x:v>1</x:v>
      </x:c>
      <x:c r="Y233" s="8" t="str">
        <x:v>0.0</x:v>
      </x:c>
      <x:c r="Z233" s="6" t="str">
        <x:v>None</x:v>
      </x:c>
      <x:c r="AA233" s="6" t="str">
        <x:v>19487.75</x:v>
      </x:c>
      <x:c r="AB233" s="9" t="str">
        <x:v>-1.786058346336125</x:v>
      </x:c>
      <x:c r="AC233" s="9" t="str">
        <x:v>0.23152608193246066</x:v>
      </x:c>
      <x:c r="AD233" s="9" t="str">
        <x:v>0.8599540186062824</x:v>
      </x:c>
      <x:c r="AE233" s="6" t="str">
        <x:v>Against trade</x:v>
      </x:c>
      <x:c r="AF233" s="7" t="str">
        <x:v>2024-10-09 21:35:00-05:00</x:v>
      </x:c>
      <x:c r="AG233" s="6" t="str">
        <x:v>Long</x:v>
      </x:c>
      <x:c r="AH233" s="6" t="str">
        <x:v>19487.75</x:v>
      </x:c>
      <x:c r="AI233" s="8" t="str">
        <x:v>5</x:v>
      </x:c>
      <x:c r="AJ233" s="6" t="str">
        <x:v>False</x:v>
      </x:c>
      <x:c r="AK233" s="6" t="str">
        <x:v>Delayed BOS</x:v>
      </x:c>
      <x:c r="AL233" s="9" t="str">
        <x:v>0.6218894661649994</x:v>
      </x:c>
      <x:c r="AM233" s="9" t="str">
        <x:v>0.4255033189549996</x:v>
      </x:c>
      <x:c r="AN233" s="9" t="str">
        <x:v>0.6546204906999994</x:v>
      </x:c>
      <x:c r="AO233" s="9" t="str">
        <x:v>1.3092409813999988</x:v>
      </x:c>
      <x:c r="AP233" s="10" t="str">
        <x:v>0.5</x:v>
      </x:c>
      <x:c r="AQ233" s="6" t="str">
        <x:v>0.25</x:v>
      </x:c>
      <x:c r="AR233" s="6" t="str">
        <x:v>0.25</x:v>
      </x:c>
      <x:c r="AS233" s="6" t="str">
        <x:v>With trade</x:v>
      </x:c>
      <x:c r="AT233" s="6" t="str">
        <x:v>1.9295558958652372</x:v>
      </x:c>
      <x:c r="AU233" s="7" t="str">
        <x:v>2024-10-09 21:40:00-05:00</x:v>
      </x:c>
      <x:c r="AV233" s="8" t="str">
        <x:v>1</x:v>
      </x:c>
      <x:c r="AW233" s="6" t="str">
        <x:v>Immediate retest (1 bar)</x:v>
      </x:c>
      <x:c r="AX233" s="6" t="str">
        <x:v>19487.75</x:v>
      </x:c>
      <x:c r="AY233" s="6" t="str">
        <x:v>0.0</x:v>
      </x:c>
      <x:c r="AZ233" s="9" t="str">
        <x:v>0.0</x:v>
      </x:c>
      <x:c r="BA233" s="9" t="str">
        <x:v>0.4766807179251701</x:v>
      </x:c>
      <x:c r="BB233" s="9" t="str">
        <x:v>0.4766807179251701</x:v>
      </x:c>
      <x:c r="BC233" s="9" t="str">
        <x:v>0.0</x:v>
      </x:c>
      <x:c r="BD233" s="6" t="str">
        <x:v>0.0</x:v>
      </x:c>
      <x:c r="BE233" s="6" t="str">
        <x:v>1.0</x:v>
      </x:c>
      <x:c r="BF233" s="9" t="str">
        <x:v>0.4766807179251701</x:v>
      </x:c>
      <x:c r="BG233" s="9" t="str">
        <x:v>0.0</x:v>
      </x:c>
      <x:c r="BH233" s="6" t="str">
        <x:v>Doji</x:v>
      </x:c>
      <x:c r="BI233" s="6" t="str">
        <x:v>Exact BOS touch</x:v>
      </x:c>
      <x:c r="BJ233" s="6" t="str">
        <x:v>True</x:v>
      </x:c>
      <x:c r="BK233" s="10" t="str">
        <x:v>False</x:v>
      </x:c>
      <x:c r="BL233" s="6" t="str">
        <x:v>True</x:v>
      </x:c>
      <x:c r="BM233" s="7" t="str">
        <x:v>2024-10-09 21:50:00-05:00</x:v>
      </x:c>
      <x:c r="BN233" s="8" t="str">
        <x:v>2</x:v>
      </x:c>
      <x:c r="BO233" s="6" t="str">
        <x:v>Delayed confirmation (2+ bars)</x:v>
      </x:c>
      <x:c r="BP233" s="9" t="str">
        <x:v>0.49913687437589166</x:v>
      </x:c>
      <x:c r="BQ233" s="9" t="str">
        <x:v>0.962621114867791</x:v>
      </x:c>
      <x:c r="BR233" s="10" t="str">
        <x:v>0.5185185185185185</x:v>
      </x:c>
      <x:c r="BS233" s="9" t="str">
        <x:v>1.0339263826357756</x:v>
      </x:c>
      <x:c r="BT233" s="9" t="str">
        <x:v>0.5347895082598839</x:v>
      </x:c>
      <x:c r="BU233" s="9" t="str">
        <x:v>0.1782631694199613</x:v>
      </x:c>
      <x:c r="BV233" s="6" t="str">
        <x:v>With trade</x:v>
      </x:c>
      <x:c r="BW233" s="7" t="str">
        <x:v>2024-10-09 21:50:00-05:00</x:v>
      </x:c>
      <x:c r="BX233" s="6" t="str">
        <x:v>19495.0</x:v>
      </x:c>
      <x:c r="BY233" s="9" t="str">
        <x:v>7.012104654412306</x:v>
      </x:c>
      <x:c r="BZ233" s="9" t="str">
        <x:v>0.0</x:v>
      </x:c>
      <x:c r="CA233" s="6" t="str">
        <x:v>19484.48184301838</x:v>
      </x:c>
      <x:c r="CB233" s="6" t="str">
        <x:v>10.51815698161954</x:v>
      </x:c>
      <x:c r="CC233" s="9" t="str">
        <x:v>1.5000000000001543</x:v>
      </x:c>
      <x:c r="CD233" s="6" t="str">
        <x:v>19516.036313963235</x:v>
      </x:c>
      <x:c r="CE233" s="6" t="str">
        <x:v>21.036313963235443</x:v>
      </x:c>
      <x:c r="CF233" s="6" t="str">
        <x:v>Fixed 2.00R target</x:v>
      </x:c>
      <x:c r="CG233" s="9" t="str">
        <x:v>0.06892842550904461</x:v>
      </x:c>
      <x:c r="CH233" s="9" t="str">
        <x:v>0.04753684517865634</x:v>
      </x:c>
      <x:c r="CI233" s="9" t="str">
        <x:v>-0.021391580330388273</x:v>
      </x:c>
      <x:c r="CJ233" s="6" t="str">
        <x:v>Loss</x:v>
      </x:c>
      <x:c r="CK233" s="9" t="str">
        <x:v>0.42783160660786307</x:v>
      </x:c>
      <x:c r="CL233" s="9" t="str">
        <x:v>0.9507369035730291</x:v>
      </x:c>
      <x:c r="CM233" s="7" t="str">
        <x:v>2024-10-09 22:50:00-05:00</x:v>
      </x:c>
      <x:c r="CN233" s="6" t="str">
        <x:v>19495.5</x:v>
      </x:c>
      <x:c r="CO233" s="6" t="str">
        <x:v>TIME</x:v>
      </x:c>
      <x:c r="CP233" s="6" t="str">
        <x:v>F::Long::Delayed BOS::Exact BOS touch</x:v>
      </x:c>
    </x:row>
    <x:row r="234" ht="18" customHeight="1">
      <x:c r="A234" s="6" t="str">
        <x:v>A0233</x:v>
      </x:c>
      <x:c r="B234" s="6" t="str">
        <x:v>2024-10-10</x:v>
      </x:c>
      <x:c r="C234" s="6" t="str">
        <x:v>2024</x:v>
      </x:c>
      <x:c r="D234" s="6" t="str">
        <x:v>2024-Q4</x:v>
      </x:c>
      <x:c r="E234" s="6" t="str">
        <x:v>First 50%</x:v>
      </x:c>
      <x:c r="F234" s="6" t="str">
        <x:v>Short</x:v>
      </x:c>
      <x:c r="G234" s="6" t="str">
        <x:v>Short</x:v>
      </x:c>
      <x:c r="H234" s="6" t="str">
        <x:v>Premarket</x:v>
      </x:c>
      <x:c r="I234" s="6" t="str">
        <x:v>Premarket</x:v>
      </x:c>
      <x:c r="J234" s="6" t="str">
        <x:v>Bull</x:v>
      </x:c>
      <x:c r="K234" s="6" t="str">
        <x:v>Bull</x:v>
      </x:c>
      <x:c r="L234" s="6" t="str">
        <x:v>HIGH</x:v>
      </x:c>
      <x:c r="M234" s="7" t="str">
        <x:v>2024-10-10 07:30:00-05:00</x:v>
      </x:c>
      <x:c r="N234" s="6" t="str">
        <x:v>90.0</x:v>
      </x:c>
      <x:c r="O234" s="6" t="str">
        <x:v>90-94</x:v>
      </x:c>
      <x:c r="P234" s="6" t="str">
        <x:v>Matching BOS + liquidity sweep</x:v>
      </x:c>
      <x:c r="Q234" s="6" t="str">
        <x:v>Bear CHoCH</x:v>
      </x:c>
      <x:c r="R234" s="6" t="str">
        <x:v>True</x:v>
      </x:c>
      <x:c r="S234" s="6" t="str">
        <x:v>True</x:v>
      </x:c>
      <x:c r="T234" s="6" t="str">
        <x:v>Recent BSL</x:v>
      </x:c>
      <x:c r="U234" s="6" t="str">
        <x:v>BSL</x:v>
      </x:c>
      <x:c r="V234" s="6" t="str">
        <x:v>Swing high / buy-side</x:v>
      </x:c>
      <x:c r="W234" s="6" t="str">
        <x:v>[19499.5,19481.0]</x:v>
      </x:c>
      <x:c r="X234" s="8" t="str">
        <x:v>2</x:v>
      </x:c>
      <x:c r="Y234" s="8" t="str">
        <x:v>0.0</x:v>
      </x:c>
      <x:c r="Z234" s="6" t="str">
        <x:v>Sweep above CRT reference</x:v>
      </x:c>
      <x:c r="AA234" s="6" t="str">
        <x:v>19426.75</x:v>
      </x:c>
      <x:c r="AB234" s="9" t="str">
        <x:v>0.231608515158299</x:v>
      </x:c>
      <x:c r="AC234" s="9" t="str">
        <x:v>2.2147564262012343</x:v>
      </x:c>
      <x:c r="AD234" s="9" t="str">
        <x:v>6.977206519143757</x:v>
      </x:c>
      <x:c r="AE234" s="6" t="str">
        <x:v>With trade</x:v>
      </x:c>
      <x:c r="AF234" s="7" t="str">
        <x:v>2024-10-10 07:30:00-05:00</x:v>
      </x:c>
      <x:c r="AG234" s="6" t="str">
        <x:v>Short</x:v>
      </x:c>
      <x:c r="AH234" s="6" t="str">
        <x:v>19426.75</x:v>
      </x:c>
      <x:c r="AI234" s="8" t="str">
        <x:v>0</x:v>
      </x:c>
      <x:c r="AJ234" s="6" t="str">
        <x:v>True</x:v>
      </x:c>
      <x:c r="AK234" s="6" t="str">
        <x:v>Same-bar Setup+BOS</x:v>
      </x:c>
      <x:c r="AL234" s="9" t="str">
        <x:v>2.6200713277282572</x:v>
      </x:c>
      <x:c r="AM234" s="9" t="str">
        <x:v>0.231608515158299</x:v>
      </x:c>
      <x:c r="AN234" s="9" t="str">
        <x:v>2.2147564262012343</x:v>
      </x:c>
      <x:c r="AO234" s="9" t="str">
        <x:v>6.977206519143757</x:v>
      </x:c>
      <x:c r="AP234" s="10" t="str">
        <x:v>0.31742738589211617</x:v>
      </x:c>
      <x:c r="AQ234" s="6" t="str">
        <x:v>0.35684647302904565</x:v>
      </x:c>
      <x:c r="AR234" s="6" t="str">
        <x:v>0.3257261410788382</x:v>
      </x:c>
      <x:c r="AS234" s="6" t="str">
        <x:v>With trade</x:v>
      </x:c>
      <x:c r="AT234" s="6" t="str">
        <x:v>16.4779750809379</x:v>
      </x:c>
      <x:c r="AU234" s="7" t="str">
        <x:v>2024-10-10 07:35:00-05:00</x:v>
      </x:c>
      <x:c r="AV234" s="8" t="str">
        <x:v>1</x:v>
      </x:c>
      <x:c r="AW234" s="6" t="str">
        <x:v>Immediate retest (1 bar)</x:v>
      </x:c>
      <x:c r="AX234" s="6" t="str">
        <x:v>19427.5</x:v>
      </x:c>
      <x:c r="AY234" s="6" t="str">
        <x:v>0.75</x:v>
      </x:c>
      <x:c r="AZ234" s="9" t="str">
        <x:v>0.03932337011887327</x:v>
      </x:c>
      <x:c r="BA234" s="9" t="str">
        <x:v>2.1758931465776543</x:v>
      </x:c>
      <x:c r="BB234" s="9" t="str">
        <x:v>2.228324306736152</x:v>
      </x:c>
      <x:c r="BC234" s="9" t="str">
        <x:v>1.9661685059436633</x:v>
      </x:c>
      <x:c r="BD234" s="6" t="str">
        <x:v>0.11176470588235295</x:v>
      </x:c>
      <x:c r="BE234" s="6" t="str">
        <x:v>0.0058823529411764705</x:v>
      </x:c>
      <x:c r="BF234" s="9" t="str">
        <x:v>0.24904801075286404</x:v>
      </x:c>
      <x:c r="BG234" s="9" t="str">
        <x:v>0.013107790039624423</x:v>
      </x:c>
      <x:c r="BH234" s="6" t="str">
        <x:v>With trade</x:v>
      </x:c>
      <x:c r="BI234" s="6" t="str">
        <x:v>Penetration + same-bar reclaim</x:v>
      </x:c>
      <x:c r="BJ234" s="6" t="str">
        <x:v>False</x:v>
      </x:c>
      <x:c r="BK234" s="10" t="str">
        <x:v>True</x:v>
      </x:c>
      <x:c r="BL234" s="6" t="str">
        <x:v>True</x:v>
      </x:c>
      <x:c r="BM234" s="7" t="str">
        <x:v>2024-10-10 07:40:00-05:00</x:v>
      </x:c>
      <x:c r="BN234" s="8" t="str">
        <x:v>1</x:v>
      </x:c>
      <x:c r="BO234" s="6" t="str">
        <x:v>Immediate confirmation (1 bar)</x:v>
      </x:c>
      <x:c r="BP234" s="9" t="str">
        <x:v>0.47820211023233256</x:v>
      </x:c>
      <x:c r="BQ234" s="9" t="str">
        <x:v>1.8392388855089712</x:v>
      </x:c>
      <x:c r="BR234" s="10" t="str">
        <x:v>0.26</x:v>
      </x:c>
      <x:c r="BS234" s="9" t="str">
        <x:v>2.5136264768622607</x:v>
      </x:c>
      <x:c r="BT234" s="9" t="str">
        <x:v>0.47820211023233256</x:v>
      </x:c>
      <x:c r="BU234" s="9" t="str">
        <x:v>0.0</x:v>
      </x:c>
      <x:c r="BV234" s="6" t="str">
        <x:v>With trade</x:v>
      </x:c>
      <x:c r="BW234" s="7" t="str">
        <x:v>2024-10-10 07:40:00-05:00</x:v>
      </x:c>
      <x:c r="BX234" s="6" t="str">
        <x:v>19375.5</x:v>
      </x:c>
      <x:c r="BY234" s="9" t="str">
        <x:v>20.388868621393165</x:v>
      </x:c>
      <x:c r="BZ234" s="9" t="str">
        <x:v>1.0</x:v>
      </x:c>
      <x:c r="CA234" s="6" t="str">
        <x:v>19406.08330293209</x:v>
      </x:c>
      <x:c r="CB234" s="6" t="str">
        <x:v>30.583302932089282</x:v>
      </x:c>
      <x:c r="CC234" s="9" t="str">
        <x:v>1.4999999999999771</x:v>
      </x:c>
      <x:c r="CD234" s="6" t="str">
        <x:v>19314.33339413582</x:v>
      </x:c>
      <x:c r="CE234" s="6" t="str">
        <x:v>61.166605864178564</x:v>
      </x:c>
      <x:c r="CF234" s="6" t="str">
        <x:v>Fixed 2.00R target</x:v>
      </x:c>
      <x:c r="CG234" s="9" t="str">
        <x:v>0.023705745635449325</x:v>
      </x:c>
      <x:c r="CH234" s="9" t="str">
        <x:v>-1.0</x:v>
      </x:c>
      <x:c r="CI234" s="9" t="str">
        <x:v>-1.0237057456354492</x:v>
      </x:c>
      <x:c r="CJ234" s="6" t="str">
        <x:v>Loss</x:v>
      </x:c>
      <x:c r="CK234" s="9" t="str">
        <x:v>0.06539516037365331</x:v>
      </x:c>
      <x:c r="CL234" s="9" t="str">
        <x:v>1.1525897015856394</x:v>
      </x:c>
      <x:c r="CM234" s="7" t="str">
        <x:v>2024-10-10 08:00:00-05:00</x:v>
      </x:c>
      <x:c r="CN234" s="6" t="str">
        <x:v>19406.08330293209</x:v>
      </x:c>
      <x:c r="CO234" s="6" t="str">
        <x:v>STOP</x:v>
      </x:c>
      <x:c r="CP234" s="6" t="str">
        <x:v>F::Short::Same-bar Setup+BOS::Penetration + same-bar reclaim</x:v>
      </x:c>
    </x:row>
    <x:row r="235" ht="18" customHeight="1">
      <x:c r="A235" s="6" t="str">
        <x:v>A0234</x:v>
      </x:c>
      <x:c r="B235" s="6" t="str">
        <x:v>2024-10-11</x:v>
      </x:c>
      <x:c r="C235" s="6" t="str">
        <x:v>2024</x:v>
      </x:c>
      <x:c r="D235" s="6" t="str">
        <x:v>2024-Q4</x:v>
      </x:c>
      <x:c r="E235" s="6" t="str">
        <x:v>First 50%</x:v>
      </x:c>
      <x:c r="F235" s="6" t="str">
        <x:v>Long</x:v>
      </x:c>
      <x:c r="G235" s="6" t="str">
        <x:v>Long</x:v>
      </x:c>
      <x:c r="H235" s="6" t="str">
        <x:v>Afternoon</x:v>
      </x:c>
      <x:c r="I235" s="6" t="str">
        <x:v>Afternoon</x:v>
      </x:c>
      <x:c r="J235" s="6" t="str">
        <x:v>Bull</x:v>
      </x:c>
      <x:c r="K235" s="6" t="str">
        <x:v>Bull</x:v>
      </x:c>
      <x:c r="L235" s="6" t="str">
        <x:v>LOW</x:v>
      </x:c>
      <x:c r="M235" s="7" t="str">
        <x:v>2024-10-11 14:05:00-05:00</x:v>
      </x:c>
      <x:c r="N235" s="6" t="str">
        <x:v>100.0</x:v>
      </x:c>
      <x:c r="O235" s="6" t="str">
        <x:v>95+</x:v>
      </x:c>
      <x:c r="P235" s="6" t="str">
        <x:v>Matching BOS only</x:v>
      </x:c>
      <x:c r="Q235" s="6" t="str">
        <x:v>Bull BOS</x:v>
      </x:c>
      <x:c r="R235" s="6" t="str">
        <x:v>True</x:v>
      </x:c>
      <x:c r="S235" s="6" t="str">
        <x:v>False</x:v>
      </x:c>
      <x:c r="T235" s="6" t="str">
        <x:v>Recent SSL</x:v>
      </x:c>
      <x:c r="U235" s="6" t="str">
        <x:v>SSL</x:v>
      </x:c>
      <x:c r="V235" s="6" t="str">
        <x:v>Swing low / sell-side</x:v>
      </x:c>
      <x:c r="W235" s="6" t="str">
        <x:v>[19456.25]</x:v>
      </x:c>
      <x:c r="X235" s="8" t="str">
        <x:v>1</x:v>
      </x:c>
      <x:c r="Y235" s="8" t="str">
        <x:v>6.0</x:v>
      </x:c>
      <x:c r="Z235" s="6" t="str">
        <x:v>None</x:v>
      </x:c>
      <x:c r="AA235" s="6" t="str">
        <x:v>19501.5</x:v>
      </x:c>
      <x:c r="AB235" s="9" t="str">
        <x:v>0.18162693910821262</x:v>
      </x:c>
      <x:c r="AC235" s="9" t="str">
        <x:v>0.825576995946421</x:v>
      </x:c>
      <x:c r="AD235" s="9" t="str">
        <x:v>1.7997578511631978</x:v>
      </x:c>
      <x:c r="AE235" s="6" t="str">
        <x:v>With trade</x:v>
      </x:c>
      <x:c r="AF235" s="7" t="str">
        <x:v>2024-10-11 14:05:00-05:00</x:v>
      </x:c>
      <x:c r="AG235" s="6" t="str">
        <x:v>Long</x:v>
      </x:c>
      <x:c r="AH235" s="6" t="str">
        <x:v>19501.5</x:v>
      </x:c>
      <x:c r="AI235" s="8" t="str">
        <x:v>0</x:v>
      </x:c>
      <x:c r="AJ235" s="6" t="str">
        <x:v>True</x:v>
      </x:c>
      <x:c r="AK235" s="6" t="str">
        <x:v>Same-bar Setup+BOS</x:v>
      </x:c>
      <x:c r="AL235" s="9" t="str">
        <x:v>0.8090654560274926</x:v>
      </x:c>
      <x:c r="AM235" s="9" t="str">
        <x:v>0.18162693910821262</x:v>
      </x:c>
      <x:c r="AN235" s="9" t="str">
        <x:v>0.825576995946421</x:v>
      </x:c>
      <x:c r="AO235" s="9" t="str">
        <x:v>1.7997578511631978</x:v>
      </x:c>
      <x:c r="AP235" s="10" t="str">
        <x:v>0.45871559633027525</x:v>
      </x:c>
      <x:c r="AQ235" s="6" t="str">
        <x:v>0.4954128440366973</x:v>
      </x:c>
      <x:c r="AR235" s="6" t="str">
        <x:v>0.045871559633027525</x:v>
      </x:c>
      <x:c r="AS235" s="6" t="str">
        <x:v>With trade</x:v>
      </x:c>
      <x:c r="AT235" s="6" t="str">
        <x:v>2.1564017377970868</x:v>
      </x:c>
      <x:c r="AU235" s="7" t="str">
        <x:v>2024-10-11 14:10:00-05:00</x:v>
      </x:c>
      <x:c r="AV235" s="8" t="str">
        <x:v>1</x:v>
      </x:c>
      <x:c r="AW235" s="6" t="str">
        <x:v>Immediate retest (1 bar)</x:v>
      </x:c>
      <x:c r="AX235" s="6" t="str">
        <x:v>19499.0</x:v>
      </x:c>
      <x:c r="AY235" s="6" t="str">
        <x:v>2.5</x:v>
      </x:c>
      <x:c r="AZ235" s="9" t="str">
        <x:v>0.16522524571076147</x:v>
      </x:c>
      <x:c r="BA235" s="9" t="str">
        <x:v>0.6939460319851981</x:v>
      </x:c>
      <x:c r="BB235" s="9" t="str">
        <x:v>0.9913514742645688</x:v>
      </x:c>
      <x:c r="BC235" s="9" t="str">
        <x:v>0.5121982617033606</x:v>
      </x:c>
      <x:c r="BD235" s="6" t="str">
        <x:v>0.13333333333333333</x:v>
      </x:c>
      <x:c r="BE235" s="6" t="str">
        <x:v>0.35</x:v>
      </x:c>
      <x:c r="BF235" s="9" t="str">
        <x:v>0.34697301599259905</x:v>
      </x:c>
      <x:c r="BG235" s="9" t="str">
        <x:v>0.13218019656860916</x:v>
      </x:c>
      <x:c r="BH235" s="6" t="str">
        <x:v>With trade</x:v>
      </x:c>
      <x:c r="BI235" s="6" t="str">
        <x:v>Penetration + same-bar reclaim</x:v>
      </x:c>
      <x:c r="BJ235" s="6" t="str">
        <x:v>False</x:v>
      </x:c>
      <x:c r="BK235" s="10" t="str">
        <x:v>True</x:v>
      </x:c>
      <x:c r="BL235" s="6" t="str">
        <x:v>True</x:v>
      </x:c>
      <x:c r="BM235" s="7" t="str">
        <x:v>2024-10-11 14:30:00-05:00</x:v>
      </x:c>
      <x:c r="BN235" s="8" t="str">
        <x:v>4</x:v>
      </x:c>
      <x:c r="BO235" s="6" t="str">
        <x:v>Delayed confirmation (2+ bars)</x:v>
      </x:c>
      <x:c r="BP235" s="9" t="str">
        <x:v>0.15670718901641179</x:v>
      </x:c>
      <x:c r="BQ235" s="9" t="str">
        <x:v>1.0969503231148825</x:v>
      </x:c>
      <x:c r="BR235" s="10" t="str">
        <x:v>0.14285714285714285</x:v>
      </x:c>
      <x:c r="BS235" s="9" t="str">
        <x:v>0.5223572967213725</x:v>
      </x:c>
      <x:c r="BT235" s="9" t="str">
        <x:v>-0.20894291868854903</x:v>
      </x:c>
      <x:c r="BU235" s="9" t="str">
        <x:v>0.6268287560656471</x:v>
      </x:c>
      <x:c r="BV235" s="6" t="str">
        <x:v>With trade</x:v>
      </x:c>
      <x:c r="BW235" s="7" t="str">
        <x:v>2024-10-11 14:30:00-05:00</x:v>
      </x:c>
      <x:c r="BX235" s="6" t="str">
        <x:v>19509.0</x:v>
      </x:c>
      <x:c r="BY235" s="9" t="str">
        <x:v>14.357988386635919</x:v>
      </x:c>
      <x:c r="BZ235" s="9" t="str">
        <x:v>0.22</x:v>
      </x:c>
      <x:c r="CA235" s="6" t="str">
        <x:v>19487.463017420047</x:v>
      </x:c>
      <x:c r="CB235" s="6" t="str">
        <x:v>21.536982579953474</x:v>
      </x:c>
      <x:c r="CC235" s="9" t="str">
        <x:v>1.4999999999999718</x:v>
      </x:c>
      <x:c r="CD235" s="6" t="str">
        <x:v>19552.073965159907</x:v>
      </x:c>
      <x:c r="CE235" s="6" t="str">
        <x:v>43.07396515990695</x:v>
      </x:c>
      <x:c r="CF235" s="6" t="str">
        <x:v>Fixed 2.00R target</x:v>
      </x:c>
      <x:c r="CG235" s="9" t="str">
        <x:v>0.03366302578871131</x:v>
      </x:c>
      <x:c r="CH235" s="9" t="str">
        <x:v>-1.0</x:v>
      </x:c>
      <x:c r="CI235" s="9" t="str">
        <x:v>-1.0336630257887114</x:v>
      </x:c>
      <x:c r="CJ235" s="6" t="str">
        <x:v>Loss</x:v>
      </x:c>
      <x:c r="CK235" s="9" t="str">
        <x:v>0.01160793992714183</x:v>
      </x:c>
      <x:c r="CL235" s="9" t="str">
        <x:v>1.0447145934427648</x:v>
      </x:c>
      <x:c r="CM235" s="7" t="str">
        <x:v>2024-10-11 14:45:00-05:00</x:v>
      </x:c>
      <x:c r="CN235" s="6" t="str">
        <x:v>19487.463017420047</x:v>
      </x:c>
      <x:c r="CO235" s="6" t="str">
        <x:v>STOP</x:v>
      </x:c>
      <x:c r="CP235" s="6" t="str">
        <x:v>F::Long::Same-bar Setup+BOS::Penetration + same-bar reclaim</x:v>
      </x:c>
    </x:row>
    <x:row r="236" ht="18" customHeight="1">
      <x:c r="A236" s="6" t="str">
        <x:v>A0235</x:v>
      </x:c>
      <x:c r="B236" s="6" t="str">
        <x:v>2024-10-11</x:v>
      </x:c>
      <x:c r="C236" s="6" t="str">
        <x:v>2024</x:v>
      </x:c>
      <x:c r="D236" s="6" t="str">
        <x:v>2024-Q4</x:v>
      </x:c>
      <x:c r="E236" s="6" t="str">
        <x:v>First 50%</x:v>
      </x:c>
      <x:c r="F236" s="6" t="str">
        <x:v>Short</x:v>
      </x:c>
      <x:c r="G236" s="6" t="str">
        <x:v>Short</x:v>
      </x:c>
      <x:c r="H236" s="6" t="str">
        <x:v>Afternoon</x:v>
      </x:c>
      <x:c r="I236" s="6" t="str">
        <x:v>Afternoon</x:v>
      </x:c>
      <x:c r="J236" s="6" t="str">
        <x:v>Bull</x:v>
      </x:c>
      <x:c r="K236" s="6" t="str">
        <x:v>Bull</x:v>
      </x:c>
      <x:c r="L236" s="6" t="str">
        <x:v>LOW</x:v>
      </x:c>
      <x:c r="M236" s="7" t="str">
        <x:v>2024-10-11 15:10:00-05:00</x:v>
      </x:c>
      <x:c r="N236" s="6" t="str">
        <x:v>85.0</x:v>
      </x:c>
      <x:c r="O236" s="6" t="str">
        <x:v>85-89</x:v>
      </x:c>
      <x:c r="P236" s="6" t="str">
        <x:v>Matching BOS only</x:v>
      </x:c>
      <x:c r="Q236" s="6" t="str">
        <x:v>Bear CHoCH</x:v>
      </x:c>
      <x:c r="R236" s="6" t="str">
        <x:v>True</x:v>
      </x:c>
      <x:c r="S236" s="6" t="str">
        <x:v>False</x:v>
      </x:c>
      <x:c r="T236" s="6" t="str">
        <x:v>Recent BSL</x:v>
      </x:c>
      <x:c r="U236" s="6" t="str">
        <x:v>BSL</x:v>
      </x:c>
      <x:c r="V236" s="6" t="str">
        <x:v>Swing high / buy-side</x:v>
      </x:c>
      <x:c r="W236" s="6" t="str">
        <x:v>[19506.75]</x:v>
      </x:c>
      <x:c r="X236" s="8" t="str">
        <x:v>1</x:v>
      </x:c>
      <x:c r="Y236" s="8" t="str">
        <x:v>13.0</x:v>
      </x:c>
      <x:c r="Z236" s="6" t="str">
        <x:v>None</x:v>
      </x:c>
      <x:c r="AA236" s="6" t="str">
        <x:v>19450.5</x:v>
      </x:c>
      <x:c r="AB236" s="9" t="str">
        <x:v>0.15129507620860178</x:v>
      </x:c>
      <x:c r="AC236" s="9" t="str">
        <x:v>0.5547486127648732</x:v>
      </x:c>
      <x:c r="AD236" s="9" t="str">
        <x:v>0.7396648170198309</x:v>
      </x:c>
      <x:c r="AE236" s="6" t="str">
        <x:v>With trade</x:v>
      </x:c>
      <x:c r="AF236" s="7" t="str">
        <x:v>2024-10-11 15:10:00-05:00</x:v>
      </x:c>
      <x:c r="AG236" s="6" t="str">
        <x:v>Short</x:v>
      </x:c>
      <x:c r="AH236" s="6" t="str">
        <x:v>19450.5</x:v>
      </x:c>
      <x:c r="AI236" s="8" t="str">
        <x:v>0</x:v>
      </x:c>
      <x:c r="AJ236" s="6" t="str">
        <x:v>True</x:v>
      </x:c>
      <x:c r="AK236" s="6" t="str">
        <x:v>Same-bar Setup+BOS</x:v>
      </x:c>
      <x:c r="AL236" s="9" t="str">
        <x:v>0.5379380487416952</x:v>
      </x:c>
      <x:c r="AM236" s="9" t="str">
        <x:v>0.15129507620860178</x:v>
      </x:c>
      <x:c r="AN236" s="9" t="str">
        <x:v>0.5547486127648732</x:v>
      </x:c>
      <x:c r="AO236" s="9" t="str">
        <x:v>0.7396648170198309</x:v>
      </x:c>
      <x:c r="AP236" s="10" t="str">
        <x:v>0.75</x:v>
      </x:c>
      <x:c r="AQ236" s="6" t="str">
        <x:v>0.18181818181818182</x:v>
      </x:c>
      <x:c r="AR236" s="6" t="str">
        <x:v>0.06818181818181818</x:v>
      </x:c>
      <x:c r="AS236" s="6" t="str">
        <x:v>With trade</x:v>
      </x:c>
      <x:c r="AT236" s="6" t="str">
        <x:v>0.373902838157264</x:v>
      </x:c>
      <x:c r="AU236" s="7" t="str">
        <x:v>2024-10-11 15:15:00-05:00</x:v>
      </x:c>
      <x:c r="AV236" s="8" t="str">
        <x:v>1</x:v>
      </x:c>
      <x:c r="AW236" s="6" t="str">
        <x:v>Immediate retest (1 bar)</x:v>
      </x:c>
      <x:c r="AX236" s="6" t="str">
        <x:v>19451.25</x:v>
      </x:c>
      <x:c r="AY236" s="6" t="str">
        <x:v>0.75</x:v>
      </x:c>
      <x:c r="AZ236" s="9" t="str">
        <x:v>0.051767282663953675</x:v>
      </x:c>
      <x:c r="BA236" s="9" t="str">
        <x:v>0.2415806524317838</x:v>
      </x:c>
      <x:c r="BB236" s="9" t="str">
        <x:v>0.6557189137434132</x:v>
      </x:c>
      <x:c r="BC236" s="9" t="str">
        <x:v>0.0862788044399228</x:v>
      </x:c>
      <x:c r="BD236" s="6" t="str">
        <x:v>0.3157894736842105</x:v>
      </x:c>
      <x:c r="BE236" s="6" t="str">
        <x:v>0.5526315789473685</x:v>
      </x:c>
      <x:c r="BF236" s="9" t="str">
        <x:v>0.2070691306558147</x:v>
      </x:c>
      <x:c r="BG236" s="9" t="str">
        <x:v>0.3623709786476757</x:v>
      </x:c>
      <x:c r="BH236" s="6" t="str">
        <x:v>With trade</x:v>
      </x:c>
      <x:c r="BI236" s="6" t="str">
        <x:v>Penetration + same-bar reclaim</x:v>
      </x:c>
      <x:c r="BJ236" s="6" t="str">
        <x:v>False</x:v>
      </x:c>
      <x:c r="BK236" s="10" t="str">
        <x:v>True</x:v>
      </x:c>
      <x:c r="BL236" s="6" t="str">
        <x:v>True</x:v>
      </x:c>
      <x:c r="BM236" s="7" t="str">
        <x:v>2024-10-11 15:25:00-05:00</x:v>
      </x:c>
      <x:c r="BN236" s="8" t="str">
        <x:v>2</x:v>
      </x:c>
      <x:c r="BO236" s="6" t="str">
        <x:v>Delayed confirmation (2+ bars)</x:v>
      </x:c>
      <x:c r="BP236" s="9" t="str">
        <x:v>0.3015723693696946</x:v>
      </x:c>
      <x:c r="BQ236" s="9" t="str">
        <x:v>0.3769654617121183</x:v>
      </x:c>
      <x:c r="BR236" s="10" t="str">
        <x:v>0.8</x:v>
      </x:c>
      <x:c r="BS236" s="9" t="str">
        <x:v>0.3581171886265124</x:v>
      </x:c>
      <x:c r="BT236" s="9" t="str">
        <x:v>0.09424136542802958</x:v>
      </x:c>
      <x:c r="BU236" s="9" t="str">
        <x:v>0.056544819256817744</x:v>
      </x:c>
      <x:c r="BV236" s="6" t="str">
        <x:v>With trade</x:v>
      </x:c>
      <x:c r="BW236" s="7" t="str">
        <x:v>2024-10-11 15:25:00-05:00</x:v>
      </x:c>
      <x:c r="BX236" s="6" t="str">
        <x:v>19445.75</x:v>
      </x:c>
      <x:c r="BY236" s="9" t="str">
        <x:v>13.263814613919218</x:v>
      </x:c>
      <x:c r="BZ236" s="9" t="str">
        <x:v>0.06</x:v>
      </x:c>
      <x:c r="CA236" s="6" t="str">
        <x:v>19465.64572192088</x:v>
      </x:c>
      <x:c r="CB236" s="6" t="str">
        <x:v>19.895721920878714</x:v>
      </x:c>
      <x:c r="CC236" s="9" t="str">
        <x:v>1.4999999999999916</x:v>
      </x:c>
      <x:c r="CD236" s="6" t="str">
        <x:v>19405.958556158243</x:v>
      </x:c>
      <x:c r="CE236" s="6" t="str">
        <x:v>39.79144384175743</x:v>
      </x:c>
      <x:c r="CF236" s="6" t="str">
        <x:v>Fixed 2.00R target</x:v>
      </x:c>
      <x:c r="CG236" s="9" t="str">
        <x:v>0.036439994632171645</x:v>
      </x:c>
      <x:c r="CH236" s="9" t="str">
        <x:v>-0.7036688618626208</x:v>
      </x:c>
      <x:c r="CI236" s="9" t="str">
        <x:v>-0.7401088564947924</x:v>
      </x:c>
      <x:c r="CJ236" s="6" t="str">
        <x:v>Loss</x:v>
      </x:c>
      <x:c r="CK236" s="9" t="str">
        <x:v>0.6911033464722208</x:v>
      </x:c>
      <x:c r="CL236" s="9" t="str">
        <x:v>0.9926757158419172</x:v>
      </x:c>
      <x:c r="CM236" s="7" t="str">
        <x:v>2024-10-13 17:25:00-05:00</x:v>
      </x:c>
      <x:c r="CN236" s="6" t="str">
        <x:v>19459.75</x:v>
      </x:c>
      <x:c r="CO236" s="6" t="str">
        <x:v>TIME</x:v>
      </x:c>
      <x:c r="CP236" s="6" t="str">
        <x:v>F::Short::Same-bar Setup+BOS::Penetration + same-bar reclaim</x:v>
      </x:c>
    </x:row>
    <x:row r="237" ht="18" customHeight="1">
      <x:c r="A237" s="6" t="str">
        <x:v>A0236</x:v>
      </x:c>
      <x:c r="B237" s="6" t="str">
        <x:v>2024-10-13</x:v>
      </x:c>
      <x:c r="C237" s="6" t="str">
        <x:v>2024</x:v>
      </x:c>
      <x:c r="D237" s="6" t="str">
        <x:v>2024-Q4</x:v>
      </x:c>
      <x:c r="E237" s="6" t="str">
        <x:v>First 50%</x:v>
      </x:c>
      <x:c r="F237" s="6" t="str">
        <x:v>Short</x:v>
      </x:c>
      <x:c r="G237" s="6" t="str">
        <x:v>Short</x:v>
      </x:c>
      <x:c r="H237" s="6" t="str">
        <x:v>Overnight</x:v>
      </x:c>
      <x:c r="I237" s="6" t="str">
        <x:v>Overnight</x:v>
      </x:c>
      <x:c r="J237" s="6" t="str">
        <x:v>Bull</x:v>
      </x:c>
      <x:c r="K237" s="6" t="str">
        <x:v>Bull</x:v>
      </x:c>
      <x:c r="L237" s="6" t="str">
        <x:v>LOW</x:v>
      </x:c>
      <x:c r="M237" s="7" t="str">
        <x:v>2024-10-13 18:50:00-05:00</x:v>
      </x:c>
      <x:c r="N237" s="6" t="str">
        <x:v>90.0</x:v>
      </x:c>
      <x:c r="O237" s="6" t="str">
        <x:v>90-94</x:v>
      </x:c>
      <x:c r="P237" s="6" t="str">
        <x:v>Matching BOS only</x:v>
      </x:c>
      <x:c r="Q237" s="6" t="str">
        <x:v>Bear CHoCH</x:v>
      </x:c>
      <x:c r="R237" s="6" t="str">
        <x:v>True</x:v>
      </x:c>
      <x:c r="S237" s="6" t="str">
        <x:v>False</x:v>
      </x:c>
      <x:c r="T237" s="6" t="str">
        <x:v>Recent BSL</x:v>
      </x:c>
      <x:c r="U237" s="6" t="str">
        <x:v>BSL</x:v>
      </x:c>
      <x:c r="V237" s="6" t="str">
        <x:v>Swing high / buy-side</x:v>
      </x:c>
      <x:c r="W237" s="6" t="str">
        <x:v>[19473.5]</x:v>
      </x:c>
      <x:c r="X237" s="8" t="str">
        <x:v>1</x:v>
      </x:c>
      <x:c r="Y237" s="8" t="str">
        <x:v>2.0</x:v>
      </x:c>
      <x:c r="Z237" s="6" t="str">
        <x:v>None</x:v>
      </x:c>
      <x:c r="AA237" s="6" t="str">
        <x:v>19454.0</x:v>
      </x:c>
      <x:c r="AB237" s="9" t="str">
        <x:v>0.3557183282403933</x:v>
      </x:c>
      <x:c r="AC237" s="9" t="str">
        <x:v>0.8892958206009832</x:v>
      </x:c>
      <x:c r="AD237" s="9" t="str">
        <x:v>1.016338080686838</x:v>
      </x:c>
      <x:c r="AE237" s="6" t="str">
        <x:v>With trade</x:v>
      </x:c>
      <x:c r="AF237" s="7" t="str">
        <x:v>2024-10-13 18:50:00-05:00</x:v>
      </x:c>
      <x:c r="AG237" s="6" t="str">
        <x:v>Short</x:v>
      </x:c>
      <x:c r="AH237" s="6" t="str">
        <x:v>19454.0</x:v>
      </x:c>
      <x:c r="AI237" s="8" t="str">
        <x:v>0</x:v>
      </x:c>
      <x:c r="AJ237" s="6" t="str">
        <x:v>True</x:v>
      </x:c>
      <x:c r="AK237" s="6" t="str">
        <x:v>Same-bar Setup+BOS</x:v>
      </x:c>
      <x:c r="AL237" s="9" t="str">
        <x:v>0.8638873685838123</x:v>
      </x:c>
      <x:c r="AM237" s="9" t="str">
        <x:v>0.3557183282403933</x:v>
      </x:c>
      <x:c r="AN237" s="9" t="str">
        <x:v>0.8892958206009832</x:v>
      </x:c>
      <x:c r="AO237" s="9" t="str">
        <x:v>1.016338080686838</x:v>
      </x:c>
      <x:c r="AP237" s="10" t="str">
        <x:v>0.875</x:v>
      </x:c>
      <x:c r="AQ237" s="6" t="str">
        <x:v>0.0</x:v>
      </x:c>
      <x:c r="AR237" s="6" t="str">
        <x:v>0.125</x:v>
      </x:c>
      <x:c r="AS237" s="6" t="str">
        <x:v>With trade</x:v>
      </x:c>
      <x:c r="AT237" s="6" t="str">
        <x:v>1.2025316455696202</x:v>
      </x:c>
      <x:c r="AU237" s="7" t="str">
        <x:v>2024-10-13 18:55:00-05:00</x:v>
      </x:c>
      <x:c r="AV237" s="8" t="str">
        <x:v>1</x:v>
      </x:c>
      <x:c r="AW237" s="6" t="str">
        <x:v>Immediate retest (1 bar)</x:v>
      </x:c>
      <x:c r="AX237" s="6" t="str">
        <x:v>19453.5</x:v>
      </x:c>
      <x:c r="AY237" s="6" t="str">
        <x:v>0.0</x:v>
      </x:c>
      <x:c r="AZ237" s="9" t="str">
        <x:v>0.0</x:v>
      </x:c>
      <x:c r="BA237" s="9" t="str">
        <x:v>0.21066856784395105</x:v>
      </x:c>
      <x:c r="BB237" s="9" t="str">
        <x:v>0.5266714196098776</x:v>
      </x:c>
      <x:c r="BC237" s="9" t="str">
        <x:v>0.21066856784395105</x:v>
      </x:c>
      <x:c r="BD237" s="6" t="str">
        <x:v>0.3</x:v>
      </x:c>
      <x:c r="BE237" s="6" t="str">
        <x:v>0.3</x:v>
      </x:c>
      <x:c r="BF237" s="9" t="str">
        <x:v>0.1580014258829633</x:v>
      </x:c>
      <x:c r="BG237" s="9" t="str">
        <x:v>0.1580014258829633</x:v>
      </x:c>
      <x:c r="BH237" s="6" t="str">
        <x:v>Against trade</x:v>
      </x:c>
      <x:c r="BI237" s="6" t="str">
        <x:v>Tolerance-only shallow touch</x:v>
      </x:c>
      <x:c r="BJ237" s="6" t="str">
        <x:v>True</x:v>
      </x:c>
      <x:c r="BK237" s="10" t="str">
        <x:v>False</x:v>
      </x:c>
      <x:c r="BL237" s="6" t="str">
        <x:v>True</x:v>
      </x:c>
      <x:c r="BM237" s="7" t="str">
        <x:v>2024-10-13 19:00:00-05:00</x:v>
      </x:c>
      <x:c r="BN237" s="8" t="str">
        <x:v>1</x:v>
      </x:c>
      <x:c r="BO237" s="6" t="str">
        <x:v>Immediate confirmation (1 bar)</x:v>
      </x:c>
      <x:c r="BP237" s="9" t="str">
        <x:v>0.4451373533568592</x:v>
      </x:c>
      <x:c r="BQ237" s="9" t="str">
        <x:v>1.0735665580959546</x:v>
      </x:c>
      <x:c r="BR237" s="10" t="str">
        <x:v>0.4146341463414634</x:v>
      </x:c>
      <x:c r="BS237" s="9" t="str">
        <x:v>0.5760601043441708</x:v>
      </x:c>
      <x:c r="BT237" s="9" t="str">
        <x:v>0.36658370276447233</x:v>
      </x:c>
      <x:c r="BU237" s="9" t="str">
        <x:v>0.3927682529619346</x:v>
      </x:c>
      <x:c r="BV237" s="6" t="str">
        <x:v>With trade</x:v>
      </x:c>
      <x:c r="BW237" s="7" t="str">
        <x:v>2024-10-13 19:00:00-05:00</x:v>
      </x:c>
      <x:c r="BX237" s="6" t="str">
        <x:v>19448.5</x:v>
      </x:c>
      <x:c r="BY237" s="9" t="str">
        <x:v>9.547614838319006</x:v>
      </x:c>
      <x:c r="BZ237" s="9" t="str">
        <x:v>0.11</x:v>
      </x:c>
      <x:c r="CA237" s="6" t="str">
        <x:v>19462.82142225748</x:v>
      </x:c>
      <x:c r="CB237" s="6" t="str">
        <x:v>14.321422257478844</x:v>
      </x:c>
      <x:c r="CC237" s="9" t="str">
        <x:v>1.500000000000035</x:v>
      </x:c>
      <x:c r="CD237" s="6" t="str">
        <x:v>19419.857155485042</x:v>
      </x:c>
      <x:c r="CE237" s="6" t="str">
        <x:v>28.642844514957687</x:v>
      </x:c>
      <x:c r="CF237" s="6" t="str">
        <x:v>Fixed 2.00R target</x:v>
      </x:c>
      <x:c r="CG237" s="9" t="str">
        <x:v>0.05062346371509262</x:v>
      </x:c>
      <x:c r="CH237" s="9" t="str">
        <x:v>1.1521202086883415</x:v>
      </x:c>
      <x:c r="CI237" s="9" t="str">
        <x:v>1.101496744973249</x:v>
      </x:c>
      <x:c r="CJ237" s="6" t="str">
        <x:v>Win</x:v>
      </x:c>
      <x:c r="CK237" s="9" t="str">
        <x:v>1.4139657106629318</x:v>
      </x:c>
      <x:c r="CL237" s="9" t="str">
        <x:v>0.6633419383356963</x:v>
      </x:c>
      <x:c r="CM237" s="7" t="str">
        <x:v>2024-10-13 20:00:00-05:00</x:v>
      </x:c>
      <x:c r="CN237" s="6" t="str">
        <x:v>19432.0</x:v>
      </x:c>
      <x:c r="CO237" s="6" t="str">
        <x:v>TIME</x:v>
      </x:c>
      <x:c r="CP237" s="6" t="str">
        <x:v>F::Short::Same-bar Setup+BOS::Tolerance-only shallow touch</x:v>
      </x:c>
    </x:row>
    <x:row r="238" ht="18" customHeight="1">
      <x:c r="A238" s="6" t="str">
        <x:v>A0237</x:v>
      </x:c>
      <x:c r="B238" s="6" t="str">
        <x:v>2024-10-14</x:v>
      </x:c>
      <x:c r="C238" s="6" t="str">
        <x:v>2024</x:v>
      </x:c>
      <x:c r="D238" s="6" t="str">
        <x:v>2024-Q4</x:v>
      </x:c>
      <x:c r="E238" s="6" t="str">
        <x:v>First 50%</x:v>
      </x:c>
      <x:c r="F238" s="6" t="str">
        <x:v>Long</x:v>
      </x:c>
      <x:c r="G238" s="6" t="str">
        <x:v>Long</x:v>
      </x:c>
      <x:c r="H238" s="6" t="str">
        <x:v>Midday</x:v>
      </x:c>
      <x:c r="I238" s="6" t="str">
        <x:v>Midday</x:v>
      </x:c>
      <x:c r="J238" s="6" t="str">
        <x:v>Bull</x:v>
      </x:c>
      <x:c r="K238" s="6" t="str">
        <x:v>Bull</x:v>
      </x:c>
      <x:c r="L238" s="6" t="str">
        <x:v>MID</x:v>
      </x:c>
      <x:c r="M238" s="7" t="str">
        <x:v>2024-10-14 13:35:00-05:00</x:v>
      </x:c>
      <x:c r="N238" s="6" t="str">
        <x:v>75.0</x:v>
      </x:c>
      <x:c r="O238" s="6" t="str">
        <x:v>75-79</x:v>
      </x:c>
      <x:c r="P238" s="6" t="str">
        <x:v>Matching BOS only</x:v>
      </x:c>
      <x:c r="Q238" s="6" t="str">
        <x:v>Bull CHoCH</x:v>
      </x:c>
      <x:c r="R238" s="6" t="str">
        <x:v>True</x:v>
      </x:c>
      <x:c r="S238" s="6" t="str">
        <x:v>False</x:v>
      </x:c>
      <x:c r="T238" s="6" t="str">
        <x:v>No recent matching sweep</x:v>
      </x:c>
      <x:c r="U238" s="6" t="str">
        <x:v>None</x:v>
      </x:c>
      <x:c r="V238" s="6" t="str">
        <x:v>None</x:v>
      </x:c>
      <x:c r="W238" s="6" t="str">
        <x:v>[]</x:v>
      </x:c>
      <x:c r="X238" s="8" t="str">
        <x:v>0</x:v>
      </x:c>
      <x:c r="Y238" s="8" t="str"/>
      <x:c r="Z238" s="6" t="str">
        <x:v>None</x:v>
      </x:c>
      <x:c r="AA238" s="6" t="str">
        <x:v>19654.0</x:v>
      </x:c>
      <x:c r="AB238" s="9" t="str">
        <x:v>0.06865856565682014</x:v>
      </x:c>
      <x:c r="AC238" s="9" t="str">
        <x:v>1.0298784848523022</x:v>
      </x:c>
      <x:c r="AD238" s="9" t="str">
        <x:v>1.3560066717221977</x:v>
      </x:c>
      <x:c r="AE238" s="6" t="str">
        <x:v>With trade</x:v>
      </x:c>
      <x:c r="AF238" s="7" t="str">
        <x:v>2024-10-14 13:35:00-05:00</x:v>
      </x:c>
      <x:c r="AG238" s="6" t="str">
        <x:v>Long</x:v>
      </x:c>
      <x:c r="AH238" s="6" t="str">
        <x:v>19654.0</x:v>
      </x:c>
      <x:c r="AI238" s="8" t="str">
        <x:v>0</x:v>
      </x:c>
      <x:c r="AJ238" s="6" t="str">
        <x:v>True</x:v>
      </x:c>
      <x:c r="AK238" s="6" t="str">
        <x:v>Same-bar Setup+BOS</x:v>
      </x:c>
      <x:c r="AL238" s="9" t="str">
        <x:v>1.0298784848523022</x:v>
      </x:c>
      <x:c r="AM238" s="9" t="str">
        <x:v>0.06865856565682014</x:v>
      </x:c>
      <x:c r="AN238" s="9" t="str">
        <x:v>1.0298784848523022</x:v>
      </x:c>
      <x:c r="AO238" s="9" t="str">
        <x:v>1.3560066717221977</x:v>
      </x:c>
      <x:c r="AP238" s="10" t="str">
        <x:v>0.759493670886076</x:v>
      </x:c>
      <x:c r="AQ238" s="6" t="str">
        <x:v>0.16455696202531644</x:v>
      </x:c>
      <x:c r="AR238" s="6" t="str">
        <x:v>0.0759493670886076</x:v>
      </x:c>
      <x:c r="AS238" s="6" t="str">
        <x:v>With trade</x:v>
      </x:c>
      <x:c r="AT238" s="6" t="str">
        <x:v>1.3599097405039489</x:v>
      </x:c>
      <x:c r="AU238" s="7" t="str">
        <x:v>2024-10-14 13:40:00-05:00</x:v>
      </x:c>
      <x:c r="AV238" s="8" t="str">
        <x:v>1</x:v>
      </x:c>
      <x:c r="AW238" s="6" t="str">
        <x:v>Immediate retest (1 bar)</x:v>
      </x:c>
      <x:c r="AX238" s="6" t="str">
        <x:v>19654.25</x:v>
      </x:c>
      <x:c r="AY238" s="6" t="str">
        <x:v>0.0</x:v>
      </x:c>
      <x:c r="AZ238" s="9" t="str">
        <x:v>0.0</x:v>
      </x:c>
      <x:c r="BA238" s="9" t="str">
        <x:v>0.17276039793024317</x:v>
      </x:c>
      <x:c r="BB238" s="9" t="str">
        <x:v>0.9156301090302887</x:v>
      </x:c>
      <x:c r="BC238" s="9" t="str">
        <x:v>0.12093227855117021</x:v>
      </x:c>
      <x:c r="BD238" s="6" t="str">
        <x:v>0.8301886792452831</x:v>
      </x:c>
      <x:c r="BE238" s="6" t="str">
        <x:v>0.03773584905660377</x:v>
      </x:c>
      <x:c r="BF238" s="9" t="str">
        <x:v>0.03455207958604863</x:v>
      </x:c>
      <x:c r="BG238" s="9" t="str">
        <x:v>0.7601457508930699</x:v>
      </x:c>
      <x:c r="BH238" s="6" t="str">
        <x:v>With trade</x:v>
      </x:c>
      <x:c r="BI238" s="6" t="str">
        <x:v>Tolerance-only shallow touch</x:v>
      </x:c>
      <x:c r="BJ238" s="6" t="str">
        <x:v>True</x:v>
      </x:c>
      <x:c r="BK238" s="10" t="str">
        <x:v>False</x:v>
      </x:c>
      <x:c r="BL238" s="6" t="str">
        <x:v>True</x:v>
      </x:c>
      <x:c r="BM238" s="7" t="str">
        <x:v>2024-10-14 13:45:00-05:00</x:v>
      </x:c>
      <x:c r="BN238" s="8" t="str">
        <x:v>1</x:v>
      </x:c>
      <x:c r="BO238" s="6" t="str">
        <x:v>Immediate confirmation (1 bar)</x:v>
      </x:c>
      <x:c r="BP238" s="9" t="str">
        <x:v>0.10693998914258296</x:v>
      </x:c>
      <x:c r="BQ238" s="9" t="str">
        <x:v>0.5881699402842063</x:v>
      </x:c>
      <x:c r="BR238" s="10" t="str">
        <x:v>0.18181818181818182</x:v>
      </x:c>
      <x:c r="BS238" s="9" t="str">
        <x:v>0.30299663590398507</x:v>
      </x:c>
      <x:c r="BT238" s="9" t="str">
        <x:v>0.1247633206663468</x:v>
      </x:c>
      <x:c r="BU238" s="9" t="str">
        <x:v>0.10693998914258296</x:v>
      </x:c>
      <x:c r="BV238" s="6" t="str">
        <x:v>With trade</x:v>
      </x:c>
      <x:c r="BW238" s="7" t="str">
        <x:v>2024-10-14 13:45:00-05:00</x:v>
      </x:c>
      <x:c r="BX238" s="6" t="str">
        <x:v>19658.25</x:v>
      </x:c>
      <x:c r="BY238" s="9" t="str">
        <x:v>14.026558371911294</x:v>
      </x:c>
      <x:c r="BZ238" s="9" t="str">
        <x:v>0.4</x:v>
      </x:c>
      <x:c r="CA238" s="6" t="str">
        <x:v>19637.210162442134</x:v>
      </x:c>
      <x:c r="CB238" s="6" t="str">
        <x:v>21.03983755786612</x:v>
      </x:c>
      <x:c r="CC238" s="9" t="str">
        <x:v>1.4999999999999416</x:v>
      </x:c>
      <x:c r="CD238" s="6" t="str">
        <x:v>19700.329675115732</x:v>
      </x:c>
      <x:c r="CE238" s="6" t="str">
        <x:v>42.07967511573224</x:v>
      </x:c>
      <x:c r="CF238" s="6" t="str">
        <x:v>Fixed 2.00R target</x:v>
      </x:c>
      <x:c r="CG238" s="9" t="str">
        <x:v>0.03445844094594474</x:v>
      </x:c>
      <x:c r="CH238" s="9" t="str">
        <x:v>1.4258665219011062</x:v>
      </x:c>
      <x:c r="CI238" s="9" t="str">
        <x:v>1.3914080809551614</x:v>
      </x:c>
      <x:c r="CJ238" s="6" t="str">
        <x:v>Win</x:v>
      </x:c>
      <x:c r="CK238" s="9" t="str">
        <x:v>1.61598205815465</x:v>
      </x:c>
      <x:c r="CL238" s="9" t="str">
        <x:v>0.796108808061482</x:v>
      </x:c>
      <x:c r="CM238" s="7" t="str">
        <x:v>2024-10-14 14:45:00-05:00</x:v>
      </x:c>
      <x:c r="CN238" s="6" t="str">
        <x:v>19688.25</x:v>
      </x:c>
      <x:c r="CO238" s="6" t="str">
        <x:v>TIME</x:v>
      </x:c>
      <x:c r="CP238" s="6" t="str">
        <x:v>F::Long::Same-bar Setup+BOS::Tolerance-only shallow touch</x:v>
      </x:c>
    </x:row>
    <x:row r="239" ht="18" customHeight="1">
      <x:c r="A239" s="6" t="str">
        <x:v>A0238</x:v>
      </x:c>
      <x:c r="B239" s="6" t="str">
        <x:v>2024-10-14</x:v>
      </x:c>
      <x:c r="C239" s="6" t="str">
        <x:v>2024</x:v>
      </x:c>
      <x:c r="D239" s="6" t="str">
        <x:v>2024-Q4</x:v>
      </x:c>
      <x:c r="E239" s="6" t="str">
        <x:v>First 50%</x:v>
      </x:c>
      <x:c r="F239" s="6" t="str">
        <x:v>Short</x:v>
      </x:c>
      <x:c r="G239" s="6" t="str">
        <x:v>Short</x:v>
      </x:c>
      <x:c r="H239" s="6" t="str">
        <x:v>Overnight</x:v>
      </x:c>
      <x:c r="I239" s="6" t="str">
        <x:v>Overnight</x:v>
      </x:c>
      <x:c r="J239" s="6" t="str">
        <x:v>Bull</x:v>
      </x:c>
      <x:c r="K239" s="6" t="str">
        <x:v>Bull</x:v>
      </x:c>
      <x:c r="L239" s="6" t="str">
        <x:v>LOW</x:v>
      </x:c>
      <x:c r="M239" s="7" t="str">
        <x:v>2024-10-14 21:00:00-05:00</x:v>
      </x:c>
      <x:c r="N239" s="6" t="str">
        <x:v>75.0</x:v>
      </x:c>
      <x:c r="O239" s="6" t="str">
        <x:v>75-79</x:v>
      </x:c>
      <x:c r="P239" s="6" t="str">
        <x:v>Matching liquidity sweep only</x:v>
      </x:c>
      <x:c r="Q239" s="6" t="str">
        <x:v>Recent bear structure</x:v>
      </x:c>
      <x:c r="R239" s="6" t="str">
        <x:v>False</x:v>
      </x:c>
      <x:c r="S239" s="6" t="str">
        <x:v>True</x:v>
      </x:c>
      <x:c r="T239" s="6" t="str">
        <x:v>Recent BSL</x:v>
      </x:c>
      <x:c r="U239" s="6" t="str">
        <x:v>BSL</x:v>
      </x:c>
      <x:c r="V239" s="6" t="str">
        <x:v>Swing high / buy-side</x:v>
      </x:c>
      <x:c r="W239" s="6" t="str">
        <x:v>[19661.25]</x:v>
      </x:c>
      <x:c r="X239" s="8" t="str">
        <x:v>1</x:v>
      </x:c>
      <x:c r="Y239" s="8" t="str">
        <x:v>0.0</x:v>
      </x:c>
      <x:c r="Z239" s="6" t="str">
        <x:v>None</x:v>
      </x:c>
      <x:c r="AA239" s="6" t="str">
        <x:v>19615.5</x:v>
      </x:c>
      <x:c r="AB239" s="9" t="str">
        <x:v>-5.273639884926153</x:v>
      </x:c>
      <x:c r="AC239" s="9" t="str">
        <x:v>0.4680745459993627</x:v>
      </x:c>
      <x:c r="AD239" s="9" t="str">
        <x:v>1.3730186682647971</x:v>
      </x:c>
      <x:c r="AE239" s="6" t="str">
        <x:v>Against trade</x:v>
      </x:c>
      <x:c r="AF239" s="7" t="str">
        <x:v>2024-10-14 21:40:00-05:00</x:v>
      </x:c>
      <x:c r="AG239" s="6" t="str">
        <x:v>Short</x:v>
      </x:c>
      <x:c r="AH239" s="6" t="str">
        <x:v>19648.5</x:v>
      </x:c>
      <x:c r="AI239" s="8" t="str">
        <x:v>8</x:v>
      </x:c>
      <x:c r="AJ239" s="6" t="str">
        <x:v>False</x:v>
      </x:c>
      <x:c r="AK239" s="6" t="str">
        <x:v>Delayed BOS</x:v>
      </x:c>
      <x:c r="AL239" s="9" t="str">
        <x:v>0.4859928919349407</x:v>
      </x:c>
      <x:c r="AM239" s="9" t="str">
        <x:v>0.2616884802726604</x:v>
      </x:c>
      <x:c r="AN239" s="9" t="str">
        <x:v>0.5981450977660808</x:v>
      </x:c>
      <x:c r="AO239" s="9" t="str">
        <x:v>1.0093698524802615</x:v>
      </x:c>
      <x:c r="AP239" s="10" t="str">
        <x:v>0.5925925925925926</x:v>
      </x:c>
      <x:c r="AQ239" s="6" t="str">
        <x:v>0.07407407407407407</x:v>
      </x:c>
      <x:c r="AR239" s="6" t="str">
        <x:v>0.3333333333333333</x:v>
      </x:c>
      <x:c r="AS239" s="6" t="str">
        <x:v>With trade</x:v>
      </x:c>
      <x:c r="AT239" s="6" t="str">
        <x:v>0.8471026297416803</x:v>
      </x:c>
      <x:c r="AU239" s="7" t="str">
        <x:v>2024-10-14 21:45:00-05:00</x:v>
      </x:c>
      <x:c r="AV239" s="8" t="str">
        <x:v>1</x:v>
      </x:c>
      <x:c r="AW239" s="6" t="str">
        <x:v>Immediate retest (1 bar)</x:v>
      </x:c>
      <x:c r="AX239" s="6" t="str">
        <x:v>19650.0</x:v>
      </x:c>
      <x:c r="AY239" s="6" t="str">
        <x:v>1.5</x:v>
      </x:c>
      <x:c r="AZ239" s="9" t="str">
        <x:v>0.22718562011240748</x:v>
      </x:c>
      <x:c r="BA239" s="9" t="str">
        <x:v>0.1893213500936729</x:v>
      </x:c>
      <x:c r="BB239" s="9" t="str">
        <x:v>0.8330139404121608</x:v>
      </x:c>
      <x:c r="BC239" s="9" t="str">
        <x:v>0.03786427001873458</x:v>
      </x:c>
      <x:c r="BD239" s="6" t="str">
        <x:v>0.5</x:v>
      </x:c>
      <x:c r="BE239" s="6" t="str">
        <x:v>0.45454545454545453</x:v>
      </x:c>
      <x:c r="BF239" s="9" t="str">
        <x:v>0.4165069702060804</x:v>
      </x:c>
      <x:c r="BG239" s="9" t="str">
        <x:v>0.3786427001873458</x:v>
      </x:c>
      <x:c r="BH239" s="6" t="str">
        <x:v>Against trade</x:v>
      </x:c>
      <x:c r="BI239" s="6" t="str">
        <x:v>Penetration + same-bar reclaim</x:v>
      </x:c>
      <x:c r="BJ239" s="6" t="str">
        <x:v>False</x:v>
      </x:c>
      <x:c r="BK239" s="10" t="str">
        <x:v>True</x:v>
      </x:c>
      <x:c r="BL239" s="6" t="str">
        <x:v>True</x:v>
      </x:c>
      <x:c r="BM239" s="7" t="str">
        <x:v>2024-10-14 22:00:00-05:00</x:v>
      </x:c>
      <x:c r="BN239" s="8" t="str">
        <x:v>3</x:v>
      </x:c>
      <x:c r="BO239" s="6" t="str">
        <x:v>Delayed confirmation (2+ bars)</x:v>
      </x:c>
      <x:c r="BP239" s="9" t="str">
        <x:v>0.19316315464716122</x:v>
      </x:c>
      <x:c r="BQ239" s="9" t="str">
        <x:v>1.1976115588123994</x:v>
      </x:c>
      <x:c r="BR239" s="10" t="str">
        <x:v>0.16129032258064516</x:v>
      </x:c>
      <x:c r="BS239" s="9" t="str">
        <x:v>0.3090610474354579</x:v>
      </x:c>
      <x:c r="BT239" s="9" t="str">
        <x:v>0.11589789278829672</x:v>
      </x:c>
      <x:c r="BU239" s="9" t="str">
        <x:v>0.5794894639414836</x:v>
      </x:c>
      <x:c r="BV239" s="6" t="str">
        <x:v>With trade</x:v>
      </x:c>
      <x:c r="BW239" s="7" t="str">
        <x:v>2024-10-14 22:00:00-05:00</x:v>
      </x:c>
      <x:c r="BX239" s="6" t="str">
        <x:v>19646.5</x:v>
      </x:c>
      <x:c r="BY239" s="9" t="str">
        <x:v>6.471213427236137</x:v>
      </x:c>
      <x:c r="BZ239" s="9" t="str">
        <x:v>0.01</x:v>
      </x:c>
      <x:c r="CA239" s="6" t="str">
        <x:v>19656.206820140855</x:v>
      </x:c>
      <x:c r="CB239" s="6" t="str">
        <x:v>9.706820140854688</x:v>
      </x:c>
      <x:c r="CC239" s="9" t="str">
        <x:v>1.5000000000000746</x:v>
      </x:c>
      <x:c r="CD239" s="6" t="str">
        <x:v>19627.08635971829</x:v>
      </x:c>
      <x:c r="CE239" s="6" t="str">
        <x:v>19.413640281709377</x:v>
      </x:c>
      <x:c r="CF239" s="6" t="str">
        <x:v>Fixed 2.00R target</x:v>
      </x:c>
      <x:c r="CG239" s="9" t="str">
        <x:v>0.07468975313023195</x:v>
      </x:c>
      <x:c r="CH239" s="9" t="str">
        <x:v>-1.0</x:v>
      </x:c>
      <x:c r="CI239" s="9" t="str">
        <x:v>-1.074689753130232</x:v>
      </x:c>
      <x:c r="CJ239" s="6" t="str">
        <x:v>Loss</x:v>
      </x:c>
      <x:c r="CK239" s="9" t="str">
        <x:v>0.43783648386687696</x:v>
      </x:c>
      <x:c r="CL239" s="9" t="str">
        <x:v>1.1847340151691965</x:v>
      </x:c>
      <x:c r="CM239" s="7" t="str">
        <x:v>2024-10-14 22:25:00-05:00</x:v>
      </x:c>
      <x:c r="CN239" s="6" t="str">
        <x:v>19656.206820140855</x:v>
      </x:c>
      <x:c r="CO239" s="6" t="str">
        <x:v>STOP</x:v>
      </x:c>
      <x:c r="CP239" s="6" t="str">
        <x:v>F::Short::Delayed BOS::Penetration + same-bar reclaim</x:v>
      </x:c>
    </x:row>
    <x:row r="240" ht="18" customHeight="1">
      <x:c r="A240" s="6" t="str">
        <x:v>A0239</x:v>
      </x:c>
      <x:c r="B240" s="6" t="str">
        <x:v>2024-10-15</x:v>
      </x:c>
      <x:c r="C240" s="6" t="str">
        <x:v>2024</x:v>
      </x:c>
      <x:c r="D240" s="6" t="str">
        <x:v>2024-Q4</x:v>
      </x:c>
      <x:c r="E240" s="6" t="str">
        <x:v>First 50%</x:v>
      </x:c>
      <x:c r="F240" s="6" t="str">
        <x:v>Short</x:v>
      </x:c>
      <x:c r="G240" s="6" t="str">
        <x:v>Short</x:v>
      </x:c>
      <x:c r="H240" s="6" t="str">
        <x:v>Overnight</x:v>
      </x:c>
      <x:c r="I240" s="6" t="str">
        <x:v>Overnight</x:v>
      </x:c>
      <x:c r="J240" s="6" t="str">
        <x:v>Bull</x:v>
      </x:c>
      <x:c r="K240" s="6" t="str">
        <x:v>Bull</x:v>
      </x:c>
      <x:c r="L240" s="6" t="str">
        <x:v>HIGH</x:v>
      </x:c>
      <x:c r="M240" s="7" t="str">
        <x:v>2024-10-15 02:35:00-05:00</x:v>
      </x:c>
      <x:c r="N240" s="6" t="str">
        <x:v>75.0</x:v>
      </x:c>
      <x:c r="O240" s="6" t="str">
        <x:v>75-79</x:v>
      </x:c>
      <x:c r="P240" s="6" t="str">
        <x:v>Matching liquidity sweep only</x:v>
      </x:c>
      <x:c r="Q240" s="6" t="str">
        <x:v>Recent bear structure</x:v>
      </x:c>
      <x:c r="R240" s="6" t="str">
        <x:v>False</x:v>
      </x:c>
      <x:c r="S240" s="6" t="str">
        <x:v>True</x:v>
      </x:c>
      <x:c r="T240" s="6" t="str">
        <x:v>Recent BSL</x:v>
      </x:c>
      <x:c r="U240" s="6" t="str">
        <x:v>BSL</x:v>
      </x:c>
      <x:c r="V240" s="6" t="str">
        <x:v>Swing high / buy-side</x:v>
      </x:c>
      <x:c r="W240" s="6" t="str">
        <x:v>[19638.5]</x:v>
      </x:c>
      <x:c r="X240" s="8" t="str">
        <x:v>1</x:v>
      </x:c>
      <x:c r="Y240" s="8" t="str">
        <x:v>0.0</x:v>
      </x:c>
      <x:c r="Z240" s="6" t="str">
        <x:v>None</x:v>
      </x:c>
      <x:c r="AA240" s="6" t="str">
        <x:v>19612.75</x:v>
      </x:c>
      <x:c r="AB240" s="9" t="str">
        <x:v>-2.6711791763215653</x:v>
      </x:c>
      <x:c r="AC240" s="9" t="str">
        <x:v>0.5286708786469765</x:v>
      </x:c>
      <x:c r="AD240" s="9" t="str">
        <x:v>0.8903930587738551</x:v>
      </x:c>
      <x:c r="AE240" s="6" t="str">
        <x:v>Against trade</x:v>
      </x:c>
      <x:c r="AF240" s="7" t="str">
        <x:v>2024-10-15 03:15:00-05:00</x:v>
      </x:c>
      <x:c r="AG240" s="6" t="str">
        <x:v>Short</x:v>
      </x:c>
      <x:c r="AH240" s="6" t="str">
        <x:v>19614.75</x:v>
      </x:c>
      <x:c r="AI240" s="8" t="str">
        <x:v>8</x:v>
      </x:c>
      <x:c r="AJ240" s="6" t="str">
        <x:v>False</x:v>
      </x:c>
      <x:c r="AK240" s="6" t="str">
        <x:v>Delayed BOS</x:v>
      </x:c>
      <x:c r="AL240" s="9" t="str">
        <x:v>1.4079373637651251</x:v>
      </x:c>
      <x:c r="AM240" s="9" t="str">
        <x:v>0.27655912502529245</x:v>
      </x:c>
      <x:c r="AN240" s="9" t="str">
        <x:v>1.3073704092104734</x:v>
      </x:c>
      <x:c r="AO240" s="9" t="str">
        <x:v>1.5839295342357658</x:v>
      </x:c>
      <x:c r="AP240" s="10" t="str">
        <x:v>0.8253968253968254</x:v>
      </x:c>
      <x:c r="AQ240" s="6" t="str">
        <x:v>0.047619047619047616</x:v>
      </x:c>
      <x:c r="AR240" s="6" t="str">
        <x:v>0.12698412698412698</x:v>
      </x:c>
      <x:c r="AS240" s="6" t="str">
        <x:v>With trade</x:v>
      </x:c>
      <x:c r="AT240" s="6" t="str">
        <x:v>1.660723382577687</x:v>
      </x:c>
      <x:c r="AU240" s="7" t="str">
        <x:v>2024-10-15 03:20:00-05:00</x:v>
      </x:c>
      <x:c r="AV240" s="8" t="str">
        <x:v>1</x:v>
      </x:c>
      <x:c r="AW240" s="6" t="str">
        <x:v>Immediate retest (1 bar)</x:v>
      </x:c>
      <x:c r="AX240" s="6" t="str">
        <x:v>19615.25</x:v>
      </x:c>
      <x:c r="AY240" s="6" t="str">
        <x:v>0.5</x:v>
      </x:c>
      <x:c r="AZ240" s="9" t="str">
        <x:v>0.049376754539232515</x:v>
      </x:c>
      <x:c r="BA240" s="9" t="str">
        <x:v>1.061600222593499</x:v>
      </x:c>
      <x:c r="BB240" s="9" t="str">
        <x:v>1.2344188634808129</x:v>
      </x:c>
      <x:c r="BC240" s="9" t="str">
        <x:v>0.864093204436569</x:v>
      </x:c>
      <x:c r="BD240" s="6" t="str">
        <x:v>0.2</x:v>
      </x:c>
      <x:c r="BE240" s="6" t="str">
        <x:v>0.1</x:v>
      </x:c>
      <x:c r="BF240" s="9" t="str">
        <x:v>0.24688377269616257</x:v>
      </x:c>
      <x:c r="BG240" s="9" t="str">
        <x:v>0.12344188634808129</x:v>
      </x:c>
      <x:c r="BH240" s="6" t="str">
        <x:v>With trade</x:v>
      </x:c>
      <x:c r="BI240" s="6" t="str">
        <x:v>Penetration + same-bar reclaim</x:v>
      </x:c>
      <x:c r="BJ240" s="6" t="str">
        <x:v>False</x:v>
      </x:c>
      <x:c r="BK240" s="10" t="str">
        <x:v>True</x:v>
      </x:c>
      <x:c r="BL240" s="6" t="str">
        <x:v>True</x:v>
      </x:c>
      <x:c r="BM240" s="7" t="str">
        <x:v>2024-10-15 03:25:00-05:00</x:v>
      </x:c>
      <x:c r="BN240" s="8" t="str">
        <x:v>1</x:v>
      </x:c>
      <x:c r="BO240" s="6" t="str">
        <x:v>Immediate confirmation (1 bar)</x:v>
      </x:c>
      <x:c r="BP240" s="9" t="str">
        <x:v>0.9469901172989776</x:v>
      </x:c>
      <x:c r="BQ240" s="9" t="str">
        <x:v>1.2140898939730482</x:v>
      </x:c>
      <x:c r="BR240" s="10" t="str">
        <x:v>0.78</x:v>
      </x:c>
      <x:c r="BS240" s="9" t="str">
        <x:v>2.039671021874721</x:v>
      </x:c>
      <x:c r="BT240" s="9" t="str">
        <x:v>0.9955537130578996</x:v>
      </x:c>
      <x:c r="BU240" s="9" t="str">
        <x:v>0.16997258515622676</x:v>
      </x:c>
      <x:c r="BV240" s="6" t="str">
        <x:v>With trade</x:v>
      </x:c>
      <x:c r="BW240" s="7" t="str">
        <x:v>2024-10-15 03:25:00-05:00</x:v>
      </x:c>
      <x:c r="BX240" s="6" t="str">
        <x:v>19593.75</x:v>
      </x:c>
      <x:c r="BY240" s="9" t="str">
        <x:v>10.295777983205491</x:v>
      </x:c>
      <x:c r="BZ240" s="9" t="str">
        <x:v>1.0</x:v>
      </x:c>
      <x:c r="CA240" s="6" t="str">
        <x:v>19609.193666974807</x:v>
      </x:c>
      <x:c r="CB240" s="6" t="str">
        <x:v>15.443666974806547</x:v>
      </x:c>
      <x:c r="CC240" s="9" t="str">
        <x:v>1.499999999999836</x:v>
      </x:c>
      <x:c r="CD240" s="6" t="str">
        <x:v>19562.862666050383</x:v>
      </x:c>
      <x:c r="CE240" s="6" t="str">
        <x:v>30.887333949616732</x:v>
      </x:c>
      <x:c r="CF240" s="6" t="str">
        <x:v>Fixed 2.00R target</x:v>
      </x:c>
      <x:c r="CG240" s="9" t="str">
        <x:v>0.04694480923362967</x:v>
      </x:c>
      <x:c r="CH240" s="9" t="str">
        <x:v>-1.0</x:v>
      </x:c>
      <x:c r="CI240" s="9" t="str">
        <x:v>-1.0469448092336298</x:v>
      </x:c>
      <x:c r="CJ240" s="6" t="str">
        <x:v>Loss</x:v>
      </x:c>
      <x:c r="CK240" s="9" t="str">
        <x:v>0.3075694398065392</x:v>
      </x:c>
      <x:c r="CL240" s="9" t="str">
        <x:v>1.0683991066963994</x:v>
      </x:c>
      <x:c r="CM240" s="7" t="str">
        <x:v>2024-10-15 03:45:00-05:00</x:v>
      </x:c>
      <x:c r="CN240" s="6" t="str">
        <x:v>19609.193666974807</x:v>
      </x:c>
      <x:c r="CO240" s="6" t="str">
        <x:v>STOP</x:v>
      </x:c>
      <x:c r="CP240" s="6" t="str">
        <x:v>F::Short::Delayed BOS::Penetration + same-bar reclaim</x:v>
      </x:c>
    </x:row>
    <x:row r="241" ht="18" customHeight="1">
      <x:c r="A241" s="6" t="str">
        <x:v>A0240</x:v>
      </x:c>
      <x:c r="B241" s="6" t="str">
        <x:v>2024-10-16</x:v>
      </x:c>
      <x:c r="C241" s="6" t="str">
        <x:v>2024</x:v>
      </x:c>
      <x:c r="D241" s="6" t="str">
        <x:v>2024-Q4</x:v>
      </x:c>
      <x:c r="E241" s="6" t="str">
        <x:v>First 50%</x:v>
      </x:c>
      <x:c r="F241" s="6" t="str">
        <x:v>Short</x:v>
      </x:c>
      <x:c r="G241" s="6" t="str">
        <x:v>Short</x:v>
      </x:c>
      <x:c r="H241" s="6" t="str">
        <x:v>Overnight</x:v>
      </x:c>
      <x:c r="I241" s="6" t="str">
        <x:v>Overnight</x:v>
      </x:c>
      <x:c r="J241" s="6" t="str">
        <x:v>Bear</x:v>
      </x:c>
      <x:c r="K241" s="6" t="str">
        <x:v>Bear</x:v>
      </x:c>
      <x:c r="L241" s="6" t="str">
        <x:v>LOW</x:v>
      </x:c>
      <x:c r="M241" s="7" t="str">
        <x:v>2024-10-16 00:05:00-05:00</x:v>
      </x:c>
      <x:c r="N241" s="6" t="str">
        <x:v>90.0</x:v>
      </x:c>
      <x:c r="O241" s="6" t="str">
        <x:v>90-94</x:v>
      </x:c>
      <x:c r="P241" s="6" t="str">
        <x:v>Matching BOS only</x:v>
      </x:c>
      <x:c r="Q241" s="6" t="str">
        <x:v>Bear CHoCH</x:v>
      </x:c>
      <x:c r="R241" s="6" t="str">
        <x:v>True</x:v>
      </x:c>
      <x:c r="S241" s="6" t="str">
        <x:v>False</x:v>
      </x:c>
      <x:c r="T241" s="6" t="str">
        <x:v>Recent BSL</x:v>
      </x:c>
      <x:c r="U241" s="6" t="str">
        <x:v>BSL</x:v>
      </x:c>
      <x:c r="V241" s="6" t="str">
        <x:v>Swing high / buy-side</x:v>
      </x:c>
      <x:c r="W241" s="6" t="str">
        <x:v>[19414.75]</x:v>
      </x:c>
      <x:c r="X241" s="8" t="str">
        <x:v>1</x:v>
      </x:c>
      <x:c r="Y241" s="8" t="str">
        <x:v>14.0</x:v>
      </x:c>
      <x:c r="Z241" s="6" t="str">
        <x:v>None</x:v>
      </x:c>
      <x:c r="AA241" s="6" t="str">
        <x:v>19408.5</x:v>
      </x:c>
      <x:c r="AB241" s="9" t="str">
        <x:v>0.5965454902324615</x:v>
      </x:c>
      <x:c r="AC241" s="9" t="str">
        <x:v>1.9089455687438768</x:v>
      </x:c>
      <x:c r="AD241" s="9" t="str">
        <x:v>2.3464122615810155</x:v>
      </x:c>
      <x:c r="AE241" s="6" t="str">
        <x:v>With trade</x:v>
      </x:c>
      <x:c r="AF241" s="7" t="str">
        <x:v>2024-10-16 00:05:00-05:00</x:v>
      </x:c>
      <x:c r="AG241" s="6" t="str">
        <x:v>Short</x:v>
      </x:c>
      <x:c r="AH241" s="6" t="str">
        <x:v>19408.5</x:v>
      </x:c>
      <x:c r="AI241" s="8" t="str">
        <x:v>0</x:v>
      </x:c>
      <x:c r="AJ241" s="6" t="str">
        <x:v>True</x:v>
      </x:c>
      <x:c r="AK241" s="6" t="str">
        <x:v>Same-bar Setup+BOS</x:v>
      </x:c>
      <x:c r="AL241" s="9" t="str">
        <x:v>1.869175869395046</x:v>
      </x:c>
      <x:c r="AM241" s="9" t="str">
        <x:v>0.5965454902324615</x:v>
      </x:c>
      <x:c r="AN241" s="9" t="str">
        <x:v>1.9089455687438768</x:v>
      </x:c>
      <x:c r="AO241" s="9" t="str">
        <x:v>2.3464122615810155</x:v>
      </x:c>
      <x:c r="AP241" s="10" t="str">
        <x:v>0.8135593220338984</x:v>
      </x:c>
      <x:c r="AQ241" s="6" t="str">
        <x:v>0.06779661016949153</x:v>
      </x:c>
      <x:c r="AR241" s="6" t="str">
        <x:v>0.11864406779661017</x:v>
      </x:c>
      <x:c r="AS241" s="6" t="str">
        <x:v>With trade</x:v>
      </x:c>
      <x:c r="AT241" s="6" t="str">
        <x:v>2.1275309761257177</x:v>
      </x:c>
      <x:c r="AU241" s="7" t="str">
        <x:v>2024-10-16 00:10:00-05:00</x:v>
      </x:c>
      <x:c r="AV241" s="8" t="str">
        <x:v>1</x:v>
      </x:c>
      <x:c r="AW241" s="6" t="str">
        <x:v>Immediate retest (1 bar)</x:v>
      </x:c>
      <x:c r="AX241" s="6" t="str">
        <x:v>19409.5</x:v>
      </x:c>
      <x:c r="AY241" s="6" t="str">
        <x:v>1.0</x:v>
      </x:c>
      <x:c r="AZ241" s="9" t="str">
        <x:v>0.1595978005008349</x:v>
      </x:c>
      <x:c r="BA241" s="9" t="str">
        <x:v>-0.03989945012520873</x:v>
      </x:c>
      <x:c r="BB241" s="9" t="str">
        <x:v>0.9575868030050094</x:v>
      </x:c>
      <x:c r="BC241" s="9" t="str">
        <x:v>0.3191956010016698</x:v>
      </x:c>
      <x:c r="BD241" s="6" t="str">
        <x:v>0.125</x:v>
      </x:c>
      <x:c r="BE241" s="6" t="str">
        <x:v>0.5416666666666666</x:v>
      </x:c>
      <x:c r="BF241" s="9" t="str">
        <x:v>0.11969835037562618</x:v>
      </x:c>
      <x:c r="BG241" s="9" t="str">
        <x:v>0.5186928516277134</x:v>
      </x:c>
      <x:c r="BH241" s="6" t="str">
        <x:v>Against trade</x:v>
      </x:c>
      <x:c r="BI241" s="6" t="str">
        <x:v>Penetration without same-bar reclaim</x:v>
      </x:c>
      <x:c r="BJ241" s="6" t="str">
        <x:v>False</x:v>
      </x:c>
      <x:c r="BK241" s="10" t="str">
        <x:v>True</x:v>
      </x:c>
      <x:c r="BL241" s="6" t="str">
        <x:v>False</x:v>
      </x:c>
      <x:c r="BM241" s="7" t="str">
        <x:v>2024-10-16 00:15:00-05:00</x:v>
      </x:c>
      <x:c r="BN241" s="8" t="str">
        <x:v>1</x:v>
      </x:c>
      <x:c r="BO241" s="6" t="str">
        <x:v>Immediate confirmation (1 bar)</x:v>
      </x:c>
      <x:c r="BP241" s="9" t="str">
        <x:v>0.682302230897203</x:v>
      </x:c>
      <x:c r="BQ241" s="9" t="str">
        <x:v>0.9231147829785687</x:v>
      </x:c>
      <x:c r="BR241" s="10" t="str">
        <x:v>0.7391304347826086</x:v>
      </x:c>
      <x:c r="BS241" s="9" t="str">
        <x:v>0.6421668055503087</x:v>
      </x:c>
      <x:c r="BT241" s="9" t="str">
        <x:v>0.682302230897203</x:v>
      </x:c>
      <x:c r="BU241" s="9" t="str">
        <x:v>0.0</x:v>
      </x:c>
      <x:c r="BV241" s="6" t="str">
        <x:v>With trade</x:v>
      </x:c>
      <x:c r="BW241" s="7" t="str">
        <x:v>2024-10-16 00:15:00-05:00</x:v>
      </x:c>
      <x:c r="BX241" s="6" t="str">
        <x:v>19404.5</x:v>
      </x:c>
      <x:c r="BY241" s="9" t="str">
        <x:v>6.228911188537962</x:v>
      </x:c>
      <x:c r="BZ241" s="9" t="str">
        <x:v>0.11</x:v>
      </x:c>
      <x:c r="CA241" s="6" t="str">
        <x:v>19413.843366782807</x:v>
      </x:c>
      <x:c r="CB241" s="6" t="str">
        <x:v>9.343366782806697</x:v>
      </x:c>
      <x:c r="CC241" s="9" t="str">
        <x:v>1.4999999999999605</x:v>
      </x:c>
      <x:c r="CD241" s="6" t="str">
        <x:v>19385.813266434387</x:v>
      </x:c>
      <x:c r="CE241" s="6" t="str">
        <x:v>18.686733565613395</x:v>
      </x:c>
      <x:c r="CF241" s="6" t="str">
        <x:v>Fixed 2.00R target</x:v>
      </x:c>
      <x:c r="CG241" s="9" t="str">
        <x:v>0.07759515567066434</x:v>
      </x:c>
      <x:c r="CH241" s="9" t="str">
        <x:v>-1.0</x:v>
      </x:c>
      <x:c r="CI241" s="9" t="str">
        <x:v>-1.0775951556706644</x:v>
      </x:c>
      <x:c r="CJ241" s="6" t="str">
        <x:v>Loss</x:v>
      </x:c>
      <x:c r="CK241" s="9" t="str">
        <x:v>0.32108340277516284</x:v>
      </x:c>
      <x:c r="CL241" s="9" t="str">
        <x:v>1.7124448148008684</x:v>
      </x:c>
      <x:c r="CM241" s="7" t="str">
        <x:v>2024-10-16 00:25:00-05:00</x:v>
      </x:c>
      <x:c r="CN241" s="6" t="str">
        <x:v>19413.843366782807</x:v>
      </x:c>
      <x:c r="CO241" s="6" t="str">
        <x:v>STOP</x:v>
      </x:c>
      <x:c r="CP241" s="6" t="str">
        <x:v>F::Short::Same-bar Setup+BOS::Penetration without same-bar reclaim</x:v>
      </x:c>
    </x:row>
    <x:row r="242" ht="18" customHeight="1">
      <x:c r="A242" s="6" t="str">
        <x:v>A0241</x:v>
      </x:c>
      <x:c r="B242" s="6" t="str">
        <x:v>2024-10-16</x:v>
      </x:c>
      <x:c r="C242" s="6" t="str">
        <x:v>2024</x:v>
      </x:c>
      <x:c r="D242" s="6" t="str">
        <x:v>2024-Q4</x:v>
      </x:c>
      <x:c r="E242" s="6" t="str">
        <x:v>First 50%</x:v>
      </x:c>
      <x:c r="F242" s="6" t="str">
        <x:v>Short</x:v>
      </x:c>
      <x:c r="G242" s="6" t="str">
        <x:v>Short</x:v>
      </x:c>
      <x:c r="H242" s="6" t="str">
        <x:v>Overnight</x:v>
      </x:c>
      <x:c r="I242" s="6" t="str">
        <x:v>Overnight</x:v>
      </x:c>
      <x:c r="J242" s="6" t="str">
        <x:v>Bear</x:v>
      </x:c>
      <x:c r="K242" s="6" t="str">
        <x:v>Bear</x:v>
      </x:c>
      <x:c r="L242" s="6" t="str">
        <x:v>MID</x:v>
      </x:c>
      <x:c r="M242" s="7" t="str">
        <x:v>2024-10-16 00:30:00-05:00</x:v>
      </x:c>
      <x:c r="N242" s="6" t="str">
        <x:v>75.0</x:v>
      </x:c>
      <x:c r="O242" s="6" t="str">
        <x:v>75-79</x:v>
      </x:c>
      <x:c r="P242" s="6" t="str">
        <x:v>Matching liquidity sweep only</x:v>
      </x:c>
      <x:c r="Q242" s="6" t="str">
        <x:v>Recent bear structure</x:v>
      </x:c>
      <x:c r="R242" s="6" t="str">
        <x:v>False</x:v>
      </x:c>
      <x:c r="S242" s="6" t="str">
        <x:v>True</x:v>
      </x:c>
      <x:c r="T242" s="6" t="str">
        <x:v>Recent BSL</x:v>
      </x:c>
      <x:c r="U242" s="6" t="str">
        <x:v>BSL</x:v>
      </x:c>
      <x:c r="V242" s="6" t="str">
        <x:v>Swing high / buy-side</x:v>
      </x:c>
      <x:c r="W242" s="6" t="str">
        <x:v>[19421.25]</x:v>
      </x:c>
      <x:c r="X242" s="8" t="str">
        <x:v>1</x:v>
      </x:c>
      <x:c r="Y242" s="8" t="str">
        <x:v>0.0</x:v>
      </x:c>
      <x:c r="Z242" s="6" t="str">
        <x:v>Sweep above CRT reference</x:v>
      </x:c>
      <x:c r="AA242" s="6" t="str">
        <x:v>19408.5</x:v>
      </x:c>
      <x:c r="AB242" s="9" t="str">
        <x:v>-0.962235909275337</x:v>
      </x:c>
      <x:c r="AC242" s="9" t="str">
        <x:v>0.4989371381427673</x:v>
      </x:c>
      <x:c r="AD242" s="9" t="str">
        <x:v>1.389896313397709</x:v>
      </x:c>
      <x:c r="AE242" s="6" t="str">
        <x:v>With trade</x:v>
      </x:c>
      <x:c r="AF242" s="7" t="str">
        <x:v>2024-10-16 01:10:00-05:00</x:v>
      </x:c>
      <x:c r="AG242" s="6" t="str">
        <x:v>Short</x:v>
      </x:c>
      <x:c r="AH242" s="6" t="str">
        <x:v>19401.5</x:v>
      </x:c>
      <x:c r="AI242" s="8" t="str">
        <x:v>8</x:v>
      </x:c>
      <x:c r="AJ242" s="6" t="str">
        <x:v>False</x:v>
      </x:c>
      <x:c r="AK242" s="6" t="str">
        <x:v>Delayed BOS</x:v>
      </x:c>
      <x:c r="AL242" s="9" t="str">
        <x:v>0.24100137976164654</x:v>
      </x:c>
      <x:c r="AM242" s="9" t="str">
        <x:v>0.21087620729144074</x:v>
      </x:c>
      <x:c r="AN242" s="9" t="str">
        <x:v>0.030125172470205817</x:v>
      </x:c>
      <x:c r="AO242" s="9" t="str">
        <x:v>1.1146313813976152</x:v>
      </x:c>
      <x:c r="AP242" s="10" t="str">
        <x:v>0.02702702702702703</x:v>
      </x:c>
      <x:c r="AQ242" s="6" t="str">
        <x:v>0.2702702702702703</x:v>
      </x:c>
      <x:c r="AR242" s="6" t="str">
        <x:v>0.7027027027027027</x:v>
      </x:c>
      <x:c r="AS242" s="6" t="str">
        <x:v>With trade</x:v>
      </x:c>
      <x:c r="AT242" s="6" t="str">
        <x:v>1.6114662018206471</x:v>
      </x:c>
      <x:c r="AU242" s="7" t="str">
        <x:v>2024-10-16 01:15:00-05:00</x:v>
      </x:c>
      <x:c r="AV242" s="8" t="str">
        <x:v>1</x:v>
      </x:c>
      <x:c r="AW242" s="6" t="str">
        <x:v>Immediate retest (1 bar)</x:v>
      </x:c>
      <x:c r="AX242" s="6" t="str">
        <x:v>19406.25</x:v>
      </x:c>
      <x:c r="AY242" s="6" t="str">
        <x:v>4.75</x:v>
      </x:c>
      <x:c r="AZ242" s="9" t="str">
        <x:v>0.5677297309822682</x:v>
      </x:c>
      <x:c r="BA242" s="9" t="str">
        <x:v>0.3585661458835378</x:v>
      </x:c>
      <x:c r="BB242" s="9" t="str">
        <x:v>1.1055789498075748</x:v>
      </x:c>
      <x:c r="BC242" s="9" t="str">
        <x:v>0.20916358509873037</x:v>
      </x:c>
      <x:c r="BD242" s="6" t="str">
        <x:v>0.6486486486486487</x:v>
      </x:c>
      <x:c r="BE242" s="6" t="str">
        <x:v>0.16216216216216217</x:v>
      </x:c>
      <x:c r="BF242" s="9" t="str">
        <x:v>0.7171322917670756</x:v>
      </x:c>
      <x:c r="BG242" s="9" t="str">
        <x:v>0.1792830729417689</x:v>
      </x:c>
      <x:c r="BH242" s="6" t="str">
        <x:v>With trade</x:v>
      </x:c>
      <x:c r="BI242" s="6" t="str">
        <x:v>Penetration + same-bar reclaim</x:v>
      </x:c>
      <x:c r="BJ242" s="6" t="str">
        <x:v>False</x:v>
      </x:c>
      <x:c r="BK242" s="10" t="str">
        <x:v>True</x:v>
      </x:c>
      <x:c r="BL242" s="6" t="str">
        <x:v>True</x:v>
      </x:c>
      <x:c r="BM242" s="7" t="str">
        <x:v>2024-10-16 01:20:00-05:00</x:v>
      </x:c>
      <x:c r="BN242" s="8" t="str">
        <x:v>1</x:v>
      </x:c>
      <x:c r="BO242" s="6" t="str">
        <x:v>Immediate confirmation (1 bar)</x:v>
      </x:c>
      <x:c r="BP242" s="9" t="str">
        <x:v>0.1806194587101242</x:v>
      </x:c>
      <x:c r="BQ242" s="9" t="str">
        <x:v>0.8428908073139129</x:v>
      </x:c>
      <x:c r="BR242" s="10" t="str">
        <x:v>0.21428571428571427</x:v>
      </x:c>
      <x:c r="BS242" s="9" t="str">
        <x:v>0.6622713486037887</x:v>
      </x:c>
      <x:c r="BT242" s="9" t="str">
        <x:v>0.30103243118354034</x:v>
      </x:c>
      <x:c r="BU242" s="9" t="str">
        <x:v>0.060206486236708066</x:v>
      </x:c>
      <x:c r="BV242" s="6" t="str">
        <x:v>With trade</x:v>
      </x:c>
      <x:c r="BW242" s="7" t="str">
        <x:v>2024-10-16 01:20:00-05:00</x:v>
      </x:c>
      <x:c r="BX242" s="6" t="str">
        <x:v>19396.0</x:v>
      </x:c>
      <x:c r="BY242" s="9" t="str">
        <x:v>8.30475304661026</x:v>
      </x:c>
      <x:c r="BZ242" s="9" t="str">
        <x:v>0.41</x:v>
      </x:c>
      <x:c r="CA242" s="6" t="str">
        <x:v>19408.457129569917</x:v>
      </x:c>
      <x:c r="CB242" s="6" t="str">
        <x:v>12.457129569917015</x:v>
      </x:c>
      <x:c r="CC242" s="9" t="str">
        <x:v>1.5000000000001956</x:v>
      </x:c>
      <x:c r="CD242" s="6" t="str">
        <x:v>19371.08574086017</x:v>
      </x:c>
      <x:c r="CE242" s="6" t="str">
        <x:v>24.914259139830392</x:v>
      </x:c>
      <x:c r="CF242" s="6" t="str">
        <x:v>Fixed 2.00R target</x:v>
      </x:c>
      <x:c r="CG242" s="9" t="str">
        <x:v>0.05819960336214354</x:v>
      </x:c>
      <x:c r="CH242" s="9" t="str">
        <x:v>-1.0</x:v>
      </x:c>
      <x:c r="CI242" s="9" t="str">
        <x:v>-1.0581996033621435</x:v>
      </x:c>
      <x:c r="CJ242" s="6" t="str">
        <x:v>Loss</x:v>
      </x:c>
      <x:c r="CK242" s="9" t="str">
        <x:v>0.381307746165768</x:v>
      </x:c>
      <x:c r="CL242" s="9" t="str">
        <x:v>1.003441437278337</x:v>
      </x:c>
      <x:c r="CM242" s="7" t="str">
        <x:v>2024-10-16 01:40:00-05:00</x:v>
      </x:c>
      <x:c r="CN242" s="6" t="str">
        <x:v>19408.457129569917</x:v>
      </x:c>
      <x:c r="CO242" s="6" t="str">
        <x:v>STOP</x:v>
      </x:c>
      <x:c r="CP242" s="6" t="str">
        <x:v>F::Short::Delayed BOS::Penetration + same-bar reclaim</x:v>
      </x:c>
    </x:row>
    <x:row r="243" ht="18" customHeight="1">
      <x:c r="A243" s="6" t="str">
        <x:v>A0242</x:v>
      </x:c>
      <x:c r="B243" s="6" t="str">
        <x:v>2024-10-16</x:v>
      </x:c>
      <x:c r="C243" s="6" t="str">
        <x:v>2024</x:v>
      </x:c>
      <x:c r="D243" s="6" t="str">
        <x:v>2024-Q4</x:v>
      </x:c>
      <x:c r="E243" s="6" t="str">
        <x:v>First 50%</x:v>
      </x:c>
      <x:c r="F243" s="6" t="str">
        <x:v>Long</x:v>
      </x:c>
      <x:c r="G243" s="6" t="str">
        <x:v>Long</x:v>
      </x:c>
      <x:c r="H243" s="6" t="str">
        <x:v>Premarket</x:v>
      </x:c>
      <x:c r="I243" s="6" t="str">
        <x:v>Premarket</x:v>
      </x:c>
      <x:c r="J243" s="6" t="str">
        <x:v>Bear</x:v>
      </x:c>
      <x:c r="K243" s="6" t="str">
        <x:v>Bear</x:v>
      </x:c>
      <x:c r="L243" s="6" t="str">
        <x:v>MID</x:v>
      </x:c>
      <x:c r="M243" s="7" t="str">
        <x:v>2024-10-16 06:05:00-05:00</x:v>
      </x:c>
      <x:c r="N243" s="6" t="str">
        <x:v>90.0</x:v>
      </x:c>
      <x:c r="O243" s="6" t="str">
        <x:v>90-94</x:v>
      </x:c>
      <x:c r="P243" s="6" t="str">
        <x:v>Matching BOS only</x:v>
      </x:c>
      <x:c r="Q243" s="6" t="str">
        <x:v>Bull CHoCH</x:v>
      </x:c>
      <x:c r="R243" s="6" t="str">
        <x:v>True</x:v>
      </x:c>
      <x:c r="S243" s="6" t="str">
        <x:v>False</x:v>
      </x:c>
      <x:c r="T243" s="6" t="str">
        <x:v>Recent SSL</x:v>
      </x:c>
      <x:c r="U243" s="6" t="str">
        <x:v>SSL</x:v>
      </x:c>
      <x:c r="V243" s="6" t="str">
        <x:v>Swing low / sell-side</x:v>
      </x:c>
      <x:c r="W243" s="6" t="str">
        <x:v>[19376.25]</x:v>
      </x:c>
      <x:c r="X243" s="8" t="str">
        <x:v>1</x:v>
      </x:c>
      <x:c r="Y243" s="8" t="str">
        <x:v>10.0</x:v>
      </x:c>
      <x:c r="Z243" s="6" t="str">
        <x:v>Sweep below CRT reference</x:v>
      </x:c>
      <x:c r="AA243" s="6" t="str">
        <x:v>19393.25</x:v>
      </x:c>
      <x:c r="AB243" s="9" t="str">
        <x:v>0.0799591613429482</x:v>
      </x:c>
      <x:c r="AC243" s="9" t="str">
        <x:v>0.7196324520865338</x:v>
      </x:c>
      <x:c r="AD243" s="9" t="str">
        <x:v>1.3593057428301194</x:v>
      </x:c>
      <x:c r="AE243" s="6" t="str">
        <x:v>With trade</x:v>
      </x:c>
      <x:c r="AF243" s="7" t="str">
        <x:v>2024-10-16 06:05:00-05:00</x:v>
      </x:c>
      <x:c r="AG243" s="6" t="str">
        <x:v>Long</x:v>
      </x:c>
      <x:c r="AH243" s="6" t="str">
        <x:v>19393.25</x:v>
      </x:c>
      <x:c r="AI243" s="8" t="str">
        <x:v>0</x:v>
      </x:c>
      <x:c r="AJ243" s="6" t="str">
        <x:v>True</x:v>
      </x:c>
      <x:c r="AK243" s="6" t="str">
        <x:v>Same-bar Setup+BOS</x:v>
      </x:c>
      <x:c r="AL243" s="9" t="str">
        <x:v>0.6663263445245683</x:v>
      </x:c>
      <x:c r="AM243" s="9" t="str">
        <x:v>0.0799591613429482</x:v>
      </x:c>
      <x:c r="AN243" s="9" t="str">
        <x:v>0.7196324520865338</x:v>
      </x:c>
      <x:c r="AO243" s="9" t="str">
        <x:v>1.3593057428301194</x:v>
      </x:c>
      <x:c r="AP243" s="10" t="str">
        <x:v>0.5294117647058824</x:v>
      </x:c>
      <x:c r="AQ243" s="6" t="str">
        <x:v>0.0784313725490196</x:v>
      </x:c>
      <x:c r="AR243" s="6" t="str">
        <x:v>0.39215686274509803</x:v>
      </x:c>
      <x:c r="AS243" s="6" t="str">
        <x:v>With trade</x:v>
      </x:c>
      <x:c r="AT243" s="6" t="str">
        <x:v>1.0234113712374582</x:v>
      </x:c>
      <x:c r="AU243" s="7" t="str">
        <x:v>2024-10-16 06:10:00-05:00</x:v>
      </x:c>
      <x:c r="AV243" s="8" t="str">
        <x:v>1</x:v>
      </x:c>
      <x:c r="AW243" s="6" t="str">
        <x:v>Immediate retest (1 bar)</x:v>
      </x:c>
      <x:c r="AX243" s="6" t="str">
        <x:v>19393.75</x:v>
      </x:c>
      <x:c r="AY243" s="6" t="str">
        <x:v>0.0</x:v>
      </x:c>
      <x:c r="AZ243" s="9" t="str">
        <x:v>0.0</x:v>
      </x:c>
      <x:c r="BA243" s="9" t="str">
        <x:v>0.6255476119676379</x:v>
      </x:c>
      <x:c r="BB243" s="9" t="str">
        <x:v>0.734338501005488</x:v>
      </x:c>
      <x:c r="BC243" s="9" t="str">
        <x:v>0.5711521674487129</x:v>
      </x:c>
      <x:c r="BD243" s="6" t="str">
        <x:v>0.2222222222222222</x:v>
      </x:c>
      <x:c r="BE243" s="6" t="str">
        <x:v>0.0</x:v>
      </x:c>
      <x:c r="BF243" s="9" t="str">
        <x:v>0.0</x:v>
      </x:c>
      <x:c r="BG243" s="9" t="str">
        <x:v>0.16318633355677511</x:v>
      </x:c>
      <x:c r="BH243" s="6" t="str">
        <x:v>With trade</x:v>
      </x:c>
      <x:c r="BI243" s="6" t="str">
        <x:v>Tolerance-only shallow touch</x:v>
      </x:c>
      <x:c r="BJ243" s="6" t="str">
        <x:v>True</x:v>
      </x:c>
      <x:c r="BK243" s="10" t="str">
        <x:v>False</x:v>
      </x:c>
      <x:c r="BL243" s="6" t="str">
        <x:v>True</x:v>
      </x:c>
      <x:c r="BM243" s="7" t="str">
        <x:v>2024-10-16 06:15:00-05:00</x:v>
      </x:c>
      <x:c r="BN243" s="8" t="str">
        <x:v>1</x:v>
      </x:c>
      <x:c r="BO243" s="6" t="str">
        <x:v>Immediate confirmation (1 bar)</x:v>
      </x:c>
      <x:c r="BP243" s="9" t="str">
        <x:v>0.4453446743866999</x:v>
      </x:c>
      <x:c r="BQ243" s="9" t="str">
        <x:v>0.6958510537292186</x:v>
      </x:c>
      <x:c r="BR243" s="10" t="str">
        <x:v>0.64</x:v>
      </x:c>
      <x:c r="BS243" s="9" t="str">
        <x:v>1.1411957281159184</x:v>
      </x:c>
      <x:c r="BT243" s="9" t="str">
        <x:v>0.5010127586850374</x:v>
      </x:c>
      <x:c r="BU243" s="9" t="str">
        <x:v>0.11133616859667497</x:v>
      </x:c>
      <x:c r="BV243" s="6" t="str">
        <x:v>With trade</x:v>
      </x:c>
      <x:c r="BW243" s="7" t="str">
        <x:v>2024-10-16 06:15:00-05:00</x:v>
      </x:c>
      <x:c r="BX243" s="6" t="str">
        <x:v>19403.5</x:v>
      </x:c>
      <x:c r="BY243" s="9" t="str">
        <x:v>8.981807193514873</x:v>
      </x:c>
      <x:c r="BZ243" s="9" t="str">
        <x:v>0.49</x:v>
      </x:c>
      <x:c r="CA243" s="6" t="str">
        <x:v>19390.027289209727</x:v>
      </x:c>
      <x:c r="CB243" s="6" t="str">
        <x:v>13.472710790272686</x:v>
      </x:c>
      <x:c r="CC243" s="9" t="str">
        <x:v>1.5000000000000417</x:v>
      </x:c>
      <x:c r="CD243" s="6" t="str">
        <x:v>19430.445421580545</x:v>
      </x:c>
      <x:c r="CE243" s="6" t="str">
        <x:v>26.94542158054537</x:v>
      </x:c>
      <x:c r="CF243" s="6" t="str">
        <x:v>Fixed 2.00R target</x:v>
      </x:c>
      <x:c r="CG243" s="9" t="str">
        <x:v>0.0538124814883914</x:v>
      </x:c>
      <x:c r="CH243" s="9" t="str">
        <x:v>-1.0</x:v>
      </x:c>
      <x:c r="CI243" s="9" t="str">
        <x:v>-1.0538124814883914</x:v>
      </x:c>
      <x:c r="CJ243" s="6" t="str">
        <x:v>Loss</x:v>
      </x:c>
      <x:c r="CK243" s="9" t="str">
        <x:v>0.59379289918225</x:v>
      </x:c>
      <x:c r="CL243" s="9" t="str">
        <x:v>1.1690297702650545</x:v>
      </x:c>
      <x:c r="CM243" s="7" t="str">
        <x:v>2024-10-16 07:05:00-05:00</x:v>
      </x:c>
      <x:c r="CN243" s="6" t="str">
        <x:v>19390.027289209727</x:v>
      </x:c>
      <x:c r="CO243" s="6" t="str">
        <x:v>STOP</x:v>
      </x:c>
      <x:c r="CP243" s="6" t="str">
        <x:v>F::Long::Same-bar Setup+BOS::Tolerance-only shallow touch</x:v>
      </x:c>
    </x:row>
    <x:row r="244" ht="18" customHeight="1">
      <x:c r="A244" s="6" t="str">
        <x:v>A0243</x:v>
      </x:c>
      <x:c r="B244" s="6" t="str">
        <x:v>2024-10-17</x:v>
      </x:c>
      <x:c r="C244" s="6" t="str">
        <x:v>2024</x:v>
      </x:c>
      <x:c r="D244" s="6" t="str">
        <x:v>2024-Q4</x:v>
      </x:c>
      <x:c r="E244" s="6" t="str">
        <x:v>First 50%</x:v>
      </x:c>
      <x:c r="F244" s="6" t="str">
        <x:v>Short</x:v>
      </x:c>
      <x:c r="G244" s="6" t="str">
        <x:v>Short</x:v>
      </x:c>
      <x:c r="H244" s="6" t="str">
        <x:v>Midday</x:v>
      </x:c>
      <x:c r="I244" s="6" t="str">
        <x:v>Midday</x:v>
      </x:c>
      <x:c r="J244" s="6" t="str">
        <x:v>Bull</x:v>
      </x:c>
      <x:c r="K244" s="6" t="str">
        <x:v>Bull</x:v>
      </x:c>
      <x:c r="L244" s="6" t="str">
        <x:v>MID</x:v>
      </x:c>
      <x:c r="M244" s="7" t="str">
        <x:v>2024-10-17 12:50:00-05:00</x:v>
      </x:c>
      <x:c r="N244" s="6" t="str">
        <x:v>70.0</x:v>
      </x:c>
      <x:c r="O244" s="6" t="str">
        <x:v>70-74</x:v>
      </x:c>
      <x:c r="P244" s="6" t="str">
        <x:v>Matching liquidity sweep only</x:v>
      </x:c>
      <x:c r="Q244" s="6" t="str">
        <x:v>Recent bear structure</x:v>
      </x:c>
      <x:c r="R244" s="6" t="str">
        <x:v>False</x:v>
      </x:c>
      <x:c r="S244" s="6" t="str">
        <x:v>True</x:v>
      </x:c>
      <x:c r="T244" s="6" t="str">
        <x:v>Recent BSL</x:v>
      </x:c>
      <x:c r="U244" s="6" t="str">
        <x:v>BSL</x:v>
      </x:c>
      <x:c r="V244" s="6" t="str">
        <x:v>Swing high / buy-side</x:v>
      </x:c>
      <x:c r="W244" s="6" t="str">
        <x:v>[19523.25]</x:v>
      </x:c>
      <x:c r="X244" s="8" t="str">
        <x:v>1</x:v>
      </x:c>
      <x:c r="Y244" s="8" t="str">
        <x:v>0.0</x:v>
      </x:c>
      <x:c r="Z244" s="6" t="str">
        <x:v>Sweep above CRT reference</x:v>
      </x:c>
      <x:c r="AA244" s="6" t="str">
        <x:v>19472.5</x:v>
      </x:c>
      <x:c r="AB244" s="9" t="str">
        <x:v>-1.9149213960936233</x:v>
      </x:c>
      <x:c r="AC244" s="9" t="str">
        <x:v>0.512271965833963</x:v>
      </x:c>
      <x:c r="AD244" s="9" t="str">
        <x:v>1.0367408832354013</x:v>
      </x:c>
      <x:c r="AE244" s="6" t="str">
        <x:v>With trade</x:v>
      </x:c>
      <x:c r="AF244" s="7" t="str">
        <x:v>2024-10-17 13:00:00-05:00</x:v>
      </x:c>
      <x:c r="AG244" s="6" t="str">
        <x:v>Short</x:v>
      </x:c>
      <x:c r="AH244" s="6" t="str">
        <x:v>19472.5</x:v>
      </x:c>
      <x:c r="AI244" s="8" t="str">
        <x:v>2</x:v>
      </x:c>
      <x:c r="AJ244" s="6" t="str">
        <x:v>False</x:v>
      </x:c>
      <x:c r="AK244" s="6" t="str">
        <x:v>Delayed BOS</x:v>
      </x:c>
      <x:c r="AL244" s="9" t="str">
        <x:v>1.4673987019274868</x:v>
      </x:c>
      <x:c r="AM244" s="9" t="str">
        <x:v>0.06878431415285094</x:v>
      </x:c>
      <x:c r="AN244" s="9" t="str">
        <x:v>1.4673987019274868</x:v>
      </x:c>
      <x:c r="AO244" s="9" t="str">
        <x:v>1.983281058073869</x:v>
      </x:c>
      <x:c r="AP244" s="10" t="str">
        <x:v>0.7398843930635838</x:v>
      </x:c>
      <x:c r="AQ244" s="6" t="str">
        <x:v>0.15028901734104047</x:v>
      </x:c>
      <x:c r="AR244" s="6" t="str">
        <x:v>0.10982658959537572</x:v>
      </x:c>
      <x:c r="AS244" s="6" t="str">
        <x:v>With trade</x:v>
      </x:c>
      <x:c r="AT244" s="6" t="str">
        <x:v>2.3790619628386676</x:v>
      </x:c>
      <x:c r="AU244" s="7" t="str">
        <x:v>2024-10-17 13:05:00-05:00</x:v>
      </x:c>
      <x:c r="AV244" s="8" t="str">
        <x:v>1</x:v>
      </x:c>
      <x:c r="AW244" s="6" t="str">
        <x:v>Immediate retest (1 bar)</x:v>
      </x:c>
      <x:c r="AX244" s="6" t="str">
        <x:v>19472.5</x:v>
      </x:c>
      <x:c r="AY244" s="6" t="str">
        <x:v>0.0</x:v>
      </x:c>
      <x:c r="AZ244" s="9" t="str">
        <x:v>0.0</x:v>
      </x:c>
      <x:c r="BA244" s="9" t="str">
        <x:v>1.542397278754711</x:v>
      </x:c>
      <x:c r="BB244" s="9" t="str">
        <x:v>1.7689031728375708</x:v>
      </x:c>
      <x:c r="BC244" s="9" t="str">
        <x:v>1.456109319104098</x:v>
      </x:c>
      <x:c r="BD244" s="6" t="str">
        <x:v>0.04878048780487805</x:v>
      </x:c>
      <x:c r="BE244" s="6" t="str">
        <x:v>0.12804878048780488</x:v>
      </x:c>
      <x:c r="BF244" s="9" t="str">
        <x:v>0.08628795965061321</x:v>
      </x:c>
      <x:c r="BG244" s="9" t="str">
        <x:v>0.22650589408285968</x:v>
      </x:c>
      <x:c r="BH244" s="6" t="str">
        <x:v>With trade</x:v>
      </x:c>
      <x:c r="BI244" s="6" t="str">
        <x:v>Exact BOS touch</x:v>
      </x:c>
      <x:c r="BJ244" s="6" t="str">
        <x:v>True</x:v>
      </x:c>
      <x:c r="BK244" s="10" t="str">
        <x:v>False</x:v>
      </x:c>
      <x:c r="BL244" s="6" t="str">
        <x:v>True</x:v>
      </x:c>
      <x:c r="BM244" s="7" t="str">
        <x:v>2024-10-17 13:15:00-05:00</x:v>
      </x:c>
      <x:c r="BN244" s="8" t="str">
        <x:v>2</x:v>
      </x:c>
      <x:c r="BO244" s="6" t="str">
        <x:v>Delayed confirmation (2+ bars)</x:v>
      </x:c>
      <x:c r="BP244" s="9" t="str">
        <x:v>1.1731925846957287</x:v>
      </x:c>
      <x:c r="BQ244" s="9" t="str">
        <x:v>1.3069777040031365</x:v>
      </x:c>
      <x:c r="BR244" s="10" t="str">
        <x:v>0.8976377952755905</x:v>
      </x:c>
      <x:c r="BS244" s="9" t="str">
        <x:v>2.171435397989463</x:v>
      </x:c>
      <x:c r="BT244" s="9" t="str">
        <x:v>0.6997990856079785</x:v>
      </x:c>
      <x:c r="BU244" s="9" t="str">
        <x:v>0.0</x:v>
      </x:c>
      <x:c r="BV244" s="6" t="str">
        <x:v>With trade</x:v>
      </x:c>
      <x:c r="BW244" s="7" t="str">
        <x:v>2024-10-17 13:15:00-05:00</x:v>
      </x:c>
      <x:c r="BX244" s="6" t="str">
        <x:v>19419.75</x:v>
      </x:c>
      <x:c r="BY244" s="9" t="str">
        <x:v>24.29268678628033</x:v>
      </x:c>
      <x:c r="BZ244" s="9" t="str">
        <x:v>0.55</x:v>
      </x:c>
      <x:c r="CA244" s="6" t="str">
        <x:v>19456.18903017942</x:v>
      </x:c>
      <x:c r="CB244" s="6" t="str">
        <x:v>36.439030179419206</x:v>
      </x:c>
      <x:c r="CC244" s="9" t="str">
        <x:v>1.499999999999947</x:v>
      </x:c>
      <x:c r="CD244" s="6" t="str">
        <x:v>19346.871939641158</x:v>
      </x:c>
      <x:c r="CE244" s="6" t="str">
        <x:v>72.87806035884205</x:v>
      </x:c>
      <x:c r="CF244" s="6" t="str">
        <x:v>Fixed 2.00R target</x:v>
      </x:c>
      <x:c r="CG244" s="9" t="str">
        <x:v>0.01989624851238441</x:v>
      </x:c>
      <x:c r="CH244" s="9" t="str">
        <x:v>-1.0</x:v>
      </x:c>
      <x:c r="CI244" s="9" t="str">
        <x:v>-1.0198962485123844</x:v>
      </x:c>
      <x:c r="CJ244" s="6" t="str">
        <x:v>Loss</x:v>
      </x:c>
      <x:c r="CK244" s="9" t="str">
        <x:v>0.7821283897971802</x:v>
      </x:c>
      <x:c r="CL244" s="9" t="str">
        <x:v>1.0702809544592993</x:v>
      </x:c>
      <x:c r="CM244" s="7" t="str">
        <x:v>2024-10-17 13:55:00-05:00</x:v>
      </x:c>
      <x:c r="CN244" s="6" t="str">
        <x:v>19456.18903017942</x:v>
      </x:c>
      <x:c r="CO244" s="6" t="str">
        <x:v>STOP</x:v>
      </x:c>
      <x:c r="CP244" s="6" t="str">
        <x:v>F::Short::Delayed BOS::Exact BOS touch</x:v>
      </x:c>
    </x:row>
    <x:row r="245" ht="18" customHeight="1">
      <x:c r="A245" s="6" t="str">
        <x:v>A0244</x:v>
      </x:c>
      <x:c r="B245" s="6" t="str">
        <x:v>2024-10-23</x:v>
      </x:c>
      <x:c r="C245" s="6" t="str">
        <x:v>2024</x:v>
      </x:c>
      <x:c r="D245" s="6" t="str">
        <x:v>2024-Q4</x:v>
      </x:c>
      <x:c r="E245" s="6" t="str">
        <x:v>First 50%</x:v>
      </x:c>
      <x:c r="F245" s="6" t="str">
        <x:v>Long</x:v>
      </x:c>
      <x:c r="G245" s="6" t="str">
        <x:v>Long</x:v>
      </x:c>
      <x:c r="H245" s="6" t="str">
        <x:v>Overnight</x:v>
      </x:c>
      <x:c r="I245" s="6" t="str">
        <x:v>Overnight</x:v>
      </x:c>
      <x:c r="J245" s="6" t="str">
        <x:v>Bull</x:v>
      </x:c>
      <x:c r="K245" s="6" t="str">
        <x:v>Bull</x:v>
      </x:c>
      <x:c r="L245" s="6" t="str">
        <x:v>HIGH</x:v>
      </x:c>
      <x:c r="M245" s="7" t="str">
        <x:v>2024-10-23 02:05:00-05:00</x:v>
      </x:c>
      <x:c r="N245" s="6" t="str">
        <x:v>75.0</x:v>
      </x:c>
      <x:c r="O245" s="6" t="str">
        <x:v>75-79</x:v>
      </x:c>
      <x:c r="P245" s="6" t="str">
        <x:v>Matching BOS only</x:v>
      </x:c>
      <x:c r="Q245" s="6" t="str">
        <x:v>Bull CHoCH</x:v>
      </x:c>
      <x:c r="R245" s="6" t="str">
        <x:v>True</x:v>
      </x:c>
      <x:c r="S245" s="6" t="str">
        <x:v>False</x:v>
      </x:c>
      <x:c r="T245" s="6" t="str">
        <x:v>Recent SSL</x:v>
      </x:c>
      <x:c r="U245" s="6" t="str">
        <x:v>SSL</x:v>
      </x:c>
      <x:c r="V245" s="6" t="str">
        <x:v>Swing low / sell-side</x:v>
      </x:c>
      <x:c r="W245" s="6" t="str">
        <x:v>[19526.75]</x:v>
      </x:c>
      <x:c r="X245" s="8" t="str">
        <x:v>1</x:v>
      </x:c>
      <x:c r="Y245" s="8" t="str">
        <x:v>9.0</x:v>
      </x:c>
      <x:c r="Z245" s="6" t="str">
        <x:v>None</x:v>
      </x:c>
      <x:c r="AA245" s="6" t="str">
        <x:v>19537.75</x:v>
      </x:c>
      <x:c r="AB245" s="9" t="str">
        <x:v>0.2521189554025881</x:v>
      </x:c>
      <x:c r="AC245" s="9" t="str">
        <x:v>0.7248419967824408</x:v>
      </x:c>
      <x:c r="AD245" s="9" t="str">
        <x:v>2.016951643220705</x:v>
      </x:c>
      <x:c r="AE245" s="6" t="str">
        <x:v>With trade</x:v>
      </x:c>
      <x:c r="AF245" s="7" t="str">
        <x:v>2024-10-23 02:05:00-05:00</x:v>
      </x:c>
      <x:c r="AG245" s="6" t="str">
        <x:v>Long</x:v>
      </x:c>
      <x:c r="AH245" s="6" t="str">
        <x:v>19537.75</x:v>
      </x:c>
      <x:c r="AI245" s="8" t="str">
        <x:v>0</x:v>
      </x:c>
      <x:c r="AJ245" s="6" t="str">
        <x:v>True</x:v>
      </x:c>
      <x:c r="AK245" s="6" t="str">
        <x:v>Same-bar Setup+BOS</x:v>
      </x:c>
      <x:c r="AL245" s="9" t="str">
        <x:v>0.8193866050584113</x:v>
      </x:c>
      <x:c r="AM245" s="9" t="str">
        <x:v>0.2521189554025881</x:v>
      </x:c>
      <x:c r="AN245" s="9" t="str">
        <x:v>0.7248419967824408</x:v>
      </x:c>
      <x:c r="AO245" s="9" t="str">
        <x:v>2.016951643220705</x:v>
      </x:c>
      <x:c r="AP245" s="10" t="str">
        <x:v>0.359375</x:v>
      </x:c>
      <x:c r="AQ245" s="6" t="str">
        <x:v>0.5</x:v>
      </x:c>
      <x:c r="AR245" s="6" t="str">
        <x:v>0.140625</x:v>
      </x:c>
      <x:c r="AS245" s="6" t="str">
        <x:v>With trade</x:v>
      </x:c>
      <x:c r="AT245" s="6" t="str">
        <x:v>2.4713761071505727</x:v>
      </x:c>
      <x:c r="AU245" s="7" t="str">
        <x:v>2024-10-23 02:40:00-05:00</x:v>
      </x:c>
      <x:c r="AV245" s="8" t="str">
        <x:v>7</x:v>
      </x:c>
      <x:c r="AW245" s="6" t="str">
        <x:v>Delayed retest (2+ bars)</x:v>
      </x:c>
      <x:c r="AX245" s="6" t="str">
        <x:v>19537.0</x:v>
      </x:c>
      <x:c r="AY245" s="6" t="str">
        <x:v>0.75</x:v>
      </x:c>
      <x:c r="AZ245" s="9" t="str">
        <x:v>0.07567116126537177</x:v>
      </x:c>
      <x:c r="BA245" s="9" t="str">
        <x:v>0.15134232253074353</x:v>
      </x:c>
      <x:c r="BB245" s="9" t="str">
        <x:v>1.1855148598241576</x:v>
      </x:c>
      <x:c r="BC245" s="9" t="str">
        <x:v>0.9080539351844612</x:v>
      </x:c>
      <x:c r="BD245" s="6" t="str">
        <x:v>0.0425531914893617</x:v>
      </x:c>
      <x:c r="BE245" s="6" t="str">
        <x:v>0.19148936170212766</x:v>
      </x:c>
      <x:c r="BF245" s="9" t="str">
        <x:v>0.2270134837961153</x:v>
      </x:c>
      <x:c r="BG245" s="9" t="str">
        <x:v>0.05044744084358117</x:v>
      </x:c>
      <x:c r="BH245" s="6" t="str">
        <x:v>Against trade</x:v>
      </x:c>
      <x:c r="BI245" s="6" t="str">
        <x:v>Penetration + same-bar reclaim</x:v>
      </x:c>
      <x:c r="BJ245" s="6" t="str">
        <x:v>False</x:v>
      </x:c>
      <x:c r="BK245" s="10" t="str">
        <x:v>True</x:v>
      </x:c>
      <x:c r="BL245" s="6" t="str">
        <x:v>True</x:v>
      </x:c>
      <x:c r="BM245" s="7" t="str">
        <x:v>2024-10-23 02:45:00-05:00</x:v>
      </x:c>
      <x:c r="BN245" s="8" t="str">
        <x:v>1</x:v>
      </x:c>
      <x:c r="BO245" s="6" t="str">
        <x:v>Immediate confirmation (1 bar)</x:v>
      </x:c>
      <x:c r="BP245" s="9" t="str">
        <x:v>0.1278800673392769</x:v>
      </x:c>
      <x:c r="BQ245" s="9" t="str">
        <x:v>0.8184324309713722</x:v>
      </x:c>
      <x:c r="BR245" s="10" t="str">
        <x:v>0.15625</x:v>
      </x:c>
      <x:c r="BS245" s="9" t="str">
        <x:v>0.20460810774284305</x:v>
      </x:c>
      <x:c r="BT245" s="9" t="str">
        <x:v>0.05115202693571076</x:v>
      </x:c>
      <x:c r="BU245" s="9" t="str">
        <x:v>0.5626722962928183</x:v>
      </x:c>
      <x:c r="BV245" s="6" t="str">
        <x:v>With trade</x:v>
      </x:c>
      <x:c r="BW245" s="7" t="str">
        <x:v>2024-10-23 02:45:00-05:00</x:v>
      </x:c>
      <x:c r="BX245" s="6" t="str">
        <x:v>19539.75</x:v>
      </x:c>
      <x:c r="BY245" s="9" t="str">
        <x:v>9.774783717337602</x:v>
      </x:c>
      <x:c r="BZ245" s="9" t="str">
        <x:v>0.97</x:v>
      </x:c>
      <x:c r="CA245" s="6" t="str">
        <x:v>19525.087824423994</x:v>
      </x:c>
      <x:c r="CB245" s="6" t="str">
        <x:v>14.66217557600612</x:v>
      </x:c>
      <x:c r="CC245" s="9" t="str">
        <x:v>1.4999999999999711</x:v>
      </x:c>
      <x:c r="CD245" s="6" t="str">
        <x:v>19569.074351152012</x:v>
      </x:c>
      <x:c r="CE245" s="6" t="str">
        <x:v>29.32435115201224</x:v>
      </x:c>
      <x:c r="CF245" s="6" t="str">
        <x:v>Fixed 2.00R target</x:v>
      </x:c>
      <x:c r="CG245" s="9" t="str">
        <x:v>0.04944695937118802</x:v>
      </x:c>
      <x:c r="CH245" s="9" t="str">
        <x:v>-1.0</x:v>
      </x:c>
      <x:c r="CI245" s="9" t="str">
        <x:v>-1.049446959371188</x:v>
      </x:c>
      <x:c r="CJ245" s="6" t="str">
        <x:v>Loss</x:v>
      </x:c>
      <x:c r="CK245" s="9" t="str">
        <x:v>0.409216215485694</x:v>
      </x:c>
      <x:c r="CL245" s="9" t="str">
        <x:v>1.5686621593618268</x:v>
      </x:c>
      <x:c r="CM245" s="7" t="str">
        <x:v>2024-10-23 03:40:00-05:00</x:v>
      </x:c>
      <x:c r="CN245" s="6" t="str">
        <x:v>19525.087824423994</x:v>
      </x:c>
      <x:c r="CO245" s="6" t="str">
        <x:v>STOP</x:v>
      </x:c>
      <x:c r="CP245" s="6" t="str">
        <x:v>F::Long::Same-bar Setup+BOS::Penetration + same-bar reclaim</x:v>
      </x:c>
    </x:row>
    <x:row r="246" ht="18" customHeight="1">
      <x:c r="A246" s="6" t="str">
        <x:v>A0245</x:v>
      </x:c>
      <x:c r="B246" s="6" t="str">
        <x:v>2024-10-23</x:v>
      </x:c>
      <x:c r="C246" s="6" t="str">
        <x:v>2024</x:v>
      </x:c>
      <x:c r="D246" s="6" t="str">
        <x:v>2024-Q4</x:v>
      </x:c>
      <x:c r="E246" s="6" t="str">
        <x:v>First 50%</x:v>
      </x:c>
      <x:c r="F246" s="6" t="str">
        <x:v>Short</x:v>
      </x:c>
      <x:c r="G246" s="6" t="str">
        <x:v>Short</x:v>
      </x:c>
      <x:c r="H246" s="6" t="str">
        <x:v>Premarket</x:v>
      </x:c>
      <x:c r="I246" s="6" t="str">
        <x:v>Overnight</x:v>
      </x:c>
      <x:c r="J246" s="6" t="str">
        <x:v>Neutral</x:v>
      </x:c>
      <x:c r="K246" s="6" t="str">
        <x:v>Bull</x:v>
      </x:c>
      <x:c r="L246" s="6" t="str">
        <x:v>HIGH</x:v>
      </x:c>
      <x:c r="M246" s="7" t="str">
        <x:v>2024-10-23 03:40:00-05:00</x:v>
      </x:c>
      <x:c r="N246" s="6" t="str">
        <x:v>90.0</x:v>
      </x:c>
      <x:c r="O246" s="6" t="str">
        <x:v>90-94</x:v>
      </x:c>
      <x:c r="P246" s="6" t="str">
        <x:v>Matching BOS only</x:v>
      </x:c>
      <x:c r="Q246" s="6" t="str">
        <x:v>Bear CHoCH</x:v>
      </x:c>
      <x:c r="R246" s="6" t="str">
        <x:v>True</x:v>
      </x:c>
      <x:c r="S246" s="6" t="str">
        <x:v>False</x:v>
      </x:c>
      <x:c r="T246" s="6" t="str">
        <x:v>Recent BSL</x:v>
      </x:c>
      <x:c r="U246" s="6" t="str">
        <x:v>BSL</x:v>
      </x:c>
      <x:c r="V246" s="6" t="str">
        <x:v>Swing high / buy-side</x:v>
      </x:c>
      <x:c r="W246" s="6" t="str">
        <x:v>[19561.5]</x:v>
      </x:c>
      <x:c r="X246" s="8" t="str">
        <x:v>1</x:v>
      </x:c>
      <x:c r="Y246" s="8" t="str">
        <x:v>17.0</x:v>
      </x:c>
      <x:c r="Z246" s="6" t="str">
        <x:v>None</x:v>
      </x:c>
      <x:c r="AA246" s="6" t="str">
        <x:v>19526.5</x:v>
      </x:c>
      <x:c r="AB246" s="9" t="str">
        <x:v>0.9367692628229471</x:v>
      </x:c>
      <x:c r="AC246" s="9" t="str">
        <x:v>1.4453011483554041</x:v>
      </x:c>
      <x:c r="AD246" s="9" t="str">
        <x:v>1.7397143452426163</x:v>
      </x:c>
      <x:c r="AE246" s="6" t="str">
        <x:v>With trade</x:v>
      </x:c>
      <x:c r="AF246" s="7" t="str">
        <x:v>2024-10-23 03:40:00-05:00</x:v>
      </x:c>
      <x:c r="AG246" s="6" t="str">
        <x:v>Short</x:v>
      </x:c>
      <x:c r="AH246" s="6" t="str">
        <x:v>19526.5</x:v>
      </x:c>
      <x:c r="AI246" s="8" t="str">
        <x:v>0</x:v>
      </x:c>
      <x:c r="AJ246" s="6" t="str">
        <x:v>True</x:v>
      </x:c>
      <x:c r="AK246" s="6" t="str">
        <x:v>Same-bar Setup+BOS</x:v>
      </x:c>
      <x:c r="AL246" s="9" t="str">
        <x:v>1.4453011483554041</x:v>
      </x:c>
      <x:c r="AM246" s="9" t="str">
        <x:v>0.9367692628229471</x:v>
      </x:c>
      <x:c r="AN246" s="9" t="str">
        <x:v>1.4453011483554041</x:v>
      </x:c>
      <x:c r="AO246" s="9" t="str">
        <x:v>1.7397143452426163</x:v>
      </x:c>
      <x:c r="AP246" s="10" t="str">
        <x:v>0.8307692307692308</x:v>
      </x:c>
      <x:c r="AQ246" s="6" t="str">
        <x:v>0.1076923076923077</x:v>
      </x:c>
      <x:c r="AR246" s="6" t="str">
        <x:v>0.06153846153846154</x:v>
      </x:c>
      <x:c r="AS246" s="6" t="str">
        <x:v>With trade</x:v>
      </x:c>
      <x:c r="AT246" s="6" t="str">
        <x:v>0.9896864256693406</x:v>
      </x:c>
      <x:c r="AU246" s="7" t="str">
        <x:v>2024-10-23 04:05:00-05:00</x:v>
      </x:c>
      <x:c r="AV246" s="8" t="str">
        <x:v>5</x:v>
      </x:c>
      <x:c r="AW246" s="6" t="str">
        <x:v>Delayed retest (2+ bars)</x:v>
      </x:c>
      <x:c r="AX246" s="6" t="str">
        <x:v>19527.0</x:v>
      </x:c>
      <x:c r="AY246" s="6" t="str">
        <x:v>0.5</x:v>
      </x:c>
      <x:c r="AZ246" s="9" t="str">
        <x:v>0.05571715528640619</x:v>
      </x:c>
      <x:c r="BA246" s="9" t="str">
        <x:v>-0.027858577643203094</x:v>
      </x:c>
      <x:c r="BB246" s="9" t="str">
        <x:v>0.7243230187232804</x:v>
      </x:c>
      <x:c r="BC246" s="9" t="str">
        <x:v>0.4457372422912495</x:v>
      </x:c>
      <x:c r="BD246" s="6" t="str">
        <x:v>0.038461538461538464</x:v>
      </x:c>
      <x:c r="BE246" s="6" t="str">
        <x:v>0.34615384615384615</x:v>
      </x:c>
      <x:c r="BF246" s="9" t="str">
        <x:v>0.027858577643203094</x:v>
      </x:c>
      <x:c r="BG246" s="9" t="str">
        <x:v>0.2507271987888278</x:v>
      </x:c>
      <x:c r="BH246" s="6" t="str">
        <x:v>Against trade</x:v>
      </x:c>
      <x:c r="BI246" s="6" t="str">
        <x:v>Penetration without same-bar reclaim</x:v>
      </x:c>
      <x:c r="BJ246" s="6" t="str">
        <x:v>False</x:v>
      </x:c>
      <x:c r="BK246" s="10" t="str">
        <x:v>True</x:v>
      </x:c>
      <x:c r="BL246" s="6" t="str">
        <x:v>False</x:v>
      </x:c>
      <x:c r="BM246" s="7" t="str">
        <x:v>2024-10-23 04:10:00-05:00</x:v>
      </x:c>
      <x:c r="BN246" s="8" t="str">
        <x:v>1</x:v>
      </x:c>
      <x:c r="BO246" s="6" t="str">
        <x:v>Immediate confirmation (1 bar)</x:v>
      </x:c>
      <x:c r="BP246" s="9" t="str">
        <x:v>1.2489269890020274</x:v>
      </x:c>
      <x:c r="BQ246" s="9" t="str">
        <x:v>1.3303787491543335</x:v>
      </x:c>
      <x:c r="BR246" s="10" t="str">
        <x:v>0.9387755102040817</x:v>
      </x:c>
      <x:c r="BS246" s="9" t="str">
        <x:v>1.2217764022845918</x:v>
      </x:c>
      <x:c r="BT246" s="9" t="str">
        <x:v>1.2489269890020274</x:v>
      </x:c>
      <x:c r="BU246" s="9" t="str">
        <x:v>0.027150586717435376</x:v>
      </x:c>
      <x:c r="BV246" s="6" t="str">
        <x:v>With trade</x:v>
      </x:c>
      <x:c r="BW246" s="7" t="str">
        <x:v>2024-10-23 04:10:00-05:00</x:v>
      </x:c>
      <x:c r="BX246" s="6" t="str">
        <x:v>19515.25</x:v>
      </x:c>
      <x:c r="BY246" s="9" t="str">
        <x:v>9.207904145933492</x:v>
      </x:c>
      <x:c r="BZ246" s="9" t="str">
        <x:v>0.85</x:v>
      </x:c>
      <x:c r="CA246" s="6" t="str">
        <x:v>19529.0618562189</x:v>
      </x:c>
      <x:c r="CB246" s="6" t="str">
        <x:v>13.811856218901085</x:v>
      </x:c>
      <x:c r="CC246" s="9" t="str">
        <x:v>1.500000000000092</x:v>
      </x:c>
      <x:c r="CD246" s="6" t="str">
        <x:v>19487.626287562198</x:v>
      </x:c>
      <x:c r="CE246" s="6" t="str">
        <x:v>27.62371243780217</x:v>
      </x:c>
      <x:c r="CF246" s="6" t="str">
        <x:v>Fixed 2.00R target</x:v>
      </x:c>
      <x:c r="CG246" s="9" t="str">
        <x:v>0.05249113432037184</x:v>
      </x:c>
      <x:c r="CH246" s="9" t="str">
        <x:v>-1.0</x:v>
      </x:c>
      <x:c r="CI246" s="9" t="str">
        <x:v>-1.0524911343203718</x:v>
      </x:c>
      <x:c r="CJ246" s="6" t="str">
        <x:v>Loss</x:v>
      </x:c>
      <x:c r="CK246" s="9" t="str">
        <x:v>1.1765254244221275</x:v>
      </x:c>
      <x:c r="CL246" s="9" t="str">
        <x:v>1.1584250332771717</x:v>
      </x:c>
      <x:c r="CM246" s="7" t="str">
        <x:v>2024-10-23 04:15:00-05:00</x:v>
      </x:c>
      <x:c r="CN246" s="6" t="str">
        <x:v>19529.0618562189</x:v>
      </x:c>
      <x:c r="CO246" s="6" t="str">
        <x:v>STOP</x:v>
      </x:c>
      <x:c r="CP246" s="6" t="str">
        <x:v>F::Short::Same-bar Setup+BOS::Penetration without same-bar reclaim</x:v>
      </x:c>
    </x:row>
    <x:row r="247" ht="18" customHeight="1">
      <x:c r="A247" s="6" t="str">
        <x:v>A0246</x:v>
      </x:c>
      <x:c r="B247" s="6" t="str">
        <x:v>2024-10-23</x:v>
      </x:c>
      <x:c r="C247" s="6" t="str">
        <x:v>2024</x:v>
      </x:c>
      <x:c r="D247" s="6" t="str">
        <x:v>2024-Q4</x:v>
      </x:c>
      <x:c r="E247" s="6" t="str">
        <x:v>First 50%</x:v>
      </x:c>
      <x:c r="F247" s="6" t="str">
        <x:v>Short</x:v>
      </x:c>
      <x:c r="G247" s="6" t="str">
        <x:v>Short</x:v>
      </x:c>
      <x:c r="H247" s="6" t="str">
        <x:v>Midday</x:v>
      </x:c>
      <x:c r="I247" s="6" t="str">
        <x:v>Midday</x:v>
      </x:c>
      <x:c r="J247" s="6" t="str">
        <x:v>Bear</x:v>
      </x:c>
      <x:c r="K247" s="6" t="str">
        <x:v>Bear</x:v>
      </x:c>
      <x:c r="L247" s="6" t="str">
        <x:v>HIGH</x:v>
      </x:c>
      <x:c r="M247" s="7" t="str">
        <x:v>2024-10-23 12:00:00-05:00</x:v>
      </x:c>
      <x:c r="N247" s="6" t="str">
        <x:v>75.0</x:v>
      </x:c>
      <x:c r="O247" s="6" t="str">
        <x:v>75-79</x:v>
      </x:c>
      <x:c r="P247" s="6" t="str">
        <x:v>Matching BOS only</x:v>
      </x:c>
      <x:c r="Q247" s="6" t="str">
        <x:v>Bear BOS</x:v>
      </x:c>
      <x:c r="R247" s="6" t="str">
        <x:v>True</x:v>
      </x:c>
      <x:c r="S247" s="6" t="str">
        <x:v>False</x:v>
      </x:c>
      <x:c r="T247" s="6" t="str">
        <x:v>No recent matching sweep</x:v>
      </x:c>
      <x:c r="U247" s="6" t="str">
        <x:v>None</x:v>
      </x:c>
      <x:c r="V247" s="6" t="str">
        <x:v>None</x:v>
      </x:c>
      <x:c r="W247" s="6" t="str">
        <x:v>[]</x:v>
      </x:c>
      <x:c r="X247" s="8" t="str">
        <x:v>0</x:v>
      </x:c>
      <x:c r="Y247" s="8" t="str"/>
      <x:c r="Z247" s="6" t="str">
        <x:v>None</x:v>
      </x:c>
      <x:c r="AA247" s="6" t="str">
        <x:v>19258.0</x:v>
      </x:c>
      <x:c r="AB247" s="9" t="str">
        <x:v>0.5396524976693412</x:v>
      </x:c>
      <x:c r="AC247" s="9" t="str">
        <x:v>1.1054172129678441</x:v>
      </x:c>
      <x:c r="AD247" s="9" t="str">
        <x:v>1.3317230990872453</x:v>
      </x:c>
      <x:c r="AE247" s="6" t="str">
        <x:v>With trade</x:v>
      </x:c>
      <x:c r="AF247" s="7" t="str">
        <x:v>2024-10-23 12:00:00-05:00</x:v>
      </x:c>
      <x:c r="AG247" s="6" t="str">
        <x:v>Short</x:v>
      </x:c>
      <x:c r="AH247" s="6" t="str">
        <x:v>19258.0</x:v>
      </x:c>
      <x:c r="AI247" s="8" t="str">
        <x:v>0</x:v>
      </x:c>
      <x:c r="AJ247" s="6" t="str">
        <x:v>True</x:v>
      </x:c>
      <x:c r="AK247" s="6" t="str">
        <x:v>Same-bar Setup+BOS</x:v>
      </x:c>
      <x:c r="AL247" s="9" t="str">
        <x:v>1.0967131404247903</x:v>
      </x:c>
      <x:c r="AM247" s="9" t="str">
        <x:v>0.5396524976693412</x:v>
      </x:c>
      <x:c r="AN247" s="9" t="str">
        <x:v>1.1054172129678441</x:v>
      </x:c>
      <x:c r="AO247" s="9" t="str">
        <x:v>1.3317230990872453</x:v>
      </x:c>
      <x:c r="AP247" s="10" t="str">
        <x:v>0.8300653594771242</x:v>
      </x:c>
      <x:c r="AQ247" s="6" t="str">
        <x:v>0.0</x:v>
      </x:c>
      <x:c r="AR247" s="6" t="str">
        <x:v>0.16993464052287582</x:v>
      </x:c>
      <x:c r="AS247" s="6" t="str">
        <x:v>With trade</x:v>
      </x:c>
      <x:c r="AT247" s="6" t="str">
        <x:v>1.3310048361096185</x:v>
      </x:c>
      <x:c r="AU247" s="7" t="str">
        <x:v>2024-10-23 12:05:00-05:00</x:v>
      </x:c>
      <x:c r="AV247" s="8" t="str">
        <x:v>1</x:v>
      </x:c>
      <x:c r="AW247" s="6" t="str">
        <x:v>Immediate retest (1 bar)</x:v>
      </x:c>
      <x:c r="AX247" s="6" t="str">
        <x:v>19256.25</x:v>
      </x:c>
      <x:c r="AY247" s="6" t="str">
        <x:v>0.0</x:v>
      </x:c>
      <x:c r="AZ247" s="9" t="str">
        <x:v>0.0</x:v>
      </x:c>
      <x:c r="BA247" s="9" t="str">
        <x:v>0.6647699362037933</x:v>
      </x:c>
      <x:c r="BB247" s="9" t="str">
        <x:v>0.9359260943921828</x:v>
      </x:c>
      <x:c r="BC247" s="9" t="str">
        <x:v>0.13995156551658808</x:v>
      </x:c>
      <x:c r="BD247" s="6" t="str">
        <x:v>0.4953271028037383</x:v>
      </x:c>
      <x:c r="BE247" s="6" t="str">
        <x:v>0.35514018691588783</x:v>
      </x:c>
      <x:c r="BF247" s="9" t="str">
        <x:v>0.463589560773698</x:v>
      </x:c>
      <x:c r="BG247" s="9" t="str">
        <x:v>0.33238496810189666</x:v>
      </x:c>
      <x:c r="BH247" s="6" t="str">
        <x:v>With trade</x:v>
      </x:c>
      <x:c r="BI247" s="6" t="str">
        <x:v>Tolerance-only shallow touch</x:v>
      </x:c>
      <x:c r="BJ247" s="6" t="str">
        <x:v>True</x:v>
      </x:c>
      <x:c r="BK247" s="10" t="str">
        <x:v>False</x:v>
      </x:c>
      <x:c r="BL247" s="6" t="str">
        <x:v>True</x:v>
      </x:c>
      <x:c r="BM247" s="7" t="str">
        <x:v>2024-10-23 12:10:00-05:00</x:v>
      </x:c>
      <x:c r="BN247" s="8" t="str">
        <x:v>1</x:v>
      </x:c>
      <x:c r="BO247" s="6" t="str">
        <x:v>Immediate confirmation (1 bar)</x:v>
      </x:c>
      <x:c r="BP247" s="9" t="str">
        <x:v>1.4255028575980442</x:v>
      </x:c>
      <x:c r="BQ247" s="9" t="str">
        <x:v>1.6824248842581568</x:v>
      </x:c>
      <x:c r="BR247" s="10" t="str">
        <x:v>0.8472906403940886</x:v>
      </x:c>
      <x:c r="BS247" s="9" t="str">
        <x:v>2.071951827904134</x:v>
      </x:c>
      <x:c r="BT247" s="9" t="str">
        <x:v>1.4420784722212774</x:v>
      </x:c>
      <x:c r="BU247" s="9" t="str">
        <x:v>0.22377079741364647</x:v>
      </x:c>
      <x:c r="BV247" s="6" t="str">
        <x:v>With trade</x:v>
      </x:c>
      <x:c r="BW247" s="7" t="str">
        <x:v>2024-10-23 12:10:00-05:00</x:v>
      </x:c>
      <x:c r="BX247" s="6" t="str">
        <x:v>19195.5</x:v>
      </x:c>
      <x:c r="BY247" s="9" t="str">
        <x:v>30.164793967831464</x:v>
      </x:c>
      <x:c r="BZ247" s="9" t="str">
        <x:v>0.92</x:v>
      </x:c>
      <x:c r="CA247" s="6" t="str">
        <x:v>19240.747190951748</x:v>
      </x:c>
      <x:c r="CB247" s="6" t="str">
        <x:v>45.24719095174805</x:v>
      </x:c>
      <x:c r="CC247" s="9" t="str">
        <x:v>1.5000000000000284</x:v>
      </x:c>
      <x:c r="CD247" s="6" t="str">
        <x:v>19105.005618096504</x:v>
      </x:c>
      <x:c r="CE247" s="6" t="str">
        <x:v>90.4943819034961</x:v>
      </x:c>
      <x:c r="CF247" s="6" t="str">
        <x:v>Fixed 2.00R target</x:v>
      </x:c>
      <x:c r="CG247" s="9" t="str">
        <x:v>0.016023094135791668</x:v>
      </x:c>
      <x:c r="CH247" s="9" t="str">
        <x:v>1.5636329794583197</x:v>
      </x:c>
      <x:c r="CI247" s="9" t="str">
        <x:v>1.547609885322528</x:v>
      </x:c>
      <x:c r="CJ247" s="6" t="str">
        <x:v>Win</x:v>
      </x:c>
      <x:c r="CK247" s="9" t="str">
        <x:v>1.6851874866953305</x:v>
      </x:c>
      <x:c r="CL247" s="9" t="str">
        <x:v>0.5193692581946264</x:v>
      </x:c>
      <x:c r="CM247" s="7" t="str">
        <x:v>2024-10-23 13:10:00-05:00</x:v>
      </x:c>
      <x:c r="CN247" s="6" t="str">
        <x:v>19124.75</x:v>
      </x:c>
      <x:c r="CO247" s="6" t="str">
        <x:v>TIME</x:v>
      </x:c>
      <x:c r="CP247" s="6" t="str">
        <x:v>F::Short::Same-bar Setup+BOS::Tolerance-only shallow touch</x:v>
      </x:c>
    </x:row>
    <x:row r="248" ht="18" customHeight="1">
      <x:c r="A248" s="6" t="str">
        <x:v>A0247</x:v>
      </x:c>
      <x:c r="B248" s="6" t="str">
        <x:v>2024-10-25</x:v>
      </x:c>
      <x:c r="C248" s="6" t="str">
        <x:v>2024</x:v>
      </x:c>
      <x:c r="D248" s="6" t="str">
        <x:v>2024-Q4</x:v>
      </x:c>
      <x:c r="E248" s="6" t="str">
        <x:v>First 50%</x:v>
      </x:c>
      <x:c r="F248" s="6" t="str">
        <x:v>Long</x:v>
      </x:c>
      <x:c r="G248" s="6" t="str">
        <x:v>Long</x:v>
      </x:c>
      <x:c r="H248" s="6" t="str">
        <x:v>Premarket</x:v>
      </x:c>
      <x:c r="I248" s="6" t="str">
        <x:v>Premarket</x:v>
      </x:c>
      <x:c r="J248" s="6" t="str">
        <x:v>Bull</x:v>
      </x:c>
      <x:c r="K248" s="6" t="str">
        <x:v>Bull</x:v>
      </x:c>
      <x:c r="L248" s="6" t="str">
        <x:v>HIGH</x:v>
      </x:c>
      <x:c r="M248" s="7" t="str">
        <x:v>2024-10-25 06:45:00-05:00</x:v>
      </x:c>
      <x:c r="N248" s="6" t="str">
        <x:v>90.0</x:v>
      </x:c>
      <x:c r="O248" s="6" t="str">
        <x:v>90-94</x:v>
      </x:c>
      <x:c r="P248" s="6" t="str">
        <x:v>Matching BOS only</x:v>
      </x:c>
      <x:c r="Q248" s="6" t="str">
        <x:v>Bull CHoCH</x:v>
      </x:c>
      <x:c r="R248" s="6" t="str">
        <x:v>True</x:v>
      </x:c>
      <x:c r="S248" s="6" t="str">
        <x:v>False</x:v>
      </x:c>
      <x:c r="T248" s="6" t="str">
        <x:v>Recent SSL</x:v>
      </x:c>
      <x:c r="U248" s="6" t="str">
        <x:v>SSL</x:v>
      </x:c>
      <x:c r="V248" s="6" t="str">
        <x:v>Swing low / sell-side</x:v>
      </x:c>
      <x:c r="W248" s="6" t="str">
        <x:v>[19452.0]</x:v>
      </x:c>
      <x:c r="X248" s="8" t="str">
        <x:v>1</x:v>
      </x:c>
      <x:c r="Y248" s="8" t="str">
        <x:v>10.0</x:v>
      </x:c>
      <x:c r="Z248" s="6" t="str">
        <x:v>None</x:v>
      </x:c>
      <x:c r="AA248" s="6" t="str">
        <x:v>19469.0</x:v>
      </x:c>
      <x:c r="AB248" s="9" t="str">
        <x:v>0.5607409177330845</x:v>
      </x:c>
      <x:c r="AC248" s="9" t="str">
        <x:v>0.9532595601462437</x:v>
      </x:c>
      <x:c r="AD248" s="9" t="str">
        <x:v>1.9065191202924874</x:v>
      </x:c>
      <x:c r="AE248" s="6" t="str">
        <x:v>With trade</x:v>
      </x:c>
      <x:c r="AF248" s="7" t="str">
        <x:v>2024-10-25 06:45:00-05:00</x:v>
      </x:c>
      <x:c r="AG248" s="6" t="str">
        <x:v>Long</x:v>
      </x:c>
      <x:c r="AH248" s="6" t="str">
        <x:v>19469.0</x:v>
      </x:c>
      <x:c r="AI248" s="8" t="str">
        <x:v>0</x:v>
      </x:c>
      <x:c r="AJ248" s="6" t="str">
        <x:v>True</x:v>
      </x:c>
      <x:c r="AK248" s="6" t="str">
        <x:v>Same-bar Setup+BOS</x:v>
      </x:c>
      <x:c r="AL248" s="9" t="str">
        <x:v>0.9532595601462437</x:v>
      </x:c>
      <x:c r="AM248" s="9" t="str">
        <x:v>0.5607409177330845</x:v>
      </x:c>
      <x:c r="AN248" s="9" t="str">
        <x:v>0.9532595601462437</x:v>
      </x:c>
      <x:c r="AO248" s="9" t="str">
        <x:v>1.9065191202924874</x:v>
      </x:c>
      <x:c r="AP248" s="10" t="str">
        <x:v>0.5</x:v>
      </x:c>
      <x:c r="AQ248" s="6" t="str">
        <x:v>0.5</x:v>
      </x:c>
      <x:c r="AR248" s="6" t="str">
        <x:v>0.0</x:v>
      </x:c>
      <x:c r="AS248" s="6" t="str">
        <x:v>With trade</x:v>
      </x:c>
      <x:c r="AT248" s="6" t="str">
        <x:v>4.441554688628811</x:v>
      </x:c>
      <x:c r="AU248" s="7" t="str">
        <x:v>2024-10-25 06:50:00-05:00</x:v>
      </x:c>
      <x:c r="AV248" s="8" t="str">
        <x:v>1</x:v>
      </x:c>
      <x:c r="AW248" s="6" t="str">
        <x:v>Immediate retest (1 bar)</x:v>
      </x:c>
      <x:c r="AX248" s="6" t="str">
        <x:v>19464.75</x:v>
      </x:c>
      <x:c r="AY248" s="6" t="str">
        <x:v>4.25</x:v>
      </x:c>
      <x:c r="AZ248" s="9" t="str">
        <x:v>0.46064018816218977</x:v>
      </x:c>
      <x:c r="BA248" s="9" t="str">
        <x:v>0.7857979680413826</x:v>
      </x:c>
      <x:c r="BB248" s="9" t="str">
        <x:v>1.436113527799768</x:v>
      </x:c>
      <x:c r="BC248" s="9" t="str">
        <x:v>0.27096481656599397</x:v>
      </x:c>
      <x:c r="BD248" s="6" t="str">
        <x:v>0.1320754716981132</x:v>
      </x:c>
      <x:c r="BE248" s="6" t="str">
        <x:v>0.6792452830188679</x:v>
      </x:c>
      <x:c r="BF248" s="9" t="str">
        <x:v>0.9754733396375783</x:v>
      </x:c>
      <x:c r="BG248" s="9" t="str">
        <x:v>0.1896753715961958</x:v>
      </x:c>
      <x:c r="BH248" s="6" t="str">
        <x:v>With trade</x:v>
      </x:c>
      <x:c r="BI248" s="6" t="str">
        <x:v>Penetration + same-bar reclaim</x:v>
      </x:c>
      <x:c r="BJ248" s="6" t="str">
        <x:v>False</x:v>
      </x:c>
      <x:c r="BK248" s="10" t="str">
        <x:v>True</x:v>
      </x:c>
      <x:c r="BL248" s="6" t="str">
        <x:v>True</x:v>
      </x:c>
      <x:c r="BM248" s="7" t="str">
        <x:v>2024-10-25 07:00:00-05:00</x:v>
      </x:c>
      <x:c r="BN248" s="8" t="str">
        <x:v>2</x:v>
      </x:c>
      <x:c r="BO248" s="6" t="str">
        <x:v>Delayed confirmation (2+ bars)</x:v>
      </x:c>
      <x:c r="BP248" s="9" t="str">
        <x:v>0.9868046721330422</x:v>
      </x:c>
      <x:c r="BQ248" s="9" t="str">
        <x:v>1.2268382410302687</x:v>
      </x:c>
      <x:c r="BR248" s="10" t="str">
        <x:v>0.8043478260869565</x:v>
      </x:c>
      <x:c r="BS248" s="9" t="str">
        <x:v>1.1468270513978598</x:v>
      </x:c>
      <x:c r="BT248" s="9" t="str">
        <x:v>0.3733855516179079</x:v>
      </x:c>
      <x:c r="BU248" s="9" t="str">
        <x:v>0.2133631723530902</x:v>
      </x:c>
      <x:c r="BV248" s="6" t="str">
        <x:v>With trade</x:v>
      </x:c>
      <x:c r="BW248" s="7" t="str">
        <x:v>2024-10-25 07:00:00-05:00</x:v>
      </x:c>
      <x:c r="BX248" s="6" t="str">
        <x:v>19479.75</x:v>
      </x:c>
      <x:c r="BY248" s="9" t="str">
        <x:v>9.373688898336411</x:v>
      </x:c>
      <x:c r="BZ248" s="9" t="str">
        <x:v>0.68</x:v>
      </x:c>
      <x:c r="CA248" s="6" t="str">
        <x:v>19465.689466652497</x:v>
      </x:c>
      <x:c r="CB248" s="6" t="str">
        <x:v>14.060533347503224</x:v>
      </x:c>
      <x:c r="CC248" s="9" t="str">
        <x:v>1.4999999999998515</x:v>
      </x:c>
      <x:c r="CD248" s="6" t="str">
        <x:v>19507.87106669501</x:v>
      </x:c>
      <x:c r="CE248" s="6" t="str">
        <x:v>28.121066695010086</x:v>
      </x:c>
      <x:c r="CF248" s="6" t="str">
        <x:v>Fixed 2.00R target</x:v>
      </x:c>
      <x:c r="CG248" s="9" t="str">
        <x:v>0.05156276665200191</x:v>
      </x:c>
      <x:c r="CH248" s="9" t="str">
        <x:v>2.0</x:v>
      </x:c>
      <x:c r="CI248" s="9" t="str">
        <x:v>1.948437233347998</x:v>
      </x:c>
      <x:c r="CJ248" s="6" t="str">
        <x:v>Win</x:v>
      </x:c>
      <x:c r="CK248" s="9" t="str">
        <x:v>2.0802909304428354</x:v>
      </x:c>
      <x:c r="CL248" s="9" t="str">
        <x:v>0.2489237010786299</x:v>
      </x:c>
      <x:c r="CM248" s="7" t="str">
        <x:v>2024-10-25 07:45:00-05:00</x:v>
      </x:c>
      <x:c r="CN248" s="6" t="str">
        <x:v>19507.87106669501</x:v>
      </x:c>
      <x:c r="CO248" s="6" t="str">
        <x:v>TARGET</x:v>
      </x:c>
      <x:c r="CP248" s="6" t="str">
        <x:v>F::Long::Same-bar Setup+BOS::Penetration + same-bar reclaim</x:v>
      </x:c>
    </x:row>
    <x:row r="249" ht="18" customHeight="1">
      <x:c r="A249" s="6" t="str">
        <x:v>A0248</x:v>
      </x:c>
      <x:c r="B249" s="6" t="str">
        <x:v>2024-10-29</x:v>
      </x:c>
      <x:c r="C249" s="6" t="str">
        <x:v>2024</x:v>
      </x:c>
      <x:c r="D249" s="6" t="str">
        <x:v>2024-Q4</x:v>
      </x:c>
      <x:c r="E249" s="6" t="str">
        <x:v>First 50%</x:v>
      </x:c>
      <x:c r="F249" s="6" t="str">
        <x:v>Short</x:v>
      </x:c>
      <x:c r="G249" s="6" t="str">
        <x:v>Short</x:v>
      </x:c>
      <x:c r="H249" s="6" t="str">
        <x:v>Overnight</x:v>
      </x:c>
      <x:c r="I249" s="6" t="str">
        <x:v>Overnight</x:v>
      </x:c>
      <x:c r="J249" s="6" t="str">
        <x:v>Neutral</x:v>
      </x:c>
      <x:c r="K249" s="6" t="str">
        <x:v>Bull</x:v>
      </x:c>
      <x:c r="L249" s="6" t="str">
        <x:v>HIGH</x:v>
      </x:c>
      <x:c r="M249" s="7" t="str">
        <x:v>2024-10-29 02:55:00-05:00</x:v>
      </x:c>
      <x:c r="N249" s="6" t="str">
        <x:v>90.0</x:v>
      </x:c>
      <x:c r="O249" s="6" t="str">
        <x:v>90-94</x:v>
      </x:c>
      <x:c r="P249" s="6" t="str">
        <x:v>Matching BOS only</x:v>
      </x:c>
      <x:c r="Q249" s="6" t="str">
        <x:v>Bear CHoCH</x:v>
      </x:c>
      <x:c r="R249" s="6" t="str">
        <x:v>True</x:v>
      </x:c>
      <x:c r="S249" s="6" t="str">
        <x:v>False</x:v>
      </x:c>
      <x:c r="T249" s="6" t="str">
        <x:v>Recent BSL</x:v>
      </x:c>
      <x:c r="U249" s="6" t="str">
        <x:v>BSL</x:v>
      </x:c>
      <x:c r="V249" s="6" t="str">
        <x:v>Swing high / buy-side</x:v>
      </x:c>
      <x:c r="W249" s="6" t="str">
        <x:v>[19564.5]</x:v>
      </x:c>
      <x:c r="X249" s="8" t="str">
        <x:v>1</x:v>
      </x:c>
      <x:c r="Y249" s="8" t="str">
        <x:v>16.0</x:v>
      </x:c>
      <x:c r="Z249" s="6" t="str">
        <x:v>None</x:v>
      </x:c>
      <x:c r="AA249" s="6" t="str">
        <x:v>19556.5</x:v>
      </x:c>
      <x:c r="AB249" s="9" t="str">
        <x:v>0.34031601705832354</x:v>
      </x:c>
      <x:c r="AC249" s="9" t="str">
        <x:v>1.492154844024957</x:v>
      </x:c>
      <x:c r="AD249" s="9" t="str">
        <x:v>1.7801145507666154</x:v>
      </x:c>
      <x:c r="AE249" s="6" t="str">
        <x:v>With trade</x:v>
      </x:c>
      <x:c r="AF249" s="7" t="str">
        <x:v>2024-10-29 02:55:00-05:00</x:v>
      </x:c>
      <x:c r="AG249" s="6" t="str">
        <x:v>Short</x:v>
      </x:c>
      <x:c r="AH249" s="6" t="str">
        <x:v>19556.5</x:v>
      </x:c>
      <x:c r="AI249" s="8" t="str">
        <x:v>0</x:v>
      </x:c>
      <x:c r="AJ249" s="6" t="str">
        <x:v>True</x:v>
      </x:c>
      <x:c r="AK249" s="6" t="str">
        <x:v>Same-bar Setup+BOS</x:v>
      </x:c>
      <x:c r="AL249" s="9" t="str">
        <x:v>1.5445111543416221</x:v>
      </x:c>
      <x:c r="AM249" s="9" t="str">
        <x:v>0.34031601705832354</x:v>
      </x:c>
      <x:c r="AN249" s="9" t="str">
        <x:v>1.492154844024957</x:v>
      </x:c>
      <x:c r="AO249" s="9" t="str">
        <x:v>1.7801145507666154</x:v>
      </x:c>
      <x:c r="AP249" s="10" t="str">
        <x:v>0.8382352941176471</x:v>
      </x:c>
      <x:c r="AQ249" s="6" t="str">
        <x:v>0.04411764705882353</x:v>
      </x:c>
      <x:c r="AR249" s="6" t="str">
        <x:v>0.11764705882352941</x:v>
      </x:c>
      <x:c r="AS249" s="6" t="str">
        <x:v>With trade</x:v>
      </x:c>
      <x:c r="AT249" s="6" t="str">
        <x:v>1.845457118596094</x:v>
      </x:c>
      <x:c r="AU249" s="7" t="str">
        <x:v>2024-10-29 03:00:00-05:00</x:v>
      </x:c>
      <x:c r="AV249" s="8" t="str">
        <x:v>1</x:v>
      </x:c>
      <x:c r="AW249" s="6" t="str">
        <x:v>Immediate retest (1 bar)</x:v>
      </x:c>
      <x:c r="AX249" s="6" t="str">
        <x:v>19556.75</x:v>
      </x:c>
      <x:c r="AY249" s="6" t="str">
        <x:v>0.25</x:v>
      </x:c>
      <x:c r="AZ249" s="9" t="str">
        <x:v>0.023785364057243463</x:v>
      </x:c>
      <x:c r="BA249" s="9" t="str">
        <x:v>2.045541308922938</x:v>
      </x:c>
      <x:c r="BB249" s="9" t="str">
        <x:v>2.188253493266399</x:v>
      </x:c>
      <x:c r="BC249" s="9" t="str">
        <x:v>1.7839023042932598</x:v>
      </x:c>
      <x:c r="BD249" s="6" t="str">
        <x:v>0.13043478260869565</x:v>
      </x:c>
      <x:c r="BE249" s="6" t="str">
        <x:v>0.05434782608695652</x:v>
      </x:c>
      <x:c r="BF249" s="9" t="str">
        <x:v>0.28542436868692156</x:v>
      </x:c>
      <x:c r="BG249" s="9" t="str">
        <x:v>0.11892682028621732</x:v>
      </x:c>
      <x:c r="BH249" s="6" t="str">
        <x:v>With trade</x:v>
      </x:c>
      <x:c r="BI249" s="6" t="str">
        <x:v>Penetration + same-bar reclaim</x:v>
      </x:c>
      <x:c r="BJ249" s="6" t="str">
        <x:v>False</x:v>
      </x:c>
      <x:c r="BK249" s="10" t="str">
        <x:v>True</x:v>
      </x:c>
      <x:c r="BL249" s="6" t="str">
        <x:v>True</x:v>
      </x:c>
      <x:c r="BM249" s="7" t="str">
        <x:v>2024-10-29 03:05:00-05:00</x:v>
      </x:c>
      <x:c r="BN249" s="8" t="str">
        <x:v>1</x:v>
      </x:c>
      <x:c r="BO249" s="6" t="str">
        <x:v>Immediate confirmation (1 bar)</x:v>
      </x:c>
      <x:c r="BP249" s="9" t="str">
        <x:v>0.5789386159047624</x:v>
      </x:c>
      <x:c r="BQ249" s="9" t="str">
        <x:v>1.3431375888990487</x:v>
      </x:c>
      <x:c r="BR249" s="10" t="str">
        <x:v>0.43103448275862066</x:v>
      </x:c>
      <x:c r="BS249" s="9" t="str">
        <x:v>2.570487454617145</x:v>
      </x:c>
      <x:c r="BT249" s="9" t="str">
        <x:v>0.5789386159047624</x:v>
      </x:c>
      <x:c r="BU249" s="9" t="str">
        <x:v>0.18526035708952396</x:v>
      </x:c>
      <x:c r="BV249" s="6" t="str">
        <x:v>With trade</x:v>
      </x:c>
      <x:c r="BW249" s="7" t="str">
        <x:v>2024-10-29 03:05:00-05:00</x:v>
      </x:c>
      <x:c r="BX249" s="6" t="str">
        <x:v>19528.75</x:v>
      </x:c>
      <x:c r="BY249" s="9" t="str">
        <x:v>10.795617753416796</x:v>
      </x:c>
      <x:c r="BZ249" s="9" t="str">
        <x:v>1.0</x:v>
      </x:c>
      <x:c r="CA249" s="6" t="str">
        <x:v>19544.943426630125</x:v>
      </x:c>
      <x:c r="CB249" s="6" t="str">
        <x:v>16.193426630125032</x:v>
      </x:c>
      <x:c r="CC249" s="9" t="str">
        <x:v>1.4999999999999851</x:v>
      </x:c>
      <x:c r="CD249" s="6" t="str">
        <x:v>19496.36314673975</x:v>
      </x:c>
      <x:c r="CE249" s="6" t="str">
        <x:v>32.386853260250064</x:v>
      </x:c>
      <x:c r="CF249" s="6" t="str">
        <x:v>Fixed 2.00R target</x:v>
      </x:c>
      <x:c r="CG249" s="9" t="str">
        <x:v>0.04477125296330207</x:v>
      </x:c>
      <x:c r="CH249" s="9" t="str">
        <x:v>-1.0</x:v>
      </x:c>
      <x:c r="CI249" s="9" t="str">
        <x:v>-1.044771252963302</x:v>
      </x:c>
      <x:c r="CJ249" s="6" t="str">
        <x:v>Loss</x:v>
      </x:c>
      <x:c r="CK249" s="9" t="str">
        <x:v>0.13894526781714436</x:v>
      </x:c>
      <x:c r="CL249" s="9" t="str">
        <x:v>1.0034936009015982</x:v>
      </x:c>
      <x:c r="CM249" s="7" t="str">
        <x:v>2024-10-29 03:10:00-05:00</x:v>
      </x:c>
      <x:c r="CN249" s="6" t="str">
        <x:v>19544.943426630125</x:v>
      </x:c>
      <x:c r="CO249" s="6" t="str">
        <x:v>STOP</x:v>
      </x:c>
      <x:c r="CP249" s="6" t="str">
        <x:v>F::Short::Same-bar Setup+BOS::Penetration + same-bar reclaim</x:v>
      </x:c>
    </x:row>
    <x:row r="250" ht="18" customHeight="1">
      <x:c r="A250" s="6" t="str">
        <x:v>A0249</x:v>
      </x:c>
      <x:c r="B250" s="6" t="str">
        <x:v>2024-10-30</x:v>
      </x:c>
      <x:c r="C250" s="6" t="str">
        <x:v>2024</x:v>
      </x:c>
      <x:c r="D250" s="6" t="str">
        <x:v>2024-Q4</x:v>
      </x:c>
      <x:c r="E250" s="6" t="str">
        <x:v>First 50%</x:v>
      </x:c>
      <x:c r="F250" s="6" t="str">
        <x:v>Short</x:v>
      </x:c>
      <x:c r="G250" s="6" t="str">
        <x:v>Short</x:v>
      </x:c>
      <x:c r="H250" s="6" t="str">
        <x:v>Premarket</x:v>
      </x:c>
      <x:c r="I250" s="6" t="str">
        <x:v>Premarket</x:v>
      </x:c>
      <x:c r="J250" s="6" t="str">
        <x:v>Bull</x:v>
      </x:c>
      <x:c r="K250" s="6" t="str">
        <x:v>Bull</x:v>
      </x:c>
      <x:c r="L250" s="6" t="str">
        <x:v>MID</x:v>
      </x:c>
      <x:c r="M250" s="7" t="str">
        <x:v>2024-10-30 06:50:00-05:00</x:v>
      </x:c>
      <x:c r="N250" s="6" t="str">
        <x:v>75.0</x:v>
      </x:c>
      <x:c r="O250" s="6" t="str">
        <x:v>75-79</x:v>
      </x:c>
      <x:c r="P250" s="6" t="str">
        <x:v>Matching BOS only</x:v>
      </x:c>
      <x:c r="Q250" s="6" t="str">
        <x:v>Bear CHoCH</x:v>
      </x:c>
      <x:c r="R250" s="6" t="str">
        <x:v>True</x:v>
      </x:c>
      <x:c r="S250" s="6" t="str">
        <x:v>False</x:v>
      </x:c>
      <x:c r="T250" s="6" t="str">
        <x:v>Recent BSL</x:v>
      </x:c>
      <x:c r="U250" s="6" t="str">
        <x:v>BSL</x:v>
      </x:c>
      <x:c r="V250" s="6" t="str">
        <x:v>Swing high / buy-side</x:v>
      </x:c>
      <x:c r="W250" s="6" t="str">
        <x:v>[19776.25]</x:v>
      </x:c>
      <x:c r="X250" s="8" t="str">
        <x:v>1</x:v>
      </x:c>
      <x:c r="Y250" s="8" t="str">
        <x:v>7.0</x:v>
      </x:c>
      <x:c r="Z250" s="6" t="str">
        <x:v>None</x:v>
      </x:c>
      <x:c r="AA250" s="6" t="str">
        <x:v>19744.25</x:v>
      </x:c>
      <x:c r="AB250" s="9" t="str">
        <x:v>0.0230244849401773</x:v>
      </x:c>
      <x:c r="AC250" s="9" t="str">
        <x:v>0.2993183042223049</x:v>
      </x:c>
      <x:c r="AD250" s="9" t="str">
        <x:v>0.8519059427865601</x:v>
      </x:c>
      <x:c r="AE250" s="6" t="str">
        <x:v>With trade</x:v>
      </x:c>
      <x:c r="AF250" s="7" t="str">
        <x:v>2024-10-30 06:50:00-05:00</x:v>
      </x:c>
      <x:c r="AG250" s="6" t="str">
        <x:v>Short</x:v>
      </x:c>
      <x:c r="AH250" s="6" t="str">
        <x:v>19744.25</x:v>
      </x:c>
      <x:c r="AI250" s="8" t="str">
        <x:v>0</x:v>
      </x:c>
      <x:c r="AJ250" s="6" t="str">
        <x:v>True</x:v>
      </x:c>
      <x:c r="AK250" s="6" t="str">
        <x:v>Same-bar Setup+BOS</x:v>
      </x:c>
      <x:c r="AL250" s="9" t="str">
        <x:v>0.32234278916248216</x:v>
      </x:c>
      <x:c r="AM250" s="9" t="str">
        <x:v>0.0230244849401773</x:v>
      </x:c>
      <x:c r="AN250" s="9" t="str">
        <x:v>0.2993183042223049</x:v>
      </x:c>
      <x:c r="AO250" s="9" t="str">
        <x:v>0.8519059427865601</x:v>
      </x:c>
      <x:c r="AP250" s="10" t="str">
        <x:v>0.35135135135135137</x:v>
      </x:c>
      <x:c r="AQ250" s="6" t="str">
        <x:v>0.08108108108108109</x:v>
      </x:c>
      <x:c r="AR250" s="6" t="str">
        <x:v>0.5675675675675675</x:v>
      </x:c>
      <x:c r="AS250" s="6" t="str">
        <x:v>With trade</x:v>
      </x:c>
      <x:c r="AT250" s="6" t="str">
        <x:v>1.4818870334884569</x:v>
      </x:c>
      <x:c r="AU250" s="7" t="str">
        <x:v>2024-10-30 06:55:00-05:00</x:v>
      </x:c>
      <x:c r="AV250" s="8" t="str">
        <x:v>1</x:v>
      </x:c>
      <x:c r="AW250" s="6" t="str">
        <x:v>Immediate retest (1 bar)</x:v>
      </x:c>
      <x:c r="AX250" s="6" t="str">
        <x:v>19747.25</x:v>
      </x:c>
      <x:c r="AY250" s="6" t="str">
        <x:v>3.0</x:v>
      </x:c>
      <x:c r="AZ250" s="9" t="str">
        <x:v>0.27924774294068344</x:v>
      </x:c>
      <x:c r="BA250" s="9" t="str">
        <x:v>0.37233032392091125</x:v>
      </x:c>
      <x:c r="BB250" s="9" t="str">
        <x:v>0.8610138740671073</x:v>
      </x:c>
      <x:c r="BC250" s="9" t="str">
        <x:v>0.4421422596560821</x:v>
      </x:c>
      <x:c r="BD250" s="6" t="str">
        <x:v>0.24324324324324326</x:v>
      </x:c>
      <x:c r="BE250" s="6" t="str">
        <x:v>0.24324324324324326</x:v>
      </x:c>
      <x:c r="BF250" s="9" t="str">
        <x:v>0.20943580720551258</x:v>
      </x:c>
      <x:c r="BG250" s="9" t="str">
        <x:v>0.20943580720551258</x:v>
      </x:c>
      <x:c r="BH250" s="6" t="str">
        <x:v>With trade</x:v>
      </x:c>
      <x:c r="BI250" s="6" t="str">
        <x:v>Penetration + same-bar reclaim</x:v>
      </x:c>
      <x:c r="BJ250" s="6" t="str">
        <x:v>False</x:v>
      </x:c>
      <x:c r="BK250" s="10" t="str">
        <x:v>True</x:v>
      </x:c>
      <x:c r="BL250" s="6" t="str">
        <x:v>True</x:v>
      </x:c>
      <x:c r="BM250" s="7" t="str">
        <x:v>2024-10-30 07:00:00-05:00</x:v>
      </x:c>
      <x:c r="BN250" s="8" t="str">
        <x:v>1</x:v>
      </x:c>
      <x:c r="BO250" s="6" t="str">
        <x:v>Immediate confirmation (1 bar)</x:v>
      </x:c>
      <x:c r="BP250" s="9" t="str">
        <x:v>0.41608620477027014</x:v>
      </x:c>
      <x:c r="BQ250" s="9" t="str">
        <x:v>1.0864473124557052</x:v>
      </x:c>
      <x:c r="BR250" s="10" t="str">
        <x:v>0.3829787234042553</x:v>
      </x:c>
      <x:c r="BS250" s="9" t="str">
        <x:v>0.8090565092755252</x:v>
      </x:c>
      <x:c r="BT250" s="9" t="str">
        <x:v>0.4392021050352851</x:v>
      </x:c>
      <x:c r="BU250" s="9" t="str">
        <x:v>0.4854339055653151</x:v>
      </x:c>
      <x:c r="BV250" s="6" t="str">
        <x:v>With trade</x:v>
      </x:c>
      <x:c r="BW250" s="7" t="str">
        <x:v>2024-10-30 07:00:00-05:00</x:v>
      </x:c>
      <x:c r="BX250" s="6" t="str">
        <x:v>19735.5</x:v>
      </x:c>
      <x:c r="BY250" s="9" t="str">
        <x:v>10.815066561710557</x:v>
      </x:c>
      <x:c r="BZ250" s="9" t="str">
        <x:v>0.56</x:v>
      </x:c>
      <x:c r="CA250" s="6" t="str">
        <x:v>19751.722599842567</x:v>
      </x:c>
      <x:c r="CB250" s="6" t="str">
        <x:v>16.222599842567433</x:v>
      </x:c>
      <x:c r="CC250" s="9" t="str">
        <x:v>1.5000000000001477</x:v>
      </x:c>
      <x:c r="CD250" s="6" t="str">
        <x:v>19703.05480031487</x:v>
      </x:c>
      <x:c r="CE250" s="6" t="str">
        <x:v>32.44519968513123</x:v>
      </x:c>
      <x:c r="CF250" s="6" t="str">
        <x:v>Fixed 2.00R target</x:v>
      </x:c>
      <x:c r="CG250" s="9" t="str">
        <x:v>0.04469074051235795</x:v>
      </x:c>
      <x:c r="CH250" s="9" t="str">
        <x:v>-1.0</x:v>
      </x:c>
      <x:c r="CI250" s="9" t="str">
        <x:v>-1.044690740512358</x:v>
      </x:c>
      <x:c r="CJ250" s="6" t="str">
        <x:v>Loss</x:v>
      </x:c>
      <x:c r="CK250" s="9" t="str">
        <x:v>0.601013406890331</x:v>
      </x:c>
      <x:c r="CL250" s="9" t="str">
        <x:v>1.510238817314165</x:v>
      </x:c>
      <x:c r="CM250" s="7" t="str">
        <x:v>2024-10-30 07:15:00-05:00</x:v>
      </x:c>
      <x:c r="CN250" s="6" t="str">
        <x:v>19751.722599842567</x:v>
      </x:c>
      <x:c r="CO250" s="6" t="str">
        <x:v>STOP</x:v>
      </x:c>
      <x:c r="CP250" s="6" t="str">
        <x:v>F::Short::Same-bar Setup+BOS::Penetration + same-bar reclaim</x:v>
      </x:c>
    </x:row>
    <x:row r="251" ht="18" customHeight="1">
      <x:c r="A251" s="6" t="str">
        <x:v>A0250</x:v>
      </x:c>
      <x:c r="B251" s="6" t="str">
        <x:v>2024-11-05</x:v>
      </x:c>
      <x:c r="C251" s="6" t="str">
        <x:v>2024</x:v>
      </x:c>
      <x:c r="D251" s="6" t="str">
        <x:v>2024-Q4</x:v>
      </x:c>
      <x:c r="E251" s="6" t="str">
        <x:v>First 50%</x:v>
      </x:c>
      <x:c r="F251" s="6" t="str">
        <x:v>Short</x:v>
      </x:c>
      <x:c r="G251" s="6" t="str">
        <x:v>Short</x:v>
      </x:c>
      <x:c r="H251" s="6" t="str">
        <x:v>Afternoon</x:v>
      </x:c>
      <x:c r="I251" s="6" t="str">
        <x:v>Midday</x:v>
      </x:c>
      <x:c r="J251" s="6" t="str">
        <x:v>Bull</x:v>
      </x:c>
      <x:c r="K251" s="6" t="str">
        <x:v>Bull</x:v>
      </x:c>
      <x:c r="L251" s="6" t="str">
        <x:v>MID</x:v>
      </x:c>
      <x:c r="M251" s="7" t="str">
        <x:v>2024-11-05 13:50:00-06:00</x:v>
      </x:c>
      <x:c r="N251" s="6" t="str">
        <x:v>75.0</x:v>
      </x:c>
      <x:c r="O251" s="6" t="str">
        <x:v>75-79</x:v>
      </x:c>
      <x:c r="P251" s="6" t="str">
        <x:v>Matching BOS only</x:v>
      </x:c>
      <x:c r="Q251" s="6" t="str">
        <x:v>Bear CHoCH</x:v>
      </x:c>
      <x:c r="R251" s="6" t="str">
        <x:v>True</x:v>
      </x:c>
      <x:c r="S251" s="6" t="str">
        <x:v>False</x:v>
      </x:c>
      <x:c r="T251" s="6" t="str">
        <x:v>No recent matching sweep</x:v>
      </x:c>
      <x:c r="U251" s="6" t="str">
        <x:v>None</x:v>
      </x:c>
      <x:c r="V251" s="6" t="str">
        <x:v>None</x:v>
      </x:c>
      <x:c r="W251" s="6" t="str">
        <x:v>[]</x:v>
      </x:c>
      <x:c r="X251" s="8" t="str">
        <x:v>0</x:v>
      </x:c>
      <x:c r="Y251" s="8" t="str"/>
      <x:c r="Z251" s="6" t="str">
        <x:v>None</x:v>
      </x:c>
      <x:c r="AA251" s="6" t="str">
        <x:v>19322.25</x:v>
      </x:c>
      <x:c r="AB251" s="9" t="str">
        <x:v>0.11238842375334392</x:v>
      </x:c>
      <x:c r="AC251" s="9" t="str">
        <x:v>1.3361734824008664</x:v>
      </x:c>
      <x:c r="AD251" s="9" t="str">
        <x:v>1.3861238929579083</x:v>
      </x:c>
      <x:c r="AE251" s="6" t="str">
        <x:v>With trade</x:v>
      </x:c>
      <x:c r="AF251" s="7" t="str">
        <x:v>2024-11-05 13:50:00-06:00</x:v>
      </x:c>
      <x:c r="AG251" s="6" t="str">
        <x:v>Short</x:v>
      </x:c>
      <x:c r="AH251" s="6" t="str">
        <x:v>19322.25</x:v>
      </x:c>
      <x:c r="AI251" s="8" t="str">
        <x:v>0</x:v>
      </x:c>
      <x:c r="AJ251" s="6" t="str">
        <x:v>True</x:v>
      </x:c>
      <x:c r="AK251" s="6" t="str">
        <x:v>Same-bar Setup+BOS</x:v>
      </x:c>
      <x:c r="AL251" s="9" t="str">
        <x:v>1.3361734824008664</x:v>
      </x:c>
      <x:c r="AM251" s="9" t="str">
        <x:v>0.11238842375334392</x:v>
      </x:c>
      <x:c r="AN251" s="9" t="str">
        <x:v>1.3361734824008664</x:v>
      </x:c>
      <x:c r="AO251" s="9" t="str">
        <x:v>1.3861238929579083</x:v>
      </x:c>
      <x:c r="AP251" s="10" t="str">
        <x:v>0.963963963963964</x:v>
      </x:c>
      <x:c r="AQ251" s="6" t="str">
        <x:v>0.0</x:v>
      </x:c>
      <x:c r="AR251" s="6" t="str">
        <x:v>0.036036036036036036</x:v>
      </x:c>
      <x:c r="AS251" s="6" t="str">
        <x:v>With trade</x:v>
      </x:c>
      <x:c r="AT251" s="6" t="str">
        <x:v>1.3834858554577403</x:v>
      </x:c>
      <x:c r="AU251" s="7" t="str">
        <x:v>2024-11-05 13:55:00-06:00</x:v>
      </x:c>
      <x:c r="AV251" s="8" t="str">
        <x:v>1</x:v>
      </x:c>
      <x:c r="AW251" s="6" t="str">
        <x:v>Immediate retest (1 bar)</x:v>
      </x:c>
      <x:c r="AX251" s="6" t="str">
        <x:v>19329.0</x:v>
      </x:c>
      <x:c r="AY251" s="6" t="str">
        <x:v>6.75</x:v>
      </x:c>
      <x:c r="AZ251" s="9" t="str">
        <x:v>0.3336179722980076</x:v>
      </x:c>
      <x:c r="BA251" s="9" t="str">
        <x:v>0.11120599076600254</x:v>
      </x:c>
      <x:c r="BB251" s="9" t="str">
        <x:v>1.1367723500524705</x:v>
      </x:c>
      <x:c r="BC251" s="9" t="str">
        <x:v>0.024712442392445008</x:v>
      </x:c>
      <x:c r="BD251" s="6" t="str">
        <x:v>0.3695652173913043</x:v>
      </x:c>
      <x:c r="BE251" s="6" t="str">
        <x:v>0.6086956521739131</x:v>
      </x:c>
      <x:c r="BF251" s="9" t="str">
        <x:v>0.42011152067156515</x:v>
      </x:c>
      <x:c r="BG251" s="9" t="str">
        <x:v>0.6919483869884603</x:v>
      </x:c>
      <x:c r="BH251" s="6" t="str">
        <x:v>With trade</x:v>
      </x:c>
      <x:c r="BI251" s="6" t="str">
        <x:v>Penetration + same-bar reclaim</x:v>
      </x:c>
      <x:c r="BJ251" s="6" t="str">
        <x:v>False</x:v>
      </x:c>
      <x:c r="BK251" s="10" t="str">
        <x:v>True</x:v>
      </x:c>
      <x:c r="BL251" s="6" t="str">
        <x:v>True</x:v>
      </x:c>
      <x:c r="BM251" s="7" t="str">
        <x:v>2024-11-05 14:00:00-06:00</x:v>
      </x:c>
      <x:c r="BN251" s="8" t="str">
        <x:v>1</x:v>
      </x:c>
      <x:c r="BO251" s="6" t="str">
        <x:v>Immediate confirmation (1 bar)</x:v>
      </x:c>
      <x:c r="BP251" s="9" t="str">
        <x:v>0.0854327119984206</x:v>
      </x:c>
      <x:c r="BQ251" s="9" t="str">
        <x:v>1.1594439485499939</x:v>
      </x:c>
      <x:c r="BR251" s="10" t="str">
        <x:v>0.07368421052631578</x:v>
      </x:c>
      <x:c r="BS251" s="9" t="str">
        <x:v>0.21968411656736728</x:v>
      </x:c>
      <x:c r="BT251" s="9" t="str">
        <x:v>0.10984205828368364</x:v>
      </x:c>
      <x:c r="BU251" s="9" t="str">
        <x:v>0.5492102914184182</x:v>
      </x:c>
      <x:c r="BV251" s="6" t="str">
        <x:v>With trade</x:v>
      </x:c>
      <x:c r="BW251" s="7" t="str">
        <x:v>2024-11-05 14:00:00-06:00</x:v>
      </x:c>
      <x:c r="BX251" s="6" t="str">
        <x:v>19317.75</x:v>
      </x:c>
      <x:c r="BY251" s="9" t="str">
        <x:v>20.483957012067606</x:v>
      </x:c>
      <x:c r="BZ251" s="9" t="str">
        <x:v>0.43</x:v>
      </x:c>
      <x:c r="CA251" s="6" t="str">
        <x:v>19348.4759355181</x:v>
      </x:c>
      <x:c r="CB251" s="6" t="str">
        <x:v>30.725935518101323</x:v>
      </x:c>
      <x:c r="CC251" s="9" t="str">
        <x:v>1.4999999999999958</x:v>
      </x:c>
      <x:c r="CD251" s="6" t="str">
        <x:v>19256.298128963797</x:v>
      </x:c>
      <x:c r="CE251" s="6" t="str">
        <x:v>61.45187103620265</x:v>
      </x:c>
      <x:c r="CF251" s="6" t="str">
        <x:v>Fixed 2.00R target</x:v>
      </x:c>
      <x:c r="CG251" s="9" t="str">
        <x:v>0.02359570140908766</x:v>
      </x:c>
      <x:c r="CH251" s="9" t="str">
        <x:v>-1.0</x:v>
      </x:c>
      <x:c r="CI251" s="9" t="str">
        <x:v>-1.0235957014090877</x:v>
      </x:c>
      <x:c r="CJ251" s="6" t="str">
        <x:v>Loss</x:v>
      </x:c>
      <x:c r="CK251" s="9" t="str">
        <x:v>0.0</x:v>
      </x:c>
      <x:c r="CL251" s="9" t="str">
        <x:v>1.02519254398105</x:v>
      </x:c>
      <x:c r="CM251" s="7" t="str">
        <x:v>2024-11-05 14:05:00-06:00</x:v>
      </x:c>
      <x:c r="CN251" s="6" t="str">
        <x:v>19348.4759355181</x:v>
      </x:c>
      <x:c r="CO251" s="6" t="str">
        <x:v>STOP</x:v>
      </x:c>
      <x:c r="CP251" s="6" t="str">
        <x:v>F::Short::Same-bar Setup+BOS::Penetration + same-bar reclaim</x:v>
      </x:c>
    </x:row>
    <x:row r="252" ht="18" customHeight="1">
      <x:c r="A252" s="6" t="str">
        <x:v>A0251</x:v>
      </x:c>
      <x:c r="B252" s="6" t="str">
        <x:v>2024-11-06</x:v>
      </x:c>
      <x:c r="C252" s="6" t="str">
        <x:v>2024</x:v>
      </x:c>
      <x:c r="D252" s="6" t="str">
        <x:v>2024-Q4</x:v>
      </x:c>
      <x:c r="E252" s="6" t="str">
        <x:v>First 50%</x:v>
      </x:c>
      <x:c r="F252" s="6" t="str">
        <x:v>Long</x:v>
      </x:c>
      <x:c r="G252" s="6" t="str">
        <x:v>Long</x:v>
      </x:c>
      <x:c r="H252" s="6" t="str">
        <x:v>Midday</x:v>
      </x:c>
      <x:c r="I252" s="6" t="str">
        <x:v>Morning</x:v>
      </x:c>
      <x:c r="J252" s="6" t="str">
        <x:v>Bull</x:v>
      </x:c>
      <x:c r="K252" s="6" t="str">
        <x:v>Bull</x:v>
      </x:c>
      <x:c r="L252" s="6" t="str">
        <x:v>MID</x:v>
      </x:c>
      <x:c r="M252" s="7" t="str">
        <x:v>2024-11-06 11:45:00-06:00</x:v>
      </x:c>
      <x:c r="N252" s="6" t="str">
        <x:v>75.0</x:v>
      </x:c>
      <x:c r="O252" s="6" t="str">
        <x:v>75-79</x:v>
      </x:c>
      <x:c r="P252" s="6" t="str">
        <x:v>Matching BOS only</x:v>
      </x:c>
      <x:c r="Q252" s="6" t="str">
        <x:v>Bull BOS</x:v>
      </x:c>
      <x:c r="R252" s="6" t="str">
        <x:v>True</x:v>
      </x:c>
      <x:c r="S252" s="6" t="str">
        <x:v>False</x:v>
      </x:c>
      <x:c r="T252" s="6" t="str">
        <x:v>No recent matching sweep</x:v>
      </x:c>
      <x:c r="U252" s="6" t="str">
        <x:v>None</x:v>
      </x:c>
      <x:c r="V252" s="6" t="str">
        <x:v>None</x:v>
      </x:c>
      <x:c r="W252" s="6" t="str">
        <x:v>[]</x:v>
      </x:c>
      <x:c r="X252" s="8" t="str">
        <x:v>0</x:v>
      </x:c>
      <x:c r="Y252" s="8" t="str"/>
      <x:c r="Z252" s="6" t="str">
        <x:v>None</x:v>
      </x:c>
      <x:c r="AA252" s="6" t="str">
        <x:v>19840.75</x:v>
      </x:c>
      <x:c r="AB252" s="9" t="str">
        <x:v>0.28048639806238956</x:v>
      </x:c>
      <x:c r="AC252" s="9" t="str">
        <x:v>0.8221153046656247</x:v>
      </x:c>
      <x:c r="AD252" s="9" t="str">
        <x:v>0.9285066970341171</x:v>
      </x:c>
      <x:c r="AE252" s="6" t="str">
        <x:v>With trade</x:v>
      </x:c>
      <x:c r="AF252" s="7" t="str">
        <x:v>2024-11-06 11:45:00-06:00</x:v>
      </x:c>
      <x:c r="AG252" s="6" t="str">
        <x:v>Long</x:v>
      </x:c>
      <x:c r="AH252" s="6" t="str">
        <x:v>19840.75</x:v>
      </x:c>
      <x:c r="AI252" s="8" t="str">
        <x:v>0</x:v>
      </x:c>
      <x:c r="AJ252" s="6" t="str">
        <x:v>True</x:v>
      </x:c>
      <x:c r="AK252" s="6" t="str">
        <x:v>Same-bar Setup+BOS</x:v>
      </x:c>
      <x:c r="AL252" s="9" t="str">
        <x:v>0.8124433599048525</x:v>
      </x:c>
      <x:c r="AM252" s="9" t="str">
        <x:v>0.28048639806238956</x:v>
      </x:c>
      <x:c r="AN252" s="9" t="str">
        <x:v>0.8221153046656247</x:v>
      </x:c>
      <x:c r="AO252" s="9" t="str">
        <x:v>0.9285066970341171</x:v>
      </x:c>
      <x:c r="AP252" s="10" t="str">
        <x:v>0.8854166666666666</x:v>
      </x:c>
      <x:c r="AQ252" s="6" t="str">
        <x:v>0.10416666666666667</x:v>
      </x:c>
      <x:c r="AR252" s="6" t="str">
        <x:v>0.010416666666666666</x:v>
      </x:c>
      <x:c r="AS252" s="6" t="str">
        <x:v>With trade</x:v>
      </x:c>
      <x:c r="AT252" s="6" t="str">
        <x:v>1.3059920106524634</x:v>
      </x:c>
      <x:c r="AU252" s="7" t="str">
        <x:v>2024-11-06 11:50:00-06:00</x:v>
      </x:c>
      <x:c r="AV252" s="8" t="str">
        <x:v>1</x:v>
      </x:c>
      <x:c r="AW252" s="6" t="str">
        <x:v>Immediate retest (1 bar)</x:v>
      </x:c>
      <x:c r="AX252" s="6" t="str">
        <x:v>19828.5</x:v>
      </x:c>
      <x:c r="AY252" s="6" t="str">
        <x:v>12.25</x:v>
      </x:c>
      <x:c r="AZ252" s="9" t="str">
        <x:v>0.4776847088550297</x:v>
      </x:c>
      <x:c r="BA252" s="9" t="str">
        <x:v>0.11698401033184402</x:v>
      </x:c>
      <x:c r="BB252" s="9" t="str">
        <x:v>0.8968774125441374</x:v>
      </x:c>
      <x:c r="BC252" s="9" t="str">
        <x:v>0.1559786804424587</x:v>
      </x:c>
      <x:c r="BD252" s="6" t="str">
        <x:v>0.16304347826086957</x:v>
      </x:c>
      <x:c r="BE252" s="6" t="str">
        <x:v>0.6630434782608695</x:v>
      </x:c>
      <x:c r="BF252" s="9" t="str">
        <x:v>0.5946687191868738</x:v>
      </x:c>
      <x:c r="BG252" s="9" t="str">
        <x:v>0.14623001291480503</x:v>
      </x:c>
      <x:c r="BH252" s="6" t="str">
        <x:v>Against trade</x:v>
      </x:c>
      <x:c r="BI252" s="6" t="str">
        <x:v>Penetration + same-bar reclaim</x:v>
      </x:c>
      <x:c r="BJ252" s="6" t="str">
        <x:v>False</x:v>
      </x:c>
      <x:c r="BK252" s="10" t="str">
        <x:v>True</x:v>
      </x:c>
      <x:c r="BL252" s="6" t="str">
        <x:v>True</x:v>
      </x:c>
      <x:c r="BM252" s="7" t="str">
        <x:v>2024-11-06 12:00:00-06:00</x:v>
      </x:c>
      <x:c r="BN252" s="8" t="str">
        <x:v>2</x:v>
      </x:c>
      <x:c r="BO252" s="6" t="str">
        <x:v>Delayed confirmation (2+ bars)</x:v>
      </x:c>
      <x:c r="BP252" s="9" t="str">
        <x:v>0.4411545984391774</x:v>
      </x:c>
      <x:c r="BQ252" s="9" t="str">
        <x:v>1.2031489048341202</x:v>
      </x:c>
      <x:c r="BR252" s="10" t="str">
        <x:v>0.36666666666666664</x:v>
      </x:c>
      <x:c r="BS252" s="9" t="str">
        <x:v>0.5213645254281187</x:v>
      </x:c>
      <x:c r="BT252" s="9" t="str">
        <x:v>0.40104963494470675</x:v>
      </x:c>
      <x:c r="BU252" s="9" t="str">
        <x:v>0.2807347444612947</x:v>
      </x:c>
      <x:c r="BV252" s="6" t="str">
        <x:v>With trade</x:v>
      </x:c>
      <x:c r="BW252" s="7" t="str">
        <x:v>2024-11-06 12:00:00-06:00</x:v>
      </x:c>
      <x:c r="BX252" s="6" t="str">
        <x:v>19853.75</x:v>
      </x:c>
      <x:c r="BY252" s="9" t="str">
        <x:v>24.93456951127437</x:v>
      </x:c>
      <x:c r="BZ252" s="9" t="str">
        <x:v>0.59</x:v>
      </x:c>
      <x:c r="CA252" s="6" t="str">
        <x:v>19816.34814573309</x:v>
      </x:c>
      <x:c r="CB252" s="6" t="str">
        <x:v>37.40185426691096</x:v>
      </x:c>
      <x:c r="CC252" s="9" t="str">
        <x:v>1.4999999999999762</x:v>
      </x:c>
      <x:c r="CD252" s="6" t="str">
        <x:v>19928.553708533822</x:v>
      </x:c>
      <x:c r="CE252" s="6" t="str">
        <x:v>74.80370853382192</x:v>
      </x:c>
      <x:c r="CF252" s="6" t="str">
        <x:v>Fixed 2.00R target</x:v>
      </x:c>
      <x:c r="CG252" s="9" t="str">
        <x:v>0.019384065688994465</x:v>
      </x:c>
      <x:c r="CH252" s="9" t="str">
        <x:v>0.995939926779355</x:v>
      </x:c>
      <x:c r="CI252" s="9" t="str">
        <x:v>0.9765558610903605</x:v>
      </x:c>
      <x:c r="CJ252" s="6" t="str">
        <x:v>Win</x:v>
      </x:c>
      <x:c r="CK252" s="9" t="str">
        <x:v>1.3034113135703176</x:v>
      </x:c>
      <x:c r="CL252" s="9" t="str">
        <x:v>0.16041985397788525</x:v>
      </x:c>
      <x:c r="CM252" s="7" t="str">
        <x:v>2024-11-06 13:00:00-06:00</x:v>
      </x:c>
      <x:c r="CN252" s="6" t="str">
        <x:v>19891.0</x:v>
      </x:c>
      <x:c r="CO252" s="6" t="str">
        <x:v>TIME</x:v>
      </x:c>
      <x:c r="CP252" s="6" t="str">
        <x:v>F::Long::Same-bar Setup+BOS::Penetration + same-bar reclaim</x:v>
      </x:c>
    </x:row>
    <x:row r="253" ht="18" customHeight="1">
      <x:c r="A253" s="6" t="str">
        <x:v>A0252</x:v>
      </x:c>
      <x:c r="B253" s="6" t="str">
        <x:v>2024-11-07</x:v>
      </x:c>
      <x:c r="C253" s="6" t="str">
        <x:v>2024</x:v>
      </x:c>
      <x:c r="D253" s="6" t="str">
        <x:v>2024-Q4</x:v>
      </x:c>
      <x:c r="E253" s="6" t="str">
        <x:v>First 50%</x:v>
      </x:c>
      <x:c r="F253" s="6" t="str">
        <x:v>Long</x:v>
      </x:c>
      <x:c r="G253" s="6" t="str">
        <x:v>Long</x:v>
      </x:c>
      <x:c r="H253" s="6" t="str">
        <x:v>Premarket</x:v>
      </x:c>
      <x:c r="I253" s="6" t="str">
        <x:v>Premarket</x:v>
      </x:c>
      <x:c r="J253" s="6" t="str">
        <x:v>Bull</x:v>
      </x:c>
      <x:c r="K253" s="6" t="str">
        <x:v>Bull</x:v>
      </x:c>
      <x:c r="L253" s="6" t="str">
        <x:v>LOW</x:v>
      </x:c>
      <x:c r="M253" s="7" t="str">
        <x:v>2024-11-07 06:00:00-06:00</x:v>
      </x:c>
      <x:c r="N253" s="6" t="str">
        <x:v>90.0</x:v>
      </x:c>
      <x:c r="O253" s="6" t="str">
        <x:v>90-94</x:v>
      </x:c>
      <x:c r="P253" s="6" t="str">
        <x:v>Matching BOS only</x:v>
      </x:c>
      <x:c r="Q253" s="6" t="str">
        <x:v>Bull CHoCH</x:v>
      </x:c>
      <x:c r="R253" s="6" t="str">
        <x:v>True</x:v>
      </x:c>
      <x:c r="S253" s="6" t="str">
        <x:v>False</x:v>
      </x:c>
      <x:c r="T253" s="6" t="str">
        <x:v>Recent SSL</x:v>
      </x:c>
      <x:c r="U253" s="6" t="str">
        <x:v>SSL</x:v>
      </x:c>
      <x:c r="V253" s="6" t="str">
        <x:v>Swing low / sell-side</x:v>
      </x:c>
      <x:c r="W253" s="6" t="str">
        <x:v>[19958.0]</x:v>
      </x:c>
      <x:c r="X253" s="8" t="str">
        <x:v>1</x:v>
      </x:c>
      <x:c r="Y253" s="8" t="str">
        <x:v>11.0</x:v>
      </x:c>
      <x:c r="Z253" s="6" t="str">
        <x:v>None</x:v>
      </x:c>
      <x:c r="AA253" s="6" t="str">
        <x:v>19977.5</x:v>
      </x:c>
      <x:c r="AB253" s="9" t="str">
        <x:v>0.26689645683082436</x:v>
      </x:c>
      <x:c r="AC253" s="9" t="str">
        <x:v>1.2010340557387096</x:v>
      </x:c>
      <x:c r="AD253" s="9" t="str">
        <x:v>1.4679305125695339</x:v>
      </x:c>
      <x:c r="AE253" s="6" t="str">
        <x:v>With trade</x:v>
      </x:c>
      <x:c r="AF253" s="7" t="str">
        <x:v>2024-11-07 06:00:00-06:00</x:v>
      </x:c>
      <x:c r="AG253" s="6" t="str">
        <x:v>Long</x:v>
      </x:c>
      <x:c r="AH253" s="6" t="str">
        <x:v>19977.5</x:v>
      </x:c>
      <x:c r="AI253" s="8" t="str">
        <x:v>0</x:v>
      </x:c>
      <x:c r="AJ253" s="6" t="str">
        <x:v>True</x:v>
      </x:c>
      <x:c r="AK253" s="6" t="str">
        <x:v>Same-bar Setup+BOS</x:v>
      </x:c>
      <x:c r="AL253" s="9" t="str">
        <x:v>1.0942754730063797</x:v>
      </x:c>
      <x:c r="AM253" s="9" t="str">
        <x:v>0.26689645683082436</x:v>
      </x:c>
      <x:c r="AN253" s="9" t="str">
        <x:v>1.2010340557387096</x:v>
      </x:c>
      <x:c r="AO253" s="9" t="str">
        <x:v>1.4679305125695339</x:v>
      </x:c>
      <x:c r="AP253" s="10" t="str">
        <x:v>0.8181818181818182</x:v>
      </x:c>
      <x:c r="AQ253" s="6" t="str">
        <x:v>0.01818181818181818</x:v>
      </x:c>
      <x:c r="AR253" s="6" t="str">
        <x:v>0.16363636363636364</x:v>
      </x:c>
      <x:c r="AS253" s="6" t="str">
        <x:v>With trade</x:v>
      </x:c>
      <x:c r="AT253" s="6" t="str">
        <x:v>2.7645718007163786</x:v>
      </x:c>
      <x:c r="AU253" s="7" t="str">
        <x:v>2024-11-07 06:05:00-06:00</x:v>
      </x:c>
      <x:c r="AV253" s="8" t="str">
        <x:v>1</x:v>
      </x:c>
      <x:c r="AW253" s="6" t="str">
        <x:v>Immediate retest (1 bar)</x:v>
      </x:c>
      <x:c r="AX253" s="6" t="str">
        <x:v>19977.25</x:v>
      </x:c>
      <x:c r="AY253" s="6" t="str">
        <x:v>0.25</x:v>
      </x:c>
      <x:c r="AZ253" s="9" t="str">
        <x:v>0.026662589751652643</x:v>
      </x:c>
      <x:c r="BA253" s="9" t="str">
        <x:v>0.7198899232946213</x:v>
      </x:c>
      <x:c r="BB253" s="9" t="str">
        <x:v>1.0131784105628003</x:v>
      </x:c>
      <x:c r="BC253" s="9" t="str">
        <x:v>0.39993884627478965</x:v>
      </x:c>
      <x:c r="BD253" s="6" t="str">
        <x:v>0.2631578947368421</x:v>
      </x:c>
      <x:c r="BE253" s="6" t="str">
        <x:v>0.34210526315789475</x:v>
      </x:c>
      <x:c r="BF253" s="9" t="str">
        <x:v>0.34661366677148436</x:v>
      </x:c>
      <x:c r="BG253" s="9" t="str">
        <x:v>0.26662589751652643</x:v>
      </x:c>
      <x:c r="BH253" s="6" t="str">
        <x:v>With trade</x:v>
      </x:c>
      <x:c r="BI253" s="6" t="str">
        <x:v>Penetration + same-bar reclaim</x:v>
      </x:c>
      <x:c r="BJ253" s="6" t="str">
        <x:v>False</x:v>
      </x:c>
      <x:c r="BK253" s="10" t="str">
        <x:v>True</x:v>
      </x:c>
      <x:c r="BL253" s="6" t="str">
        <x:v>True</x:v>
      </x:c>
      <x:c r="BM253" s="7" t="str">
        <x:v>2024-11-07 06:10:00-06:00</x:v>
      </x:c>
      <x:c r="BN253" s="8" t="str">
        <x:v>1</x:v>
      </x:c>
      <x:c r="BO253" s="6" t="str">
        <x:v>Immediate confirmation (1 bar)</x:v>
      </x:c>
      <x:c r="BP253" s="9" t="str">
        <x:v>0.5838037569839643</x:v>
      </x:c>
      <x:c r="BQ253" s="9" t="str">
        <x:v>1.0614613763344805</x:v>
      </x:c>
      <x:c r="BR253" s="10" t="str">
        <x:v>0.55</x:v>
      </x:c>
      <x:c r="BS253" s="9" t="str">
        <x:v>1.3002901860097387</x:v>
      </x:c>
      <x:c r="BT253" s="9" t="str">
        <x:v>0.5838037569839643</x:v>
      </x:c>
      <x:c r="BU253" s="9" t="str">
        <x:v>0.02653653440836201</x:v>
      </x:c>
      <x:c r="BV253" s="6" t="str">
        <x:v>With trade</x:v>
      </x:c>
      <x:c r="BW253" s="7" t="str">
        <x:v>2024-11-07 06:10:00-06:00</x:v>
      </x:c>
      <x:c r="BX253" s="6" t="str">
        <x:v>19989.75</x:v>
      </x:c>
      <x:c r="BY253" s="9" t="str">
        <x:v>9.420973973196052</x:v>
      </x:c>
      <x:c r="BZ253" s="9" t="str">
        <x:v>0.26</x:v>
      </x:c>
      <x:c r="CA253" s="6" t="str">
        <x:v>19975.618539040206</x:v>
      </x:c>
      <x:c r="CB253" s="6" t="str">
        <x:v>14.131460959793912</x:v>
      </x:c>
      <x:c r="CC253" s="9" t="str">
        <x:v>1.4999999999999825</x:v>
      </x:c>
      <x:c r="CD253" s="6" t="str">
        <x:v>20018.012921919588</x:v>
      </x:c>
      <x:c r="CE253" s="6" t="str">
        <x:v>28.262921919587825</x:v>
      </x:c>
      <x:c r="CF253" s="6" t="str">
        <x:v>Fixed 2.00R target</x:v>
      </x:c>
      <x:c r="CG253" s="9" t="str">
        <x:v>0.051303966522833824</x:v>
      </x:c>
      <x:c r="CH253" s="9" t="str">
        <x:v>2.0</x:v>
      </x:c>
      <x:c r="CI253" s="9" t="str">
        <x:v>1.9486960334771661</x:v>
      </x:c>
      <x:c r="CJ253" s="6" t="str">
        <x:v>Win</x:v>
      </x:c>
      <x:c r="CK253" s="9" t="str">
        <x:v>2.0344676379744446</x:v>
      </x:c>
      <x:c r="CL253" s="9" t="str">
        <x:v>0.8314780781286861</x:v>
      </x:c>
      <x:c r="CM253" s="7" t="str">
        <x:v>2024-11-07 07:05:00-06:00</x:v>
      </x:c>
      <x:c r="CN253" s="6" t="str">
        <x:v>20018.012921919588</x:v>
      </x:c>
      <x:c r="CO253" s="6" t="str">
        <x:v>TARGET</x:v>
      </x:c>
      <x:c r="CP253" s="6" t="str">
        <x:v>F::Long::Same-bar Setup+BOS::Penetration + same-bar reclaim</x:v>
      </x:c>
    </x:row>
    <x:row r="254" ht="18" customHeight="1">
      <x:c r="A254" s="6" t="str">
        <x:v>A0253</x:v>
      </x:c>
      <x:c r="B254" s="6" t="str">
        <x:v>2024-11-07</x:v>
      </x:c>
      <x:c r="C254" s="6" t="str">
        <x:v>2024</x:v>
      </x:c>
      <x:c r="D254" s="6" t="str">
        <x:v>2024-Q4</x:v>
      </x:c>
      <x:c r="E254" s="6" t="str">
        <x:v>First 50%</x:v>
      </x:c>
      <x:c r="F254" s="6" t="str">
        <x:v>Long</x:v>
      </x:c>
      <x:c r="G254" s="6" t="str">
        <x:v>Long</x:v>
      </x:c>
      <x:c r="H254" s="6" t="str">
        <x:v>Opening</x:v>
      </x:c>
      <x:c r="I254" s="6" t="str">
        <x:v>Opening</x:v>
      </x:c>
      <x:c r="J254" s="6" t="str">
        <x:v>Bull</x:v>
      </x:c>
      <x:c r="K254" s="6" t="str">
        <x:v>Bull</x:v>
      </x:c>
      <x:c r="L254" s="6" t="str">
        <x:v>HIGH</x:v>
      </x:c>
      <x:c r="M254" s="7" t="str">
        <x:v>2024-11-07 09:45:00-06:00</x:v>
      </x:c>
      <x:c r="N254" s="6" t="str">
        <x:v>75.0</x:v>
      </x:c>
      <x:c r="O254" s="6" t="str">
        <x:v>75-79</x:v>
      </x:c>
      <x:c r="P254" s="6" t="str">
        <x:v>Matching BOS only</x:v>
      </x:c>
      <x:c r="Q254" s="6" t="str">
        <x:v>Bull BOS</x:v>
      </x:c>
      <x:c r="R254" s="6" t="str">
        <x:v>True</x:v>
      </x:c>
      <x:c r="S254" s="6" t="str">
        <x:v>False</x:v>
      </x:c>
      <x:c r="T254" s="6" t="str">
        <x:v>No recent matching sweep</x:v>
      </x:c>
      <x:c r="U254" s="6" t="str">
        <x:v>None</x:v>
      </x:c>
      <x:c r="V254" s="6" t="str">
        <x:v>None</x:v>
      </x:c>
      <x:c r="W254" s="6" t="str">
        <x:v>[]</x:v>
      </x:c>
      <x:c r="X254" s="8" t="str">
        <x:v>0</x:v>
      </x:c>
      <x:c r="Y254" s="8" t="str"/>
      <x:c r="Z254" s="6" t="str">
        <x:v>None</x:v>
      </x:c>
      <x:c r="AA254" s="6" t="str">
        <x:v>20154.75</x:v>
      </x:c>
      <x:c r="AB254" s="9" t="str">
        <x:v>0.8683347311805774</x:v>
      </x:c>
      <x:c r="AC254" s="9" t="str">
        <x:v>1.3128394149992062</x:v>
      </x:c>
      <x:c r="AD254" s="9" t="str">
        <x:v>1.3852006425975878</x:v>
      </x:c>
      <x:c r="AE254" s="6" t="str">
        <x:v>With trade</x:v>
      </x:c>
      <x:c r="AF254" s="7" t="str">
        <x:v>2024-11-07 09:45:00-06:00</x:v>
      </x:c>
      <x:c r="AG254" s="6" t="str">
        <x:v>Long</x:v>
      </x:c>
      <x:c r="AH254" s="6" t="str">
        <x:v>20154.75</x:v>
      </x:c>
      <x:c r="AI254" s="8" t="str">
        <x:v>0</x:v>
      </x:c>
      <x:c r="AJ254" s="6" t="str">
        <x:v>True</x:v>
      </x:c>
      <x:c r="AK254" s="6" t="str">
        <x:v>Same-bar Setup+BOS</x:v>
      </x:c>
      <x:c r="AL254" s="9" t="str">
        <x:v>1.302502096770866</x:v>
      </x:c>
      <x:c r="AM254" s="9" t="str">
        <x:v>0.8683347311805774</x:v>
      </x:c>
      <x:c r="AN254" s="9" t="str">
        <x:v>1.3128394149992062</x:v>
      </x:c>
      <x:c r="AO254" s="9" t="str">
        <x:v>1.3852006425975878</x:v>
      </x:c>
      <x:c r="AP254" s="10" t="str">
        <x:v>0.9477611940298507</x:v>
      </x:c>
      <x:c r="AQ254" s="6" t="str">
        <x:v>0.029850746268656716</x:v>
      </x:c>
      <x:c r="AR254" s="6" t="str">
        <x:v>0.022388059701492536</x:v>
      </x:c>
      <x:c r="AS254" s="6" t="str">
        <x:v>With trade</x:v>
      </x:c>
      <x:c r="AT254" s="6" t="str">
        <x:v>1.2983873042002108</x:v>
      </x:c>
      <x:c r="AU254" s="7" t="str">
        <x:v>2024-11-07 10:05:00-06:00</x:v>
      </x:c>
      <x:c r="AV254" s="8" t="str">
        <x:v>4</x:v>
      </x:c>
      <x:c r="AW254" s="6" t="str">
        <x:v>Delayed retest (2+ bars)</x:v>
      </x:c>
      <x:c r="AX254" s="6" t="str">
        <x:v>20156.25</x:v>
      </x:c>
      <x:c r="AY254" s="6" t="str">
        <x:v>0.0</x:v>
      </x:c>
      <x:c r="AZ254" s="9" t="str">
        <x:v>0.0</x:v>
      </x:c>
      <x:c r="BA254" s="9" t="str">
        <x:v>0.37811453415352064</x:v>
      </x:c>
      <x:c r="BB254" s="9" t="str">
        <x:v>0.9299573677829831</x:v>
      </x:c>
      <x:c r="BC254" s="9" t="str">
        <x:v>0.4496497162906732</x:v>
      </x:c>
      <x:c r="BD254" s="6" t="str">
        <x:v>0.17582417582417584</x:v>
      </x:c>
      <x:c r="BE254" s="6" t="str">
        <x:v>0.34065934065934067</x:v>
      </x:c>
      <x:c r="BF254" s="9" t="str">
        <x:v>0.316798663750247</x:v>
      </x:c>
      <x:c r="BG254" s="9" t="str">
        <x:v>0.16350898774206296</x:v>
      </x:c>
      <x:c r="BH254" s="6" t="str">
        <x:v>Against trade</x:v>
      </x:c>
      <x:c r="BI254" s="6" t="str">
        <x:v>Tolerance-only shallow touch</x:v>
      </x:c>
      <x:c r="BJ254" s="6" t="str">
        <x:v>True</x:v>
      </x:c>
      <x:c r="BK254" s="10" t="str">
        <x:v>False</x:v>
      </x:c>
      <x:c r="BL254" s="6" t="str">
        <x:v>True</x:v>
      </x:c>
      <x:c r="BM254" s="7" t="str">
        <x:v>2024-11-07 10:10:00-06:00</x:v>
      </x:c>
      <x:c r="BN254" s="8" t="str">
        <x:v>1</x:v>
      </x:c>
      <x:c r="BO254" s="6" t="str">
        <x:v>Immediate confirmation (1 bar)</x:v>
      </x:c>
      <x:c r="BP254" s="9" t="str">
        <x:v>0.2956810196950252</x:v>
      </x:c>
      <x:c r="BQ254" s="9" t="str">
        <x:v>1.0297856203171567</x:v>
      </x:c>
      <x:c r="BR254" s="10" t="str">
        <x:v>0.2871287128712871</x:v>
      </x:c>
      <x:c r="BS254" s="9" t="str">
        <x:v>0.6729292172369539</x:v>
      </x:c>
      <x:c r="BT254" s="9" t="str">
        <x:v>0.2956810196950252</x:v>
      </x:c>
      <x:c r="BU254" s="9" t="str">
        <x:v>0.5811661421591874</x:v>
      </x:c>
      <x:c r="BV254" s="6" t="str">
        <x:v>With trade</x:v>
      </x:c>
      <x:c r="BW254" s="7" t="str">
        <x:v>2024-11-07 10:10:00-06:00</x:v>
      </x:c>
      <x:c r="BX254" s="6" t="str">
        <x:v>20171.25</x:v>
      </x:c>
      <x:c r="BY254" s="9" t="str">
        <x:v>24.51966652265296</x:v>
      </x:c>
      <x:c r="BZ254" s="9" t="str">
        <x:v>0.99</x:v>
      </x:c>
      <x:c r="CA254" s="6" t="str">
        <x:v>20134.47050021602</x:v>
      </x:c>
      <x:c r="CB254" s="6" t="str">
        <x:v>36.77949978398101</x:v>
      </x:c>
      <x:c r="CC254" s="9" t="str">
        <x:v>1.500000000000064</x:v>
      </x:c>
      <x:c r="CD254" s="6" t="str">
        <x:v>20244.80899956796</x:v>
      </x:c>
      <x:c r="CE254" s="6" t="str">
        <x:v>73.55899956795838</x:v>
      </x:c>
      <x:c r="CF254" s="6" t="str">
        <x:v>Fixed 2.00R target</x:v>
      </x:c>
      <x:c r="CG254" s="9" t="str">
        <x:v>0.019712067979667507</x:v>
      </x:c>
      <x:c r="CH254" s="9" t="str">
        <x:v>0.8768471618542125</x:v>
      </x:c>
      <x:c r="CI254" s="9" t="str">
        <x:v>0.857135093874545</x:v>
      </x:c>
      <x:c r="CJ254" s="6" t="str">
        <x:v>Win</x:v>
      </x:c>
      <x:c r="CK254" s="9" t="str">
        <x:v>1.4478174067824754</x:v>
      </x:c>
      <x:c r="CL254" s="9" t="str">
        <x:v>0.22430973907897506</x:v>
      </x:c>
      <x:c r="CM254" s="7" t="str">
        <x:v>2024-11-07 11:10:00-06:00</x:v>
      </x:c>
      <x:c r="CN254" s="6" t="str">
        <x:v>20203.5</x:v>
      </x:c>
      <x:c r="CO254" s="6" t="str">
        <x:v>TIME</x:v>
      </x:c>
      <x:c r="CP254" s="6" t="str">
        <x:v>F::Long::Same-bar Setup+BOS::Tolerance-only shallow touch</x:v>
      </x:c>
    </x:row>
    <x:row r="255" ht="18" customHeight="1">
      <x:c r="A255" s="6" t="str">
        <x:v>A0254</x:v>
      </x:c>
      <x:c r="B255" s="6" t="str">
        <x:v>2024-11-07</x:v>
      </x:c>
      <x:c r="C255" s="6" t="str">
        <x:v>2024</x:v>
      </x:c>
      <x:c r="D255" s="6" t="str">
        <x:v>2024-Q4</x:v>
      </x:c>
      <x:c r="E255" s="6" t="str">
        <x:v>First 50%</x:v>
      </x:c>
      <x:c r="F255" s="6" t="str">
        <x:v>Long</x:v>
      </x:c>
      <x:c r="G255" s="6" t="str">
        <x:v>Long</x:v>
      </x:c>
      <x:c r="H255" s="6" t="str">
        <x:v>Overnight</x:v>
      </x:c>
      <x:c r="I255" s="6" t="str">
        <x:v>Overnight</x:v>
      </x:c>
      <x:c r="J255" s="6" t="str">
        <x:v>Bull</x:v>
      </x:c>
      <x:c r="K255" s="6" t="str">
        <x:v>Bull</x:v>
      </x:c>
      <x:c r="L255" s="6" t="str">
        <x:v>LOW</x:v>
      </x:c>
      <x:c r="M255" s="7" t="str">
        <x:v>2024-11-07 18:00:00-06:00</x:v>
      </x:c>
      <x:c r="N255" s="6" t="str">
        <x:v>90.0</x:v>
      </x:c>
      <x:c r="O255" s="6" t="str">
        <x:v>90-94</x:v>
      </x:c>
      <x:c r="P255" s="6" t="str">
        <x:v>Matching BOS only</x:v>
      </x:c>
      <x:c r="Q255" s="6" t="str">
        <x:v>Bull BOS</x:v>
      </x:c>
      <x:c r="R255" s="6" t="str">
        <x:v>True</x:v>
      </x:c>
      <x:c r="S255" s="6" t="str">
        <x:v>False</x:v>
      </x:c>
      <x:c r="T255" s="6" t="str">
        <x:v>Recent SSL</x:v>
      </x:c>
      <x:c r="U255" s="6" t="str">
        <x:v>SSL</x:v>
      </x:c>
      <x:c r="V255" s="6" t="str">
        <x:v>Swing low / sell-side</x:v>
      </x:c>
      <x:c r="W255" s="6" t="str">
        <x:v>[20230.0]</x:v>
      </x:c>
      <x:c r="X255" s="8" t="str">
        <x:v>1</x:v>
      </x:c>
      <x:c r="Y255" s="8" t="str">
        <x:v>12.0</x:v>
      </x:c>
      <x:c r="Z255" s="6" t="str">
        <x:v>None</x:v>
      </x:c>
      <x:c r="AA255" s="6" t="str">
        <x:v>20254.0</x:v>
      </x:c>
      <x:c r="AB255" s="9" t="str">
        <x:v>0.3627395597333744</x:v>
      </x:c>
      <x:c r="AC255" s="9" t="str">
        <x:v>0.4987668946333898</x:v>
      </x:c>
      <x:c r="AD255" s="9" t="str">
        <x:v>1.1335611241667949</x:v>
      </x:c>
      <x:c r="AE255" s="6" t="str">
        <x:v>With trade</x:v>
      </x:c>
      <x:c r="AF255" s="7" t="str">
        <x:v>2024-11-07 18:00:00-06:00</x:v>
      </x:c>
      <x:c r="AG255" s="6" t="str">
        <x:v>Long</x:v>
      </x:c>
      <x:c r="AH255" s="6" t="str">
        <x:v>20254.0</x:v>
      </x:c>
      <x:c r="AI255" s="8" t="str">
        <x:v>0</x:v>
      </x:c>
      <x:c r="AJ255" s="6" t="str">
        <x:v>True</x:v>
      </x:c>
      <x:c r="AK255" s="6" t="str">
        <x:v>Same-bar Setup+BOS</x:v>
      </x:c>
      <x:c r="AL255" s="9" t="str">
        <x:v>0.4760956721500539</x:v>
      </x:c>
      <x:c r="AM255" s="9" t="str">
        <x:v>0.3627395597333744</x:v>
      </x:c>
      <x:c r="AN255" s="9" t="str">
        <x:v>0.4987668946333898</x:v>
      </x:c>
      <x:c r="AO255" s="9" t="str">
        <x:v>1.1335611241667949</x:v>
      </x:c>
      <x:c r="AP255" s="10" t="str">
        <x:v>0.44</x:v>
      </x:c>
      <x:c r="AQ255" s="6" t="str">
        <x:v>0.52</x:v>
      </x:c>
      <x:c r="AR255" s="6" t="str">
        <x:v>0.04</x:v>
      </x:c>
      <x:c r="AS255" s="6" t="str">
        <x:v>With trade</x:v>
      </x:c>
      <x:c r="AT255" s="6" t="str">
        <x:v>1.6498881431767336</x:v>
      </x:c>
      <x:c r="AU255" s="7" t="str">
        <x:v>2024-11-07 18:05:00-06:00</x:v>
      </x:c>
      <x:c r="AV255" s="8" t="str">
        <x:v>1</x:v>
      </x:c>
      <x:c r="AW255" s="6" t="str">
        <x:v>Immediate retest (1 bar)</x:v>
      </x:c>
      <x:c r="AX255" s="6" t="str">
        <x:v>20253.0</x:v>
      </x:c>
      <x:c r="AY255" s="6" t="str">
        <x:v>1.0</x:v>
      </x:c>
      <x:c r="AZ255" s="9" t="str">
        <x:v>0.09280524670731814</x:v>
      </x:c>
      <x:c r="BA255" s="9" t="str">
        <x:v>0.0696039350304886</x:v>
      </x:c>
      <x:c r="BB255" s="9" t="str">
        <x:v>0.6960393503048861</x:v>
      </x:c>
      <x:c r="BC255" s="9" t="str">
        <x:v>0.46402623353659067</x:v>
      </x:c>
      <x:c r="BD255" s="6" t="str">
        <x:v>0.1</x:v>
      </x:c>
      <x:c r="BE255" s="6" t="str">
        <x:v>0.23333333333333334</x:v>
      </x:c>
      <x:c r="BF255" s="9" t="str">
        <x:v>0.16240918173780675</x:v>
      </x:c>
      <x:c r="BG255" s="9" t="str">
        <x:v>0.0696039350304886</x:v>
      </x:c>
      <x:c r="BH255" s="6" t="str">
        <x:v>Against trade</x:v>
      </x:c>
      <x:c r="BI255" s="6" t="str">
        <x:v>Penetration + same-bar reclaim</x:v>
      </x:c>
      <x:c r="BJ255" s="6" t="str">
        <x:v>False</x:v>
      </x:c>
      <x:c r="BK255" s="10" t="str">
        <x:v>True</x:v>
      </x:c>
      <x:c r="BL255" s="6" t="str">
        <x:v>True</x:v>
      </x:c>
      <x:c r="BM255" s="7" t="str">
        <x:v>2024-11-07 18:10:00-06:00</x:v>
      </x:c>
      <x:c r="BN255" s="8" t="str">
        <x:v>1</x:v>
      </x:c>
      <x:c r="BO255" s="6" t="str">
        <x:v>Immediate confirmation (1 bar)</x:v>
      </x:c>
      <x:c r="BP255" s="9" t="str">
        <x:v>0.024250270466076085</x:v>
      </x:c>
      <x:c r="BQ255" s="9" t="str">
        <x:v>0.41225459792329344</x:v>
      </x:c>
      <x:c r="BR255" s="10" t="str">
        <x:v>0.058823529411764705</x:v>
      </x:c>
      <x:c r="BS255" s="9" t="str">
        <x:v>0.12125135233038042</x:v>
      </x:c>
      <x:c r="BT255" s="9" t="str">
        <x:v>0.04850054093215217</x:v>
      </x:c>
      <x:c r="BU255" s="9" t="str">
        <x:v>0.3395037865250652</x:v>
      </x:c>
      <x:c r="BV255" s="6" t="str">
        <x:v>With trade</x:v>
      </x:c>
      <x:c r="BW255" s="7" t="str">
        <x:v>2024-11-07 18:10:00-06:00</x:v>
      </x:c>
      <x:c r="BX255" s="6" t="str">
        <x:v>20255.25</x:v>
      </x:c>
      <x:c r="BY255" s="9" t="str">
        <x:v>10.309163369939613</x:v>
      </x:c>
      <x:c r="BZ255" s="9" t="str">
        <x:v>0.0</x:v>
      </x:c>
      <x:c r="CA255" s="6" t="str">
        <x:v>20239.78625494509</x:v>
      </x:c>
      <x:c r="CB255" s="6" t="str">
        <x:v>15.46374505490894</x:v>
      </x:c>
      <x:c r="CC255" s="9" t="str">
        <x:v>1.4999999999999536</x:v>
      </x:c>
      <x:c r="CD255" s="6" t="str">
        <x:v>20286.177490109818</x:v>
      </x:c>
      <x:c r="CE255" s="6" t="str">
        <x:v>30.92749010981788</x:v>
      </x:c>
      <x:c r="CF255" s="6" t="str">
        <x:v>Fixed 2.00R target</x:v>
      </x:c>
      <x:c r="CG255" s="9" t="str">
        <x:v>0.04688385623441522</x:v>
      </x:c>
      <x:c r="CH255" s="9" t="str">
        <x:v>-0.6951744200275144</x:v>
      </x:c>
      <x:c r="CI255" s="9" t="str">
        <x:v>-0.7420582762619297</x:v>
      </x:c>
      <x:c r="CJ255" s="6" t="str">
        <x:v>Loss</x:v>
      </x:c>
      <x:c r="CK255" s="9" t="str">
        <x:v>0.4203380214119985</x:v>
      </x:c>
      <x:c r="CL255" s="9" t="str">
        <x:v>0.9215102777109198</x:v>
      </x:c>
      <x:c r="CM255" s="7" t="str">
        <x:v>2024-11-07 19:10:00-06:00</x:v>
      </x:c>
      <x:c r="CN255" s="6" t="str">
        <x:v>20244.5</x:v>
      </x:c>
      <x:c r="CO255" s="6" t="str">
        <x:v>TIME</x:v>
      </x:c>
      <x:c r="CP255" s="6" t="str">
        <x:v>F::Long::Same-bar Setup+BOS::Penetration + same-bar reclaim</x:v>
      </x:c>
    </x:row>
    <x:row r="256" ht="18" customHeight="1">
      <x:c r="A256" s="6" t="str">
        <x:v>A0255</x:v>
      </x:c>
      <x:c r="B256" s="6" t="str">
        <x:v>2024-11-13</x:v>
      </x:c>
      <x:c r="C256" s="6" t="str">
        <x:v>2024</x:v>
      </x:c>
      <x:c r="D256" s="6" t="str">
        <x:v>2024-Q4</x:v>
      </x:c>
      <x:c r="E256" s="6" t="str">
        <x:v>First 50%</x:v>
      </x:c>
      <x:c r="F256" s="6" t="str">
        <x:v>Long</x:v>
      </x:c>
      <x:c r="G256" s="6" t="str">
        <x:v>Long</x:v>
      </x:c>
      <x:c r="H256" s="6" t="str">
        <x:v>Premarket</x:v>
      </x:c>
      <x:c r="I256" s="6" t="str">
        <x:v>Premarket</x:v>
      </x:c>
      <x:c r="J256" s="6" t="str">
        <x:v>Neutral</x:v>
      </x:c>
      <x:c r="K256" s="6" t="str">
        <x:v>Bear</x:v>
      </x:c>
      <x:c r="L256" s="6" t="str">
        <x:v>HIGH</x:v>
      </x:c>
      <x:c r="M256" s="7" t="str">
        <x:v>2024-11-13 07:30:00-06:00</x:v>
      </x:c>
      <x:c r="N256" s="6" t="str">
        <x:v>90.0</x:v>
      </x:c>
      <x:c r="O256" s="6" t="str">
        <x:v>90-94</x:v>
      </x:c>
      <x:c r="P256" s="6" t="str">
        <x:v>Matching BOS only</x:v>
      </x:c>
      <x:c r="Q256" s="6" t="str">
        <x:v>Bull CHoCH</x:v>
      </x:c>
      <x:c r="R256" s="6" t="str">
        <x:v>True</x:v>
      </x:c>
      <x:c r="S256" s="6" t="str">
        <x:v>False</x:v>
      </x:c>
      <x:c r="T256" s="6" t="str">
        <x:v>Recent SSL</x:v>
      </x:c>
      <x:c r="U256" s="6" t="str">
        <x:v>SSL</x:v>
      </x:c>
      <x:c r="V256" s="6" t="str">
        <x:v>Swing low / sell-side</x:v>
      </x:c>
      <x:c r="W256" s="6" t="str">
        <x:v>[20145.5]</x:v>
      </x:c>
      <x:c r="X256" s="8" t="str">
        <x:v>1</x:v>
      </x:c>
      <x:c r="Y256" s="8" t="str">
        <x:v>18.0</x:v>
      </x:c>
      <x:c r="Z256" s="6" t="str">
        <x:v>Sweep below CRT reference</x:v>
      </x:c>
      <x:c r="AA256" s="6" t="str">
        <x:v>20181.25</x:v>
      </x:c>
      <x:c r="AB256" s="9" t="str">
        <x:v>2.998123802508557</x:v>
      </x:c>
      <x:c r="AC256" s="9" t="str">
        <x:v>3.5948377632020074</x:v>
      </x:c>
      <x:c r="AD256" s="9" t="str">
        <x:v>5.195777657745412</x:v>
      </x:c>
      <x:c r="AE256" s="6" t="str">
        <x:v>With trade</x:v>
      </x:c>
      <x:c r="AF256" s="7" t="str">
        <x:v>2024-11-13 07:30:00-06:00</x:v>
      </x:c>
      <x:c r="AG256" s="6" t="str">
        <x:v>Long</x:v>
      </x:c>
      <x:c r="AH256" s="6" t="str">
        <x:v>20181.25</x:v>
      </x:c>
      <x:c r="AI256" s="8" t="str">
        <x:v>0</x:v>
      </x:c>
      <x:c r="AJ256" s="6" t="str">
        <x:v>True</x:v>
      </x:c>
      <x:c r="AK256" s="6" t="str">
        <x:v>Same-bar Setup+BOS</x:v>
      </x:c>
      <x:c r="AL256" s="9" t="str">
        <x:v>3.5511757660780963</x:v>
      </x:c>
      <x:c r="AM256" s="9" t="str">
        <x:v>2.998123802508557</x:v>
      </x:c>
      <x:c r="AN256" s="9" t="str">
        <x:v>3.5948377632020074</x:v>
      </x:c>
      <x:c r="AO256" s="9" t="str">
        <x:v>5.195777657745412</x:v>
      </x:c>
      <x:c r="AP256" s="10" t="str">
        <x:v>0.6918767507002801</x:v>
      </x:c>
      <x:c r="AQ256" s="6" t="str">
        <x:v>0.17647058823529413</x:v>
      </x:c>
      <x:c r="AR256" s="6" t="str">
        <x:v>0.13165266106442577</x:v>
      </x:c>
      <x:c r="AS256" s="6" t="str">
        <x:v>With trade</x:v>
      </x:c>
      <x:c r="AT256" s="6" t="str">
        <x:v>11.129527755947702</x:v>
      </x:c>
      <x:c r="AU256" s="7" t="str">
        <x:v>2024-11-13 08:10:00-06:00</x:v>
      </x:c>
      <x:c r="AV256" s="8" t="str">
        <x:v>8</x:v>
      </x:c>
      <x:c r="AW256" s="6" t="str">
        <x:v>Delayed retest (2+ bars)</x:v>
      </x:c>
      <x:c r="AX256" s="6" t="str">
        <x:v>20182.25</x:v>
      </x:c>
      <x:c r="AY256" s="6" t="str">
        <x:v>0.0</x:v>
      </x:c>
      <x:c r="AZ256" s="9" t="str">
        <x:v>0.0</x:v>
      </x:c>
      <x:c r="BA256" s="9" t="str">
        <x:v>0.8780426042633698</x:v>
      </x:c>
      <x:c r="BB256" s="9" t="str">
        <x:v>1.2366797243146053</x:v>
      </x:c>
      <x:c r="BC256" s="9" t="str">
        <x:v>0.17313516140404475</x:v>
      </x:c>
      <x:c r="BD256" s="6" t="str">
        <x:v>0.19</x:v>
      </x:c>
      <x:c r="BE256" s="6" t="str">
        <x:v>0.67</x:v>
      </x:c>
      <x:c r="BF256" s="9" t="str">
        <x:v>0.8285754152907856</x:v>
      </x:c>
      <x:c r="BG256" s="9" t="str">
        <x:v>0.23496914761977503</x:v>
      </x:c>
      <x:c r="BH256" s="6" t="str">
        <x:v>Against trade</x:v>
      </x:c>
      <x:c r="BI256" s="6" t="str">
        <x:v>Tolerance-only shallow touch</x:v>
      </x:c>
      <x:c r="BJ256" s="6" t="str">
        <x:v>True</x:v>
      </x:c>
      <x:c r="BK256" s="10" t="str">
        <x:v>False</x:v>
      </x:c>
      <x:c r="BL256" s="6" t="str">
        <x:v>True</x:v>
      </x:c>
      <x:c r="BM256" s="7" t="str">
        <x:v>2024-11-13 08:15:00-06:00</x:v>
      </x:c>
      <x:c r="BN256" s="8" t="str">
        <x:v>1</x:v>
      </x:c>
      <x:c r="BO256" s="6" t="str">
        <x:v>Immediate confirmation (1 bar)</x:v>
      </x:c>
      <x:c r="BP256" s="9" t="str">
        <x:v>0.5138953462112555</x:v>
      </x:c>
      <x:c r="BQ256" s="9" t="str">
        <x:v>1.1379111237534945</x:v>
      </x:c>
      <x:c r="BR256" s="10" t="str">
        <x:v>0.45161290322580644</x:v>
      </x:c>
      <x:c r="BS256" s="9" t="str">
        <x:v>1.3703875898966815</x:v>
      </x:c>
      <x:c r="BT256" s="9" t="str">
        <x:v>0.5016597427300352</x:v>
      </x:c>
      <x:c r="BU256" s="9" t="str">
        <x:v>0.39153931139905185</x:v>
      </x:c>
      <x:c r="BV256" s="6" t="str">
        <x:v>With trade</x:v>
      </x:c>
      <x:c r="BW256" s="7" t="str">
        <x:v>2024-11-13 08:15:00-06:00</x:v>
      </x:c>
      <x:c r="BX256" s="6" t="str">
        <x:v>20209.25</x:v>
      </x:c>
      <x:c r="BY256" s="9" t="str">
        <x:v>20.43217568987984</x:v>
      </x:c>
      <x:c r="BZ256" s="9" t="str">
        <x:v>1.0</x:v>
      </x:c>
      <x:c r="CA256" s="6" t="str">
        <x:v>20178.60173646518</x:v>
      </x:c>
      <x:c r="CB256" s="6" t="str">
        <x:v>30.648263534818398</x:v>
      </x:c>
      <x:c r="CC256" s="9" t="str">
        <x:v>1.4999999999999332</x:v>
      </x:c>
      <x:c r="CD256" s="6" t="str">
        <x:v>20270.54652706964</x:v>
      </x:c>
      <x:c r="CE256" s="6" t="str">
        <x:v>61.29652706964043</x:v>
      </x:c>
      <x:c r="CF256" s="6" t="str">
        <x:v>Fixed 2.00R target</x:v>
      </x:c>
      <x:c r="CG256" s="9" t="str">
        <x:v>0.02365550006369377</x:v>
      </x:c>
      <x:c r="CH256" s="9" t="str">
        <x:v>-1.0</x:v>
      </x:c>
      <x:c r="CI256" s="9" t="str">
        <x:v>-1.0236555000636938</x:v>
      </x:c>
      <x:c r="CJ256" s="6" t="str">
        <x:v>Loss</x:v>
      </x:c>
      <x:c r="CK256" s="9" t="str">
        <x:v>0.20392672468701525</x:v>
      </x:c>
      <x:c r="CL256" s="9" t="str">
        <x:v>1.0930472443224017</x:v>
      </x:c>
      <x:c r="CM256" s="7" t="str">
        <x:v>2024-11-13 08:30:00-06:00</x:v>
      </x:c>
      <x:c r="CN256" s="6" t="str">
        <x:v>20178.60173646518</x:v>
      </x:c>
      <x:c r="CO256" s="6" t="str">
        <x:v>STOP</x:v>
      </x:c>
      <x:c r="CP256" s="6" t="str">
        <x:v>F::Long::Same-bar Setup+BOS::Tolerance-only shallow touch</x:v>
      </x:c>
    </x:row>
    <x:row r="257" ht="18" customHeight="1">
      <x:c r="A257" s="6" t="str">
        <x:v>A0256</x:v>
      </x:c>
      <x:c r="B257" s="6" t="str">
        <x:v>2024-11-13</x:v>
      </x:c>
      <x:c r="C257" s="6" t="str">
        <x:v>2024</x:v>
      </x:c>
      <x:c r="D257" s="6" t="str">
        <x:v>2024-Q4</x:v>
      </x:c>
      <x:c r="E257" s="6" t="str">
        <x:v>First 50%</x:v>
      </x:c>
      <x:c r="F257" s="6" t="str">
        <x:v>Long</x:v>
      </x:c>
      <x:c r="G257" s="6" t="str">
        <x:v>Long</x:v>
      </x:c>
      <x:c r="H257" s="6" t="str">
        <x:v>Overnight</x:v>
      </x:c>
      <x:c r="I257" s="6" t="str">
        <x:v>Overnight</x:v>
      </x:c>
      <x:c r="J257" s="6" t="str">
        <x:v>Bear</x:v>
      </x:c>
      <x:c r="K257" s="6" t="str">
        <x:v>Bear</x:v>
      </x:c>
      <x:c r="L257" s="6" t="str">
        <x:v>LOW</x:v>
      </x:c>
      <x:c r="M257" s="7" t="str">
        <x:v>2024-11-13 22:05:00-06:00</x:v>
      </x:c>
      <x:c r="N257" s="6" t="str">
        <x:v>90.0</x:v>
      </x:c>
      <x:c r="O257" s="6" t="str">
        <x:v>90-94</x:v>
      </x:c>
      <x:c r="P257" s="6" t="str">
        <x:v>Matching BOS only</x:v>
      </x:c>
      <x:c r="Q257" s="6" t="str">
        <x:v>Bull BOS</x:v>
      </x:c>
      <x:c r="R257" s="6" t="str">
        <x:v>True</x:v>
      </x:c>
      <x:c r="S257" s="6" t="str">
        <x:v>False</x:v>
      </x:c>
      <x:c r="T257" s="6" t="str">
        <x:v>Recent SSL</x:v>
      </x:c>
      <x:c r="U257" s="6" t="str">
        <x:v>SSL</x:v>
      </x:c>
      <x:c r="V257" s="6" t="str">
        <x:v>Swing low / sell-side</x:v>
      </x:c>
      <x:c r="W257" s="6" t="str">
        <x:v>[20144.0]</x:v>
      </x:c>
      <x:c r="X257" s="8" t="str">
        <x:v>1</x:v>
      </x:c>
      <x:c r="Y257" s="8" t="str">
        <x:v>16.0</x:v>
      </x:c>
      <x:c r="Z257" s="6" t="str">
        <x:v>None</x:v>
      </x:c>
      <x:c r="AA257" s="6" t="str">
        <x:v>20162.0</x:v>
      </x:c>
      <x:c r="AB257" s="9" t="str">
        <x:v>0.670779077385694</x:v>
      </x:c>
      <x:c r="AC257" s="9" t="str">
        <x:v>1.3735000155992783</x:v>
      </x:c>
      <x:c r="AD257" s="9" t="str">
        <x:v>1.4054418764271683</x:v>
      </x:c>
      <x:c r="AE257" s="6" t="str">
        <x:v>With trade</x:v>
      </x:c>
      <x:c r="AF257" s="7" t="str">
        <x:v>2024-11-13 22:05:00-06:00</x:v>
      </x:c>
      <x:c r="AG257" s="6" t="str">
        <x:v>Long</x:v>
      </x:c>
      <x:c r="AH257" s="6" t="str">
        <x:v>20162.0</x:v>
      </x:c>
      <x:c r="AI257" s="8" t="str">
        <x:v>0</x:v>
      </x:c>
      <x:c r="AJ257" s="6" t="str">
        <x:v>True</x:v>
      </x:c>
      <x:c r="AK257" s="6" t="str">
        <x:v>Same-bar Setup+BOS</x:v>
      </x:c>
      <x:c r="AL257" s="9" t="str">
        <x:v>1.341558154771388</x:v>
      </x:c>
      <x:c r="AM257" s="9" t="str">
        <x:v>0.670779077385694</x:v>
      </x:c>
      <x:c r="AN257" s="9" t="str">
        <x:v>1.3735000155992783</x:v>
      </x:c>
      <x:c r="AO257" s="9" t="str">
        <x:v>1.4054418764271683</x:v>
      </x:c>
      <x:c r="AP257" s="10" t="str">
        <x:v>0.9772727272727273</x:v>
      </x:c>
      <x:c r="AQ257" s="6" t="str">
        <x:v>0.0</x:v>
      </x:c>
      <x:c r="AR257" s="6" t="str">
        <x:v>0.022727272727272728</x:v>
      </x:c>
      <x:c r="AS257" s="6" t="str">
        <x:v>With trade</x:v>
      </x:c>
      <x:c r="AT257" s="6" t="str">
        <x:v>1.688976377952756</x:v>
      </x:c>
      <x:c r="AU257" s="7" t="str">
        <x:v>2024-11-13 22:10:00-06:00</x:v>
      </x:c>
      <x:c r="AV257" s="8" t="str">
        <x:v>1</x:v>
      </x:c>
      <x:c r="AW257" s="6" t="str">
        <x:v>Immediate retest (1 bar)</x:v>
      </x:c>
      <x:c r="AX257" s="6" t="str">
        <x:v>20162.75</x:v>
      </x:c>
      <x:c r="AY257" s="6" t="str">
        <x:v>0.0</x:v>
      </x:c>
      <x:c r="AZ257" s="9" t="str">
        <x:v>0.0</x:v>
      </x:c>
      <x:c r="BA257" s="9" t="str">
        <x:v>0.5820003391478713</x:v>
      </x:c>
      <x:c r="BB257" s="9" t="str">
        <x:v>0.8406671565469251</x:v>
      </x:c>
      <x:c r="BC257" s="9" t="str">
        <x:v>0.09700005652464522</x:v>
      </x:c>
      <x:c r="BD257" s="6" t="str">
        <x:v>0.3076923076923077</x:v>
      </x:c>
      <x:c r="BE257" s="6" t="str">
        <x:v>0.5769230769230769</x:v>
      </x:c>
      <x:c r="BF257" s="9" t="str">
        <x:v>0.48500028262322603</x:v>
      </x:c>
      <x:c r="BG257" s="9" t="str">
        <x:v>0.2586668173990539</x:v>
      </x:c>
      <x:c r="BH257" s="6" t="str">
        <x:v>Against trade</x:v>
      </x:c>
      <x:c r="BI257" s="6" t="str">
        <x:v>Tolerance-only shallow touch</x:v>
      </x:c>
      <x:c r="BJ257" s="6" t="str">
        <x:v>True</x:v>
      </x:c>
      <x:c r="BK257" s="10" t="str">
        <x:v>False</x:v>
      </x:c>
      <x:c r="BL257" s="6" t="str">
        <x:v>True</x:v>
      </x:c>
      <x:c r="BM257" s="7" t="str">
        <x:v>2024-11-13 22:15:00-06:00</x:v>
      </x:c>
      <x:c r="BN257" s="8" t="str">
        <x:v>1</x:v>
      </x:c>
      <x:c r="BO257" s="6" t="str">
        <x:v>Immediate confirmation (1 bar)</x:v>
      </x:c>
      <x:c r="BP257" s="9" t="str">
        <x:v>0.9479494041805695</x:v>
      </x:c>
      <x:c r="BQ257" s="9" t="str">
        <x:v>1.2955308523801117</x:v>
      </x:c>
      <x:c r="BR257" s="10" t="str">
        <x:v>0.7317073170731707</x:v>
      </x:c>
      <x:c r="BS257" s="9" t="str">
        <x:v>1.5167190466889113</x:v>
      </x:c>
      <x:c r="BT257" s="9" t="str">
        <x:v>0.9479494041805695</x:v>
      </x:c>
      <x:c r="BU257" s="9" t="str">
        <x:v>0.15799156736342826</x:v>
      </x:c>
      <x:c r="BV257" s="6" t="str">
        <x:v>With trade</x:v>
      </x:c>
      <x:c r="BW257" s="7" t="str">
        <x:v>2024-11-13 22:15:00-06:00</x:v>
      </x:c>
      <x:c r="BX257" s="6" t="str">
        <x:v>20174.0</x:v>
      </x:c>
      <x:c r="BY257" s="9" t="str">
        <x:v>7.911814667453884</x:v>
      </x:c>
      <x:c r="BZ257" s="9" t="str">
        <x:v>0.05</x:v>
      </x:c>
      <x:c r="CA257" s="6" t="str">
        <x:v>20162.13227799882</x:v>
      </x:c>
      <x:c r="CB257" s="6" t="str">
        <x:v>11.867722001181392</x:v>
      </x:c>
      <x:c r="CC257" s="9" t="str">
        <x:v>1.5000000000000715</x:v>
      </x:c>
      <x:c r="CD257" s="6" t="str">
        <x:v>20197.735444002363</x:v>
      </x:c>
      <x:c r="CE257" s="6" t="str">
        <x:v>23.735444002362783</x:v>
      </x:c>
      <x:c r="CF257" s="6" t="str">
        <x:v>Fixed 2.00R target</x:v>
      </x:c>
      <x:c r="CG257" s="9" t="str">
        <x:v>0.06109007271385601</x:v>
      </x:c>
      <x:c r="CH257" s="9" t="str">
        <x:v>-1.0</x:v>
      </x:c>
      <x:c r="CI257" s="9" t="str">
        <x:v>-1.061090072713856</x:v>
      </x:c>
      <x:c r="CJ257" s="6" t="str">
        <x:v>Loss</x:v>
      </x:c>
      <x:c r="CK257" s="9" t="str">
        <x:v>0.25278650778147316</x:v>
      </x:c>
      <x:c r="CL257" s="9" t="str">
        <x:v>1.0111460311258926</x:v>
      </x:c>
      <x:c r="CM257" s="7" t="str">
        <x:v>2024-11-13 22:45:00-06:00</x:v>
      </x:c>
      <x:c r="CN257" s="6" t="str">
        <x:v>20162.13227799882</x:v>
      </x:c>
      <x:c r="CO257" s="6" t="str">
        <x:v>STOP</x:v>
      </x:c>
      <x:c r="CP257" s="6" t="str">
        <x:v>F::Long::Same-bar Setup+BOS::Tolerance-only shallow touch</x:v>
      </x:c>
    </x:row>
    <x:row r="258" ht="18" customHeight="1">
      <x:c r="A258" s="6" t="str">
        <x:v>A0257</x:v>
      </x:c>
      <x:c r="B258" s="6" t="str">
        <x:v>2024-11-14</x:v>
      </x:c>
      <x:c r="C258" s="6" t="str">
        <x:v>2024</x:v>
      </x:c>
      <x:c r="D258" s="6" t="str">
        <x:v>2024-Q4</x:v>
      </x:c>
      <x:c r="E258" s="6" t="str">
        <x:v>First 50%</x:v>
      </x:c>
      <x:c r="F258" s="6" t="str">
        <x:v>Short</x:v>
      </x:c>
      <x:c r="G258" s="6" t="str">
        <x:v>Short</x:v>
      </x:c>
      <x:c r="H258" s="6" t="str">
        <x:v>Afternoon</x:v>
      </x:c>
      <x:c r="I258" s="6" t="str">
        <x:v>Afternoon</x:v>
      </x:c>
      <x:c r="J258" s="6" t="str">
        <x:v>Bear</x:v>
      </x:c>
      <x:c r="K258" s="6" t="str">
        <x:v>Bear</x:v>
      </x:c>
      <x:c r="L258" s="6" t="str">
        <x:v>HIGH</x:v>
      </x:c>
      <x:c r="M258" s="7" t="str">
        <x:v>2024-11-14 14:00:00-06:00</x:v>
      </x:c>
      <x:c r="N258" s="6" t="str">
        <x:v>75.0</x:v>
      </x:c>
      <x:c r="O258" s="6" t="str">
        <x:v>75-79</x:v>
      </x:c>
      <x:c r="P258" s="6" t="str">
        <x:v>Matching BOS only</x:v>
      </x:c>
      <x:c r="Q258" s="6" t="str">
        <x:v>Bear BOS</x:v>
      </x:c>
      <x:c r="R258" s="6" t="str">
        <x:v>True</x:v>
      </x:c>
      <x:c r="S258" s="6" t="str">
        <x:v>False</x:v>
      </x:c>
      <x:c r="T258" s="6" t="str">
        <x:v>No recent matching sweep</x:v>
      </x:c>
      <x:c r="U258" s="6" t="str">
        <x:v>None</x:v>
      </x:c>
      <x:c r="V258" s="6" t="str">
        <x:v>None</x:v>
      </x:c>
      <x:c r="W258" s="6" t="str">
        <x:v>[]</x:v>
      </x:c>
      <x:c r="X258" s="8" t="str">
        <x:v>0</x:v>
      </x:c>
      <x:c r="Y258" s="8" t="str"/>
      <x:c r="Z258" s="6" t="str">
        <x:v>None</x:v>
      </x:c>
      <x:c r="AA258" s="6" t="str">
        <x:v>20047.0</x:v>
      </x:c>
      <x:c r="AB258" s="9" t="str">
        <x:v>0.01857423464928938</x:v>
      </x:c>
      <x:c r="AC258" s="9" t="str">
        <x:v>1.8017007609810698</x:v>
      </x:c>
      <x:c r="AD258" s="9" t="str">
        <x:v>2.3589278004597514</x:v>
      </x:c>
      <x:c r="AE258" s="6" t="str">
        <x:v>With trade</x:v>
      </x:c>
      <x:c r="AF258" s="7" t="str">
        <x:v>2024-11-14 14:00:00-06:00</x:v>
      </x:c>
      <x:c r="AG258" s="6" t="str">
        <x:v>Short</x:v>
      </x:c>
      <x:c r="AH258" s="6" t="str">
        <x:v>20047.0</x:v>
      </x:c>
      <x:c r="AI258" s="8" t="str">
        <x:v>0</x:v>
      </x:c>
      <x:c r="AJ258" s="6" t="str">
        <x:v>True</x:v>
      </x:c>
      <x:c r="AK258" s="6" t="str">
        <x:v>Same-bar Setup+BOS</x:v>
      </x:c>
      <x:c r="AL258" s="9" t="str">
        <x:v>1.792413643656425</x:v>
      </x:c>
      <x:c r="AM258" s="9" t="str">
        <x:v>0.01857423464928938</x:v>
      </x:c>
      <x:c r="AN258" s="9" t="str">
        <x:v>1.8017007609810698</x:v>
      </x:c>
      <x:c r="AO258" s="9" t="str">
        <x:v>2.3589278004597514</x:v>
      </x:c>
      <x:c r="AP258" s="10" t="str">
        <x:v>0.7637795275590551</x:v>
      </x:c>
      <x:c r="AQ258" s="6" t="str">
        <x:v>0.0</x:v>
      </x:c>
      <x:c r="AR258" s="6" t="str">
        <x:v>0.23622047244094488</x:v>
      </x:c>
      <x:c r="AS258" s="6" t="str">
        <x:v>With trade</x:v>
      </x:c>
      <x:c r="AT258" s="6" t="str">
        <x:v>3.235978922429639</x:v>
      </x:c>
      <x:c r="AU258" s="7" t="str">
        <x:v>2024-11-14 14:05:00-06:00</x:v>
      </x:c>
      <x:c r="AV258" s="8" t="str">
        <x:v>1</x:v>
      </x:c>
      <x:c r="AW258" s="6" t="str">
        <x:v>Immediate retest (1 bar)</x:v>
      </x:c>
      <x:c r="AX258" s="6" t="str">
        <x:v>20055.75</x:v>
      </x:c>
      <x:c r="AY258" s="6" t="str">
        <x:v>8.75</x:v>
      </x:c>
      <x:c r="AZ258" s="9" t="str">
        <x:v>0.31194524341145236</x:v>
      </x:c>
      <x:c r="BA258" s="9" t="str">
        <x:v>0.4456360620163605</x:v>
      </x:c>
      <x:c r="BB258" s="9" t="str">
        <x:v>1.5240753320959528</x:v>
      </x:c>
      <x:c r="BC258" s="9" t="str">
        <x:v>0.4278106195357061</x:v>
      </x:c>
      <x:c r="BD258" s="6" t="str">
        <x:v>0.21637426900584794</x:v>
      </x:c>
      <x:c r="BE258" s="6" t="str">
        <x:v>0.5029239766081871</x:v>
      </x:c>
      <x:c r="BF258" s="9" t="str">
        <x:v>0.3297706858921068</x:v>
      </x:c>
      <x:c r="BG258" s="9" t="str">
        <x:v>0.76649402666814</x:v>
      </x:c>
      <x:c r="BH258" s="6" t="str">
        <x:v>With trade</x:v>
      </x:c>
      <x:c r="BI258" s="6" t="str">
        <x:v>Penetration + same-bar reclaim</x:v>
      </x:c>
      <x:c r="BJ258" s="6" t="str">
        <x:v>False</x:v>
      </x:c>
      <x:c r="BK258" s="10" t="str">
        <x:v>True</x:v>
      </x:c>
      <x:c r="BL258" s="6" t="str">
        <x:v>True</x:v>
      </x:c>
      <x:c r="BM258" s="7" t="str">
        <x:v>2024-11-14 14:10:00-06:00</x:v>
      </x:c>
      <x:c r="BN258" s="8" t="str">
        <x:v>1</x:v>
      </x:c>
      <x:c r="BO258" s="6" t="str">
        <x:v>Immediate confirmation (1 bar)</x:v>
      </x:c>
      <x:c r="BP258" s="9" t="str">
        <x:v>0.37847607361268104</x:v>
      </x:c>
      <x:c r="BQ258" s="9" t="str">
        <x:v>1.1618335282993928</x:v>
      </x:c>
      <x:c r="BR258" s="10" t="str">
        <x:v>0.32575757575757575</x:v>
      </x:c>
      <x:c r="BS258" s="9" t="str">
        <x:v>0.7921592238404952</x:v>
      </x:c>
      <x:c r="BT258" s="9" t="str">
        <x:v>0.35207076615133115</x:v>
      </x:c>
      <x:c r="BU258" s="9" t="str">
        <x:v>0.5281061492269967</x:v>
      </x:c>
      <x:c r="BV258" s="6" t="str">
        <x:v>With trade</x:v>
      </x:c>
      <x:c r="BW258" s="7" t="str">
        <x:v>2024-11-14 14:10:00-06:00</x:v>
      </x:c>
      <x:c r="BX258" s="6" t="str">
        <x:v>20024.5</x:v>
      </x:c>
      <x:c r="BY258" s="9" t="str">
        <x:v>28.403380687681643</x:v>
      </x:c>
      <x:c r="BZ258" s="9" t="str">
        <x:v>0.87</x:v>
      </x:c>
      <x:c r="CA258" s="6" t="str">
        <x:v>20067.10507103152</x:v>
      </x:c>
      <x:c r="CB258" s="6" t="str">
        <x:v>42.60507103152122</x:v>
      </x:c>
      <x:c r="CC258" s="9" t="str">
        <x:v>1.4999999999999563</x:v>
      </x:c>
      <x:c r="CD258" s="6" t="str">
        <x:v>19939.289857936954</x:v>
      </x:c>
      <x:c r="CE258" s="6" t="str">
        <x:v>85.21014206304608</x:v>
      </x:c>
      <x:c r="CF258" s="6" t="str">
        <x:v>Fixed 2.00R target</x:v>
      </x:c>
      <x:c r="CG258" s="9" t="str">
        <x:v>0.017016753697314837</x:v>
      </x:c>
      <x:c r="CH258" s="9" t="str">
        <x:v>-1.0</x:v>
      </x:c>
      <x:c r="CI258" s="9" t="str">
        <x:v>-1.017016753697315</x:v>
      </x:c>
      <x:c r="CJ258" s="6" t="str">
        <x:v>Loss</x:v>
      </x:c>
      <x:c r="CK258" s="9" t="str">
        <x:v>0.0</x:v>
      </x:c>
      <x:c r="CL258" s="9" t="str">
        <x:v>1.015137375736368</x:v>
      </x:c>
      <x:c r="CM258" s="7" t="str">
        <x:v>2024-11-14 14:15:00-06:00</x:v>
      </x:c>
      <x:c r="CN258" s="6" t="str">
        <x:v>20067.10507103152</x:v>
      </x:c>
      <x:c r="CO258" s="6" t="str">
        <x:v>STOP</x:v>
      </x:c>
      <x:c r="CP258" s="6" t="str">
        <x:v>F::Short::Same-bar Setup+BOS::Penetration + same-bar reclaim</x:v>
      </x:c>
    </x:row>
    <x:row r="259" ht="18" customHeight="1">
      <x:c r="A259" s="6" t="str">
        <x:v>A0258</x:v>
      </x:c>
      <x:c r="B259" s="6" t="str">
        <x:v>2024-11-15</x:v>
      </x:c>
      <x:c r="C259" s="6" t="str">
        <x:v>2024</x:v>
      </x:c>
      <x:c r="D259" s="6" t="str">
        <x:v>2024-Q4</x:v>
      </x:c>
      <x:c r="E259" s="6" t="str">
        <x:v>First 50%</x:v>
      </x:c>
      <x:c r="F259" s="6" t="str">
        <x:v>Long</x:v>
      </x:c>
      <x:c r="G259" s="6" t="str">
        <x:v>Long</x:v>
      </x:c>
      <x:c r="H259" s="6" t="str">
        <x:v>Premarket</x:v>
      </x:c>
      <x:c r="I259" s="6" t="str">
        <x:v>Premarket</x:v>
      </x:c>
      <x:c r="J259" s="6" t="str">
        <x:v>Bear</x:v>
      </x:c>
      <x:c r="K259" s="6" t="str">
        <x:v>Bear</x:v>
      </x:c>
      <x:c r="L259" s="6" t="str">
        <x:v>MID</x:v>
      </x:c>
      <x:c r="M259" s="7" t="str">
        <x:v>2024-11-15 05:00:00-06:00</x:v>
      </x:c>
      <x:c r="N259" s="6" t="str">
        <x:v>90.0</x:v>
      </x:c>
      <x:c r="O259" s="6" t="str">
        <x:v>90-94</x:v>
      </x:c>
      <x:c r="P259" s="6" t="str">
        <x:v>Matching BOS only</x:v>
      </x:c>
      <x:c r="Q259" s="6" t="str">
        <x:v>Bull CHoCH</x:v>
      </x:c>
      <x:c r="R259" s="6" t="str">
        <x:v>True</x:v>
      </x:c>
      <x:c r="S259" s="6" t="str">
        <x:v>False</x:v>
      </x:c>
      <x:c r="T259" s="6" t="str">
        <x:v>Recent SSL</x:v>
      </x:c>
      <x:c r="U259" s="6" t="str">
        <x:v>SSL</x:v>
      </x:c>
      <x:c r="V259" s="6" t="str">
        <x:v>Swing low / sell-side</x:v>
      </x:c>
      <x:c r="W259" s="6" t="str">
        <x:v>[19834.0,19836.5]</x:v>
      </x:c>
      <x:c r="X259" s="8" t="str">
        <x:v>2</x:v>
      </x:c>
      <x:c r="Y259" s="8" t="str">
        <x:v>8.0</x:v>
      </x:c>
      <x:c r="Z259" s="6" t="str">
        <x:v>None</x:v>
      </x:c>
      <x:c r="AA259" s="6" t="str">
        <x:v>19860.75</x:v>
      </x:c>
      <x:c r="AB259" s="9" t="str">
        <x:v>0.11367918753756513</x:v>
      </x:c>
      <x:c r="AC259" s="9" t="str">
        <x:v>0.8184901502704689</x:v>
      </x:c>
      <x:c r="AD259" s="9" t="str">
        <x:v>1.1140560378681383</x:v>
      </x:c>
      <x:c r="AE259" s="6" t="str">
        <x:v>With trade</x:v>
      </x:c>
      <x:c r="AF259" s="7" t="str">
        <x:v>2024-11-15 05:00:00-06:00</x:v>
      </x:c>
      <x:c r="AG259" s="6" t="str">
        <x:v>Long</x:v>
      </x:c>
      <x:c r="AH259" s="6" t="str">
        <x:v>19860.75</x:v>
      </x:c>
      <x:c r="AI259" s="8" t="str">
        <x:v>0</x:v>
      </x:c>
      <x:c r="AJ259" s="6" t="str">
        <x:v>True</x:v>
      </x:c>
      <x:c r="AK259" s="6" t="str">
        <x:v>Same-bar Setup+BOS</x:v>
      </x:c>
      <x:c r="AL259" s="9" t="str">
        <x:v>0.7957543127629559</x:v>
      </x:c>
      <x:c r="AM259" s="9" t="str">
        <x:v>0.11367918753756513</x:v>
      </x:c>
      <x:c r="AN259" s="9" t="str">
        <x:v>0.8184901502704689</x:v>
      </x:c>
      <x:c r="AO259" s="9" t="str">
        <x:v>1.1140560378681383</x:v>
      </x:c>
      <x:c r="AP259" s="10" t="str">
        <x:v>0.7346938775510204</x:v>
      </x:c>
      <x:c r="AQ259" s="6" t="str">
        <x:v>0.04081632653061224</x:v>
      </x:c>
      <x:c r="AR259" s="6" t="str">
        <x:v>0.22448979591836735</x:v>
      </x:c>
      <x:c r="AS259" s="6" t="str">
        <x:v>With trade</x:v>
      </x:c>
      <x:c r="AT259" s="6" t="str">
        <x:v>1.6154771013225488</x:v>
      </x:c>
      <x:c r="AU259" s="7" t="str">
        <x:v>2024-11-15 05:05:00-06:00</x:v>
      </x:c>
      <x:c r="AV259" s="8" t="str">
        <x:v>1</x:v>
      </x:c>
      <x:c r="AW259" s="6" t="str">
        <x:v>Immediate retest (1 bar)</x:v>
      </x:c>
      <x:c r="AX259" s="6" t="str">
        <x:v>19860.75</x:v>
      </x:c>
      <x:c r="AY259" s="6" t="str">
        <x:v>0.0</x:v>
      </x:c>
      <x:c r="AZ259" s="9" t="str">
        <x:v>0.0</x:v>
      </x:c>
      <x:c r="BA259" s="9" t="str">
        <x:v>1.0892614460185468</x:v>
      </x:c>
      <x:c r="BB259" s="9" t="str">
        <x:v>1.289329874879096</x:v>
      </x:c>
      <x:c r="BC259" s="9" t="str">
        <x:v>0.978112318873797</x:v>
      </x:c>
      <x:c r="BD259" s="6" t="str">
        <x:v>0.15517241379310345</x:v>
      </x:c>
      <x:c r="BE259" s="6" t="str">
        <x:v>0.08620689655172414</x:v>
      </x:c>
      <x:c r="BF259" s="9" t="str">
        <x:v>0.11114912714474966</x:v>
      </x:c>
      <x:c r="BG259" s="9" t="str">
        <x:v>0.2000684288605494</x:v>
      </x:c>
      <x:c r="BH259" s="6" t="str">
        <x:v>With trade</x:v>
      </x:c>
      <x:c r="BI259" s="6" t="str">
        <x:v>Exact BOS touch</x:v>
      </x:c>
      <x:c r="BJ259" s="6" t="str">
        <x:v>True</x:v>
      </x:c>
      <x:c r="BK259" s="10" t="str">
        <x:v>False</x:v>
      </x:c>
      <x:c r="BL259" s="6" t="str">
        <x:v>True</x:v>
      </x:c>
      <x:c r="BM259" s="7" t="str">
        <x:v>2024-11-15 05:10:00-06:00</x:v>
      </x:c>
      <x:c r="BN259" s="8" t="str">
        <x:v>1</x:v>
      </x:c>
      <x:c r="BO259" s="6" t="str">
        <x:v>Immediate confirmation (1 bar)</x:v>
      </x:c>
      <x:c r="BP259" s="9" t="str">
        <x:v>0.5470460253570485</x:v>
      </x:c>
      <x:c r="BQ259" s="9" t="str">
        <x:v>1.2035012557855067</x:v>
      </x:c>
      <x:c r="BR259" s="10" t="str">
        <x:v>0.45454545454545453</x:v>
      </x:c>
      <x:c r="BS259" s="9" t="str">
        <x:v>1.5973743940425817</x:v>
      </x:c>
      <x:c r="BT259" s="9" t="str">
        <x:v>0.5251641843427666</x:v>
      </x:c>
      <x:c r="BU259" s="9" t="str">
        <x:v>0.39387313825707493</x:v>
      </x:c>
      <x:c r="BV259" s="6" t="str">
        <x:v>With trade</x:v>
      </x:c>
      <x:c r="BW259" s="7" t="str">
        <x:v>2024-11-15 05:10:00-06:00</x:v>
      </x:c>
      <x:c r="BX259" s="6" t="str">
        <x:v>19879.0</x:v>
      </x:c>
      <x:c r="BY259" s="9" t="str">
        <x:v>11.424998465020783</x:v>
      </x:c>
      <x:c r="BZ259" s="9" t="str">
        <x:v>0.5</x:v>
      </x:c>
      <x:c r="CA259" s="6" t="str">
        <x:v>19861.86250230247</x:v>
      </x:c>
      <x:c r="CB259" s="6" t="str">
        <x:v>17.137497697531217</x:v>
      </x:c>
      <x:c r="CC259" s="9" t="str">
        <x:v>1.5000000000000036</x:v>
      </x:c>
      <x:c r="CD259" s="6" t="str">
        <x:v>19913.274995395062</x:v>
      </x:c>
      <x:c r="CE259" s="6" t="str">
        <x:v>34.27499539506243</x:v>
      </x:c>
      <x:c r="CF259" s="6" t="str">
        <x:v>Fixed 2.00R target</x:v>
      </x:c>
      <x:c r="CG259" s="9" t="str">
        <x:v>0.042304892627611654</x:v>
      </x:c>
      <x:c r="CH259" s="9" t="str">
        <x:v>0.3646973502380324</x:v>
      </x:c>
      <x:c r="CI259" s="9" t="str">
        <x:v>0.32239245761042074</x:v>
      </x:c>
      <x:c r="CJ259" s="6" t="str">
        <x:v>Win</x:v>
      </x:c>
      <x:c r="CK259" s="9" t="str">
        <x:v>0.6856310184474992</x:v>
      </x:c>
      <x:c r="CL259" s="9" t="str">
        <x:v>0.8315099585427117</x:v>
      </x:c>
      <x:c r="CM259" s="7" t="str">
        <x:v>2024-11-15 06:10:00-06:00</x:v>
      </x:c>
      <x:c r="CN259" s="6" t="str">
        <x:v>19885.25</x:v>
      </x:c>
      <x:c r="CO259" s="6" t="str">
        <x:v>TIME</x:v>
      </x:c>
      <x:c r="CP259" s="6" t="str">
        <x:v>F::Long::Same-bar Setup+BOS::Exact BOS touch</x:v>
      </x:c>
    </x:row>
    <x:row r="260" ht="18" customHeight="1">
      <x:c r="A260" s="6" t="str">
        <x:v>A0259</x:v>
      </x:c>
      <x:c r="B260" s="6" t="str">
        <x:v>2024-11-15</x:v>
      </x:c>
      <x:c r="C260" s="6" t="str">
        <x:v>2024</x:v>
      </x:c>
      <x:c r="D260" s="6" t="str">
        <x:v>2024-Q4</x:v>
      </x:c>
      <x:c r="E260" s="6" t="str">
        <x:v>First 50%</x:v>
      </x:c>
      <x:c r="F260" s="6" t="str">
        <x:v>Short</x:v>
      </x:c>
      <x:c r="G260" s="6" t="str">
        <x:v>Short</x:v>
      </x:c>
      <x:c r="H260" s="6" t="str">
        <x:v>Premarket</x:v>
      </x:c>
      <x:c r="I260" s="6" t="str">
        <x:v>Premarket</x:v>
      </x:c>
      <x:c r="J260" s="6" t="str">
        <x:v>Bear</x:v>
      </x:c>
      <x:c r="K260" s="6" t="str">
        <x:v>Bear</x:v>
      </x:c>
      <x:c r="L260" s="6" t="str">
        <x:v>HIGH</x:v>
      </x:c>
      <x:c r="M260" s="7" t="str">
        <x:v>2024-11-15 07:15:00-06:00</x:v>
      </x:c>
      <x:c r="N260" s="6" t="str">
        <x:v>90.0</x:v>
      </x:c>
      <x:c r="O260" s="6" t="str">
        <x:v>90-94</x:v>
      </x:c>
      <x:c r="P260" s="6" t="str">
        <x:v>Matching BOS only</x:v>
      </x:c>
      <x:c r="Q260" s="6" t="str">
        <x:v>Bear CHoCH</x:v>
      </x:c>
      <x:c r="R260" s="6" t="str">
        <x:v>True</x:v>
      </x:c>
      <x:c r="S260" s="6" t="str">
        <x:v>False</x:v>
      </x:c>
      <x:c r="T260" s="6" t="str">
        <x:v>Recent BSL</x:v>
      </x:c>
      <x:c r="U260" s="6" t="str">
        <x:v>BSL</x:v>
      </x:c>
      <x:c r="V260" s="6" t="str">
        <x:v>Swing high / buy-side</x:v>
      </x:c>
      <x:c r="W260" s="6" t="str">
        <x:v>[19890.75]</x:v>
      </x:c>
      <x:c r="X260" s="8" t="str">
        <x:v>1</x:v>
      </x:c>
      <x:c r="Y260" s="8" t="str">
        <x:v>4.0</x:v>
      </x:c>
      <x:c r="Z260" s="6" t="str">
        <x:v>None</x:v>
      </x:c>
      <x:c r="AA260" s="6" t="str">
        <x:v>19861.25</x:v>
      </x:c>
      <x:c r="AB260" s="9" t="str">
        <x:v>0.22767938717450578</x:v>
      </x:c>
      <x:c r="AC260" s="9" t="str">
        <x:v>1.2522366294597818</x:v>
      </x:c>
      <x:c r="AD260" s="9" t="str">
        <x:v>1.5254518940691888</x:v>
      </x:c>
      <x:c r="AE260" s="6" t="str">
        <x:v>With trade</x:v>
      </x:c>
      <x:c r="AF260" s="7" t="str">
        <x:v>2024-11-15 07:15:00-06:00</x:v>
      </x:c>
      <x:c r="AG260" s="6" t="str">
        <x:v>Short</x:v>
      </x:c>
      <x:c r="AH260" s="6" t="str">
        <x:v>19861.25</x:v>
      </x:c>
      <x:c r="AI260" s="8" t="str">
        <x:v>0</x:v>
      </x:c>
      <x:c r="AJ260" s="6" t="str">
        <x:v>True</x:v>
      </x:c>
      <x:c r="AK260" s="6" t="str">
        <x:v>Same-bar Setup+BOS</x:v>
      </x:c>
      <x:c r="AL260" s="9" t="str">
        <x:v>1.2522366294597818</x:v>
      </x:c>
      <x:c r="AM260" s="9" t="str">
        <x:v>0.22767938717450578</x:v>
      </x:c>
      <x:c r="AN260" s="9" t="str">
        <x:v>1.2522366294597818</x:v>
      </x:c>
      <x:c r="AO260" s="9" t="str">
        <x:v>1.5254518940691888</x:v>
      </x:c>
      <x:c r="AP260" s="10" t="str">
        <x:v>0.8208955223880597</x:v>
      </x:c>
      <x:c r="AQ260" s="6" t="str">
        <x:v>0.1044776119402985</x:v>
      </x:c>
      <x:c r="AR260" s="6" t="str">
        <x:v>0.07462686567164178</x:v>
      </x:c>
      <x:c r="AS260" s="6" t="str">
        <x:v>With trade</x:v>
      </x:c>
      <x:c r="AT260" s="6" t="str">
        <x:v>1.8065075921908893</x:v>
      </x:c>
      <x:c r="AU260" s="7" t="str">
        <x:v>2024-11-15 07:20:00-06:00</x:v>
      </x:c>
      <x:c r="AV260" s="8" t="str">
        <x:v>1</x:v>
      </x:c>
      <x:c r="AW260" s="6" t="str">
        <x:v>Immediate retest (1 bar)</x:v>
      </x:c>
      <x:c r="AX260" s="6" t="str">
        <x:v>19866.0</x:v>
      </x:c>
      <x:c r="AY260" s="6" t="str">
        <x:v>4.75</x:v>
      </x:c>
      <x:c r="AZ260" s="9" t="str">
        <x:v>0.4249348264624913</x:v>
      </x:c>
      <x:c r="BA260" s="9" t="str">
        <x:v>0.7827746803256419</x:v>
      </x:c>
      <x:c r="BB260" s="9" t="str">
        <x:v>1.23007449765458</x:v>
      </x:c>
      <x:c r="BC260" s="9" t="str">
        <x:v>0.5367597807947259</x:v>
      </x:c>
      <x:c r="BD260" s="6" t="str">
        <x:v>0.5454545454545454</x:v>
      </x:c>
      <x:c r="BE260" s="6" t="str">
        <x:v>0.01818181818181818</x:v>
      </x:c>
      <x:c r="BF260" s="9" t="str">
        <x:v>0.6709497259934073</x:v>
      </x:c>
      <x:c r="BG260" s="9" t="str">
        <x:v>0.02236499086644691</x:v>
      </x:c>
      <x:c r="BH260" s="6" t="str">
        <x:v>With trade</x:v>
      </x:c>
      <x:c r="BI260" s="6" t="str">
        <x:v>Penetration + same-bar reclaim</x:v>
      </x:c>
      <x:c r="BJ260" s="6" t="str">
        <x:v>False</x:v>
      </x:c>
      <x:c r="BK260" s="10" t="str">
        <x:v>True</x:v>
      </x:c>
      <x:c r="BL260" s="6" t="str">
        <x:v>True</x:v>
      </x:c>
      <x:c r="BM260" s="7" t="str">
        <x:v>2024-11-15 07:30:00-06:00</x:v>
      </x:c>
      <x:c r="BN260" s="8" t="str">
        <x:v>2</x:v>
      </x:c>
      <x:c r="BO260" s="6" t="str">
        <x:v>Delayed confirmation (2+ bars)</x:v>
      </x:c>
      <x:c r="BP260" s="9" t="str">
        <x:v>1.0977174854233627</x:v>
      </x:c>
      <x:c r="BQ260" s="9" t="str">
        <x:v>4.158020778118798</x:v>
      </x:c>
      <x:c r="BR260" s="10" t="str">
        <x:v>0.264</x:v>
      </x:c>
      <x:c r="BS260" s="9" t="str">
        <x:v>1.3471987321104906</x:v>
      </x:c>
      <x:c r="BT260" s="9" t="str">
        <x:v>0.7650758231738588</x:v>
      </x:c>
      <x:c r="BU260" s="9" t="str">
        <x:v>2.0291141397219734</x:v>
      </x:c>
      <x:c r="BV260" s="6" t="str">
        <x:v>With trade</x:v>
      </x:c>
      <x:c r="BW260" s="7" t="str">
        <x:v>2024-11-15 07:30:00-06:00</x:v>
      </x:c>
      <x:c r="BX260" s="6" t="str">
        <x:v>19841.0</x:v>
      </x:c>
      <x:c r="BY260" s="9" t="str">
        <x:v>15.031189918266042</x:v>
      </x:c>
      <x:c r="BZ260" s="9" t="str">
        <x:v>0.89</x:v>
      </x:c>
      <x:c r="CA260" s="6" t="str">
        <x:v>19863.5467848774</x:v>
      </x:c>
      <x:c r="CB260" s="6" t="str">
        <x:v>22.54678487739875</x:v>
      </x:c>
      <x:c r="CC260" s="9" t="str">
        <x:v>1.4999999999999791</x:v>
      </x:c>
      <x:c r="CD260" s="6" t="str">
        <x:v>19795.906430245203</x:v>
      </x:c>
      <x:c r="CE260" s="6" t="str">
        <x:v>45.0935697547975</x:v>
      </x:c>
      <x:c r="CF260" s="6" t="str">
        <x:v>Fixed 2.00R target</x:v>
      </x:c>
      <x:c r="CG260" s="9" t="str">
        <x:v>0.03215536068411915</x:v>
      </x:c>
      <x:c r="CH260" s="9" t="str">
        <x:v>2.0</x:v>
      </x:c>
      <x:c r="CI260" s="9" t="str">
        <x:v>1.9678446393158808</x:v>
      </x:c>
      <x:c r="CJ260" s="6" t="str">
        <x:v>Win</x:v>
      </x:c>
      <x:c r="CK260" s="9" t="str">
        <x:v>2.206523026255073</x:v>
      </x:c>
      <x:c r="CL260" s="9" t="str">
        <x:v>0.6541952690907</x:v>
      </x:c>
      <x:c r="CM260" s="7" t="str">
        <x:v>2024-11-15 08:15:00-06:00</x:v>
      </x:c>
      <x:c r="CN260" s="6" t="str">
        <x:v>19795.906430245203</x:v>
      </x:c>
      <x:c r="CO260" s="6" t="str">
        <x:v>TARGET</x:v>
      </x:c>
      <x:c r="CP260" s="6" t="str">
        <x:v>F::Short::Same-bar Setup+BOS::Penetration + same-bar reclaim</x:v>
      </x:c>
    </x:row>
    <x:row r="261" ht="18" customHeight="1">
      <x:c r="A261" s="6" t="str">
        <x:v>A0260</x:v>
      </x:c>
      <x:c r="B261" s="6" t="str">
        <x:v>2024-11-15</x:v>
      </x:c>
      <x:c r="C261" s="6" t="str">
        <x:v>2024</x:v>
      </x:c>
      <x:c r="D261" s="6" t="str">
        <x:v>2024-Q4</x:v>
      </x:c>
      <x:c r="E261" s="6" t="str">
        <x:v>First 50%</x:v>
      </x:c>
      <x:c r="F261" s="6" t="str">
        <x:v>Short</x:v>
      </x:c>
      <x:c r="G261" s="6" t="str">
        <x:v>Short</x:v>
      </x:c>
      <x:c r="H261" s="6" t="str">
        <x:v>Midday</x:v>
      </x:c>
      <x:c r="I261" s="6" t="str">
        <x:v>Midday</x:v>
      </x:c>
      <x:c r="J261" s="6" t="str">
        <x:v>Bear</x:v>
      </x:c>
      <x:c r="K261" s="6" t="str">
        <x:v>Bear</x:v>
      </x:c>
      <x:c r="L261" s="6" t="str">
        <x:v>MID</x:v>
      </x:c>
      <x:c r="M261" s="7" t="str">
        <x:v>2024-11-15 12:45:00-06:00</x:v>
      </x:c>
      <x:c r="N261" s="6" t="str">
        <x:v>75.0</x:v>
      </x:c>
      <x:c r="O261" s="6" t="str">
        <x:v>75-79</x:v>
      </x:c>
      <x:c r="P261" s="6" t="str">
        <x:v>Matching BOS only</x:v>
      </x:c>
      <x:c r="Q261" s="6" t="str">
        <x:v>Bear BOS</x:v>
      </x:c>
      <x:c r="R261" s="6" t="str">
        <x:v>True</x:v>
      </x:c>
      <x:c r="S261" s="6" t="str">
        <x:v>False</x:v>
      </x:c>
      <x:c r="T261" s="6" t="str">
        <x:v>No recent matching sweep</x:v>
      </x:c>
      <x:c r="U261" s="6" t="str">
        <x:v>None</x:v>
      </x:c>
      <x:c r="V261" s="6" t="str">
        <x:v>None</x:v>
      </x:c>
      <x:c r="W261" s="6" t="str">
        <x:v>[]</x:v>
      </x:c>
      <x:c r="X261" s="8" t="str">
        <x:v>0</x:v>
      </x:c>
      <x:c r="Y261" s="8" t="str"/>
      <x:c r="Z261" s="6" t="str">
        <x:v>None</x:v>
      </x:c>
      <x:c r="AA261" s="6" t="str">
        <x:v>19472.0</x:v>
      </x:c>
      <x:c r="AB261" s="9" t="str">
        <x:v>1.0203347380530101</x:v>
      </x:c>
      <x:c r="AC261" s="9" t="str">
        <x:v>1.0592046328359819</x:v>
      </x:c>
      <x:c r="AD261" s="9" t="str">
        <x:v>1.1758143171848974</x:v>
      </x:c>
      <x:c r="AE261" s="6" t="str">
        <x:v>With trade</x:v>
      </x:c>
      <x:c r="AF261" s="7" t="str">
        <x:v>2024-11-15 12:45:00-06:00</x:v>
      </x:c>
      <x:c r="AG261" s="6" t="str">
        <x:v>Short</x:v>
      </x:c>
      <x:c r="AH261" s="6" t="str">
        <x:v>19472.0</x:v>
      </x:c>
      <x:c r="AI261" s="8" t="str">
        <x:v>0</x:v>
      </x:c>
      <x:c r="AJ261" s="6" t="str">
        <x:v>True</x:v>
      </x:c>
      <x:c r="AK261" s="6" t="str">
        <x:v>Same-bar Setup+BOS</x:v>
      </x:c>
      <x:c r="AL261" s="9" t="str">
        <x:v>1.039769685444496</x:v>
      </x:c>
      <x:c r="AM261" s="9" t="str">
        <x:v>1.0203347380530101</x:v>
      </x:c>
      <x:c r="AN261" s="9" t="str">
        <x:v>1.0592046328359819</x:v>
      </x:c>
      <x:c r="AO261" s="9" t="str">
        <x:v>1.1758143171848974</x:v>
      </x:c>
      <x:c r="AP261" s="10" t="str">
        <x:v>0.9008264462809917</x:v>
      </x:c>
      <x:c r="AQ261" s="6" t="str">
        <x:v>0.03305785123966942</x:v>
      </x:c>
      <x:c r="AR261" s="6" t="str">
        <x:v>0.06611570247933884</x:v>
      </x:c>
      <x:c r="AS261" s="6" t="str">
        <x:v>With trade</x:v>
      </x:c>
      <x:c r="AT261" s="6" t="str">
        <x:v>1.8084065396413533</x:v>
      </x:c>
      <x:c r="AU261" s="7" t="str">
        <x:v>2024-11-15 13:00:00-06:00</x:v>
      </x:c>
      <x:c r="AV261" s="8" t="str">
        <x:v>3</x:v>
      </x:c>
      <x:c r="AW261" s="6" t="str">
        <x:v>Delayed retest (2+ bars)</x:v>
      </x:c>
      <x:c r="AX261" s="6" t="str">
        <x:v>19474.25</x:v>
      </x:c>
      <x:c r="AY261" s="6" t="str">
        <x:v>2.25</x:v>
      </x:c>
      <x:c r="AZ261" s="9" t="str">
        <x:v>0.09093902881657298</x:v>
      </x:c>
      <x:c r="BA261" s="9" t="str">
        <x:v>0.31323443259041805</x:v>
      </x:c>
      <x:c r="BB261" s="9" t="str">
        <x:v>0.8386599324195064</x:v>
      </x:c>
      <x:c r="BC261" s="9" t="str">
        <x:v>0.3839647883366415</x:v>
      </x:c>
      <x:c r="BD261" s="6" t="str">
        <x:v>0.4819277108433735</x:v>
      </x:c>
      <x:c r="BE261" s="6" t="str">
        <x:v>0.060240963855421686</x:v>
      </x:c>
      <x:c r="BF261" s="9" t="str">
        <x:v>0.40417346140699106</x:v>
      </x:c>
      <x:c r="BG261" s="9" t="str">
        <x:v>0.05052168267587388</x:v>
      </x:c>
      <x:c r="BH261" s="6" t="str">
        <x:v>Against trade</x:v>
      </x:c>
      <x:c r="BI261" s="6" t="str">
        <x:v>Penetration + same-bar reclaim</x:v>
      </x:c>
      <x:c r="BJ261" s="6" t="str">
        <x:v>False</x:v>
      </x:c>
      <x:c r="BK261" s="10" t="str">
        <x:v>True</x:v>
      </x:c>
      <x:c r="BL261" s="6" t="str">
        <x:v>True</x:v>
      </x:c>
      <x:c r="BM261" s="7" t="str">
        <x:v>2024-11-15 13:10:00-06:00</x:v>
      </x:c>
      <x:c r="BN261" s="8" t="str">
        <x:v>2</x:v>
      </x:c>
      <x:c r="BO261" s="6" t="str">
        <x:v>Delayed confirmation (2+ bars)</x:v>
      </x:c>
      <x:c r="BP261" s="9" t="str">
        <x:v>0.33330770465319165</x:v>
      </x:c>
      <x:c r="BQ261" s="9" t="str">
        <x:v>0.9393217131135402</x:v>
      </x:c>
      <x:c r="BR261" s="10" t="str">
        <x:v>0.3548387096774194</x:v>
      </x:c>
      <x:c r="BS261" s="9" t="str">
        <x:v>0.42420980592224394</x:v>
      </x:c>
      <x:c r="BT261" s="9" t="str">
        <x:v>0.11110256821773055</x:v>
      </x:c>
      <x:c r="BU261" s="9" t="str">
        <x:v>0.33330770465319165</x:v>
      </x:c>
      <x:c r="BV261" s="6" t="str">
        <x:v>With trade</x:v>
      </x:c>
      <x:c r="BW261" s="7" t="str">
        <x:v>2024-11-15 13:10:00-06:00</x:v>
      </x:c>
      <x:c r="BX261" s="6" t="str">
        <x:v>19461.5</x:v>
      </x:c>
      <x:c r="BY261" s="9" t="str">
        <x:v>24.751903075820483</x:v>
      </x:c>
      <x:c r="BZ261" s="9" t="str">
        <x:v>0.5</x:v>
      </x:c>
      <x:c r="CA261" s="6" t="str">
        <x:v>19498.62785461373</x:v>
      </x:c>
      <x:c r="CB261" s="6" t="str">
        <x:v>37.12785461372914</x:v>
      </x:c>
      <x:c r="CC261" s="9" t="str">
        <x:v>1.499999999999936</x:v>
      </x:c>
      <x:c r="CD261" s="6" t="str">
        <x:v>19387.244290772538</x:v>
      </x:c>
      <x:c r="CE261" s="6" t="str">
        <x:v>74.25570922746192</x:v>
      </x:c>
      <x:c r="CF261" s="6" t="str">
        <x:v>Fixed 2.00R target</x:v>
      </x:c>
      <x:c r="CG261" s="9" t="str">
        <x:v>0.01952711805038984</x:v>
      </x:c>
      <x:c r="CH261" s="9" t="str">
        <x:v>-1.0</x:v>
      </x:c>
      <x:c r="CI261" s="9" t="str">
        <x:v>-1.0195271180503898</x:v>
      </x:c>
      <x:c r="CJ261" s="6" t="str">
        <x:v>Loss</x:v>
      </x:c>
      <x:c r="CK261" s="9" t="str">
        <x:v>0.44441027287094115</x:v>
      </x:c>
      <x:c r="CL261" s="9" t="str">
        <x:v>1.2120280169207487</x:v>
      </x:c>
      <x:c r="CM261" s="7" t="str">
        <x:v>2024-11-15 13:40:00-06:00</x:v>
      </x:c>
      <x:c r="CN261" s="6" t="str">
        <x:v>19498.62785461373</x:v>
      </x:c>
      <x:c r="CO261" s="6" t="str">
        <x:v>STOP</x:v>
      </x:c>
      <x:c r="CP261" s="6" t="str">
        <x:v>F::Short::Same-bar Setup+BOS::Penetration + same-bar reclaim</x:v>
      </x:c>
    </x:row>
    <x:row r="262" ht="18" customHeight="1">
      <x:c r="A262" s="6" t="str">
        <x:v>A0261</x:v>
      </x:c>
      <x:c r="B262" s="6" t="str">
        <x:v>2024-11-19</x:v>
      </x:c>
      <x:c r="C262" s="6" t="str">
        <x:v>2024</x:v>
      </x:c>
      <x:c r="D262" s="6" t="str">
        <x:v>2024-Q4</x:v>
      </x:c>
      <x:c r="E262" s="6" t="str">
        <x:v>First 50%</x:v>
      </x:c>
      <x:c r="F262" s="6" t="str">
        <x:v>Long</x:v>
      </x:c>
      <x:c r="G262" s="6" t="str">
        <x:v>Long</x:v>
      </x:c>
      <x:c r="H262" s="6" t="str">
        <x:v>Opening</x:v>
      </x:c>
      <x:c r="I262" s="6" t="str">
        <x:v>Premarket</x:v>
      </x:c>
      <x:c r="J262" s="6" t="str">
        <x:v>Bear</x:v>
      </x:c>
      <x:c r="K262" s="6" t="str">
        <x:v>Bear</x:v>
      </x:c>
      <x:c r="L262" s="6" t="str">
        <x:v>HIGH</x:v>
      </x:c>
      <x:c r="M262" s="7" t="str">
        <x:v>2024-11-19 09:25:00-06:00</x:v>
      </x:c>
      <x:c r="N262" s="6" t="str">
        <x:v>90.0</x:v>
      </x:c>
      <x:c r="O262" s="6" t="str">
        <x:v>90-94</x:v>
      </x:c>
      <x:c r="P262" s="6" t="str">
        <x:v>Matching BOS only</x:v>
      </x:c>
      <x:c r="Q262" s="6" t="str">
        <x:v>Bull CHoCH</x:v>
      </x:c>
      <x:c r="R262" s="6" t="str">
        <x:v>True</x:v>
      </x:c>
      <x:c r="S262" s="6" t="str">
        <x:v>False</x:v>
      </x:c>
      <x:c r="T262" s="6" t="str">
        <x:v>Recent SSL</x:v>
      </x:c>
      <x:c r="U262" s="6" t="str">
        <x:v>SSL</x:v>
      </x:c>
      <x:c r="V262" s="6" t="str">
        <x:v>Swing low / sell-side</x:v>
      </x:c>
      <x:c r="W262" s="6" t="str">
        <x:v>[19430.75]</x:v>
      </x:c>
      <x:c r="X262" s="8" t="str">
        <x:v>1</x:v>
      </x:c>
      <x:c r="Y262" s="8" t="str">
        <x:v>17.0</x:v>
      </x:c>
      <x:c r="Z262" s="6" t="str">
        <x:v>None</x:v>
      </x:c>
      <x:c r="AA262" s="6" t="str">
        <x:v>19611.5</x:v>
      </x:c>
      <x:c r="AB262" s="9" t="str">
        <x:v>0.46178205880222106</x:v>
      </x:c>
      <x:c r="AC262" s="9" t="str">
        <x:v>0.7276565775065302</x:v>
      </x:c>
      <x:c r="AD262" s="9" t="str">
        <x:v>1.1544551470055526</x:v>
      </x:c>
      <x:c r="AE262" s="6" t="str">
        <x:v>With trade</x:v>
      </x:c>
      <x:c r="AF262" s="7" t="str">
        <x:v>2024-11-19 09:25:00-06:00</x:v>
      </x:c>
      <x:c r="AG262" s="6" t="str">
        <x:v>Long</x:v>
      </x:c>
      <x:c r="AH262" s="6" t="str">
        <x:v>19611.5</x:v>
      </x:c>
      <x:c r="AI262" s="8" t="str">
        <x:v>0</x:v>
      </x:c>
      <x:c r="AJ262" s="6" t="str">
        <x:v>True</x:v>
      </x:c>
      <x:c r="AK262" s="6" t="str">
        <x:v>Same-bar Setup+BOS</x:v>
      </x:c>
      <x:c r="AL262" s="9" t="str">
        <x:v>0.7206598796458905</x:v>
      </x:c>
      <x:c r="AM262" s="9" t="str">
        <x:v>0.46178205880222106</x:v>
      </x:c>
      <x:c r="AN262" s="9" t="str">
        <x:v>0.7276565775065302</x:v>
      </x:c>
      <x:c r="AO262" s="9" t="str">
        <x:v>1.1544551470055526</x:v>
      </x:c>
      <x:c r="AP262" s="10" t="str">
        <x:v>0.6303030303030303</x:v>
      </x:c>
      <x:c r="AQ262" s="6" t="str">
        <x:v>0.06060606060606061</x:v>
      </x:c>
      <x:c r="AR262" s="6" t="str">
        <x:v>0.3090909090909091</x:v>
      </x:c>
      <x:c r="AS262" s="6" t="str">
        <x:v>With trade</x:v>
      </x:c>
      <x:c r="AT262" s="6" t="str">
        <x:v>1.0348668650339514</x:v>
      </x:c>
      <x:c r="AU262" s="7" t="str">
        <x:v>2024-11-19 09:30:00-06:00</x:v>
      </x:c>
      <x:c r="AV262" s="8" t="str">
        <x:v>1</x:v>
      </x:c>
      <x:c r="AW262" s="6" t="str">
        <x:v>Immediate retest (1 bar)</x:v>
      </x:c>
      <x:c r="AX262" s="6" t="str">
        <x:v>19608.0</x:v>
      </x:c>
      <x:c r="AY262" s="6" t="str">
        <x:v>3.5</x:v>
      </x:c>
      <x:c r="AZ262" s="9" t="str">
        <x:v>0.09746301056507836</x:v>
      </x:c>
      <x:c r="BA262" s="9" t="str">
        <x:v>0.7379342228498791</x:v>
      </x:c>
      <x:c r="BB262" s="9" t="str">
        <x:v>1.0651314726040708</x:v>
      </x:c>
      <x:c r="BC262" s="9" t="str">
        <x:v>0.2854273880834438</x:v>
      </x:c>
      <x:c r="BD262" s="6" t="str">
        <x:v>0.21568627450980393</x:v>
      </x:c>
      <x:c r="BE262" s="6" t="str">
        <x:v>0.5163398692810458</x:v>
      </x:c>
      <x:c r="BF262" s="9" t="str">
        <x:v>0.5499698453315136</x:v>
      </x:c>
      <x:c r="BG262" s="9" t="str">
        <x:v>0.2297342391891133</x:v>
      </x:c>
      <x:c r="BH262" s="6" t="str">
        <x:v>With trade</x:v>
      </x:c>
      <x:c r="BI262" s="6" t="str">
        <x:v>Penetration + same-bar reclaim</x:v>
      </x:c>
      <x:c r="BJ262" s="6" t="str">
        <x:v>False</x:v>
      </x:c>
      <x:c r="BK262" s="10" t="str">
        <x:v>True</x:v>
      </x:c>
      <x:c r="BL262" s="6" t="str">
        <x:v>True</x:v>
      </x:c>
      <x:c r="BM262" s="7" t="str">
        <x:v>2024-11-19 09:35:00-06:00</x:v>
      </x:c>
      <x:c r="BN262" s="8" t="str">
        <x:v>1</x:v>
      </x:c>
      <x:c r="BO262" s="6" t="str">
        <x:v>Immediate confirmation (1 bar)</x:v>
      </x:c>
      <x:c r="BP262" s="9" t="str">
        <x:v>0.35328999377179104</x:v>
      </x:c>
      <x:c r="BQ262" s="9" t="str">
        <x:v>0.8055011857996837</x:v>
      </x:c>
      <x:c r="BR262" s="10" t="str">
        <x:v>0.43859649122807015</x:v>
      </x:c>
      <x:c r="BS262" s="9" t="str">
        <x:v>1.109330580443424</x:v>
      </x:c>
      <x:c r="BT262" s="9" t="str">
        <x:v>0.36035579364722686</x:v>
      </x:c>
      <x:c r="BU262" s="9" t="str">
        <x:v>0.09185539838066567</x:v>
      </x:c>
      <x:c r="BV262" s="6" t="str">
        <x:v>With trade</x:v>
      </x:c>
      <x:c r="BW262" s="7" t="str">
        <x:v>2024-11-19 09:35:00-06:00</x:v>
      </x:c>
      <x:c r="BX262" s="6" t="str">
        <x:v>19650.75</x:v>
      </x:c>
      <x:c r="BY262" s="9" t="str">
        <x:v>35.38169837913502</x:v>
      </x:c>
      <x:c r="BZ262" s="9" t="str">
        <x:v>0.94</x:v>
      </x:c>
      <x:c r="CA262" s="6" t="str">
        <x:v>19597.677452431297</x:v>
      </x:c>
      <x:c r="CB262" s="6" t="str">
        <x:v>53.07254756870316</x:v>
      </x:c>
      <x:c r="CC262" s="9" t="str">
        <x:v>1.5000000000000178</x:v>
      </x:c>
      <x:c r="CD262" s="6" t="str">
        <x:v>19756.895095137406</x:v>
      </x:c>
      <x:c r="CE262" s="6" t="str">
        <x:v>106.14509513740632</x:v>
      </x:c>
      <x:c r="CF262" s="6" t="str">
        <x:v>Fixed 2.00R target</x:v>
      </x:c>
      <x:c r="CG262" s="9" t="str">
        <x:v>0.013660546425842425</x:v>
      </x:c>
      <x:c r="CH262" s="9" t="str">
        <x:v>1.1776333125726368</x:v>
      </x:c>
      <x:c r="CI262" s="9" t="str">
        <x:v>1.1639727661467945</x:v>
      </x:c>
      <x:c r="CJ262" s="6" t="str">
        <x:v>Win</x:v>
      </x:c>
      <x:c r="CK262" s="9" t="str">
        <x:v>1.4225810415877285</x:v>
      </x:c>
      <x:c r="CL262" s="9" t="str">
        <x:v>0.3768426600232393</x:v>
      </x:c>
      <x:c r="CM262" s="7" t="str">
        <x:v>2024-11-19 10:35:00-06:00</x:v>
      </x:c>
      <x:c r="CN262" s="6" t="str">
        <x:v>19713.25</x:v>
      </x:c>
      <x:c r="CO262" s="6" t="str">
        <x:v>TIME</x:v>
      </x:c>
      <x:c r="CP262" s="6" t="str">
        <x:v>F::Long::Same-bar Setup+BOS::Penetration + same-bar reclaim</x:v>
      </x:c>
    </x:row>
    <x:row r="263" ht="18" customHeight="1">
      <x:c r="A263" s="6" t="str">
        <x:v>A0262</x:v>
      </x:c>
      <x:c r="B263" s="6" t="str">
        <x:v>2024-11-20</x:v>
      </x:c>
      <x:c r="C263" s="6" t="str">
        <x:v>2024</x:v>
      </x:c>
      <x:c r="D263" s="6" t="str">
        <x:v>2024-Q4</x:v>
      </x:c>
      <x:c r="E263" s="6" t="str">
        <x:v>First 50%</x:v>
      </x:c>
      <x:c r="F263" s="6" t="str">
        <x:v>Long</x:v>
      </x:c>
      <x:c r="G263" s="6" t="str">
        <x:v>Long</x:v>
      </x:c>
      <x:c r="H263" s="6" t="str">
        <x:v>Overnight</x:v>
      </x:c>
      <x:c r="I263" s="6" t="str">
        <x:v>Overnight</x:v>
      </x:c>
      <x:c r="J263" s="6" t="str">
        <x:v>Bear</x:v>
      </x:c>
      <x:c r="K263" s="6" t="str">
        <x:v>Bear</x:v>
      </x:c>
      <x:c r="L263" s="6" t="str">
        <x:v>LOW</x:v>
      </x:c>
      <x:c r="M263" s="7" t="str">
        <x:v>2024-11-20 21:05:00-06:00</x:v>
      </x:c>
      <x:c r="N263" s="6" t="str">
        <x:v>75.0</x:v>
      </x:c>
      <x:c r="O263" s="6" t="str">
        <x:v>75-79</x:v>
      </x:c>
      <x:c r="P263" s="6" t="str">
        <x:v>Matching BOS only</x:v>
      </x:c>
      <x:c r="Q263" s="6" t="str">
        <x:v>Bull CHoCH</x:v>
      </x:c>
      <x:c r="R263" s="6" t="str">
        <x:v>True</x:v>
      </x:c>
      <x:c r="S263" s="6" t="str">
        <x:v>False</x:v>
      </x:c>
      <x:c r="T263" s="6" t="str">
        <x:v>Recent SSL</x:v>
      </x:c>
      <x:c r="U263" s="6" t="str">
        <x:v>SSL</x:v>
      </x:c>
      <x:c r="V263" s="6" t="str">
        <x:v>Swing low / sell-side</x:v>
      </x:c>
      <x:c r="W263" s="6" t="str">
        <x:v>[19653.75]</x:v>
      </x:c>
      <x:c r="X263" s="8" t="str">
        <x:v>1</x:v>
      </x:c>
      <x:c r="Y263" s="8" t="str">
        <x:v>15.0</x:v>
      </x:c>
      <x:c r="Z263" s="6" t="str">
        <x:v>None</x:v>
      </x:c>
      <x:c r="AA263" s="6" t="str">
        <x:v>19685.5</x:v>
      </x:c>
      <x:c r="AB263" s="9" t="str">
        <x:v>0.2273568655949265</x:v>
      </x:c>
      <x:c r="AC263" s="9" t="str">
        <x:v>0.29231597005061977</x:v>
      </x:c>
      <x:c r="AD263" s="9" t="str">
        <x:v>0.714550149012626</x:v>
      </x:c>
      <x:c r="AE263" s="6" t="str">
        <x:v>With trade</x:v>
      </x:c>
      <x:c r="AF263" s="7" t="str">
        <x:v>2024-11-20 21:05:00-06:00</x:v>
      </x:c>
      <x:c r="AG263" s="6" t="str">
        <x:v>Long</x:v>
      </x:c>
      <x:c r="AH263" s="6" t="str">
        <x:v>19685.5</x:v>
      </x:c>
      <x:c r="AI263" s="8" t="str">
        <x:v>0</x:v>
      </x:c>
      <x:c r="AJ263" s="6" t="str">
        <x:v>True</x:v>
      </x:c>
      <x:c r="AK263" s="6" t="str">
        <x:v>Same-bar Setup+BOS</x:v>
      </x:c>
      <x:c r="AL263" s="9" t="str">
        <x:v>0.29231597005061977</x:v>
      </x:c>
      <x:c r="AM263" s="9" t="str">
        <x:v>0.2273568655949265</x:v>
      </x:c>
      <x:c r="AN263" s="9" t="str">
        <x:v>0.29231597005061977</x:v>
      </x:c>
      <x:c r="AO263" s="9" t="str">
        <x:v>0.714550149012626</x:v>
      </x:c>
      <x:c r="AP263" s="10" t="str">
        <x:v>0.4090909090909091</x:v>
      </x:c>
      <x:c r="AQ263" s="6" t="str">
        <x:v>0.29545454545454547</x:v>
      </x:c>
      <x:c r="AR263" s="6" t="str">
        <x:v>0.29545454545454547</x:v>
      </x:c>
      <x:c r="AS263" s="6" t="str">
        <x:v>With trade</x:v>
      </x:c>
      <x:c r="AT263" s="6" t="str">
        <x:v>0.764022233451238</x:v>
      </x:c>
      <x:c r="AU263" s="7" t="str">
        <x:v>2024-11-20 21:10:00-06:00</x:v>
      </x:c>
      <x:c r="AV263" s="8" t="str">
        <x:v>1</x:v>
      </x:c>
      <x:c r="AW263" s="6" t="str">
        <x:v>Immediate retest (1 bar)</x:v>
      </x:c>
      <x:c r="AX263" s="6" t="str">
        <x:v>19684.25</x:v>
      </x:c>
      <x:c r="AY263" s="6" t="str">
        <x:v>1.25</x:v>
      </x:c>
      <x:c r="AZ263" s="9" t="str">
        <x:v>0.08388219785602756</x:v>
      </x:c>
      <x:c r="BA263" s="9" t="str">
        <x:v>0.20131727485446615</x:v>
      </x:c>
      <x:c r="BB263" s="9" t="str">
        <x:v>0.5703989454209875</x:v>
      </x:c>
      <x:c r="BC263" s="9" t="str">
        <x:v>0.1174350769984386</x:v>
      </x:c>
      <x:c r="BD263" s="6" t="str">
        <x:v>0.29411764705882354</x:v>
      </x:c>
      <x:c r="BE263" s="6" t="str">
        <x:v>0.5</x:v>
      </x:c>
      <x:c r="BF263" s="9" t="str">
        <x:v>0.28519947271049373</x:v>
      </x:c>
      <x:c r="BG263" s="9" t="str">
        <x:v>0.16776439571205512</x:v>
      </x:c>
      <x:c r="BH263" s="6" t="str">
        <x:v>Against trade</x:v>
      </x:c>
      <x:c r="BI263" s="6" t="str">
        <x:v>Penetration + same-bar reclaim</x:v>
      </x:c>
      <x:c r="BJ263" s="6" t="str">
        <x:v>False</x:v>
      </x:c>
      <x:c r="BK263" s="10" t="str">
        <x:v>True</x:v>
      </x:c>
      <x:c r="BL263" s="6" t="str">
        <x:v>True</x:v>
      </x:c>
      <x:c r="BM263" s="7" t="str">
        <x:v>2024-11-20 21:15:00-06:00</x:v>
      </x:c>
      <x:c r="BN263" s="8" t="str">
        <x:v>1</x:v>
      </x:c>
      <x:c r="BO263" s="6" t="str">
        <x:v>Immediate confirmation (1 bar)</x:v>
      </x:c>
      <x:c r="BP263" s="9" t="str">
        <x:v>0.7227791034341763</x:v>
      </x:c>
      <x:c r="BQ263" s="9" t="str">
        <x:v>0.9749113488181913</x:v>
      </x:c>
      <x:c r="BR263" s="10" t="str">
        <x:v>0.7413793103448276</x:v>
      </x:c>
      <x:c r="BS263" s="9" t="str">
        <x:v>0.8908672670235196</x:v>
      </x:c>
      <x:c r="BT263" s="9" t="str">
        <x:v>0.6891614707163076</x:v>
      </x:c>
      <x:c r="BU263" s="9" t="str">
        <x:v>0.0</x:v>
      </x:c>
      <x:c r="BV263" s="6" t="str">
        <x:v>With trade</x:v>
      </x:c>
      <x:c r="BW263" s="7" t="str">
        <x:v>2024-11-20 21:15:00-06:00</x:v>
      </x:c>
      <x:c r="BX263" s="6" t="str">
        <x:v>19698.75</x:v>
      </x:c>
      <x:c r="BY263" s="9" t="str">
        <x:v>14.873147202129932</x:v>
      </x:c>
      <x:c r="BZ263" s="9" t="str">
        <x:v>0.0</x:v>
      </x:c>
      <x:c r="CA263" s="6" t="str">
        <x:v>19676.440279196806</x:v>
      </x:c>
      <x:c r="CB263" s="6" t="str">
        <x:v>22.309720803194068</x:v>
      </x:c>
      <x:c r="CC263" s="9" t="str">
        <x:v>1.4999999999999443</x:v>
      </x:c>
      <x:c r="CD263" s="6" t="str">
        <x:v>19743.369441606388</x:v>
      </x:c>
      <x:c r="CE263" s="6" t="str">
        <x:v>44.619441606388136</x:v>
      </x:c>
      <x:c r="CF263" s="6" t="str">
        <x:v>Fixed 2.00R target</x:v>
      </x:c>
      <x:c r="CG263" s="9" t="str">
        <x:v>0.03249704496060758</x:v>
      </x:c>
      <x:c r="CH263" s="9" t="str">
        <x:v>-1.0</x:v>
      </x:c>
      <x:c r="CI263" s="9" t="str">
        <x:v>-1.0324970449606077</x:v>
      </x:c>
      <x:c r="CJ263" s="6" t="str">
        <x:v>Loss</x:v>
      </x:c>
      <x:c r="CK263" s="9" t="str">
        <x:v>0.694764409502645</x:v>
      </x:c>
      <x:c r="CL263" s="9" t="str">
        <x:v>1.0981760021170839</x:v>
      </x:c>
      <x:c r="CM263" s="7" t="str">
        <x:v>2024-11-20 21:55:00-06:00</x:v>
      </x:c>
      <x:c r="CN263" s="6" t="str">
        <x:v>19676.440279196806</x:v>
      </x:c>
      <x:c r="CO263" s="6" t="str">
        <x:v>STOP</x:v>
      </x:c>
      <x:c r="CP263" s="6" t="str">
        <x:v>F::Long::Same-bar Setup+BOS::Penetration + same-bar reclaim</x:v>
      </x:c>
    </x:row>
    <x:row r="264" ht="18" customHeight="1">
      <x:c r="A264" s="6" t="str">
        <x:v>A0263</x:v>
      </x:c>
      <x:c r="B264" s="6" t="str">
        <x:v>2024-11-21</x:v>
      </x:c>
      <x:c r="C264" s="6" t="str">
        <x:v>2024</x:v>
      </x:c>
      <x:c r="D264" s="6" t="str">
        <x:v>2024-Q4</x:v>
      </x:c>
      <x:c r="E264" s="6" t="str">
        <x:v>First 50%</x:v>
      </x:c>
      <x:c r="F264" s="6" t="str">
        <x:v>Long</x:v>
      </x:c>
      <x:c r="G264" s="6" t="str">
        <x:v>Long</x:v>
      </x:c>
      <x:c r="H264" s="6" t="str">
        <x:v>Premarket</x:v>
      </x:c>
      <x:c r="I264" s="6" t="str">
        <x:v>Premarket</x:v>
      </x:c>
      <x:c r="J264" s="6" t="str">
        <x:v>Bear</x:v>
      </x:c>
      <x:c r="K264" s="6" t="str">
        <x:v>Bear</x:v>
      </x:c>
      <x:c r="L264" s="6" t="str">
        <x:v>MID</x:v>
      </x:c>
      <x:c r="M264" s="7" t="str">
        <x:v>2024-11-21 04:35:00-06:00</x:v>
      </x:c>
      <x:c r="N264" s="6" t="str">
        <x:v>90.0</x:v>
      </x:c>
      <x:c r="O264" s="6" t="str">
        <x:v>90-94</x:v>
      </x:c>
      <x:c r="P264" s="6" t="str">
        <x:v>Matching BOS only</x:v>
      </x:c>
      <x:c r="Q264" s="6" t="str">
        <x:v>Bull CHoCH</x:v>
      </x:c>
      <x:c r="R264" s="6" t="str">
        <x:v>True</x:v>
      </x:c>
      <x:c r="S264" s="6" t="str">
        <x:v>False</x:v>
      </x:c>
      <x:c r="T264" s="6" t="str">
        <x:v>Recent SSL</x:v>
      </x:c>
      <x:c r="U264" s="6" t="str">
        <x:v>SSL</x:v>
      </x:c>
      <x:c r="V264" s="6" t="str">
        <x:v>Swing low / sell-side</x:v>
      </x:c>
      <x:c r="W264" s="6" t="str">
        <x:v>[19622.0]</x:v>
      </x:c>
      <x:c r="X264" s="8" t="str">
        <x:v>1</x:v>
      </x:c>
      <x:c r="Y264" s="8" t="str">
        <x:v>14.0</x:v>
      </x:c>
      <x:c r="Z264" s="6" t="str">
        <x:v>None</x:v>
      </x:c>
      <x:c r="AA264" s="6" t="str">
        <x:v>19695.0</x:v>
      </x:c>
      <x:c r="AB264" s="9" t="str">
        <x:v>0.4836725500629058</x:v>
      </x:c>
      <x:c r="AC264" s="9" t="str">
        <x:v>0.7715728774813021</x:v>
      </x:c>
      <x:c r="AD264" s="9" t="str">
        <x:v>0.9903771263192833</x:v>
      </x:c>
      <x:c r="AE264" s="6" t="str">
        <x:v>With trade</x:v>
      </x:c>
      <x:c r="AF264" s="7" t="str">
        <x:v>2024-11-21 04:35:00-06:00</x:v>
      </x:c>
      <x:c r="AG264" s="6" t="str">
        <x:v>Long</x:v>
      </x:c>
      <x:c r="AH264" s="6" t="str">
        <x:v>19695.0</x:v>
      </x:c>
      <x:c r="AI264" s="8" t="str">
        <x:v>0</x:v>
      </x:c>
      <x:c r="AJ264" s="6" t="str">
        <x:v>True</x:v>
      </x:c>
      <x:c r="AK264" s="6" t="str">
        <x:v>Same-bar Setup+BOS</x:v>
      </x:c>
      <x:c r="AL264" s="9" t="str">
        <x:v>0.783088890578038</x:v>
      </x:c>
      <x:c r="AM264" s="9" t="str">
        <x:v>0.4836725500629058</x:v>
      </x:c>
      <x:c r="AN264" s="9" t="str">
        <x:v>0.7715728774813021</x:v>
      </x:c>
      <x:c r="AO264" s="9" t="str">
        <x:v>0.9903771263192833</x:v>
      </x:c>
      <x:c r="AP264" s="10" t="str">
        <x:v>0.7790697674418605</x:v>
      </x:c>
      <x:c r="AQ264" s="6" t="str">
        <x:v>0.22093023255813954</x:v>
      </x:c>
      <x:c r="AR264" s="6" t="str">
        <x:v>0.0</x:v>
      </x:c>
      <x:c r="AS264" s="6" t="str">
        <x:v>With trade</x:v>
      </x:c>
      <x:c r="AT264" s="6" t="str">
        <x:v>0.7851709364343796</x:v>
      </x:c>
      <x:c r="AU264" s="7" t="str">
        <x:v>2024-11-21 04:45:00-06:00</x:v>
      </x:c>
      <x:c r="AV264" s="8" t="str">
        <x:v>2</x:v>
      </x:c>
      <x:c r="AW264" s="6" t="str">
        <x:v>Delayed retest (2+ bars)</x:v>
      </x:c>
      <x:c r="AX264" s="6" t="str">
        <x:v>19695.75</x:v>
      </x:c>
      <x:c r="AY264" s="6" t="str">
        <x:v>0.0</x:v>
      </x:c>
      <x:c r="AZ264" s="9" t="str">
        <x:v>0.0</x:v>
      </x:c>
      <x:c r="BA264" s="9" t="str">
        <x:v>0.20619809993800162</x:v>
      </x:c>
      <x:c r="BB264" s="9" t="str">
        <x:v>0.8126630997556534</x:v>
      </x:c>
      <x:c r="BC264" s="9" t="str">
        <x:v>0.5579477998322396</x:v>
      </x:c>
      <x:c r="BD264" s="6" t="str">
        <x:v>0.1044776119402985</x:v>
      </x:c>
      <x:c r="BE264" s="6" t="str">
        <x:v>0.208955223880597</x:v>
      </x:c>
      <x:c r="BF264" s="9" t="str">
        <x:v>0.1698101999489425</x:v>
      </x:c>
      <x:c r="BG264" s="9" t="str">
        <x:v>0.08490509997447125</x:v>
      </x:c>
      <x:c r="BH264" s="6" t="str">
        <x:v>Against trade</x:v>
      </x:c>
      <x:c r="BI264" s="6" t="str">
        <x:v>Tolerance-only shallow touch</x:v>
      </x:c>
      <x:c r="BJ264" s="6" t="str">
        <x:v>True</x:v>
      </x:c>
      <x:c r="BK264" s="10" t="str">
        <x:v>False</x:v>
      </x:c>
      <x:c r="BL264" s="6" t="str">
        <x:v>True</x:v>
      </x:c>
      <x:c r="BM264" s="7" t="str">
        <x:v>2024-11-21 04:55:00-06:00</x:v>
      </x:c>
      <x:c r="BN264" s="8" t="str">
        <x:v>2</x:v>
      </x:c>
      <x:c r="BO264" s="6" t="str">
        <x:v>Delayed confirmation (2+ bars)</x:v>
      </x:c>
      <x:c r="BP264" s="9" t="str">
        <x:v>0.4071616019141395</x:v>
      </x:c>
      <x:c r="BQ264" s="9" t="str">
        <x:v>0.8524946040077297</x:v>
      </x:c>
      <x:c r="BR264" s="10" t="str">
        <x:v>0.47761194029850745</x:v>
      </x:c>
      <x:c r="BS264" s="9" t="str">
        <x:v>0.5216758024524913</x:v>
      </x:c>
      <x:c r="BT264" s="9" t="str">
        <x:v>0.30537120143560464</x:v>
      </x:c>
      <x:c r="BU264" s="9" t="str">
        <x:v>0.30537120143560464</x:v>
      </x:c>
      <x:c r="BV264" s="6" t="str">
        <x:v>With trade</x:v>
      </x:c>
      <x:c r="BW264" s="7" t="str">
        <x:v>2024-11-21 04:55:00-06:00</x:v>
      </x:c>
      <x:c r="BX264" s="6" t="str">
        <x:v>19705.25</x:v>
      </x:c>
      <x:c r="BY264" s="9" t="str">
        <x:v>19.648218207194805</x:v>
      </x:c>
      <x:c r="BZ264" s="9" t="str">
        <x:v>0.6</x:v>
      </x:c>
      <x:c r="CA264" s="6" t="str">
        <x:v>19675.777672689208</x:v>
      </x:c>
      <x:c r="CB264" s="6" t="str">
        <x:v>29.472327310792025</x:v>
      </x:c>
      <x:c r="CC264" s="9" t="str">
        <x:v>1.4999999999999907</x:v>
      </x:c>
      <x:c r="CD264" s="6" t="str">
        <x:v>19764.194654621584</x:v>
      </x:c>
      <x:c r="CE264" s="6" t="str">
        <x:v>58.94465462158405</x:v>
      </x:c>
      <x:c r="CF264" s="6" t="str">
        <x:v>Fixed 2.00R target</x:v>
      </x:c>
      <x:c r="CG264" s="9" t="str">
        <x:v>0.02459934678231275</x:v>
      </x:c>
      <x:c r="CH264" s="9" t="str">
        <x:v>2.0</x:v>
      </x:c>
      <x:c r="CI264" s="9" t="str">
        <x:v>1.9754006532176873</x:v>
      </x:c>
      <x:c r="CJ264" s="6" t="str">
        <x:v>Win</x:v>
      </x:c>
      <x:c r="CK264" s="9" t="str">
        <x:v>2.078220676436767</x:v>
      </x:c>
      <x:c r="CL264" s="9" t="str">
        <x:v>0.05089520023926776</x:v>
      </x:c>
      <x:c r="CM264" s="7" t="str">
        <x:v>2024-11-21 05:20:00-06:00</x:v>
      </x:c>
      <x:c r="CN264" s="6" t="str">
        <x:v>19764.194654621584</x:v>
      </x:c>
      <x:c r="CO264" s="6" t="str">
        <x:v>TARGET</x:v>
      </x:c>
      <x:c r="CP264" s="6" t="str">
        <x:v>F::Long::Same-bar Setup+BOS::Tolerance-only shallow touch</x:v>
      </x:c>
    </x:row>
    <x:row r="265" ht="18" customHeight="1">
      <x:c r="A265" s="6" t="str">
        <x:v>A0264</x:v>
      </x:c>
      <x:c r="B265" s="6" t="str">
        <x:v>2024-11-21</x:v>
      </x:c>
      <x:c r="C265" s="6" t="str">
        <x:v>2024</x:v>
      </x:c>
      <x:c r="D265" s="6" t="str">
        <x:v>2024-Q4</x:v>
      </x:c>
      <x:c r="E265" s="6" t="str">
        <x:v>First 50%</x:v>
      </x:c>
      <x:c r="F265" s="6" t="str">
        <x:v>Long</x:v>
      </x:c>
      <x:c r="G265" s="6" t="str">
        <x:v>Long</x:v>
      </x:c>
      <x:c r="H265" s="6" t="str">
        <x:v>Overnight</x:v>
      </x:c>
      <x:c r="I265" s="6" t="str">
        <x:v>Overnight</x:v>
      </x:c>
      <x:c r="J265" s="6" t="str">
        <x:v>Bull</x:v>
      </x:c>
      <x:c r="K265" s="6" t="str">
        <x:v>Bull</x:v>
      </x:c>
      <x:c r="L265" s="6" t="str">
        <x:v>LOW</x:v>
      </x:c>
      <x:c r="M265" s="7" t="str">
        <x:v>2024-11-21 19:10:00-06:00</x:v>
      </x:c>
      <x:c r="N265" s="6" t="str">
        <x:v>75.0</x:v>
      </x:c>
      <x:c r="O265" s="6" t="str">
        <x:v>75-79</x:v>
      </x:c>
      <x:c r="P265" s="6" t="str">
        <x:v>Matching BOS only</x:v>
      </x:c>
      <x:c r="Q265" s="6" t="str">
        <x:v>Bull CHoCH</x:v>
      </x:c>
      <x:c r="R265" s="6" t="str">
        <x:v>True</x:v>
      </x:c>
      <x:c r="S265" s="6" t="str">
        <x:v>False</x:v>
      </x:c>
      <x:c r="T265" s="6" t="str">
        <x:v>Recent SSL</x:v>
      </x:c>
      <x:c r="U265" s="6" t="str">
        <x:v>SSL</x:v>
      </x:c>
      <x:c r="V265" s="6" t="str">
        <x:v>Swing low / sell-side</x:v>
      </x:c>
      <x:c r="W265" s="6" t="str">
        <x:v>[19795.75]</x:v>
      </x:c>
      <x:c r="X265" s="8" t="str">
        <x:v>1</x:v>
      </x:c>
      <x:c r="Y265" s="8" t="str">
        <x:v>16.0</x:v>
      </x:c>
      <x:c r="Z265" s="6" t="str">
        <x:v>None</x:v>
      </x:c>
      <x:c r="AA265" s="6" t="str">
        <x:v>19818.5</x:v>
      </x:c>
      <x:c r="AB265" s="9" t="str">
        <x:v>0.1520654056719843</x:v>
      </x:c>
      <x:c r="AC265" s="9" t="str">
        <x:v>0.551237095560943</x:v>
      </x:c>
      <x:c r="AD265" s="9" t="str">
        <x:v>0.6462779741059332</x:v>
      </x:c>
      <x:c r="AE265" s="6" t="str">
        <x:v>With trade</x:v>
      </x:c>
      <x:c r="AF265" s="7" t="str">
        <x:v>2024-11-21 19:10:00-06:00</x:v>
      </x:c>
      <x:c r="AG265" s="6" t="str">
        <x:v>Long</x:v>
      </x:c>
      <x:c r="AH265" s="6" t="str">
        <x:v>19818.5</x:v>
      </x:c>
      <x:c r="AI265" s="8" t="str">
        <x:v>0</x:v>
      </x:c>
      <x:c r="AJ265" s="6" t="str">
        <x:v>True</x:v>
      </x:c>
      <x:c r="AK265" s="6" t="str">
        <x:v>Same-bar Setup+BOS</x:v>
      </x:c>
      <x:c r="AL265" s="9" t="str">
        <x:v>0.6272697983969352</x:v>
      </x:c>
      <x:c r="AM265" s="9" t="str">
        <x:v>0.1520654056719843</x:v>
      </x:c>
      <x:c r="AN265" s="9" t="str">
        <x:v>0.551237095560943</x:v>
      </x:c>
      <x:c r="AO265" s="9" t="str">
        <x:v>0.6462779741059332</x:v>
      </x:c>
      <x:c r="AP265" s="10" t="str">
        <x:v>0.8529411764705882</x:v>
      </x:c>
      <x:c r="AQ265" s="6" t="str">
        <x:v>0.0</x:v>
      </x:c>
      <x:c r="AR265" s="6" t="str">
        <x:v>0.14705882352941177</x:v>
      </x:c>
      <x:c r="AS265" s="6" t="str">
        <x:v>With trade</x:v>
      </x:c>
      <x:c r="AT265" s="6" t="str">
        <x:v>0.8221967672139493</x:v>
      </x:c>
      <x:c r="AU265" s="7" t="str">
        <x:v>2024-11-21 19:15:00-06:00</x:v>
      </x:c>
      <x:c r="AV265" s="8" t="str">
        <x:v>1</x:v>
      </x:c>
      <x:c r="AW265" s="6" t="str">
        <x:v>Immediate retest (1 bar)</x:v>
      </x:c>
      <x:c r="AX265" s="6" t="str">
        <x:v>19817.25</x:v>
      </x:c>
      <x:c r="AY265" s="6" t="str">
        <x:v>1.25</x:v>
      </x:c>
      <x:c r="AZ265" s="9" t="str">
        <x:v>0.09696415792900456</x:v>
      </x:c>
      <x:c r="BA265" s="9" t="str">
        <x:v>0.3102853053728146</x:v>
      </x:c>
      <x:c r="BB265" s="9" t="str">
        <x:v>0.7369276002604347</x:v>
      </x:c>
      <x:c r="BC265" s="9" t="str">
        <x:v>0.1551426526864073</x:v>
      </x:c>
      <x:c r="BD265" s="6" t="str">
        <x:v>0.4473684210526316</x:v>
      </x:c>
      <x:c r="BE265" s="6" t="str">
        <x:v>0.34210526315789475</x:v>
      </x:c>
      <x:c r="BF265" s="9" t="str">
        <x:v>0.25210681061541185</x:v>
      </x:c>
      <x:c r="BG265" s="9" t="str">
        <x:v>0.32967813695861553</x:v>
      </x:c>
      <x:c r="BH265" s="6" t="str">
        <x:v>With trade</x:v>
      </x:c>
      <x:c r="BI265" s="6" t="str">
        <x:v>Penetration + same-bar reclaim</x:v>
      </x:c>
      <x:c r="BJ265" s="6" t="str">
        <x:v>False</x:v>
      </x:c>
      <x:c r="BK265" s="10" t="str">
        <x:v>True</x:v>
      </x:c>
      <x:c r="BL265" s="6" t="str">
        <x:v>True</x:v>
      </x:c>
      <x:c r="BM265" s="7" t="str">
        <x:v>2024-11-21 19:20:00-06:00</x:v>
      </x:c>
      <x:c r="BN265" s="8" t="str">
        <x:v>1</x:v>
      </x:c>
      <x:c r="BO265" s="6" t="str">
        <x:v>Immediate confirmation (1 bar)</x:v>
      </x:c>
      <x:c r="BP265" s="9" t="str">
        <x:v>0.8095262055261193</x:v>
      </x:c>
      <x:c r="BQ265" s="9" t="str">
        <x:v>1.0793682740348258</x:v>
      </x:c>
      <x:c r="BR265" s="10" t="str">
        <x:v>0.75</x:v>
      </x:c>
      <x:c r="BS265" s="9" t="str">
        <x:v>1.117917140964641</x:v>
      </x:c>
      <x:c r="BT265" s="9" t="str">
        <x:v>0.8095262055261193</x:v>
      </x:c>
      <x:c r="BU265" s="9" t="str">
        <x:v>0.0</x:v>
      </x:c>
      <x:c r="BV265" s="6" t="str">
        <x:v>With trade</x:v>
      </x:c>
      <x:c r="BW265" s="7" t="str">
        <x:v>2024-11-21 19:20:00-06:00</x:v>
      </x:c>
      <x:c r="BX265" s="6" t="str">
        <x:v>19833.0</x:v>
      </x:c>
      <x:c r="BY265" s="9" t="str">
        <x:v>12.970549845481461</x:v>
      </x:c>
      <x:c r="BZ265" s="9" t="str">
        <x:v>0.03</x:v>
      </x:c>
      <x:c r="CA265" s="6" t="str">
        <x:v>19813.54417523178</x:v>
      </x:c>
      <x:c r="CB265" s="6" t="str">
        <x:v>19.455824768221646</x:v>
      </x:c>
      <x:c r="CC265" s="9" t="str">
        <x:v>1.499999999999958</x:v>
      </x:c>
      <x:c r="CD265" s="6" t="str">
        <x:v>19871.911649536443</x:v>
      </x:c>
      <x:c r="CE265" s="6" t="str">
        <x:v>38.91164953644329</x:v>
      </x:c>
      <x:c r="CF265" s="6" t="str">
        <x:v>Fixed 2.00R target</x:v>
      </x:c>
      <x:c r="CG265" s="9" t="str">
        <x:v>0.03726390469882241</x:v>
      </x:c>
      <x:c r="CH265" s="9" t="str">
        <x:v>-0.256992446198768</x:v>
      </x:c>
      <x:c r="CI265" s="9" t="str">
        <x:v>-0.2942563508975904</x:v>
      </x:c>
      <x:c r="CJ265" s="6" t="str">
        <x:v>Loss</x:v>
      </x:c>
      <x:c r="CK265" s="9" t="str">
        <x:v>0.2312932015788977</x:v>
      </x:c>
      <x:c r="CL265" s="9" t="str">
        <x:v>0.7324284716665094</x:v>
      </x:c>
      <x:c r="CM265" s="7" t="str">
        <x:v>2024-11-21 20:20:00-06:00</x:v>
      </x:c>
      <x:c r="CN265" s="6" t="str">
        <x:v>19828.0</x:v>
      </x:c>
      <x:c r="CO265" s="6" t="str">
        <x:v>TIME</x:v>
      </x:c>
      <x:c r="CP265" s="6" t="str">
        <x:v>F::Long::Same-bar Setup+BOS::Penetration + same-bar reclaim</x:v>
      </x:c>
    </x:row>
    <x:row r="266" ht="18" customHeight="1">
      <x:c r="A266" s="6" t="str">
        <x:v>A0265</x:v>
      </x:c>
      <x:c r="B266" s="6" t="str">
        <x:v>2024-11-22</x:v>
      </x:c>
      <x:c r="C266" s="6" t="str">
        <x:v>2024</x:v>
      </x:c>
      <x:c r="D266" s="6" t="str">
        <x:v>2024-Q4</x:v>
      </x:c>
      <x:c r="E266" s="6" t="str">
        <x:v>First 50%</x:v>
      </x:c>
      <x:c r="F266" s="6" t="str">
        <x:v>Long</x:v>
      </x:c>
      <x:c r="G266" s="6" t="str">
        <x:v>Long</x:v>
      </x:c>
      <x:c r="H266" s="6" t="str">
        <x:v>Premarket</x:v>
      </x:c>
      <x:c r="I266" s="6" t="str">
        <x:v>Premarket</x:v>
      </x:c>
      <x:c r="J266" s="6" t="str">
        <x:v>Bull</x:v>
      </x:c>
      <x:c r="K266" s="6" t="str">
        <x:v>Bull</x:v>
      </x:c>
      <x:c r="L266" s="6" t="str">
        <x:v>HIGH</x:v>
      </x:c>
      <x:c r="M266" s="7" t="str">
        <x:v>2024-11-22 08:30:00-06:00</x:v>
      </x:c>
      <x:c r="N266" s="6" t="str">
        <x:v>90.0</x:v>
      </x:c>
      <x:c r="O266" s="6" t="str">
        <x:v>90-94</x:v>
      </x:c>
      <x:c r="P266" s="6" t="str">
        <x:v>Matching BOS only</x:v>
      </x:c>
      <x:c r="Q266" s="6" t="str">
        <x:v>Bull CHoCH</x:v>
      </x:c>
      <x:c r="R266" s="6" t="str">
        <x:v>True</x:v>
      </x:c>
      <x:c r="S266" s="6" t="str">
        <x:v>False</x:v>
      </x:c>
      <x:c r="T266" s="6" t="str">
        <x:v>Recent SSL</x:v>
      </x:c>
      <x:c r="U266" s="6" t="str">
        <x:v>SSL</x:v>
      </x:c>
      <x:c r="V266" s="6" t="str">
        <x:v>Swing low / sell-side</x:v>
      </x:c>
      <x:c r="W266" s="6" t="str">
        <x:v>[19806.0]</x:v>
      </x:c>
      <x:c r="X266" s="8" t="str">
        <x:v>1</x:v>
      </x:c>
      <x:c r="Y266" s="8" t="str">
        <x:v>7.0</x:v>
      </x:c>
      <x:c r="Z266" s="6" t="str">
        <x:v>None</x:v>
      </x:c>
      <x:c r="AA266" s="6" t="str">
        <x:v>19841.25</x:v>
      </x:c>
      <x:c r="AB266" s="9" t="str">
        <x:v>0.5034732786391077</x:v>
      </x:c>
      <x:c r="AC266" s="9" t="str">
        <x:v>1.7369828113049217</x:v>
      </x:c>
      <x:c r="AD266" s="9" t="str">
        <x:v>2.5677137210594494</x:v>
      </x:c>
      <x:c r="AE266" s="6" t="str">
        <x:v>With trade</x:v>
      </x:c>
      <x:c r="AF266" s="7" t="str">
        <x:v>2024-11-22 08:30:00-06:00</x:v>
      </x:c>
      <x:c r="AG266" s="6" t="str">
        <x:v>Long</x:v>
      </x:c>
      <x:c r="AH266" s="6" t="str">
        <x:v>19841.25</x:v>
      </x:c>
      <x:c r="AI266" s="8" t="str">
        <x:v>0</x:v>
      </x:c>
      <x:c r="AJ266" s="6" t="str">
        <x:v>True</x:v>
      </x:c>
      <x:c r="AK266" s="6" t="str">
        <x:v>Same-bar Setup+BOS</x:v>
      </x:c>
      <x:c r="AL266" s="9" t="str">
        <x:v>1.7999169711348102</x:v>
      </x:c>
      <x:c r="AM266" s="9" t="str">
        <x:v>0.5034732786391077</x:v>
      </x:c>
      <x:c r="AN266" s="9" t="str">
        <x:v>1.7369828113049217</x:v>
      </x:c>
      <x:c r="AO266" s="9" t="str">
        <x:v>2.5677137210594494</x:v>
      </x:c>
      <x:c r="AP266" s="10" t="str">
        <x:v>0.6764705882352942</x:v>
      </x:c>
      <x:c r="AQ266" s="6" t="str">
        <x:v>0.004901960784313725</x:v>
      </x:c>
      <x:c r="AR266" s="6" t="str">
        <x:v>0.31862745098039214</x:v>
      </x:c>
      <x:c r="AS266" s="6" t="str">
        <x:v>With trade</x:v>
      </x:c>
      <x:c r="AT266" s="6" t="str">
        <x:v>11.051541367125624</x:v>
      </x:c>
      <x:c r="AU266" s="7" t="str">
        <x:v>2024-11-22 08:35:00-06:00</x:v>
      </x:c>
      <x:c r="AV266" s="8" t="str">
        <x:v>1</x:v>
      </x:c>
      <x:c r="AW266" s="6" t="str">
        <x:v>Immediate retest (1 bar)</x:v>
      </x:c>
      <x:c r="AX266" s="6" t="str">
        <x:v>19813.75</x:v>
      </x:c>
      <x:c r="AY266" s="6" t="str">
        <x:v>27.5</x:v>
      </x:c>
      <x:c r="AZ266" s="9" t="str">
        <x:v>1.2542499740467195</x:v>
      </x:c>
      <x:c r="BA266" s="9" t="str">
        <x:v>0.23944772231801006</x:v>
      </x:c>
      <x:c r="BB266" s="9" t="str">
        <x:v>2.2234431358100935</x:v>
      </x:c>
      <x:c r="BC266" s="9" t="str">
        <x:v>0.18243635986134102</x:v>
      </x:c>
      <x:c r="BD266" s="6" t="str">
        <x:v>0.24615384615384617</x:v>
      </x:c>
      <x:c r="BE266" s="6" t="str">
        <x:v>0.6717948717948717</x:v>
      </x:c>
      <x:c r="BF266" s="9" t="str">
        <x:v>1.4936976963647295</x:v>
      </x:c>
      <x:c r="BG266" s="9" t="str">
        <x:v>0.547309079584023</x:v>
      </x:c>
      <x:c r="BH266" s="6" t="str">
        <x:v>Against trade</x:v>
      </x:c>
      <x:c r="BI266" s="6" t="str">
        <x:v>Penetration + same-bar reclaim</x:v>
      </x:c>
      <x:c r="BJ266" s="6" t="str">
        <x:v>False</x:v>
      </x:c>
      <x:c r="BK266" s="10" t="str">
        <x:v>True</x:v>
      </x:c>
      <x:c r="BL266" s="6" t="str">
        <x:v>True</x:v>
      </x:c>
      <x:c r="BM266" s="7" t="str">
        <x:v>2024-11-22 08:40:00-06:00</x:v>
      </x:c>
      <x:c r="BN266" s="8" t="str">
        <x:v>1</x:v>
      </x:c>
      <x:c r="BO266" s="6" t="str">
        <x:v>Immediate confirmation (1 bar)</x:v>
      </x:c>
      <x:c r="BP266" s="9" t="str">
        <x:v>0.9446957303501214</x:v>
      </x:c>
      <x:c r="BQ266" s="9" t="str">
        <x:v>1.760569315652499</x:v>
      </x:c>
      <x:c r="BR266" s="10" t="str">
        <x:v>0.5365853658536586</x:v>
      </x:c>
      <x:c r="BS266" s="9" t="str">
        <x:v>1.1701344841836732</x:v>
      </x:c>
      <x:c r="BT266" s="9" t="str">
        <x:v>0.9446957303501214</x:v>
      </x:c>
      <x:c r="BU266" s="9" t="str">
        <x:v>0.21470357507957305</x:v>
      </x:c>
      <x:c r="BV266" s="6" t="str">
        <x:v>With trade</x:v>
      </x:c>
      <x:c r="BW266" s="7" t="str">
        <x:v>2024-11-22 08:40:00-06:00</x:v>
      </x:c>
      <x:c r="BX266" s="6" t="str">
        <x:v>19868.5</x:v>
      </x:c>
      <x:c r="BY266" s="9" t="str">
        <x:v>23.287921489648735</x:v>
      </x:c>
      <x:c r="BZ266" s="9" t="str">
        <x:v>0.98</x:v>
      </x:c>
      <x:c r="CA266" s="6" t="str">
        <x:v>19833.568117765528</x:v>
      </x:c>
      <x:c r="CB266" s="6" t="str">
        <x:v>34.93188223447214</x:v>
      </x:c>
      <x:c r="CC266" s="9" t="str">
        <x:v>1.4999999999999587</x:v>
      </x:c>
      <x:c r="CD266" s="6" t="str">
        <x:v>19938.363764468948</x:v>
      </x:c>
      <x:c r="CE266" s="6" t="str">
        <x:v>69.86376446894792</x:v>
      </x:c>
      <x:c r="CF266" s="6" t="str">
        <x:v>Fixed 2.00R target</x:v>
      </x:c>
      <x:c r="CG266" s="9" t="str">
        <x:v>0.0207546789243593</x:v>
      </x:c>
      <x:c r="CH266" s="9" t="str">
        <x:v>-1.0</x:v>
      </x:c>
      <x:c r="CI266" s="9" t="str">
        <x:v>-1.0207546789243593</x:v>
      </x:c>
      <x:c r="CJ266" s="6" t="str">
        <x:v>Loss</x:v>
      </x:c>
      <x:c r="CK266" s="9" t="str">
        <x:v>0.8588143003183158</x:v>
      </x:c>
      <x:c r="CL266" s="9" t="str">
        <x:v>1.4814546680490948</x:v>
      </x:c>
      <x:c r="CM266" s="7" t="str">
        <x:v>2024-11-22 08:50:00-06:00</x:v>
      </x:c>
      <x:c r="CN266" s="6" t="str">
        <x:v>19833.568117765528</x:v>
      </x:c>
      <x:c r="CO266" s="6" t="str">
        <x:v>STOP</x:v>
      </x:c>
      <x:c r="CP266" s="6" t="str">
        <x:v>F::Long::Same-bar Setup+BOS::Penetration + same-bar reclaim</x:v>
      </x:c>
    </x:row>
    <x:row r="267" ht="18" customHeight="1">
      <x:c r="A267" s="6" t="str">
        <x:v>A0266</x:v>
      </x:c>
      <x:c r="B267" s="6" t="str">
        <x:v>2024-11-22</x:v>
      </x:c>
      <x:c r="C267" s="6" t="str">
        <x:v>2024</x:v>
      </x:c>
      <x:c r="D267" s="6" t="str">
        <x:v>2024-Q4</x:v>
      </x:c>
      <x:c r="E267" s="6" t="str">
        <x:v>First 50%</x:v>
      </x:c>
      <x:c r="F267" s="6" t="str">
        <x:v>Long</x:v>
      </x:c>
      <x:c r="G267" s="6" t="str">
        <x:v>Long</x:v>
      </x:c>
      <x:c r="H267" s="6" t="str">
        <x:v>Midday</x:v>
      </x:c>
      <x:c r="I267" s="6" t="str">
        <x:v>Morning</x:v>
      </x:c>
      <x:c r="J267" s="6" t="str">
        <x:v>Bull</x:v>
      </x:c>
      <x:c r="K267" s="6" t="str">
        <x:v>Bull</x:v>
      </x:c>
      <x:c r="L267" s="6" t="str">
        <x:v>MID</x:v>
      </x:c>
      <x:c r="M267" s="7" t="str">
        <x:v>2024-11-22 11:50:00-06:00</x:v>
      </x:c>
      <x:c r="N267" s="6" t="str">
        <x:v>75.0</x:v>
      </x:c>
      <x:c r="O267" s="6" t="str">
        <x:v>75-79</x:v>
      </x:c>
      <x:c r="P267" s="6" t="str">
        <x:v>Matching BOS only</x:v>
      </x:c>
      <x:c r="Q267" s="6" t="str">
        <x:v>Bull CHoCH</x:v>
      </x:c>
      <x:c r="R267" s="6" t="str">
        <x:v>True</x:v>
      </x:c>
      <x:c r="S267" s="6" t="str">
        <x:v>False</x:v>
      </x:c>
      <x:c r="T267" s="6" t="str">
        <x:v>No recent matching sweep</x:v>
      </x:c>
      <x:c r="U267" s="6" t="str">
        <x:v>None</x:v>
      </x:c>
      <x:c r="V267" s="6" t="str">
        <x:v>None</x:v>
      </x:c>
      <x:c r="W267" s="6" t="str">
        <x:v>[]</x:v>
      </x:c>
      <x:c r="X267" s="8" t="str">
        <x:v>0</x:v>
      </x:c>
      <x:c r="Y267" s="8" t="str"/>
      <x:c r="Z267" s="6" t="str">
        <x:v>None</x:v>
      </x:c>
      <x:c r="AA267" s="6" t="str">
        <x:v>19877.5</x:v>
      </x:c>
      <x:c r="AB267" s="9" t="str">
        <x:v>0.10042260368602521</x:v>
      </x:c>
      <x:c r="AC267" s="9" t="str">
        <x:v>0.686221125187839</x:v>
      </x:c>
      <x:c r="AD267" s="9" t="str">
        <x:v>0.9038034331742268</x:v>
      </x:c>
      <x:c r="AE267" s="6" t="str">
        <x:v>With trade</x:v>
      </x:c>
      <x:c r="AF267" s="7" t="str">
        <x:v>2024-11-22 11:50:00-06:00</x:v>
      </x:c>
      <x:c r="AG267" s="6" t="str">
        <x:v>Long</x:v>
      </x:c>
      <x:c r="AH267" s="6" t="str">
        <x:v>19877.5</x:v>
      </x:c>
      <x:c r="AI267" s="8" t="str">
        <x:v>0</x:v>
      </x:c>
      <x:c r="AJ267" s="6" t="str">
        <x:v>True</x:v>
      </x:c>
      <x:c r="AK267" s="6" t="str">
        <x:v>Same-bar Setup+BOS</x:v>
      </x:c>
      <x:c r="AL267" s="9" t="str">
        <x:v>0.686221125187839</x:v>
      </x:c>
      <x:c r="AM267" s="9" t="str">
        <x:v>0.10042260368602521</x:v>
      </x:c>
      <x:c r="AN267" s="9" t="str">
        <x:v>0.686221125187839</x:v>
      </x:c>
      <x:c r="AO267" s="9" t="str">
        <x:v>0.9038034331742268</x:v>
      </x:c>
      <x:c r="AP267" s="10" t="str">
        <x:v>0.7592592592592593</x:v>
      </x:c>
      <x:c r="AQ267" s="6" t="str">
        <x:v>0.23148148148148148</x:v>
      </x:c>
      <x:c r="AR267" s="6" t="str">
        <x:v>0.009259259259259259</x:v>
      </x:c>
      <x:c r="AS267" s="6" t="str">
        <x:v>With trade</x:v>
      </x:c>
      <x:c r="AT267" s="6" t="str">
        <x:v>1.3482441471571907</x:v>
      </x:c>
      <x:c r="AU267" s="7" t="str">
        <x:v>2024-11-22 11:55:00-06:00</x:v>
      </x:c>
      <x:c r="AV267" s="8" t="str">
        <x:v>1</x:v>
      </x:c>
      <x:c r="AW267" s="6" t="str">
        <x:v>Immediate retest (1 bar)</x:v>
      </x:c>
      <x:c r="AX267" s="6" t="str">
        <x:v>19875.75</x:v>
      </x:c>
      <x:c r="AY267" s="6" t="str">
        <x:v>1.75</x:v>
      </x:c>
      <x:c r="AZ267" s="9" t="str">
        <x:v>0.06081535547103775</x:v>
      </x:c>
      <x:c r="BA267" s="9" t="str">
        <x:v>0.09556698716877361</x:v>
      </x:c>
      <x:c r="BB267" s="9" t="str">
        <x:v>0.50389865961717</x:v>
      </x:c>
      <x:c r="BC267" s="9" t="str">
        <x:v>0.026063723773301895</x:v>
      </x:c>
      <x:c r="BD267" s="6" t="str">
        <x:v>0.6379310344827587</x:v>
      </x:c>
      <x:c r="BE267" s="6" t="str">
        <x:v>0.3103448275862069</x:v>
      </x:c>
      <x:c r="BF267" s="9" t="str">
        <x:v>0.15638234263981138</x:v>
      </x:c>
      <x:c r="BG267" s="9" t="str">
        <x:v>0.3214525932040567</x:v>
      </x:c>
      <x:c r="BH267" s="6" t="str">
        <x:v>Against trade</x:v>
      </x:c>
      <x:c r="BI267" s="6" t="str">
        <x:v>Penetration + same-bar reclaim</x:v>
      </x:c>
      <x:c r="BJ267" s="6" t="str">
        <x:v>False</x:v>
      </x:c>
      <x:c r="BK267" s="10" t="str">
        <x:v>True</x:v>
      </x:c>
      <x:c r="BL267" s="6" t="str">
        <x:v>True</x:v>
      </x:c>
      <x:c r="BM267" s="7" t="str">
        <x:v>2024-11-22 12:00:00-06:00</x:v>
      </x:c>
      <x:c r="BN267" s="8" t="str">
        <x:v>1</x:v>
      </x:c>
      <x:c r="BO267" s="6" t="str">
        <x:v>Immediate confirmation (1 bar)</x:v>
      </x:c>
      <x:c r="BP267" s="9" t="str">
        <x:v>0.3004419620734675</x:v>
      </x:c>
      <x:c r="BQ267" s="9" t="str">
        <x:v>0.7776144900725042</x:v>
      </x:c>
      <x:c r="BR267" s="10" t="str">
        <x:v>0.38636363636363635</x:v>
      </x:c>
      <x:c r="BS267" s="9" t="str">
        <x:v>0.39764377333253054</x:v>
      </x:c>
      <x:c r="BT267" s="9" t="str">
        <x:v>0.3004419620734675</x:v>
      </x:c>
      <x:c r="BU267" s="9" t="str">
        <x:v>0.4683359997027582</x:v>
      </x:c>
      <x:c r="BV267" s="6" t="str">
        <x:v>With trade</x:v>
      </x:c>
      <x:c r="BW267" s="7" t="str">
        <x:v>2024-11-22 12:00:00-06:00</x:v>
      </x:c>
      <x:c r="BX267" s="6" t="str">
        <x:v>19888.75</x:v>
      </x:c>
      <x:c r="BY267" s="9" t="str">
        <x:v>28.29165387330776</x:v>
      </x:c>
      <x:c r="BZ267" s="9" t="str">
        <x:v>0.63</x:v>
      </x:c>
      <x:c r="CA267" s="6" t="str">
        <x:v>19846.31251919004</x:v>
      </x:c>
      <x:c r="CB267" s="6" t="str">
        <x:v>42.43748080996011</x:v>
      </x:c>
      <x:c r="CC267" s="9" t="str">
        <x:v>1.4999999999999458</x:v>
      </x:c>
      <x:c r="CD267" s="6" t="str">
        <x:v>19973.624961619924</x:v>
      </x:c>
      <x:c r="CE267" s="6" t="str">
        <x:v>84.87496161992385</x:v>
      </x:c>
      <x:c r="CF267" s="6" t="str">
        <x:v>Fixed 2.00R target</x:v>
      </x:c>
      <x:c r="CG267" s="9" t="str">
        <x:v>0.017083954706138965</x:v>
      </x:c>
      <x:c r="CH267" s="9" t="str">
        <x:v>-0.5596467920976356</x:v>
      </x:c>
      <x:c r="CI267" s="9" t="str">
        <x:v>-0.5767307468037746</x:v>
      </x:c>
      <x:c r="CJ267" s="6" t="str">
        <x:v>Loss</x:v>
      </x:c>
      <x:c r="CK267" s="9" t="str">
        <x:v>0.394698263900452</x:v>
      </x:c>
      <x:c r="CL267" s="9" t="str">
        <x:v>0.8895438484920634</x:v>
      </x:c>
      <x:c r="CM267" s="7" t="str">
        <x:v>2024-11-22 13:00:00-06:00</x:v>
      </x:c>
      <x:c r="CN267" s="6" t="str">
        <x:v>19865.0</x:v>
      </x:c>
      <x:c r="CO267" s="6" t="str">
        <x:v>TIME</x:v>
      </x:c>
      <x:c r="CP267" s="6" t="str">
        <x:v>F::Long::Same-bar Setup+BOS::Penetration + same-bar reclaim</x:v>
      </x:c>
    </x:row>
    <x:row r="268" ht="18" customHeight="1">
      <x:c r="A268" s="6" t="str">
        <x:v>A0267</x:v>
      </x:c>
      <x:c r="B268" s="6" t="str">
        <x:v>2024-11-25</x:v>
      </x:c>
      <x:c r="C268" s="6" t="str">
        <x:v>2024</x:v>
      </x:c>
      <x:c r="D268" s="6" t="str">
        <x:v>2024-Q4</x:v>
      </x:c>
      <x:c r="E268" s="6" t="str">
        <x:v>First 50%</x:v>
      </x:c>
      <x:c r="F268" s="6" t="str">
        <x:v>Short</x:v>
      </x:c>
      <x:c r="G268" s="6" t="str">
        <x:v>Short</x:v>
      </x:c>
      <x:c r="H268" s="6" t="str">
        <x:v>Overnight</x:v>
      </x:c>
      <x:c r="I268" s="6" t="str">
        <x:v>Overnight</x:v>
      </x:c>
      <x:c r="J268" s="6" t="str">
        <x:v>Bull</x:v>
      </x:c>
      <x:c r="K268" s="6" t="str">
        <x:v>Bull</x:v>
      </x:c>
      <x:c r="L268" s="6" t="str">
        <x:v>HIGH</x:v>
      </x:c>
      <x:c r="M268" s="7" t="str">
        <x:v>2024-11-25 02:20:00-06:00</x:v>
      </x:c>
      <x:c r="N268" s="6" t="str">
        <x:v>90.0</x:v>
      </x:c>
      <x:c r="O268" s="6" t="str">
        <x:v>90-94</x:v>
      </x:c>
      <x:c r="P268" s="6" t="str">
        <x:v>Matching BOS only</x:v>
      </x:c>
      <x:c r="Q268" s="6" t="str">
        <x:v>Bear BOS</x:v>
      </x:c>
      <x:c r="R268" s="6" t="str">
        <x:v>True</x:v>
      </x:c>
      <x:c r="S268" s="6" t="str">
        <x:v>False</x:v>
      </x:c>
      <x:c r="T268" s="6" t="str">
        <x:v>Recent BSL</x:v>
      </x:c>
      <x:c r="U268" s="6" t="str">
        <x:v>BSL</x:v>
      </x:c>
      <x:c r="V268" s="6" t="str">
        <x:v>Swing high / buy-side</x:v>
      </x:c>
      <x:c r="W268" s="6" t="str">
        <x:v>[19992.0]</x:v>
      </x:c>
      <x:c r="X268" s="8" t="str">
        <x:v>1</x:v>
      </x:c>
      <x:c r="Y268" s="8" t="str">
        <x:v>13.0</x:v>
      </x:c>
      <x:c r="Z268" s="6" t="str">
        <x:v>None</x:v>
      </x:c>
      <x:c r="AA268" s="6" t="str">
        <x:v>19975.75</x:v>
      </x:c>
      <x:c r="AB268" s="9" t="str">
        <x:v>0.7782092038527589</x:v>
      </x:c>
      <x:c r="AC268" s="9" t="str">
        <x:v>1.9624406010200008</x:v>
      </x:c>
      <x:c r="AD268" s="9" t="str">
        <x:v>2.706814622096553</x:v>
      </x:c>
      <x:c r="AE268" s="6" t="str">
        <x:v>With trade</x:v>
      </x:c>
      <x:c r="AF268" s="7" t="str">
        <x:v>2024-11-25 02:20:00-06:00</x:v>
      </x:c>
      <x:c r="AG268" s="6" t="str">
        <x:v>Short</x:v>
      </x:c>
      <x:c r="AH268" s="6" t="str">
        <x:v>19975.75</x:v>
      </x:c>
      <x:c r="AI268" s="8" t="str">
        <x:v>0</x:v>
      </x:c>
      <x:c r="AJ268" s="6" t="str">
        <x:v>True</x:v>
      </x:c>
      <x:c r="AK268" s="6" t="str">
        <x:v>Same-bar Setup+BOS</x:v>
      </x:c>
      <x:c r="AL268" s="9" t="str">
        <x:v>2.0639461493486215</x:v>
      </x:c>
      <x:c r="AM268" s="9" t="str">
        <x:v>0.7782092038527589</x:v>
      </x:c>
      <x:c r="AN268" s="9" t="str">
        <x:v>1.9624406010200008</x:v>
      </x:c>
      <x:c r="AO268" s="9" t="str">
        <x:v>2.706814622096553</x:v>
      </x:c>
      <x:c r="AP268" s="10" t="str">
        <x:v>0.725</x:v>
      </x:c>
      <x:c r="AQ268" s="6" t="str">
        <x:v>0.0125</x:v>
      </x:c>
      <x:c r="AR268" s="6" t="str">
        <x:v>0.2625</x:v>
      </x:c>
      <x:c r="AS268" s="6" t="str">
        <x:v>With trade</x:v>
      </x:c>
      <x:c r="AT268" s="6" t="str">
        <x:v>4.088505972195026</x:v>
      </x:c>
      <x:c r="AU268" s="7" t="str">
        <x:v>2024-11-25 02:25:00-06:00</x:v>
      </x:c>
      <x:c r="AV268" s="8" t="str">
        <x:v>1</x:v>
      </x:c>
      <x:c r="AW268" s="6" t="str">
        <x:v>Immediate retest (1 bar)</x:v>
      </x:c>
      <x:c r="AX268" s="6" t="str">
        <x:v>19975.25</x:v>
      </x:c>
      <x:c r="AY268" s="6" t="str">
        <x:v>0.0</x:v>
      </x:c>
      <x:c r="AZ268" s="9" t="str">
        <x:v>0.0</x:v>
      </x:c>
      <x:c r="BA268" s="9" t="str">
        <x:v>0.5511624762728079</x:v>
      </x:c>
      <x:c r="BB268" s="9" t="str">
        <x:v>2.235270042661943</x:v>
      </x:c>
      <x:c r="BC268" s="9" t="str">
        <x:v>0.06124027514142309</x:v>
      </x:c>
      <x:c r="BD268" s="6" t="str">
        <x:v>0.2191780821917808</x:v>
      </x:c>
      <x:c r="BE268" s="6" t="str">
        <x:v>0.7534246575342466</x:v>
      </x:c>
      <x:c r="BF268" s="9" t="str">
        <x:v>0.48992220113138474</x:v>
      </x:c>
      <x:c r="BG268" s="9" t="str">
        <x:v>1.6841075663891352</x:v>
      </x:c>
      <x:c r="BH268" s="6" t="str">
        <x:v>Against trade</x:v>
      </x:c>
      <x:c r="BI268" s="6" t="str">
        <x:v>Tolerance-only shallow touch</x:v>
      </x:c>
      <x:c r="BJ268" s="6" t="str">
        <x:v>True</x:v>
      </x:c>
      <x:c r="BK268" s="10" t="str">
        <x:v>False</x:v>
      </x:c>
      <x:c r="BL268" s="6" t="str">
        <x:v>True</x:v>
      </x:c>
      <x:c r="BM268" s="7" t="str">
        <x:v>2024-11-25 02:30:00-06:00</x:v>
      </x:c>
      <x:c r="BN268" s="8" t="str">
        <x:v>1</x:v>
      </x:c>
      <x:c r="BO268" s="6" t="str">
        <x:v>Immediate confirmation (1 bar)</x:v>
      </x:c>
      <x:c r="BP268" s="9" t="str">
        <x:v>0.1529863355962131</x:v>
      </x:c>
      <x:c r="BQ268" s="9" t="str">
        <x:v>1.0097098149350066</x:v>
      </x:c>
      <x:c r="BR268" s="10" t="str">
        <x:v>0.15151515151515152</x:v>
      </x:c>
      <x:c r="BS268" s="9" t="str">
        <x:v>0.7955289451003081</x:v>
      </x:c>
      <x:c r="BT268" s="9" t="str">
        <x:v>0.24477813695394096</x:v>
      </x:c>
      <x:c r="BU268" s="9" t="str">
        <x:v>0.27537540407318356</x:v>
      </x:c>
      <x:c r="BV268" s="6" t="str">
        <x:v>With trade</x:v>
      </x:c>
      <x:c r="BW268" s="7" t="str">
        <x:v>2024-11-25 02:30:00-06:00</x:v>
      </x:c>
      <x:c r="BX268" s="6" t="str">
        <x:v>19969.25</x:v>
      </x:c>
      <x:c r="BY268" s="9" t="str">
        <x:v>8.170664361157112</x:v>
      </x:c>
      <x:c r="BZ268" s="9" t="str">
        <x:v>0.88</x:v>
      </x:c>
      <x:c r="CA268" s="6" t="str">
        <x:v>19981.505996541735</x:v>
      </x:c>
      <x:c r="CB268" s="6" t="str">
        <x:v>12.25599654173493</x:v>
      </x:c>
      <x:c r="CC268" s="9" t="str">
        <x:v>1.4999999999999098</x:v>
      </x:c>
      <x:c r="CD268" s="6" t="str">
        <x:v>19944.73800691653</x:v>
      </x:c>
      <x:c r="CE268" s="6" t="str">
        <x:v>24.51199308346986</x:v>
      </x:c>
      <x:c r="CF268" s="6" t="str">
        <x:v>Fixed 2.00R target</x:v>
      </x:c>
      <x:c r="CG268" s="9" t="str">
        <x:v>0.05915471643053929</x:v>
      </x:c>
      <x:c r="CH268" s="9" t="str">
        <x:v>-1.0</x:v>
      </x:c>
      <x:c r="CI268" s="9" t="str">
        <x:v>-1.0591547164305393</x:v>
      </x:c>
      <x:c r="CJ268" s="6" t="str">
        <x:v>Loss</x:v>
      </x:c>
      <x:c r="CK268" s="9" t="str">
        <x:v>0.04079635615899262</x:v>
      </x:c>
      <x:c r="CL268" s="9" t="str">
        <x:v>1.060705260133808</x:v>
      </x:c>
      <x:c r="CM268" s="7" t="str">
        <x:v>2024-11-25 02:35:00-06:00</x:v>
      </x:c>
      <x:c r="CN268" s="6" t="str">
        <x:v>19981.505996541735</x:v>
      </x:c>
      <x:c r="CO268" s="6" t="str">
        <x:v>STOP</x:v>
      </x:c>
      <x:c r="CP268" s="6" t="str">
        <x:v>F::Short::Same-bar Setup+BOS::Tolerance-only shallow touch</x:v>
      </x:c>
    </x:row>
    <x:row r="269" ht="18" customHeight="1">
      <x:c r="A269" s="6" t="str">
        <x:v>A0268</x:v>
      </x:c>
      <x:c r="B269" s="6" t="str">
        <x:v>2024-11-26</x:v>
      </x:c>
      <x:c r="C269" s="6" t="str">
        <x:v>2024</x:v>
      </x:c>
      <x:c r="D269" s="6" t="str">
        <x:v>2024-Q4</x:v>
      </x:c>
      <x:c r="E269" s="6" t="str">
        <x:v>First 50%</x:v>
      </x:c>
      <x:c r="F269" s="6" t="str">
        <x:v>Long</x:v>
      </x:c>
      <x:c r="G269" s="6" t="str">
        <x:v>Long</x:v>
      </x:c>
      <x:c r="H269" s="6" t="str">
        <x:v>Afternoon</x:v>
      </x:c>
      <x:c r="I269" s="6" t="str">
        <x:v>Afternoon</x:v>
      </x:c>
      <x:c r="J269" s="6" t="str">
        <x:v>Bull</x:v>
      </x:c>
      <x:c r="K269" s="6" t="str">
        <x:v>Bull</x:v>
      </x:c>
      <x:c r="L269" s="6" t="str">
        <x:v>MID</x:v>
      </x:c>
      <x:c r="M269" s="7" t="str">
        <x:v>2024-11-26 14:45:00-06:00</x:v>
      </x:c>
      <x:c r="N269" s="6" t="str">
        <x:v>100.0</x:v>
      </x:c>
      <x:c r="O269" s="6" t="str">
        <x:v>95+</x:v>
      </x:c>
      <x:c r="P269" s="6" t="str">
        <x:v>Matching BOS only</x:v>
      </x:c>
      <x:c r="Q269" s="6" t="str">
        <x:v>Bull CHoCH</x:v>
      </x:c>
      <x:c r="R269" s="6" t="str">
        <x:v>True</x:v>
      </x:c>
      <x:c r="S269" s="6" t="str">
        <x:v>False</x:v>
      </x:c>
      <x:c r="T269" s="6" t="str">
        <x:v>Recent SSL</x:v>
      </x:c>
      <x:c r="U269" s="6" t="str">
        <x:v>SSL</x:v>
      </x:c>
      <x:c r="V269" s="6" t="str">
        <x:v>Swing low / sell-side</x:v>
      </x:c>
      <x:c r="W269" s="6" t="str">
        <x:v>[19945.0]</x:v>
      </x:c>
      <x:c r="X269" s="8" t="str">
        <x:v>1</x:v>
      </x:c>
      <x:c r="Y269" s="8" t="str">
        <x:v>18.0</x:v>
      </x:c>
      <x:c r="Z269" s="6" t="str">
        <x:v>None</x:v>
      </x:c>
      <x:c r="AA269" s="6" t="str">
        <x:v>20007.0</x:v>
      </x:c>
      <x:c r="AB269" s="9" t="str">
        <x:v>0.2236959984733736</x:v>
      </x:c>
      <x:c r="AC269" s="9" t="str">
        <x:v>1.118479992366868</x:v>
      </x:c>
      <x:c r="AD269" s="9" t="str">
        <x:v>1.536045856183832</x:v>
      </x:c>
      <x:c r="AE269" s="6" t="str">
        <x:v>With trade</x:v>
      </x:c>
      <x:c r="AF269" s="7" t="str">
        <x:v>2024-11-26 14:45:00-06:00</x:v>
      </x:c>
      <x:c r="AG269" s="6" t="str">
        <x:v>Long</x:v>
      </x:c>
      <x:c r="AH269" s="6" t="str">
        <x:v>20007.0</x:v>
      </x:c>
      <x:c r="AI269" s="8" t="str">
        <x:v>0</x:v>
      </x:c>
      <x:c r="AJ269" s="6" t="str">
        <x:v>True</x:v>
      </x:c>
      <x:c r="AK269" s="6" t="str">
        <x:v>Same-bar Setup+BOS</x:v>
      </x:c>
      <x:c r="AL269" s="9" t="str">
        <x:v>1.088653859237085</x:v>
      </x:c>
      <x:c r="AM269" s="9" t="str">
        <x:v>0.2236959984733736</x:v>
      </x:c>
      <x:c r="AN269" s="9" t="str">
        <x:v>1.118479992366868</x:v>
      </x:c>
      <x:c r="AO269" s="9" t="str">
        <x:v>1.536045856183832</x:v>
      </x:c>
      <x:c r="AP269" s="10" t="str">
        <x:v>0.7281553398058253</x:v>
      </x:c>
      <x:c r="AQ269" s="6" t="str">
        <x:v>0.2621359223300971</x:v>
      </x:c>
      <x:c r="AR269" s="6" t="str">
        <x:v>0.009708737864077669</x:v>
      </x:c>
      <x:c r="AS269" s="6" t="str">
        <x:v>With trade</x:v>
      </x:c>
      <x:c r="AT269" s="6" t="str">
        <x:v>1.82316165525454</x:v>
      </x:c>
      <x:c r="AU269" s="7" t="str">
        <x:v>2024-11-26 14:50:00-06:00</x:v>
      </x:c>
      <x:c r="AV269" s="8" t="str">
        <x:v>1</x:v>
      </x:c>
      <x:c r="AW269" s="6" t="str">
        <x:v>Immediate retest (1 bar)</x:v>
      </x:c>
      <x:c r="AX269" s="6" t="str">
        <x:v>20000.75</x:v>
      </x:c>
      <x:c r="AY269" s="6" t="str">
        <x:v>6.25</x:v>
      </x:c>
      <x:c r="AZ269" s="9" t="str">
        <x:v>0.35651758092085395</x:v>
      </x:c>
      <x:c r="BA269" s="9" t="str">
        <x:v>0.4420818003418589</x:v>
      </x:c>
      <x:c r="BB269" s="9" t="str">
        <x:v>1.5686773560517573</x:v>
      </x:c>
      <x:c r="BC269" s="9" t="str">
        <x:v>0.21391054855251235</x:v>
      </x:c>
      <x:c r="BD269" s="6" t="str">
        <x:v>0.4909090909090909</x:v>
      </x:c>
      <x:c r="BE269" s="6" t="str">
        <x:v>0.37272727272727274</x:v>
      </x:c>
      <x:c r="BF269" s="9" t="str">
        <x:v>0.5846888327102004</x:v>
      </x:c>
      <x:c r="BG269" s="9" t="str">
        <x:v>0.7700779747890445</x:v>
      </x:c>
      <x:c r="BH269" s="6" t="str">
        <x:v>With trade</x:v>
      </x:c>
      <x:c r="BI269" s="6" t="str">
        <x:v>Penetration + same-bar reclaim</x:v>
      </x:c>
      <x:c r="BJ269" s="6" t="str">
        <x:v>False</x:v>
      </x:c>
      <x:c r="BK269" s="10" t="str">
        <x:v>True</x:v>
      </x:c>
      <x:c r="BL269" s="6" t="str">
        <x:v>True</x:v>
      </x:c>
      <x:c r="BM269" s="7" t="str">
        <x:v>2024-11-26 14:55:00-06:00</x:v>
      </x:c>
      <x:c r="BN269" s="8" t="str">
        <x:v>1</x:v>
      </x:c>
      <x:c r="BO269" s="6" t="str">
        <x:v>Immediate confirmation (1 bar)</x:v>
      </x:c>
      <x:c r="BP269" s="9" t="str">
        <x:v>0.04193307489446347</x:v>
      </x:c>
      <x:c r="BQ269" s="9" t="str">
        <x:v>1.257992246833904</x:v>
      </x:c>
      <x:c r="BR269" s="10" t="str">
        <x:v>0.03333333333333333</x:v>
      </x:c>
      <x:c r="BS269" s="9" t="str">
        <x:v>0.46126382383909814</x:v>
      </x:c>
      <x:c r="BT269" s="9" t="str">
        <x:v>0.027955383262975645</x:v>
      </x:c>
      <x:c r="BU269" s="9" t="str">
        <x:v>0.15375460794636603</x:v>
      </x:c>
      <x:c r="BV269" s="6" t="str">
        <x:v>With trade</x:v>
      </x:c>
      <x:c r="BW269" s="7" t="str">
        <x:v>2024-11-26 14:55:00-06:00</x:v>
      </x:c>
      <x:c r="BX269" s="6" t="str">
        <x:v>20015.25</x:v>
      </x:c>
      <x:c r="BY269" s="9" t="str">
        <x:v>17.885642822225385</x:v>
      </x:c>
      <x:c r="BZ269" s="9" t="str">
        <x:v>0.4</x:v>
      </x:c>
      <x:c r="CA269" s="6" t="str">
        <x:v>19988.42153576666</x:v>
      </x:c>
      <x:c r="CB269" s="6" t="str">
        <x:v>26.82846423333831</x:v>
      </x:c>
      <x:c r="CC269" s="9" t="str">
        <x:v>1.5000000000000129</x:v>
      </x:c>
      <x:c r="CD269" s="6" t="str">
        <x:v>20068.906928466677</x:v>
      </x:c>
      <x:c r="CE269" s="6" t="str">
        <x:v>53.65692846667662</x:v>
      </x:c>
      <x:c r="CF269" s="6" t="str">
        <x:v>Fixed 2.00R target</x:v>
      </x:c>
      <x:c r="CG269" s="9" t="str">
        <x:v>0.027023537154209555</x:v>
      </x:c>
      <x:c r="CH269" s="9" t="str">
        <x:v>0.33546459915570775</x:v>
      </x:c>
      <x:c r="CI269" s="9" t="str">
        <x:v>0.3084410620014982</x:v>
      </x:c>
      <x:c r="CJ269" s="6" t="str">
        <x:v>Win</x:v>
      </x:c>
      <x:c r="CK269" s="9" t="str">
        <x:v>0.6895661204867266</x:v>
      </x:c>
      <x:c r="CL269" s="9" t="str">
        <x:v>0.055910766525950804</x:v>
      </x:c>
      <x:c r="CM269" s="7" t="str">
        <x:v>2024-11-26 15:55:00-06:00</x:v>
      </x:c>
      <x:c r="CN269" s="6" t="str">
        <x:v>20024.25</x:v>
      </x:c>
      <x:c r="CO269" s="6" t="str">
        <x:v>TIME</x:v>
      </x:c>
      <x:c r="CP269" s="6" t="str">
        <x:v>F::Long::Same-bar Setup+BOS::Penetration + same-bar reclaim</x:v>
      </x:c>
    </x:row>
    <x:row r="270" ht="18" customHeight="1">
      <x:c r="A270" s="6" t="str">
        <x:v>A0269</x:v>
      </x:c>
      <x:c r="B270" s="6" t="str">
        <x:v>2024-11-27</x:v>
      </x:c>
      <x:c r="C270" s="6" t="str">
        <x:v>2024</x:v>
      </x:c>
      <x:c r="D270" s="6" t="str">
        <x:v>2024-Q4</x:v>
      </x:c>
      <x:c r="E270" s="6" t="str">
        <x:v>First 50%</x:v>
      </x:c>
      <x:c r="F270" s="6" t="str">
        <x:v>Long</x:v>
      </x:c>
      <x:c r="G270" s="6" t="str">
        <x:v>Long</x:v>
      </x:c>
      <x:c r="H270" s="6" t="str">
        <x:v>Midday</x:v>
      </x:c>
      <x:c r="I270" s="6" t="str">
        <x:v>Midday</x:v>
      </x:c>
      <x:c r="J270" s="6" t="str">
        <x:v>Bear</x:v>
      </x:c>
      <x:c r="K270" s="6" t="str">
        <x:v>Bear</x:v>
      </x:c>
      <x:c r="L270" s="6" t="str">
        <x:v>MID</x:v>
      </x:c>
      <x:c r="M270" s="7" t="str">
        <x:v>2024-11-27 12:10:00-06:00</x:v>
      </x:c>
      <x:c r="N270" s="6" t="str">
        <x:v>100.0</x:v>
      </x:c>
      <x:c r="O270" s="6" t="str">
        <x:v>95+</x:v>
      </x:c>
      <x:c r="P270" s="6" t="str">
        <x:v>Matching BOS only</x:v>
      </x:c>
      <x:c r="Q270" s="6" t="str">
        <x:v>Bull CHoCH</x:v>
      </x:c>
      <x:c r="R270" s="6" t="str">
        <x:v>True</x:v>
      </x:c>
      <x:c r="S270" s="6" t="str">
        <x:v>False</x:v>
      </x:c>
      <x:c r="T270" s="6" t="str">
        <x:v>Recent SSL</x:v>
      </x:c>
      <x:c r="U270" s="6" t="str">
        <x:v>SSL</x:v>
      </x:c>
      <x:c r="V270" s="6" t="str">
        <x:v>Equal low / sell-side</x:v>
      </x:c>
      <x:c r="W270" s="6" t="str">
        <x:v>[19718.75]</x:v>
      </x:c>
      <x:c r="X270" s="8" t="str">
        <x:v>1</x:v>
      </x:c>
      <x:c r="Y270" s="8" t="str">
        <x:v>14.0</x:v>
      </x:c>
      <x:c r="Z270" s="6" t="str">
        <x:v>None</x:v>
      </x:c>
      <x:c r="AA270" s="6" t="str">
        <x:v>19787.5</x:v>
      </x:c>
      <x:c r="AB270" s="9" t="str">
        <x:v>0.9534476704133586</x:v>
      </x:c>
      <x:c r="AC270" s="9" t="str">
        <x:v>1.2258612905314612</x:v>
      </x:c>
      <x:c r="AD270" s="9" t="str">
        <x:v>1.3166658305708285</x:v>
      </x:c>
      <x:c r="AE270" s="6" t="str">
        <x:v>With trade</x:v>
      </x:c>
      <x:c r="AF270" s="7" t="str">
        <x:v>2024-11-27 12:10:00-06:00</x:v>
      </x:c>
      <x:c r="AG270" s="6" t="str">
        <x:v>Long</x:v>
      </x:c>
      <x:c r="AH270" s="6" t="str">
        <x:v>19787.5</x:v>
      </x:c>
      <x:c r="AI270" s="8" t="str">
        <x:v>0</x:v>
      </x:c>
      <x:c r="AJ270" s="6" t="str">
        <x:v>True</x:v>
      </x:c>
      <x:c r="AK270" s="6" t="str">
        <x:v>Same-bar Setup+BOS</x:v>
      </x:c>
      <x:c r="AL270" s="9" t="str">
        <x:v>1.2258612905314612</x:v>
      </x:c>
      <x:c r="AM270" s="9" t="str">
        <x:v>0.9534476704133586</x:v>
      </x:c>
      <x:c r="AN270" s="9" t="str">
        <x:v>1.2258612905314612</x:v>
      </x:c>
      <x:c r="AO270" s="9" t="str">
        <x:v>1.3166658305708285</x:v>
      </x:c>
      <x:c r="AP270" s="10" t="str">
        <x:v>0.9310344827586207</x:v>
      </x:c>
      <x:c r="AQ270" s="6" t="str">
        <x:v>0.034482758620689655</x:v>
      </x:c>
      <x:c r="AR270" s="6" t="str">
        <x:v>0.034482758620689655</x:v>
      </x:c>
      <x:c r="AS270" s="6" t="str">
        <x:v>With trade</x:v>
      </x:c>
      <x:c r="AT270" s="6" t="str">
        <x:v>1.357168828020846</x:v>
      </x:c>
      <x:c r="AU270" s="7" t="str">
        <x:v>2024-11-27 12:25:00-06:00</x:v>
      </x:c>
      <x:c r="AV270" s="8" t="str">
        <x:v>3</x:v>
      </x:c>
      <x:c r="AW270" s="6" t="str">
        <x:v>Delayed retest (2+ bars)</x:v>
      </x:c>
      <x:c r="AX270" s="6" t="str">
        <x:v>19787.5</x:v>
      </x:c>
      <x:c r="AY270" s="6" t="str">
        <x:v>0.0</x:v>
      </x:c>
      <x:c r="AZ270" s="9" t="str">
        <x:v>0.0</x:v>
      </x:c>
      <x:c r="BA270" s="9" t="str">
        <x:v>0.34124727760722945</x:v>
      </x:c>
      <x:c r="BB270" s="9" t="str">
        <x:v>0.87076891527362</x:v>
      </x:c>
      <x:c r="BC270" s="9" t="str">
        <x:v>0.3177129825998343</x:v>
      </x:c>
      <x:c r="BD270" s="6" t="str">
        <x:v>0.24324324324324326</x:v>
      </x:c>
      <x:c r="BE270" s="6" t="str">
        <x:v>0.3918918918918919</x:v>
      </x:c>
      <x:c r="BF270" s="9" t="str">
        <x:v>0.34124727760722945</x:v>
      </x:c>
      <x:c r="BG270" s="9" t="str">
        <x:v>0.21180865506655622</x:v>
      </x:c>
      <x:c r="BH270" s="6" t="str">
        <x:v>Against trade</x:v>
      </x:c>
      <x:c r="BI270" s="6" t="str">
        <x:v>Exact BOS touch</x:v>
      </x:c>
      <x:c r="BJ270" s="6" t="str">
        <x:v>True</x:v>
      </x:c>
      <x:c r="BK270" s="10" t="str">
        <x:v>False</x:v>
      </x:c>
      <x:c r="BL270" s="6" t="str">
        <x:v>True</x:v>
      </x:c>
      <x:c r="BM270" s="7" t="str">
        <x:v>2024-11-27 12:30:00-06:00</x:v>
      </x:c>
      <x:c r="BN270" s="8" t="str">
        <x:v>1</x:v>
      </x:c>
      <x:c r="BO270" s="6" t="str">
        <x:v>Immediate confirmation (1 bar)</x:v>
      </x:c>
      <x:c r="BP270" s="9" t="str">
        <x:v>0.7394547723783829</x:v>
      </x:c>
      <x:c r="BQ270" s="9" t="str">
        <x:v>1.0328892058618682</x:v>
      </x:c>
      <x:c r="BR270" s="10" t="str">
        <x:v>0.7159090909090909</x:v>
      </x:c>
      <x:c r="BS270" s="9" t="str">
        <x:v>1.0681013378798863</x:v>
      </x:c>
      <x:c r="BT270" s="9" t="str">
        <x:v>0.7277173950390434</x:v>
      </x:c>
      <x:c r="BU270" s="9" t="str">
        <x:v>0.18779803742943055</x:v>
      </x:c>
      <x:c r="BV270" s="6" t="str">
        <x:v>With trade</x:v>
      </x:c>
      <x:c r="BW270" s="7" t="str">
        <x:v>2024-11-27 12:30:00-06:00</x:v>
      </x:c>
      <x:c r="BX270" s="6" t="str">
        <x:v>19810.25</x:v>
      </x:c>
      <x:c r="BY270" s="9" t="str">
        <x:v>21.29947711249694</x:v>
      </x:c>
      <x:c r="BZ270" s="9" t="str">
        <x:v>0.58</x:v>
      </x:c>
      <x:c r="CA270" s="6" t="str">
        <x:v>19778.300784331255</x:v>
      </x:c>
      <x:c r="CB270" s="6" t="str">
        <x:v>31.949215668744728</x:v>
      </x:c>
      <x:c r="CC270" s="9" t="str">
        <x:v>1.4999999999999678</x:v>
      </x:c>
      <x:c r="CD270" s="6" t="str">
        <x:v>19874.14843133749</x:v>
      </x:c>
      <x:c r="CE270" s="6" t="str">
        <x:v>63.898431337489455</x:v>
      </x:c>
      <x:c r="CF270" s="6" t="str">
        <x:v>Fixed 2.00R target</x:v>
      </x:c>
      <x:c r="CG270" s="9" t="str">
        <x:v>0.022692262856056678</x:v>
      </x:c>
      <x:c r="CH270" s="9" t="str">
        <x:v>0.5242695211571603</x:v>
      </x:c>
      <x:c r="CI270" s="9" t="str">
        <x:v>0.5015772583011037</x:v>
      </x:c>
      <x:c r="CJ270" s="6" t="str">
        <x:v>Win</x:v>
      </x:c>
      <x:c r="CK270" s="9" t="str">
        <x:v>1.189387570386419</x:v>
      </x:c>
      <x:c r="CL270" s="9" t="str">
        <x:v>0.01564983645245288</x:v>
      </x:c>
      <x:c r="CM270" s="7" t="str">
        <x:v>2024-11-27 13:30:00-06:00</x:v>
      </x:c>
      <x:c r="CN270" s="6" t="str">
        <x:v>19827.0</x:v>
      </x:c>
      <x:c r="CO270" s="6" t="str">
        <x:v>TIME</x:v>
      </x:c>
      <x:c r="CP270" s="6" t="str">
        <x:v>F::Long::Same-bar Setup+BOS::Exact BOS touch</x:v>
      </x:c>
    </x:row>
    <x:row r="271" ht="18" customHeight="1">
      <x:c r="A271" s="6" t="str">
        <x:v>A0270</x:v>
      </x:c>
      <x:c r="B271" s="6" t="str">
        <x:v>2024-11-29</x:v>
      </x:c>
      <x:c r="C271" s="6" t="str">
        <x:v>2024</x:v>
      </x:c>
      <x:c r="D271" s="6" t="str">
        <x:v>2024-Q4</x:v>
      </x:c>
      <x:c r="E271" s="6" t="str">
        <x:v>First 50%</x:v>
      </x:c>
      <x:c r="F271" s="6" t="str">
        <x:v>Long</x:v>
      </x:c>
      <x:c r="G271" s="6" t="str">
        <x:v>Long</x:v>
      </x:c>
      <x:c r="H271" s="6" t="str">
        <x:v>Opening</x:v>
      </x:c>
      <x:c r="I271" s="6" t="str">
        <x:v>Opening</x:v>
      </x:c>
      <x:c r="J271" s="6" t="str">
        <x:v>Bull</x:v>
      </x:c>
      <x:c r="K271" s="6" t="str">
        <x:v>Bull</x:v>
      </x:c>
      <x:c r="L271" s="6" t="str">
        <x:v>HIGH</x:v>
      </x:c>
      <x:c r="M271" s="7" t="str">
        <x:v>2024-11-29 10:10:00-06:00</x:v>
      </x:c>
      <x:c r="N271" s="6" t="str">
        <x:v>100.0</x:v>
      </x:c>
      <x:c r="O271" s="6" t="str">
        <x:v>95+</x:v>
      </x:c>
      <x:c r="P271" s="6" t="str">
        <x:v>Matching BOS only</x:v>
      </x:c>
      <x:c r="Q271" s="6" t="str">
        <x:v>Bull BOS</x:v>
      </x:c>
      <x:c r="R271" s="6" t="str">
        <x:v>True</x:v>
      </x:c>
      <x:c r="S271" s="6" t="str">
        <x:v>False</x:v>
      </x:c>
      <x:c r="T271" s="6" t="str">
        <x:v>Recent SSL</x:v>
      </x:c>
      <x:c r="U271" s="6" t="str">
        <x:v>SSL</x:v>
      </x:c>
      <x:c r="V271" s="6" t="str">
        <x:v>Swing low / sell-side</x:v>
      </x:c>
      <x:c r="W271" s="6" t="str">
        <x:v>[19837.75]</x:v>
      </x:c>
      <x:c r="X271" s="8" t="str">
        <x:v>1</x:v>
      </x:c>
      <x:c r="Y271" s="8" t="str">
        <x:v>20.0</x:v>
      </x:c>
      <x:c r="Z271" s="6" t="str">
        <x:v>None</x:v>
      </x:c>
      <x:c r="AA271" s="6" t="str">
        <x:v>20007.25</x:v>
      </x:c>
      <x:c r="AB271" s="9" t="str">
        <x:v>0.4783078817753676</x:v>
      </x:c>
      <x:c r="AC271" s="9" t="str">
        <x:v>0.8313446516571865</x:v>
      </x:c>
      <x:c r="AD271" s="9" t="str">
        <x:v>1.2982642505331408</x:v>
      </x:c>
      <x:c r="AE271" s="6" t="str">
        <x:v>With trade</x:v>
      </x:c>
      <x:c r="AF271" s="7" t="str">
        <x:v>2024-11-29 10:10:00-06:00</x:v>
      </x:c>
      <x:c r="AG271" s="6" t="str">
        <x:v>Long</x:v>
      </x:c>
      <x:c r="AH271" s="6" t="str">
        <x:v>20007.25</x:v>
      </x:c>
      <x:c r="AI271" s="8" t="str">
        <x:v>0</x:v>
      </x:c>
      <x:c r="AJ271" s="6" t="str">
        <x:v>True</x:v>
      </x:c>
      <x:c r="AK271" s="6" t="str">
        <x:v>Same-bar Setup+BOS</x:v>
      </x:c>
      <x:c r="AL271" s="9" t="str">
        <x:v>0.819956368757773</x:v>
      </x:c>
      <x:c r="AM271" s="9" t="str">
        <x:v>0.4783078817753676</x:v>
      </x:c>
      <x:c r="AN271" s="9" t="str">
        <x:v>0.8313446516571865</x:v>
      </x:c>
      <x:c r="AO271" s="9" t="str">
        <x:v>1.2982642505331408</x:v>
      </x:c>
      <x:c r="AP271" s="10" t="str">
        <x:v>0.6403508771929824</x:v>
      </x:c>
      <x:c r="AQ271" s="6" t="str">
        <x:v>0.08771929824561403</x:v>
      </x:c>
      <x:c r="AR271" s="6" t="str">
        <x:v>0.2719298245614035</x:v>
      </x:c>
      <x:c r="AS271" s="6" t="str">
        <x:v>With trade</x:v>
      </x:c>
      <x:c r="AT271" s="6" t="str">
        <x:v>1.1204319737730208</x:v>
      </x:c>
      <x:c r="AU271" s="7" t="str">
        <x:v>2024-11-29 10:15:00-06:00</x:v>
      </x:c>
      <x:c r="AV271" s="8" t="str">
        <x:v>1</x:v>
      </x:c>
      <x:c r="AW271" s="6" t="str">
        <x:v>Immediate retest (1 bar)</x:v>
      </x:c>
      <x:c r="AX271" s="6" t="str">
        <x:v>20004.5</x:v>
      </x:c>
      <x:c r="AY271" s="6" t="str">
        <x:v>2.75</x:v>
      </x:c>
      <x:c r="AZ271" s="9" t="str">
        <x:v>0.12711261225526407</x:v>
      </x:c>
      <x:c r="BA271" s="9" t="str">
        <x:v>0.0462227680928233</x:v>
      </x:c>
      <x:c r="BB271" s="9" t="str">
        <x:v>0.8088984416244077</x:v>
      </x:c>
      <x:c r="BC271" s="9" t="str">
        <x:v>0.4506719889050272</x:v>
      </x:c>
      <x:c r="BD271" s="6" t="str">
        <x:v>0.22857142857142856</x:v>
      </x:c>
      <x:c r="BE271" s="6" t="str">
        <x:v>0.21428571428571427</x:v>
      </x:c>
      <x:c r="BF271" s="9" t="str">
        <x:v>0.17333538034808738</x:v>
      </x:c>
      <x:c r="BG271" s="9" t="str">
        <x:v>0.1848910723712932</x:v>
      </x:c>
      <x:c r="BH271" s="6" t="str">
        <x:v>Against trade</x:v>
      </x:c>
      <x:c r="BI271" s="6" t="str">
        <x:v>Penetration + same-bar reclaim</x:v>
      </x:c>
      <x:c r="BJ271" s="6" t="str">
        <x:v>False</x:v>
      </x:c>
      <x:c r="BK271" s="10" t="str">
        <x:v>True</x:v>
      </x:c>
      <x:c r="BL271" s="6" t="str">
        <x:v>True</x:v>
      </x:c>
      <x:c r="BM271" s="7" t="str">
        <x:v>2024-11-29 10:20:00-06:00</x:v>
      </x:c>
      <x:c r="BN271" s="8" t="str">
        <x:v>1</x:v>
      </x:c>
      <x:c r="BO271" s="6" t="str">
        <x:v>Immediate confirmation (1 bar)</x:v>
      </x:c>
      <x:c r="BP271" s="9" t="str">
        <x:v>0.380956684776891</x:v>
      </x:c>
      <x:c r="BQ271" s="9" t="str">
        <x:v>0.6071497163631701</x:v>
      </x:c>
      <x:c r="BR271" s="10" t="str">
        <x:v>0.6274509803921569</x:v>
      </x:c>
      <x:c r="BS271" s="9" t="str">
        <x:v>0.4404811667732802</x:v>
      </x:c>
      <x:c r="BT271" s="9" t="str">
        <x:v>0.3928615811761688</x:v>
      </x:c>
      <x:c r="BU271" s="9" t="str">
        <x:v>0.0833342747949449</x:v>
      </x:c>
      <x:c r="BV271" s="6" t="str">
        <x:v>With trade</x:v>
      </x:c>
      <x:c r="BW271" s="7" t="str">
        <x:v>2024-11-29 10:20:00-06:00</x:v>
      </x:c>
      <x:c r="BX271" s="6" t="str">
        <x:v>20016.5</x:v>
      </x:c>
      <x:c r="BY271" s="9" t="str">
        <x:v>20.999762754354176</x:v>
      </x:c>
      <x:c r="BZ271" s="9" t="str">
        <x:v>0.81</x:v>
      </x:c>
      <x:c r="CA271" s="6" t="str">
        <x:v>19985.00035586847</x:v>
      </x:c>
      <x:c r="CB271" s="6" t="str">
        <x:v>31.49964413153066</x:v>
      </x:c>
      <x:c r="CC271" s="9" t="str">
        <x:v>1.4999999999999711</x:v>
      </x:c>
      <x:c r="CD271" s="6" t="str">
        <x:v>20079.49928826306</x:v>
      </x:c>
      <x:c r="CE271" s="6" t="str">
        <x:v>62.99928826306132</x:v>
      </x:c>
      <x:c r="CF271" s="6" t="str">
        <x:v>Fixed 2.00R target</x:v>
      </x:c>
      <x:c r="CG271" s="9" t="str">
        <x:v>0.023016133038604274</x:v>
      </x:c>
      <x:c r="CH271" s="9" t="str">
        <x:v>-0.126985561592297</x:v>
      </x:c>
      <x:c r="CI271" s="9" t="str">
        <x:v>-0.1500016946309013</x:v>
      </x:c>
      <x:c r="CJ271" s="6" t="str">
        <x:v>Loss</x:v>
      </x:c>
      <x:c r="CK271" s="9" t="str">
        <x:v>0.4920690511701603</x:v>
      </x:c>
      <x:c r="CL271" s="9" t="str">
        <x:v>0.7222303815562031</x:v>
      </x:c>
      <x:c r="CM271" s="7" t="str">
        <x:v>2024-11-29 11:20:00-06:00</x:v>
      </x:c>
      <x:c r="CN271" s="6" t="str">
        <x:v>20012.5</x:v>
      </x:c>
      <x:c r="CO271" s="6" t="str">
        <x:v>TIME</x:v>
      </x:c>
      <x:c r="CP271" s="6" t="str">
        <x:v>F::Long::Same-bar Setup+BOS::Penetration + same-bar reclaim</x:v>
      </x:c>
    </x:row>
    <x:row r="272" ht="18" customHeight="1">
      <x:c r="A272" s="6" t="str">
        <x:v>A0271</x:v>
      </x:c>
      <x:c r="B272" s="6" t="str">
        <x:v>2024-12-02</x:v>
      </x:c>
      <x:c r="C272" s="6" t="str">
        <x:v>2024</x:v>
      </x:c>
      <x:c r="D272" s="6" t="str">
        <x:v>2024-Q4</x:v>
      </x:c>
      <x:c r="E272" s="6" t="str">
        <x:v>First 50%</x:v>
      </x:c>
      <x:c r="F272" s="6" t="str">
        <x:v>Short</x:v>
      </x:c>
      <x:c r="G272" s="6" t="str">
        <x:v>Short</x:v>
      </x:c>
      <x:c r="H272" s="6" t="str">
        <x:v>Overnight</x:v>
      </x:c>
      <x:c r="I272" s="6" t="str">
        <x:v>Overnight</x:v>
      </x:c>
      <x:c r="J272" s="6" t="str">
        <x:v>Bull</x:v>
      </x:c>
      <x:c r="K272" s="6" t="str">
        <x:v>Bull</x:v>
      </x:c>
      <x:c r="L272" s="6" t="str">
        <x:v>LOW</x:v>
      </x:c>
      <x:c r="M272" s="7" t="str">
        <x:v>2024-12-02 00:15:00-06:00</x:v>
      </x:c>
      <x:c r="N272" s="6" t="str">
        <x:v>90.0</x:v>
      </x:c>
      <x:c r="O272" s="6" t="str">
        <x:v>90-94</x:v>
      </x:c>
      <x:c r="P272" s="6" t="str">
        <x:v>Matching BOS only</x:v>
      </x:c>
      <x:c r="Q272" s="6" t="str">
        <x:v>Bear BOS</x:v>
      </x:c>
      <x:c r="R272" s="6" t="str">
        <x:v>True</x:v>
      </x:c>
      <x:c r="S272" s="6" t="str">
        <x:v>False</x:v>
      </x:c>
      <x:c r="T272" s="6" t="str">
        <x:v>Recent BSL</x:v>
      </x:c>
      <x:c r="U272" s="6" t="str">
        <x:v>BSL</x:v>
      </x:c>
      <x:c r="V272" s="6" t="str">
        <x:v>Swing high / buy-side</x:v>
      </x:c>
      <x:c r="W272" s="6" t="str">
        <x:v>[19990.25]</x:v>
      </x:c>
      <x:c r="X272" s="8" t="str">
        <x:v>1</x:v>
      </x:c>
      <x:c r="Y272" s="8" t="str">
        <x:v>19.0</x:v>
      </x:c>
      <x:c r="Z272" s="6" t="str">
        <x:v>None</x:v>
      </x:c>
      <x:c r="AA272" s="6" t="str">
        <x:v>19972.5</x:v>
      </x:c>
      <x:c r="AB272" s="9" t="str">
        <x:v>0.27328515231853234</x:v>
      </x:c>
      <x:c r="AC272" s="9" t="str">
        <x:v>0.7417739848645879</x:v>
      </x:c>
      <x:c r="AD272" s="9" t="str">
        <x:v>1.249303553456148</x:v>
      </x:c>
      <x:c r="AE272" s="6" t="str">
        <x:v>With trade</x:v>
      </x:c>
      <x:c r="AF272" s="7" t="str">
        <x:v>2024-12-02 00:15:00-06:00</x:v>
      </x:c>
      <x:c r="AG272" s="6" t="str">
        <x:v>Short</x:v>
      </x:c>
      <x:c r="AH272" s="6" t="str">
        <x:v>19972.5</x:v>
      </x:c>
      <x:c r="AI272" s="8" t="str">
        <x:v>0</x:v>
      </x:c>
      <x:c r="AJ272" s="6" t="str">
        <x:v>True</x:v>
      </x:c>
      <x:c r="AK272" s="6" t="str">
        <x:v>Same-bar Setup+BOS</x:v>
      </x:c>
      <x:c r="AL272" s="9" t="str">
        <x:v>0.7027332488190833</x:v>
      </x:c>
      <x:c r="AM272" s="9" t="str">
        <x:v>0.27328515231853234</x:v>
      </x:c>
      <x:c r="AN272" s="9" t="str">
        <x:v>0.7417739848645879</x:v>
      </x:c>
      <x:c r="AO272" s="9" t="str">
        <x:v>1.249303553456148</x:v>
      </x:c>
      <x:c r="AP272" s="10" t="str">
        <x:v>0.59375</x:v>
      </x:c>
      <x:c r="AQ272" s="6" t="str">
        <x:v>0.09375</x:v>
      </x:c>
      <x:c r="AR272" s="6" t="str">
        <x:v>0.3125</x:v>
      </x:c>
      <x:c r="AS272" s="6" t="str">
        <x:v>With trade</x:v>
      </x:c>
      <x:c r="AT272" s="6" t="str">
        <x:v>1.5924617196702002</x:v>
      </x:c>
      <x:c r="AU272" s="7" t="str">
        <x:v>2024-12-02 00:20:00-06:00</x:v>
      </x:c>
      <x:c r="AV272" s="8" t="str">
        <x:v>1</x:v>
      </x:c>
      <x:c r="AW272" s="6" t="str">
        <x:v>Immediate retest (1 bar)</x:v>
      </x:c>
      <x:c r="AX272" s="6" t="str">
        <x:v>19974.0</x:v>
      </x:c>
      <x:c r="AY272" s="6" t="str">
        <x:v>1.5</x:v>
      </x:c>
      <x:c r="AZ272" s="9" t="str">
        <x:v>0.2393261087604557</x:v>
      </x:c>
      <x:c r="BA272" s="9" t="str">
        <x:v>-0.03988768479340928</x:v>
      </x:c>
      <x:c r="BB272" s="9" t="str">
        <x:v>0.7179783262813672</x:v>
      </x:c>
      <x:c r="BC272" s="9" t="str">
        <x:v>0.4786522175209114</x:v>
      </x:c>
      <x:c r="BD272" s="6" t="str">
        <x:v>0.2777777777777778</x:v>
      </x:c>
      <x:c r="BE272" s="6" t="str">
        <x:v>0.05555555555555555</x:v>
      </x:c>
      <x:c r="BF272" s="9" t="str">
        <x:v>0.19943842396704642</x:v>
      </x:c>
      <x:c r="BG272" s="9" t="str">
        <x:v>0.03988768479340928</x:v>
      </x:c>
      <x:c r="BH272" s="6" t="str">
        <x:v>Against trade</x:v>
      </x:c>
      <x:c r="BI272" s="6" t="str">
        <x:v>Penetration without same-bar reclaim</x:v>
      </x:c>
      <x:c r="BJ272" s="6" t="str">
        <x:v>False</x:v>
      </x:c>
      <x:c r="BK272" s="10" t="str">
        <x:v>True</x:v>
      </x:c>
      <x:c r="BL272" s="6" t="str">
        <x:v>False</x:v>
      </x:c>
      <x:c r="BM272" s="7" t="str">
        <x:v>2024-12-02 00:25:00-06:00</x:v>
      </x:c>
      <x:c r="BN272" s="8" t="str">
        <x:v>1</x:v>
      </x:c>
      <x:c r="BO272" s="6" t="str">
        <x:v>Immediate confirmation (1 bar)</x:v>
      </x:c>
      <x:c r="BP272" s="9" t="str">
        <x:v>0.20177845766697808</x:v>
      </x:c>
      <x:c r="BQ272" s="9" t="str">
        <x:v>0.847469522201308</x:v>
      </x:c>
      <x:c r="BR272" s="10" t="str">
        <x:v>0.23809523809523808</x:v>
      </x:c>
      <x:c r="BS272" s="9" t="str">
        <x:v>0.04035569153339562</x:v>
      </x:c>
      <x:c r="BT272" s="9" t="str">
        <x:v>0.08071138306679124</x:v>
      </x:c>
      <x:c r="BU272" s="9" t="str">
        <x:v>0.524623989934143</x:v>
      </x:c>
      <x:c r="BV272" s="6" t="str">
        <x:v>With trade</x:v>
      </x:c>
      <x:c r="BW272" s="7" t="str">
        <x:v>2024-12-02 00:25:00-06:00</x:v>
      </x:c>
      <x:c r="BX272" s="6" t="str">
        <x:v>19972.25</x:v>
      </x:c>
      <x:c r="BY272" s="9" t="str">
        <x:v>6.194913046976708</x:v>
      </x:c>
      <x:c r="BZ272" s="9" t="str">
        <x:v>0.01</x:v>
      </x:c>
      <x:c r="CA272" s="6" t="str">
        <x:v>19981.542369570467</x:v>
      </x:c>
      <x:c r="CB272" s="6" t="str">
        <x:v>9.29236957046669</x:v>
      </x:c>
      <x:c r="CC272" s="9" t="str">
        <x:v>1.5000000000002627</x:v>
      </x:c>
      <x:c r="CD272" s="6" t="str">
        <x:v>19953.66526085907</x:v>
      </x:c>
      <x:c r="CE272" s="6" t="str">
        <x:v>18.58473914092974</x:v>
      </x:c>
      <x:c r="CF272" s="6" t="str">
        <x:v>Fixed 2.00R target</x:v>
      </x:c>
      <x:c r="CG272" s="9" t="str">
        <x:v>0.07802100363121786</x:v>
      </x:c>
      <x:c r="CH272" s="9" t="str">
        <x:v>-1.0</x:v>
      </x:c>
      <x:c r="CI272" s="9" t="str">
        <x:v>-1.0780210036312179</x:v>
      </x:c>
      <x:c r="CJ272" s="6" t="str">
        <x:v>Loss</x:v>
      </x:c>
      <x:c r="CK272" s="9" t="str">
        <x:v>0.7264024476009939</x:v>
      </x:c>
      <x:c r="CL272" s="9" t="str">
        <x:v>1.2644783347128412</x:v>
      </x:c>
      <x:c r="CM272" s="7" t="str">
        <x:v>2024-12-02 01:00:00-06:00</x:v>
      </x:c>
      <x:c r="CN272" s="6" t="str">
        <x:v>19981.542369570467</x:v>
      </x:c>
      <x:c r="CO272" s="6" t="str">
        <x:v>STOP</x:v>
      </x:c>
      <x:c r="CP272" s="6" t="str">
        <x:v>F::Short::Same-bar Setup+BOS::Penetration without same-bar reclaim</x:v>
      </x:c>
    </x:row>
    <x:row r="273" ht="18" customHeight="1">
      <x:c r="A273" s="6" t="str">
        <x:v>A0272</x:v>
      </x:c>
      <x:c r="B273" s="6" t="str">
        <x:v>2024-12-05</x:v>
      </x:c>
      <x:c r="C273" s="6" t="str">
        <x:v>2024</x:v>
      </x:c>
      <x:c r="D273" s="6" t="str">
        <x:v>2024-Q4</x:v>
      </x:c>
      <x:c r="E273" s="6" t="str">
        <x:v>First 50%</x:v>
      </x:c>
      <x:c r="F273" s="6" t="str">
        <x:v>Short</x:v>
      </x:c>
      <x:c r="G273" s="6" t="str">
        <x:v>Short</x:v>
      </x:c>
      <x:c r="H273" s="6" t="str">
        <x:v>Overnight</x:v>
      </x:c>
      <x:c r="I273" s="6" t="str">
        <x:v>Overnight</x:v>
      </x:c>
      <x:c r="J273" s="6" t="str">
        <x:v>Bull</x:v>
      </x:c>
      <x:c r="K273" s="6" t="str">
        <x:v>Bull</x:v>
      </x:c>
      <x:c r="L273" s="6" t="str">
        <x:v>MID</x:v>
      </x:c>
      <x:c r="M273" s="7" t="str">
        <x:v>2024-12-05 00:50:00-06:00</x:v>
      </x:c>
      <x:c r="N273" s="6" t="str">
        <x:v>75.0</x:v>
      </x:c>
      <x:c r="O273" s="6" t="str">
        <x:v>75-79</x:v>
      </x:c>
      <x:c r="P273" s="6" t="str">
        <x:v>Matching BOS only</x:v>
      </x:c>
      <x:c r="Q273" s="6" t="str">
        <x:v>Bear BOS</x:v>
      </x:c>
      <x:c r="R273" s="6" t="str">
        <x:v>True</x:v>
      </x:c>
      <x:c r="S273" s="6" t="str">
        <x:v>False</x:v>
      </x:c>
      <x:c r="T273" s="6" t="str">
        <x:v>Recent BSL</x:v>
      </x:c>
      <x:c r="U273" s="6" t="str">
        <x:v>BSL</x:v>
      </x:c>
      <x:c r="V273" s="6" t="str">
        <x:v>Swing high / buy-side</x:v>
      </x:c>
      <x:c r="W273" s="6" t="str">
        <x:v>[20543.0,20541.25]</x:v>
      </x:c>
      <x:c r="X273" s="8" t="str">
        <x:v>2</x:v>
      </x:c>
      <x:c r="Y273" s="8" t="str">
        <x:v>10.0</x:v>
      </x:c>
      <x:c r="Z273" s="6" t="str">
        <x:v>None</x:v>
      </x:c>
      <x:c r="AA273" s="6" t="str">
        <x:v>20531.0</x:v>
      </x:c>
      <x:c r="AB273" s="9" t="str">
        <x:v>0.28591985444616635</x:v>
      </x:c>
      <x:c r="AC273" s="9" t="str">
        <x:v>0.45747176711386617</x:v>
      </x:c>
      <x:c r="AD273" s="9" t="str">
        <x:v>0.857759563338499</x:v>
      </x:c>
      <x:c r="AE273" s="6" t="str">
        <x:v>With trade</x:v>
      </x:c>
      <x:c r="AF273" s="7" t="str">
        <x:v>2024-12-05 00:50:00-06:00</x:v>
      </x:c>
      <x:c r="AG273" s="6" t="str">
        <x:v>Short</x:v>
      </x:c>
      <x:c r="AH273" s="6" t="str">
        <x:v>20531.0</x:v>
      </x:c>
      <x:c r="AI273" s="8" t="str">
        <x:v>0</x:v>
      </x:c>
      <x:c r="AJ273" s="6" t="str">
        <x:v>True</x:v>
      </x:c>
      <x:c r="AK273" s="6" t="str">
        <x:v>Same-bar Setup+BOS</x:v>
      </x:c>
      <x:c r="AL273" s="9" t="str">
        <x:v>0.4002877962246329</x:v>
      </x:c>
      <x:c r="AM273" s="9" t="str">
        <x:v>0.28591985444616635</x:v>
      </x:c>
      <x:c r="AN273" s="9" t="str">
        <x:v>0.45747176711386617</x:v>
      </x:c>
      <x:c r="AO273" s="9" t="str">
        <x:v>0.857759563338499</x:v>
      </x:c>
      <x:c r="AP273" s="10" t="str">
        <x:v>0.5333333333333333</x:v>
      </x:c>
      <x:c r="AQ273" s="6" t="str">
        <x:v>0.0</x:v>
      </x:c>
      <x:c r="AR273" s="6" t="str">
        <x:v>0.4666666666666667</x:v>
      </x:c>
      <x:c r="AS273" s="6" t="str">
        <x:v>With trade</x:v>
      </x:c>
      <x:c r="AT273" s="6" t="str">
        <x:v>1.0773298083278253</x:v>
      </x:c>
      <x:c r="AU273" s="7" t="str">
        <x:v>2024-12-05 00:55:00-06:00</x:v>
      </x:c>
      <x:c r="AV273" s="8" t="str">
        <x:v>1</x:v>
      </x:c>
      <x:c r="AW273" s="6" t="str">
        <x:v>Immediate retest (1 bar)</x:v>
      </x:c>
      <x:c r="AX273" s="6" t="str">
        <x:v>20531.0</x:v>
      </x:c>
      <x:c r="AY273" s="6" t="str">
        <x:v>0.0</x:v>
      </x:c>
      <x:c r="AZ273" s="9" t="str">
        <x:v>0.0</x:v>
      </x:c>
      <x:c r="BA273" s="9" t="str">
        <x:v>0.40946544800306256</x:v>
      </x:c>
      <x:c r="BB273" s="9" t="str">
        <x:v>0.7019407680052501</x:v>
      </x:c>
      <x:c r="BC273" s="9" t="str">
        <x:v>0.11699012800087501</x:v>
      </x:c>
      <x:c r="BD273" s="6" t="str">
        <x:v>0.4166666666666667</x:v>
      </x:c>
      <x:c r="BE273" s="6" t="str">
        <x:v>0.4166666666666667</x:v>
      </x:c>
      <x:c r="BF273" s="9" t="str">
        <x:v>0.2924753200021875</x:v>
      </x:c>
      <x:c r="BG273" s="9" t="str">
        <x:v>0.2924753200021875</x:v>
      </x:c>
      <x:c r="BH273" s="6" t="str">
        <x:v>With trade</x:v>
      </x:c>
      <x:c r="BI273" s="6" t="str">
        <x:v>Exact BOS touch</x:v>
      </x:c>
      <x:c r="BJ273" s="6" t="str">
        <x:v>True</x:v>
      </x:c>
      <x:c r="BK273" s="10" t="str">
        <x:v>False</x:v>
      </x:c>
      <x:c r="BL273" s="6" t="str">
        <x:v>True</x:v>
      </x:c>
      <x:c r="BM273" s="7" t="str">
        <x:v>2024-12-05 01:00:00-06:00</x:v>
      </x:c>
      <x:c r="BN273" s="8" t="str">
        <x:v>1</x:v>
      </x:c>
      <x:c r="BO273" s="6" t="str">
        <x:v>Immediate confirmation (1 bar)</x:v>
      </x:c>
      <x:c r="BP273" s="9" t="str">
        <x:v>0.93611976157071</x:v>
      </x:c>
      <x:c r="BQ273" s="9" t="str">
        <x:v>1.7621077864860424</x:v>
      </x:c>
      <x:c r="BR273" s="10" t="str">
        <x:v>0.53125</x:v>
      </x:c>
      <x:c r="BS273" s="9" t="str">
        <x:v>1.3766467081922207</x:v>
      </x:c>
      <x:c r="BT273" s="9" t="str">
        <x:v>0.9911856298983989</x:v>
      </x:c>
      <x:c r="BU273" s="9" t="str">
        <x:v>0.16519760498306646</x:v>
      </x:c>
      <x:c r="BV273" s="6" t="str">
        <x:v>With trade</x:v>
      </x:c>
      <x:c r="BW273" s="7" t="str">
        <x:v>2024-12-05 01:00:00-06:00</x:v>
      </x:c>
      <x:c r="BX273" s="6" t="str">
        <x:v>20524.75</x:v>
      </x:c>
      <x:c r="BY273" s="9" t="str">
        <x:v>4.540017393574674</x:v>
      </x:c>
      <x:c r="BZ273" s="9" t="str">
        <x:v>0.38</x:v>
      </x:c>
      <x:c r="CA273" s="6" t="str">
        <x:v>20531.560026090363</x:v>
      </x:c>
      <x:c r="CB273" s="6" t="str">
        <x:v>6.810026090362953</x:v>
      </x:c>
      <x:c r="CC273" s="9" t="str">
        <x:v>1.5000000000002076</x:v>
      </x:c>
      <x:c r="CD273" s="6" t="str">
        <x:v>20511.129947819278</x:v>
      </x:c>
      <x:c r="CE273" s="6" t="str">
        <x:v>13.620052180722269</x:v>
      </x:c>
      <x:c r="CF273" s="6" t="str">
        <x:v>Fixed 2.00R target</x:v>
      </x:c>
      <x:c r="CG273" s="9" t="str">
        <x:v>0.10646067876685032</x:v>
      </x:c>
      <x:c r="CH273" s="9" t="str">
        <x:v>-0.11013173665537765</x:v>
      </x:c>
      <x:c r="CI273" s="9" t="str">
        <x:v>-0.21659241542222796</x:v>
      </x:c>
      <x:c r="CJ273" s="6" t="str">
        <x:v>Loss</x:v>
      </x:c>
      <x:c r="CK273" s="9" t="str">
        <x:v>1.505133734289953</x:v>
      </x:c>
      <x:c r="CL273" s="9" t="str">
        <x:v>0.8443433143577784</x:v>
      </x:c>
      <x:c r="CM273" s="7" t="str">
        <x:v>2024-12-05 02:00:00-06:00</x:v>
      </x:c>
      <x:c r="CN273" s="6" t="str">
        <x:v>20525.5</x:v>
      </x:c>
      <x:c r="CO273" s="6" t="str">
        <x:v>TIME</x:v>
      </x:c>
      <x:c r="CP273" s="6" t="str">
        <x:v>F::Short::Same-bar Setup+BOS::Exact BOS touch</x:v>
      </x:c>
    </x:row>
    <x:row r="274" ht="18" customHeight="1">
      <x:c r="A274" s="6" t="str">
        <x:v>A0273</x:v>
      </x:c>
      <x:c r="B274" s="6" t="str">
        <x:v>2024-12-05</x:v>
      </x:c>
      <x:c r="C274" s="6" t="str">
        <x:v>2024</x:v>
      </x:c>
      <x:c r="D274" s="6" t="str">
        <x:v>2024-Q4</x:v>
      </x:c>
      <x:c r="E274" s="6" t="str">
        <x:v>First 50%</x:v>
      </x:c>
      <x:c r="F274" s="6" t="str">
        <x:v>Long</x:v>
      </x:c>
      <x:c r="G274" s="6" t="str">
        <x:v>Long</x:v>
      </x:c>
      <x:c r="H274" s="6" t="str">
        <x:v>Morning</x:v>
      </x:c>
      <x:c r="I274" s="6" t="str">
        <x:v>Morning</x:v>
      </x:c>
      <x:c r="J274" s="6" t="str">
        <x:v>Bull</x:v>
      </x:c>
      <x:c r="K274" s="6" t="str">
        <x:v>Bull</x:v>
      </x:c>
      <x:c r="L274" s="6" t="str">
        <x:v>HIGH</x:v>
      </x:c>
      <x:c r="M274" s="7" t="str">
        <x:v>2024-12-05 11:05:00-06:00</x:v>
      </x:c>
      <x:c r="N274" s="6" t="str">
        <x:v>100.0</x:v>
      </x:c>
      <x:c r="O274" s="6" t="str">
        <x:v>95+</x:v>
      </x:c>
      <x:c r="P274" s="6" t="str">
        <x:v>Matching BOS only</x:v>
      </x:c>
      <x:c r="Q274" s="6" t="str">
        <x:v>Bull BOS</x:v>
      </x:c>
      <x:c r="R274" s="6" t="str">
        <x:v>True</x:v>
      </x:c>
      <x:c r="S274" s="6" t="str">
        <x:v>False</x:v>
      </x:c>
      <x:c r="T274" s="6" t="str">
        <x:v>Recent SSL</x:v>
      </x:c>
      <x:c r="U274" s="6" t="str">
        <x:v>SSL</x:v>
      </x:c>
      <x:c r="V274" s="6" t="str">
        <x:v>Equal low / sell-side | Swing low / sell-side</x:v>
      </x:c>
      <x:c r="W274" s="6" t="str">
        <x:v>[20514.5,20515.25,20523.25]</x:v>
      </x:c>
      <x:c r="X274" s="8" t="str">
        <x:v>3</x:v>
      </x:c>
      <x:c r="Y274" s="8" t="str">
        <x:v>15.0</x:v>
      </x:c>
      <x:c r="Z274" s="6" t="str">
        <x:v>None</x:v>
      </x:c>
      <x:c r="AA274" s="6" t="str">
        <x:v>20565.25</x:v>
      </x:c>
      <x:c r="AB274" s="9" t="str">
        <x:v>0.10308612528580377</x:v>
      </x:c>
      <x:c r="AC274" s="9" t="str">
        <x:v>0.6185167517148227</x:v>
      </x:c>
      <x:c r="AD274" s="9" t="str">
        <x:v>0.9621371693341686</x:v>
      </x:c>
      <x:c r="AE274" s="6" t="str">
        <x:v>With trade</x:v>
      </x:c>
      <x:c r="AF274" s="7" t="str">
        <x:v>2024-12-05 11:05:00-06:00</x:v>
      </x:c>
      <x:c r="AG274" s="6" t="str">
        <x:v>Long</x:v>
      </x:c>
      <x:c r="AH274" s="6" t="str">
        <x:v>20565.25</x:v>
      </x:c>
      <x:c r="AI274" s="8" t="str">
        <x:v>0</x:v>
      </x:c>
      <x:c r="AJ274" s="6" t="str">
        <x:v>True</x:v>
      </x:c>
      <x:c r="AK274" s="6" t="str">
        <x:v>Same-bar Setup+BOS</x:v>
      </x:c>
      <x:c r="AL274" s="9" t="str">
        <x:v>0.6185167517148227</x:v>
      </x:c>
      <x:c r="AM274" s="9" t="str">
        <x:v>0.10308612528580377</x:v>
      </x:c>
      <x:c r="AN274" s="9" t="str">
        <x:v>0.6185167517148227</x:v>
      </x:c>
      <x:c r="AO274" s="9" t="str">
        <x:v>0.9621371693341686</x:v>
      </x:c>
      <x:c r="AP274" s="10" t="str">
        <x:v>0.6428571428571429</x:v>
      </x:c>
      <x:c r="AQ274" s="6" t="str">
        <x:v>0.08928571428571429</x:v>
      </x:c>
      <x:c r="AR274" s="6" t="str">
        <x:v>0.26785714285714285</x:v>
      </x:c>
      <x:c r="AS274" s="6" t="str">
        <x:v>With trade</x:v>
      </x:c>
      <x:c r="AT274" s="6" t="str">
        <x:v>0.8271406351780706</x:v>
      </x:c>
      <x:c r="AU274" s="7" t="str">
        <x:v>2024-12-05 11:10:00-06:00</x:v>
      </x:c>
      <x:c r="AV274" s="8" t="str">
        <x:v>1</x:v>
      </x:c>
      <x:c r="AW274" s="6" t="str">
        <x:v>Immediate retest (1 bar)</x:v>
      </x:c>
      <x:c r="AX274" s="6" t="str">
        <x:v>20564.75</x:v>
      </x:c>
      <x:c r="AY274" s="6" t="str">
        <x:v>0.5</x:v>
      </x:c>
      <x:c r="AZ274" s="9" t="str">
        <x:v>0.033189163244738584</x:v>
      </x:c>
      <x:c r="BA274" s="9" t="str">
        <x:v>1.3109719481671742</x:v>
      </x:c>
      <x:c r="BB274" s="9" t="str">
        <x:v>1.4437286011461286</x:v>
      </x:c>
      <x:c r="BC274" s="9" t="str">
        <x:v>1.1782152951882199</x:v>
      </x:c>
      <x:c r="BD274" s="6" t="str">
        <x:v>0.06896551724137931</x:v>
      </x:c>
      <x:c r="BE274" s="6" t="str">
        <x:v>0.11494252873563218</x:v>
      </x:c>
      <x:c r="BF274" s="9" t="str">
        <x:v>0.16594581622369292</x:v>
      </x:c>
      <x:c r="BG274" s="9" t="str">
        <x:v>0.09956748973421575</x:v>
      </x:c>
      <x:c r="BH274" s="6" t="str">
        <x:v>With trade</x:v>
      </x:c>
      <x:c r="BI274" s="6" t="str">
        <x:v>Penetration + same-bar reclaim</x:v>
      </x:c>
      <x:c r="BJ274" s="6" t="str">
        <x:v>False</x:v>
      </x:c>
      <x:c r="BK274" s="10" t="str">
        <x:v>True</x:v>
      </x:c>
      <x:c r="BL274" s="6" t="str">
        <x:v>True</x:v>
      </x:c>
      <x:c r="BM274" s="7" t="str">
        <x:v>2024-12-05 11:15:00-06:00</x:v>
      </x:c>
      <x:c r="BN274" s="8" t="str">
        <x:v>1</x:v>
      </x:c>
      <x:c r="BO274" s="6" t="str">
        <x:v>Immediate confirmation (1 bar)</x:v>
      </x:c>
      <x:c r="BP274" s="9" t="str">
        <x:v>0.1832486387498673</x:v>
      </x:c>
      <x:c r="BQ274" s="9" t="str">
        <x:v>0.9495611280674942</x:v>
      </x:c>
      <x:c r="BR274" s="10" t="str">
        <x:v>0.19298245614035087</x:v>
      </x:c>
      <x:c r="BS274" s="9" t="str">
        <x:v>1.5159660114761748</x:v>
      </x:c>
      <x:c r="BT274" s="9" t="str">
        <x:v>0.19990760590894613</x:v>
      </x:c>
      <x:c r="BU274" s="9" t="str">
        <x:v>0.6663586863631538</x:v>
      </x:c>
      <x:c r="BV274" s="6" t="str">
        <x:v>With trade</x:v>
      </x:c>
      <x:c r="BW274" s="7" t="str">
        <x:v>2024-12-05 11:15:00-06:00</x:v>
      </x:c>
      <x:c r="BX274" s="6" t="str">
        <x:v>20588.0</x:v>
      </x:c>
      <x:c r="BY274" s="9" t="str">
        <x:v>15.00693275955913</x:v>
      </x:c>
      <x:c r="BZ274" s="9" t="str">
        <x:v>0.78</x:v>
      </x:c>
      <x:c r="CA274" s="6" t="str">
        <x:v>20565.489600860663</x:v>
      </x:c>
      <x:c r="CB274" s="6" t="str">
        <x:v>22.510399139337096</x:v>
      </x:c>
      <x:c r="CC274" s="9" t="str">
        <x:v>1.4999999999998934</x:v>
      </x:c>
      <x:c r="CD274" s="6" t="str">
        <x:v>20633.020798278678</x:v>
      </x:c>
      <x:c r="CE274" s="6" t="str">
        <x:v>45.02079827867783</x:v>
      </x:c>
      <x:c r="CF274" s="6" t="str">
        <x:v>Fixed 2.00R target</x:v>
      </x:c>
      <x:c r="CG274" s="9" t="str">
        <x:v>0.03220733650755472</x:v>
      </x:c>
      <x:c r="CH274" s="9" t="str">
        <x:v>-1.0</x:v>
      </x:c>
      <x:c r="CI274" s="9" t="str">
        <x:v>-1.0322073365075548</x:v>
      </x:c>
      <x:c r="CJ274" s="6" t="str">
        <x:v>Loss</x:v>
      </x:c>
      <x:c r="CK274" s="9" t="str">
        <x:v>0.2110135840150137</x:v>
      </x:c>
      <x:c r="CL274" s="9" t="str">
        <x:v>1.7436385626503763</x:v>
      </x:c>
      <x:c r="CM274" s="7" t="str">
        <x:v>2024-12-05 12:15:00-06:00</x:v>
      </x:c>
      <x:c r="CN274" s="6" t="str">
        <x:v>20565.489600860663</x:v>
      </x:c>
      <x:c r="CO274" s="6" t="str">
        <x:v>STOP</x:v>
      </x:c>
      <x:c r="CP274" s="6" t="str">
        <x:v>F::Long::Same-bar Setup+BOS::Penetration + same-bar reclaim</x:v>
      </x:c>
    </x:row>
    <x:row r="275" ht="18" customHeight="1">
      <x:c r="A275" s="6" t="str">
        <x:v>A0274</x:v>
      </x:c>
      <x:c r="B275" s="6" t="str">
        <x:v>2024-12-06</x:v>
      </x:c>
      <x:c r="C275" s="6" t="str">
        <x:v>2024</x:v>
      </x:c>
      <x:c r="D275" s="6" t="str">
        <x:v>2024-Q4</x:v>
      </x:c>
      <x:c r="E275" s="6" t="str">
        <x:v>First 50%</x:v>
      </x:c>
      <x:c r="F275" s="6" t="str">
        <x:v>Long</x:v>
      </x:c>
      <x:c r="G275" s="6" t="str">
        <x:v>Long</x:v>
      </x:c>
      <x:c r="H275" s="6" t="str">
        <x:v>Premarket</x:v>
      </x:c>
      <x:c r="I275" s="6" t="str">
        <x:v>Premarket</x:v>
      </x:c>
      <x:c r="J275" s="6" t="str">
        <x:v>Bull</x:v>
      </x:c>
      <x:c r="K275" s="6" t="str">
        <x:v>Bull</x:v>
      </x:c>
      <x:c r="L275" s="6" t="str">
        <x:v>HIGH</x:v>
      </x:c>
      <x:c r="M275" s="7" t="str">
        <x:v>2024-12-06 08:35:00-06:00</x:v>
      </x:c>
      <x:c r="N275" s="6" t="str">
        <x:v>75.0</x:v>
      </x:c>
      <x:c r="O275" s="6" t="str">
        <x:v>75-79</x:v>
      </x:c>
      <x:c r="P275" s="6" t="str">
        <x:v>Matching BOS only</x:v>
      </x:c>
      <x:c r="Q275" s="6" t="str">
        <x:v>Bull BOS</x:v>
      </x:c>
      <x:c r="R275" s="6" t="str">
        <x:v>True</x:v>
      </x:c>
      <x:c r="S275" s="6" t="str">
        <x:v>False</x:v>
      </x:c>
      <x:c r="T275" s="6" t="str">
        <x:v>Recent SSL</x:v>
      </x:c>
      <x:c r="U275" s="6" t="str">
        <x:v>SSL</x:v>
      </x:c>
      <x:c r="V275" s="6" t="str">
        <x:v>Swing low / sell-side</x:v>
      </x:c>
      <x:c r="W275" s="6" t="str">
        <x:v>[20467.75,20469.75]</x:v>
      </x:c>
      <x:c r="X275" s="8" t="str">
        <x:v>2</x:v>
      </x:c>
      <x:c r="Y275" s="8" t="str">
        <x:v>13.0</x:v>
      </x:c>
      <x:c r="Z275" s="6" t="str">
        <x:v>None</x:v>
      </x:c>
      <x:c r="AA275" s="6" t="str">
        <x:v>20555.25</x:v>
      </x:c>
      <x:c r="AB275" s="9" t="str">
        <x:v>0.18446519374871298</x:v>
      </x:c>
      <x:c r="AC275" s="9" t="str">
        <x:v>0.6456281781204953</x:v>
      </x:c>
      <x:c r="AD275" s="9" t="str">
        <x:v>1.2780802709732255</x:v>
      </x:c>
      <x:c r="AE275" s="6" t="str">
        <x:v>With trade</x:v>
      </x:c>
      <x:c r="AF275" s="7" t="str">
        <x:v>2024-12-06 08:35:00-06:00</x:v>
      </x:c>
      <x:c r="AG275" s="6" t="str">
        <x:v>Long</x:v>
      </x:c>
      <x:c r="AH275" s="6" t="str">
        <x:v>20555.25</x:v>
      </x:c>
      <x:c r="AI275" s="8" t="str">
        <x:v>0</x:v>
      </x:c>
      <x:c r="AJ275" s="6" t="str">
        <x:v>True</x:v>
      </x:c>
      <x:c r="AK275" s="6" t="str">
        <x:v>Same-bar Setup+BOS</x:v>
      </x:c>
      <x:c r="AL275" s="9" t="str">
        <x:v>0.6588042633882606</x:v>
      </x:c>
      <x:c r="AM275" s="9" t="str">
        <x:v>0.18446519374871298</x:v>
      </x:c>
      <x:c r="AN275" s="9" t="str">
        <x:v>0.6456281781204953</x:v>
      </x:c>
      <x:c r="AO275" s="9" t="str">
        <x:v>1.2780802709732255</x:v>
      </x:c>
      <x:c r="AP275" s="10" t="str">
        <x:v>0.5051546391752577</x:v>
      </x:c>
      <x:c r="AQ275" s="6" t="str">
        <x:v>0.27835051546391754</x:v>
      </x:c>
      <x:c r="AR275" s="6" t="str">
        <x:v>0.21649484536082475</x:v>
      </x:c>
      <x:c r="AS275" s="6" t="str">
        <x:v>With trade</x:v>
      </x:c>
      <x:c r="AT275" s="6" t="str">
        <x:v>3.4226854790817685</x:v>
      </x:c>
      <x:c r="AU275" s="7" t="str">
        <x:v>2024-12-06 08:40:00-06:00</x:v>
      </x:c>
      <x:c r="AV275" s="8" t="str">
        <x:v>1</x:v>
      </x:c>
      <x:c r="AW275" s="6" t="str">
        <x:v>Immediate retest (1 bar)</x:v>
      </x:c>
      <x:c r="AX275" s="6" t="str">
        <x:v>20547.75</x:v>
      </x:c>
      <x:c r="AY275" s="6" t="str">
        <x:v>7.5</x:v>
      </x:c>
      <x:c r="AZ275" s="9" t="str">
        <x:v>0.3764668779383763</x:v>
      </x:c>
      <x:c r="BA275" s="9" t="str">
        <x:v>1.079205050090012</x:v>
      </x:c>
      <x:c r="BB275" s="9" t="str">
        <x:v>1.6188075751350182</x:v>
      </x:c>
      <x:c r="BC275" s="9" t="str">
        <x:v>0.8784227151895447</x:v>
      </x:c>
      <x:c r="BD275" s="6" t="str">
        <x:v>0.10077519379844961</x:v>
      </x:c>
      <x:c r="BE275" s="6" t="str">
        <x:v>0.35658914728682173</x:v>
      </x:c>
      <x:c r="BF275" s="9" t="str">
        <x:v>0.5772492128388437</x:v>
      </x:c>
      <x:c r="BG275" s="9" t="str">
        <x:v>0.16313564710662973</x:v>
      </x:c>
      <x:c r="BH275" s="6" t="str">
        <x:v>With trade</x:v>
      </x:c>
      <x:c r="BI275" s="6" t="str">
        <x:v>Penetration + same-bar reclaim</x:v>
      </x:c>
      <x:c r="BJ275" s="6" t="str">
        <x:v>False</x:v>
      </x:c>
      <x:c r="BK275" s="10" t="str">
        <x:v>True</x:v>
      </x:c>
      <x:c r="BL275" s="6" t="str">
        <x:v>True</x:v>
      </x:c>
      <x:c r="BM275" s="7" t="str">
        <x:v>2024-12-06 08:45:00-06:00</x:v>
      </x:c>
      <x:c r="BN275" s="8" t="str">
        <x:v>1</x:v>
      </x:c>
      <x:c r="BO275" s="6" t="str">
        <x:v>Immediate confirmation (1 bar)</x:v>
      </x:c>
      <x:c r="BP275" s="9" t="str">
        <x:v>1.831109463165706</x:v>
      </x:c>
      <x:c r="BQ275" s="9" t="str">
        <x:v>2.2178033870640537</x:v>
      </x:c>
      <x:c r="BR275" s="10" t="str">
        <x:v>0.8256410256410256</x:v>
      </x:c>
      <x:c r="BS275" s="9" t="str">
        <x:v>2.8205909743173607</x:v>
      </x:c>
      <x:c r="BT275" s="9" t="str">
        <x:v>1.8424828138685987</x:v>
      </x:c>
      <x:c r="BU275" s="9" t="str">
        <x:v>0.17060026054338875</x:v>
      </x:c>
      <x:c r="BV275" s="6" t="str">
        <x:v>With trade</x:v>
      </x:c>
      <x:c r="BW275" s="7" t="str">
        <x:v>2024-12-06 08:45:00-06:00</x:v>
      </x:c>
      <x:c r="BX275" s="6" t="str">
        <x:v>20617.25</x:v>
      </x:c>
      <x:c r="BY275" s="9" t="str">
        <x:v>21.98120910282117</x:v>
      </x:c>
      <x:c r="BZ275" s="9" t="str">
        <x:v>1.0</x:v>
      </x:c>
      <x:c r="CA275" s="6" t="str">
        <x:v>20584.278186345768</x:v>
      </x:c>
      <x:c r="CB275" s="6" t="str">
        <x:v>32.97181365423239</x:v>
      </x:c>
      <x:c r="CC275" s="9" t="str">
        <x:v>1.500000000000029</x:v>
      </x:c>
      <x:c r="CD275" s="6" t="str">
        <x:v>20683.193627308465</x:v>
      </x:c>
      <x:c r="CE275" s="6" t="str">
        <x:v>65.94362730846478</x:v>
      </x:c>
      <x:c r="CF275" s="6" t="str">
        <x:v>Fixed 2.00R target</x:v>
      </x:c>
      <x:c r="CG275" s="9" t="str">
        <x:v>0.021988478025591902</x:v>
      </x:c>
      <x:c r="CH275" s="9" t="str">
        <x:v>0.9553614590429771</x:v>
      </x:c>
      <x:c r="CI275" s="9" t="str">
        <x:v>0.9333729810173852</x:v>
      </x:c>
      <x:c r="CJ275" s="6" t="str">
        <x:v>Win</x:v>
      </x:c>
      <x:c r="CK275" s="9" t="str">
        <x:v>1.6225980336126438</x:v>
      </x:c>
      <x:c r="CL275" s="9" t="str">
        <x:v>0.29570711827520146</x:v>
      </x:c>
      <x:c r="CM275" s="7" t="str">
        <x:v>2024-12-06 09:45:00-06:00</x:v>
      </x:c>
      <x:c r="CN275" s="6" t="str">
        <x:v>20648.75</x:v>
      </x:c>
      <x:c r="CO275" s="6" t="str">
        <x:v>TIME</x:v>
      </x:c>
      <x:c r="CP275" s="6" t="str">
        <x:v>F::Long::Same-bar Setup+BOS::Penetration + same-bar reclaim</x:v>
      </x:c>
    </x:row>
    <x:row r="276" ht="18" customHeight="1">
      <x:c r="A276" s="6" t="str">
        <x:v>A0275</x:v>
      </x:c>
      <x:c r="B276" s="6" t="str">
        <x:v>2024-12-08</x:v>
      </x:c>
      <x:c r="C276" s="6" t="str">
        <x:v>2024</x:v>
      </x:c>
      <x:c r="D276" s="6" t="str">
        <x:v>2024-Q4</x:v>
      </x:c>
      <x:c r="E276" s="6" t="str">
        <x:v>First 50%</x:v>
      </x:c>
      <x:c r="F276" s="6" t="str">
        <x:v>Short</x:v>
      </x:c>
      <x:c r="G276" s="6" t="str">
        <x:v>Short</x:v>
      </x:c>
      <x:c r="H276" s="6" t="str">
        <x:v>Overnight</x:v>
      </x:c>
      <x:c r="I276" s="6" t="str">
        <x:v>Overnight</x:v>
      </x:c>
      <x:c r="J276" s="6" t="str">
        <x:v>Bull</x:v>
      </x:c>
      <x:c r="K276" s="6" t="str">
        <x:v>Bull</x:v>
      </x:c>
      <x:c r="L276" s="6" t="str">
        <x:v>LOW</x:v>
      </x:c>
      <x:c r="M276" s="7" t="str">
        <x:v>2024-12-08 19:00:00-06:00</x:v>
      </x:c>
      <x:c r="N276" s="6" t="str">
        <x:v>90.0</x:v>
      </x:c>
      <x:c r="O276" s="6" t="str">
        <x:v>90-94</x:v>
      </x:c>
      <x:c r="P276" s="6" t="str">
        <x:v>Matching BOS only</x:v>
      </x:c>
      <x:c r="Q276" s="6" t="str">
        <x:v>Bear CHoCH</x:v>
      </x:c>
      <x:c r="R276" s="6" t="str">
        <x:v>True</x:v>
      </x:c>
      <x:c r="S276" s="6" t="str">
        <x:v>False</x:v>
      </x:c>
      <x:c r="T276" s="6" t="str">
        <x:v>Recent BSL</x:v>
      </x:c>
      <x:c r="U276" s="6" t="str">
        <x:v>BSL</x:v>
      </x:c>
      <x:c r="V276" s="6" t="str">
        <x:v>Swing high / buy-side</x:v>
      </x:c>
      <x:c r="W276" s="6" t="str">
        <x:v>[20694.75]</x:v>
      </x:c>
      <x:c r="X276" s="8" t="str">
        <x:v>1</x:v>
      </x:c>
      <x:c r="Y276" s="8" t="str">
        <x:v>17.0</x:v>
      </x:c>
      <x:c r="Z276" s="6" t="str">
        <x:v>None</x:v>
      </x:c>
      <x:c r="AA276" s="6" t="str">
        <x:v>20662.5</x:v>
      </x:c>
      <x:c r="AB276" s="9" t="str">
        <x:v>0.838941529090175</x:v>
      </x:c>
      <x:c r="AC276" s="9" t="str">
        <x:v>1.5380594699986543</x:v>
      </x:c>
      <x:c r="AD276" s="9" t="str">
        <x:v>2.0693891050890985</x:v>
      </x:c>
      <x:c r="AE276" s="6" t="str">
        <x:v>With trade</x:v>
      </x:c>
      <x:c r="AF276" s="7" t="str">
        <x:v>2024-12-08 19:00:00-06:00</x:v>
      </x:c>
      <x:c r="AG276" s="6" t="str">
        <x:v>Short</x:v>
      </x:c>
      <x:c r="AH276" s="6" t="str">
        <x:v>20662.5</x:v>
      </x:c>
      <x:c r="AI276" s="8" t="str">
        <x:v>0</x:v>
      </x:c>
      <x:c r="AJ276" s="6" t="str">
        <x:v>True</x:v>
      </x:c>
      <x:c r="AK276" s="6" t="str">
        <x:v>Same-bar Setup+BOS</x:v>
      </x:c>
      <x:c r="AL276" s="9" t="str">
        <x:v>1.5380594699986543</x:v>
      </x:c>
      <x:c r="AM276" s="9" t="str">
        <x:v>0.838941529090175</x:v>
      </x:c>
      <x:c r="AN276" s="9" t="str">
        <x:v>1.5380594699986543</x:v>
      </x:c>
      <x:c r="AO276" s="9" t="str">
        <x:v>2.0693891050890985</x:v>
      </x:c>
      <x:c r="AP276" s="10" t="str">
        <x:v>0.7432432432432432</x:v>
      </x:c>
      <x:c r="AQ276" s="6" t="str">
        <x:v>0.14864864864864866</x:v>
      </x:c>
      <x:c r="AR276" s="6" t="str">
        <x:v>0.10810810810810811</x:v>
      </x:c>
      <x:c r="AS276" s="6" t="str">
        <x:v>With trade</x:v>
      </x:c>
      <x:c r="AT276" s="6" t="str">
        <x:v>2.4890307140007977</x:v>
      </x:c>
      <x:c r="AU276" s="7" t="str">
        <x:v>2024-12-08 19:05:00-06:00</x:v>
      </x:c>
      <x:c r="AV276" s="8" t="str">
        <x:v>1</x:v>
      </x:c>
      <x:c r="AW276" s="6" t="str">
        <x:v>Immediate retest (1 bar)</x:v>
      </x:c>
      <x:c r="AX276" s="6" t="str">
        <x:v>20662.5</x:v>
      </x:c>
      <x:c r="AY276" s="6" t="str">
        <x:v>0.0</x:v>
      </x:c>
      <x:c r="AZ276" s="9" t="str">
        <x:v>0.0</x:v>
      </x:c>
      <x:c r="BA276" s="9" t="str">
        <x:v>0.36192149095199266</x:v>
      </x:c>
      <x:c r="BB276" s="9" t="str">
        <x:v>1.0579243581673632</x:v>
      </x:c>
      <x:c r="BC276" s="9" t="str">
        <x:v>0.3897616056406075</x:v>
      </x:c>
      <x:c r="BD276" s="6" t="str">
        <x:v>0.34210526315789475</x:v>
      </x:c>
      <x:c r="BE276" s="6" t="str">
        <x:v>0.2894736842105263</x:v>
      </x:c>
      <x:c r="BF276" s="9" t="str">
        <x:v>0.36192149095199266</x:v>
      </x:c>
      <x:c r="BG276" s="9" t="str">
        <x:v>0.30624126157476306</x:v>
      </x:c>
      <x:c r="BH276" s="6" t="str">
        <x:v>Against trade</x:v>
      </x:c>
      <x:c r="BI276" s="6" t="str">
        <x:v>Exact BOS touch</x:v>
      </x:c>
      <x:c r="BJ276" s="6" t="str">
        <x:v>True</x:v>
      </x:c>
      <x:c r="BK276" s="10" t="str">
        <x:v>False</x:v>
      </x:c>
      <x:c r="BL276" s="6" t="str">
        <x:v>True</x:v>
      </x:c>
      <x:c r="BM276" s="7" t="str">
        <x:v>2024-12-08 19:15:00-06:00</x:v>
      </x:c>
      <x:c r="BN276" s="8" t="str">
        <x:v>2</x:v>
      </x:c>
      <x:c r="BO276" s="6" t="str">
        <x:v>Delayed confirmation (2+ bars)</x:v>
      </x:c>
      <x:c r="BP276" s="9" t="str">
        <x:v>0.08756023295066633</x:v>
      </x:c>
      <x:c r="BQ276" s="9" t="str">
        <x:v>0.6129216306546643</x:v>
      </x:c>
      <x:c r="BR276" s="10" t="str">
        <x:v>0.14285714285714285</x:v>
      </x:c>
      <x:c r="BS276" s="9" t="str">
        <x:v>0.08756023295066633</x:v>
      </x:c>
      <x:c r="BT276" s="9" t="str">
        <x:v>-0.2918674431688878</x:v>
      </x:c>
      <x:c r="BU276" s="9" t="str">
        <x:v>0.2334939545351102</x:v>
      </x:c>
      <x:c r="BV276" s="6" t="str">
        <x:v>With trade</x:v>
      </x:c>
      <x:c r="BW276" s="7" t="str">
        <x:v>2024-12-08 19:15:00-06:00</x:v>
      </x:c>
      <x:c r="BX276" s="6" t="str">
        <x:v>20661.75</x:v>
      </x:c>
      <x:c r="BY276" s="9" t="str">
        <x:v>8.565532259633995</x:v>
      </x:c>
      <x:c r="BZ276" s="9" t="str">
        <x:v>0.07</x:v>
      </x:c>
      <x:c r="CA276" s="6" t="str">
        <x:v>20674.59829838945</x:v>
      </x:c>
      <x:c r="CB276" s="6" t="str">
        <x:v>12.848298389450065</x:v>
      </x:c>
      <x:c r="CC276" s="9" t="str">
        <x:v>1.4999999999998916</x:v>
      </x:c>
      <x:c r="CD276" s="6" t="str">
        <x:v>20636.053403221096</x:v>
      </x:c>
      <x:c r="CE276" s="6" t="str">
        <x:v>25.696596778903768</x:v>
      </x:c>
      <x:c r="CF276" s="6" t="str">
        <x:v>Fixed 2.00R target</x:v>
      </x:c>
      <x:c r="CG276" s="9" t="str">
        <x:v>0.05642770567932238</x:v>
      </x:c>
      <x:c r="CH276" s="9" t="str">
        <x:v>-1.0</x:v>
      </x:c>
      <x:c r="CI276" s="9" t="str">
        <x:v>-1.0564277056793223</x:v>
      </x:c>
      <x:c r="CJ276" s="6" t="str">
        <x:v>Loss</x:v>
      </x:c>
      <x:c r="CK276" s="9" t="str">
        <x:v>0.09728914772296962</x:v>
      </x:c>
      <x:c r="CL276" s="9" t="str">
        <x:v>1.031264965863478</x:v>
      </x:c>
      <x:c r="CM276" s="7" t="str">
        <x:v>2024-12-08 19:35:00-06:00</x:v>
      </x:c>
      <x:c r="CN276" s="6" t="str">
        <x:v>20674.59829838945</x:v>
      </x:c>
      <x:c r="CO276" s="6" t="str">
        <x:v>STOP</x:v>
      </x:c>
      <x:c r="CP276" s="6" t="str">
        <x:v>F::Short::Same-bar Setup+BOS::Exact BOS touch</x:v>
      </x:c>
    </x:row>
    <x:row r="277" ht="18" customHeight="1">
      <x:c r="A277" s="6" t="str">
        <x:v>A0276</x:v>
      </x:c>
      <x:c r="B277" s="6" t="str">
        <x:v>2024-12-10</x:v>
      </x:c>
      <x:c r="C277" s="6" t="str">
        <x:v>2024</x:v>
      </x:c>
      <x:c r="D277" s="6" t="str">
        <x:v>2024-Q4</x:v>
      </x:c>
      <x:c r="E277" s="6" t="str">
        <x:v>First 50%</x:v>
      </x:c>
      <x:c r="F277" s="6" t="str">
        <x:v>Short</x:v>
      </x:c>
      <x:c r="G277" s="6" t="str">
        <x:v>Short</x:v>
      </x:c>
      <x:c r="H277" s="6" t="str">
        <x:v>Overnight</x:v>
      </x:c>
      <x:c r="I277" s="6" t="str">
        <x:v>Overnight</x:v>
      </x:c>
      <x:c r="J277" s="6" t="str">
        <x:v>Bear</x:v>
      </x:c>
      <x:c r="K277" s="6" t="str">
        <x:v>Bear</x:v>
      </x:c>
      <x:c r="L277" s="6" t="str">
        <x:v>MID</x:v>
      </x:c>
      <x:c r="M277" s="7" t="str">
        <x:v>2024-12-09 23:50:00-06:00</x:v>
      </x:c>
      <x:c r="N277" s="6" t="str">
        <x:v>90.0</x:v>
      </x:c>
      <x:c r="O277" s="6" t="str">
        <x:v>90-94</x:v>
      </x:c>
      <x:c r="P277" s="6" t="str">
        <x:v>Matching BOS only</x:v>
      </x:c>
      <x:c r="Q277" s="6" t="str">
        <x:v>Bear CHoCH</x:v>
      </x:c>
      <x:c r="R277" s="6" t="str">
        <x:v>True</x:v>
      </x:c>
      <x:c r="S277" s="6" t="str">
        <x:v>False</x:v>
      </x:c>
      <x:c r="T277" s="6" t="str">
        <x:v>Recent BSL</x:v>
      </x:c>
      <x:c r="U277" s="6" t="str">
        <x:v>BSL</x:v>
      </x:c>
      <x:c r="V277" s="6" t="str">
        <x:v>Swing high / buy-side</x:v>
      </x:c>
      <x:c r="W277" s="6" t="str">
        <x:v>[20502.25]</x:v>
      </x:c>
      <x:c r="X277" s="8" t="str">
        <x:v>1</x:v>
      </x:c>
      <x:c r="Y277" s="8" t="str">
        <x:v>7.0</x:v>
      </x:c>
      <x:c r="Z277" s="6" t="str">
        <x:v>None</x:v>
      </x:c>
      <x:c r="AA277" s="6" t="str">
        <x:v>20491.75</x:v>
      </x:c>
      <x:c r="AB277" s="9" t="str">
        <x:v>0.10879620841949189</x:v>
      </x:c>
      <x:c r="AC277" s="9" t="str">
        <x:v>0.979165875775427</x:v>
      </x:c>
      <x:c r="AD277" s="9" t="str">
        <x:v>1.1423601884046648</x:v>
      </x:c>
      <x:c r="AE277" s="6" t="str">
        <x:v>With trade</x:v>
      </x:c>
      <x:c r="AF277" s="7" t="str">
        <x:v>2024-12-09 23:50:00-06:00</x:v>
      </x:c>
      <x:c r="AG277" s="6" t="str">
        <x:v>Short</x:v>
      </x:c>
      <x:c r="AH277" s="6" t="str">
        <x:v>20491.75</x:v>
      </x:c>
      <x:c r="AI277" s="8" t="str">
        <x:v>0</x:v>
      </x:c>
      <x:c r="AJ277" s="6" t="str">
        <x:v>True</x:v>
      </x:c>
      <x:c r="AK277" s="6" t="str">
        <x:v>Same-bar Setup+BOS</x:v>
      </x:c>
      <x:c r="AL277" s="9" t="str">
        <x:v>0.924767771565681</x:v>
      </x:c>
      <x:c r="AM277" s="9" t="str">
        <x:v>0.10879620841949189</x:v>
      </x:c>
      <x:c r="AN277" s="9" t="str">
        <x:v>0.979165875775427</x:v>
      </x:c>
      <x:c r="AO277" s="9" t="str">
        <x:v>1.1423601884046648</x:v>
      </x:c>
      <x:c r="AP277" s="10" t="str">
        <x:v>0.8571428571428571</x:v>
      </x:c>
      <x:c r="AQ277" s="6" t="str">
        <x:v>0.14285714285714285</x:v>
      </x:c>
      <x:c r="AR277" s="6" t="str">
        <x:v>0.0</x:v>
      </x:c>
      <x:c r="AS277" s="6" t="str">
        <x:v>With trade</x:v>
      </x:c>
      <x:c r="AT277" s="6" t="str">
        <x:v>0.674217907227616</x:v>
      </x:c>
      <x:c r="AU277" s="7" t="str">
        <x:v>2024-12-10 00:25:00-06:00</x:v>
      </x:c>
      <x:c r="AV277" s="8" t="str">
        <x:v>7</x:v>
      </x:c>
      <x:c r="AW277" s="6" t="str">
        <x:v>Delayed retest (2+ bars)</x:v>
      </x:c>
      <x:c r="AX277" s="6" t="str">
        <x:v>20492.5</x:v>
      </x:c>
      <x:c r="AY277" s="6" t="str">
        <x:v>0.75</x:v>
      </x:c>
      <x:c r="AZ277" s="9" t="str">
        <x:v>0.1515103667403315</x:v>
      </x:c>
      <x:c r="BA277" s="9" t="str">
        <x:v>-0.0</x:v>
      </x:c>
      <x:c r="BB277" s="9" t="str">
        <x:v>1.212082933922652</x:v>
      </x:c>
      <x:c r="BC277" s="9" t="str">
        <x:v>0.808055289281768</x:v>
      </x:c>
      <x:c r="BD277" s="6" t="str">
        <x:v>0.125</x:v>
      </x:c>
      <x:c r="BE277" s="6" t="str">
        <x:v>0.20833333333333334</x:v>
      </x:c>
      <x:c r="BF277" s="9" t="str">
        <x:v>0.1515103667403315</x:v>
      </x:c>
      <x:c r="BG277" s="9" t="str">
        <x:v>0.2525172779005525</x:v>
      </x:c>
      <x:c r="BH277" s="6" t="str">
        <x:v>Against trade</x:v>
      </x:c>
      <x:c r="BI277" s="6" t="str">
        <x:v>Penetration without same-bar reclaim</x:v>
      </x:c>
      <x:c r="BJ277" s="6" t="str">
        <x:v>False</x:v>
      </x:c>
      <x:c r="BK277" s="10" t="str">
        <x:v>True</x:v>
      </x:c>
      <x:c r="BL277" s="6" t="str">
        <x:v>False</x:v>
      </x:c>
      <x:c r="BM277" s="7" t="str">
        <x:v>2024-12-10 00:30:00-06:00</x:v>
      </x:c>
      <x:c r="BN277" s="8" t="str">
        <x:v>1</x:v>
      </x:c>
      <x:c r="BO277" s="6" t="str">
        <x:v>Immediate confirmation (1 bar)</x:v>
      </x:c>
      <x:c r="BP277" s="9" t="str">
        <x:v>0.35074140617392335</x:v>
      </x:c>
      <x:c r="BQ277" s="9" t="str">
        <x:v>1.1023301336894733</x:v>
      </x:c>
      <x:c r="BR277" s="10" t="str">
        <x:v>0.3181818181818182</x:v>
      </x:c>
      <x:c r="BS277" s="9" t="str">
        <x:v>0.20042366067081335</x:v>
      </x:c>
      <x:c r="BT277" s="9" t="str">
        <x:v>0.20042366067081335</x:v>
      </x:c>
      <x:c r="BU277" s="9" t="str">
        <x:v>0.35074140617392335</x:v>
      </x:c>
      <x:c r="BV277" s="6" t="str">
        <x:v>With trade</x:v>
      </x:c>
      <x:c r="BW277" s="7" t="str">
        <x:v>2024-12-10 00:30:00-06:00</x:v>
      </x:c>
      <x:c r="BX277" s="6" t="str">
        <x:v>20490.75</x:v>
      </x:c>
      <x:c r="BY277" s="9" t="str">
        <x:v>4.989430871849278</x:v>
      </x:c>
      <x:c r="BZ277" s="9" t="str">
        <x:v>0.42</x:v>
      </x:c>
      <x:c r="CA277" s="6" t="str">
        <x:v>20498.234146307776</x:v>
      </x:c>
      <x:c r="CB277" s="6" t="str">
        <x:v>7.484146307775518</x:v>
      </x:c>
      <x:c r="CC277" s="9" t="str">
        <x:v>1.5000000000003209</x:v>
      </x:c>
      <x:c r="CD277" s="6" t="str">
        <x:v>20475.781707384453</x:v>
      </x:c>
      <x:c r="CE277" s="6" t="str">
        <x:v>14.968292615547398</x:v>
      </x:c>
      <x:c r="CF277" s="6" t="str">
        <x:v>Fixed 2.00R target</x:v>
      </x:c>
      <x:c r="CG277" s="9" t="str">
        <x:v>0.09687143599087239</x:v>
      </x:c>
      <x:c r="CH277" s="9" t="str">
        <x:v>0.60127098201244</x:v>
      </x:c>
      <x:c r="CI277" s="9" t="str">
        <x:v>0.5043995460215676</x:v>
      </x:c>
      <x:c r="CJ277" s="6" t="str">
        <x:v>Win</x:v>
      </x:c>
      <x:c r="CK277" s="9" t="str">
        <x:v>1.5699853419210352</x:v>
      </x:c>
      <x:c r="CL277" s="9" t="str">
        <x:v>0.10021183033538524</x:v>
      </x:c>
      <x:c r="CM277" s="7" t="str">
        <x:v>2024-12-10 01:30:00-06:00</x:v>
      </x:c>
      <x:c r="CN277" s="6" t="str">
        <x:v>20486.25</x:v>
      </x:c>
      <x:c r="CO277" s="6" t="str">
        <x:v>TIME</x:v>
      </x:c>
      <x:c r="CP277" s="6" t="str">
        <x:v>F::Short::Same-bar Setup+BOS::Penetration without same-bar reclaim</x:v>
      </x:c>
    </x:row>
    <x:row r="278" ht="18" customHeight="1">
      <x:c r="A278" s="6" t="str">
        <x:v>A0277</x:v>
      </x:c>
      <x:c r="B278" s="6" t="str">
        <x:v>2024-12-11</x:v>
      </x:c>
      <x:c r="C278" s="6" t="str">
        <x:v>2024</x:v>
      </x:c>
      <x:c r="D278" s="6" t="str">
        <x:v>2024-Q4</x:v>
      </x:c>
      <x:c r="E278" s="6" t="str">
        <x:v>First 50%</x:v>
      </x:c>
      <x:c r="F278" s="6" t="str">
        <x:v>Short</x:v>
      </x:c>
      <x:c r="G278" s="6" t="str">
        <x:v>Short</x:v>
      </x:c>
      <x:c r="H278" s="6" t="str">
        <x:v>Overnight</x:v>
      </x:c>
      <x:c r="I278" s="6" t="str">
        <x:v>Overnight</x:v>
      </x:c>
      <x:c r="J278" s="6" t="str">
        <x:v>Bear</x:v>
      </x:c>
      <x:c r="K278" s="6" t="str">
        <x:v>Bear</x:v>
      </x:c>
      <x:c r="L278" s="6" t="str">
        <x:v>HIGH</x:v>
      </x:c>
      <x:c r="M278" s="7" t="str">
        <x:v>2024-12-11 01:25:00-06:00</x:v>
      </x:c>
      <x:c r="N278" s="6" t="str">
        <x:v>90.0</x:v>
      </x:c>
      <x:c r="O278" s="6" t="str">
        <x:v>90-94</x:v>
      </x:c>
      <x:c r="P278" s="6" t="str">
        <x:v>Matching BOS only</x:v>
      </x:c>
      <x:c r="Q278" s="6" t="str">
        <x:v>Bear CHoCH</x:v>
      </x:c>
      <x:c r="R278" s="6" t="str">
        <x:v>True</x:v>
      </x:c>
      <x:c r="S278" s="6" t="str">
        <x:v>False</x:v>
      </x:c>
      <x:c r="T278" s="6" t="str">
        <x:v>Recent BSL</x:v>
      </x:c>
      <x:c r="U278" s="6" t="str">
        <x:v>BSL</x:v>
      </x:c>
      <x:c r="V278" s="6" t="str">
        <x:v>Swing high / buy-side</x:v>
      </x:c>
      <x:c r="W278" s="6" t="str">
        <x:v>[20464.0]</x:v>
      </x:c>
      <x:c r="X278" s="8" t="str">
        <x:v>1</x:v>
      </x:c>
      <x:c r="Y278" s="8" t="str">
        <x:v>12.0</x:v>
      </x:c>
      <x:c r="Z278" s="6" t="str">
        <x:v>None</x:v>
      </x:c>
      <x:c r="AA278" s="6" t="str">
        <x:v>20448.75</x:v>
      </x:c>
      <x:c r="AB278" s="9" t="str">
        <x:v>0.8164473114292239</x:v>
      </x:c>
      <x:c r="AC278" s="9" t="str">
        <x:v>1.455406076895573</x:v>
      </x:c>
      <x:c r="AD278" s="9" t="str">
        <x:v>2.0233694239767726</x:v>
      </x:c>
      <x:c r="AE278" s="6" t="str">
        <x:v>With trade</x:v>
      </x:c>
      <x:c r="AF278" s="7" t="str">
        <x:v>2024-12-11 01:25:00-06:00</x:v>
      </x:c>
      <x:c r="AG278" s="6" t="str">
        <x:v>Short</x:v>
      </x:c>
      <x:c r="AH278" s="6" t="str">
        <x:v>20448.75</x:v>
      </x:c>
      <x:c r="AI278" s="8" t="str">
        <x:v>0</x:v>
      </x:c>
      <x:c r="AJ278" s="6" t="str">
        <x:v>True</x:v>
      </x:c>
      <x:c r="AK278" s="6" t="str">
        <x:v>Same-bar Setup+BOS</x:v>
      </x:c>
      <x:c r="AL278" s="9" t="str">
        <x:v>1.455406076895573</x:v>
      </x:c>
      <x:c r="AM278" s="9" t="str">
        <x:v>0.8164473114292239</x:v>
      </x:c>
      <x:c r="AN278" s="9" t="str">
        <x:v>1.455406076895573</x:v>
      </x:c>
      <x:c r="AO278" s="9" t="str">
        <x:v>2.0233694239767726</x:v>
      </x:c>
      <x:c r="AP278" s="10" t="str">
        <x:v>0.7192982456140351</x:v>
      </x:c>
      <x:c r="AQ278" s="6" t="str">
        <x:v>0.03508771929824561</x:v>
      </x:c>
      <x:c r="AR278" s="6" t="str">
        <x:v>0.24561403508771928</x:v>
      </x:c>
      <x:c r="AS278" s="6" t="str">
        <x:v>With trade</x:v>
      </x:c>
      <x:c r="AT278" s="6" t="str">
        <x:v>3.9226519337016574</x:v>
      </x:c>
      <x:c r="AU278" s="7" t="str">
        <x:v>2024-12-11 01:30:00-06:00</x:v>
      </x:c>
      <x:c r="AV278" s="8" t="str">
        <x:v>1</x:v>
      </x:c>
      <x:c r="AW278" s="6" t="str">
        <x:v>Immediate retest (1 bar)</x:v>
      </x:c>
      <x:c r="AX278" s="6" t="str">
        <x:v>20451.25</x:v>
      </x:c>
      <x:c r="AY278" s="6" t="str">
        <x:v>2.5</x:v>
      </x:c>
      <x:c r="AZ278" s="9" t="str">
        <x:v>0.3300168095655782</x:v>
      </x:c>
      <x:c r="BA278" s="9" t="str">
        <x:v>0.36301849052213603</x:v>
      </x:c>
      <x:c r="BB278" s="9" t="str">
        <x:v>1.9140974954803536</x:v>
      </x:c>
      <x:c r="BC278" s="9" t="str">
        <x:v>0.3300168095655782</x:v>
      </x:c>
      <x:c r="BD278" s="6" t="str">
        <x:v>0.3620689655172414</x:v>
      </x:c>
      <x:c r="BE278" s="6" t="str">
        <x:v>0.46551724137931033</x:v>
      </x:c>
      <x:c r="BF278" s="9" t="str">
        <x:v>0.6930353000877142</x:v>
      </x:c>
      <x:c r="BG278" s="9" t="str">
        <x:v>0.8910453858270612</x:v>
      </x:c>
      <x:c r="BH278" s="6" t="str">
        <x:v>Against trade</x:v>
      </x:c>
      <x:c r="BI278" s="6" t="str">
        <x:v>Penetration + same-bar reclaim</x:v>
      </x:c>
      <x:c r="BJ278" s="6" t="str">
        <x:v>False</x:v>
      </x:c>
      <x:c r="BK278" s="10" t="str">
        <x:v>True</x:v>
      </x:c>
      <x:c r="BL278" s="6" t="str">
        <x:v>True</x:v>
      </x:c>
      <x:c r="BM278" s="7" t="str">
        <x:v>2024-12-11 01:35:00-06:00</x:v>
      </x:c>
      <x:c r="BN278" s="8" t="str">
        <x:v>1</x:v>
      </x:c>
      <x:c r="BO278" s="6" t="str">
        <x:v>Immediate confirmation (1 bar)</x:v>
      </x:c>
      <x:c r="BP278" s="9" t="str">
        <x:v>0.7093771510067545</x:v>
      </x:c>
      <x:c r="BQ278" s="9" t="str">
        <x:v>1.8505490895828376</x:v>
      </x:c>
      <x:c r="BR278" s="10" t="str">
        <x:v>0.38333333333333336</x:v>
      </x:c>
      <x:c r="BS278" s="9" t="str">
        <x:v>1.0178019992705607</x:v>
      </x:c>
      <x:c r="BT278" s="9" t="str">
        <x:v>0.6785346661803738</x:v>
      </x:c>
      <x:c r="BU278" s="9" t="str">
        <x:v>0.0</x:v>
      </x:c>
      <x:c r="BV278" s="6" t="str">
        <x:v>With trade</x:v>
      </x:c>
      <x:c r="BW278" s="7" t="str">
        <x:v>2024-12-11 01:35:00-06:00</x:v>
      </x:c>
      <x:c r="BX278" s="6" t="str">
        <x:v>20440.5</x:v>
      </x:c>
      <x:c r="BY278" s="9" t="str">
        <x:v>8.105702293680517</x:v>
      </x:c>
      <x:c r="BZ278" s="9" t="str">
        <x:v>0.93</x:v>
      </x:c>
      <x:c r="CA278" s="6" t="str">
        <x:v>20452.65855344052</x:v>
      </x:c>
      <x:c r="CB278" s="6" t="str">
        <x:v>12.158553440520336</x:v>
      </x:c>
      <x:c r="CC278" s="9" t="str">
        <x:v>1.4999999999999458</x:v>
      </x:c>
      <x:c r="CD278" s="6" t="str">
        <x:v>20416.18289311896</x:v>
      </x:c>
      <x:c r="CE278" s="6" t="str">
        <x:v>24.317106881040672</x:v>
      </x:c>
      <x:c r="CF278" s="6" t="str">
        <x:v>Fixed 2.00R target</x:v>
      </x:c>
      <x:c r="CG278" s="9" t="str">
        <x:v>0.05962880399767137</x:v>
      </x:c>
      <x:c r="CH278" s="9" t="str">
        <x:v>-1.0</x:v>
      </x:c>
      <x:c r="CI278" s="9" t="str">
        <x:v>-1.0596288039976713</x:v>
      </x:c>
      <x:c r="CJ278" s="6" t="str">
        <x:v>Loss</x:v>
      </x:c>
      <x:c r="CK278" s="9" t="str">
        <x:v>0.24673987861105395</x:v>
      </x:c>
      <x:c r="CL278" s="9" t="str">
        <x:v>1.1103294537497428</x:v>
      </x:c>
      <x:c r="CM278" s="7" t="str">
        <x:v>2024-12-11 01:50:00-06:00</x:v>
      </x:c>
      <x:c r="CN278" s="6" t="str">
        <x:v>20452.65855344052</x:v>
      </x:c>
      <x:c r="CO278" s="6" t="str">
        <x:v>STOP</x:v>
      </x:c>
      <x:c r="CP278" s="6" t="str">
        <x:v>F::Short::Same-bar Setup+BOS::Penetration + same-bar reclaim</x:v>
      </x:c>
    </x:row>
    <x:row r="279" ht="18" customHeight="1">
      <x:c r="A279" s="6" t="str">
        <x:v>A0278</x:v>
      </x:c>
      <x:c r="B279" s="6" t="str">
        <x:v>2024-12-12</x:v>
      </x:c>
      <x:c r="C279" s="6" t="str">
        <x:v>2024</x:v>
      </x:c>
      <x:c r="D279" s="6" t="str">
        <x:v>2024-Q4</x:v>
      </x:c>
      <x:c r="E279" s="6" t="str">
        <x:v>First 50%</x:v>
      </x:c>
      <x:c r="F279" s="6" t="str">
        <x:v>Short</x:v>
      </x:c>
      <x:c r="G279" s="6" t="str">
        <x:v>Short</x:v>
      </x:c>
      <x:c r="H279" s="6" t="str">
        <x:v>Overnight</x:v>
      </x:c>
      <x:c r="I279" s="6" t="str">
        <x:v>Overnight</x:v>
      </x:c>
      <x:c r="J279" s="6" t="str">
        <x:v>Bull</x:v>
      </x:c>
      <x:c r="K279" s="6" t="str">
        <x:v>Bull</x:v>
      </x:c>
      <x:c r="L279" s="6" t="str">
        <x:v>HIGH</x:v>
      </x:c>
      <x:c r="M279" s="7" t="str">
        <x:v>2024-12-12 03:30:00-06:00</x:v>
      </x:c>
      <x:c r="N279" s="6" t="str">
        <x:v>90.0</x:v>
      </x:c>
      <x:c r="O279" s="6" t="str">
        <x:v>90-94</x:v>
      </x:c>
      <x:c r="P279" s="6" t="str">
        <x:v>Matching BOS only</x:v>
      </x:c>
      <x:c r="Q279" s="6" t="str">
        <x:v>Bear CHoCH</x:v>
      </x:c>
      <x:c r="R279" s="6" t="str">
        <x:v>True</x:v>
      </x:c>
      <x:c r="S279" s="6" t="str">
        <x:v>False</x:v>
      </x:c>
      <x:c r="T279" s="6" t="str">
        <x:v>Recent BSL</x:v>
      </x:c>
      <x:c r="U279" s="6" t="str">
        <x:v>BSL</x:v>
      </x:c>
      <x:c r="V279" s="6" t="str">
        <x:v>Swing high / buy-side</x:v>
      </x:c>
      <x:c r="W279" s="6" t="str">
        <x:v>[20791.25]</x:v>
      </x:c>
      <x:c r="X279" s="8" t="str">
        <x:v>1</x:v>
      </x:c>
      <x:c r="Y279" s="8" t="str">
        <x:v>18.0</x:v>
      </x:c>
      <x:c r="Z279" s="6" t="str">
        <x:v>None</x:v>
      </x:c>
      <x:c r="AA279" s="6" t="str">
        <x:v>20768.25</x:v>
      </x:c>
      <x:c r="AB279" s="9" t="str">
        <x:v>0.43632812629521933</x:v>
      </x:c>
      <x:c r="AC279" s="9" t="str">
        <x:v>0.7719651465223111</x:v>
      </x:c>
      <x:c r="AD279" s="9" t="str">
        <x:v>1.3425480809083672</x:v>
      </x:c>
      <x:c r="AE279" s="6" t="str">
        <x:v>With trade</x:v>
      </x:c>
      <x:c r="AF279" s="7" t="str">
        <x:v>2024-12-12 03:30:00-06:00</x:v>
      </x:c>
      <x:c r="AG279" s="6" t="str">
        <x:v>Short</x:v>
      </x:c>
      <x:c r="AH279" s="6" t="str">
        <x:v>20768.25</x:v>
      </x:c>
      <x:c r="AI279" s="8" t="str">
        <x:v>0</x:v>
      </x:c>
      <x:c r="AJ279" s="6" t="str">
        <x:v>True</x:v>
      </x:c>
      <x:c r="AK279" s="6" t="str">
        <x:v>Same-bar Setup+BOS</x:v>
      </x:c>
      <x:c r="AL279" s="9" t="str">
        <x:v>0.7384014444996019</x:v>
      </x:c>
      <x:c r="AM279" s="9" t="str">
        <x:v>0.43632812629521933</x:v>
      </x:c>
      <x:c r="AN279" s="9" t="str">
        <x:v>0.7719651465223111</x:v>
      </x:c>
      <x:c r="AO279" s="9" t="str">
        <x:v>1.3425480809083672</x:v>
      </x:c>
      <x:c r="AP279" s="10" t="str">
        <x:v>0.575</x:v>
      </x:c>
      <x:c r="AQ279" s="6" t="str">
        <x:v>0.1</x:v>
      </x:c>
      <x:c r="AR279" s="6" t="str">
        <x:v>0.325</x:v>
      </x:c>
      <x:c r="AS279" s="6" t="str">
        <x:v>With trade</x:v>
      </x:c>
      <x:c r="AT279" s="6" t="str">
        <x:v>1.748762053687777</x:v>
      </x:c>
      <x:c r="AU279" s="7" t="str">
        <x:v>2024-12-12 03:35:00-06:00</x:v>
      </x:c>
      <x:c r="AV279" s="8" t="str">
        <x:v>1</x:v>
      </x:c>
      <x:c r="AW279" s="6" t="str">
        <x:v>Immediate retest (1 bar)</x:v>
      </x:c>
      <x:c r="AX279" s="6" t="str">
        <x:v>20769.0</x:v>
      </x:c>
      <x:c r="AY279" s="6" t="str">
        <x:v>0.75</x:v>
      </x:c>
      <x:c r="AZ279" s="9" t="str">
        <x:v>0.10137014153052787</x:v>
      </x:c>
      <x:c r="BA279" s="9" t="str">
        <x:v>0.6758009435368525</x:v>
      </x:c>
      <x:c r="BB279" s="9" t="str">
        <x:v>0.9123312737747508</x:v>
      </x:c>
      <x:c r="BC279" s="9" t="str">
        <x:v>0.27032037741474096</x:v>
      </x:c>
      <x:c r="BD279" s="6" t="str">
        <x:v>0.5555555555555556</x:v>
      </x:c>
      <x:c r="BE279" s="6" t="str">
        <x:v>0.14814814814814814</x:v>
      </x:c>
      <x:c r="BF279" s="9" t="str">
        <x:v>0.5068507076526393</x:v>
      </x:c>
      <x:c r="BG279" s="9" t="str">
        <x:v>0.13516018870737048</x:v>
      </x:c>
      <x:c r="BH279" s="6" t="str">
        <x:v>With trade</x:v>
      </x:c>
      <x:c r="BI279" s="6" t="str">
        <x:v>Penetration + same-bar reclaim</x:v>
      </x:c>
      <x:c r="BJ279" s="6" t="str">
        <x:v>False</x:v>
      </x:c>
      <x:c r="BK279" s="10" t="str">
        <x:v>True</x:v>
      </x:c>
      <x:c r="BL279" s="6" t="str">
        <x:v>True</x:v>
      </x:c>
      <x:c r="BM279" s="7" t="str">
        <x:v>2024-12-12 03:40:00-06:00</x:v>
      </x:c>
      <x:c r="BN279" s="8" t="str">
        <x:v>1</x:v>
      </x:c>
      <x:c r="BO279" s="6" t="str">
        <x:v>Immediate confirmation (1 bar)</x:v>
      </x:c>
      <x:c r="BP279" s="9" t="str">
        <x:v>0.0350237572558474</x:v>
      </x:c>
      <x:c r="BQ279" s="9" t="str">
        <x:v>0.525356358837711</x:v>
      </x:c>
      <x:c r="BR279" s="10" t="str">
        <x:v>0.06666666666666667</x:v>
      </x:c>
      <x:c r="BS279" s="9" t="str">
        <x:v>0.7354989023727954</x:v>
      </x:c>
      <x:c r="BT279" s="9" t="str">
        <x:v>0.0350237572558474</x:v>
      </x:c>
      <x:c r="BU279" s="9" t="str">
        <x:v>0.2801900580467792</x:v>
      </x:c>
      <x:c r="BV279" s="6" t="str">
        <x:v>With trade</x:v>
      </x:c>
      <x:c r="BW279" s="7" t="str">
        <x:v>2024-12-12 03:40:00-06:00</x:v>
      </x:c>
      <x:c r="BX279" s="6" t="str">
        <x:v>20763.0</x:v>
      </x:c>
      <x:c r="BY279" s="9" t="str">
        <x:v>7.138012012068214</x:v>
      </x:c>
      <x:c r="BZ279" s="9" t="str">
        <x:v>0.87</x:v>
      </x:c>
      <x:c r="CA279" s="6" t="str">
        <x:v>20773.707018018104</x:v>
      </x:c>
      <x:c r="CB279" s="6" t="str">
        <x:v>10.707018018103554</x:v>
      </x:c>
      <x:c r="CC279" s="9" t="str">
        <x:v>1.5000000000001728</x:v>
      </x:c>
      <x:c r="CD279" s="6" t="str">
        <x:v>20741.585963963797</x:v>
      </x:c>
      <x:c r="CE279" s="6" t="str">
        <x:v>21.41403603620347</x:v>
      </x:c>
      <x:c r="CF279" s="6" t="str">
        <x:v>Fixed 2.00R target</x:v>
      </x:c>
      <x:c r="CG279" s="9" t="str">
        <x:v>0.06771259736129717</x:v>
      </x:c>
      <x:c r="CH279" s="9" t="str">
        <x:v>-0.6070784591013549</x:v>
      </x:c>
      <x:c r="CI279" s="9" t="str">
        <x:v>-0.6747910564626521</x:v>
      </x:c>
      <x:c r="CJ279" s="6" t="str">
        <x:v>Loss</x:v>
      </x:c>
      <x:c r="CK279" s="9" t="str">
        <x:v>0.9106176886519275</x:v>
      </x:c>
      <x:c r="CL279" s="9" t="str">
        <x:v>0.8872685171480319</x:v>
      </x:c>
      <x:c r="CM279" s="7" t="str">
        <x:v>2024-12-12 04:40:00-06:00</x:v>
      </x:c>
      <x:c r="CN279" s="6" t="str">
        <x:v>20769.5</x:v>
      </x:c>
      <x:c r="CO279" s="6" t="str">
        <x:v>TIME</x:v>
      </x:c>
      <x:c r="CP279" s="6" t="str">
        <x:v>F::Short::Same-bar Setup+BOS::Penetration + same-bar reclaim</x:v>
      </x:c>
    </x:row>
    <x:row r="280" ht="18" customHeight="1">
      <x:c r="A280" s="6" t="str">
        <x:v>A0279</x:v>
      </x:c>
      <x:c r="B280" s="6" t="str">
        <x:v>2024-12-12</x:v>
      </x:c>
      <x:c r="C280" s="6" t="str">
        <x:v>2024</x:v>
      </x:c>
      <x:c r="D280" s="6" t="str">
        <x:v>2024-Q4</x:v>
      </x:c>
      <x:c r="E280" s="6" t="str">
        <x:v>First 50%</x:v>
      </x:c>
      <x:c r="F280" s="6" t="str">
        <x:v>Short</x:v>
      </x:c>
      <x:c r="G280" s="6" t="str">
        <x:v>Short</x:v>
      </x:c>
      <x:c r="H280" s="6" t="str">
        <x:v>Premarket</x:v>
      </x:c>
      <x:c r="I280" s="6" t="str">
        <x:v>Premarket</x:v>
      </x:c>
      <x:c r="J280" s="6" t="str">
        <x:v>Neutral</x:v>
      </x:c>
      <x:c r="K280" s="6" t="str">
        <x:v>Bull</x:v>
      </x:c>
      <x:c r="L280" s="6" t="str">
        <x:v>HIGH</x:v>
      </x:c>
      <x:c r="M280" s="7" t="str">
        <x:v>2024-12-12 06:30:00-06:00</x:v>
      </x:c>
      <x:c r="N280" s="6" t="str">
        <x:v>90.0</x:v>
      </x:c>
      <x:c r="O280" s="6" t="str">
        <x:v>90-94</x:v>
      </x:c>
      <x:c r="P280" s="6" t="str">
        <x:v>Matching BOS only</x:v>
      </x:c>
      <x:c r="Q280" s="6" t="str">
        <x:v>Bear BOS</x:v>
      </x:c>
      <x:c r="R280" s="6" t="str">
        <x:v>True</x:v>
      </x:c>
      <x:c r="S280" s="6" t="str">
        <x:v>False</x:v>
      </x:c>
      <x:c r="T280" s="6" t="str">
        <x:v>Recent BSL</x:v>
      </x:c>
      <x:c r="U280" s="6" t="str">
        <x:v>BSL</x:v>
      </x:c>
      <x:c r="V280" s="6" t="str">
        <x:v>Swing high / buy-side</x:v>
      </x:c>
      <x:c r="W280" s="6" t="str">
        <x:v>[20772.5]</x:v>
      </x:c>
      <x:c r="X280" s="8" t="str">
        <x:v>1</x:v>
      </x:c>
      <x:c r="Y280" s="8" t="str">
        <x:v>18.0</x:v>
      </x:c>
      <x:c r="Z280" s="6" t="str">
        <x:v>None</x:v>
      </x:c>
      <x:c r="AA280" s="6" t="str">
        <x:v>20743.0</x:v>
      </x:c>
      <x:c r="AB280" s="9" t="str">
        <x:v>0.876955330036928</x:v>
      </x:c>
      <x:c r="AC280" s="9" t="str">
        <x:v>1.4093924947022058</x:v>
      </x:c>
      <x:c r="AD280" s="9" t="str">
        <x:v>1.7225908268582515</x:v>
      </x:c>
      <x:c r="AE280" s="6" t="str">
        <x:v>With trade</x:v>
      </x:c>
      <x:c r="AF280" s="7" t="str">
        <x:v>2024-12-12 06:30:00-06:00</x:v>
      </x:c>
      <x:c r="AG280" s="6" t="str">
        <x:v>Short</x:v>
      </x:c>
      <x:c r="AH280" s="6" t="str">
        <x:v>20743.0</x:v>
      </x:c>
      <x:c r="AI280" s="8" t="str">
        <x:v>0</x:v>
      </x:c>
      <x:c r="AJ280" s="6" t="str">
        <x:v>True</x:v>
      </x:c>
      <x:c r="AK280" s="6" t="str">
        <x:v>Same-bar Setup+BOS</x:v>
      </x:c>
      <x:c r="AL280" s="9" t="str">
        <x:v>1.4093924947022058</x:v>
      </x:c>
      <x:c r="AM280" s="9" t="str">
        <x:v>0.876955330036928</x:v>
      </x:c>
      <x:c r="AN280" s="9" t="str">
        <x:v>1.4093924947022058</x:v>
      </x:c>
      <x:c r="AO280" s="9" t="str">
        <x:v>1.7225908268582515</x:v>
      </x:c>
      <x:c r="AP280" s="10" t="str">
        <x:v>0.8181818181818182</x:v>
      </x:c>
      <x:c r="AQ280" s="6" t="str">
        <x:v>0.03636363636363636</x:v>
      </x:c>
      <x:c r="AR280" s="6" t="str">
        <x:v>0.14545454545454545</x:v>
      </x:c>
      <x:c r="AS280" s="6" t="str">
        <x:v>With trade</x:v>
      </x:c>
      <x:c r="AT280" s="6" t="str">
        <x:v>2.204741150207292</x:v>
      </x:c>
      <x:c r="AU280" s="7" t="str">
        <x:v>2024-12-12 07:15:00-06:00</x:v>
      </x:c>
      <x:c r="AV280" s="8" t="str">
        <x:v>9</x:v>
      </x:c>
      <x:c r="AW280" s="6" t="str">
        <x:v>Delayed retest (2+ bars)</x:v>
      </x:c>
      <x:c r="AX280" s="6" t="str">
        <x:v>20742.5</x:v>
      </x:c>
      <x:c r="AY280" s="6" t="str">
        <x:v>0.0</x:v>
      </x:c>
      <x:c r="AZ280" s="9" t="str">
        <x:v>0.0</x:v>
      </x:c>
      <x:c r="BA280" s="9" t="str">
        <x:v>0.3519859135204884</x:v>
      </x:c>
      <x:c r="BB280" s="9" t="str">
        <x:v>0.8045392309039736</x:v>
      </x:c>
      <x:c r="BC280" s="9" t="str">
        <x:v>0.3017022115889901</x:v>
      </x:c>
      <x:c r="BD280" s="6" t="str">
        <x:v>0.375</x:v>
      </x:c>
      <x:c r="BE280" s="6" t="str">
        <x:v>0.25</x:v>
      </x:c>
      <x:c r="BF280" s="9" t="str">
        <x:v>0.3017022115889901</x:v>
      </x:c>
      <x:c r="BG280" s="9" t="str">
        <x:v>0.2011348077259934</x:v>
      </x:c>
      <x:c r="BH280" s="6" t="str">
        <x:v>Against trade</x:v>
      </x:c>
      <x:c r="BI280" s="6" t="str">
        <x:v>Tolerance-only shallow touch</x:v>
      </x:c>
      <x:c r="BJ280" s="6" t="str">
        <x:v>True</x:v>
      </x:c>
      <x:c r="BK280" s="10" t="str">
        <x:v>False</x:v>
      </x:c>
      <x:c r="BL280" s="6" t="str">
        <x:v>True</x:v>
      </x:c>
      <x:c r="BM280" s="7" t="str">
        <x:v>2024-12-12 07:25:00-06:00</x:v>
      </x:c>
      <x:c r="BN280" s="8" t="str">
        <x:v>2</x:v>
      </x:c>
      <x:c r="BO280" s="6" t="str">
        <x:v>Delayed confirmation (2+ bars)</x:v>
      </x:c>
      <x:c r="BP280" s="9" t="str">
        <x:v>0.3472600162769737</x:v>
      </x:c>
      <x:c r="BQ280" s="9" t="str">
        <x:v>1.215410056969408</x:v>
      </x:c>
      <x:c r="BR280" s="10" t="str">
        <x:v>0.2857142857142857</x:v>
      </x:c>
      <x:c r="BS280" s="9" t="str">
        <x:v>0.5704985981693139</x:v>
      </x:c>
      <x:c r="BT280" s="9" t="str">
        <x:v>0.22323858189234025</x:v>
      </x:c>
      <x:c r="BU280" s="9" t="str">
        <x:v>0.19843429501541354</x:v>
      </x:c>
      <x:c r="BV280" s="6" t="str">
        <x:v>With trade</x:v>
      </x:c>
      <x:c r="BW280" s="7" t="str">
        <x:v>2024-12-12 07:25:00-06:00</x:v>
      </x:c>
      <x:c r="BX280" s="6" t="str">
        <x:v>20737.25</x:v>
      </x:c>
      <x:c r="BY280" s="9" t="str">
        <x:v>10.078902942884184</x:v>
      </x:c>
      <x:c r="BZ280" s="9" t="str">
        <x:v>0.99</x:v>
      </x:c>
      <x:c r="CA280" s="6" t="str">
        <x:v>20752.368354414328</x:v>
      </x:c>
      <x:c r="CB280" s="6" t="str">
        <x:v>15.118354414327769</x:v>
      </x:c>
      <x:c r="CC280" s="9" t="str">
        <x:v>1.500000000000148</x:v>
      </x:c>
      <x:c r="CD280" s="6" t="str">
        <x:v>20707.013291171348</x:v>
      </x:c>
      <x:c r="CE280" s="6" t="str">
        <x:v>30.2367088286519</x:v>
      </x:c>
      <x:c r="CF280" s="6" t="str">
        <x:v>Fixed 2.00R target</x:v>
      </x:c>
      <x:c r="CG280" s="9" t="str">
        <x:v>0.04795495462872021</x:v>
      </x:c>
      <x:c r="CH280" s="9" t="str">
        <x:v>-1.0</x:v>
      </x:c>
      <x:c r="CI280" s="9" t="str">
        <x:v>-1.0479549546287201</x:v>
      </x:c>
      <x:c r="CJ280" s="6" t="str">
        <x:v>Loss</x:v>
      </x:c>
      <x:c r="CK280" s="9" t="str">
        <x:v>2.2819943926770305</x:v>
      </x:c>
      <x:c r="CL280" s="9" t="str">
        <x:v>1.5213295951180204</x:v>
      </x:c>
      <x:c r="CM280" s="7" t="str">
        <x:v>2024-12-12 07:30:00-06:00</x:v>
      </x:c>
      <x:c r="CN280" s="6" t="str">
        <x:v>20752.368354414328</x:v>
      </x:c>
      <x:c r="CO280" s="6" t="str">
        <x:v>STOP</x:v>
      </x:c>
      <x:c r="CP280" s="6" t="str">
        <x:v>F::Short::Same-bar Setup+BOS::Tolerance-only shallow touch</x:v>
      </x:c>
    </x:row>
    <x:row r="281" ht="18" customHeight="1">
      <x:c r="A281" s="6" t="str">
        <x:v>A0280</x:v>
      </x:c>
      <x:c r="B281" s="6" t="str">
        <x:v>2024-12-13</x:v>
      </x:c>
      <x:c r="C281" s="6" t="str">
        <x:v>2024</x:v>
      </x:c>
      <x:c r="D281" s="6" t="str">
        <x:v>2024-Q4</x:v>
      </x:c>
      <x:c r="E281" s="6" t="str">
        <x:v>First 50%</x:v>
      </x:c>
      <x:c r="F281" s="6" t="str">
        <x:v>Long</x:v>
      </x:c>
      <x:c r="G281" s="6" t="str">
        <x:v>Long</x:v>
      </x:c>
      <x:c r="H281" s="6" t="str">
        <x:v>Premarket</x:v>
      </x:c>
      <x:c r="I281" s="6" t="str">
        <x:v>Premarket</x:v>
      </x:c>
      <x:c r="J281" s="6" t="str">
        <x:v>Bull</x:v>
      </x:c>
      <x:c r="K281" s="6" t="str">
        <x:v>Bull</x:v>
      </x:c>
      <x:c r="L281" s="6" t="str">
        <x:v>HIGH</x:v>
      </x:c>
      <x:c r="M281" s="7" t="str">
        <x:v>2024-12-13 06:00:00-06:00</x:v>
      </x:c>
      <x:c r="N281" s="6" t="str">
        <x:v>90.0</x:v>
      </x:c>
      <x:c r="O281" s="6" t="str">
        <x:v>90-94</x:v>
      </x:c>
      <x:c r="P281" s="6" t="str">
        <x:v>Matching liquidity sweep only</x:v>
      </x:c>
      <x:c r="Q281" s="6" t="str">
        <x:v>Recent bull structure</x:v>
      </x:c>
      <x:c r="R281" s="6" t="str">
        <x:v>False</x:v>
      </x:c>
      <x:c r="S281" s="6" t="str">
        <x:v>True</x:v>
      </x:c>
      <x:c r="T281" s="6" t="str">
        <x:v>Recent SSL</x:v>
      </x:c>
      <x:c r="U281" s="6" t="str">
        <x:v>SSL</x:v>
      </x:c>
      <x:c r="V281" s="6" t="str">
        <x:v>Swing low / sell-side</x:v>
      </x:c>
      <x:c r="W281" s="6" t="str">
        <x:v>[20811.0]</x:v>
      </x:c>
      <x:c r="X281" s="8" t="str">
        <x:v>1</x:v>
      </x:c>
      <x:c r="Y281" s="8" t="str">
        <x:v>0.0</x:v>
      </x:c>
      <x:c r="Z281" s="6" t="str">
        <x:v>Sweep below CRT reference</x:v>
      </x:c>
      <x:c r="AA281" s="6" t="str">
        <x:v>20830.0</x:v>
      </x:c>
      <x:c r="AB281" s="9" t="str">
        <x:v>-0.6938816349711192</x:v>
      </x:c>
      <x:c r="AC281" s="9" t="str">
        <x:v>1.1657211467514803</x:v>
      </x:c>
      <x:c r="AD281" s="9" t="str">
        <x:v>1.942868577919134</x:v>
      </x:c>
      <x:c r="AE281" s="6" t="str">
        <x:v>With trade</x:v>
      </x:c>
      <x:c r="AF281" s="7" t="str">
        <x:v>2024-12-13 06:05:00-06:00</x:v>
      </x:c>
      <x:c r="AG281" s="6" t="str">
        <x:v>Long</x:v>
      </x:c>
      <x:c r="AH281" s="6" t="str">
        <x:v>20830.0</x:v>
      </x:c>
      <x:c r="AI281" s="8" t="str">
        <x:v>1</x:v>
      </x:c>
      <x:c r="AJ281" s="6" t="str">
        <x:v>False</x:v>
      </x:c>
      <x:c r="AK281" s="6" t="str">
        <x:v>Delayed BOS</x:v>
      </x:c>
      <x:c r="AL281" s="9" t="str">
        <x:v>0.8486846233659031</x:v>
      </x:c>
      <x:c r="AM281" s="9" t="str">
        <x:v>0.16426154000630383</x:v>
      </x:c>
      <x:c r="AN281" s="9" t="str">
        <x:v>0.8760615467002871</x:v>
      </x:c>
      <x:c r="AO281" s="9" t="str">
        <x:v>1.1772077033785109</x:v>
      </x:c>
      <x:c r="AP281" s="10" t="str">
        <x:v>0.7441860465116279</x:v>
      </x:c>
      <x:c r="AQ281" s="6" t="str">
        <x:v>0.09302325581395349</x:v>
      </x:c>
      <x:c r="AR281" s="6" t="str">
        <x:v>0.16279069767441862</x:v>
      </x:c>
      <x:c r="AS281" s="6" t="str">
        <x:v>With trade</x:v>
      </x:c>
      <x:c r="AT281" s="6" t="str">
        <x:v>1.4907267001049809</x:v>
      </x:c>
      <x:c r="AU281" s="7" t="str">
        <x:v>2024-12-13 06:10:00-06:00</x:v>
      </x:c>
      <x:c r="AV281" s="8" t="str">
        <x:v>1</x:v>
      </x:c>
      <x:c r="AW281" s="6" t="str">
        <x:v>Immediate retest (1 bar)</x:v>
      </x:c>
      <x:c r="AX281" s="6" t="str">
        <x:v>20826.5</x:v>
      </x:c>
      <x:c r="AY281" s="6" t="str">
        <x:v>3.5</x:v>
      </x:c>
      <x:c r="AZ281" s="9" t="str">
        <x:v>0.3792184554678133</x:v>
      </x:c>
      <x:c r="BA281" s="9" t="str">
        <x:v>0.6500887808019657</x:v>
      </x:c>
      <x:c r="BB281" s="9" t="str">
        <x:v>1.13765536640344</x:v>
      </x:c>
      <x:c r="BC281" s="9" t="str">
        <x:v>0.48756658560147426</x:v>
      </x:c>
      <x:c r="BD281" s="6" t="str">
        <x:v>0.09523809523809523</x:v>
      </x:c>
      <x:c r="BE281" s="6" t="str">
        <x:v>0.47619047619047616</x:v>
      </x:c>
      <x:c r="BF281" s="9" t="str">
        <x:v>0.5417406506683048</x:v>
      </x:c>
      <x:c r="BG281" s="9" t="str">
        <x:v>0.10834813013366094</x:v>
      </x:c>
      <x:c r="BH281" s="6" t="str">
        <x:v>With trade</x:v>
      </x:c>
      <x:c r="BI281" s="6" t="str">
        <x:v>Penetration + same-bar reclaim</x:v>
      </x:c>
      <x:c r="BJ281" s="6" t="str">
        <x:v>False</x:v>
      </x:c>
      <x:c r="BK281" s="10" t="str">
        <x:v>True</x:v>
      </x:c>
      <x:c r="BL281" s="6" t="str">
        <x:v>True</x:v>
      </x:c>
      <x:c r="BM281" s="7" t="str">
        <x:v>2024-12-13 06:15:00-06:00</x:v>
      </x:c>
      <x:c r="BN281" s="8" t="str">
        <x:v>1</x:v>
      </x:c>
      <x:c r="BO281" s="6" t="str">
        <x:v>Immediate confirmation (1 bar)</x:v>
      </x:c>
      <x:c r="BP281" s="9" t="str">
        <x:v>0.5698398338867915</x:v>
      </x:c>
      <x:c r="BQ281" s="9" t="str">
        <x:v>0.9768682866630712</x:v>
      </x:c>
      <x:c r="BR281" s="10" t="str">
        <x:v>0.5833333333333334</x:v>
      </x:c>
      <x:c r="BS281" s="9" t="str">
        <x:v>1.221085358328839</x:v>
      </x:c>
      <x:c r="BT281" s="9" t="str">
        <x:v>0.5698398338867915</x:v>
      </x:c>
      <x:c r="BU281" s="9" t="str">
        <x:v>0.32562276222102376</x:v>
      </x:c>
      <x:c r="BV281" s="6" t="str">
        <x:v>With trade</x:v>
      </x:c>
      <x:c r="BW281" s="7" t="str">
        <x:v>2024-12-13 06:15:00-06:00</x:v>
      </x:c>
      <x:c r="BX281" s="6" t="str">
        <x:v>20841.25</x:v>
      </x:c>
      <x:c r="BY281" s="9" t="str">
        <x:v>9.213115138319731</x:v>
      </x:c>
      <x:c r="BZ281" s="9" t="str">
        <x:v>0.87</x:v>
      </x:c>
      <x:c r="CA281" s="6" t="str">
        <x:v>20827.43032729252</x:v>
      </x:c>
      <x:c r="CB281" s="6" t="str">
        <x:v>13.819672707479185</x:v>
      </x:c>
      <x:c r="CC281" s="9" t="str">
        <x:v>1.4999999999999554</x:v>
      </x:c>
      <x:c r="CD281" s="6" t="str">
        <x:v>20868.88934541496</x:v>
      </x:c>
      <x:c r="CE281" s="6" t="str">
        <x:v>27.63934541495837</x:v>
      </x:c>
      <x:c r="CF281" s="6" t="str">
        <x:v>Fixed 2.00R target</x:v>
      </x:c>
      <x:c r="CG281" s="9" t="str">
        <x:v>0.05246144502449983</x:v>
      </x:c>
      <x:c r="CH281" s="9" t="str">
        <x:v>2.0</x:v>
      </x:c>
      <x:c r="CI281" s="9" t="str">
        <x:v>1.9475385549755002</x:v>
      </x:c>
      <x:c r="CJ281" s="6" t="str">
        <x:v>Win</x:v>
      </x:c>
      <x:c r="CK281" s="9" t="str">
        <x:v>2.026097187153097</x:v>
      </x:c>
      <x:c r="CL281" s="9" t="str">
        <x:v>0.2894424553075853</x:v>
      </x:c>
      <x:c r="CM281" s="7" t="str">
        <x:v>2024-12-13 07:00:00-06:00</x:v>
      </x:c>
      <x:c r="CN281" s="6" t="str">
        <x:v>20868.88934541496</x:v>
      </x:c>
      <x:c r="CO281" s="6" t="str">
        <x:v>TARGET</x:v>
      </x:c>
      <x:c r="CP281" s="6" t="str">
        <x:v>F::Long::Delayed BOS::Penetration + same-bar reclaim</x:v>
      </x:c>
    </x:row>
    <x:row r="282" ht="18" customHeight="1">
      <x:c r="A282" s="6" t="str">
        <x:v>A0281</x:v>
      </x:c>
      <x:c r="B282" s="6" t="str">
        <x:v>2024-12-13</x:v>
      </x:c>
      <x:c r="C282" s="6" t="str">
        <x:v>2024</x:v>
      </x:c>
      <x:c r="D282" s="6" t="str">
        <x:v>2024-Q4</x:v>
      </x:c>
      <x:c r="E282" s="6" t="str">
        <x:v>First 50%</x:v>
      </x:c>
      <x:c r="F282" s="6" t="str">
        <x:v>Long</x:v>
      </x:c>
      <x:c r="G282" s="6" t="str">
        <x:v>Long</x:v>
      </x:c>
      <x:c r="H282" s="6" t="str">
        <x:v>Premarket</x:v>
      </x:c>
      <x:c r="I282" s="6" t="str">
        <x:v>Premarket</x:v>
      </x:c>
      <x:c r="J282" s="6" t="str">
        <x:v>Bull</x:v>
      </x:c>
      <x:c r="K282" s="6" t="str">
        <x:v>Bull</x:v>
      </x:c>
      <x:c r="L282" s="6" t="str">
        <x:v>HIGH</x:v>
      </x:c>
      <x:c r="M282" s="7" t="str">
        <x:v>2024-12-13 08:40:00-06:00</x:v>
      </x:c>
      <x:c r="N282" s="6" t="str">
        <x:v>90.0</x:v>
      </x:c>
      <x:c r="O282" s="6" t="str">
        <x:v>90-94</x:v>
      </x:c>
      <x:c r="P282" s="6" t="str">
        <x:v>Matching BOS only</x:v>
      </x:c>
      <x:c r="Q282" s="6" t="str">
        <x:v>Bull BOS</x:v>
      </x:c>
      <x:c r="R282" s="6" t="str">
        <x:v>True</x:v>
      </x:c>
      <x:c r="S282" s="6" t="str">
        <x:v>False</x:v>
      </x:c>
      <x:c r="T282" s="6" t="str">
        <x:v>Recent SSL</x:v>
      </x:c>
      <x:c r="U282" s="6" t="str">
        <x:v>SSL</x:v>
      </x:c>
      <x:c r="V282" s="6" t="str">
        <x:v>Swing low / sell-side</x:v>
      </x:c>
      <x:c r="W282" s="6" t="str">
        <x:v>[20806.75]</x:v>
      </x:c>
      <x:c r="X282" s="8" t="str">
        <x:v>1</x:v>
      </x:c>
      <x:c r="Y282" s="8" t="str">
        <x:v>3.0</x:v>
      </x:c>
      <x:c r="Z282" s="6" t="str">
        <x:v>None</x:v>
      </x:c>
      <x:c r="AA282" s="6" t="str">
        <x:v>20867.25</x:v>
      </x:c>
      <x:c r="AB282" s="9" t="str">
        <x:v>2.4664243553367013</x:v>
      </x:c>
      <x:c r="AC282" s="9" t="str">
        <x:v>2.9255991023408745</x:v>
      </x:c>
      <x:c r="AD282" s="9" t="str">
        <x:v>3.594682305118384</x:v>
      </x:c>
      <x:c r="AE282" s="6" t="str">
        <x:v>With trade</x:v>
      </x:c>
      <x:c r="AF282" s="7" t="str">
        <x:v>2024-12-13 08:40:00-06:00</x:v>
      </x:c>
      <x:c r="AG282" s="6" t="str">
        <x:v>Long</x:v>
      </x:c>
      <x:c r="AH282" s="6" t="str">
        <x:v>20867.25</x:v>
      </x:c>
      <x:c r="AI282" s="8" t="str">
        <x:v>0</x:v>
      </x:c>
      <x:c r="AJ282" s="6" t="str">
        <x:v>True</x:v>
      </x:c>
      <x:c r="AK282" s="6" t="str">
        <x:v>Same-bar Setup+BOS</x:v>
      </x:c>
      <x:c r="AL282" s="9" t="str">
        <x:v>2.9255991023408745</x:v>
      </x:c>
      <x:c r="AM282" s="9" t="str">
        <x:v>2.4664243553367013</x:v>
      </x:c>
      <x:c r="AN282" s="9" t="str">
        <x:v>2.9255991023408745</x:v>
      </x:c>
      <x:c r="AO282" s="9" t="str">
        <x:v>3.594682305118384</x:v>
      </x:c>
      <x:c r="AP282" s="10" t="str">
        <x:v>0.8138686131386861</x:v>
      </x:c>
      <x:c r="AQ282" s="6" t="str">
        <x:v>0.09124087591240876</x:v>
      </x:c>
      <x:c r="AR282" s="6" t="str">
        <x:v>0.0948905109489051</x:v>
      </x:c>
      <x:c r="AS282" s="6" t="str">
        <x:v>With trade</x:v>
      </x:c>
      <x:c r="AT282" s="6" t="str">
        <x:v>4.56646617557613</x:v>
      </x:c>
      <x:c r="AU282" s="7" t="str">
        <x:v>2024-12-13 09:05:00-06:00</x:v>
      </x:c>
      <x:c r="AV282" s="8" t="str">
        <x:v>5</x:v>
      </x:c>
      <x:c r="AW282" s="6" t="str">
        <x:v>Delayed retest (2+ bars)</x:v>
      </x:c>
      <x:c r="AX282" s="6" t="str">
        <x:v>20843.75</x:v>
      </x:c>
      <x:c r="AY282" s="6" t="str">
        <x:v>23.5</x:v>
      </x:c>
      <x:c r="AZ282" s="9" t="str">
        <x:v>1.0141643157745144</x:v>
      </x:c>
      <x:c r="BA282" s="9" t="str">
        <x:v>0.2481465879022748</x:v>
      </x:c>
      <x:c r="BB282" s="9" t="str">
        <x:v>2.1038515061279823</x:v>
      </x:c>
      <x:c r="BC282" s="9" t="str">
        <x:v>0.6904948532932864</x:v>
      </x:c>
      <x:c r="BD282" s="6" t="str">
        <x:v>0.07179487179487179</x:v>
      </x:c>
      <x:c r="BE282" s="6" t="str">
        <x:v>0.6</x:v>
      </x:c>
      <x:c r="BF282" s="9" t="str">
        <x:v>1.2623109036767892</x:v>
      </x:c>
      <x:c r="BG282" s="9" t="str">
        <x:v>0.15104574915790642</x:v>
      </x:c>
      <x:c r="BH282" s="6" t="str">
        <x:v>Against trade</x:v>
      </x:c>
      <x:c r="BI282" s="6" t="str">
        <x:v>Penetration + same-bar reclaim</x:v>
      </x:c>
      <x:c r="BJ282" s="6" t="str">
        <x:v>False</x:v>
      </x:c>
      <x:c r="BK282" s="10" t="str">
        <x:v>True</x:v>
      </x:c>
      <x:c r="BL282" s="6" t="str">
        <x:v>True</x:v>
      </x:c>
      <x:c r="BM282" s="7" t="str">
        <x:v>2024-12-13 09:10:00-06:00</x:v>
      </x:c>
      <x:c r="BN282" s="8" t="str">
        <x:v>1</x:v>
      </x:c>
      <x:c r="BO282" s="6" t="str">
        <x:v>Immediate confirmation (1 bar)</x:v>
      </x:c>
      <x:c r="BP282" s="9" t="str">
        <x:v>0.5905742534285556</x:v>
      </x:c>
      <x:c r="BQ282" s="9" t="str">
        <x:v>1.7309935014285251</x:v>
      </x:c>
      <x:c r="BR282" s="10" t="str">
        <x:v>0.3411764705882353</x:v>
      </x:c>
      <x:c r="BS282" s="9" t="str">
        <x:v>0.8247674918571208</x:v>
      </x:c>
      <x:c r="BT282" s="9" t="str">
        <x:v>0.5905742534285556</x:v>
      </x:c>
      <x:c r="BU282" s="9" t="str">
        <x:v>0.1425524059999962</x:v>
      </x:c>
      <x:c r="BV282" s="6" t="str">
        <x:v>With trade</x:v>
      </x:c>
      <x:c r="BW282" s="7" t="str">
        <x:v>2024-12-13 09:10:00-06:00</x:v>
      </x:c>
      <x:c r="BX282" s="6" t="str">
        <x:v>20887.5</x:v>
      </x:c>
      <x:c r="BY282" s="9" t="str">
        <x:v>24.552374093216592</x:v>
      </x:c>
      <x:c r="BZ282" s="9" t="str">
        <x:v>1.0</x:v>
      </x:c>
      <x:c r="CA282" s="6" t="str">
        <x:v>20850.671438860176</x:v>
      </x:c>
      <x:c r="CB282" s="6" t="str">
        <x:v>36.82856113982416</x:v>
      </x:c>
      <x:c r="CC282" s="9" t="str">
        <x:v>1.4999999999999702</x:v>
      </x:c>
      <x:c r="CD282" s="6" t="str">
        <x:v>20961.15712227965</x:v>
      </x:c>
      <x:c r="CE282" s="6" t="str">
        <x:v>73.65712227964832</x:v>
      </x:c>
      <x:c r="CF282" s="6" t="str">
        <x:v>Fixed 2.00R target</x:v>
      </x:c>
      <x:c r="CG282" s="9" t="str">
        <x:v>0.01968580844761891</x:v>
      </x:c>
      <x:c r="CH282" s="9" t="str">
        <x:v>-1.0</x:v>
      </x:c>
      <x:c r="CI282" s="9" t="str">
        <x:v>-1.0196858084476188</x:v>
      </x:c>
      <x:c r="CJ282" s="6" t="str">
        <x:v>Loss</x:v>
      </x:c>
      <x:c r="CK282" s="9" t="str">
        <x:v>0.1086113569523802</x:v>
      </x:c>
      <x:c r="CL282" s="9" t="str">
        <x:v>1.7174170818095118</x:v>
      </x:c>
      <x:c r="CM282" s="7" t="str">
        <x:v>2024-12-13 09:25:00-06:00</x:v>
      </x:c>
      <x:c r="CN282" s="6" t="str">
        <x:v>20850.671438860176</x:v>
      </x:c>
      <x:c r="CO282" s="6" t="str">
        <x:v>STOP</x:v>
      </x:c>
      <x:c r="CP282" s="6" t="str">
        <x:v>F::Long::Same-bar Setup+BOS::Penetration + same-bar reclaim</x:v>
      </x:c>
    </x:row>
    <x:row r="283" ht="18" customHeight="1">
      <x:c r="A283" s="6" t="str">
        <x:v>A0282</x:v>
      </x:c>
      <x:c r="B283" s="6" t="str">
        <x:v>2024-12-13</x:v>
      </x:c>
      <x:c r="C283" s="6" t="str">
        <x:v>2024</x:v>
      </x:c>
      <x:c r="D283" s="6" t="str">
        <x:v>2024-Q4</x:v>
      </x:c>
      <x:c r="E283" s="6" t="str">
        <x:v>First 50%</x:v>
      </x:c>
      <x:c r="F283" s="6" t="str">
        <x:v>Short</x:v>
      </x:c>
      <x:c r="G283" s="6" t="str">
        <x:v>Short</x:v>
      </x:c>
      <x:c r="H283" s="6" t="str">
        <x:v>Opening</x:v>
      </x:c>
      <x:c r="I283" s="6" t="str">
        <x:v>Opening</x:v>
      </x:c>
      <x:c r="J283" s="6" t="str">
        <x:v>Bull</x:v>
      </x:c>
      <x:c r="K283" s="6" t="str">
        <x:v>Bull</x:v>
      </x:c>
      <x:c r="L283" s="6" t="str">
        <x:v>HIGH</x:v>
      </x:c>
      <x:c r="M283" s="7" t="str">
        <x:v>2024-12-13 09:40:00-06:00</x:v>
      </x:c>
      <x:c r="N283" s="6" t="str">
        <x:v>100.0</x:v>
      </x:c>
      <x:c r="O283" s="6" t="str">
        <x:v>95+</x:v>
      </x:c>
      <x:c r="P283" s="6" t="str">
        <x:v>Matching BOS only</x:v>
      </x:c>
      <x:c r="Q283" s="6" t="str">
        <x:v>Bear CHoCH</x:v>
      </x:c>
      <x:c r="R283" s="6" t="str">
        <x:v>True</x:v>
      </x:c>
      <x:c r="S283" s="6" t="str">
        <x:v>False</x:v>
      </x:c>
      <x:c r="T283" s="6" t="str">
        <x:v>Recent BSL</x:v>
      </x:c>
      <x:c r="U283" s="6" t="str">
        <x:v>BSL</x:v>
      </x:c>
      <x:c r="V283" s="6" t="str">
        <x:v>Swing high / buy-side</x:v>
      </x:c>
      <x:c r="W283" s="6" t="str">
        <x:v>[20867.25]</x:v>
      </x:c>
      <x:c r="X283" s="8" t="str">
        <x:v>1</x:v>
      </x:c>
      <x:c r="Y283" s="8" t="str">
        <x:v>13.0</x:v>
      </x:c>
      <x:c r="Z283" s="6" t="str">
        <x:v>None</x:v>
      </x:c>
      <x:c r="AA283" s="6" t="str">
        <x:v>20801.0</x:v>
      </x:c>
      <x:c r="AB283" s="9" t="str">
        <x:v>1.0309136150233382</x:v>
      </x:c>
      <x:c r="AC283" s="9" t="str">
        <x:v>1.6731220965132867</x:v>
      </x:c>
      <x:c r="AD283" s="9" t="str">
        <x:v>2.4505323635800664</x:v>
      </x:c>
      <x:c r="AE283" s="6" t="str">
        <x:v>With trade</x:v>
      </x:c>
      <x:c r="AF283" s="7" t="str">
        <x:v>2024-12-13 09:40:00-06:00</x:v>
      </x:c>
      <x:c r="AG283" s="6" t="str">
        <x:v>Short</x:v>
      </x:c>
      <x:c r="AH283" s="6" t="str">
        <x:v>20801.0</x:v>
      </x:c>
      <x:c r="AI283" s="8" t="str">
        <x:v>0</x:v>
      </x:c>
      <x:c r="AJ283" s="6" t="str">
        <x:v>True</x:v>
      </x:c>
      <x:c r="AK283" s="6" t="str">
        <x:v>Same-bar Setup+BOS</x:v>
      </x:c>
      <x:c r="AL283" s="9" t="str">
        <x:v>1.6984724313089425</x:v>
      </x:c>
      <x:c r="AM283" s="9" t="str">
        <x:v>1.0309136150233382</x:v>
      </x:c>
      <x:c r="AN283" s="9" t="str">
        <x:v>1.6731220965132867</x:v>
      </x:c>
      <x:c r="AO283" s="9" t="str">
        <x:v>2.4505323635800664</x:v>
      </x:c>
      <x:c r="AP283" s="10" t="str">
        <x:v>0.6827586206896552</x:v>
      </x:c>
      <x:c r="AQ283" s="6" t="str">
        <x:v>0.027586206896551724</x:v>
      </x:c>
      <x:c r="AR283" s="6" t="str">
        <x:v>0.2896551724137931</x:v>
      </x:c>
      <x:c r="AS283" s="6" t="str">
        <x:v>With trade</x:v>
      </x:c>
      <x:c r="AT283" s="6" t="str">
        <x:v>2.1198330010907585</x:v>
      </x:c>
      <x:c r="AU283" s="7" t="str">
        <x:v>2024-12-13 09:45:00-06:00</x:v>
      </x:c>
      <x:c r="AV283" s="8" t="str">
        <x:v>1</x:v>
      </x:c>
      <x:c r="AW283" s="6" t="str">
        <x:v>Immediate retest (1 bar)</x:v>
      </x:c>
      <x:c r="AX283" s="6" t="str">
        <x:v>20802.75</x:v>
      </x:c>
      <x:c r="AY283" s="6" t="str">
        <x:v>1.75</x:v>
      </x:c>
      <x:c r="AZ283" s="9" t="str">
        <x:v>0.05759822838797369</x:v>
      </x:c>
      <x:c r="BA283" s="9" t="str">
        <x:v>0.09873982009366918</x:v>
      </x:c>
      <x:c r="BB283" s="9" t="str">
        <x:v>1.341215889605673</x:v>
      </x:c>
      <x:c r="BC283" s="9" t="str">
        <x:v>0.9133433358664399</x:v>
      </x:c>
      <x:c r="BD283" s="6" t="str">
        <x:v>0.1165644171779141</x:v>
      </x:c>
      <x:c r="BE283" s="6" t="str">
        <x:v>0.20245398773006135</x:v>
      </x:c>
      <x:c r="BF283" s="9" t="str">
        <x:v>0.15633804848164287</x:v>
      </x:c>
      <x:c r="BG283" s="9" t="str">
        <x:v>0.2715345052575902</x:v>
      </x:c>
      <x:c r="BH283" s="6" t="str">
        <x:v>Against trade</x:v>
      </x:c>
      <x:c r="BI283" s="6" t="str">
        <x:v>Penetration + same-bar reclaim</x:v>
      </x:c>
      <x:c r="BJ283" s="6" t="str">
        <x:v>False</x:v>
      </x:c>
      <x:c r="BK283" s="10" t="str">
        <x:v>True</x:v>
      </x:c>
      <x:c r="BL283" s="6" t="str">
        <x:v>True</x:v>
      </x:c>
      <x:c r="BM283" s="7" t="str">
        <x:v>2024-12-13 09:50:00-06:00</x:v>
      </x:c>
      <x:c r="BN283" s="8" t="str">
        <x:v>1</x:v>
      </x:c>
      <x:c r="BO283" s="6" t="str">
        <x:v>Immediate confirmation (1 bar)</x:v>
      </x:c>
      <x:c r="BP283" s="9" t="str">
        <x:v>1.2475867168848904</x:v>
      </x:c>
      <x:c r="BQ283" s="9" t="str">
        <x:v>1.832874312460518</x:v>
      </x:c>
      <x:c r="BR283" s="10" t="str">
        <x:v>0.680672268907563</x:v>
      </x:c>
      <x:c r="BS283" s="9" t="str">
        <x:v>1.3631040054853432</x:v>
      </x:c>
      <x:c r="BT283" s="9" t="str">
        <x:v>1.270690174604981</x:v>
      </x:c>
      <x:c r="BU283" s="9" t="str">
        <x:v>0.1386207463205434</x:v>
      </x:c>
      <x:c r="BV283" s="6" t="str">
        <x:v>With trade</x:v>
      </x:c>
      <x:c r="BW283" s="7" t="str">
        <x:v>2024-12-13 09:50:00-06:00</x:v>
      </x:c>
      <x:c r="BX283" s="6" t="str">
        <x:v>20756.75</x:v>
      </x:c>
      <x:c r="BY283" s="9" t="str">
        <x:v>32.46267329707131</x:v>
      </x:c>
      <x:c r="BZ283" s="9" t="str">
        <x:v>1.0</x:v>
      </x:c>
      <x:c r="CA283" s="6" t="str">
        <x:v>20805.444009945608</x:v>
      </x:c>
      <x:c r="CB283" s="6" t="str">
        <x:v>48.69400994560783</x:v>
      </x:c>
      <x:c r="CC283" s="9" t="str">
        <x:v>1.5000000000000266</x:v>
      </x:c>
      <x:c r="CD283" s="6" t="str">
        <x:v>20659.361980108784</x:v>
      </x:c>
      <x:c r="CE283" s="6" t="str">
        <x:v>97.38801989121566</x:v>
      </x:c>
      <x:c r="CF283" s="6" t="str">
        <x:v>Fixed 2.00R target</x:v>
      </x:c>
      <x:c r="CG283" s="9" t="str">
        <x:v>0.01488889497516921</x:v>
      </x:c>
      <x:c r="CH283" s="9" t="str">
        <x:v>0.8727972916478658</x:v>
      </x:c>
      <x:c r="CI283" s="9" t="str">
        <x:v>0.8579083966726966</x:v>
      </x:c>
      <x:c r="CJ283" s="6" t="str">
        <x:v>Win</x:v>
      </x:c>
      <x:c r="CK283" s="9" t="str">
        <x:v>1.3297323443340778</x:v>
      </x:c>
      <x:c r="CL283" s="9" t="str">
        <x:v>0.5442147818510126</x:v>
      </x:c>
      <x:c r="CM283" s="7" t="str">
        <x:v>2024-12-13 10:50:00-06:00</x:v>
      </x:c>
      <x:c r="CN283" s="6" t="str">
        <x:v>20714.25</x:v>
      </x:c>
      <x:c r="CO283" s="6" t="str">
        <x:v>TIME</x:v>
      </x:c>
      <x:c r="CP283" s="6" t="str">
        <x:v>F::Short::Same-bar Setup+BOS::Penetration + same-bar reclaim</x:v>
      </x:c>
    </x:row>
    <x:row r="284" ht="18" customHeight="1">
      <x:c r="A284" s="6" t="str">
        <x:v>A0283</x:v>
      </x:c>
      <x:c r="B284" s="6" t="str">
        <x:v>2024-12-17</x:v>
      </x:c>
      <x:c r="C284" s="6" t="str">
        <x:v>2024</x:v>
      </x:c>
      <x:c r="D284" s="6" t="str">
        <x:v>2024-Q4</x:v>
      </x:c>
      <x:c r="E284" s="6" t="str">
        <x:v>First 50%</x:v>
      </x:c>
      <x:c r="F284" s="6" t="str">
        <x:v>Short</x:v>
      </x:c>
      <x:c r="G284" s="6" t="str">
        <x:v>Short</x:v>
      </x:c>
      <x:c r="H284" s="6" t="str">
        <x:v>Premarket</x:v>
      </x:c>
      <x:c r="I284" s="6" t="str">
        <x:v>Premarket</x:v>
      </x:c>
      <x:c r="J284" s="6" t="str">
        <x:v>Bull</x:v>
      </x:c>
      <x:c r="K284" s="6" t="str">
        <x:v>Bull</x:v>
      </x:c>
      <x:c r="L284" s="6" t="str">
        <x:v>HIGH</x:v>
      </x:c>
      <x:c r="M284" s="7" t="str">
        <x:v>2024-12-17 05:40:00-06:00</x:v>
      </x:c>
      <x:c r="N284" s="6" t="str">
        <x:v>90.0</x:v>
      </x:c>
      <x:c r="O284" s="6" t="str">
        <x:v>90-94</x:v>
      </x:c>
      <x:c r="P284" s="6" t="str">
        <x:v>Matching BOS only</x:v>
      </x:c>
      <x:c r="Q284" s="6" t="str">
        <x:v>Bear CHoCH</x:v>
      </x:c>
      <x:c r="R284" s="6" t="str">
        <x:v>True</x:v>
      </x:c>
      <x:c r="S284" s="6" t="str">
        <x:v>False</x:v>
      </x:c>
      <x:c r="T284" s="6" t="str">
        <x:v>Recent BSL</x:v>
      </x:c>
      <x:c r="U284" s="6" t="str">
        <x:v>BSL</x:v>
      </x:c>
      <x:c r="V284" s="6" t="str">
        <x:v>Swing high / buy-side</x:v>
      </x:c>
      <x:c r="W284" s="6" t="str">
        <x:v>[21144.75]</x:v>
      </x:c>
      <x:c r="X284" s="8" t="str">
        <x:v>1</x:v>
      </x:c>
      <x:c r="Y284" s="8" t="str">
        <x:v>4.0</x:v>
      </x:c>
      <x:c r="Z284" s="6" t="str">
        <x:v>None</x:v>
      </x:c>
      <x:c r="AA284" s="6" t="str">
        <x:v>21114.25</x:v>
      </x:c>
      <x:c r="AB284" s="9" t="str">
        <x:v>0.3186117054107581</x:v>
      </x:c>
      <x:c r="AC284" s="9" t="str">
        <x:v>0.8921127751501228</x:v>
      </x:c>
      <x:c r="AD284" s="9" t="str">
        <x:v>1.4656138448894875</x:v>
      </x:c>
      <x:c r="AE284" s="6" t="str">
        <x:v>With trade</x:v>
      </x:c>
      <x:c r="AF284" s="7" t="str">
        <x:v>2024-12-17 05:40:00-06:00</x:v>
      </x:c>
      <x:c r="AG284" s="6" t="str">
        <x:v>Short</x:v>
      </x:c>
      <x:c r="AH284" s="6" t="str">
        <x:v>21114.25</x:v>
      </x:c>
      <x:c r="AI284" s="8" t="str">
        <x:v>0</x:v>
      </x:c>
      <x:c r="AJ284" s="6" t="str">
        <x:v>True</x:v>
      </x:c>
      <x:c r="AK284" s="6" t="str">
        <x:v>Same-bar Setup+BOS</x:v>
      </x:c>
      <x:c r="AL284" s="9" t="str">
        <x:v>0.9345943358715573</x:v>
      </x:c>
      <x:c r="AM284" s="9" t="str">
        <x:v>0.3186117054107581</x:v>
      </x:c>
      <x:c r="AN284" s="9" t="str">
        <x:v>0.8921127751501228</x:v>
      </x:c>
      <x:c r="AO284" s="9" t="str">
        <x:v>1.4656138448894875</x:v>
      </x:c>
      <x:c r="AP284" s="10" t="str">
        <x:v>0.6086956521739131</x:v>
      </x:c>
      <x:c r="AQ284" s="6" t="str">
        <x:v>0.14492753623188406</x:v>
      </x:c>
      <x:c r="AR284" s="6" t="str">
        <x:v>0.2463768115942029</x:v>
      </x:c>
      <x:c r="AS284" s="6" t="str">
        <x:v>With trade</x:v>
      </x:c>
      <x:c r="AT284" s="6" t="str">
        <x:v>1.1903114186851211</x:v>
      </x:c>
      <x:c r="AU284" s="7" t="str">
        <x:v>2024-12-17 05:55:00-06:00</x:v>
      </x:c>
      <x:c r="AV284" s="8" t="str">
        <x:v>3</x:v>
      </x:c>
      <x:c r="AW284" s="6" t="str">
        <x:v>Delayed retest (2+ bars)</x:v>
      </x:c>
      <x:c r="AX284" s="6" t="str">
        <x:v>21114.0</x:v>
      </x:c>
      <x:c r="AY284" s="6" t="str">
        <x:v>0.0</x:v>
      </x:c>
      <x:c r="AZ284" s="9" t="str">
        <x:v>0.0</x:v>
      </x:c>
      <x:c r="BA284" s="9" t="str">
        <x:v>0.12163110562636219</x:v>
      </x:c>
      <x:c r="BB284" s="9" t="str">
        <x:v>1.2973984600145299</x:v>
      </x:c>
      <x:c r="BC284" s="9" t="str">
        <x:v>1.1960392053258948</x:v>
      </x:c>
      <x:c r="BD284" s="6" t="str">
        <x:v>0.078125</x:v>
      </x:c>
      <x:c r="BE284" s="6" t="str">
        <x:v>0.0</x:v>
      </x:c>
      <x:c r="BF284" s="9" t="str">
        <x:v>0.10135925468863514</x:v>
      </x:c>
      <x:c r="BG284" s="9" t="str">
        <x:v>0.0</x:v>
      </x:c>
      <x:c r="BH284" s="6" t="str">
        <x:v>Against trade</x:v>
      </x:c>
      <x:c r="BI284" s="6" t="str">
        <x:v>Tolerance-only shallow touch</x:v>
      </x:c>
      <x:c r="BJ284" s="6" t="str">
        <x:v>True</x:v>
      </x:c>
      <x:c r="BK284" s="10" t="str">
        <x:v>False</x:v>
      </x:c>
      <x:c r="BL284" s="6" t="str">
        <x:v>True</x:v>
      </x:c>
      <x:c r="BM284" s="7" t="str">
        <x:v>2024-12-17 06:00:00-06:00</x:v>
      </x:c>
      <x:c r="BN284" s="8" t="str">
        <x:v>1</x:v>
      </x:c>
      <x:c r="BO284" s="6" t="str">
        <x:v>Immediate confirmation (1 bar)</x:v>
      </x:c>
      <x:c r="BP284" s="9" t="str">
        <x:v>1.3009713155183447</x:v>
      </x:c>
      <x:c r="BQ284" s="9" t="str">
        <x:v>2.0815541048293515</x:v>
      </x:c>
      <x:c r="BR284" s="10" t="str">
        <x:v>0.625</x:v>
      </x:c>
      <x:c r="BS284" s="9" t="str">
        <x:v>1.3567272290405594</x:v>
      </x:c>
      <x:c r="BT284" s="9" t="str">
        <x:v>1.24521540199613</x:v>
      </x:c>
      <x:c r="BU284" s="9" t="str">
        <x:v>0.6319003532517674</x:v>
      </x:c>
      <x:c r="BV284" s="6" t="str">
        <x:v>With trade</x:v>
      </x:c>
      <x:c r="BW284" s="7" t="str">
        <x:v>2024-12-17 06:00:00-06:00</x:v>
      </x:c>
      <x:c r="BX284" s="6" t="str">
        <x:v>21096.0</x:v>
      </x:c>
      <x:c r="BY284" s="9" t="str">
        <x:v>13.451487969992247</x:v>
      </x:c>
      <x:c r="BZ284" s="9" t="str">
        <x:v>0.95</x:v>
      </x:c>
      <x:c r="CA284" s="6" t="str">
        <x:v>21116.17723195499</x:v>
      </x:c>
      <x:c r="CB284" s="6" t="str">
        <x:v>20.17723195498911</x:v>
      </x:c>
      <x:c r="CC284" s="9" t="str">
        <x:v>1.500000000000055</x:v>
      </x:c>
      <x:c r="CD284" s="6" t="str">
        <x:v>21055.64553609002</x:v>
      </x:c>
      <x:c r="CE284" s="6" t="str">
        <x:v>40.35446390997822</x:v>
      </x:c>
      <x:c r="CF284" s="6" t="str">
        <x:v>Fixed 2.00R target</x:v>
      </x:c>
      <x:c r="CG284" s="9" t="str">
        <x:v>0.035931588714314865</x:v>
      </x:c>
      <x:c r="CH284" s="9" t="str">
        <x:v>1.9204814657651752</x:v>
      </x:c>
      <x:c r="CI284" s="9" t="str">
        <x:v>1.8845498770508604</x:v>
      </x:c>
      <x:c r="CJ284" s="6" t="str">
        <x:v>Win</x:v>
      </x:c>
      <x:c r="CK284" s="9" t="str">
        <x:v>1.9700422777848494</x:v>
      </x:c>
      <x:c r="CL284" s="9" t="str">
        <x:v>0.11151182704442544</x:v>
      </x:c>
      <x:c r="CM284" s="7" t="str">
        <x:v>2024-12-17 07:00:00-06:00</x:v>
      </x:c>
      <x:c r="CN284" s="6" t="str">
        <x:v>21057.25</x:v>
      </x:c>
      <x:c r="CO284" s="6" t="str">
        <x:v>TIME</x:v>
      </x:c>
      <x:c r="CP284" s="6" t="str">
        <x:v>F::Short::Same-bar Setup+BOS::Tolerance-only shallow touch</x:v>
      </x:c>
    </x:row>
    <x:row r="285" ht="18" customHeight="1">
      <x:c r="A285" s="6" t="str">
        <x:v>A0284</x:v>
      </x:c>
      <x:c r="B285" s="6" t="str">
        <x:v>2024-12-18</x:v>
      </x:c>
      <x:c r="C285" s="6" t="str">
        <x:v>2024</x:v>
      </x:c>
      <x:c r="D285" s="6" t="str">
        <x:v>2024-Q4</x:v>
      </x:c>
      <x:c r="E285" s="6" t="str">
        <x:v>First 50%</x:v>
      </x:c>
      <x:c r="F285" s="6" t="str">
        <x:v>Long</x:v>
      </x:c>
      <x:c r="G285" s="6" t="str">
        <x:v>Long</x:v>
      </x:c>
      <x:c r="H285" s="6" t="str">
        <x:v>Overnight</x:v>
      </x:c>
      <x:c r="I285" s="6" t="str">
        <x:v>Overnight</x:v>
      </x:c>
      <x:c r="J285" s="6" t="str">
        <x:v>Bull</x:v>
      </x:c>
      <x:c r="K285" s="6" t="str">
        <x:v>Bull</x:v>
      </x:c>
      <x:c r="L285" s="6" t="str">
        <x:v>HIGH</x:v>
      </x:c>
      <x:c r="M285" s="7" t="str">
        <x:v>2024-12-18 02:00:00-06:00</x:v>
      </x:c>
      <x:c r="N285" s="6" t="str">
        <x:v>90.0</x:v>
      </x:c>
      <x:c r="O285" s="6" t="str">
        <x:v>90-94</x:v>
      </x:c>
      <x:c r="P285" s="6" t="str">
        <x:v>Matching BOS only</x:v>
      </x:c>
      <x:c r="Q285" s="6" t="str">
        <x:v>Bull BOS</x:v>
      </x:c>
      <x:c r="R285" s="6" t="str">
        <x:v>True</x:v>
      </x:c>
      <x:c r="S285" s="6" t="str">
        <x:v>False</x:v>
      </x:c>
      <x:c r="T285" s="6" t="str">
        <x:v>Recent SSL</x:v>
      </x:c>
      <x:c r="U285" s="6" t="str">
        <x:v>SSL</x:v>
      </x:c>
      <x:c r="V285" s="6" t="str">
        <x:v>Swing low / sell-side</x:v>
      </x:c>
      <x:c r="W285" s="6" t="str">
        <x:v>[21047.0]</x:v>
      </x:c>
      <x:c r="X285" s="8" t="str">
        <x:v>1</x:v>
      </x:c>
      <x:c r="Y285" s="8" t="str">
        <x:v>11.0</x:v>
      </x:c>
      <x:c r="Z285" s="6" t="str">
        <x:v>None</x:v>
      </x:c>
      <x:c r="AA285" s="6" t="str">
        <x:v>21064.25</x:v>
      </x:c>
      <x:c r="AB285" s="9" t="str">
        <x:v>0.485316980901899</x:v>
      </x:c>
      <x:c r="AC285" s="9" t="str">
        <x:v>1.8026059290641963</x:v>
      </x:c>
      <x:c r="AD285" s="9" t="str">
        <x:v>1.941267923607596</x:v>
      </x:c>
      <x:c r="AE285" s="6" t="str">
        <x:v>With trade</x:v>
      </x:c>
      <x:c r="AF285" s="7" t="str">
        <x:v>2024-12-18 02:00:00-06:00</x:v>
      </x:c>
      <x:c r="AG285" s="6" t="str">
        <x:v>Long</x:v>
      </x:c>
      <x:c r="AH285" s="6" t="str">
        <x:v>21064.25</x:v>
      </x:c>
      <x:c r="AI285" s="8" t="str">
        <x:v>0</x:v>
      </x:c>
      <x:c r="AJ285" s="6" t="str">
        <x:v>True</x:v>
      </x:c>
      <x:c r="AK285" s="6" t="str">
        <x:v>Same-bar Setup+BOS</x:v>
      </x:c>
      <x:c r="AL285" s="9" t="str">
        <x:v>1.8026059290641963</x:v>
      </x:c>
      <x:c r="AM285" s="9" t="str">
        <x:v>0.485316980901899</x:v>
      </x:c>
      <x:c r="AN285" s="9" t="str">
        <x:v>1.8026059290641963</x:v>
      </x:c>
      <x:c r="AO285" s="9" t="str">
        <x:v>1.941267923607596</x:v>
      </x:c>
      <x:c r="AP285" s="10" t="str">
        <x:v>0.9285714285714286</x:v>
      </x:c>
      <x:c r="AQ285" s="6" t="str">
        <x:v>0.03571428571428571</x:v>
      </x:c>
      <x:c r="AR285" s="6" t="str">
        <x:v>0.03571428571428571</x:v>
      </x:c>
      <x:c r="AS285" s="6" t="str">
        <x:v>With trade</x:v>
      </x:c>
      <x:c r="AT285" s="6" t="str">
        <x:v>3.6419280795715383</x:v>
      </x:c>
      <x:c r="AU285" s="7" t="str">
        <x:v>2024-12-18 02:20:00-06:00</x:v>
      </x:c>
      <x:c r="AV285" s="8" t="str">
        <x:v>4</x:v>
      </x:c>
      <x:c r="AW285" s="6" t="str">
        <x:v>Delayed retest (2+ bars)</x:v>
      </x:c>
      <x:c r="AX285" s="6" t="str">
        <x:v>21065.0</x:v>
      </x:c>
      <x:c r="AY285" s="6" t="str">
        <x:v>0.0</x:v>
      </x:c>
      <x:c r="AZ285" s="9" t="str">
        <x:v>0.0</x:v>
      </x:c>
      <x:c r="BA285" s="9" t="str">
        <x:v>1.14595971847243</x:v>
      </x:c>
      <x:c r="BB285" s="9" t="str">
        <x:v>1.9735972929247405</x:v>
      </x:c>
      <x:c r="BC285" s="9" t="str">
        <x:v>0.8276375744523106</x:v>
      </x:c>
      <x:c r="BD285" s="6" t="str">
        <x:v>0.04838709677419355</x:v>
      </x:c>
      <x:c r="BE285" s="6" t="str">
        <x:v>0.532258064516129</x:v>
      </x:c>
      <x:c r="BF285" s="9" t="str">
        <x:v>1.0504630752663942</x:v>
      </x:c>
      <x:c r="BG285" s="9" t="str">
        <x:v>0.09549664320603583</x:v>
      </x:c>
      <x:c r="BH285" s="6" t="str">
        <x:v>Against trade</x:v>
      </x:c>
      <x:c r="BI285" s="6" t="str">
        <x:v>Tolerance-only shallow touch</x:v>
      </x:c>
      <x:c r="BJ285" s="6" t="str">
        <x:v>True</x:v>
      </x:c>
      <x:c r="BK285" s="10" t="str">
        <x:v>False</x:v>
      </x:c>
      <x:c r="BL285" s="6" t="str">
        <x:v>True</x:v>
      </x:c>
      <x:c r="BM285" s="7" t="str">
        <x:v>2024-12-18 02:25:00-06:00</x:v>
      </x:c>
      <x:c r="BN285" s="8" t="str">
        <x:v>1</x:v>
      </x:c>
      <x:c r="BO285" s="6" t="str">
        <x:v>Immediate confirmation (1 bar)</x:v>
      </x:c>
      <x:c r="BP285" s="9" t="str">
        <x:v>0.22405565892202045</x:v>
      </x:c>
      <x:c r="BQ285" s="9" t="str">
        <x:v>0.8962226356880818</x:v>
      </x:c>
      <x:c r="BR285" s="10" t="str">
        <x:v>0.25</x:v>
      </x:c>
      <x:c r="BS285" s="9" t="str">
        <x:v>1.5363816611795689</x:v>
      </x:c>
      <x:c r="BT285" s="9" t="str">
        <x:v>0.3840954152948922</x:v>
      </x:c>
      <x:c r="BU285" s="9" t="str">
        <x:v>0.1280318050982974</x:v>
      </x:c>
      <x:c r="BV285" s="6" t="str">
        <x:v>With trade</x:v>
      </x:c>
      <x:c r="BW285" s="7" t="str">
        <x:v>2024-12-18 02:25:00-06:00</x:v>
      </x:c>
      <x:c r="BX285" s="6" t="str">
        <x:v>21076.25</x:v>
      </x:c>
      <x:c r="BY285" s="9" t="str">
        <x:v>7.810559253087483</x:v>
      </x:c>
      <x:c r="BZ285" s="9" t="str">
        <x:v>0.74</x:v>
      </x:c>
      <x:c r="CA285" s="6" t="str">
        <x:v>21064.53416112037</x:v>
      </x:c>
      <x:c r="CB285" s="6" t="str">
        <x:v>11.71583887963061</x:v>
      </x:c>
      <x:c r="CC285" s="9" t="str">
        <x:v>1.4999999999999214</x:v>
      </x:c>
      <x:c r="CD285" s="6" t="str">
        <x:v>21099.68167775926</x:v>
      </x:c>
      <x:c r="CE285" s="6" t="str">
        <x:v>23.43167775926122</x:v>
      </x:c>
      <x:c r="CF285" s="6" t="str">
        <x:v>Fixed 2.00R target</x:v>
      </x:c>
      <x:c r="CG285" s="9" t="str">
        <x:v>0.06188203913084699</x:v>
      </x:c>
      <x:c r="CH285" s="9" t="str">
        <x:v>-1.0</x:v>
      </x:c>
      <x:c r="CI285" s="9" t="str">
        <x:v>-1.061882039130847</x:v>
      </x:c>
      <x:c r="CJ285" s="6" t="str">
        <x:v>Loss</x:v>
      </x:c>
      <x:c r="CK285" s="9" t="str">
        <x:v>0.042677268366101376</x:v>
      </x:c>
      <x:c r="CL285" s="9" t="str">
        <x:v>1.7924452713762578</x:v>
      </x:c>
      <x:c r="CM285" s="7" t="str">
        <x:v>2024-12-18 02:50:00-06:00</x:v>
      </x:c>
      <x:c r="CN285" s="6" t="str">
        <x:v>21064.53416112037</x:v>
      </x:c>
      <x:c r="CO285" s="6" t="str">
        <x:v>STOP</x:v>
      </x:c>
      <x:c r="CP285" s="6" t="str">
        <x:v>F::Long::Same-bar Setup+BOS::Tolerance-only shallow touch</x:v>
      </x:c>
    </x:row>
    <x:row r="286" ht="18" customHeight="1">
      <x:c r="A286" s="6" t="str">
        <x:v>A0285</x:v>
      </x:c>
      <x:c r="B286" s="6" t="str">
        <x:v>2024-12-18</x:v>
      </x:c>
      <x:c r="C286" s="6" t="str">
        <x:v>2024</x:v>
      </x:c>
      <x:c r="D286" s="6" t="str">
        <x:v>2024-Q4</x:v>
      </x:c>
      <x:c r="E286" s="6" t="str">
        <x:v>First 50%</x:v>
      </x:c>
      <x:c r="F286" s="6" t="str">
        <x:v>Short</x:v>
      </x:c>
      <x:c r="G286" s="6" t="str">
        <x:v>Short</x:v>
      </x:c>
      <x:c r="H286" s="6" t="str">
        <x:v>Overnight</x:v>
      </x:c>
      <x:c r="I286" s="6" t="str">
        <x:v>Overnight</x:v>
      </x:c>
      <x:c r="J286" s="6" t="str">
        <x:v>Bear</x:v>
      </x:c>
      <x:c r="K286" s="6" t="str">
        <x:v>Bear</x:v>
      </x:c>
      <x:c r="L286" s="6" t="str">
        <x:v>LOW</x:v>
      </x:c>
      <x:c r="M286" s="7" t="str">
        <x:v>2024-12-18 20:35:00-06:00</x:v>
      </x:c>
      <x:c r="N286" s="6" t="str">
        <x:v>90.0</x:v>
      </x:c>
      <x:c r="O286" s="6" t="str">
        <x:v>90-94</x:v>
      </x:c>
      <x:c r="P286" s="6" t="str">
        <x:v>Matching BOS only</x:v>
      </x:c>
      <x:c r="Q286" s="6" t="str">
        <x:v>Bear BOS</x:v>
      </x:c>
      <x:c r="R286" s="6" t="str">
        <x:v>True</x:v>
      </x:c>
      <x:c r="S286" s="6" t="str">
        <x:v>False</x:v>
      </x:c>
      <x:c r="T286" s="6" t="str">
        <x:v>Recent BSL</x:v>
      </x:c>
      <x:c r="U286" s="6" t="str">
        <x:v>BSL</x:v>
      </x:c>
      <x:c r="V286" s="6" t="str">
        <x:v>Swing high / buy-side</x:v>
      </x:c>
      <x:c r="W286" s="6" t="str">
        <x:v>[20299.75]</x:v>
      </x:c>
      <x:c r="X286" s="8" t="str">
        <x:v>1</x:v>
      </x:c>
      <x:c r="Y286" s="8" t="str">
        <x:v>19.0</x:v>
      </x:c>
      <x:c r="Z286" s="6" t="str">
        <x:v>None</x:v>
      </x:c>
      <x:c r="AA286" s="6" t="str">
        <x:v>20226.0</x:v>
      </x:c>
      <x:c r="AB286" s="9" t="str">
        <x:v>0.26562546027079703</x:v>
      </x:c>
      <x:c r="AC286" s="9" t="str">
        <x:v>0.720983392163592</x:v>
      </x:c>
      <x:c r="AD286" s="9" t="str">
        <x:v>0.8854182009026568</x:v>
      </x:c>
      <x:c r="AE286" s="6" t="str">
        <x:v>With trade</x:v>
      </x:c>
      <x:c r="AF286" s="7" t="str">
        <x:v>2024-12-18 20:35:00-06:00</x:v>
      </x:c>
      <x:c r="AG286" s="6" t="str">
        <x:v>Short</x:v>
      </x:c>
      <x:c r="AH286" s="6" t="str">
        <x:v>20226.0</x:v>
      </x:c>
      <x:c r="AI286" s="8" t="str">
        <x:v>0</x:v>
      </x:c>
      <x:c r="AJ286" s="6" t="str">
        <x:v>True</x:v>
      </x:c>
      <x:c r="AK286" s="6" t="str">
        <x:v>Same-bar Setup+BOS</x:v>
      </x:c>
      <x:c r="AL286" s="9" t="str">
        <x:v>0.7083345607221254</x:v>
      </x:c>
      <x:c r="AM286" s="9" t="str">
        <x:v>0.26562546027079703</x:v>
      </x:c>
      <x:c r="AN286" s="9" t="str">
        <x:v>0.720983392163592</x:v>
      </x:c>
      <x:c r="AO286" s="9" t="str">
        <x:v>0.8854182009026568</x:v>
      </x:c>
      <x:c r="AP286" s="10" t="str">
        <x:v>0.8142857142857143</x:v>
      </x:c>
      <x:c r="AQ286" s="6" t="str">
        <x:v>0.15714285714285714</x:v>
      </x:c>
      <x:c r="AR286" s="6" t="str">
        <x:v>0.02857142857142857</x:v>
      </x:c>
      <x:c r="AS286" s="6" t="str">
        <x:v>With trade</x:v>
      </x:c>
      <x:c r="AT286" s="6" t="str">
        <x:v>0.9150852364104214</x:v>
      </x:c>
      <x:c r="AU286" s="7" t="str">
        <x:v>2024-12-18 20:45:00-06:00</x:v>
      </x:c>
      <x:c r="AV286" s="8" t="str">
        <x:v>2</x:v>
      </x:c>
      <x:c r="AW286" s="6" t="str">
        <x:v>Delayed retest (2+ bars)</x:v>
      </x:c>
      <x:c r="AX286" s="6" t="str">
        <x:v>20224.5</x:v>
      </x:c>
      <x:c r="AY286" s="6" t="str">
        <x:v>0.0</x:v>
      </x:c>
      <x:c r="AZ286" s="9" t="str">
        <x:v>0.0</x:v>
      </x:c>
      <x:c r="BA286" s="9" t="str">
        <x:v>0.44710074814733514</x:v>
      </x:c>
      <x:c r="BB286" s="9" t="str">
        <x:v>0.644351078212336</x:v>
      </x:c>
      <x:c r="BC286" s="9" t="str">
        <x:v>0.1052001760346671</x:v>
      </x:c>
      <x:c r="BD286" s="6" t="str">
        <x:v>0.5714285714285714</x:v>
      </x:c>
      <x:c r="BE286" s="6" t="str">
        <x:v>0.2653061224489796</x:v>
      </x:c>
      <x:c r="BF286" s="9" t="str">
        <x:v>0.3682006161213348</x:v>
      </x:c>
      <x:c r="BG286" s="9" t="str">
        <x:v>0.17095028605633403</x:v>
      </x:c>
      <x:c r="BH286" s="6" t="str">
        <x:v>Against trade</x:v>
      </x:c>
      <x:c r="BI286" s="6" t="str">
        <x:v>Tolerance-only shallow touch</x:v>
      </x:c>
      <x:c r="BJ286" s="6" t="str">
        <x:v>True</x:v>
      </x:c>
      <x:c r="BK286" s="10" t="str">
        <x:v>False</x:v>
      </x:c>
      <x:c r="BL286" s="6" t="str">
        <x:v>True</x:v>
      </x:c>
      <x:c r="BM286" s="7" t="str">
        <x:v>2024-12-18 20:55:00-06:00</x:v>
      </x:c>
      <x:c r="BN286" s="8" t="str">
        <x:v>2</x:v>
      </x:c>
      <x:c r="BO286" s="6" t="str">
        <x:v>Delayed confirmation (2+ bars)</x:v>
      </x:c>
      <x:c r="BP286" s="9" t="str">
        <x:v>0.37603312716446313</x:v>
      </x:c>
      <x:c r="BQ286" s="9" t="str">
        <x:v>0.6872329565419498</x:v>
      </x:c>
      <x:c r="BR286" s="10" t="str">
        <x:v>0.5471698113207547</x:v>
      </x:c>
      <x:c r="BS286" s="9" t="str">
        <x:v>0.557566360967997</x:v>
      </x:c>
      <x:c r="BT286" s="9" t="str">
        <x:v>0.11669993601655752</x:v>
      </x:c>
      <x:c r="BU286" s="9" t="str">
        <x:v>0.0</x:v>
      </x:c>
      <x:c r="BV286" s="6" t="str">
        <x:v>With trade</x:v>
      </x:c>
      <x:c r="BW286" s="7" t="str">
        <x:v>2024-12-18 20:55:00-06:00</x:v>
      </x:c>
      <x:c r="BX286" s="6" t="str">
        <x:v>20215.25</x:v>
      </x:c>
      <x:c r="BY286" s="9" t="str">
        <x:v>19.280216226346237</x:v>
      </x:c>
      <x:c r="BZ286" s="9" t="str">
        <x:v>0.14</x:v>
      </x:c>
      <x:c r="CA286" s="6" t="str">
        <x:v>20244.17032433952</x:v>
      </x:c>
      <x:c r="CB286" s="6" t="str">
        <x:v>28.920324339520448</x:v>
      </x:c>
      <x:c r="CC286" s="9" t="str">
        <x:v>1.5000000000000566</x:v>
      </x:c>
      <x:c r="CD286" s="6" t="str">
        <x:v>20157.409351320963</x:v>
      </x:c>
      <x:c r="CE286" s="6" t="str">
        <x:v>57.84064867903726</x:v>
      </x:c>
      <x:c r="CF286" s="6" t="str">
        <x:v>Fixed 2.00R target</x:v>
      </x:c>
      <x:c r="CG286" s="9" t="str">
        <x:v>0.025068875144296596</x:v>
      </x:c>
      <x:c r="CH286" s="9" t="str">
        <x:v>-0.6396885381648338</x:v>
      </x:c>
      <x:c r="CI286" s="9" t="str">
        <x:v>-0.6647574133091304</x:v>
      </x:c>
      <x:c r="CJ286" s="6" t="str">
        <x:v>Loss</x:v>
      </x:c>
      <x:c r="CK286" s="9" t="str">
        <x:v>1.2102215586901806</x:v>
      </x:c>
      <x:c r="CL286" s="9" t="str">
        <x:v>0.8471550910831264</x:v>
      </x:c>
      <x:c r="CM286" s="7" t="str">
        <x:v>2024-12-18 21:55:00-06:00</x:v>
      </x:c>
      <x:c r="CN286" s="6" t="str">
        <x:v>20233.75</x:v>
      </x:c>
      <x:c r="CO286" s="6" t="str">
        <x:v>TIME</x:v>
      </x:c>
      <x:c r="CP286" s="6" t="str">
        <x:v>F::Short::Same-bar Setup+BOS::Tolerance-only shallow touch</x:v>
      </x:c>
    </x:row>
    <x:row r="287" ht="18" customHeight="1">
      <x:c r="A287" s="6" t="str">
        <x:v>A0286</x:v>
      </x:c>
      <x:c r="B287" s="6" t="str">
        <x:v>2024-12-19</x:v>
      </x:c>
      <x:c r="C287" s="6" t="str">
        <x:v>2024</x:v>
      </x:c>
      <x:c r="D287" s="6" t="str">
        <x:v>2024-Q4</x:v>
      </x:c>
      <x:c r="E287" s="6" t="str">
        <x:v>First 50%</x:v>
      </x:c>
      <x:c r="F287" s="6" t="str">
        <x:v>Short</x:v>
      </x:c>
      <x:c r="G287" s="6" t="str">
        <x:v>Short</x:v>
      </x:c>
      <x:c r="H287" s="6" t="str">
        <x:v>Premarket</x:v>
      </x:c>
      <x:c r="I287" s="6" t="str">
        <x:v>Premarket</x:v>
      </x:c>
      <x:c r="J287" s="6" t="str">
        <x:v>Bear</x:v>
      </x:c>
      <x:c r="K287" s="6" t="str">
        <x:v>Bear</x:v>
      </x:c>
      <x:c r="L287" s="6" t="str">
        <x:v>HIGH</x:v>
      </x:c>
      <x:c r="M287" s="7" t="str">
        <x:v>2024-12-19 08:40:00-06:00</x:v>
      </x:c>
      <x:c r="N287" s="6" t="str">
        <x:v>75.0</x:v>
      </x:c>
      <x:c r="O287" s="6" t="str">
        <x:v>75-79</x:v>
      </x:c>
      <x:c r="P287" s="6" t="str">
        <x:v>Matching BOS only</x:v>
      </x:c>
      <x:c r="Q287" s="6" t="str">
        <x:v>Bear CHoCH</x:v>
      </x:c>
      <x:c r="R287" s="6" t="str">
        <x:v>True</x:v>
      </x:c>
      <x:c r="S287" s="6" t="str">
        <x:v>False</x:v>
      </x:c>
      <x:c r="T287" s="6" t="str">
        <x:v>Recent BSL</x:v>
      </x:c>
      <x:c r="U287" s="6" t="str">
        <x:v>BSL</x:v>
      </x:c>
      <x:c r="V287" s="6" t="str">
        <x:v>Swing high / buy-side</x:v>
      </x:c>
      <x:c r="W287" s="6" t="str">
        <x:v>[20433.25]</x:v>
      </x:c>
      <x:c r="X287" s="8" t="str">
        <x:v>1</x:v>
      </x:c>
      <x:c r="Y287" s="8" t="str">
        <x:v>3.0</x:v>
      </x:c>
      <x:c r="Z287" s="6" t="str">
        <x:v>None</x:v>
      </x:c>
      <x:c r="AA287" s="6" t="str">
        <x:v>20354.75</x:v>
      </x:c>
      <x:c r="AB287" s="9" t="str">
        <x:v>0.44826323250674455</x:v>
      </x:c>
      <x:c r="AC287" s="9" t="str">
        <x:v>0.7103248145876105</x:v>
      </x:c>
      <x:c r="AD287" s="9" t="str">
        <x:v>2.5930303911159376</x:v>
      </x:c>
      <x:c r="AE287" s="6" t="str">
        <x:v>With trade</x:v>
      </x:c>
      <x:c r="AF287" s="7" t="str">
        <x:v>2024-12-19 08:40:00-06:00</x:v>
      </x:c>
      <x:c r="AG287" s="6" t="str">
        <x:v>Short</x:v>
      </x:c>
      <x:c r="AH287" s="6" t="str">
        <x:v>20354.75</x:v>
      </x:c>
      <x:c r="AI287" s="8" t="str">
        <x:v>0</x:v>
      </x:c>
      <x:c r="AJ287" s="6" t="str">
        <x:v>True</x:v>
      </x:c>
      <x:c r="AK287" s="6" t="str">
        <x:v>Same-bar Setup+BOS</x:v>
      </x:c>
      <x:c r="AL287" s="9" t="str">
        <x:v>0.7172211720107913</x:v>
      </x:c>
      <x:c r="AM287" s="9" t="str">
        <x:v>0.44826323250674455</x:v>
      </x:c>
      <x:c r="AN287" s="9" t="str">
        <x:v>0.7103248145876105</x:v>
      </x:c>
      <x:c r="AO287" s="9" t="str">
        <x:v>2.5930303911159376</x:v>
      </x:c>
      <x:c r="AP287" s="10" t="str">
        <x:v>0.27393617021276595</x:v>
      </x:c>
      <x:c r="AQ287" s="6" t="str">
        <x:v>0.6622340425531915</x:v>
      </x:c>
      <x:c r="AR287" s="6" t="str">
        <x:v>0.06382978723404255</x:v>
      </x:c>
      <x:c r="AS287" s="6" t="str">
        <x:v>With trade</x:v>
      </x:c>
      <x:c r="AT287" s="6" t="str">
        <x:v>4.690569948186528</x:v>
      </x:c>
      <x:c r="AU287" s="7" t="str">
        <x:v>2024-12-19 08:45:00-06:00</x:v>
      </x:c>
      <x:c r="AV287" s="8" t="str">
        <x:v>1</x:v>
      </x:c>
      <x:c r="AW287" s="6" t="str">
        <x:v>Immediate retest (1 bar)</x:v>
      </x:c>
      <x:c r="AX287" s="6" t="str">
        <x:v>20399.5</x:v>
      </x:c>
      <x:c r="AY287" s="6" t="str">
        <x:v>44.75</x:v>
      </x:c>
      <x:c r="AZ287" s="9" t="str">
        <x:v>1.1489862350819005</x:v>
      </x:c>
      <x:c r="BA287" s="9" t="str">
        <x:v>-0.0256756700576961</x:v>
      </x:c>
      <x:c r="BB287" s="9" t="str">
        <x:v>1.8999995842695114</x:v>
      </x:c>
      <x:c r="BC287" s="9" t="str">
        <x:v>0.43006747346640967</x:v>
      </x:c>
      <x:c r="BD287" s="6" t="str">
        <x:v>0.5912162162162162</x:v>
      </x:c>
      <x:c r="BE287" s="6" t="str">
        <x:v>0.18243243243243243</x:v>
      </x:c>
      <x:c r="BF287" s="9" t="str">
        <x:v>1.1233105650242043</x:v>
      </x:c>
      <x:c r="BG287" s="9" t="str">
        <x:v>0.3466215457788973</x:v>
      </x:c>
      <x:c r="BH287" s="6" t="str">
        <x:v>Against trade</x:v>
      </x:c>
      <x:c r="BI287" s="6" t="str">
        <x:v>Penetration without same-bar reclaim</x:v>
      </x:c>
      <x:c r="BJ287" s="6" t="str">
        <x:v>False</x:v>
      </x:c>
      <x:c r="BK287" s="10" t="str">
        <x:v>True</x:v>
      </x:c>
      <x:c r="BL287" s="6" t="str">
        <x:v>False</x:v>
      </x:c>
      <x:c r="BM287" s="7" t="str">
        <x:v>2024-12-19 08:50:00-06:00</x:v>
      </x:c>
      <x:c r="BN287" s="8" t="str">
        <x:v>1</x:v>
      </x:c>
      <x:c r="BO287" s="6" t="str">
        <x:v>Immediate confirmation (1 bar)</x:v>
      </x:c>
      <x:c r="BP287" s="9" t="str">
        <x:v>1.0167103605394585</x:v>
      </x:c>
      <x:c r="BQ287" s="9" t="str">
        <x:v>1.444472646376182</x:v>
      </x:c>
      <x:c r="BR287" s="10" t="str">
        <x:v>0.703862660944206</x:v>
      </x:c>
      <x:c r="BS287" s="9" t="str">
        <x:v>0.9609152797781467</x:v>
      </x:c>
      <x:c r="BT287" s="9" t="str">
        <x:v>0.9857130934498409</x:v>
      </x:c>
      <x:c r="BU287" s="9" t="str">
        <x:v>0.37196720507541164</x:v>
      </x:c>
      <x:c r="BV287" s="6" t="str">
        <x:v>With trade</x:v>
      </x:c>
      <x:c r="BW287" s="7" t="str">
        <x:v>2024-12-19 08:50:00-06:00</x:v>
      </x:c>
      <x:c r="BX287" s="6" t="str">
        <x:v>20316.0</x:v>
      </x:c>
      <x:c r="BY287" s="9" t="str">
        <x:v>40.32613573274273</x:v>
      </x:c>
      <x:c r="BZ287" s="9" t="str">
        <x:v>1.0</x:v>
      </x:c>
      <x:c r="CA287" s="6" t="str">
        <x:v>20376.489203599114</x:v>
      </x:c>
      <x:c r="CB287" s="6" t="str">
        <x:v>60.48920359911426</x:v>
      </x:c>
      <x:c r="CC287" s="9" t="str">
        <x:v>1.5000000000000042</x:v>
      </x:c>
      <x:c r="CD287" s="6" t="str">
        <x:v>20195.02159280177</x:v>
      </x:c>
      <x:c r="CE287" s="6" t="str">
        <x:v>120.97840719822852</x:v>
      </x:c>
      <x:c r="CF287" s="6" t="str">
        <x:v>Fixed 2.00R target</x:v>
      </x:c>
      <x:c r="CG287" s="9" t="str">
        <x:v>0.011985609941318786</x:v>
      </x:c>
      <x:c r="CH287" s="9" t="str">
        <x:v>-1.0</x:v>
      </x:c>
      <x:c r="CI287" s="9" t="str">
        <x:v>-1.0119856099413187</x:v>
      </x:c>
      <x:c r="CJ287" s="6" t="str">
        <x:v>Loss</x:v>
      </x:c>
      <x:c r="CK287" s="9" t="str">
        <x:v>0.7935300374942093</x:v>
      </x:c>
      <x:c r="CL287" s="9" t="str">
        <x:v>1.2316247456941374</x:v>
      </x:c>
      <x:c r="CM287" s="7" t="str">
        <x:v>2024-12-19 09:10:00-06:00</x:v>
      </x:c>
      <x:c r="CN287" s="6" t="str">
        <x:v>20376.489203599114</x:v>
      </x:c>
      <x:c r="CO287" s="6" t="str">
        <x:v>STOP</x:v>
      </x:c>
      <x:c r="CP287" s="6" t="str">
        <x:v>F::Short::Same-bar Setup+BOS::Penetration without same-bar reclaim</x:v>
      </x:c>
    </x:row>
    <x:row r="288" ht="18" customHeight="1">
      <x:c r="A288" s="6" t="str">
        <x:v>A0287</x:v>
      </x:c>
      <x:c r="B288" s="6" t="str">
        <x:v>2024-12-19</x:v>
      </x:c>
      <x:c r="C288" s="6" t="str">
        <x:v>2024</x:v>
      </x:c>
      <x:c r="D288" s="6" t="str">
        <x:v>2024-Q4</x:v>
      </x:c>
      <x:c r="E288" s="6" t="str">
        <x:v>First 50%</x:v>
      </x:c>
      <x:c r="F288" s="6" t="str">
        <x:v>Long</x:v>
      </x:c>
      <x:c r="G288" s="6" t="str">
        <x:v>Long</x:v>
      </x:c>
      <x:c r="H288" s="6" t="str">
        <x:v>Morning</x:v>
      </x:c>
      <x:c r="I288" s="6" t="str">
        <x:v>Opening</x:v>
      </x:c>
      <x:c r="J288" s="6" t="str">
        <x:v>Bear</x:v>
      </x:c>
      <x:c r="K288" s="6" t="str">
        <x:v>Bear</x:v>
      </x:c>
      <x:c r="L288" s="6" t="str">
        <x:v>HIGH</x:v>
      </x:c>
      <x:c r="M288" s="7" t="str">
        <x:v>2024-12-19 10:20:00-06:00</x:v>
      </x:c>
      <x:c r="N288" s="6" t="str">
        <x:v>100.0</x:v>
      </x:c>
      <x:c r="O288" s="6" t="str">
        <x:v>95+</x:v>
      </x:c>
      <x:c r="P288" s="6" t="str">
        <x:v>Matching BOS only</x:v>
      </x:c>
      <x:c r="Q288" s="6" t="str">
        <x:v>Bull CHoCH</x:v>
      </x:c>
      <x:c r="R288" s="6" t="str">
        <x:v>True</x:v>
      </x:c>
      <x:c r="S288" s="6" t="str">
        <x:v>False</x:v>
      </x:c>
      <x:c r="T288" s="6" t="str">
        <x:v>Recent SSL</x:v>
      </x:c>
      <x:c r="U288" s="6" t="str">
        <x:v>SSL</x:v>
      </x:c>
      <x:c r="V288" s="6" t="str">
        <x:v>Swing low / sell-side</x:v>
      </x:c>
      <x:c r="W288" s="6" t="str">
        <x:v>[20220.25]</x:v>
      </x:c>
      <x:c r="X288" s="8" t="str">
        <x:v>1</x:v>
      </x:c>
      <x:c r="Y288" s="8" t="str">
        <x:v>3.0</x:v>
      </x:c>
      <x:c r="Z288" s="6" t="str">
        <x:v>None</x:v>
      </x:c>
      <x:c r="AA288" s="6" t="str">
        <x:v>20336.5</x:v>
      </x:c>
      <x:c r="AB288" s="9" t="str">
        <x:v>0.14480788090513338</x:v>
      </x:c>
      <x:c r="AC288" s="9" t="str">
        <x:v>1.5702604585650402</x:v>
      </x:c>
      <x:c r="AD288" s="9" t="str">
        <x:v>1.742219817139886</x:v>
      </x:c>
      <x:c r="AE288" s="6" t="str">
        <x:v>With trade</x:v>
      </x:c>
      <x:c r="AF288" s="7" t="str">
        <x:v>2024-12-19 10:20:00-06:00</x:v>
      </x:c>
      <x:c r="AG288" s="6" t="str">
        <x:v>Long</x:v>
      </x:c>
      <x:c r="AH288" s="6" t="str">
        <x:v>20336.5</x:v>
      </x:c>
      <x:c r="AI288" s="8" t="str">
        <x:v>0</x:v>
      </x:c>
      <x:c r="AJ288" s="6" t="str">
        <x:v>True</x:v>
      </x:c>
      <x:c r="AK288" s="6" t="str">
        <x:v>Same-bar Setup+BOS</x:v>
      </x:c>
      <x:c r="AL288" s="9" t="str">
        <x:v>1.5657352122867547</x:v>
      </x:c>
      <x:c r="AM288" s="9" t="str">
        <x:v>0.14480788090513338</x:v>
      </x:c>
      <x:c r="AN288" s="9" t="str">
        <x:v>1.5702604585650402</x:v>
      </x:c>
      <x:c r="AO288" s="9" t="str">
        <x:v>1.742219817139886</x:v>
      </x:c>
      <x:c r="AP288" s="10" t="str">
        <x:v>0.9012987012987013</x:v>
      </x:c>
      <x:c r="AQ288" s="6" t="str">
        <x:v>0.07792207792207792</x:v>
      </x:c>
      <x:c r="AR288" s="6" t="str">
        <x:v>0.02077922077922078</x:v>
      </x:c>
      <x:c r="AS288" s="6" t="str">
        <x:v>With trade</x:v>
      </x:c>
      <x:c r="AT288" s="6" t="str">
        <x:v>0.8062141902756075</x:v>
      </x:c>
      <x:c r="AU288" s="7" t="str">
        <x:v>2024-12-19 10:25:00-06:00</x:v>
      </x:c>
      <x:c r="AV288" s="8" t="str">
        <x:v>1</x:v>
      </x:c>
      <x:c r="AW288" s="6" t="str">
        <x:v>Immediate retest (1 bar)</x:v>
      </x:c>
      <x:c r="AX288" s="6" t="str">
        <x:v>20338.75</x:v>
      </x:c>
      <x:c r="AY288" s="6" t="str">
        <x:v>0.0</x:v>
      </x:c>
      <x:c r="AZ288" s="9" t="str">
        <x:v>0.0</x:v>
      </x:c>
      <x:c r="BA288" s="9" t="str">
        <x:v>0.32745563577451126</x:v>
      </x:c>
      <x:c r="BB288" s="9" t="str">
        <x:v>0.5613525184705908</x:v>
      </x:c>
      <x:c r="BC288" s="9" t="str">
        <x:v>0.19647338146470678</x:v>
      </x:c>
      <x:c r="BD288" s="6" t="str">
        <x:v>0.49166666666666664</x:v>
      </x:c>
      <x:c r="BE288" s="6" t="str">
        <x:v>0.15833333333333333</x:v>
      </x:c>
      <x:c r="BF288" s="9" t="str">
        <x:v>0.0888808154245102</x:v>
      </x:c>
      <x:c r="BG288" s="9" t="str">
        <x:v>0.2759983215813738</x:v>
      </x:c>
      <x:c r="BH288" s="6" t="str">
        <x:v>With trade</x:v>
      </x:c>
      <x:c r="BI288" s="6" t="str">
        <x:v>Tolerance-only shallow touch</x:v>
      </x:c>
      <x:c r="BJ288" s="6" t="str">
        <x:v>True</x:v>
      </x:c>
      <x:c r="BK288" s="10" t="str">
        <x:v>False</x:v>
      </x:c>
      <x:c r="BL288" s="6" t="str">
        <x:v>True</x:v>
      </x:c>
      <x:c r="BM288" s="7" t="str">
        <x:v>2024-12-19 10:35:00-06:00</x:v>
      </x:c>
      <x:c r="BN288" s="8" t="str">
        <x:v>2</x:v>
      </x:c>
      <x:c r="BO288" s="6" t="str">
        <x:v>Delayed confirmation (2+ bars)</x:v>
      </x:c>
      <x:c r="BP288" s="9" t="str">
        <x:v>0.5907112536160433</x:v>
      </x:c>
      <x:c r="BQ288" s="9" t="str">
        <x:v>1.3581707563455483</x:v>
      </x:c>
      <x:c r="BR288" s="10" t="str">
        <x:v>0.4349315068493151</x:v>
      </x:c>
      <x:c r="BS288" s="9" t="str">
        <x:v>0.6279214113241405</x:v>
      </x:c>
      <x:c r="BT288" s="9" t="str">
        <x:v>0.30233253137828986</x:v>
      </x:c>
      <x:c r="BU288" s="9" t="str">
        <x:v>0.5628036353349704</x:v>
      </x:c>
      <x:c r="BV288" s="6" t="str">
        <x:v>With trade</x:v>
      </x:c>
      <x:c r="BW288" s="7" t="str">
        <x:v>2024-12-19 10:35:00-06:00</x:v>
      </x:c>
      <x:c r="BX288" s="6" t="str">
        <x:v>20370.25</x:v>
      </x:c>
      <x:c r="BY288" s="9" t="str">
        <x:v>53.748764401629636</x:v>
      </x:c>
      <x:c r="BZ288" s="9" t="str">
        <x:v>0.93</x:v>
      </x:c>
      <x:c r="CA288" s="6" t="str">
        <x:v>20289.626853397556</x:v>
      </x:c>
      <x:c r="CB288" s="6" t="str">
        <x:v>80.62314660244374</x:v>
      </x:c>
      <x:c r="CC288" s="9" t="str">
        <x:v>1.4999999999999867</x:v>
      </x:c>
      <x:c r="CD288" s="6" t="str">
        <x:v>20531.496293204887</x:v>
      </x:c>
      <x:c r="CE288" s="6" t="str">
        <x:v>161.24629320488748</x:v>
      </x:c>
      <x:c r="CF288" s="6" t="str">
        <x:v>Fixed 2.00R target</x:v>
      </x:c>
      <x:c r="CG288" s="9" t="str">
        <x:v>0.008992454779456906</x:v>
      </x:c>
      <x:c r="CH288" s="9" t="str">
        <x:v>-1.0</x:v>
      </x:c>
      <x:c r="CI288" s="9" t="str">
        <x:v>-1.0089924547794569</x:v>
      </x:c>
      <x:c r="CJ288" s="6" t="str">
        <x:v>Loss</x:v>
      </x:c>
      <x:c r="CK288" s="9" t="str">
        <x:v>0.06821862246484549</x:v>
      </x:c>
      <x:c r="CL288" s="9" t="str">
        <x:v>1.1070021918159019</x:v>
      </x:c>
      <x:c r="CM288" s="7" t="str">
        <x:v>2024-12-19 11:05:00-06:00</x:v>
      </x:c>
      <x:c r="CN288" s="6" t="str">
        <x:v>20289.626853397556</x:v>
      </x:c>
      <x:c r="CO288" s="6" t="str">
        <x:v>STOP</x:v>
      </x:c>
      <x:c r="CP288" s="6" t="str">
        <x:v>F::Long::Same-bar Setup+BOS::Tolerance-only shallow touch</x:v>
      </x:c>
    </x:row>
    <x:row r="289" ht="18" customHeight="1">
      <x:c r="A289" s="6" t="str">
        <x:v>A0288</x:v>
      </x:c>
      <x:c r="B289" s="6" t="str">
        <x:v>2024-12-23</x:v>
      </x:c>
      <x:c r="C289" s="6" t="str">
        <x:v>2024</x:v>
      </x:c>
      <x:c r="D289" s="6" t="str">
        <x:v>2024-Q4</x:v>
      </x:c>
      <x:c r="E289" s="6" t="str">
        <x:v>First 50%</x:v>
      </x:c>
      <x:c r="F289" s="6" t="str">
        <x:v>Short</x:v>
      </x:c>
      <x:c r="G289" s="6" t="str">
        <x:v>Short</x:v>
      </x:c>
      <x:c r="H289" s="6" t="str">
        <x:v>Premarket</x:v>
      </x:c>
      <x:c r="I289" s="6" t="str">
        <x:v>Premarket</x:v>
      </x:c>
      <x:c r="J289" s="6" t="str">
        <x:v>Bull</x:v>
      </x:c>
      <x:c r="K289" s="6" t="str">
        <x:v>Bull</x:v>
      </x:c>
      <x:c r="L289" s="6" t="str">
        <x:v>HIGH</x:v>
      </x:c>
      <x:c r="M289" s="7" t="str">
        <x:v>2024-12-23 09:05:00-06:00</x:v>
      </x:c>
      <x:c r="N289" s="6" t="str">
        <x:v>90.0</x:v>
      </x:c>
      <x:c r="O289" s="6" t="str">
        <x:v>90-94</x:v>
      </x:c>
      <x:c r="P289" s="6" t="str">
        <x:v>Matching BOS only</x:v>
      </x:c>
      <x:c r="Q289" s="6" t="str">
        <x:v>Bear BOS</x:v>
      </x:c>
      <x:c r="R289" s="6" t="str">
        <x:v>True</x:v>
      </x:c>
      <x:c r="S289" s="6" t="str">
        <x:v>False</x:v>
      </x:c>
      <x:c r="T289" s="6" t="str">
        <x:v>Recent BSL</x:v>
      </x:c>
      <x:c r="U289" s="6" t="str">
        <x:v>BSL</x:v>
      </x:c>
      <x:c r="V289" s="6" t="str">
        <x:v>Swing high / buy-side</x:v>
      </x:c>
      <x:c r="W289" s="6" t="str">
        <x:v>[20425.0]</x:v>
      </x:c>
      <x:c r="X289" s="8" t="str">
        <x:v>1</x:v>
      </x:c>
      <x:c r="Y289" s="8" t="str">
        <x:v>7.0</x:v>
      </x:c>
      <x:c r="Z289" s="6" t="str">
        <x:v>None</x:v>
      </x:c>
      <x:c r="AA289" s="6" t="str">
        <x:v>20296.75</x:v>
      </x:c>
      <x:c r="AB289" s="9" t="str">
        <x:v>0.6799163978916714</x:v>
      </x:c>
      <x:c r="AC289" s="9" t="str">
        <x:v>1.6709809778693616</x:v>
      </x:c>
      <x:c r="AD289" s="9" t="str">
        <x:v>1.9072231161198576</x:v>
      </x:c>
      <x:c r="AE289" s="6" t="str">
        <x:v>With trade</x:v>
      </x:c>
      <x:c r="AF289" s="7" t="str">
        <x:v>2024-12-23 09:05:00-06:00</x:v>
      </x:c>
      <x:c r="AG289" s="6" t="str">
        <x:v>Short</x:v>
      </x:c>
      <x:c r="AH289" s="6" t="str">
        <x:v>20296.75</x:v>
      </x:c>
      <x:c r="AI289" s="8" t="str">
        <x:v>0</x:v>
      </x:c>
      <x:c r="AJ289" s="6" t="str">
        <x:v>True</x:v>
      </x:c>
      <x:c r="AK289" s="6" t="str">
        <x:v>Same-bar Setup+BOS</x:v>
      </x:c>
      <x:c r="AL289" s="9" t="str">
        <x:v>1.659456971125435</x:v>
      </x:c>
      <x:c r="AM289" s="9" t="str">
        <x:v>0.6799163978916714</x:v>
      </x:c>
      <x:c r="AN289" s="9" t="str">
        <x:v>1.6709809778693616</x:v>
      </x:c>
      <x:c r="AO289" s="9" t="str">
        <x:v>1.9072231161198576</x:v>
      </x:c>
      <x:c r="AP289" s="10" t="str">
        <x:v>0.8761329305135952</x:v>
      </x:c>
      <x:c r="AQ289" s="6" t="str">
        <x:v>0.10574018126888217</x:v>
      </x:c>
      <x:c r="AR289" s="6" t="str">
        <x:v>0.01812688821752266</x:v>
      </x:c>
      <x:c r="AS289" s="6" t="str">
        <x:v>With trade</x:v>
      </x:c>
      <x:c r="AT289" s="6" t="str">
        <x:v>2.3306747953900113</x:v>
      </x:c>
      <x:c r="AU289" s="7" t="str">
        <x:v>2024-12-23 09:10:00-06:00</x:v>
      </x:c>
      <x:c r="AV289" s="8" t="str">
        <x:v>1</x:v>
      </x:c>
      <x:c r="AW289" s="6" t="str">
        <x:v>Immediate retest (1 bar)</x:v>
      </x:c>
      <x:c r="AX289" s="6" t="str">
        <x:v>20300.75</x:v>
      </x:c>
      <x:c r="AY289" s="6" t="str">
        <x:v>4.0</x:v>
      </x:c>
      <x:c r="AZ289" s="9" t="str">
        <x:v>0.08811405393909655</x:v>
      </x:c>
      <x:c r="BA289" s="9" t="str">
        <x:v>0.005507128371193534</x:v>
      </x:c>
      <x:c r="BB289" s="9" t="str">
        <x:v>1.5750387141613509</x:v>
      </x:c>
      <x:c r="BC289" s="9" t="str">
        <x:v>0.63882689105845</x:v>
      </x:c>
      <x:c r="BD289" s="6" t="str">
        <x:v>0.05944055944055944</x:v>
      </x:c>
      <x:c r="BE289" s="6" t="str">
        <x:v>0.534965034965035</x:v>
      </x:c>
      <x:c r="BF289" s="9" t="str">
        <x:v>0.09362118231029008</x:v>
      </x:c>
      <x:c r="BG289" s="9" t="str">
        <x:v>0.8425906407926107</x:v>
      </x:c>
      <x:c r="BH289" s="6" t="str">
        <x:v>Against trade</x:v>
      </x:c>
      <x:c r="BI289" s="6" t="str">
        <x:v>Penetration + same-bar reclaim</x:v>
      </x:c>
      <x:c r="BJ289" s="6" t="str">
        <x:v>False</x:v>
      </x:c>
      <x:c r="BK289" s="10" t="str">
        <x:v>True</x:v>
      </x:c>
      <x:c r="BL289" s="6" t="str">
        <x:v>True</x:v>
      </x:c>
      <x:c r="BM289" s="7" t="str">
        <x:v>2024-12-23 09:15:00-06:00</x:v>
      </x:c>
      <x:c r="BN289" s="8" t="str">
        <x:v>1</x:v>
      </x:c>
      <x:c r="BO289" s="6" t="str">
        <x:v>Immediate confirmation (1 bar)</x:v>
      </x:c>
      <x:c r="BP289" s="9" t="str">
        <x:v>0.10457714109170949</x:v>
      </x:c>
      <x:c r="BQ289" s="9" t="str">
        <x:v>1.007242990514886</x:v>
      </x:c>
      <x:c r="BR289" s="10" t="str">
        <x:v>0.10382513661202186</x:v>
      </x:c>
      <x:c r="BS289" s="9" t="str">
        <x:v>0.11008120114916789</x:v>
      </x:c>
      <x:c r="BT289" s="9" t="str">
        <x:v>0.10457714109170949</x:v>
      </x:c>
      <x:c r="BU289" s="9" t="str">
        <x:v>0.5118775853436307</x:v>
      </x:c>
      <x:c r="BV289" s="6" t="str">
        <x:v>With trade</x:v>
      </x:c>
      <x:c r="BW289" s="7" t="str">
        <x:v>2024-12-23 09:15:00-06:00</x:v>
      </x:c>
      <x:c r="BX289" s="6" t="str">
        <x:v>20291.75</x:v>
      </x:c>
      <x:c r="BY289" s="9" t="str">
        <x:v>45.42101601184968</x:v>
      </x:c>
      <x:c r="BZ289" s="9" t="str">
        <x:v>1.0</x:v>
      </x:c>
      <x:c r="CA289" s="6" t="str">
        <x:v>20359.881524017776</x:v>
      </x:c>
      <x:c r="CB289" s="6" t="str">
        <x:v>68.13152401777552</x:v>
      </x:c>
      <x:c r="CC289" s="9" t="str">
        <x:v>1.500000000000022</x:v>
      </x:c>
      <x:c r="CD289" s="6" t="str">
        <x:v>20155.486951964453</x:v>
      </x:c>
      <x:c r="CE289" s="6" t="str">
        <x:v>136.2630480355474</x:v>
      </x:c>
      <x:c r="CF289" s="6" t="str">
        <x:v>Fixed 2.00R target</x:v>
      </x:c>
      <x:c r="CG289" s="9" t="str">
        <x:v>0.01064118277775274</x:v>
      </x:c>
      <x:c r="CH289" s="9" t="str">
        <x:v>-1.0</x:v>
      </x:c>
      <x:c r="CI289" s="9" t="str">
        <x:v>-1.0106411827777528</x:v>
      </x:c>
      <x:c r="CJ289" s="6" t="str">
        <x:v>Loss</x:v>
      </x:c>
      <x:c r="CK289" s="9" t="str">
        <x:v>0.3082273632176656</x:v>
      </x:c>
      <x:c r="CL289" s="9" t="str">
        <x:v>1.064118277775274</x:v>
      </x:c>
      <x:c r="CM289" s="7" t="str">
        <x:v>2024-12-23 10:00:00-06:00</x:v>
      </x:c>
      <x:c r="CN289" s="6" t="str">
        <x:v>20359.881524017776</x:v>
      </x:c>
      <x:c r="CO289" s="6" t="str">
        <x:v>STOP</x:v>
      </x:c>
      <x:c r="CP289" s="6" t="str">
        <x:v>F::Short::Same-bar Setup+BOS::Penetration + same-bar reclaim</x:v>
      </x:c>
    </x:row>
    <x:row r="290" ht="18" customHeight="1">
      <x:c r="A290" s="6" t="str">
        <x:v>A0289</x:v>
      </x:c>
      <x:c r="B290" s="6" t="str">
        <x:v>2024-12-24</x:v>
      </x:c>
      <x:c r="C290" s="6" t="str">
        <x:v>2024</x:v>
      </x:c>
      <x:c r="D290" s="6" t="str">
        <x:v>2024-Q4</x:v>
      </x:c>
      <x:c r="E290" s="6" t="str">
        <x:v>First 50%</x:v>
      </x:c>
      <x:c r="F290" s="6" t="str">
        <x:v>Long</x:v>
      </x:c>
      <x:c r="G290" s="6" t="str">
        <x:v>Long</x:v>
      </x:c>
      <x:c r="H290" s="6" t="str">
        <x:v>Opening</x:v>
      </x:c>
      <x:c r="I290" s="6" t="str">
        <x:v>Opening</x:v>
      </x:c>
      <x:c r="J290" s="6" t="str">
        <x:v>Bull</x:v>
      </x:c>
      <x:c r="K290" s="6" t="str">
        <x:v>Bull</x:v>
      </x:c>
      <x:c r="L290" s="6" t="str">
        <x:v>HIGH</x:v>
      </x:c>
      <x:c r="M290" s="7" t="str">
        <x:v>2024-12-24 09:40:00-06:00</x:v>
      </x:c>
      <x:c r="N290" s="6" t="str">
        <x:v>75.0</x:v>
      </x:c>
      <x:c r="O290" s="6" t="str">
        <x:v>75-79</x:v>
      </x:c>
      <x:c r="P290" s="6" t="str">
        <x:v>Matching BOS only</x:v>
      </x:c>
      <x:c r="Q290" s="6" t="str">
        <x:v>Bull BOS</x:v>
      </x:c>
      <x:c r="R290" s="6" t="str">
        <x:v>True</x:v>
      </x:c>
      <x:c r="S290" s="6" t="str">
        <x:v>False</x:v>
      </x:c>
      <x:c r="T290" s="6" t="str">
        <x:v>No recent matching sweep</x:v>
      </x:c>
      <x:c r="U290" s="6" t="str">
        <x:v>None</x:v>
      </x:c>
      <x:c r="V290" s="6" t="str">
        <x:v>None</x:v>
      </x:c>
      <x:c r="W290" s="6" t="str">
        <x:v>[]</x:v>
      </x:c>
      <x:c r="X290" s="8" t="str">
        <x:v>0</x:v>
      </x:c>
      <x:c r="Y290" s="8" t="str"/>
      <x:c r="Z290" s="6" t="str">
        <x:v>None</x:v>
      </x:c>
      <x:c r="AA290" s="6" t="str">
        <x:v>20693.75</x:v>
      </x:c>
      <x:c r="AB290" s="9" t="str">
        <x:v>0.7686123622513852</x:v>
      </x:c>
      <x:c r="AC290" s="9" t="str">
        <x:v>1.1529185433770777</x:v>
      </x:c>
      <x:c r="AD290" s="9" t="str">
        <x:v>1.322465387991354</x:v>
      </x:c>
      <x:c r="AE290" s="6" t="str">
        <x:v>With trade</x:v>
      </x:c>
      <x:c r="AF290" s="7" t="str">
        <x:v>2024-12-24 09:40:00-06:00</x:v>
      </x:c>
      <x:c r="AG290" s="6" t="str">
        <x:v>Long</x:v>
      </x:c>
      <x:c r="AH290" s="6" t="str">
        <x:v>20693.75</x:v>
      </x:c>
      <x:c r="AI290" s="8" t="str">
        <x:v>0</x:v>
      </x:c>
      <x:c r="AJ290" s="6" t="str">
        <x:v>True</x:v>
      </x:c>
      <x:c r="AK290" s="6" t="str">
        <x:v>Same-bar Setup+BOS</x:v>
      </x:c>
      <x:c r="AL290" s="9" t="str">
        <x:v>1.1642216663513627</x:v>
      </x:c>
      <x:c r="AM290" s="9" t="str">
        <x:v>0.7686123622513852</x:v>
      </x:c>
      <x:c r="AN290" s="9" t="str">
        <x:v>1.1529185433770777</x:v>
      </x:c>
      <x:c r="AO290" s="9" t="str">
        <x:v>1.322465387991354</x:v>
      </x:c>
      <x:c r="AP290" s="10" t="str">
        <x:v>0.8717948717948718</x:v>
      </x:c>
      <x:c r="AQ290" s="6" t="str">
        <x:v>0.05982905982905983</x:v>
      </x:c>
      <x:c r="AR290" s="6" t="str">
        <x:v>0.06837606837606838</x:v>
      </x:c>
      <x:c r="AS290" s="6" t="str">
        <x:v>With trade</x:v>
      </x:c>
      <x:c r="AT290" s="6" t="str">
        <x:v>1.3265931702070448</x:v>
      </x:c>
      <x:c r="AU290" s="7" t="str">
        <x:v>2024-12-24 09:50:00-06:00</x:v>
      </x:c>
      <x:c r="AV290" s="8" t="str">
        <x:v>2</x:v>
      </x:c>
      <x:c r="AW290" s="6" t="str">
        <x:v>Delayed retest (2+ bars)</x:v>
      </x:c>
      <x:c r="AX290" s="6" t="str">
        <x:v>20691.0</x:v>
      </x:c>
      <x:c r="AY290" s="6" t="str">
        <x:v>2.75</x:v>
      </x:c>
      <x:c r="AZ290" s="9" t="str">
        <x:v>0.12246785189632359</x:v>
      </x:c>
      <x:c r="BA290" s="9" t="str">
        <x:v>0.03340032324445189</x:v>
      </x:c>
      <x:c r="BB290" s="9" t="str">
        <x:v>1.3137460476151077</x:v>
      </x:c>
      <x:c r="BC290" s="9" t="str">
        <x:v>1.0242765794965245</x:v>
      </x:c>
      <x:c r="BD290" s="6" t="str">
        <x:v>0.1016949152542373</x:v>
      </x:c>
      <x:c r="BE290" s="6" t="str">
        <x:v>0.11864406779661017</x:v>
      </x:c>
      <x:c r="BF290" s="9" t="str">
        <x:v>0.15586817514077547</x:v>
      </x:c>
      <x:c r="BG290" s="9" t="str">
        <x:v>0.13360129297780757</x:v>
      </x:c>
      <x:c r="BH290" s="6" t="str">
        <x:v>Against trade</x:v>
      </x:c>
      <x:c r="BI290" s="6" t="str">
        <x:v>Penetration + same-bar reclaim</x:v>
      </x:c>
      <x:c r="BJ290" s="6" t="str">
        <x:v>False</x:v>
      </x:c>
      <x:c r="BK290" s="10" t="str">
        <x:v>True</x:v>
      </x:c>
      <x:c r="BL290" s="6" t="str">
        <x:v>True</x:v>
      </x:c>
      <x:c r="BM290" s="7" t="str">
        <x:v>2024-12-24 09:55:00-06:00</x:v>
      </x:c>
      <x:c r="BN290" s="8" t="str">
        <x:v>1</x:v>
      </x:c>
      <x:c r="BO290" s="6" t="str">
        <x:v>Immediate confirmation (1 bar)</x:v>
      </x:c>
      <x:c r="BP290" s="9" t="str">
        <x:v>0.8283021405826013</x:v>
      </x:c>
      <x:c r="BQ290" s="9" t="str">
        <x:v>1.1044028541101352</x:v>
      </x:c>
      <x:c r="BR290" s="10" t="str">
        <x:v>0.75</x:v>
      </x:c>
      <x:c r="BS290" s="9" t="str">
        <x:v>0.8614342262059054</x:v>
      </x:c>
      <x:c r="BT290" s="9" t="str">
        <x:v>0.8283021405826013</x:v>
      </x:c>
      <x:c r="BU290" s="9" t="str">
        <x:v>0.04417611416440541</x:v>
      </x:c>
      <x:c r="BV290" s="6" t="str">
        <x:v>With trade</x:v>
      </x:c>
      <x:c r="BW290" s="7" t="str">
        <x:v>2024-12-24 09:55:00-06:00</x:v>
      </x:c>
      <x:c r="BX290" s="6" t="str">
        <x:v>20713.25</x:v>
      </x:c>
      <x:c r="BY290" s="9" t="str">
        <x:v>22.636667323848574</x:v>
      </x:c>
      <x:c r="BZ290" s="9" t="str">
        <x:v>1.0</x:v>
      </x:c>
      <x:c r="CA290" s="6" t="str">
        <x:v>20679.294999014226</x:v>
      </x:c>
      <x:c r="CB290" s="6" t="str">
        <x:v>33.95500098577395</x:v>
      </x:c>
      <x:c r="CC290" s="9" t="str">
        <x:v>1.5000000000000482</x:v>
      </x:c>
      <x:c r="CD290" s="6" t="str">
        <x:v>20781.160001971544</x:v>
      </x:c>
      <x:c r="CE290" s="6" t="str">
        <x:v>67.91000197154426</x:v>
      </x:c>
      <x:c r="CF290" s="6" t="str">
        <x:v>Fixed 2.00R target</x:v>
      </x:c>
      <x:c r="CG290" s="9" t="str">
        <x:v>0.02135178851279526</x:v>
      </x:c>
      <x:c r="CH290" s="9" t="str">
        <x:v>0.02945074277627027</x:v>
      </x:c>
      <x:c r="CI290" s="9" t="str">
        <x:v>0.008098954263475008</x:v>
      </x:c>
      <x:c r="CJ290" s="6" t="str">
        <x:v>Win</x:v>
      </x:c>
      <x:c r="CK290" s="9" t="str">
        <x:v>1.001325254393157</x:v>
      </x:c>
      <x:c r="CL290" s="9" t="str">
        <x:v>0.28714474206862595</x:v>
      </x:c>
      <x:c r="CM290" s="7" t="str">
        <x:v>2024-12-24 10:55:00-06:00</x:v>
      </x:c>
      <x:c r="CN290" s="6" t="str">
        <x:v>20714.25</x:v>
      </x:c>
      <x:c r="CO290" s="6" t="str">
        <x:v>TIME</x:v>
      </x:c>
      <x:c r="CP290" s="6" t="str">
        <x:v>F::Long::Same-bar Setup+BOS::Penetration + same-bar reclaim</x:v>
      </x:c>
    </x:row>
    <x:row r="291" ht="18" customHeight="1">
      <x:c r="A291" s="6" t="str">
        <x:v>A0290</x:v>
      </x:c>
      <x:c r="B291" s="6" t="str">
        <x:v>2024-12-24</x:v>
      </x:c>
      <x:c r="C291" s="6" t="str">
        <x:v>2024</x:v>
      </x:c>
      <x:c r="D291" s="6" t="str">
        <x:v>2024-Q4</x:v>
      </x:c>
      <x:c r="E291" s="6" t="str">
        <x:v>First 50%</x:v>
      </x:c>
      <x:c r="F291" s="6" t="str">
        <x:v>Long</x:v>
      </x:c>
      <x:c r="G291" s="6" t="str">
        <x:v>Long</x:v>
      </x:c>
      <x:c r="H291" s="6" t="str">
        <x:v>Midday</x:v>
      </x:c>
      <x:c r="I291" s="6" t="str">
        <x:v>Morning</x:v>
      </x:c>
      <x:c r="J291" s="6" t="str">
        <x:v>Bull</x:v>
      </x:c>
      <x:c r="K291" s="6" t="str">
        <x:v>Bull</x:v>
      </x:c>
      <x:c r="L291" s="6" t="str">
        <x:v>HIGH</x:v>
      </x:c>
      <x:c r="M291" s="7" t="str">
        <x:v>2024-12-24 11:50:00-06:00</x:v>
      </x:c>
      <x:c r="N291" s="6" t="str">
        <x:v>100.0</x:v>
      </x:c>
      <x:c r="O291" s="6" t="str">
        <x:v>95+</x:v>
      </x:c>
      <x:c r="P291" s="6" t="str">
        <x:v>Matching BOS only</x:v>
      </x:c>
      <x:c r="Q291" s="6" t="str">
        <x:v>Bull BOS</x:v>
      </x:c>
      <x:c r="R291" s="6" t="str">
        <x:v>True</x:v>
      </x:c>
      <x:c r="S291" s="6" t="str">
        <x:v>False</x:v>
      </x:c>
      <x:c r="T291" s="6" t="str">
        <x:v>Recent SSL</x:v>
      </x:c>
      <x:c r="U291" s="6" t="str">
        <x:v>SSL</x:v>
      </x:c>
      <x:c r="V291" s="6" t="str">
        <x:v>Swing low / sell-side</x:v>
      </x:c>
      <x:c r="W291" s="6" t="str">
        <x:v>[20705.5]</x:v>
      </x:c>
      <x:c r="X291" s="8" t="str">
        <x:v>1</x:v>
      </x:c>
      <x:c r="Y291" s="8" t="str">
        <x:v>3.0</x:v>
      </x:c>
      <x:c r="Z291" s="6" t="str">
        <x:v>None</x:v>
      </x:c>
      <x:c r="AA291" s="6" t="str">
        <x:v>20747.25</x:v>
      </x:c>
      <x:c r="AB291" s="9" t="str">
        <x:v>0.5689195163900939</x:v>
      </x:c>
      <x:c r="AC291" s="9" t="str">
        <x:v>1.3352192731604244</x:v>
      </x:c>
      <x:c r="AD291" s="9" t="str">
        <x:v>1.486157104039429</x:v>
      </x:c>
      <x:c r="AE291" s="6" t="str">
        <x:v>With trade</x:v>
      </x:c>
      <x:c r="AF291" s="7" t="str">
        <x:v>2024-12-24 11:50:00-06:00</x:v>
      </x:c>
      <x:c r="AG291" s="6" t="str">
        <x:v>Long</x:v>
      </x:c>
      <x:c r="AH291" s="6" t="str">
        <x:v>20747.25</x:v>
      </x:c>
      <x:c r="AI291" s="8" t="str">
        <x:v>0</x:v>
      </x:c>
      <x:c r="AJ291" s="6" t="str">
        <x:v>True</x:v>
      </x:c>
      <x:c r="AK291" s="6" t="str">
        <x:v>Same-bar Setup+BOS</x:v>
      </x:c>
      <x:c r="AL291" s="9" t="str">
        <x:v>1.3584404779110406</x:v>
      </x:c>
      <x:c r="AM291" s="9" t="str">
        <x:v>0.5689195163900939</x:v>
      </x:c>
      <x:c r="AN291" s="9" t="str">
        <x:v>1.3352192731604244</x:v>
      </x:c>
      <x:c r="AO291" s="9" t="str">
        <x:v>1.486157104039429</x:v>
      </x:c>
      <x:c r="AP291" s="10" t="str">
        <x:v>0.8984375</x:v>
      </x:c>
      <x:c r="AQ291" s="6" t="str">
        <x:v>0.0390625</x:v>
      </x:c>
      <x:c r="AR291" s="6" t="str">
        <x:v>0.0625</x:v>
      </x:c>
      <x:c r="AS291" s="6" t="str">
        <x:v>With trade</x:v>
      </x:c>
      <x:c r="AT291" s="6" t="str">
        <x:v>1.629641510947149</x:v>
      </x:c>
      <x:c r="AU291" s="7" t="str">
        <x:v>2024-12-24 11:55:00-06:00</x:v>
      </x:c>
      <x:c r="AV291" s="8" t="str">
        <x:v>1</x:v>
      </x:c>
      <x:c r="AW291" s="6" t="str">
        <x:v>Immediate retest (1 bar)</x:v>
      </x:c>
      <x:c r="AX291" s="6" t="str">
        <x:v>20747.0</x:v>
      </x:c>
      <x:c r="AY291" s="6" t="str">
        <x:v>0.25</x:v>
      </x:c>
      <x:c r="AZ291" s="9" t="str">
        <x:v>0.010948908398384584</x:v>
      </x:c>
      <x:c r="BA291" s="9" t="str">
        <x:v>1.6423362597576876</x:v>
      </x:c>
      <x:c r="BB291" s="9" t="str">
        <x:v>1.7408764353431487</x:v>
      </x:c>
      <x:c r="BC291" s="9" t="str">
        <x:v>1.0839419314400738</x:v>
      </x:c>
      <x:c r="BD291" s="6" t="str">
        <x:v>0.050314465408805034</x:v>
      </x:c>
      <x:c r="BE291" s="6" t="str">
        <x:v>0.3270440251572327</x:v>
      </x:c>
      <x:c r="BF291" s="9" t="str">
        <x:v>0.5693432367159984</x:v>
      </x:c>
      <x:c r="BG291" s="9" t="str">
        <x:v>0.08759126718707667</x:v>
      </x:c>
      <x:c r="BH291" s="6" t="str">
        <x:v>With trade</x:v>
      </x:c>
      <x:c r="BI291" s="6" t="str">
        <x:v>Penetration + same-bar reclaim</x:v>
      </x:c>
      <x:c r="BJ291" s="6" t="str">
        <x:v>False</x:v>
      </x:c>
      <x:c r="BK291" s="10" t="str">
        <x:v>True</x:v>
      </x:c>
      <x:c r="BL291" s="6" t="str">
        <x:v>True</x:v>
      </x:c>
      <x:c r="BM291" s="7" t="str">
        <x:v>2024-12-24 12:00:00-06:00</x:v>
      </x:c>
      <x:c r="BN291" s="8" t="str">
        <x:v>1</x:v>
      </x:c>
      <x:c r="BO291" s="6" t="str">
        <x:v>Immediate confirmation (1 bar)</x:v>
      </x:c>
      <x:c r="BP291" s="9" t="str">
        <x:v>0.18839055450474157</x:v>
      </x:c>
      <x:c r="BQ291" s="9" t="str">
        <x:v>0.8422165966094329</x:v>
      </x:c>
      <x:c r="BR291" s="10" t="str">
        <x:v>0.2236842105263158</x:v>
      </x:c>
      <x:c r="BS291" s="9" t="str">
        <x:v>1.8395783557521823</x:v>
      </x:c>
      <x:c r="BT291" s="9" t="str">
        <x:v>0.17730875718093325</x:v>
      </x:c>
      <x:c r="BU291" s="9" t="str">
        <x:v>0.38786290633329146</x:v>
      </x:c>
      <x:c r="BV291" s="6" t="str">
        <x:v>With trade</x:v>
      </x:c>
      <x:c r="BW291" s="7" t="str">
        <x:v>2024-12-24 12:00:00-06:00</x:v>
      </x:c>
      <x:c r="BX291" s="6" t="str">
        <x:v>20788.75</x:v>
      </x:c>
      <x:c r="BY291" s="9" t="str">
        <x:v>22.55951744063173</x:v>
      </x:c>
      <x:c r="BZ291" s="9" t="str">
        <x:v>0.98</x:v>
      </x:c>
      <x:c r="CA291" s="6" t="str">
        <x:v>20754.910723839053</x:v>
      </x:c>
      <x:c r="CB291" s="6" t="str">
        <x:v>33.83927616094661</x:v>
      </x:c>
      <x:c r="CC291" s="9" t="str">
        <x:v>1.4999999999999565</x:v>
      </x:c>
      <x:c r="CD291" s="6" t="str">
        <x:v>20856.428552321897</x:v>
      </x:c>
      <x:c r="CE291" s="6" t="str">
        <x:v>67.67855232189686</x:v>
      </x:c>
      <x:c r="CF291" s="6" t="str">
        <x:v>Fixed 2.00R target</x:v>
      </x:c>
      <x:c r="CG291" s="9" t="str">
        <x:v>0.02142480815936339</x:v>
      </x:c>
      <x:c r="CH291" s="9" t="str">
        <x:v>0.5614777310729553</x:v>
      </x:c>
      <x:c r="CI291" s="9" t="str">
        <x:v>0.5400529229135919</x:v>
      </x:c>
      <x:c r="CJ291" s="6" t="str">
        <x:v>Win</x:v>
      </x:c>
      <x:c r="CK291" s="9" t="str">
        <x:v>1.4258579223300463</x:v>
      </x:c>
      <x:c r="CL291" s="9" t="str">
        <x:v>0.2733510006539467</x:v>
      </x:c>
      <x:c r="CM291" s="7" t="str">
        <x:v>2024-12-25 17:45:00-06:00</x:v>
      </x:c>
      <x:c r="CN291" s="6" t="str">
        <x:v>20807.75</x:v>
      </x:c>
      <x:c r="CO291" s="6" t="str">
        <x:v>TIME</x:v>
      </x:c>
      <x:c r="CP291" s="6" t="str">
        <x:v>F::Long::Same-bar Setup+BOS::Penetration + same-bar reclaim</x:v>
      </x:c>
    </x:row>
    <x:row r="292" ht="18" customHeight="1">
      <x:c r="A292" s="6" t="str">
        <x:v>A0291</x:v>
      </x:c>
      <x:c r="B292" s="6" t="str">
        <x:v>2024-12-26</x:v>
      </x:c>
      <x:c r="C292" s="6" t="str">
        <x:v>2024</x:v>
      </x:c>
      <x:c r="D292" s="6" t="str">
        <x:v>2024-Q4</x:v>
      </x:c>
      <x:c r="E292" s="6" t="str">
        <x:v>First 50%</x:v>
      </x:c>
      <x:c r="F292" s="6" t="str">
        <x:v>Short</x:v>
      </x:c>
      <x:c r="G292" s="6" t="str">
        <x:v>Short</x:v>
      </x:c>
      <x:c r="H292" s="6" t="str">
        <x:v>Overnight</x:v>
      </x:c>
      <x:c r="I292" s="6" t="str">
        <x:v>Overnight</x:v>
      </x:c>
      <x:c r="J292" s="6" t="str">
        <x:v>Bull</x:v>
      </x:c>
      <x:c r="K292" s="6" t="str">
        <x:v>Bull</x:v>
      </x:c>
      <x:c r="L292" s="6" t="str">
        <x:v>LOW</x:v>
      </x:c>
      <x:c r="M292" s="7" t="str">
        <x:v>2024-12-26 18:20:00-06:00</x:v>
      </x:c>
      <x:c r="N292" s="6" t="str">
        <x:v>75.0</x:v>
      </x:c>
      <x:c r="O292" s="6" t="str">
        <x:v>75-79</x:v>
      </x:c>
      <x:c r="P292" s="6" t="str">
        <x:v>Matching BOS only</x:v>
      </x:c>
      <x:c r="Q292" s="6" t="str">
        <x:v>Bear CHoCH</x:v>
      </x:c>
      <x:c r="R292" s="6" t="str">
        <x:v>True</x:v>
      </x:c>
      <x:c r="S292" s="6" t="str">
        <x:v>False</x:v>
      </x:c>
      <x:c r="T292" s="6" t="str">
        <x:v>Recent BSL</x:v>
      </x:c>
      <x:c r="U292" s="6" t="str">
        <x:v>BSL</x:v>
      </x:c>
      <x:c r="V292" s="6" t="str">
        <x:v>Swing high / buy-side</x:v>
      </x:c>
      <x:c r="W292" s="6" t="str">
        <x:v>[20755.75]</x:v>
      </x:c>
      <x:c r="X292" s="8" t="str">
        <x:v>1</x:v>
      </x:c>
      <x:c r="Y292" s="8" t="str">
        <x:v>7.0</x:v>
      </x:c>
      <x:c r="Z292" s="6" t="str">
        <x:v>None</x:v>
      </x:c>
      <x:c r="AA292" s="6" t="str">
        <x:v>20727.25</x:v>
      </x:c>
      <x:c r="AB292" s="9" t="str">
        <x:v>0.17148097277486699</x:v>
      </x:c>
      <x:c r="AC292" s="9" t="str">
        <x:v>0.514442918324601</x:v>
      </x:c>
      <x:c r="AD292" s="9" t="str">
        <x:v>1.8672372591041073</x:v>
      </x:c>
      <x:c r="AE292" s="6" t="str">
        <x:v>With trade</x:v>
      </x:c>
      <x:c r="AF292" s="7" t="str">
        <x:v>2024-12-26 18:20:00-06:00</x:v>
      </x:c>
      <x:c r="AG292" s="6" t="str">
        <x:v>Short</x:v>
      </x:c>
      <x:c r="AH292" s="6" t="str">
        <x:v>20727.25</x:v>
      </x:c>
      <x:c r="AI292" s="8" t="str">
        <x:v>0</x:v>
      </x:c>
      <x:c r="AJ292" s="6" t="str">
        <x:v>True</x:v>
      </x:c>
      <x:c r="AK292" s="6" t="str">
        <x:v>Same-bar Setup+BOS</x:v>
      </x:c>
      <x:c r="AL292" s="9" t="str">
        <x:v>0.5906566840023196</x:v>
      </x:c>
      <x:c r="AM292" s="9" t="str">
        <x:v>0.17148097277486699</x:v>
      </x:c>
      <x:c r="AN292" s="9" t="str">
        <x:v>0.514442918324601</x:v>
      </x:c>
      <x:c r="AO292" s="9" t="str">
        <x:v>1.8672372591041073</x:v>
      </x:c>
      <x:c r="AP292" s="10" t="str">
        <x:v>0.2755102040816326</x:v>
      </x:c>
      <x:c r="AQ292" s="6" t="str">
        <x:v>0.0</x:v>
      </x:c>
      <x:c r="AR292" s="6" t="str">
        <x:v>0.7244897959183674</x:v>
      </x:c>
      <x:c r="AS292" s="6" t="str">
        <x:v>With trade</x:v>
      </x:c>
      <x:c r="AT292" s="6" t="str">
        <x:v>3.966176766659956</x:v>
      </x:c>
      <x:c r="AU292" s="7" t="str">
        <x:v>2024-12-26 18:25:00-06:00</x:v>
      </x:c>
      <x:c r="AV292" s="8" t="str">
        <x:v>1</x:v>
      </x:c>
      <x:c r="AW292" s="6" t="str">
        <x:v>Immediate retest (1 bar)</x:v>
      </x:c>
      <x:c r="AX292" s="6" t="str">
        <x:v>20727.5</x:v>
      </x:c>
      <x:c r="AY292" s="6" t="str">
        <x:v>0.25</x:v>
      </x:c>
      <x:c r="AZ292" s="9" t="str">
        <x:v>0.01946359876415706</x:v>
      </x:c>
      <x:c r="BA292" s="9" t="str">
        <x:v>0.21409958640572765</x:v>
      </x:c>
      <x:c r="BB292" s="9" t="str">
        <x:v>0.7201531542738112</x:v>
      </x:c>
      <x:c r="BC292" s="9" t="str">
        <x:v>0.07785439505662824</x:v>
      </x:c>
      <x:c r="BD292" s="6" t="str">
        <x:v>0.32432432432432434</x:v>
      </x:c>
      <x:c r="BE292" s="6" t="str">
        <x:v>0.5675675675675675</x:v>
      </x:c>
      <x:c r="BF292" s="9" t="str">
        <x:v>0.23356318516988472</x:v>
      </x:c>
      <x:c r="BG292" s="9" t="str">
        <x:v>0.40873557404729827</x:v>
      </x:c>
      <x:c r="BH292" s="6" t="str">
        <x:v>Against trade</x:v>
      </x:c>
      <x:c r="BI292" s="6" t="str">
        <x:v>Penetration + same-bar reclaim</x:v>
      </x:c>
      <x:c r="BJ292" s="6" t="str">
        <x:v>False</x:v>
      </x:c>
      <x:c r="BK292" s="10" t="str">
        <x:v>True</x:v>
      </x:c>
      <x:c r="BL292" s="6" t="str">
        <x:v>True</x:v>
      </x:c>
      <x:c r="BM292" s="7" t="str">
        <x:v>2024-12-26 18:30:00-06:00</x:v>
      </x:c>
      <x:c r="BN292" s="8" t="str">
        <x:v>1</x:v>
      </x:c>
      <x:c r="BO292" s="6" t="str">
        <x:v>Immediate confirmation (1 bar)</x:v>
      </x:c>
      <x:c r="BP292" s="9" t="str">
        <x:v>0.06070123095414096</x:v>
      </x:c>
      <x:c r="BQ292" s="9" t="str">
        <x:v>0.4856098476331277</x:v>
      </x:c>
      <x:c r="BR292" s="10" t="str">
        <x:v>0.125</x:v>
      </x:c>
      <x:c r="BS292" s="9" t="str">
        <x:v>0.22257118016518354</x:v>
      </x:c>
      <x:c r="BT292" s="9" t="str">
        <x:v>-0.0</x:v>
      </x:c>
      <x:c r="BU292" s="9" t="str">
        <x:v>0.2630386674679442</x:v>
      </x:c>
      <x:c r="BV292" s="6" t="str">
        <x:v>With trade</x:v>
      </x:c>
      <x:c r="BW292" s="7" t="str">
        <x:v>2024-12-26 18:30:00-06:00</x:v>
      </x:c>
      <x:c r="BX292" s="6" t="str">
        <x:v>20724.5</x:v>
      </x:c>
      <x:c r="BY292" s="9" t="str">
        <x:v>12.355597871921507</x:v>
      </x:c>
      <x:c r="BZ292" s="9" t="str">
        <x:v>0.05</x:v>
      </x:c>
      <x:c r="CA292" s="6" t="str">
        <x:v>20743.03339680788</x:v>
      </x:c>
      <x:c r="CB292" s="6" t="str">
        <x:v>18.533396807881218</x:v>
      </x:c>
      <x:c r="CC292" s="9" t="str">
        <x:v>1.4999999999999156</x:v>
      </x:c>
      <x:c r="CD292" s="6" t="str">
        <x:v>20687.433206384234</x:v>
      </x:c>
      <x:c r="CE292" s="6" t="str">
        <x:v>37.06679361576607</x:v>
      </x:c>
      <x:c r="CF292" s="6" t="str">
        <x:v>Fixed 2.00R target</x:v>
      </x:c>
      <x:c r="CG292" s="9" t="str">
        <x:v>0.03911857105933749</x:v>
      </x:c>
      <x:c r="CH292" s="9" t="str">
        <x:v>0.5395664973701418</x:v>
      </x:c>
      <x:c r="CI292" s="9" t="str">
        <x:v>0.5004479263108044</x:v>
      </x:c>
      <x:c r="CJ292" s="6" t="str">
        <x:v>Win</x:v>
      </x:c>
      <x:c r="CK292" s="9" t="str">
        <x:v>1.1735571317801248</x:v>
      </x:c>
      <x:c r="CL292" s="9" t="str">
        <x:v>0.5395664973701723</x:v>
      </x:c>
      <x:c r="CM292" s="7" t="str">
        <x:v>2024-12-26 19:30:00-06:00</x:v>
      </x:c>
      <x:c r="CN292" s="6" t="str">
        <x:v>20714.5</x:v>
      </x:c>
      <x:c r="CO292" s="6" t="str">
        <x:v>TIME</x:v>
      </x:c>
      <x:c r="CP292" s="6" t="str">
        <x:v>F::Short::Same-bar Setup+BOS::Penetration + same-bar reclaim</x:v>
      </x:c>
    </x:row>
    <x:row r="293" ht="18" customHeight="1">
      <x:c r="A293" s="6" t="str">
        <x:v>A0292</x:v>
      </x:c>
      <x:c r="B293" s="6" t="str">
        <x:v>2024-12-27</x:v>
      </x:c>
      <x:c r="C293" s="6" t="str">
        <x:v>2024</x:v>
      </x:c>
      <x:c r="D293" s="6" t="str">
        <x:v>2024-Q4</x:v>
      </x:c>
      <x:c r="E293" s="6" t="str">
        <x:v>First 50%</x:v>
      </x:c>
      <x:c r="F293" s="6" t="str">
        <x:v>Long</x:v>
      </x:c>
      <x:c r="G293" s="6" t="str">
        <x:v>Long</x:v>
      </x:c>
      <x:c r="H293" s="6" t="str">
        <x:v>Midday</x:v>
      </x:c>
      <x:c r="I293" s="6" t="str">
        <x:v>Midday</x:v>
      </x:c>
      <x:c r="J293" s="6" t="str">
        <x:v>Bear</x:v>
      </x:c>
      <x:c r="K293" s="6" t="str">
        <x:v>Bear</x:v>
      </x:c>
      <x:c r="L293" s="6" t="str">
        <x:v>MID</x:v>
      </x:c>
      <x:c r="M293" s="7" t="str">
        <x:v>2024-12-27 12:50:00-06:00</x:v>
      </x:c>
      <x:c r="N293" s="6" t="str">
        <x:v>100.0</x:v>
      </x:c>
      <x:c r="O293" s="6" t="str">
        <x:v>95+</x:v>
      </x:c>
      <x:c r="P293" s="6" t="str">
        <x:v>Matching BOS only</x:v>
      </x:c>
      <x:c r="Q293" s="6" t="str">
        <x:v>Bull CHoCH</x:v>
      </x:c>
      <x:c r="R293" s="6" t="str">
        <x:v>True</x:v>
      </x:c>
      <x:c r="S293" s="6" t="str">
        <x:v>False</x:v>
      </x:c>
      <x:c r="T293" s="6" t="str">
        <x:v>Recent SSL</x:v>
      </x:c>
      <x:c r="U293" s="6" t="str">
        <x:v>SSL</x:v>
      </x:c>
      <x:c r="V293" s="6" t="str">
        <x:v>Swing low / sell-side</x:v>
      </x:c>
      <x:c r="W293" s="6" t="str">
        <x:v>[20259.5]</x:v>
      </x:c>
      <x:c r="X293" s="8" t="str">
        <x:v>1</x:v>
      </x:c>
      <x:c r="Y293" s="8" t="str">
        <x:v>19.0</x:v>
      </x:c>
      <x:c r="Z293" s="6" t="str">
        <x:v>None</x:v>
      </x:c>
      <x:c r="AA293" s="6" t="str">
        <x:v>20403.75</x:v>
      </x:c>
      <x:c r="AB293" s="9" t="str">
        <x:v>0.5214904876226076</x:v>
      </x:c>
      <x:c r="AC293" s="9" t="str">
        <x:v>1.3528521345571995</x:v>
      </x:c>
      <x:c r="AD293" s="9" t="str">
        <x:v>1.473777465020413</x:v>
      </x:c>
      <x:c r="AE293" s="6" t="str">
        <x:v>With trade</x:v>
      </x:c>
      <x:c r="AF293" s="7" t="str">
        <x:v>2024-12-27 12:50:00-06:00</x:v>
      </x:c>
      <x:c r="AG293" s="6" t="str">
        <x:v>Long</x:v>
      </x:c>
      <x:c r="AH293" s="6" t="str">
        <x:v>20403.75</x:v>
      </x:c>
      <x:c r="AI293" s="8" t="str">
        <x:v>0</x:v>
      </x:c>
      <x:c r="AJ293" s="6" t="str">
        <x:v>True</x:v>
      </x:c>
      <x:c r="AK293" s="6" t="str">
        <x:v>Same-bar Setup+BOS</x:v>
      </x:c>
      <x:c r="AL293" s="9" t="str">
        <x:v>1.3528521345571995</x:v>
      </x:c>
      <x:c r="AM293" s="9" t="str">
        <x:v>0.5214904876226076</x:v>
      </x:c>
      <x:c r="AN293" s="9" t="str">
        <x:v>1.3528521345571995</x:v>
      </x:c>
      <x:c r="AO293" s="9" t="str">
        <x:v>1.473777465020413</x:v>
      </x:c>
      <x:c r="AP293" s="10" t="str">
        <x:v>0.9179487179487179</x:v>
      </x:c>
      <x:c r="AQ293" s="6" t="str">
        <x:v>0.05128205128205128</x:v>
      </x:c>
      <x:c r="AR293" s="6" t="str">
        <x:v>0.03076923076923077</x:v>
      </x:c>
      <x:c r="AS293" s="6" t="str">
        <x:v>With trade</x:v>
      </x:c>
      <x:c r="AT293" s="6" t="str">
        <x:v>1.7368089287700694</x:v>
      </x:c>
      <x:c r="AU293" s="7" t="str">
        <x:v>2024-12-27 13:00:00-06:00</x:v>
      </x:c>
      <x:c r="AV293" s="8" t="str">
        <x:v>2</x:v>
      </x:c>
      <x:c r="AW293" s="6" t="str">
        <x:v>Delayed retest (2+ bars)</x:v>
      </x:c>
      <x:c r="AX293" s="6" t="str">
        <x:v>20404.5</x:v>
      </x:c>
      <x:c r="AY293" s="6" t="str">
        <x:v>0.0</x:v>
      </x:c>
      <x:c r="AZ293" s="9" t="str">
        <x:v>0.0</x:v>
      </x:c>
      <x:c r="BA293" s="9" t="str">
        <x:v>0.39485412756993654</x:v>
      </x:c>
      <x:c r="BB293" s="9" t="str">
        <x:v>0.6204850576099002</x:v>
      </x:c>
      <x:c r="BC293" s="9" t="str">
        <x:v>0.1047572175185546</x:v>
      </x:c>
      <x:c r="BD293" s="6" t="str">
        <x:v>0.23376623376623376</x:v>
      </x:c>
      <x:c r="BE293" s="6" t="str">
        <x:v>0.5974025974025974</x:v>
      </x:c>
      <x:c r="BF293" s="9" t="str">
        <x:v>0.37067938506565473</x:v>
      </x:c>
      <x:c r="BG293" s="9" t="str">
        <x:v>0.14504845502569097</x:v>
      </x:c>
      <x:c r="BH293" s="6" t="str">
        <x:v>Against trade</x:v>
      </x:c>
      <x:c r="BI293" s="6" t="str">
        <x:v>Tolerance-only shallow touch</x:v>
      </x:c>
      <x:c r="BJ293" s="6" t="str">
        <x:v>True</x:v>
      </x:c>
      <x:c r="BK293" s="10" t="str">
        <x:v>False</x:v>
      </x:c>
      <x:c r="BL293" s="6" t="str">
        <x:v>True</x:v>
      </x:c>
      <x:c r="BM293" s="7" t="str">
        <x:v>2024-12-27 13:05:00-06:00</x:v>
      </x:c>
      <x:c r="BN293" s="8" t="str">
        <x:v>1</x:v>
      </x:c>
      <x:c r="BO293" s="6" t="str">
        <x:v>Immediate confirmation (1 bar)</x:v>
      </x:c>
      <x:c r="BP293" s="9" t="str">
        <x:v>0.10623059989549717</x:v>
      </x:c>
      <x:c r="BQ293" s="9" t="str">
        <x:v>0.8171584607345936</x:v>
      </x:c>
      <x:c r="BR293" s="10" t="str">
        <x:v>0.13</x:v>
      </x:c>
      <x:c r="BS293" s="9" t="str">
        <x:v>0.4984666610481021</x:v>
      </x:c>
      <x:c r="BT293" s="9" t="str">
        <x:v>0.09805901528815124</x:v>
      </x:c>
      <x:c r="BU293" s="9" t="str">
        <x:v>0.06537267685876749</x:v>
      </x:c>
      <x:c r="BV293" s="6" t="str">
        <x:v>With trade</x:v>
      </x:c>
      <x:c r="BW293" s="7" t="str">
        <x:v>2024-12-27 13:05:00-06:00</x:v>
      </x:c>
      <x:c r="BX293" s="6" t="str">
        <x:v>20419.0</x:v>
      </x:c>
      <x:c r="BY293" s="9" t="str">
        <x:v>30.593821396067995</x:v>
      </x:c>
      <x:c r="BZ293" s="9" t="str">
        <x:v>0.5</x:v>
      </x:c>
      <x:c r="CA293" s="6" t="str">
        <x:v>20373.109267905897</x:v>
      </x:c>
      <x:c r="CB293" s="6" t="str">
        <x:v>45.89073209410344</x:v>
      </x:c>
      <x:c r="CC293" s="9" t="str">
        <x:v>1.5000000000000473</x:v>
      </x:c>
      <x:c r="CD293" s="6" t="str">
        <x:v>20510.781464188203</x:v>
      </x:c>
      <x:c r="CE293" s="6" t="str">
        <x:v>91.78146418820324</x:v>
      </x:c>
      <x:c r="CF293" s="6" t="str">
        <x:v>Fixed 2.00R target</x:v>
      </x:c>
      <x:c r="CG293" s="9" t="str">
        <x:v>0.015798396907534977</x:v>
      </x:c>
      <x:c r="CH293" s="9" t="str">
        <x:v>0.381340615009477</x:v>
      </x:c>
      <x:c r="CI293" s="9" t="str">
        <x:v>0.36554221810194204</x:v>
      </x:c>
      <x:c r="CJ293" s="6" t="str">
        <x:v>Win</x:v>
      </x:c>
      <x:c r="CK293" s="9" t="str">
        <x:v>1.0895446143127572</x:v>
      </x:c>
      <x:c r="CL293" s="9" t="str">
        <x:v>0.6700699378023457</x:v>
      </x:c>
      <x:c r="CM293" s="7" t="str">
        <x:v>2024-12-27 14:05:00-06:00</x:v>
      </x:c>
      <x:c r="CN293" s="6" t="str">
        <x:v>20436.5</x:v>
      </x:c>
      <x:c r="CO293" s="6" t="str">
        <x:v>TIME</x:v>
      </x:c>
      <x:c r="CP293" s="6" t="str">
        <x:v>F::Long::Same-bar Setup+BOS::Tolerance-only shallow touch</x:v>
      </x:c>
    </x:row>
    <x:row r="294" ht="18" customHeight="1">
      <x:c r="A294" s="6" t="str">
        <x:v>A0293</x:v>
      </x:c>
      <x:c r="B294" s="6" t="str">
        <x:v>2024-12-27</x:v>
      </x:c>
      <x:c r="C294" s="6" t="str">
        <x:v>2024</x:v>
      </x:c>
      <x:c r="D294" s="6" t="str">
        <x:v>2024-Q4</x:v>
      </x:c>
      <x:c r="E294" s="6" t="str">
        <x:v>First 50%</x:v>
      </x:c>
      <x:c r="F294" s="6" t="str">
        <x:v>Long</x:v>
      </x:c>
      <x:c r="G294" s="6" t="str">
        <x:v>Long</x:v>
      </x:c>
      <x:c r="H294" s="6" t="str">
        <x:v>Afternoon</x:v>
      </x:c>
      <x:c r="I294" s="6" t="str">
        <x:v>Afternoon</x:v>
      </x:c>
      <x:c r="J294" s="6" t="str">
        <x:v>Bear</x:v>
      </x:c>
      <x:c r="K294" s="6" t="str">
        <x:v>Bear</x:v>
      </x:c>
      <x:c r="L294" s="6" t="str">
        <x:v>LOW</x:v>
      </x:c>
      <x:c r="M294" s="7" t="str">
        <x:v>2024-12-27 15:00:00-06:00</x:v>
      </x:c>
      <x:c r="N294" s="6" t="str">
        <x:v>100.0</x:v>
      </x:c>
      <x:c r="O294" s="6" t="str">
        <x:v>95+</x:v>
      </x:c>
      <x:c r="P294" s="6" t="str">
        <x:v>Matching BOS only</x:v>
      </x:c>
      <x:c r="Q294" s="6" t="str">
        <x:v>Bull CHoCH</x:v>
      </x:c>
      <x:c r="R294" s="6" t="str">
        <x:v>True</x:v>
      </x:c>
      <x:c r="S294" s="6" t="str">
        <x:v>False</x:v>
      </x:c>
      <x:c r="T294" s="6" t="str">
        <x:v>Recent SSL</x:v>
      </x:c>
      <x:c r="U294" s="6" t="str">
        <x:v>SSL</x:v>
      </x:c>
      <x:c r="V294" s="6" t="str">
        <x:v>Swing low / sell-side</x:v>
      </x:c>
      <x:c r="W294" s="6" t="str">
        <x:v>[20388.25]</x:v>
      </x:c>
      <x:c r="X294" s="8" t="str">
        <x:v>1</x:v>
      </x:c>
      <x:c r="Y294" s="8" t="str">
        <x:v>10.0</x:v>
      </x:c>
      <x:c r="Z294" s="6" t="str">
        <x:v>None</x:v>
      </x:c>
      <x:c r="AA294" s="6" t="str">
        <x:v>20469.0</x:v>
      </x:c>
      <x:c r="AB294" s="9" t="str">
        <x:v>0.388204185016442</x:v>
      </x:c>
      <x:c r="AC294" s="9" t="str">
        <x:v>0.8080985075852466</x:v>
      </x:c>
      <x:c r="AD294" s="9" t="str">
        <x:v>0.8952463858542438</x:v>
      </x:c>
      <x:c r="AE294" s="6" t="str">
        <x:v>With trade</x:v>
      </x:c>
      <x:c r="AF294" s="7" t="str">
        <x:v>2024-12-27 15:00:00-06:00</x:v>
      </x:c>
      <x:c r="AG294" s="6" t="str">
        <x:v>Long</x:v>
      </x:c>
      <x:c r="AH294" s="6" t="str">
        <x:v>20469.0</x:v>
      </x:c>
      <x:c r="AI294" s="8" t="str">
        <x:v>0</x:v>
      </x:c>
      <x:c r="AJ294" s="6" t="str">
        <x:v>True</x:v>
      </x:c>
      <x:c r="AK294" s="6" t="str">
        <x:v>Same-bar Setup+BOS</x:v>
      </x:c>
      <x:c r="AL294" s="9" t="str">
        <x:v>0.8160210419733372</x:v>
      </x:c>
      <x:c r="AM294" s="9" t="str">
        <x:v>0.388204185016442</x:v>
      </x:c>
      <x:c r="AN294" s="9" t="str">
        <x:v>0.8080985075852466</x:v>
      </x:c>
      <x:c r="AO294" s="9" t="str">
        <x:v>0.8952463858542438</x:v>
      </x:c>
      <x:c r="AP294" s="10" t="str">
        <x:v>0.9026548672566371</x:v>
      </x:c>
      <x:c r="AQ294" s="6" t="str">
        <x:v>0.04424778761061947</x:v>
      </x:c>
      <x:c r="AR294" s="6" t="str">
        <x:v>0.05309734513274336</x:v>
      </x:c>
      <x:c r="AS294" s="6" t="str">
        <x:v>With trade</x:v>
      </x:c>
      <x:c r="AT294" s="6" t="str">
        <x:v>1.5076563015712672</x:v>
      </x:c>
      <x:c r="AU294" s="7" t="str">
        <x:v>2024-12-27 15:10:00-06:00</x:v>
      </x:c>
      <x:c r="AV294" s="8" t="str">
        <x:v>2</x:v>
      </x:c>
      <x:c r="AW294" s="6" t="str">
        <x:v>Delayed retest (2+ bars)</x:v>
      </x:c>
      <x:c r="AX294" s="6" t="str">
        <x:v>20468.25</x:v>
      </x:c>
      <x:c r="AY294" s="6" t="str">
        <x:v>0.75</x:v>
      </x:c>
      <x:c r="AZ294" s="9" t="str">
        <x:v>0.026065496116535112</x:v>
      </x:c>
      <x:c r="BA294" s="9" t="str">
        <x:v>0.2867204572818862</x:v>
      </x:c>
      <x:c r="BB294" s="9" t="str">
        <x:v>0.38229394304251496</x:v>
      </x:c>
      <x:c r="BC294" s="9" t="str">
        <x:v>0.017376997411023408</x:v>
      </x:c>
      <x:c r="BD294" s="6" t="str">
        <x:v>0.18181818181818182</x:v>
      </x:c>
      <x:c r="BE294" s="6" t="str">
        <x:v>0.7727272727272727</x:v>
      </x:c>
      <x:c r="BF294" s="9" t="str">
        <x:v>0.2954089559873979</x:v>
      </x:c>
      <x:c r="BG294" s="9" t="str">
        <x:v>0.06950798964409363</x:v>
      </x:c>
      <x:c r="BH294" s="6" t="str">
        <x:v>With trade</x:v>
      </x:c>
      <x:c r="BI294" s="6" t="str">
        <x:v>Penetration + same-bar reclaim</x:v>
      </x:c>
      <x:c r="BJ294" s="6" t="str">
        <x:v>False</x:v>
      </x:c>
      <x:c r="BK294" s="10" t="str">
        <x:v>True</x:v>
      </x:c>
      <x:c r="BL294" s="6" t="str">
        <x:v>True</x:v>
      </x:c>
      <x:c r="BM294" s="7" t="str">
        <x:v>2024-12-27 15:25:00-06:00</x:v>
      </x:c>
      <x:c r="BN294" s="8" t="str">
        <x:v>3</x:v>
      </x:c>
      <x:c r="BO294" s="6" t="str">
        <x:v>Delayed confirmation (2+ bars)</x:v>
      </x:c>
      <x:c r="BP294" s="9" t="str">
        <x:v>0.19059525072628744</x:v>
      </x:c>
      <x:c r="BQ294" s="9" t="str">
        <x:v>0.3611278434813867</x:v>
      </x:c>
      <x:c r="BR294" s="10" t="str">
        <x:v>0.5277777777777778</x:v>
      </x:c>
      <x:c r="BS294" s="9" t="str">
        <x:v>0.2909085405822282</x:v>
      </x:c>
      <x:c r="BT294" s="9" t="str">
        <x:v>-0.040125315942376304</x:v>
      </x:c>
      <x:c r="BU294" s="9" t="str">
        <x:v>0.08025063188475261</x:v>
      </x:c>
      <x:c r="BV294" s="6" t="str">
        <x:v>With trade</x:v>
      </x:c>
      <x:c r="BW294" s="7" t="str">
        <x:v>2024-12-27 15:25:00-06:00</x:v>
      </x:c>
      <x:c r="BX294" s="6" t="str">
        <x:v>20476.25</x:v>
      </x:c>
      <x:c r="BY294" s="9" t="str">
        <x:v>24.921922146011095</x:v>
      </x:c>
      <x:c r="BZ294" s="9" t="str">
        <x:v>0.18</x:v>
      </x:c>
      <x:c r="CA294" s="6" t="str">
        <x:v>20438.867116780984</x:v>
      </x:c>
      <x:c r="CB294" s="6" t="str">
        <x:v>37.38288321901564</x:v>
      </x:c>
      <x:c r="CC294" s="9" t="str">
        <x:v>1.4999999999999598</x:v>
      </x:c>
      <x:c r="CD294" s="6" t="str">
        <x:v>20551.015766438035</x:v>
      </x:c>
      <x:c r="CE294" s="6" t="str">
        <x:v>74.76576643803492</x:v>
      </x:c>
      <x:c r="CF294" s="6" t="str">
        <x:v>Fixed 2.00R target</x:v>
      </x:c>
      <x:c r="CG294" s="9" t="str">
        <x:v>0.0193939027054824</x:v>
      </x:c>
      <x:c r="CH294" s="9" t="str">
        <x:v>-0.42131581739495116</x:v>
      </x:c>
      <x:c r="CI294" s="9" t="str">
        <x:v>-0.4407097201004336</x:v>
      </x:c>
      <x:c r="CJ294" s="6" t="str">
        <x:v>Loss</x:v>
      </x:c>
      <x:c r="CK294" s="9" t="str">
        <x:v>0.5082540019367802</x:v>
      </x:c>
      <x:c r="CL294" s="9" t="str">
        <x:v>0.7556934502481073</x:v>
      </x:c>
      <x:c r="CM294" s="7" t="str">
        <x:v>2024-12-29 17:25:00-06:00</x:v>
      </x:c>
      <x:c r="CN294" s="6" t="str">
        <x:v>20460.5</x:v>
      </x:c>
      <x:c r="CO294" s="6" t="str">
        <x:v>TIME</x:v>
      </x:c>
      <x:c r="CP294" s="6" t="str">
        <x:v>F::Long::Same-bar Setup+BOS::Penetration + same-bar reclaim</x:v>
      </x:c>
    </x:row>
    <x:row r="295" ht="18" customHeight="1">
      <x:c r="A295" s="6" t="str">
        <x:v>A0294</x:v>
      </x:c>
      <x:c r="B295" s="6" t="str">
        <x:v>2024-12-29</x:v>
      </x:c>
      <x:c r="C295" s="6" t="str">
        <x:v>2024</x:v>
      </x:c>
      <x:c r="D295" s="6" t="str">
        <x:v>2024-Q4</x:v>
      </x:c>
      <x:c r="E295" s="6" t="str">
        <x:v>First 50%</x:v>
      </x:c>
      <x:c r="F295" s="6" t="str">
        <x:v>Short</x:v>
      </x:c>
      <x:c r="G295" s="6" t="str">
        <x:v>Short</x:v>
      </x:c>
      <x:c r="H295" s="6" t="str">
        <x:v>Overnight</x:v>
      </x:c>
      <x:c r="I295" s="6" t="str">
        <x:v>Overnight</x:v>
      </x:c>
      <x:c r="J295" s="6" t="str">
        <x:v>Bear</x:v>
      </x:c>
      <x:c r="K295" s="6" t="str">
        <x:v>Bear</x:v>
      </x:c>
      <x:c r="L295" s="6" t="str">
        <x:v>LOW</x:v>
      </x:c>
      <x:c r="M295" s="7" t="str">
        <x:v>2024-12-29 23:25:00-06:00</x:v>
      </x:c>
      <x:c r="N295" s="6" t="str">
        <x:v>75.0</x:v>
      </x:c>
      <x:c r="O295" s="6" t="str">
        <x:v>75-79</x:v>
      </x:c>
      <x:c r="P295" s="6" t="str">
        <x:v>Matching BOS only</x:v>
      </x:c>
      <x:c r="Q295" s="6" t="str">
        <x:v>Bear CHoCH</x:v>
      </x:c>
      <x:c r="R295" s="6" t="str">
        <x:v>True</x:v>
      </x:c>
      <x:c r="S295" s="6" t="str">
        <x:v>False</x:v>
      </x:c>
      <x:c r="T295" s="6" t="str">
        <x:v>Recent BSL</x:v>
      </x:c>
      <x:c r="U295" s="6" t="str">
        <x:v>BSL</x:v>
      </x:c>
      <x:c r="V295" s="6" t="str">
        <x:v>Swing high / buy-side</x:v>
      </x:c>
      <x:c r="W295" s="6" t="str">
        <x:v>[20446.0]</x:v>
      </x:c>
      <x:c r="X295" s="8" t="str">
        <x:v>1</x:v>
      </x:c>
      <x:c r="Y295" s="8" t="str">
        <x:v>8.0</x:v>
      </x:c>
      <x:c r="Z295" s="6" t="str">
        <x:v>Sweep above CRT reference</x:v>
      </x:c>
      <x:c r="AA295" s="6" t="str">
        <x:v>20426.75</x:v>
      </x:c>
      <x:c r="AB295" s="9" t="str">
        <x:v>0.03102304443535934</x:v>
      </x:c>
      <x:c r="AC295" s="9" t="str">
        <x:v>0.9306913330607802</x:v>
      </x:c>
      <x:c r="AD295" s="9" t="str">
        <x:v>1.7683135328154824</x:v>
      </x:c>
      <x:c r="AE295" s="6" t="str">
        <x:v>With trade</x:v>
      </x:c>
      <x:c r="AF295" s="7" t="str">
        <x:v>2024-12-29 23:25:00-06:00</x:v>
      </x:c>
      <x:c r="AG295" s="6" t="str">
        <x:v>Short</x:v>
      </x:c>
      <x:c r="AH295" s="6" t="str">
        <x:v>20426.75</x:v>
      </x:c>
      <x:c r="AI295" s="8" t="str">
        <x:v>0</x:v>
      </x:c>
      <x:c r="AJ295" s="6" t="str">
        <x:v>True</x:v>
      </x:c>
      <x:c r="AK295" s="6" t="str">
        <x:v>Same-bar Setup+BOS</x:v>
      </x:c>
      <x:c r="AL295" s="9" t="str">
        <x:v>0.8065991553193428</x:v>
      </x:c>
      <x:c r="AM295" s="9" t="str">
        <x:v>0.03102304443535934</x:v>
      </x:c>
      <x:c r="AN295" s="9" t="str">
        <x:v>0.9306913330607802</x:v>
      </x:c>
      <x:c r="AO295" s="9" t="str">
        <x:v>1.7683135328154824</x:v>
      </x:c>
      <x:c r="AP295" s="10" t="str">
        <x:v>0.5263157894736842</x:v>
      </x:c>
      <x:c r="AQ295" s="6" t="str">
        <x:v>0.22807017543859648</x:v>
      </x:c>
      <x:c r="AR295" s="6" t="str">
        <x:v>0.24561403508771928</x:v>
      </x:c>
      <x:c r="AS295" s="6" t="str">
        <x:v>With trade</x:v>
      </x:c>
      <x:c r="AT295" s="6" t="str">
        <x:v>2.0574671869457255</x:v>
      </x:c>
      <x:c r="AU295" s="7" t="str">
        <x:v>2024-12-29 23:30:00-06:00</x:v>
      </x:c>
      <x:c r="AV295" s="8" t="str">
        <x:v>1</x:v>
      </x:c>
      <x:c r="AW295" s="6" t="str">
        <x:v>Immediate retest (1 bar)</x:v>
      </x:c>
      <x:c r="AX295" s="6" t="str">
        <x:v>20429.5</x:v>
      </x:c>
      <x:c r="AY295" s="6" t="str">
        <x:v>2.75</x:v>
      </x:c>
      <x:c r="AZ295" s="9" t="str">
        <x:v>0.29054228182901903</x:v>
      </x:c>
      <x:c r="BA295" s="9" t="str">
        <x:v>2.2450994504969652</x:v>
      </x:c>
      <x:c r="BB295" s="9" t="str">
        <x:v>2.931835753001919</x:v>
      </x:c>
      <x:c r="BC295" s="9" t="str">
        <x:v>2.165860646361778</x:v>
      </x:c>
      <x:c r="BD295" s="6" t="str">
        <x:v>0.12612612612612611</x:v>
      </x:c>
      <x:c r="BE295" s="6" t="str">
        <x:v>0.13513513513513514</x:v>
      </x:c>
      <x:c r="BF295" s="9" t="str">
        <x:v>0.369781085964206</x:v>
      </x:c>
      <x:c r="BG295" s="9" t="str">
        <x:v>0.396194020675935</x:v>
      </x:c>
      <x:c r="BH295" s="6" t="str">
        <x:v>With trade</x:v>
      </x:c>
      <x:c r="BI295" s="6" t="str">
        <x:v>Penetration + same-bar reclaim</x:v>
      </x:c>
      <x:c r="BJ295" s="6" t="str">
        <x:v>False</x:v>
      </x:c>
      <x:c r="BK295" s="10" t="str">
        <x:v>True</x:v>
      </x:c>
      <x:c r="BL295" s="6" t="str">
        <x:v>True</x:v>
      </x:c>
      <x:c r="BM295" s="7" t="str">
        <x:v>2024-12-29 23:55:00-06:00</x:v>
      </x:c>
      <x:c r="BN295" s="8" t="str">
        <x:v>5</x:v>
      </x:c>
      <x:c r="BO295" s="6" t="str">
        <x:v>Delayed confirmation (2+ bars)</x:v>
      </x:c>
      <x:c r="BP295" s="9" t="str">
        <x:v>0.30970094593392433</x:v>
      </x:c>
      <x:c r="BQ295" s="9" t="str">
        <x:v>0.8164843120076187</x:v>
      </x:c>
      <x:c r="BR295" s="10" t="str">
        <x:v>0.3793103448275862</x:v>
      </x:c>
      <x:c r="BS295" s="9" t="str">
        <x:v>1.6329686240152375</x:v>
      </x:c>
      <x:c r="BT295" s="9" t="str">
        <x:v>-0.7601750491105416</x:v>
      </x:c>
      <x:c r="BU295" s="9" t="str">
        <x:v>0.11261852579415431</x:v>
      </x:c>
      <x:c r="BV295" s="6" t="str">
        <x:v>With trade</x:v>
      </x:c>
      <x:c r="BW295" s="7" t="str">
        <x:v>2024-12-29 23:55:00-06:00</x:v>
      </x:c>
      <x:c r="BX295" s="6" t="str">
        <x:v>20412.25</x:v>
      </x:c>
      <x:c r="BY295" s="9" t="str">
        <x:v>8.879533744100094</x:v>
      </x:c>
      <x:c r="BZ295" s="9" t="str">
        <x:v>0.23</x:v>
      </x:c>
      <x:c r="CA295" s="6" t="str">
        <x:v>20425.56930061615</x:v>
      </x:c>
      <x:c r="CB295" s="6" t="str">
        <x:v>13.319300616149121</x:v>
      </x:c>
      <x:c r="CC295" s="9" t="str">
        <x:v>1.4999999999998852</x:v>
      </x:c>
      <x:c r="CD295" s="6" t="str">
        <x:v>20385.611398767698</x:v>
      </x:c>
      <x:c r="CE295" s="6" t="str">
        <x:v>26.63860123230188</x:v>
      </x:c>
      <x:c r="CF295" s="6" t="str">
        <x:v>Fixed 2.00R target</x:v>
      </x:c>
      <x:c r="CG295" s="9" t="str">
        <x:v>0.05443228746717875</x:v>
      </x:c>
      <x:c r="CH295" s="9" t="str">
        <x:v>-1.0</x:v>
      </x:c>
      <x:c r="CI295" s="9" t="str">
        <x:v>-1.0544322874671788</x:v>
      </x:c>
      <x:c r="CJ295" s="6" t="str">
        <x:v>Loss</x:v>
      </x:c>
      <x:c r="CK295" s="9" t="str">
        <x:v>0.6194018918678961</x:v>
      </x:c>
      <x:c r="CL295" s="9" t="str">
        <x:v>1.107415503642602</x:v>
      </x:c>
      <x:c r="CM295" s="7" t="str">
        <x:v>2024-12-30 00:05:00-06:00</x:v>
      </x:c>
      <x:c r="CN295" s="6" t="str">
        <x:v>20425.56930061615</x:v>
      </x:c>
      <x:c r="CO295" s="6" t="str">
        <x:v>STOP</x:v>
      </x:c>
      <x:c r="CP295" s="6" t="str">
        <x:v>F::Short::Same-bar Setup+BOS::Penetration + same-bar reclaim</x:v>
      </x:c>
    </x:row>
    <x:row r="296" ht="18" customHeight="1">
      <x:c r="A296" s="6" t="str">
        <x:v>A0295</x:v>
      </x:c>
      <x:c r="B296" s="6" t="str">
        <x:v>2024-12-30</x:v>
      </x:c>
      <x:c r="C296" s="6" t="str">
        <x:v>2024</x:v>
      </x:c>
      <x:c r="D296" s="6" t="str">
        <x:v>2024-Q4</x:v>
      </x:c>
      <x:c r="E296" s="6" t="str">
        <x:v>First 50%</x:v>
      </x:c>
      <x:c r="F296" s="6" t="str">
        <x:v>Short</x:v>
      </x:c>
      <x:c r="G296" s="6" t="str">
        <x:v>Short</x:v>
      </x:c>
      <x:c r="H296" s="6" t="str">
        <x:v>Afternoon</x:v>
      </x:c>
      <x:c r="I296" s="6" t="str">
        <x:v>Afternoon</x:v>
      </x:c>
      <x:c r="J296" s="6" t="str">
        <x:v>Bear</x:v>
      </x:c>
      <x:c r="K296" s="6" t="str">
        <x:v>Bear</x:v>
      </x:c>
      <x:c r="L296" s="6" t="str">
        <x:v>LOW</x:v>
      </x:c>
      <x:c r="M296" s="7" t="str">
        <x:v>2024-12-30 14:25:00-06:00</x:v>
      </x:c>
      <x:c r="N296" s="6" t="str">
        <x:v>75.0</x:v>
      </x:c>
      <x:c r="O296" s="6" t="str">
        <x:v>75-79</x:v>
      </x:c>
      <x:c r="P296" s="6" t="str">
        <x:v>Matching BOS only</x:v>
      </x:c>
      <x:c r="Q296" s="6" t="str">
        <x:v>Bear CHoCH</x:v>
      </x:c>
      <x:c r="R296" s="6" t="str">
        <x:v>True</x:v>
      </x:c>
      <x:c r="S296" s="6" t="str">
        <x:v>False</x:v>
      </x:c>
      <x:c r="T296" s="6" t="str">
        <x:v>No recent matching sweep</x:v>
      </x:c>
      <x:c r="U296" s="6" t="str">
        <x:v>None</x:v>
      </x:c>
      <x:c r="V296" s="6" t="str">
        <x:v>None</x:v>
      </x:c>
      <x:c r="W296" s="6" t="str">
        <x:v>[]</x:v>
      </x:c>
      <x:c r="X296" s="8" t="str">
        <x:v>0</x:v>
      </x:c>
      <x:c r="Y296" s="8" t="str"/>
      <x:c r="Z296" s="6" t="str">
        <x:v>None</x:v>
      </x:c>
      <x:c r="AA296" s="6" t="str">
        <x:v>20228.25</x:v>
      </x:c>
      <x:c r="AB296" s="9" t="str">
        <x:v>0.26712260211913263</x:v>
      </x:c>
      <x:c r="AC296" s="9" t="str">
        <x:v>1.661168681928356</x:v>
      </x:c>
      <x:c r="AD296" s="9" t="str">
        <x:v>1.9366388653637117</x:v>
      </x:c>
      <x:c r="AE296" s="6" t="str">
        <x:v>With trade</x:v>
      </x:c>
      <x:c r="AF296" s="7" t="str">
        <x:v>2024-12-30 14:25:00-06:00</x:v>
      </x:c>
      <x:c r="AG296" s="6" t="str">
        <x:v>Short</x:v>
      </x:c>
      <x:c r="AH296" s="6" t="str">
        <x:v>20228.25</x:v>
      </x:c>
      <x:c r="AI296" s="8" t="str">
        <x:v>0</x:v>
      </x:c>
      <x:c r="AJ296" s="6" t="str">
        <x:v>True</x:v>
      </x:c>
      <x:c r="AK296" s="6" t="str">
        <x:v>Same-bar Setup+BOS</x:v>
      </x:c>
      <x:c r="AL296" s="9" t="str">
        <x:v>1.6361259379796873</x:v>
      </x:c>
      <x:c r="AM296" s="9" t="str">
        <x:v>0.26712260211913263</x:v>
      </x:c>
      <x:c r="AN296" s="9" t="str">
        <x:v>1.661168681928356</x:v>
      </x:c>
      <x:c r="AO296" s="9" t="str">
        <x:v>1.9366388653637117</x:v>
      </x:c>
      <x:c r="AP296" s="10" t="str">
        <x:v>0.8577586206896551</x:v>
      </x:c>
      <x:c r="AQ296" s="6" t="str">
        <x:v>0.10344827586206896</x:v>
      </x:c>
      <x:c r="AR296" s="6" t="str">
        <x:v>0.03879310344827586</x:v>
      </x:c>
      <x:c r="AS296" s="6" t="str">
        <x:v>With trade</x:v>
      </x:c>
      <x:c r="AT296" s="6" t="str">
        <x:v>1.952867063868544</x:v>
      </x:c>
      <x:c r="AU296" s="7" t="str">
        <x:v>2024-12-30 14:30:00-06:00</x:v>
      </x:c>
      <x:c r="AV296" s="8" t="str">
        <x:v>1</x:v>
      </x:c>
      <x:c r="AW296" s="6" t="str">
        <x:v>Immediate retest (1 bar)</x:v>
      </x:c>
      <x:c r="AX296" s="6" t="str">
        <x:v>20244.5</x:v>
      </x:c>
      <x:c r="AY296" s="6" t="str">
        <x:v>16.25</x:v>
      </x:c>
      <x:c r="AZ296" s="9" t="str">
        <x:v>0.5431741916313755</x:v>
      </x:c>
      <x:c r="BA296" s="9" t="str">
        <x:v>0.1754870465270598</x:v>
      </x:c>
      <x:c r="BB296" s="9" t="str">
        <x:v>0.9860700709615741</x:v>
      </x:c>
      <x:c r="BC296" s="9" t="str">
        <x:v>0.06685220820078468</x:v>
      </x:c>
      <x:c r="BD296" s="6" t="str">
        <x:v>0.7288135593220338</x:v>
      </x:c>
      <x:c r="BE296" s="6" t="str">
        <x:v>0.2033898305084746</x:v>
      </x:c>
      <x:c r="BF296" s="9" t="str">
        <x:v>0.7186612381584353</x:v>
      </x:c>
      <x:c r="BG296" s="9" t="str">
        <x:v>0.20055662460235404</x:v>
      </x:c>
      <x:c r="BH296" s="6" t="str">
        <x:v>Against trade</x:v>
      </x:c>
      <x:c r="BI296" s="6" t="str">
        <x:v>Penetration + same-bar reclaim</x:v>
      </x:c>
      <x:c r="BJ296" s="6" t="str">
        <x:v>False</x:v>
      </x:c>
      <x:c r="BK296" s="10" t="str">
        <x:v>True</x:v>
      </x:c>
      <x:c r="BL296" s="6" t="str">
        <x:v>True</x:v>
      </x:c>
      <x:c r="BM296" s="7" t="str">
        <x:v>2024-12-30 14:35:00-06:00</x:v>
      </x:c>
      <x:c r="BN296" s="8" t="str">
        <x:v>1</x:v>
      </x:c>
      <x:c r="BO296" s="6" t="str">
        <x:v>Immediate confirmation (1 bar)</x:v>
      </x:c>
      <x:c r="BP296" s="9" t="str">
        <x:v>0.265496950240414</x:v>
      </x:c>
      <x:c r="BQ296" s="9" t="str">
        <x:v>0.6765890022255712</x:v>
      </x:c>
      <x:c r="BR296" s="10" t="str">
        <x:v>0.3924050632911392</x:v>
      </x:c>
      <x:c r="BS296" s="9" t="str">
        <x:v>0.4453497229839203</x:v>
      </x:c>
      <x:c r="BT296" s="9" t="str">
        <x:v>0.265496950240414</x:v>
      </x:c>
      <x:c r="BU296" s="9" t="str">
        <x:v>0.1969816082428878</x:v>
      </x:c>
      <x:c r="BV296" s="6" t="str">
        <x:v>With trade</x:v>
      </x:c>
      <x:c r="BW296" s="7" t="str">
        <x:v>2024-12-30 14:35:00-06:00</x:v>
      </x:c>
      <x:c r="BX296" s="6" t="str">
        <x:v>20215.25</x:v>
      </x:c>
      <x:c r="BY296" s="9" t="str">
        <x:v>29.19054246379171</x:v>
      </x:c>
      <x:c r="BZ296" s="9" t="str">
        <x:v>0.32</x:v>
      </x:c>
      <x:c r="CA296" s="6" t="str">
        <x:v>20259.03581369569</x:v>
      </x:c>
      <x:c r="CB296" s="6" t="str">
        <x:v>43.785813695689285</x:v>
      </x:c>
      <x:c r="CC296" s="9" t="str">
        <x:v>1.5000000000000588</x:v>
      </x:c>
      <x:c r="CD296" s="6" t="str">
        <x:v>20127.678372608625</x:v>
      </x:c>
      <x:c r="CE296" s="6" t="str">
        <x:v>87.57162739137493</x:v>
      </x:c>
      <x:c r="CF296" s="6" t="str">
        <x:v>Fixed 2.00R target</x:v>
      </x:c>
      <x:c r="CG296" s="9" t="str">
        <x:v>0.016557874316068182</x:v>
      </x:c>
      <x:c r="CH296" s="9" t="str">
        <x:v>2.0</x:v>
      </x:c>
      <x:c r="CI296" s="9" t="str">
        <x:v>1.9834421256839319</x:v>
      </x:c>
      <x:c r="CJ296" s="6" t="str">
        <x:v>Win</x:v>
      </x:c>
      <x:c r="CK296" s="9" t="str">
        <x:v>2.1982005557538793</x:v>
      </x:c>
      <x:c r="CL296" s="9" t="str">
        <x:v>0.8792802223015517</x:v>
      </x:c>
      <x:c r="CM296" s="7" t="str">
        <x:v>2024-12-30 15:00:00-06:00</x:v>
      </x:c>
      <x:c r="CN296" s="6" t="str">
        <x:v>20127.678372608625</x:v>
      </x:c>
      <x:c r="CO296" s="6" t="str">
        <x:v>TARGET</x:v>
      </x:c>
      <x:c r="CP296" s="6" t="str">
        <x:v>F::Short::Same-bar Setup+BOS::Penetration + same-bar reclaim</x:v>
      </x:c>
    </x:row>
    <x:row r="297" ht="18" customHeight="1">
      <x:c r="A297" s="6" t="str">
        <x:v>A0296</x:v>
      </x:c>
      <x:c r="B297" s="6" t="str">
        <x:v>2024-12-31</x:v>
      </x:c>
      <x:c r="C297" s="6" t="str">
        <x:v>2024</x:v>
      </x:c>
      <x:c r="D297" s="6" t="str">
        <x:v>2024-Q4</x:v>
      </x:c>
      <x:c r="E297" s="6" t="str">
        <x:v>First 50%</x:v>
      </x:c>
      <x:c r="F297" s="6" t="str">
        <x:v>Short</x:v>
      </x:c>
      <x:c r="G297" s="6" t="str">
        <x:v>Short</x:v>
      </x:c>
      <x:c r="H297" s="6" t="str">
        <x:v>Morning</x:v>
      </x:c>
      <x:c r="I297" s="6" t="str">
        <x:v>Morning</x:v>
      </x:c>
      <x:c r="J297" s="6" t="str">
        <x:v>Bear</x:v>
      </x:c>
      <x:c r="K297" s="6" t="str">
        <x:v>Bear</x:v>
      </x:c>
      <x:c r="L297" s="6" t="str">
        <x:v>HIGH</x:v>
      </x:c>
      <x:c r="M297" s="7" t="str">
        <x:v>2024-12-31 11:20:00-06:00</x:v>
      </x:c>
      <x:c r="N297" s="6" t="str">
        <x:v>75.0</x:v>
      </x:c>
      <x:c r="O297" s="6" t="str">
        <x:v>75-79</x:v>
      </x:c>
      <x:c r="P297" s="6" t="str">
        <x:v>Matching BOS only</x:v>
      </x:c>
      <x:c r="Q297" s="6" t="str">
        <x:v>Bear BOS</x:v>
      </x:c>
      <x:c r="R297" s="6" t="str">
        <x:v>True</x:v>
      </x:c>
      <x:c r="S297" s="6" t="str">
        <x:v>False</x:v>
      </x:c>
      <x:c r="T297" s="6" t="str">
        <x:v>No recent matching sweep</x:v>
      </x:c>
      <x:c r="U297" s="6" t="str">
        <x:v>None</x:v>
      </x:c>
      <x:c r="V297" s="6" t="str">
        <x:v>None</x:v>
      </x:c>
      <x:c r="W297" s="6" t="str">
        <x:v>[]</x:v>
      </x:c>
      <x:c r="X297" s="8" t="str">
        <x:v>0</x:v>
      </x:c>
      <x:c r="Y297" s="8" t="str"/>
      <x:c r="Z297" s="6" t="str">
        <x:v>None</x:v>
      </x:c>
      <x:c r="AA297" s="6" t="str">
        <x:v>20039.5</x:v>
      </x:c>
      <x:c r="AB297" s="9" t="str">
        <x:v>0.08117120108185422</x:v>
      </x:c>
      <x:c r="AC297" s="9" t="str">
        <x:v>1.2649178835255617</x:v>
      </x:c>
      <x:c r="AD297" s="9" t="str">
        <x:v>1.603131221366621</x:v>
      </x:c>
      <x:c r="AE297" s="6" t="str">
        <x:v>With trade</x:v>
      </x:c>
      <x:c r="AF297" s="7" t="str">
        <x:v>2024-12-31 11:20:00-06:00</x:v>
      </x:c>
      <x:c r="AG297" s="6" t="str">
        <x:v>Short</x:v>
      </x:c>
      <x:c r="AH297" s="6" t="str">
        <x:v>20039.5</x:v>
      </x:c>
      <x:c r="AI297" s="8" t="str">
        <x:v>0</x:v>
      </x:c>
      <x:c r="AJ297" s="6" t="str">
        <x:v>True</x:v>
      </x:c>
      <x:c r="AK297" s="6" t="str">
        <x:v>Same-bar Setup+BOS</x:v>
      </x:c>
      <x:c r="AL297" s="9" t="str">
        <x:v>1.2513893500119193</x:v>
      </x:c>
      <x:c r="AM297" s="9" t="str">
        <x:v>0.08117120108185422</x:v>
      </x:c>
      <x:c r="AN297" s="9" t="str">
        <x:v>1.2649178835255617</x:v>
      </x:c>
      <x:c r="AO297" s="9" t="str">
        <x:v>1.603131221366621</x:v>
      </x:c>
      <x:c r="AP297" s="10" t="str">
        <x:v>0.7890295358649789</x:v>
      </x:c>
      <x:c r="AQ297" s="6" t="str">
        <x:v>0.11814345991561181</x:v>
      </x:c>
      <x:c r="AR297" s="6" t="str">
        <x:v>0.09282700421940929</x:v>
      </x:c>
      <x:c r="AS297" s="6" t="str">
        <x:v>With trade</x:v>
      </x:c>
      <x:c r="AT297" s="6" t="str">
        <x:v>1.1785757530910705</x:v>
      </x:c>
      <x:c r="AU297" s="7" t="str">
        <x:v>2024-12-31 11:25:00-06:00</x:v>
      </x:c>
      <x:c r="AV297" s="8" t="str">
        <x:v>1</x:v>
      </x:c>
      <x:c r="AW297" s="6" t="str">
        <x:v>Immediate retest (1 bar)</x:v>
      </x:c>
      <x:c r="AX297" s="6" t="str">
        <x:v>20053.25</x:v>
      </x:c>
      <x:c r="AY297" s="6" t="str">
        <x:v>13.75</x:v>
      </x:c>
      <x:c r="AZ297" s="9" t="str">
        <x:v>0.3668651430309752</x:v>
      </x:c>
      <x:c r="BA297" s="9" t="str">
        <x:v>0.6536869821279195</x:v>
      </x:c>
      <x:c r="BB297" s="9" t="str">
        <x:v>1.1806387330269568</x:v>
      </x:c>
      <x:c r="BC297" s="9" t="str">
        <x:v>0.5669734028660527</x:v>
      </x:c>
      <x:c r="BD297" s="6" t="str">
        <x:v>0.384180790960452</x:v>
      </x:c>
      <x:c r="BE297" s="6" t="str">
        <x:v>0.13559322033898305</x:v>
      </x:c>
      <x:c r="BF297" s="9" t="str">
        <x:v>0.45357872229284213</x:v>
      </x:c>
      <x:c r="BG297" s="9" t="str">
        <x:v>0.16008660786806192</x:v>
      </x:c>
      <x:c r="BH297" s="6" t="str">
        <x:v>With trade</x:v>
      </x:c>
      <x:c r="BI297" s="6" t="str">
        <x:v>Penetration + same-bar reclaim</x:v>
      </x:c>
      <x:c r="BJ297" s="6" t="str">
        <x:v>False</x:v>
      </x:c>
      <x:c r="BK297" s="10" t="str">
        <x:v>True</x:v>
      </x:c>
      <x:c r="BL297" s="6" t="str">
        <x:v>True</x:v>
      </x:c>
      <x:c r="BM297" s="7" t="str">
        <x:v>2024-12-31 11:30:00-06:00</x:v>
      </x:c>
      <x:c r="BN297" s="8" t="str">
        <x:v>1</x:v>
      </x:c>
      <x:c r="BO297" s="6" t="str">
        <x:v>Immediate confirmation (1 bar)</x:v>
      </x:c>
      <x:c r="BP297" s="9" t="str">
        <x:v>0.354016916793306</x:v>
      </x:c>
      <x:c r="BQ297" s="9" t="str">
        <x:v>0.9818959767663392</x:v>
      </x:c>
      <x:c r="BR297" s="10" t="str">
        <x:v>0.36054421768707484</x:v>
      </x:c>
      <x:c r="BS297" s="9" t="str">
        <x:v>1.0219733635731285</x:v>
      </x:c>
      <x:c r="BT297" s="9" t="str">
        <x:v>0.3673760457289024</x:v>
      </x:c>
      <x:c r="BU297" s="9" t="str">
        <x:v>0.2337847563729379</x:v>
      </x:c>
      <x:c r="BV297" s="6" t="str">
        <x:v>With trade</x:v>
      </x:c>
      <x:c r="BW297" s="7" t="str">
        <x:v>2024-12-31 11:30:00-06:00</x:v>
      </x:c>
      <x:c r="BX297" s="6" t="str">
        <x:v>20001.25</x:v>
      </x:c>
      <x:c r="BY297" s="9" t="str">
        <x:v>37.42758995818287</x:v>
      </x:c>
      <x:c r="BZ297" s="9" t="str">
        <x:v>0.78</x:v>
      </x:c>
      <x:c r="CA297" s="6" t="str">
        <x:v>20057.391384937273</x:v>
      </x:c>
      <x:c r="CB297" s="6" t="str">
        <x:v>56.14138493727296</x:v>
      </x:c>
      <x:c r="CC297" s="9" t="str">
        <x:v>1.499999999999964</x:v>
      </x:c>
      <x:c r="CD297" s="6" t="str">
        <x:v>19888.96723012545</x:v>
      </x:c>
      <x:c r="CE297" s="6" t="str">
        <x:v>112.28276987454956</x:v>
      </x:c>
      <x:c r="CF297" s="6" t="str">
        <x:v>Fixed 2.00R target</x:v>
      </x:c>
      <x:c r="CG297" s="9" t="str">
        <x:v>0.012913824637743546</x:v>
      </x:c>
      <x:c r="CH297" s="9" t="str">
        <x:v>-1.0</x:v>
      </x:c>
      <x:c r="CI297" s="9" t="str">
        <x:v>-1.0129138246377436</x:v>
      </x:c>
      <x:c r="CJ297" s="6" t="str">
        <x:v>Loss</x:v>
      </x:c>
      <x:c r="CK297" s="9" t="str">
        <x:v>0.725846005500758</x:v>
      </x:c>
      <x:c r="CL297" s="9" t="str">
        <x:v>1.2513050769675644</x:v>
      </x:c>
      <x:c r="CM297" s="7" t="str">
        <x:v>2024-12-31 11:55:00-06:00</x:v>
      </x:c>
      <x:c r="CN297" s="6" t="str">
        <x:v>20057.391384937273</x:v>
      </x:c>
      <x:c r="CO297" s="6" t="str">
        <x:v>STOP</x:v>
      </x:c>
      <x:c r="CP297" s="6" t="str">
        <x:v>F::Short::Same-bar Setup+BOS::Penetration + same-bar reclaim</x:v>
      </x:c>
    </x:row>
    <x:row r="298" ht="18" customHeight="1">
      <x:c r="A298" s="6" t="str">
        <x:v>A0297</x:v>
      </x:c>
      <x:c r="B298" s="6" t="str">
        <x:v>2025-01-01</x:v>
      </x:c>
      <x:c r="C298" s="6" t="str">
        <x:v>2025</x:v>
      </x:c>
      <x:c r="D298" s="6" t="str">
        <x:v>2025-Q1</x:v>
      </x:c>
      <x:c r="E298" s="6" t="str">
        <x:v>First 50%</x:v>
      </x:c>
      <x:c r="F298" s="6" t="str">
        <x:v>Long</x:v>
      </x:c>
      <x:c r="G298" s="6" t="str">
        <x:v>Long</x:v>
      </x:c>
      <x:c r="H298" s="6" t="str">
        <x:v>Overnight</x:v>
      </x:c>
      <x:c r="I298" s="6" t="str">
        <x:v>Overnight</x:v>
      </x:c>
      <x:c r="J298" s="6" t="str">
        <x:v>Bear</x:v>
      </x:c>
      <x:c r="K298" s="6" t="str">
        <x:v>Bear</x:v>
      </x:c>
      <x:c r="L298" s="6" t="str">
        <x:v>LOW</x:v>
      </x:c>
      <x:c r="M298" s="7" t="str">
        <x:v>2025-01-01 23:10:00-06:00</x:v>
      </x:c>
      <x:c r="N298" s="6" t="str">
        <x:v>90.0</x:v>
      </x:c>
      <x:c r="O298" s="6" t="str">
        <x:v>90-94</x:v>
      </x:c>
      <x:c r="P298" s="6" t="str">
        <x:v>Matching BOS only</x:v>
      </x:c>
      <x:c r="Q298" s="6" t="str">
        <x:v>Bull BOS</x:v>
      </x:c>
      <x:c r="R298" s="6" t="str">
        <x:v>True</x:v>
      </x:c>
      <x:c r="S298" s="6" t="str">
        <x:v>False</x:v>
      </x:c>
      <x:c r="T298" s="6" t="str">
        <x:v>Recent SSL</x:v>
      </x:c>
      <x:c r="U298" s="6" t="str">
        <x:v>SSL</x:v>
      </x:c>
      <x:c r="V298" s="6" t="str">
        <x:v>Swing low / sell-side</x:v>
      </x:c>
      <x:c r="W298" s="6" t="str">
        <x:v>[20040.25,20047.0]</x:v>
      </x:c>
      <x:c r="X298" s="8" t="str">
        <x:v>2</x:v>
      </x:c>
      <x:c r="Y298" s="8" t="str">
        <x:v>10.0</x:v>
      </x:c>
      <x:c r="Z298" s="6" t="str">
        <x:v>Sweep below CRT reference</x:v>
      </x:c>
      <x:c r="AA298" s="6" t="str">
        <x:v>20092.25</x:v>
      </x:c>
      <x:c r="AB298" s="9" t="str">
        <x:v>0.1552385862266487</x:v>
      </x:c>
      <x:c r="AC298" s="9" t="str">
        <x:v>1.4165520993181695</x:v>
      </x:c>
      <x:c r="AD298" s="9" t="str">
        <x:v>1.6688148019364737</x:v>
      </x:c>
      <x:c r="AE298" s="6" t="str">
        <x:v>With trade</x:v>
      </x:c>
      <x:c r="AF298" s="7" t="str">
        <x:v>2025-01-01 23:10:00-06:00</x:v>
      </x:c>
      <x:c r="AG298" s="6" t="str">
        <x:v>Long</x:v>
      </x:c>
      <x:c r="AH298" s="6" t="str">
        <x:v>20092.25</x:v>
      </x:c>
      <x:c r="AI298" s="8" t="str">
        <x:v>0</x:v>
      </x:c>
      <x:c r="AJ298" s="6" t="str">
        <x:v>True</x:v>
      </x:c>
      <x:c r="AK298" s="6" t="str">
        <x:v>Same-bar Setup+BOS</x:v>
      </x:c>
      <x:c r="AL298" s="9" t="str">
        <x:v>1.3971472760398382</x:v>
      </x:c>
      <x:c r="AM298" s="9" t="str">
        <x:v>0.1552385862266487</x:v>
      </x:c>
      <x:c r="AN298" s="9" t="str">
        <x:v>1.4165520993181695</x:v>
      </x:c>
      <x:c r="AO298" s="9" t="str">
        <x:v>1.6688148019364737</x:v>
      </x:c>
      <x:c r="AP298" s="10" t="str">
        <x:v>0.8488372093023255</x:v>
      </x:c>
      <x:c r="AQ298" s="6" t="str">
        <x:v>0.12790697674418605</x:v>
      </x:c>
      <x:c r="AR298" s="6" t="str">
        <x:v>0.023255813953488372</x:v>
      </x:c>
      <x:c r="AS298" s="6" t="str">
        <x:v>With trade</x:v>
      </x:c>
      <x:c r="AT298" s="6" t="str">
        <x:v>1.8831580281333165</x:v>
      </x:c>
      <x:c r="AU298" s="7" t="str">
        <x:v>2025-01-01 23:15:00-06:00</x:v>
      </x:c>
      <x:c r="AV298" s="8" t="str">
        <x:v>1</x:v>
      </x:c>
      <x:c r="AW298" s="6" t="str">
        <x:v>Immediate retest (1 bar)</x:v>
      </x:c>
      <x:c r="AX298" s="6" t="str">
        <x:v>20090.25</x:v>
      </x:c>
      <x:c r="AY298" s="6" t="str">
        <x:v>2.0</x:v>
      </x:c>
      <x:c r="AZ298" s="9" t="str">
        <x:v>0.15156917439717818</x:v>
      </x:c>
      <x:c r="BA298" s="9" t="str">
        <x:v>0.8146843123848327</x:v>
      </x:c>
      <x:c r="BB298" s="9" t="str">
        <x:v>1.3072841291756618</x:v>
      </x:c>
      <x:c r="BC298" s="9" t="str">
        <x:v>0.6631151379876546</x:v>
      </x:c>
      <x:c r="BD298" s="6" t="str">
        <x:v>0.2608695652173913</x:v>
      </x:c>
      <x:c r="BE298" s="6" t="str">
        <x:v>0.2318840579710145</x:v>
      </x:c>
      <x:c r="BF298" s="9" t="str">
        <x:v>0.30313834879435636</x:v>
      </x:c>
      <x:c r="BG298" s="9" t="str">
        <x:v>0.34103064239365094</x:v>
      </x:c>
      <x:c r="BH298" s="6" t="str">
        <x:v>With trade</x:v>
      </x:c>
      <x:c r="BI298" s="6" t="str">
        <x:v>Penetration + same-bar reclaim</x:v>
      </x:c>
      <x:c r="BJ298" s="6" t="str">
        <x:v>False</x:v>
      </x:c>
      <x:c r="BK298" s="10" t="str">
        <x:v>True</x:v>
      </x:c>
      <x:c r="BL298" s="6" t="str">
        <x:v>True</x:v>
      </x:c>
      <x:c r="BM298" s="7" t="str">
        <x:v>2025-01-01 23:25:00-06:00</x:v>
      </x:c>
      <x:c r="BN298" s="8" t="str">
        <x:v>2</x:v>
      </x:c>
      <x:c r="BO298" s="6" t="str">
        <x:v>Delayed confirmation (2+ bars)</x:v>
      </x:c>
      <x:c r="BP298" s="9" t="str">
        <x:v>0.2231186625544815</x:v>
      </x:c>
      <x:c r="BQ298" s="9" t="str">
        <x:v>0.5679384137750438</x:v>
      </x:c>
      <x:c r="BR298" s="10" t="str">
        <x:v>0.39285714285714285</x:v>
      </x:c>
      <x:c r="BS298" s="9" t="str">
        <x:v>0.8519076206625658</x:v>
      </x:c>
      <x:c r="BT298" s="9" t="str">
        <x:v>-0.020283514777680138</x:v>
      </x:c>
      <x:c r="BU298" s="9" t="str">
        <x:v>0.34481975122056235</x:v>
      </x:c>
      <x:c r="BV298" s="6" t="str">
        <x:v>With trade</x:v>
      </x:c>
      <x:c r="BW298" s="7" t="str">
        <x:v>2025-01-01 23:25:00-06:00</x:v>
      </x:c>
      <x:c r="BX298" s="6" t="str">
        <x:v>20102.75</x:v>
      </x:c>
      <x:c r="BY298" s="9" t="str">
        <x:v>12.325280048362158</x:v>
      </x:c>
      <x:c r="BZ298" s="9" t="str">
        <x:v>0.01</x:v>
      </x:c>
      <x:c r="CA298" s="6" t="str">
        <x:v>20084.262079927455</x:v>
      </x:c>
      <x:c r="CB298" s="6" t="str">
        <x:v>18.48792007254451</x:v>
      </x:c>
      <x:c r="CC298" s="9" t="str">
        <x:v>1.5000000000001035</x:v>
      </x:c>
      <x:c r="CD298" s="6" t="str">
        <x:v>20139.725840145085</x:v>
      </x:c>
      <x:c r="CE298" s="6" t="str">
        <x:v>36.975840145085385</x:v>
      </x:c>
      <x:c r="CF298" s="6" t="str">
        <x:v>Fixed 2.00R target</x:v>
      </x:c>
      <x:c r="CG298" s="9" t="str">
        <x:v>0.03921479523684556</x:v>
      </x:c>
      <x:c r="CH298" s="9" t="str">
        <x:v>0.7572512183667252</x:v>
      </x:c>
      <x:c r="CI298" s="9" t="str">
        <x:v>0.7180364231298796</x:v>
      </x:c>
      <x:c r="CJ298" s="6" t="str">
        <x:v>Win</x:v>
      </x:c>
      <x:c r="CK298" s="9" t="str">
        <x:v>1.7443822708803716</x:v>
      </x:c>
      <x:c r="CL298" s="9" t="str">
        <x:v>0.5273713842196472</x:v>
      </x:c>
      <x:c r="CM298" s="7" t="str">
        <x:v>2025-01-02 00:25:00-06:00</x:v>
      </x:c>
      <x:c r="CN298" s="6" t="str">
        <x:v>20116.75</x:v>
      </x:c>
      <x:c r="CO298" s="6" t="str">
        <x:v>TIME</x:v>
      </x:c>
      <x:c r="CP298" s="6" t="str">
        <x:v>F::Long::Same-bar Setup+BOS::Penetration + same-bar reclaim</x:v>
      </x:c>
    </x:row>
    <x:row r="299" ht="18" customHeight="1">
      <x:c r="A299" s="6" t="str">
        <x:v>A0298</x:v>
      </x:c>
      <x:c r="B299" s="6" t="str">
        <x:v>2025-01-06</x:v>
      </x:c>
      <x:c r="C299" s="6" t="str">
        <x:v>2025</x:v>
      </x:c>
      <x:c r="D299" s="6" t="str">
        <x:v>2025-Q1</x:v>
      </x:c>
      <x:c r="E299" s="6" t="str">
        <x:v>First 50%</x:v>
      </x:c>
      <x:c r="F299" s="6" t="str">
        <x:v>Long</x:v>
      </x:c>
      <x:c r="G299" s="6" t="str">
        <x:v>Long</x:v>
      </x:c>
      <x:c r="H299" s="6" t="str">
        <x:v>Premarket</x:v>
      </x:c>
      <x:c r="I299" s="6" t="str">
        <x:v>Premarket</x:v>
      </x:c>
      <x:c r="J299" s="6" t="str">
        <x:v>Bull</x:v>
      </x:c>
      <x:c r="K299" s="6" t="str">
        <x:v>Bull</x:v>
      </x:c>
      <x:c r="L299" s="6" t="str">
        <x:v>HIGH</x:v>
      </x:c>
      <x:c r="M299" s="7" t="str">
        <x:v>2025-01-06 08:30:00-06:00</x:v>
      </x:c>
      <x:c r="N299" s="6" t="str">
        <x:v>90.0</x:v>
      </x:c>
      <x:c r="O299" s="6" t="str">
        <x:v>90-94</x:v>
      </x:c>
      <x:c r="P299" s="6" t="str">
        <x:v>Matching BOS only</x:v>
      </x:c>
      <x:c r="Q299" s="6" t="str">
        <x:v>Bull CHoCH</x:v>
      </x:c>
      <x:c r="R299" s="6" t="str">
        <x:v>True</x:v>
      </x:c>
      <x:c r="S299" s="6" t="str">
        <x:v>False</x:v>
      </x:c>
      <x:c r="T299" s="6" t="str">
        <x:v>Recent SSL</x:v>
      </x:c>
      <x:c r="U299" s="6" t="str">
        <x:v>SSL</x:v>
      </x:c>
      <x:c r="V299" s="6" t="str">
        <x:v>Swing low / sell-side</x:v>
      </x:c>
      <x:c r="W299" s="6" t="str">
        <x:v>[20394.5]</x:v>
      </x:c>
      <x:c r="X299" s="8" t="str">
        <x:v>1</x:v>
      </x:c>
      <x:c r="Y299" s="8" t="str">
        <x:v>3.0</x:v>
      </x:c>
      <x:c r="Z299" s="6" t="str">
        <x:v>None</x:v>
      </x:c>
      <x:c r="AA299" s="6" t="str">
        <x:v>20508.5</x:v>
      </x:c>
      <x:c r="AB299" s="9" t="str">
        <x:v>0.8473821569405802</x:v>
      </x:c>
      <x:c r="AC299" s="9" t="str">
        <x:v>1.6857496100839202</x:v>
      </x:c>
      <x:c r="AD299" s="9" t="str">
        <x:v>2.2356465417155733</x:v>
      </x:c>
      <x:c r="AE299" s="6" t="str">
        <x:v>With trade</x:v>
      </x:c>
      <x:c r="AF299" s="7" t="str">
        <x:v>2025-01-06 08:30:00-06:00</x:v>
      </x:c>
      <x:c r="AG299" s="6" t="str">
        <x:v>Long</x:v>
      </x:c>
      <x:c r="AH299" s="6" t="str">
        <x:v>20508.5</x:v>
      </x:c>
      <x:c r="AI299" s="8" t="str">
        <x:v>0</x:v>
      </x:c>
      <x:c r="AJ299" s="6" t="str">
        <x:v>True</x:v>
      </x:c>
      <x:c r="AK299" s="6" t="str">
        <x:v>Same-bar Setup+BOS</x:v>
      </x:c>
      <x:c r="AL299" s="9" t="str">
        <x:v>1.6947643138811603</x:v>
      </x:c>
      <x:c r="AM299" s="9" t="str">
        <x:v>0.8473821569405802</x:v>
      </x:c>
      <x:c r="AN299" s="9" t="str">
        <x:v>1.6857496100839202</x:v>
      </x:c>
      <x:c r="AO299" s="9" t="str">
        <x:v>2.2356465417155733</x:v>
      </x:c>
      <x:c r="AP299" s="10" t="str">
        <x:v>0.7540322580645161</x:v>
      </x:c>
      <x:c r="AQ299" s="6" t="str">
        <x:v>0.0967741935483871</x:v>
      </x:c>
      <x:c r="AR299" s="6" t="str">
        <x:v>0.14919354838709678</x:v>
      </x:c>
      <x:c r="AS299" s="6" t="str">
        <x:v>With trade</x:v>
      </x:c>
      <x:c r="AT299" s="6" t="str">
        <x:v>7.3863712956930065</x:v>
      </x:c>
      <x:c r="AU299" s="7" t="str">
        <x:v>2025-01-06 08:35:00-06:00</x:v>
      </x:c>
      <x:c r="AV299" s="8" t="str">
        <x:v>1</x:v>
      </x:c>
      <x:c r="AW299" s="6" t="str">
        <x:v>Immediate retest (1 bar)</x:v>
      </x:c>
      <x:c r="AX299" s="6" t="str">
        <x:v>20508.75</x:v>
      </x:c>
      <x:c r="AY299" s="6" t="str">
        <x:v>0.0</x:v>
      </x:c>
      <x:c r="AZ299" s="9" t="str">
        <x:v>0.0</x:v>
      </x:c>
      <x:c r="BA299" s="9" t="str">
        <x:v>0.6052788624277643</x:v>
      </x:c>
      <x:c r="BB299" s="9" t="str">
        <x:v>1.5304908378530613</x:v>
      </x:c>
      <x:c r="BC299" s="9" t="str">
        <x:v>0.21617102229563012</x:v>
      </x:c>
      <x:c r="BD299" s="6" t="str">
        <x:v>0.4689265536723164</x:v>
      </x:c>
      <x:c r="BE299" s="6" t="str">
        <x:v>0.3898305084745763</x:v>
      </x:c>
      <x:c r="BF299" s="9" t="str">
        <x:v>0.5966320215359391</x:v>
      </x:c>
      <x:c r="BG299" s="9" t="str">
        <x:v>0.717687794021492</x:v>
      </x:c>
      <x:c r="BH299" s="6" t="str">
        <x:v>Against trade</x:v>
      </x:c>
      <x:c r="BI299" s="6" t="str">
        <x:v>Tolerance-only shallow touch</x:v>
      </x:c>
      <x:c r="BJ299" s="6" t="str">
        <x:v>True</x:v>
      </x:c>
      <x:c r="BK299" s="10" t="str">
        <x:v>False</x:v>
      </x:c>
      <x:c r="BL299" s="6" t="str">
        <x:v>True</x:v>
      </x:c>
      <x:c r="BM299" s="7" t="str">
        <x:v>2025-01-06 08:40:00-06:00</x:v>
      </x:c>
      <x:c r="BN299" s="8" t="str">
        <x:v>1</x:v>
      </x:c>
      <x:c r="BO299" s="6" t="str">
        <x:v>Immediate confirmation (1 bar)</x:v>
      </x:c>
      <x:c r="BP299" s="9" t="str">
        <x:v>0.5701374447254728</x:v>
      </x:c>
      <x:c r="BQ299" s="9" t="str">
        <x:v>1.9272251652692036</x:v>
      </x:c>
      <x:c r="BR299" s="10" t="str">
        <x:v>0.29583333333333334</x:v>
      </x:c>
      <x:c r="BS299" s="9" t="str">
        <x:v>1.1483049943062338</x:v>
      </x:c>
      <x:c r="BT299" s="9" t="str">
        <x:v>0.5861976544360494</x:v>
      </x:c>
      <x:c r="BU299" s="9" t="str">
        <x:v>0.2328730408033621</x:v>
      </x:c>
      <x:c r="BV299" s="6" t="str">
        <x:v>With trade</x:v>
      </x:c>
      <x:c r="BW299" s="7" t="str">
        <x:v>2025-01-06 08:40:00-06:00</x:v>
      </x:c>
      <x:c r="BX299" s="6" t="str">
        <x:v>20544.25</x:v>
      </x:c>
      <x:c r="BY299" s="9" t="str">
        <x:v>31.1328437804095</x:v>
      </x:c>
      <x:c r="BZ299" s="9" t="str">
        <x:v>1.0</x:v>
      </x:c>
      <x:c r="CA299" s="6" t="str">
        <x:v>20497.550734329387</x:v>
      </x:c>
      <x:c r="CB299" s="6" t="str">
        <x:v>46.699265670613386</x:v>
      </x:c>
      <x:c r="CC299" s="9" t="str">
        <x:v>1.4999999999999722</x:v>
      </x:c>
      <x:c r="CD299" s="6" t="str">
        <x:v>20637.648531341227</x:v>
      </x:c>
      <x:c r="CE299" s="6" t="str">
        <x:v>93.39853134122677</x:v>
      </x:c>
      <x:c r="CF299" s="6" t="str">
        <x:v>Fixed 2.00R target</x:v>
      </x:c>
      <x:c r="CG299" s="9" t="str">
        <x:v>0.015524869386891096</x:v>
      </x:c>
      <x:c r="CH299" s="9" t="str">
        <x:v>2.0</x:v>
      </x:c>
      <x:c r="CI299" s="9" t="str">
        <x:v>1.984475130613109</x:v>
      </x:c>
      <x:c r="CJ299" s="6" t="str">
        <x:v>Win</x:v>
      </x:c>
      <x:c r="CK299" s="9" t="str">
        <x:v>2.034293230006419</x:v>
      </x:c>
      <x:c r="CL299" s="9" t="str">
        <x:v>0.24625654889551393</x:v>
      </x:c>
      <x:c r="CM299" s="7" t="str">
        <x:v>2025-01-06 09:25:00-06:00</x:v>
      </x:c>
      <x:c r="CN299" s="6" t="str">
        <x:v>20637.648531341227</x:v>
      </x:c>
      <x:c r="CO299" s="6" t="str">
        <x:v>TARGET</x:v>
      </x:c>
      <x:c r="CP299" s="6" t="str">
        <x:v>F::Long::Same-bar Setup+BOS::Tolerance-only shallow touch</x:v>
      </x:c>
    </x:row>
    <x:row r="300" ht="18" customHeight="1">
      <x:c r="A300" s="6" t="str">
        <x:v>A0299</x:v>
      </x:c>
      <x:c r="B300" s="6" t="str">
        <x:v>2025-01-06</x:v>
      </x:c>
      <x:c r="C300" s="6" t="str">
        <x:v>2025</x:v>
      </x:c>
      <x:c r="D300" s="6" t="str">
        <x:v>2025-Q1</x:v>
      </x:c>
      <x:c r="E300" s="6" t="str">
        <x:v>First 50%</x:v>
      </x:c>
      <x:c r="F300" s="6" t="str">
        <x:v>Short</x:v>
      </x:c>
      <x:c r="G300" s="6" t="str">
        <x:v>Short</x:v>
      </x:c>
      <x:c r="H300" s="6" t="str">
        <x:v>Midday</x:v>
      </x:c>
      <x:c r="I300" s="6" t="str">
        <x:v>Midday</x:v>
      </x:c>
      <x:c r="J300" s="6" t="str">
        <x:v>Bull</x:v>
      </x:c>
      <x:c r="K300" s="6" t="str">
        <x:v>Bull</x:v>
      </x:c>
      <x:c r="L300" s="6" t="str">
        <x:v>HIGH</x:v>
      </x:c>
      <x:c r="M300" s="7" t="str">
        <x:v>2025-01-06 12:00:00-06:00</x:v>
      </x:c>
      <x:c r="N300" s="6" t="str">
        <x:v>75.0</x:v>
      </x:c>
      <x:c r="O300" s="6" t="str">
        <x:v>75-79</x:v>
      </x:c>
      <x:c r="P300" s="6" t="str">
        <x:v>Matching BOS only</x:v>
      </x:c>
      <x:c r="Q300" s="6" t="str">
        <x:v>Bear CHoCH</x:v>
      </x:c>
      <x:c r="R300" s="6" t="str">
        <x:v>True</x:v>
      </x:c>
      <x:c r="S300" s="6" t="str">
        <x:v>False</x:v>
      </x:c>
      <x:c r="T300" s="6" t="str">
        <x:v>No recent matching sweep</x:v>
      </x:c>
      <x:c r="U300" s="6" t="str">
        <x:v>None</x:v>
      </x:c>
      <x:c r="V300" s="6" t="str">
        <x:v>None</x:v>
      </x:c>
      <x:c r="W300" s="6" t="str">
        <x:v>[]</x:v>
      </x:c>
      <x:c r="X300" s="8" t="str">
        <x:v>0</x:v>
      </x:c>
      <x:c r="Y300" s="8" t="str"/>
      <x:c r="Z300" s="6" t="str">
        <x:v>Sweep below CRT reference</x:v>
      </x:c>
      <x:c r="AA300" s="6" t="str">
        <x:v>20532.75</x:v>
      </x:c>
      <x:c r="AB300" s="9" t="str">
        <x:v>0.11433713037574632</x:v>
      </x:c>
      <x:c r="AC300" s="9" t="str">
        <x:v>0.6332517990041334</x:v>
      </x:c>
      <x:c r="AD300" s="9" t="str">
        <x:v>1.9877070357629745</x:v>
      </x:c>
      <x:c r="AE300" s="6" t="str">
        <x:v>With trade</x:v>
      </x:c>
      <x:c r="AF300" s="7" t="str">
        <x:v>2025-01-06 12:00:00-06:00</x:v>
      </x:c>
      <x:c r="AG300" s="6" t="str">
        <x:v>Short</x:v>
      </x:c>
      <x:c r="AH300" s="6" t="str">
        <x:v>20532.75</x:v>
      </x:c>
      <x:c r="AI300" s="8" t="str">
        <x:v>0</x:v>
      </x:c>
      <x:c r="AJ300" s="6" t="str">
        <x:v>True</x:v>
      </x:c>
      <x:c r="AK300" s="6" t="str">
        <x:v>Same-bar Setup+BOS</x:v>
      </x:c>
      <x:c r="AL300" s="9" t="str">
        <x:v>0.6156614712540186</x:v>
      </x:c>
      <x:c r="AM300" s="9" t="str">
        <x:v>0.11433713037574632</x:v>
      </x:c>
      <x:c r="AN300" s="9" t="str">
        <x:v>0.6332517990041334</x:v>
      </x:c>
      <x:c r="AO300" s="9" t="str">
        <x:v>1.9877070357629745</x:v>
      </x:c>
      <x:c r="AP300" s="10" t="str">
        <x:v>0.3185840707964602</x:v>
      </x:c>
      <x:c r="AQ300" s="6" t="str">
        <x:v>0.01327433628318584</x:v>
      </x:c>
      <x:c r="AR300" s="6" t="str">
        <x:v>0.668141592920354</x:v>
      </x:c>
      <x:c r="AS300" s="6" t="str">
        <x:v>With trade</x:v>
      </x:c>
      <x:c r="AT300" s="6" t="str">
        <x:v>2.2563086339236444</x:v>
      </x:c>
      <x:c r="AU300" s="7" t="str">
        <x:v>2025-01-06 12:05:00-06:00</x:v>
      </x:c>
      <x:c r="AV300" s="8" t="str">
        <x:v>1</x:v>
      </x:c>
      <x:c r="AW300" s="6" t="str">
        <x:v>Immediate retest (1 bar)</x:v>
      </x:c>
      <x:c r="AX300" s="6" t="str">
        <x:v>20541.25</x:v>
      </x:c>
      <x:c r="AY300" s="6" t="str">
        <x:v>8.5</x:v>
      </x:c>
      <x:c r="AZ300" s="9" t="str">
        <x:v>0.30394262952477946</x:v>
      </x:c>
      <x:c r="BA300" s="9" t="str">
        <x:v>-0.08045540193302986</x:v>
      </x:c>
      <x:c r="BB300" s="9" t="str">
        <x:v>0.7866750411229585</x:v>
      </x:c>
      <x:c r="BC300" s="9" t="str">
        <x:v>0.2056082493844096</x:v>
      </x:c>
      <x:c r="BD300" s="6" t="str">
        <x:v>0.2840909090909091</x:v>
      </x:c>
      <x:c r="BE300" s="6" t="str">
        <x:v>0.45454545454545453</x:v>
      </x:c>
      <x:c r="BF300" s="9" t="str">
        <x:v>0.22348722759174958</x:v>
      </x:c>
      <x:c r="BG300" s="9" t="str">
        <x:v>0.3575795641467993</x:v>
      </x:c>
      <x:c r="BH300" s="6" t="str">
        <x:v>Against trade</x:v>
      </x:c>
      <x:c r="BI300" s="6" t="str">
        <x:v>Penetration without same-bar reclaim</x:v>
      </x:c>
      <x:c r="BJ300" s="6" t="str">
        <x:v>False</x:v>
      </x:c>
      <x:c r="BK300" s="10" t="str">
        <x:v>True</x:v>
      </x:c>
      <x:c r="BL300" s="6" t="str">
        <x:v>False</x:v>
      </x:c>
      <x:c r="BM300" s="7" t="str">
        <x:v>2025-01-06 12:10:00-06:00</x:v>
      </x:c>
      <x:c r="BN300" s="8" t="str">
        <x:v>1</x:v>
      </x:c>
      <x:c r="BO300" s="6" t="str">
        <x:v>Immediate confirmation (1 bar)</x:v>
      </x:c>
      <x:c r="BP300" s="9" t="str">
        <x:v>0.13868509817921734</x:v>
      </x:c>
      <x:c r="BQ300" s="9" t="str">
        <x:v>0.5547403927168694</x:v>
      </x:c>
      <x:c r="BR300" s="10" t="str">
        <x:v>0.25</x:v>
      </x:c>
      <x:c r="BS300" s="9" t="str">
        <x:v>0.0832110589075304</x:v>
      </x:c>
      <x:c r="BT300" s="9" t="str">
        <x:v>0.1664221178150608</x:v>
      </x:c>
      <x:c r="BU300" s="9" t="str">
        <x:v>0.2773701963584347</x:v>
      </x:c>
      <x:c r="BV300" s="6" t="str">
        <x:v>With trade</x:v>
      </x:c>
      <x:c r="BW300" s="7" t="str">
        <x:v>2025-01-06 12:10:00-06:00</x:v>
      </x:c>
      <x:c r="BX300" s="6" t="str">
        <x:v>20530.5</x:v>
      </x:c>
      <x:c r="BY300" s="9" t="str">
        <x:v>27.03967512900356</x:v>
      </x:c>
      <x:c r="BZ300" s="9" t="str">
        <x:v>0.71</x:v>
      </x:c>
      <x:c r="CA300" s="6" t="str">
        <x:v>20571.059512693504</x:v>
      </x:c>
      <x:c r="CB300" s="6" t="str">
        <x:v>40.559512693504075</x:v>
      </x:c>
      <x:c r="CC300" s="9" t="str">
        <x:v>1.4999999999999534</x:v>
      </x:c>
      <x:c r="CD300" s="6" t="str">
        <x:v>20449.38097461299</x:v>
      </x:c>
      <x:c r="CE300" s="6" t="str">
        <x:v>81.11902538701179</x:v>
      </x:c>
      <x:c r="CF300" s="6" t="str">
        <x:v>Fixed 2.00R target</x:v>
      </x:c>
      <x:c r="CG300" s="9" t="str">
        <x:v>0.017874968209766348</x:v>
      </x:c>
      <x:c r="CH300" s="9" t="str">
        <x:v>2.0</x:v>
      </x:c>
      <x:c r="CI300" s="9" t="str">
        <x:v>1.9821250317902337</x:v>
      </x:c>
      <x:c r="CJ300" s="6" t="str">
        <x:v>Win</x:v>
      </x:c>
      <x:c r="CK300" s="9" t="str">
        <x:v>2.49633176722599</x:v>
      </x:c>
      <x:c r="CL300" s="9" t="str">
        <x:v>0.3143528892062358</x:v>
      </x:c>
      <x:c r="CM300" s="7" t="str">
        <x:v>2025-01-06 13:00:00-06:00</x:v>
      </x:c>
      <x:c r="CN300" s="6" t="str">
        <x:v>20449.38097461299</x:v>
      </x:c>
      <x:c r="CO300" s="6" t="str">
        <x:v>TARGET</x:v>
      </x:c>
      <x:c r="CP300" s="6" t="str">
        <x:v>F::Short::Same-bar Setup+BOS::Penetration without same-bar reclaim</x:v>
      </x:c>
    </x:row>
    <x:row r="301" ht="18" customHeight="1">
      <x:c r="A301" s="6" t="str">
        <x:v>A0300</x:v>
      </x:c>
      <x:c r="B301" s="6" t="str">
        <x:v>2025-01-06</x:v>
      </x:c>
      <x:c r="C301" s="6" t="str">
        <x:v>2025</x:v>
      </x:c>
      <x:c r="D301" s="6" t="str">
        <x:v>2025-Q1</x:v>
      </x:c>
      <x:c r="E301" s="6" t="str">
        <x:v>First 50%</x:v>
      </x:c>
      <x:c r="F301" s="6" t="str">
        <x:v>Short</x:v>
      </x:c>
      <x:c r="G301" s="6" t="str">
        <x:v>Short</x:v>
      </x:c>
      <x:c r="H301" s="6" t="str">
        <x:v>Overnight</x:v>
      </x:c>
      <x:c r="I301" s="6" t="str">
        <x:v>Overnight</x:v>
      </x:c>
      <x:c r="J301" s="6" t="str">
        <x:v>Bull</x:v>
      </x:c>
      <x:c r="K301" s="6" t="str">
        <x:v>Bull</x:v>
      </x:c>
      <x:c r="L301" s="6" t="str">
        <x:v>LOW</x:v>
      </x:c>
      <x:c r="M301" s="7" t="str">
        <x:v>2025-01-06 20:20:00-06:00</x:v>
      </x:c>
      <x:c r="N301" s="6" t="str">
        <x:v>75.0</x:v>
      </x:c>
      <x:c r="O301" s="6" t="str">
        <x:v>75-79</x:v>
      </x:c>
      <x:c r="P301" s="6" t="str">
        <x:v>Matching liquidity sweep only</x:v>
      </x:c>
      <x:c r="Q301" s="6" t="str">
        <x:v>Recent bear structure</x:v>
      </x:c>
      <x:c r="R301" s="6" t="str">
        <x:v>False</x:v>
      </x:c>
      <x:c r="S301" s="6" t="str">
        <x:v>True</x:v>
      </x:c>
      <x:c r="T301" s="6" t="str">
        <x:v>Recent BSL</x:v>
      </x:c>
      <x:c r="U301" s="6" t="str">
        <x:v>BSL</x:v>
      </x:c>
      <x:c r="V301" s="6" t="str">
        <x:v>Swing high / buy-side</x:v>
      </x:c>
      <x:c r="W301" s="6" t="str">
        <x:v>[20536.5,20534.5]</x:v>
      </x:c>
      <x:c r="X301" s="8" t="str">
        <x:v>2</x:v>
      </x:c>
      <x:c r="Y301" s="8" t="str">
        <x:v>0.0</x:v>
      </x:c>
      <x:c r="Z301" s="6" t="str">
        <x:v>None</x:v>
      </x:c>
      <x:c r="AA301" s="6" t="str">
        <x:v>20498.5</x:v>
      </x:c>
      <x:c r="AB301" s="9" t="str">
        <x:v>-3.9365386134710234</x:v>
      </x:c>
      <x:c r="AC301" s="9" t="str">
        <x:v>0.5025368442728966</x:v>
      </x:c>
      <x:c r="AD301" s="9" t="str">
        <x:v>0.9771549749750768</x:v>
      </x:c>
      <x:c r="AE301" s="6" t="str">
        <x:v>Against trade</x:v>
      </x:c>
      <x:c r="AF301" s="7" t="str">
        <x:v>2025-01-06 20:50:00-06:00</x:v>
      </x:c>
      <x:c r="AG301" s="6" t="str">
        <x:v>Short</x:v>
      </x:c>
      <x:c r="AH301" s="6" t="str">
        <x:v>20498.5</x:v>
      </x:c>
      <x:c r="AI301" s="8" t="str">
        <x:v>6</x:v>
      </x:c>
      <x:c r="AJ301" s="6" t="str">
        <x:v>False</x:v>
      </x:c>
      <x:c r="AK301" s="6" t="str">
        <x:v>Delayed BOS</x:v>
      </x:c>
      <x:c r="AL301" s="9" t="str">
        <x:v>1.4451929338582932</x:v>
      </x:c>
      <x:c r="AM301" s="9" t="str">
        <x:v>0.5324395019477922</x:v>
      </x:c>
      <x:c r="AN301" s="9" t="str">
        <x:v>1.4705471958558072</x:v>
      </x:c>
      <x:c r="AO301" s="9" t="str">
        <x:v>2.205820793783711</x:v>
      </x:c>
      <x:c r="AP301" s="10" t="str">
        <x:v>0.6666666666666666</x:v>
      </x:c>
      <x:c r="AQ301" s="6" t="str">
        <x:v>0.011494252873563218</x:v>
      </x:c>
      <x:c r="AR301" s="6" t="str">
        <x:v>0.3218390804597701</x:v>
      </x:c>
      <x:c r="AS301" s="6" t="str">
        <x:v>With trade</x:v>
      </x:c>
      <x:c r="AT301" s="6" t="str">
        <x:v>3.2551984877126654</x:v>
      </x:c>
      <x:c r="AU301" s="7" t="str">
        <x:v>2025-01-06 20:55:00-06:00</x:v>
      </x:c>
      <x:c r="AV301" s="8" t="str">
        <x:v>1</x:v>
      </x:c>
      <x:c r="AW301" s="6" t="str">
        <x:v>Immediate retest (1 bar)</x:v>
      </x:c>
      <x:c r="AX301" s="6" t="str">
        <x:v>20498.5</x:v>
      </x:c>
      <x:c r="AY301" s="6" t="str">
        <x:v>0.0</x:v>
      </x:c>
      <x:c r="AZ301" s="9" t="str">
        <x:v>0.0</x:v>
      </x:c>
      <x:c r="BA301" s="9" t="str">
        <x:v>0.8450173925033758</x:v>
      </x:c>
      <x:c r="BB301" s="9" t="str">
        <x:v>0.8706239801549932</x:v>
      </x:c>
      <x:c r="BC301" s="9" t="str">
        <x:v>0.33288563947102684</x:v>
      </x:c>
      <x:c r="BD301" s="6" t="str">
        <x:v>0.5882352941176471</x:v>
      </x:c>
      <x:c r="BE301" s="6" t="str">
        <x:v>0.029411764705882353</x:v>
      </x:c>
      <x:c r="BF301" s="9" t="str">
        <x:v>0.5121317530323489</x:v>
      </x:c>
      <x:c r="BG301" s="9" t="str">
        <x:v>0.025606587651617448</x:v>
      </x:c>
      <x:c r="BH301" s="6" t="str">
        <x:v>With trade</x:v>
      </x:c>
      <x:c r="BI301" s="6" t="str">
        <x:v>Exact BOS touch</x:v>
      </x:c>
      <x:c r="BJ301" s="6" t="str">
        <x:v>True</x:v>
      </x:c>
      <x:c r="BK301" s="10" t="str">
        <x:v>False</x:v>
      </x:c>
      <x:c r="BL301" s="6" t="str">
        <x:v>True</x:v>
      </x:c>
      <x:c r="BM301" s="7" t="str">
        <x:v>2025-01-06 21:00:00-06:00</x:v>
      </x:c>
      <x:c r="BN301" s="8" t="str">
        <x:v>1</x:v>
      </x:c>
      <x:c r="BO301" s="6" t="str">
        <x:v>Immediate confirmation (1 bar)</x:v>
      </x:c>
      <x:c r="BP301" s="9" t="str">
        <x:v>0.9307244225653292</x:v>
      </x:c>
      <x:c r="BQ301" s="9" t="str">
        <x:v>2.1872023930285236</x:v>
      </x:c>
      <x:c r="BR301" s="10" t="str">
        <x:v>0.425531914893617</x:v>
      </x:c>
      <x:c r="BS301" s="9" t="str">
        <x:v>1.628767739489326</x:v>
      </x:c>
      <x:c r="BT301" s="9" t="str">
        <x:v>0.8609200908729294</x:v>
      </x:c>
      <x:c r="BU301" s="9" t="str">
        <x:v>0.06980433169239969</x:v>
      </x:c>
      <x:c r="BV301" s="6" t="str">
        <x:v>With trade</x:v>
      </x:c>
      <x:c r="BW301" s="7" t="str">
        <x:v>2025-01-06 21:00:00-06:00</x:v>
      </x:c>
      <x:c r="BX301" s="6" t="str">
        <x:v>20481.0</x:v>
      </x:c>
      <x:c r="BY301" s="9" t="str">
        <x:v>10.744318895637536</x:v>
      </x:c>
      <x:c r="BZ301" s="9" t="str">
        <x:v>0.22</x:v>
      </x:c>
      <x:c r="CA301" s="6" t="str">
        <x:v>20497.116478343458</x:v>
      </x:c>
      <x:c r="CB301" s="6" t="str">
        <x:v>16.116478343457857</x:v>
      </x:c>
      <x:c r="CC301" s="9" t="str">
        <x:v>1.5000000000001446</x:v>
      </x:c>
      <x:c r="CD301" s="6" t="str">
        <x:v>20448.767043313088</x:v>
      </x:c>
      <x:c r="CE301" s="6" t="str">
        <x:v>32.232956686912075</x:v>
      </x:c>
      <x:c r="CF301" s="6" t="str">
        <x:v>Fixed 2.00R target</x:v>
      </x:c>
      <x:c r="CG301" s="9" t="str">
        <x:v>0.044985013757319905</x:v>
      </x:c>
      <x:c r="CH301" s="9" t="str">
        <x:v>-1.0</x:v>
      </x:c>
      <x:c r="CI301" s="9" t="str">
        <x:v>-1.04498501375732</x:v>
      </x:c>
      <x:c r="CJ301" s="6" t="str">
        <x:v>Loss</x:v>
      </x:c>
      <x:c r="CK301" s="9" t="str">
        <x:v>0.589458800957985</x:v>
      </x:c>
      <x:c r="CL301" s="9" t="str">
        <x:v>1.3495504127195972</x:v>
      </x:c>
      <x:c r="CM301" s="7" t="str">
        <x:v>2025-01-06 21:30:00-06:00</x:v>
      </x:c>
      <x:c r="CN301" s="6" t="str">
        <x:v>20497.116478343458</x:v>
      </x:c>
      <x:c r="CO301" s="6" t="str">
        <x:v>STOP</x:v>
      </x:c>
      <x:c r="CP301" s="6" t="str">
        <x:v>F::Short::Delayed BOS::Exact BOS touch</x:v>
      </x:c>
    </x:row>
    <x:row r="302" ht="18" customHeight="1">
      <x:c r="A302" s="6" t="str">
        <x:v>A0301</x:v>
      </x:c>
      <x:c r="B302" s="6" t="str">
        <x:v>2025-01-07</x:v>
      </x:c>
      <x:c r="C302" s="6" t="str">
        <x:v>2025</x:v>
      </x:c>
      <x:c r="D302" s="6" t="str">
        <x:v>2025-Q1</x:v>
      </x:c>
      <x:c r="E302" s="6" t="str">
        <x:v>First 50%</x:v>
      </x:c>
      <x:c r="F302" s="6" t="str">
        <x:v>Long</x:v>
      </x:c>
      <x:c r="G302" s="6" t="str">
        <x:v>Long</x:v>
      </x:c>
      <x:c r="H302" s="6" t="str">
        <x:v>Overnight</x:v>
      </x:c>
      <x:c r="I302" s="6" t="str">
        <x:v>Overnight</x:v>
      </x:c>
      <x:c r="J302" s="6" t="str">
        <x:v>Bear</x:v>
      </x:c>
      <x:c r="K302" s="6" t="str">
        <x:v>Bear</x:v>
      </x:c>
      <x:c r="L302" s="6" t="str">
        <x:v>LOW</x:v>
      </x:c>
      <x:c r="M302" s="7" t="str">
        <x:v>2025-01-07 23:40:00-06:00</x:v>
      </x:c>
      <x:c r="N302" s="6" t="str">
        <x:v>75.0</x:v>
      </x:c>
      <x:c r="O302" s="6" t="str">
        <x:v>75-79</x:v>
      </x:c>
      <x:c r="P302" s="6" t="str">
        <x:v>Matching BOS only</x:v>
      </x:c>
      <x:c r="Q302" s="6" t="str">
        <x:v>Bull CHoCH</x:v>
      </x:c>
      <x:c r="R302" s="6" t="str">
        <x:v>True</x:v>
      </x:c>
      <x:c r="S302" s="6" t="str">
        <x:v>False</x:v>
      </x:c>
      <x:c r="T302" s="6" t="str">
        <x:v>Recent SSL</x:v>
      </x:c>
      <x:c r="U302" s="6" t="str">
        <x:v>SSL</x:v>
      </x:c>
      <x:c r="V302" s="6" t="str">
        <x:v>Swing low / sell-side</x:v>
      </x:c>
      <x:c r="W302" s="6" t="str">
        <x:v>[20142.25]</x:v>
      </x:c>
      <x:c r="X302" s="8" t="str">
        <x:v>1</x:v>
      </x:c>
      <x:c r="Y302" s="8" t="str">
        <x:v>10.0</x:v>
      </x:c>
      <x:c r="Z302" s="6" t="str">
        <x:v>None</x:v>
      </x:c>
      <x:c r="AA302" s="6" t="str">
        <x:v>20171.75</x:v>
      </x:c>
      <x:c r="AB302" s="9" t="str">
        <x:v>0.2060397634411438</x:v>
      </x:c>
      <x:c r="AC302" s="9" t="str">
        <x:v>0.5298165345629412</x:v>
      </x:c>
      <x:c r="AD302" s="9" t="str">
        <x:v>1.1185015729662093</x:v>
      </x:c>
      <x:c r="AE302" s="6" t="str">
        <x:v>With trade</x:v>
      </x:c>
      <x:c r="AF302" s="7" t="str">
        <x:v>2025-01-07 23:40:00-06:00</x:v>
      </x:c>
      <x:c r="AG302" s="6" t="str">
        <x:v>Long</x:v>
      </x:c>
      <x:c r="AH302" s="6" t="str">
        <x:v>20171.75</x:v>
      </x:c>
      <x:c r="AI302" s="8" t="str">
        <x:v>0</x:v>
      </x:c>
      <x:c r="AJ302" s="6" t="str">
        <x:v>True</x:v>
      </x:c>
      <x:c r="AK302" s="6" t="str">
        <x:v>Same-bar Setup+BOS</x:v>
      </x:c>
      <x:c r="AL302" s="9" t="str">
        <x:v>0.47094803072261443</x:v>
      </x:c>
      <x:c r="AM302" s="9" t="str">
        <x:v>0.2060397634411438</x:v>
      </x:c>
      <x:c r="AN302" s="9" t="str">
        <x:v>0.5298165345629412</x:v>
      </x:c>
      <x:c r="AO302" s="9" t="str">
        <x:v>1.1185015729662093</x:v>
      </x:c>
      <x:c r="AP302" s="10" t="str">
        <x:v>0.47368421052631576</x:v>
      </x:c>
      <x:c r="AQ302" s="6" t="str">
        <x:v>0.2894736842105263</x:v>
      </x:c>
      <x:c r="AR302" s="6" t="str">
        <x:v>0.23684210526315788</x:v>
      </x:c>
      <x:c r="AS302" s="6" t="str">
        <x:v>With trade</x:v>
      </x:c>
      <x:c r="AT302" s="6" t="str">
        <x:v>1.3336378168531628</x:v>
      </x:c>
      <x:c r="AU302" s="7" t="str">
        <x:v>2025-01-07 23:45:00-06:00</x:v>
      </x:c>
      <x:c r="AV302" s="8" t="str">
        <x:v>1</x:v>
      </x:c>
      <x:c r="AW302" s="6" t="str">
        <x:v>Immediate retest (1 bar)</x:v>
      </x:c>
      <x:c r="AX302" s="6" t="str">
        <x:v>20172.25</x:v>
      </x:c>
      <x:c r="AY302" s="6" t="str">
        <x:v>0.0</x:v>
      </x:c>
      <x:c r="AZ302" s="9" t="str">
        <x:v>0.0</x:v>
      </x:c>
      <x:c r="BA302" s="9" t="str">
        <x:v>0.8662953738655618</x:v>
      </x:c>
      <x:c r="BB302" s="9" t="str">
        <x:v>0.8065508653231093</x:v>
      </x:c>
      <x:c r="BC302" s="9" t="str">
        <x:v>0.5974450854245253</x:v>
      </x:c>
      <x:c r="BD302" s="6" t="str">
        <x:v>0.0</x:v>
      </x:c>
      <x:c r="BE302" s="6" t="str">
        <x:v>0.25925925925925924</x:v>
      </x:c>
      <x:c r="BF302" s="9" t="str">
        <x:v>0.20910577989858387</x:v>
      </x:c>
      <x:c r="BG302" s="9" t="str">
        <x:v>0.0</x:v>
      </x:c>
      <x:c r="BH302" s="6" t="str">
        <x:v>With trade</x:v>
      </x:c>
      <x:c r="BI302" s="6" t="str">
        <x:v>Tolerance-only shallow touch</x:v>
      </x:c>
      <x:c r="BJ302" s="6" t="str">
        <x:v>True</x:v>
      </x:c>
      <x:c r="BK302" s="10" t="str">
        <x:v>False</x:v>
      </x:c>
      <x:c r="BL302" s="6" t="str">
        <x:v>True</x:v>
      </x:c>
      <x:c r="BM302" s="7" t="str">
        <x:v>2025-01-07 23:50:00-06:00</x:v>
      </x:c>
      <x:c r="BN302" s="8" t="str">
        <x:v>1</x:v>
      </x:c>
      <x:c r="BO302" s="6" t="str">
        <x:v>Immediate confirmation (1 bar)</x:v>
      </x:c>
      <x:c r="BP302" s="9" t="str">
        <x:v>0.030095460200867046</x:v>
      </x:c>
      <x:c r="BQ302" s="9" t="str">
        <x:v>0.9028638060260114</x:v>
      </x:c>
      <x:c r="BR302" s="10" t="str">
        <x:v>0.03333333333333333</x:v>
      </x:c>
      <x:c r="BS302" s="9" t="str">
        <x:v>0.9028638060260114</x:v>
      </x:c>
      <x:c r="BT302" s="9" t="str">
        <x:v>0.030095460200867046</x:v>
      </x:c>
      <x:c r="BU302" s="9" t="str">
        <x:v>0.12038184080346818</x:v>
      </x:c>
      <x:c r="BV302" s="6" t="str">
        <x:v>With trade</x:v>
      </x:c>
      <x:c r="BW302" s="7" t="str">
        <x:v>2025-01-07 23:50:00-06:00</x:v>
      </x:c>
      <x:c r="BX302" s="6" t="str">
        <x:v>20179.25</x:v>
      </x:c>
      <x:c r="BY302" s="9" t="str">
        <x:v>8.30690071962407</x:v>
      </x:c>
      <x:c r="BZ302" s="9" t="str">
        <x:v>0.01</x:v>
      </x:c>
      <x:c r="CA302" s="6" t="str">
        <x:v>20166.789648920563</x:v>
      </x:c>
      <x:c r="CB302" s="6" t="str">
        <x:v>12.460351079436805</x:v>
      </x:c>
      <x:c r="CC302" s="9" t="str">
        <x:v>1.5000000000000844</x:v>
      </x:c>
      <x:c r="CD302" s="6" t="str">
        <x:v>20204.170702158874</x:v>
      </x:c>
      <x:c r="CE302" s="6" t="str">
        <x:v>24.92070215887361</x:v>
      </x:c>
      <x:c r="CF302" s="6" t="str">
        <x:v>Fixed 2.00R target</x:v>
      </x:c>
      <x:c r="CG302" s="9" t="str">
        <x:v>0.058184556388339685</x:v>
      </x:c>
      <x:c r="CH302" s="9" t="str">
        <x:v>-1.0</x:v>
      </x:c>
      <x:c r="CI302" s="9" t="str">
        <x:v>-1.0581845563883396</x:v>
      </x:c>
      <x:c r="CJ302" s="6" t="str">
        <x:v>Loss</x:v>
      </x:c>
      <x:c r="CK302" s="9" t="str">
        <x:v>0.6621001244190378</x:v>
      </x:c>
      <x:c r="CL302" s="9" t="str">
        <x:v>1.7254730515162802</x:v>
      </x:c>
      <x:c r="CM302" s="7" t="str">
        <x:v>2025-01-08 00:30:00-06:00</x:v>
      </x:c>
      <x:c r="CN302" s="6" t="str">
        <x:v>20166.789648920563</x:v>
      </x:c>
      <x:c r="CO302" s="6" t="str">
        <x:v>STOP</x:v>
      </x:c>
      <x:c r="CP302" s="6" t="str">
        <x:v>F::Long::Same-bar Setup+BOS::Tolerance-only shallow touch</x:v>
      </x:c>
    </x:row>
    <x:row r="303" ht="18" customHeight="1">
      <x:c r="A303" s="6" t="str">
        <x:v>A0302</x:v>
      </x:c>
      <x:c r="B303" s="6" t="str">
        <x:v>2025-01-08</x:v>
      </x:c>
      <x:c r="C303" s="6" t="str">
        <x:v>2025</x:v>
      </x:c>
      <x:c r="D303" s="6" t="str">
        <x:v>2025-Q1</x:v>
      </x:c>
      <x:c r="E303" s="6" t="str">
        <x:v>First 50%</x:v>
      </x:c>
      <x:c r="F303" s="6" t="str">
        <x:v>Short</x:v>
      </x:c>
      <x:c r="G303" s="6" t="str">
        <x:v>Short</x:v>
      </x:c>
      <x:c r="H303" s="6" t="str">
        <x:v>Premarket</x:v>
      </x:c>
      <x:c r="I303" s="6" t="str">
        <x:v>Premarket</x:v>
      </x:c>
      <x:c r="J303" s="6" t="str">
        <x:v>Bear</x:v>
      </x:c>
      <x:c r="K303" s="6" t="str">
        <x:v>Bear</x:v>
      </x:c>
      <x:c r="L303" s="6" t="str">
        <x:v>HIGH</x:v>
      </x:c>
      <x:c r="M303" s="7" t="str">
        <x:v>2025-01-08 05:15:00-06:00</x:v>
      </x:c>
      <x:c r="N303" s="6" t="str">
        <x:v>90.0</x:v>
      </x:c>
      <x:c r="O303" s="6" t="str">
        <x:v>90-94</x:v>
      </x:c>
      <x:c r="P303" s="6" t="str">
        <x:v>Matching BOS only</x:v>
      </x:c>
      <x:c r="Q303" s="6" t="str">
        <x:v>Bear CHoCH</x:v>
      </x:c>
      <x:c r="R303" s="6" t="str">
        <x:v>True</x:v>
      </x:c>
      <x:c r="S303" s="6" t="str">
        <x:v>False</x:v>
      </x:c>
      <x:c r="T303" s="6" t="str">
        <x:v>Recent BSL</x:v>
      </x:c>
      <x:c r="U303" s="6" t="str">
        <x:v>BSL</x:v>
      </x:c>
      <x:c r="V303" s="6" t="str">
        <x:v>Swing high / buy-side</x:v>
      </x:c>
      <x:c r="W303" s="6" t="str">
        <x:v>[20194.75]</x:v>
      </x:c>
      <x:c r="X303" s="8" t="str">
        <x:v>1</x:v>
      </x:c>
      <x:c r="Y303" s="8" t="str">
        <x:v>9.0</x:v>
      </x:c>
      <x:c r="Z303" s="6" t="str">
        <x:v>None</x:v>
      </x:c>
      <x:c r="AA303" s="6" t="str">
        <x:v>20176.5</x:v>
      </x:c>
      <x:c r="AB303" s="9" t="str">
        <x:v>0.16369381275102765</x:v>
      </x:c>
      <x:c r="AC303" s="9" t="str">
        <x:v>0.912008385327154</x:v>
      </x:c>
      <x:c r="AD303" s="9" t="str">
        <x:v>1.2160111804362053</x:v>
      </x:c>
      <x:c r="AE303" s="6" t="str">
        <x:v>With trade</x:v>
      </x:c>
      <x:c r="AF303" s="7" t="str">
        <x:v>2025-01-08 05:15:00-06:00</x:v>
      </x:c>
      <x:c r="AG303" s="6" t="str">
        <x:v>Short</x:v>
      </x:c>
      <x:c r="AH303" s="6" t="str">
        <x:v>20176.5</x:v>
      </x:c>
      <x:c r="AI303" s="8" t="str">
        <x:v>0</x:v>
      </x:c>
      <x:c r="AJ303" s="6" t="str">
        <x:v>True</x:v>
      </x:c>
      <x:c r="AK303" s="6" t="str">
        <x:v>Same-bar Setup+BOS</x:v>
      </x:c>
      <x:c r="AL303" s="9" t="str">
        <x:v>0.9821628765061658</x:v>
      </x:c>
      <x:c r="AM303" s="9" t="str">
        <x:v>0.16369381275102765</x:v>
      </x:c>
      <x:c r="AN303" s="9" t="str">
        <x:v>0.912008385327154</x:v>
      </x:c>
      <x:c r="AO303" s="9" t="str">
        <x:v>1.2160111804362053</x:v>
      </x:c>
      <x:c r="AP303" s="10" t="str">
        <x:v>0.75</x:v>
      </x:c>
      <x:c r="AQ303" s="6" t="str">
        <x:v>0.15384615384615385</x:v>
      </x:c>
      <x:c r="AR303" s="6" t="str">
        <x:v>0.09615384615384616</x:v>
      </x:c>
      <x:c r="AS303" s="6" t="str">
        <x:v>With trade</x:v>
      </x:c>
      <x:c r="AT303" s="6" t="str">
        <x:v>1.7052060457305258</x:v>
      </x:c>
      <x:c r="AU303" s="7" t="str">
        <x:v>2025-01-08 05:20:00-06:00</x:v>
      </x:c>
      <x:c r="AV303" s="8" t="str">
        <x:v>1</x:v>
      </x:c>
      <x:c r="AW303" s="6" t="str">
        <x:v>Immediate retest (1 bar)</x:v>
      </x:c>
      <x:c r="AX303" s="6" t="str">
        <x:v>20175.75</x:v>
      </x:c>
      <x:c r="AY303" s="6" t="str">
        <x:v>0.0</x:v>
      </x:c>
      <x:c r="AZ303" s="9" t="str">
        <x:v>0.0</x:v>
      </x:c>
      <x:c r="BA303" s="9" t="str">
        <x:v>1.4115750490531036</x:v>
      </x:c>
      <x:c r="BB303" s="9" t="str">
        <x:v>1.343273030550534</x:v>
      </x:c>
      <x:c r="BC303" s="9" t="str">
        <x:v>1.297738351548821</x:v>
      </x:c>
      <x:c r="BD303" s="6" t="str">
        <x:v>0.03389830508474576</x:v>
      </x:c>
      <x:c r="BE303" s="6" t="str">
        <x:v>0.0</x:v>
      </x:c>
      <x:c r="BF303" s="9" t="str">
        <x:v>0.04553467900171302</x:v>
      </x:c>
      <x:c r="BG303" s="9" t="str">
        <x:v>0.0</x:v>
      </x:c>
      <x:c r="BH303" s="6" t="str">
        <x:v>With trade</x:v>
      </x:c>
      <x:c r="BI303" s="6" t="str">
        <x:v>Tolerance-only shallow touch</x:v>
      </x:c>
      <x:c r="BJ303" s="6" t="str">
        <x:v>True</x:v>
      </x:c>
      <x:c r="BK303" s="10" t="str">
        <x:v>False</x:v>
      </x:c>
      <x:c r="BL303" s="6" t="str">
        <x:v>True</x:v>
      </x:c>
      <x:c r="BM303" s="7" t="str">
        <x:v>2025-01-08 05:25:00-06:00</x:v>
      </x:c>
      <x:c r="BN303" s="8" t="str">
        <x:v>1</x:v>
      </x:c>
      <x:c r="BO303" s="6" t="str">
        <x:v>Immediate confirmation (1 bar)</x:v>
      </x:c>
      <x:c r="BP303" s="9" t="str">
        <x:v>1.8052290278962098</x:v>
      </x:c>
      <x:c r="BQ303" s="9" t="str">
        <x:v>3.034321131995757</x:v>
      </x:c>
      <x:c r="BR303" s="10" t="str">
        <x:v>0.5949367088607594</x:v>
      </x:c>
      <x:c r="BS303" s="9" t="str">
        <x:v>2.93829831136298</x:v>
      </x:c>
      <x:c r="BT303" s="9" t="str">
        <x:v>1.7476153355165436</x:v>
      </x:c>
      <x:c r="BU303" s="9" t="str">
        <x:v>0.19204564126555423</x:v>
      </x:c>
      <x:c r="BV303" s="6" t="str">
        <x:v>With trade</x:v>
      </x:c>
      <x:c r="BW303" s="7" t="str">
        <x:v>2025-01-08 05:25:00-06:00</x:v>
      </x:c>
      <x:c r="BX303" s="6" t="str">
        <x:v>20138.25</x:v>
      </x:c>
      <x:c r="BY303" s="9" t="str">
        <x:v>13.01773882252857</x:v>
      </x:c>
      <x:c r="BZ303" s="9" t="str">
        <x:v>0.86</x:v>
      </x:c>
      <x:c r="CA303" s="6" t="str">
        <x:v>20157.77660823379</x:v>
      </x:c>
      <x:c r="CB303" s="6" t="str">
        <x:v>19.526608233791194</x:v>
      </x:c>
      <x:c r="CC303" s="9" t="str">
        <x:v>1.4999999999998725</x:v>
      </x:c>
      <x:c r="CD303" s="6" t="str">
        <x:v>20099.196783532414</x:v>
      </x:c>
      <x:c r="CE303" s="6" t="str">
        <x:v>39.053216467586026</x:v>
      </x:c>
      <x:c r="CF303" s="6" t="str">
        <x:v>Fixed 2.00R target</x:v>
      </x:c>
      <x:c r="CG303" s="9" t="str">
        <x:v>0.03712882397801031</x:v>
      </x:c>
      <x:c r="CH303" s="9" t="str">
        <x:v>2.0</x:v>
      </x:c>
      <x:c r="CI303" s="9" t="str">
        <x:v>1.9628711760219897</x:v>
      </x:c>
      <x:c r="CJ303" s="6" t="str">
        <x:v>Win</x:v>
      </x:c>
      <x:c r="CK303" s="9" t="str">
        <x:v>4.583489304871617</x:v>
      </x:c>
      <x:c r="CL303" s="9" t="str">
        <x:v>0.29446998327387486</x:v>
      </x:c>
      <x:c r="CM303" s="7" t="str">
        <x:v>2025-01-08 05:30:00-06:00</x:v>
      </x:c>
      <x:c r="CN303" s="6" t="str">
        <x:v>20099.196783532414</x:v>
      </x:c>
      <x:c r="CO303" s="6" t="str">
        <x:v>TARGET</x:v>
      </x:c>
      <x:c r="CP303" s="6" t="str">
        <x:v>F::Short::Same-bar Setup+BOS::Tolerance-only shallow touch</x:v>
      </x:c>
    </x:row>
    <x:row r="304" ht="18" customHeight="1">
      <x:c r="A304" s="6" t="str">
        <x:v>A0303</x:v>
      </x:c>
      <x:c r="B304" s="6" t="str">
        <x:v>2025-01-13</x:v>
      </x:c>
      <x:c r="C304" s="6" t="str">
        <x:v>2025</x:v>
      </x:c>
      <x:c r="D304" s="6" t="str">
        <x:v>2025-Q1</x:v>
      </x:c>
      <x:c r="E304" s="6" t="str">
        <x:v>First 50%</x:v>
      </x:c>
      <x:c r="F304" s="6" t="str">
        <x:v>Short</x:v>
      </x:c>
      <x:c r="G304" s="6" t="str">
        <x:v>Short</x:v>
      </x:c>
      <x:c r="H304" s="6" t="str">
        <x:v>Overnight</x:v>
      </x:c>
      <x:c r="I304" s="6" t="str">
        <x:v>Overnight</x:v>
      </x:c>
      <x:c r="J304" s="6" t="str">
        <x:v>Bear</x:v>
      </x:c>
      <x:c r="K304" s="6" t="str">
        <x:v>Bear</x:v>
      </x:c>
      <x:c r="L304" s="6" t="str">
        <x:v>LOW</x:v>
      </x:c>
      <x:c r="M304" s="7" t="str">
        <x:v>2025-01-13 01:05:00-06:00</x:v>
      </x:c>
      <x:c r="N304" s="6" t="str">
        <x:v>90.0</x:v>
      </x:c>
      <x:c r="O304" s="6" t="str">
        <x:v>90-94</x:v>
      </x:c>
      <x:c r="P304" s="6" t="str">
        <x:v>Matching BOS only</x:v>
      </x:c>
      <x:c r="Q304" s="6" t="str">
        <x:v>Bear CHoCH</x:v>
      </x:c>
      <x:c r="R304" s="6" t="str">
        <x:v>True</x:v>
      </x:c>
      <x:c r="S304" s="6" t="str">
        <x:v>False</x:v>
      </x:c>
      <x:c r="T304" s="6" t="str">
        <x:v>Recent BSL</x:v>
      </x:c>
      <x:c r="U304" s="6" t="str">
        <x:v>BSL</x:v>
      </x:c>
      <x:c r="V304" s="6" t="str">
        <x:v>Equal high / buy-side</x:v>
      </x:c>
      <x:c r="W304" s="6" t="str">
        <x:v>[19654.0]</x:v>
      </x:c>
      <x:c r="X304" s="8" t="str">
        <x:v>1</x:v>
      </x:c>
      <x:c r="Y304" s="8" t="str">
        <x:v>12.0</x:v>
      </x:c>
      <x:c r="Z304" s="6" t="str">
        <x:v>None</x:v>
      </x:c>
      <x:c r="AA304" s="6" t="str">
        <x:v>19649.75</x:v>
      </x:c>
      <x:c r="AB304" s="9" t="str">
        <x:v>0.09925142400783869</x:v>
      </x:c>
      <x:c r="AC304" s="9" t="str">
        <x:v>0.9528136704752516</x:v>
      </x:c>
      <x:c r="AD304" s="9" t="str">
        <x:v>1.1711668032924967</x:v>
      </x:c>
      <x:c r="AE304" s="6" t="str">
        <x:v>With trade</x:v>
      </x:c>
      <x:c r="AF304" s="7" t="str">
        <x:v>2025-01-13 01:05:00-06:00</x:v>
      </x:c>
      <x:c r="AG304" s="6" t="str">
        <x:v>Short</x:v>
      </x:c>
      <x:c r="AH304" s="6" t="str">
        <x:v>19649.75</x:v>
      </x:c>
      <x:c r="AI304" s="8" t="str">
        <x:v>0</x:v>
      </x:c>
      <x:c r="AJ304" s="6" t="str">
        <x:v>True</x:v>
      </x:c>
      <x:c r="AK304" s="6" t="str">
        <x:v>Same-bar Setup+BOS</x:v>
      </x:c>
      <x:c r="AL304" s="9" t="str">
        <x:v>1.0520650944830903</x:v>
      </x:c>
      <x:c r="AM304" s="9" t="str">
        <x:v>0.09925142400783869</x:v>
      </x:c>
      <x:c r="AN304" s="9" t="str">
        <x:v>0.9528136704752516</x:v>
      </x:c>
      <x:c r="AO304" s="9" t="str">
        <x:v>1.1711668032924967</x:v>
      </x:c>
      <x:c r="AP304" s="10" t="str">
        <x:v>0.8135593220338984</x:v>
      </x:c>
      <x:c r="AQ304" s="6" t="str">
        <x:v>0.06779661016949153</x:v>
      </x:c>
      <x:c r="AR304" s="6" t="str">
        <x:v>0.11864406779661017</x:v>
      </x:c>
      <x:c r="AS304" s="6" t="str">
        <x:v>With trade</x:v>
      </x:c>
      <x:c r="AT304" s="6" t="str">
        <x:v>1.6851302855359651</x:v>
      </x:c>
      <x:c r="AU304" s="7" t="str">
        <x:v>2025-01-13 01:10:00-06:00</x:v>
      </x:c>
      <x:c r="AV304" s="8" t="str">
        <x:v>1</x:v>
      </x:c>
      <x:c r="AW304" s="6" t="str">
        <x:v>Immediate retest (1 bar)</x:v>
      </x:c>
      <x:c r="AX304" s="6" t="str">
        <x:v>19655.75</x:v>
      </x:c>
      <x:c r="AY304" s="6" t="str">
        <x:v>6.0</x:v>
      </x:c>
      <x:c r="AZ304" s="9" t="str">
        <x:v>0.46933769194467767</x:v>
      </x:c>
      <x:c r="BA304" s="9" t="str">
        <x:v>0.2542245831367004</x:v>
      </x:c>
      <x:c r="BB304" s="9" t="str">
        <x:v>1.1928999670260556</x:v>
      </x:c>
      <x:c r="BC304" s="9" t="str">
        <x:v>0.23466884597233884</x:v>
      </x:c>
      <x:c r="BD304" s="6" t="str">
        <x:v>0.4098360655737705</x:v>
      </x:c>
      <x:c r="BE304" s="6" t="str">
        <x:v>0.39344262295081966</x:v>
      </x:c>
      <x:c r="BF304" s="9" t="str">
        <x:v>0.4888934291090392</x:v>
      </x:c>
      <x:c r="BG304" s="9" t="str">
        <x:v>0.46933769194467767</x:v>
      </x:c>
      <x:c r="BH304" s="6" t="str">
        <x:v>With trade</x:v>
      </x:c>
      <x:c r="BI304" s="6" t="str">
        <x:v>Penetration + same-bar reclaim</x:v>
      </x:c>
      <x:c r="BJ304" s="6" t="str">
        <x:v>False</x:v>
      </x:c>
      <x:c r="BK304" s="10" t="str">
        <x:v>True</x:v>
      </x:c>
      <x:c r="BL304" s="6" t="str">
        <x:v>True</x:v>
      </x:c>
      <x:c r="BM304" s="7" t="str">
        <x:v>2025-01-13 01:15:00-06:00</x:v>
      </x:c>
      <x:c r="BN304" s="8" t="str">
        <x:v>1</x:v>
      </x:c>
      <x:c r="BO304" s="6" t="str">
        <x:v>Immediate confirmation (1 bar)</x:v>
      </x:c>
      <x:c r="BP304" s="9" t="str">
        <x:v>0.3655018201155271</x:v>
      </x:c>
      <x:c r="BQ304" s="9" t="str">
        <x:v>1.2119270877514845</x:v>
      </x:c>
      <x:c r="BR304" s="10" t="str">
        <x:v>0.30158730158730157</x:v>
      </x:c>
      <x:c r="BS304" s="9" t="str">
        <x:v>0.7310036402310542</x:v>
      </x:c>
      <x:c r="BT304" s="9" t="str">
        <x:v>0.48092344752043037</x:v>
      </x:c>
      <x:c r="BU304" s="9" t="str">
        <x:v>0.3655018201155271</x:v>
      </x:c>
      <x:c r="BV304" s="6" t="str">
        <x:v>With trade</x:v>
      </x:c>
      <x:c r="BW304" s="7" t="str">
        <x:v>2025-01-13 01:15:00-06:00</x:v>
      </x:c>
      <x:c r="BX304" s="6" t="str">
        <x:v>19640.25</x:v>
      </x:c>
      <x:c r="BY304" s="9" t="str">
        <x:v>12.995831316239764</x:v>
      </x:c>
      <x:c r="BZ304" s="9" t="str">
        <x:v>0.18</x:v>
      </x:c>
      <x:c r="CA304" s="6" t="str">
        <x:v>19659.74374697436</x:v>
      </x:c>
      <x:c r="CB304" s="6" t="str">
        <x:v>19.493746974359965</x:v>
      </x:c>
      <x:c r="CC304" s="9" t="str">
        <x:v>1.5000000000000244</x:v>
      </x:c>
      <x:c r="CD304" s="6" t="str">
        <x:v>19601.26250605128</x:v>
      </x:c>
      <x:c r="CE304" s="6" t="str">
        <x:v>38.98749394871993</x:v>
      </x:c>
      <x:c r="CF304" s="6" t="str">
        <x:v>Fixed 2.00R target</x:v>
      </x:c>
      <x:c r="CG304" s="9" t="str">
        <x:v>0.037191413274912676</x:v>
      </x:c>
      <x:c r="CH304" s="9" t="str">
        <x:v>-1.0</x:v>
      </x:c>
      <x:c r="CI304" s="9" t="str">
        <x:v>-1.0371914132749127</x:v>
      </x:c>
      <x:c r="CJ304" s="6" t="str">
        <x:v>Loss</x:v>
      </x:c>
      <x:c r="CK304" s="9" t="str">
        <x:v>1.051619271911324</x:v>
      </x:c>
      <x:c r="CL304" s="9" t="str">
        <x:v>1.2568132761867041</x:v>
      </x:c>
      <x:c r="CM304" s="7" t="str">
        <x:v>2025-01-13 02:05:00-06:00</x:v>
      </x:c>
      <x:c r="CN304" s="6" t="str">
        <x:v>19659.74374697436</x:v>
      </x:c>
      <x:c r="CO304" s="6" t="str">
        <x:v>STOP</x:v>
      </x:c>
      <x:c r="CP304" s="6" t="str">
        <x:v>F::Short::Same-bar Setup+BOS::Penetration + same-bar reclaim</x:v>
      </x:c>
    </x:row>
    <x:row r="305" ht="18" customHeight="1">
      <x:c r="A305" s="6" t="str">
        <x:v>A0304</x:v>
      </x:c>
      <x:c r="B305" s="6" t="str">
        <x:v>2025-01-14</x:v>
      </x:c>
      <x:c r="C305" s="6" t="str">
        <x:v>2025</x:v>
      </x:c>
      <x:c r="D305" s="6" t="str">
        <x:v>2025-Q1</x:v>
      </x:c>
      <x:c r="E305" s="6" t="str">
        <x:v>First 50%</x:v>
      </x:c>
      <x:c r="F305" s="6" t="str">
        <x:v>Short</x:v>
      </x:c>
      <x:c r="G305" s="6" t="str">
        <x:v>Short</x:v>
      </x:c>
      <x:c r="H305" s="6" t="str">
        <x:v>Morning</x:v>
      </x:c>
      <x:c r="I305" s="6" t="str">
        <x:v>Morning</x:v>
      </x:c>
      <x:c r="J305" s="6" t="str">
        <x:v>Bear</x:v>
      </x:c>
      <x:c r="K305" s="6" t="str">
        <x:v>Bear</x:v>
      </x:c>
      <x:c r="L305" s="6" t="str">
        <x:v>HIGH</x:v>
      </x:c>
      <x:c r="M305" s="7" t="str">
        <x:v>2025-01-14 10:40:00-06:00</x:v>
      </x:c>
      <x:c r="N305" s="6" t="str">
        <x:v>75.0</x:v>
      </x:c>
      <x:c r="O305" s="6" t="str">
        <x:v>75-79</x:v>
      </x:c>
      <x:c r="P305" s="6" t="str">
        <x:v>Matching BOS only</x:v>
      </x:c>
      <x:c r="Q305" s="6" t="str">
        <x:v>Bear BOS</x:v>
      </x:c>
      <x:c r="R305" s="6" t="str">
        <x:v>True</x:v>
      </x:c>
      <x:c r="S305" s="6" t="str">
        <x:v>False</x:v>
      </x:c>
      <x:c r="T305" s="6" t="str">
        <x:v>No recent matching sweep</x:v>
      </x:c>
      <x:c r="U305" s="6" t="str">
        <x:v>None</x:v>
      </x:c>
      <x:c r="V305" s="6" t="str">
        <x:v>None</x:v>
      </x:c>
      <x:c r="W305" s="6" t="str">
        <x:v>[]</x:v>
      </x:c>
      <x:c r="X305" s="8" t="str">
        <x:v>0</x:v>
      </x:c>
      <x:c r="Y305" s="8" t="str"/>
      <x:c r="Z305" s="6" t="str">
        <x:v>None</x:v>
      </x:c>
      <x:c r="AA305" s="6" t="str">
        <x:v>19628.25</x:v>
      </x:c>
      <x:c r="AB305" s="9" t="str">
        <x:v>0.5758836004547527</x:v>
      </x:c>
      <x:c r="AC305" s="9" t="str">
        <x:v>0.8981670832780548</x:v>
      </x:c>
      <x:c r="AD305" s="9" t="str">
        <x:v>1.2521505808052882</x:v>
      </x:c>
      <x:c r="AE305" s="6" t="str">
        <x:v>With trade</x:v>
      </x:c>
      <x:c r="AF305" s="7" t="str">
        <x:v>2025-01-14 10:40:00-06:00</x:v>
      </x:c>
      <x:c r="AG305" s="6" t="str">
        <x:v>Short</x:v>
      </x:c>
      <x:c r="AH305" s="6" t="str">
        <x:v>19628.25</x:v>
      </x:c>
      <x:c r="AI305" s="8" t="str">
        <x:v>0</x:v>
      </x:c>
      <x:c r="AJ305" s="6" t="str">
        <x:v>True</x:v>
      </x:c>
      <x:c r="AK305" s="6" t="str">
        <x:v>Same-bar Setup+BOS</x:v>
      </x:c>
      <x:c r="AL305" s="9" t="str">
        <x:v>0.8823170759260891</x:v>
      </x:c>
      <x:c r="AM305" s="9" t="str">
        <x:v>0.5758836004547527</x:v>
      </x:c>
      <x:c r="AN305" s="9" t="str">
        <x:v>0.8981670832780548</x:v>
      </x:c>
      <x:c r="AO305" s="9" t="str">
        <x:v>1.2521505808052882</x:v>
      </x:c>
      <x:c r="AP305" s="10" t="str">
        <x:v>0.7172995780590717</x:v>
      </x:c>
      <x:c r="AQ305" s="6" t="str">
        <x:v>0.18565400843881857</x:v>
      </x:c>
      <x:c r="AR305" s="6" t="str">
        <x:v>0.0970464135021097</x:v>
      </x:c>
      <x:c r="AS305" s="6" t="str">
        <x:v>With trade</x:v>
      </x:c>
      <x:c r="AT305" s="6" t="str">
        <x:v>1.0048227514542833</x:v>
      </x:c>
      <x:c r="AU305" s="7" t="str">
        <x:v>2025-01-14 11:10:00-06:00</x:v>
      </x:c>
      <x:c r="AV305" s="8" t="str">
        <x:v>6</x:v>
      </x:c>
      <x:c r="AW305" s="6" t="str">
        <x:v>Delayed retest (2+ bars)</x:v>
      </x:c>
      <x:c r="AX305" s="6" t="str">
        <x:v>19624.75</x:v>
      </x:c>
      <x:c r="AY305" s="6" t="str">
        <x:v>0.0</x:v>
      </x:c>
      <x:c r="AZ305" s="9" t="str">
        <x:v>0.0</x:v>
      </x:c>
      <x:c r="BA305" s="9" t="str">
        <x:v>0.547257726382965</x:v>
      </x:c>
      <x:c r="BB305" s="9" t="str">
        <x:v>0.6019834990212616</x:v>
      </x:c>
      <x:c r="BC305" s="9" t="str">
        <x:v>0.07296769685106201</x:v>
      </x:c>
      <x:c r="BD305" s="6" t="str">
        <x:v>0.7676767676767676</x:v>
      </x:c>
      <x:c r="BE305" s="6" t="str">
        <x:v>0.1111111111111111</x:v>
      </x:c>
      <x:c r="BF305" s="9" t="str">
        <x:v>0.4621287467233927</x:v>
      </x:c>
      <x:c r="BG305" s="9" t="str">
        <x:v>0.06688705544680684</x:v>
      </x:c>
      <x:c r="BH305" s="6" t="str">
        <x:v>Against trade</x:v>
      </x:c>
      <x:c r="BI305" s="6" t="str">
        <x:v>Tolerance-only shallow touch</x:v>
      </x:c>
      <x:c r="BJ305" s="6" t="str">
        <x:v>True</x:v>
      </x:c>
      <x:c r="BK305" s="10" t="str">
        <x:v>False</x:v>
      </x:c>
      <x:c r="BL305" s="6" t="str">
        <x:v>True</x:v>
      </x:c>
      <x:c r="BM305" s="7" t="str">
        <x:v>2025-01-14 11:20:00-06:00</x:v>
      </x:c>
      <x:c r="BN305" s="8" t="str">
        <x:v>2</x:v>
      </x:c>
      <x:c r="BO305" s="6" t="str">
        <x:v>Delayed confirmation (2+ bars)</x:v>
      </x:c>
      <x:c r="BP305" s="9" t="str">
        <x:v>0.3594580644111363</x:v>
      </x:c>
      <x:c r="BQ305" s="9" t="str">
        <x:v>0.8072040744671132</x:v>
      </x:c>
      <x:c r="BR305" s="10" t="str">
        <x:v>0.4453125</x:v>
      </x:c>
      <x:c r="BS305" s="9" t="str">
        <x:v>0.8387354836259848</x:v>
      </x:c>
      <x:c r="BT305" s="9" t="str">
        <x:v>0.2711701187662958</x:v>
      </x:c>
      <x:c r="BU305" s="9" t="str">
        <x:v>0.05675653648596889</x:v>
      </x:c>
      <x:c r="BV305" s="6" t="str">
        <x:v>With trade</x:v>
      </x:c>
      <x:c r="BW305" s="7" t="str">
        <x:v>2025-01-14 11:20:00-06:00</x:v>
      </x:c>
      <x:c r="BX305" s="6" t="str">
        <x:v>19595.0</x:v>
      </x:c>
      <x:c r="BY305" s="9" t="str">
        <x:v>39.64301099585658</x:v>
      </x:c>
      <x:c r="BZ305" s="9" t="str">
        <x:v>0.7</x:v>
      </x:c>
      <x:c r="CA305" s="6" t="str">
        <x:v>19654.464516493787</x:v>
      </x:c>
      <x:c r="CB305" s="6" t="str">
        <x:v>59.464516493786505</x:v>
      </x:c>
      <x:c r="CC305" s="9" t="str">
        <x:v>1.5000000000000413</x:v>
      </x:c>
      <x:c r="CD305" s="6" t="str">
        <x:v>19476.07096701243</x:v>
      </x:c>
      <x:c r="CE305" s="6" t="str">
        <x:v>118.92903298756937</x:v>
      </x:c>
      <x:c r="CF305" s="6" t="str">
        <x:v>Fixed 2.00R target</x:v>
      </x:c>
      <x:c r="CG305" s="9" t="str">
        <x:v>0.012192144874763352</x:v>
      </x:c>
      <x:c r="CH305" s="9" t="str">
        <x:v>-1.0</x:v>
      </x:c>
      <x:c r="CI305" s="9" t="str">
        <x:v>-1.0121921448747633</x:v>
      </x:c>
      <x:c r="CJ305" s="6" t="str">
        <x:v>Loss</x:v>
      </x:c>
      <x:c r="CK305" s="9" t="str">
        <x:v>0.8534501412334347</x:v>
      </x:c>
      <x:c r="CL305" s="9" t="str">
        <x:v>1.1519474812707444</x:v>
      </x:c>
      <x:c r="CM305" s="7" t="str">
        <x:v>2025-01-14 12:15:00-06:00</x:v>
      </x:c>
      <x:c r="CN305" s="6" t="str">
        <x:v>19654.464516493787</x:v>
      </x:c>
      <x:c r="CO305" s="6" t="str">
        <x:v>STOP</x:v>
      </x:c>
      <x:c r="CP305" s="6" t="str">
        <x:v>F::Short::Same-bar Setup+BOS::Tolerance-only shallow touch</x:v>
      </x:c>
    </x:row>
    <x:row r="306" ht="18" customHeight="1">
      <x:c r="A306" s="6" t="str">
        <x:v>A0305</x:v>
      </x:c>
      <x:c r="B306" s="6" t="str">
        <x:v>2025-01-15</x:v>
      </x:c>
      <x:c r="C306" s="6" t="str">
        <x:v>2025</x:v>
      </x:c>
      <x:c r="D306" s="6" t="str">
        <x:v>2025-Q1</x:v>
      </x:c>
      <x:c r="E306" s="6" t="str">
        <x:v>First 50%</x:v>
      </x:c>
      <x:c r="F306" s="6" t="str">
        <x:v>Short</x:v>
      </x:c>
      <x:c r="G306" s="6" t="str">
        <x:v>Short</x:v>
      </x:c>
      <x:c r="H306" s="6" t="str">
        <x:v>Morning</x:v>
      </x:c>
      <x:c r="I306" s="6" t="str">
        <x:v>Morning</x:v>
      </x:c>
      <x:c r="J306" s="6" t="str">
        <x:v>Bull</x:v>
      </x:c>
      <x:c r="K306" s="6" t="str">
        <x:v>Bull</x:v>
      </x:c>
      <x:c r="L306" s="6" t="str">
        <x:v>HIGH</x:v>
      </x:c>
      <x:c r="M306" s="7" t="str">
        <x:v>2025-01-15 10:30:00-06:00</x:v>
      </x:c>
      <x:c r="N306" s="6" t="str">
        <x:v>100.0</x:v>
      </x:c>
      <x:c r="O306" s="6" t="str">
        <x:v>95+</x:v>
      </x:c>
      <x:c r="P306" s="6" t="str">
        <x:v>Matching BOS only</x:v>
      </x:c>
      <x:c r="Q306" s="6" t="str">
        <x:v>Bear CHoCH</x:v>
      </x:c>
      <x:c r="R306" s="6" t="str">
        <x:v>True</x:v>
      </x:c>
      <x:c r="S306" s="6" t="str">
        <x:v>False</x:v>
      </x:c>
      <x:c r="T306" s="6" t="str">
        <x:v>Recent BSL</x:v>
      </x:c>
      <x:c r="U306" s="6" t="str">
        <x:v>BSL</x:v>
      </x:c>
      <x:c r="V306" s="6" t="str">
        <x:v>Swing high / buy-side</x:v>
      </x:c>
      <x:c r="W306" s="6" t="str">
        <x:v>[20142.0]</x:v>
      </x:c>
      <x:c r="X306" s="8" t="str">
        <x:v>1</x:v>
      </x:c>
      <x:c r="Y306" s="8" t="str">
        <x:v>17.0</x:v>
      </x:c>
      <x:c r="Z306" s="6" t="str">
        <x:v>None</x:v>
      </x:c>
      <x:c r="AA306" s="6" t="str">
        <x:v>20071.0</x:v>
      </x:c>
      <x:c r="AB306" s="9" t="str">
        <x:v>0.859246393517151</x:v>
      </x:c>
      <x:c r="AC306" s="9" t="str">
        <x:v>1.1722575797269703</x:v>
      </x:c>
      <x:c r="AD306" s="9" t="str">
        <x:v>1.4791312916973813</x:v>
      </x:c>
      <x:c r="AE306" s="6" t="str">
        <x:v>With trade</x:v>
      </x:c>
      <x:c r="AF306" s="7" t="str">
        <x:v>2025-01-15 10:30:00-06:00</x:v>
      </x:c>
      <x:c r="AG306" s="6" t="str">
        <x:v>Short</x:v>
      </x:c>
      <x:c r="AH306" s="6" t="str">
        <x:v>20071.0</x:v>
      </x:c>
      <x:c r="AI306" s="8" t="str">
        <x:v>0</x:v>
      </x:c>
      <x:c r="AJ306" s="6" t="str">
        <x:v>True</x:v>
      </x:c>
      <x:c r="AK306" s="6" t="str">
        <x:v>Same-bar Setup+BOS</x:v>
      </x:c>
      <x:c r="AL306" s="9" t="str">
        <x:v>1.1783950539663786</x:v>
      </x:c>
      <x:c r="AM306" s="9" t="str">
        <x:v>0.859246393517151</x:v>
      </x:c>
      <x:c r="AN306" s="9" t="str">
        <x:v>1.1722575797269703</x:v>
      </x:c>
      <x:c r="AO306" s="9" t="str">
        <x:v>1.4791312916973813</x:v>
      </x:c>
      <x:c r="AP306" s="10" t="str">
        <x:v>0.7925311203319502</x:v>
      </x:c>
      <x:c r="AQ306" s="6" t="str">
        <x:v>0.024896265560165973</x:v>
      </x:c>
      <x:c r="AR306" s="6" t="str">
        <x:v>0.1825726141078838</x:v>
      </x:c>
      <x:c r="AS306" s="6" t="str">
        <x:v>With trade</x:v>
      </x:c>
      <x:c r="AT306" s="6" t="str">
        <x:v>1.62309843440448</x:v>
      </x:c>
      <x:c r="AU306" s="7" t="str">
        <x:v>2025-01-15 10:35:00-06:00</x:v>
      </x:c>
      <x:c r="AV306" s="8" t="str">
        <x:v>1</x:v>
      </x:c>
      <x:c r="AW306" s="6" t="str">
        <x:v>Immediate retest (1 bar)</x:v>
      </x:c>
      <x:c r="AX306" s="6" t="str">
        <x:v>20069.0</x:v>
      </x:c>
      <x:c r="AY306" s="6" t="str">
        <x:v>0.0</x:v>
      </x:c>
      <x:c r="AZ306" s="9" t="str">
        <x:v>0.0</x:v>
      </x:c>
      <x:c r="BA306" s="9" t="str">
        <x:v>0.5021842883711561</x:v>
      </x:c>
      <x:c r="BB306" s="9" t="str">
        <x:v>0.8679728440982946</x:v>
      </x:c>
      <x:c r="BC306" s="9" t="str">
        <x:v>0.35958874969786486</x:v>
      </x:c>
      <x:c r="BD306" s="6" t="str">
        <x:v>0.5214285714285715</x:v>
      </x:c>
      <x:c r="BE306" s="6" t="str">
        <x:v>0.06428571428571428</x:v>
      </x:c>
      <x:c r="BF306" s="9" t="str">
        <x:v>0.4525858401369679</x:v>
      </x:c>
      <x:c r="BG306" s="9" t="str">
        <x:v>0.05579825426346179</x:v>
      </x:c>
      <x:c r="BH306" s="6" t="str">
        <x:v>Against trade</x:v>
      </x:c>
      <x:c r="BI306" s="6" t="str">
        <x:v>Tolerance-only shallow touch</x:v>
      </x:c>
      <x:c r="BJ306" s="6" t="str">
        <x:v>True</x:v>
      </x:c>
      <x:c r="BK306" s="10" t="str">
        <x:v>False</x:v>
      </x:c>
      <x:c r="BL306" s="6" t="str">
        <x:v>True</x:v>
      </x:c>
      <x:c r="BM306" s="7" t="str">
        <x:v>2025-01-15 10:40:00-06:00</x:v>
      </x:c>
      <x:c r="BN306" s="8" t="str">
        <x:v>1</x:v>
      </x:c>
      <x:c r="BO306" s="6" t="str">
        <x:v>Immediate confirmation (1 bar)</x:v>
      </x:c>
      <x:c r="BP306" s="9" t="str">
        <x:v>0.6953930846285576</x:v>
      </x:c>
      <x:c r="BQ306" s="9" t="str">
        <x:v>0.9810009586724295</x:v>
      </x:c>
      <x:c r="BR306" s="10" t="str">
        <x:v>0.7088607594936709</x:v>
      </x:c>
      <x:c r="BS306" s="9" t="str">
        <x:v>1.210729031272935</x:v>
      </x:c>
      <x:c r="BT306" s="9" t="str">
        <x:v>0.707810818282639</x:v>
      </x:c>
      <x:c r="BU306" s="9" t="str">
        <x:v>0.2545635399086684</x:v>
      </x:c>
      <x:c r="BV306" s="6" t="str">
        <x:v>With trade</x:v>
      </x:c>
      <x:c r="BW306" s="7" t="str">
        <x:v>2025-01-15 10:40:00-06:00</x:v>
      </x:c>
      <x:c r="BX306" s="6" t="str">
        <x:v>20022.25</x:v>
      </x:c>
      <x:c r="BY306" s="9" t="str">
        <x:v>40.26499632931513</x:v>
      </x:c>
      <x:c r="BZ306" s="9" t="str">
        <x:v>0.91</x:v>
      </x:c>
      <x:c r="CA306" s="6" t="str">
        <x:v>20082.647494493973</x:v>
      </x:c>
      <x:c r="CB306" s="6" t="str">
        <x:v>60.39749449397277</x:v>
      </x:c>
      <x:c r="CC306" s="9" t="str">
        <x:v>1.5000000000000018</x:v>
      </x:c>
      <x:c r="CD306" s="6" t="str">
        <x:v>19901.455011012054</x:v>
      </x:c>
      <x:c r="CE306" s="6" t="str">
        <x:v>120.79498898794554</x:v>
      </x:c>
      <x:c r="CF306" s="6" t="str">
        <x:v>Fixed 2.00R target</x:v>
      </x:c>
      <x:c r="CG306" s="9" t="str">
        <x:v>0.012003809198945326</x:v>
      </x:c>
      <x:c r="CH306" s="9" t="str">
        <x:v>-1.0</x:v>
      </x:c>
      <x:c r="CI306" s="9" t="str">
        <x:v>-1.0120038091989454</x:v>
      </x:c>
      <x:c r="CJ306" s="6" t="str">
        <x:v>Loss</x:v>
      </x:c>
      <x:c r="CK306" s="9" t="str">
        <x:v>0.389088987827883</x:v>
      </x:c>
      <x:c r="CL306" s="9" t="str">
        <x:v>1.2210771426513347</x:v>
      </x:c>
      <x:c r="CM306" s="7" t="str">
        <x:v>2025-01-15 11:30:00-06:00</x:v>
      </x:c>
      <x:c r="CN306" s="6" t="str">
        <x:v>20082.647494493973</x:v>
      </x:c>
      <x:c r="CO306" s="6" t="str">
        <x:v>STOP</x:v>
      </x:c>
      <x:c r="CP306" s="6" t="str">
        <x:v>F::Short::Same-bar Setup+BOS::Tolerance-only shallow touch</x:v>
      </x:c>
    </x:row>
    <x:row r="307" ht="18" customHeight="1">
      <x:c r="A307" s="6" t="str">
        <x:v>A0306</x:v>
      </x:c>
      <x:c r="B307" s="6" t="str">
        <x:v>2025-01-16</x:v>
      </x:c>
      <x:c r="C307" s="6" t="str">
        <x:v>2025</x:v>
      </x:c>
      <x:c r="D307" s="6" t="str">
        <x:v>2025-Q1</x:v>
      </x:c>
      <x:c r="E307" s="6" t="str">
        <x:v>First 50%</x:v>
      </x:c>
      <x:c r="F307" s="6" t="str">
        <x:v>Long</x:v>
      </x:c>
      <x:c r="G307" s="6" t="str">
        <x:v>Long</x:v>
      </x:c>
      <x:c r="H307" s="6" t="str">
        <x:v>Overnight</x:v>
      </x:c>
      <x:c r="I307" s="6" t="str">
        <x:v>Overnight</x:v>
      </x:c>
      <x:c r="J307" s="6" t="str">
        <x:v>Bull</x:v>
      </x:c>
      <x:c r="K307" s="6" t="str">
        <x:v>Bull</x:v>
      </x:c>
      <x:c r="L307" s="6" t="str">
        <x:v>HIGH</x:v>
      </x:c>
      <x:c r="M307" s="7" t="str">
        <x:v>2025-01-16 00:10:00-06:00</x:v>
      </x:c>
      <x:c r="N307" s="6" t="str">
        <x:v>90.0</x:v>
      </x:c>
      <x:c r="O307" s="6" t="str">
        <x:v>90-94</x:v>
      </x:c>
      <x:c r="P307" s="6" t="str">
        <x:v>Matching BOS only</x:v>
      </x:c>
      <x:c r="Q307" s="6" t="str">
        <x:v>Bull CHoCH</x:v>
      </x:c>
      <x:c r="R307" s="6" t="str">
        <x:v>True</x:v>
      </x:c>
      <x:c r="S307" s="6" t="str">
        <x:v>False</x:v>
      </x:c>
      <x:c r="T307" s="6" t="str">
        <x:v>Recent SSL</x:v>
      </x:c>
      <x:c r="U307" s="6" t="str">
        <x:v>SSL</x:v>
      </x:c>
      <x:c r="V307" s="6" t="str">
        <x:v>Swing low / sell-side</x:v>
      </x:c>
      <x:c r="W307" s="6" t="str">
        <x:v>[20107.0]</x:v>
      </x:c>
      <x:c r="X307" s="8" t="str">
        <x:v>1</x:v>
      </x:c>
      <x:c r="Y307" s="8" t="str">
        <x:v>1.0</x:v>
      </x:c>
      <x:c r="Z307" s="6" t="str">
        <x:v>None</x:v>
      </x:c>
      <x:c r="AA307" s="6" t="str">
        <x:v>20142.5</x:v>
      </x:c>
      <x:c r="AB307" s="9" t="str">
        <x:v>0.6589965198412577</x:v>
      </x:c>
      <x:c r="AC307" s="9" t="str">
        <x:v>2.3164726151995727</x:v>
      </x:c>
      <x:c r="AD307" s="9" t="str">
        <x:v>2.496198938792643</x:v>
      </x:c>
      <x:c r="AE307" s="6" t="str">
        <x:v>With trade</x:v>
      </x:c>
      <x:c r="AF307" s="7" t="str">
        <x:v>2025-01-16 00:10:00-06:00</x:v>
      </x:c>
      <x:c r="AG307" s="6" t="str">
        <x:v>Long</x:v>
      </x:c>
      <x:c r="AH307" s="6" t="str">
        <x:v>20142.5</x:v>
      </x:c>
      <x:c r="AI307" s="8" t="str">
        <x:v>0</x:v>
      </x:c>
      <x:c r="AJ307" s="6" t="str">
        <x:v>True</x:v>
      </x:c>
      <x:c r="AK307" s="6" t="str">
        <x:v>Same-bar Setup+BOS</x:v>
      </x:c>
      <x:c r="AL307" s="9" t="str">
        <x:v>2.356411798220255</x:v>
      </x:c>
      <x:c r="AM307" s="9" t="str">
        <x:v>0.6589965198412577</x:v>
      </x:c>
      <x:c r="AN307" s="9" t="str">
        <x:v>2.3164726151995727</x:v>
      </x:c>
      <x:c r="AO307" s="9" t="str">
        <x:v>2.496198938792643</x:v>
      </x:c>
      <x:c r="AP307" s="10" t="str">
        <x:v>0.928</x:v>
      </x:c>
      <x:c r="AQ307" s="6" t="str">
        <x:v>0.048</x:v>
      </x:c>
      <x:c r="AR307" s="6" t="str">
        <x:v>0.024</x:v>
      </x:c>
      <x:c r="AS307" s="6" t="str">
        <x:v>With trade</x:v>
      </x:c>
      <x:c r="AT307" s="6" t="str">
        <x:v>4.495909027874081</x:v>
      </x:c>
      <x:c r="AU307" s="7" t="str">
        <x:v>2025-01-16 00:15:00-06:00</x:v>
      </x:c>
      <x:c r="AV307" s="8" t="str">
        <x:v>1</x:v>
      </x:c>
      <x:c r="AW307" s="6" t="str">
        <x:v>Immediate retest (1 bar)</x:v>
      </x:c>
      <x:c r="AX307" s="6" t="str">
        <x:v>20141.0</x:v>
      </x:c>
      <x:c r="AY307" s="6" t="str">
        <x:v>1.5</x:v>
      </x:c>
      <x:c r="AZ307" s="9" t="str">
        <x:v>0.11634513705557172</x:v>
      </x:c>
      <x:c r="BA307" s="9" t="str">
        <x:v>1.26040565143536</x:v>
      </x:c>
      <x:c r="BB307" s="9" t="str">
        <x:v>1.376750788490932</x:v>
      </x:c>
      <x:c r="BC307" s="9" t="str">
        <x:v>0.7368525346852876</x:v>
      </x:c>
      <x:c r="BD307" s="6" t="str">
        <x:v>0.0</x:v>
      </x:c>
      <x:c r="BE307" s="6" t="str">
        <x:v>0.4647887323943662</x:v>
      </x:c>
      <x:c r="BF307" s="9" t="str">
        <x:v>0.6398982538056444</x:v>
      </x:c>
      <x:c r="BG307" s="9" t="str">
        <x:v>0.0</x:v>
      </x:c>
      <x:c r="BH307" s="6" t="str">
        <x:v>With trade</x:v>
      </x:c>
      <x:c r="BI307" s="6" t="str">
        <x:v>Penetration + same-bar reclaim</x:v>
      </x:c>
      <x:c r="BJ307" s="6" t="str">
        <x:v>False</x:v>
      </x:c>
      <x:c r="BK307" s="10" t="str">
        <x:v>True</x:v>
      </x:c>
      <x:c r="BL307" s="6" t="str">
        <x:v>True</x:v>
      </x:c>
      <x:c r="BM307" s="7" t="str">
        <x:v>2025-01-16 00:20:00-06:00</x:v>
      </x:c>
      <x:c r="BN307" s="8" t="str">
        <x:v>1</x:v>
      </x:c>
      <x:c r="BO307" s="6" t="str">
        <x:v>Immediate confirmation (1 bar)</x:v>
      </x:c>
      <x:c r="BP307" s="9" t="str">
        <x:v>0.7485408777269559</x:v>
      </x:c>
      <x:c r="BQ307" s="9" t="str">
        <x:v>1.13240799451001</x:v>
      </x:c>
      <x:c r="BR307" s="10" t="str">
        <x:v>0.6610169491525424</x:v>
      </x:c>
      <x:c r="BS307" s="9" t="str">
        <x:v>1.9193355839152715</x:v>
      </x:c>
      <x:c r="BT307" s="9" t="str">
        <x:v>0.671767454370345</x:v>
      </x:c>
      <x:c r="BU307" s="9" t="str">
        <x:v>0.15354684671322172</x:v>
      </x:c>
      <x:c r="BV307" s="6" t="str">
        <x:v>With trade</x:v>
      </x:c>
      <x:c r="BW307" s="7" t="str">
        <x:v>2025-01-16 00:20:00-06:00</x:v>
      </x:c>
      <x:c r="BX307" s="6" t="str">
        <x:v>20167.5</x:v>
      </x:c>
      <x:c r="BY307" s="9" t="str">
        <x:v>13.025340753075737</x:v>
      </x:c>
      <x:c r="BZ307" s="9" t="str">
        <x:v>0.84</x:v>
      </x:c>
      <x:c r="CA307" s="6" t="str">
        <x:v>20147.961988870386</x:v>
      </x:c>
      <x:c r="CB307" s="6" t="str">
        <x:v>19.53801112961446</x:v>
      </x:c>
      <x:c r="CC307" s="9" t="str">
        <x:v>1.5000000000000657</x:v>
      </x:c>
      <x:c r="CD307" s="6" t="str">
        <x:v>20206.57602225923</x:v>
      </x:c>
      <x:c r="CE307" s="6" t="str">
        <x:v>39.07602225922892</x:v>
      </x:c>
      <x:c r="CF307" s="6" t="str">
        <x:v>Fixed 2.00R target</x:v>
      </x:c>
      <x:c r="CG307" s="9" t="str">
        <x:v>0.03710715462236029</x:v>
      </x:c>
      <x:c r="CH307" s="9" t="str">
        <x:v>2.0</x:v>
      </x:c>
      <x:c r="CI307" s="9" t="str">
        <x:v>1.9628928453776398</x:v>
      </x:c>
      <x:c r="CJ307" s="6" t="str">
        <x:v>Win</x:v>
      </x:c>
      <x:c r="CK307" s="9" t="str">
        <x:v>2.0089045778312293</x:v>
      </x:c>
      <x:c r="CL307" s="9" t="str">
        <x:v>0.05118228223773833</x:v>
      </x:c>
      <x:c r="CM307" s="7" t="str">
        <x:v>2025-01-16 00:40:00-06:00</x:v>
      </x:c>
      <x:c r="CN307" s="6" t="str">
        <x:v>20206.57602225923</x:v>
      </x:c>
      <x:c r="CO307" s="6" t="str">
        <x:v>TARGET</x:v>
      </x:c>
      <x:c r="CP307" s="6" t="str">
        <x:v>F::Long::Same-bar Setup+BOS::Penetration + same-bar reclaim</x:v>
      </x:c>
    </x:row>
    <x:row r="308" ht="18" customHeight="1">
      <x:c r="A308" s="6" t="str">
        <x:v>A0307</x:v>
      </x:c>
      <x:c r="B308" s="6" t="str">
        <x:v>2025-01-16</x:v>
      </x:c>
      <x:c r="C308" s="6" t="str">
        <x:v>2025</x:v>
      </x:c>
      <x:c r="D308" s="6" t="str">
        <x:v>2025-Q1</x:v>
      </x:c>
      <x:c r="E308" s="6" t="str">
        <x:v>First 50%</x:v>
      </x:c>
      <x:c r="F308" s="6" t="str">
        <x:v>Short</x:v>
      </x:c>
      <x:c r="G308" s="6" t="str">
        <x:v>Short</x:v>
      </x:c>
      <x:c r="H308" s="6" t="str">
        <x:v>Premarket</x:v>
      </x:c>
      <x:c r="I308" s="6" t="str">
        <x:v>Premarket</x:v>
      </x:c>
      <x:c r="J308" s="6" t="str">
        <x:v>Bull</x:v>
      </x:c>
      <x:c r="K308" s="6" t="str">
        <x:v>Bull</x:v>
      </x:c>
      <x:c r="L308" s="6" t="str">
        <x:v>MID</x:v>
      </x:c>
      <x:c r="M308" s="7" t="str">
        <x:v>2025-01-16 06:05:00-06:00</x:v>
      </x:c>
      <x:c r="N308" s="6" t="str">
        <x:v>75.0</x:v>
      </x:c>
      <x:c r="O308" s="6" t="str">
        <x:v>75-79</x:v>
      </x:c>
      <x:c r="P308" s="6" t="str">
        <x:v>Matching BOS only</x:v>
      </x:c>
      <x:c r="Q308" s="6" t="str">
        <x:v>Bear BOS</x:v>
      </x:c>
      <x:c r="R308" s="6" t="str">
        <x:v>True</x:v>
      </x:c>
      <x:c r="S308" s="6" t="str">
        <x:v>False</x:v>
      </x:c>
      <x:c r="T308" s="6" t="str">
        <x:v>Recent BSL</x:v>
      </x:c>
      <x:c r="U308" s="6" t="str">
        <x:v>BSL</x:v>
      </x:c>
      <x:c r="V308" s="6" t="str">
        <x:v>Swing high / buy-side</x:v>
      </x:c>
      <x:c r="W308" s="6" t="str">
        <x:v>[20265.0]</x:v>
      </x:c>
      <x:c r="X308" s="8" t="str">
        <x:v>1</x:v>
      </x:c>
      <x:c r="Y308" s="8" t="str">
        <x:v>3.0</x:v>
      </x:c>
      <x:c r="Z308" s="6" t="str">
        <x:v>None</x:v>
      </x:c>
      <x:c r="AA308" s="6" t="str">
        <x:v>20236.25</x:v>
      </x:c>
      <x:c r="AB308" s="9" t="str">
        <x:v>0.41119801013763013</x:v>
      </x:c>
      <x:c r="AC308" s="9" t="str">
        <x:v>0.37956739397319705</x:v>
      </x:c>
      <x:c r="AD308" s="9" t="str">
        <x:v>0.7275041717819609</x:v>
      </x:c>
      <x:c r="AE308" s="6" t="str">
        <x:v>With trade</x:v>
      </x:c>
      <x:c r="AF308" s="7" t="str">
        <x:v>2025-01-16 06:05:00-06:00</x:v>
      </x:c>
      <x:c r="AG308" s="6" t="str">
        <x:v>Short</x:v>
      </x:c>
      <x:c r="AH308" s="6" t="str">
        <x:v>20236.25</x:v>
      </x:c>
      <x:c r="AI308" s="8" t="str">
        <x:v>0</x:v>
      </x:c>
      <x:c r="AJ308" s="6" t="str">
        <x:v>True</x:v>
      </x:c>
      <x:c r="AK308" s="6" t="str">
        <x:v>Same-bar Setup+BOS</x:v>
      </x:c>
      <x:c r="AL308" s="9" t="str">
        <x:v>0.42701331821984667</x:v>
      </x:c>
      <x:c r="AM308" s="9" t="str">
        <x:v>0.41119801013763013</x:v>
      </x:c>
      <x:c r="AN308" s="9" t="str">
        <x:v>0.37956739397319705</x:v>
      </x:c>
      <x:c r="AO308" s="9" t="str">
        <x:v>0.7275041717819609</x:v>
      </x:c>
      <x:c r="AP308" s="10" t="str">
        <x:v>0.5217391304347826</x:v>
      </x:c>
      <x:c r="AQ308" s="6" t="str">
        <x:v>0.0</x:v>
      </x:c>
      <x:c r="AR308" s="6" t="str">
        <x:v>0.4782608695652174</x:v>
      </x:c>
      <x:c r="AS308" s="6" t="str">
        <x:v>With trade</x:v>
      </x:c>
      <x:c r="AT308" s="6" t="str">
        <x:v>1.2617751274738571</x:v>
      </x:c>
      <x:c r="AU308" s="7" t="str">
        <x:v>2025-01-16 06:15:00-06:00</x:v>
      </x:c>
      <x:c r="AV308" s="8" t="str">
        <x:v>2</x:v>
      </x:c>
      <x:c r="AW308" s="6" t="str">
        <x:v>Delayed retest (2+ bars)</x:v>
      </x:c>
      <x:c r="AX308" s="6" t="str">
        <x:v>20237.75</x:v>
      </x:c>
      <x:c r="AY308" s="6" t="str">
        <x:v>1.5</x:v>
      </x:c>
      <x:c r="AZ308" s="9" t="str">
        <x:v>0.09851845851170903</x:v>
      </x:c>
      <x:c r="BA308" s="9" t="str">
        <x:v>0.16419743085284838</x:v>
      </x:c>
      <x:c r="BB308" s="9" t="str">
        <x:v>0.6896292095819632</x:v>
      </x:c>
      <x:c r="BC308" s="9" t="str">
        <x:v>0.3119751186204119</x:v>
      </x:c>
      <x:c r="BD308" s="6" t="str">
        <x:v>0.38095238095238093</x:v>
      </x:c>
      <x:c r="BE308" s="6" t="str">
        <x:v>0.16666666666666666</x:v>
      </x:c>
      <x:c r="BF308" s="9" t="str">
        <x:v>0.26271588936455736</x:v>
      </x:c>
      <x:c r="BG308" s="9" t="str">
        <x:v>0.11493820159699386</x:v>
      </x:c>
      <x:c r="BH308" s="6" t="str">
        <x:v>Against trade</x:v>
      </x:c>
      <x:c r="BI308" s="6" t="str">
        <x:v>Penetration + same-bar reclaim</x:v>
      </x:c>
      <x:c r="BJ308" s="6" t="str">
        <x:v>False</x:v>
      </x:c>
      <x:c r="BK308" s="10" t="str">
        <x:v>True</x:v>
      </x:c>
      <x:c r="BL308" s="6" t="str">
        <x:v>True</x:v>
      </x:c>
      <x:c r="BM308" s="7" t="str">
        <x:v>2025-01-16 06:20:00-06:00</x:v>
      </x:c>
      <x:c r="BN308" s="8" t="str">
        <x:v>1</x:v>
      </x:c>
      <x:c r="BO308" s="6" t="str">
        <x:v>Immediate confirmation (1 bar)</x:v>
      </x:c>
      <x:c r="BP308" s="9" t="str">
        <x:v>1.4096070766048228</x:v>
      </x:c>
      <x:c r="BQ308" s="9" t="str">
        <x:v>1.8692615581063954</x:v>
      </x:c>
      <x:c r="BR308" s="10" t="str">
        <x:v>0.7540983606557377</x:v>
      </x:c>
      <x:c r="BS308" s="9" t="str">
        <x:v>1.562825237105347</x:v>
      </x:c>
      <x:c r="BT308" s="9" t="str">
        <x:v>1.4096070766048228</x:v>
      </x:c>
      <x:c r="BU308" s="9" t="str">
        <x:v>0.39836721730136293</x:v>
      </x:c>
      <x:c r="BV308" s="6" t="str">
        <x:v>With trade</x:v>
      </x:c>
      <x:c r="BW308" s="7" t="str">
        <x:v>2025-01-16 06:20:00-06:00</x:v>
      </x:c>
      <x:c r="BX308" s="6" t="str">
        <x:v>20210.75</x:v>
      </x:c>
      <x:c r="BY308" s="9" t="str">
        <x:v>16.316603670434006</x:v>
      </x:c>
      <x:c r="BZ308" s="9" t="str">
        <x:v>0.56</x:v>
      </x:c>
      <x:c r="CA308" s="6" t="str">
        <x:v>20235.224905505653</x:v>
      </x:c>
      <x:c r="CB308" s="6" t="str">
        <x:v>24.474905505652714</x:v>
      </x:c>
      <x:c r="CC308" s="9" t="str">
        <x:v>1.5000000000001046</x:v>
      </x:c>
      <x:c r="CD308" s="6" t="str">
        <x:v>20161.8001889887</x:v>
      </x:c>
      <x:c r="CE308" s="6" t="str">
        <x:v>48.94981101130179</x:v>
      </x:c>
      <x:c r="CF308" s="6" t="str">
        <x:v>Fixed 2.00R target</x:v>
      </x:c>
      <x:c r="CG308" s="9" t="str">
        <x:v>0.02962217769676595</x:v>
      </x:c>
      <x:c r="CH308" s="9" t="str">
        <x:v>0.3166508650344167</x:v>
      </x:c>
      <x:c r="CI308" s="9" t="str">
        <x:v>0.28702868733765075</x:v>
      </x:c>
      <x:c r="CJ308" s="6" t="str">
        <x:v>Win</x:v>
      </x:c>
      <x:c r="CK308" s="9" t="str">
        <x:v>1.562825237105238</x:v>
      </x:c>
      <x:c r="CL308" s="9" t="str">
        <x:v>0.8988798749363461</x:v>
      </x:c>
      <x:c r="CM308" s="7" t="str">
        <x:v>2025-01-16 07:20:00-06:00</x:v>
      </x:c>
      <x:c r="CN308" s="6" t="str">
        <x:v>20203.0</x:v>
      </x:c>
      <x:c r="CO308" s="6" t="str">
        <x:v>TIME</x:v>
      </x:c>
      <x:c r="CP308" s="6" t="str">
        <x:v>F::Short::Same-bar Setup+BOS::Penetration + same-bar reclaim</x:v>
      </x:c>
    </x:row>
    <x:row r="309" ht="18" customHeight="1">
      <x:c r="A309" s="6" t="str">
        <x:v>A0308</x:v>
      </x:c>
      <x:c r="B309" s="6" t="str">
        <x:v>2025-01-17</x:v>
      </x:c>
      <x:c r="C309" s="6" t="str">
        <x:v>2025</x:v>
      </x:c>
      <x:c r="D309" s="6" t="str">
        <x:v>2025-Q1</x:v>
      </x:c>
      <x:c r="E309" s="6" t="str">
        <x:v>First 50%</x:v>
      </x:c>
      <x:c r="F309" s="6" t="str">
        <x:v>Long</x:v>
      </x:c>
      <x:c r="G309" s="6" t="str">
        <x:v>Long</x:v>
      </x:c>
      <x:c r="H309" s="6" t="str">
        <x:v>Opening</x:v>
      </x:c>
      <x:c r="I309" s="6" t="str">
        <x:v>Opening</x:v>
      </x:c>
      <x:c r="J309" s="6" t="str">
        <x:v>Bull</x:v>
      </x:c>
      <x:c r="K309" s="6" t="str">
        <x:v>Bull</x:v>
      </x:c>
      <x:c r="L309" s="6" t="str">
        <x:v>HIGH</x:v>
      </x:c>
      <x:c r="M309" s="7" t="str">
        <x:v>2025-01-17 09:55:00-06:00</x:v>
      </x:c>
      <x:c r="N309" s="6" t="str">
        <x:v>85.0</x:v>
      </x:c>
      <x:c r="O309" s="6" t="str">
        <x:v>85-89</x:v>
      </x:c>
      <x:c r="P309" s="6" t="str">
        <x:v>Matching BOS only</x:v>
      </x:c>
      <x:c r="Q309" s="6" t="str">
        <x:v>Bull BOS</x:v>
      </x:c>
      <x:c r="R309" s="6" t="str">
        <x:v>True</x:v>
      </x:c>
      <x:c r="S309" s="6" t="str">
        <x:v>False</x:v>
      </x:c>
      <x:c r="T309" s="6" t="str">
        <x:v>Recent SSL</x:v>
      </x:c>
      <x:c r="U309" s="6" t="str">
        <x:v>SSL</x:v>
      </x:c>
      <x:c r="V309" s="6" t="str">
        <x:v>Swing low / sell-side</x:v>
      </x:c>
      <x:c r="W309" s="6" t="str">
        <x:v>[20239.5]</x:v>
      </x:c>
      <x:c r="X309" s="8" t="str">
        <x:v>1</x:v>
      </x:c>
      <x:c r="Y309" s="8" t="str">
        <x:v>6.0</x:v>
      </x:c>
      <x:c r="Z309" s="6" t="str">
        <x:v>None</x:v>
      </x:c>
      <x:c r="AA309" s="6" t="str">
        <x:v>20334.25</x:v>
      </x:c>
      <x:c r="AB309" s="9" t="str">
        <x:v>0.30324869643772395</x:v>
      </x:c>
      <x:c r="AC309" s="9" t="str">
        <x:v>0.5433205811175887</x:v>
      </x:c>
      <x:c r="AD309" s="9" t="str">
        <x:v>0.8023455093248113</x:v>
      </x:c>
      <x:c r="AE309" s="6" t="str">
        <x:v>With trade</x:v>
      </x:c>
      <x:c r="AF309" s="7" t="str">
        <x:v>2025-01-17 09:55:00-06:00</x:v>
      </x:c>
      <x:c r="AG309" s="6" t="str">
        <x:v>Long</x:v>
      </x:c>
      <x:c r="AH309" s="6" t="str">
        <x:v>20334.25</x:v>
      </x:c>
      <x:c r="AI309" s="8" t="str">
        <x:v>0</x:v>
      </x:c>
      <x:c r="AJ309" s="6" t="str">
        <x:v>True</x:v>
      </x:c>
      <x:c r="AK309" s="6" t="str">
        <x:v>Same-bar Setup+BOS</x:v>
      </x:c>
      <x:c r="AL309" s="9" t="str">
        <x:v>0.5306852187660169</x:v>
      </x:c>
      <x:c r="AM309" s="9" t="str">
        <x:v>0.30324869643772395</x:v>
      </x:c>
      <x:c r="AN309" s="9" t="str">
        <x:v>0.5433205811175887</x:v>
      </x:c>
      <x:c r="AO309" s="9" t="str">
        <x:v>0.8023455093248113</x:v>
      </x:c>
      <x:c r="AP309" s="10" t="str">
        <x:v>0.6771653543307087</x:v>
      </x:c>
      <x:c r="AQ309" s="6" t="str">
        <x:v>0.13385826771653545</x:v>
      </x:c>
      <x:c r="AR309" s="6" t="str">
        <x:v>0.1889763779527559</x:v>
      </x:c>
      <x:c r="AS309" s="6" t="str">
        <x:v>With trade</x:v>
      </x:c>
      <x:c r="AT309" s="6" t="str">
        <x:v>0.7007296235475087</x:v>
      </x:c>
      <x:c r="AU309" s="7" t="str">
        <x:v>2025-01-17 10:00:00-06:00</x:v>
      </x:c>
      <x:c r="AV309" s="8" t="str">
        <x:v>1</x:v>
      </x:c>
      <x:c r="AW309" s="6" t="str">
        <x:v>Immediate retest (1 bar)</x:v>
      </x:c>
      <x:c r="AX309" s="6" t="str">
        <x:v>20323.0</x:v>
      </x:c>
      <x:c r="AY309" s="6" t="str">
        <x:v>11.25</x:v>
      </x:c>
      <x:c r="AZ309" s="9" t="str">
        <x:v>0.2925175396593383</x:v>
      </x:c>
      <x:c r="BA309" s="9" t="str">
        <x:v>0.07800467724249022</x:v>
      </x:c>
      <x:c r="BB309" s="9" t="str">
        <x:v>0.6240374179399217</x:v>
      </x:c>
      <x:c r="BC309" s="9" t="str">
        <x:v>0.22101325218705561</x:v>
      </x:c>
      <x:c r="BD309" s="6" t="str">
        <x:v>0.052083333333333336</x:v>
      </x:c>
      <x:c r="BE309" s="6" t="str">
        <x:v>0.59375</x:v>
      </x:c>
      <x:c r="BF309" s="9" t="str">
        <x:v>0.3705222169018285</x:v>
      </x:c>
      <x:c r="BG309" s="9" t="str">
        <x:v>0.03250194885103759</x:v>
      </x:c>
      <x:c r="BH309" s="6" t="str">
        <x:v>Against trade</x:v>
      </x:c>
      <x:c r="BI309" s="6" t="str">
        <x:v>Penetration + same-bar reclaim</x:v>
      </x:c>
      <x:c r="BJ309" s="6" t="str">
        <x:v>False</x:v>
      </x:c>
      <x:c r="BK309" s="10" t="str">
        <x:v>True</x:v>
      </x:c>
      <x:c r="BL309" s="6" t="str">
        <x:v>True</x:v>
      </x:c>
      <x:c r="BM309" s="7" t="str">
        <x:v>2025-01-17 10:10:00-06:00</x:v>
      </x:c>
      <x:c r="BN309" s="8" t="str">
        <x:v>2</x:v>
      </x:c>
      <x:c r="BO309" s="6" t="str">
        <x:v>Delayed confirmation (2+ bars)</x:v>
      </x:c>
      <x:c r="BP309" s="9" t="str">
        <x:v>0.2697110565615581</x:v>
      </x:c>
      <x:c r="BQ309" s="9" t="str">
        <x:v>0.47026543195348586</x:v>
      </x:c>
      <x:c r="BR309" s="10" t="str">
        <x:v>0.5735294117647058</x:v>
      </x:c>
      <x:c r="BS309" s="9" t="str">
        <x:v>0.3181207333802993</x:v>
      </x:c>
      <x:c r="BT309" s="9" t="str">
        <x:v>0.23513271597674293</x:v>
      </x:c>
      <x:c r="BU309" s="9" t="str">
        <x:v>0.13831336233926056</x:v>
      </x:c>
      <x:c r="BV309" s="6" t="str">
        <x:v>With trade</x:v>
      </x:c>
      <x:c r="BW309" s="7" t="str">
        <x:v>2025-01-17 10:10:00-06:00</x:v>
      </x:c>
      <x:c r="BX309" s="6" t="str">
        <x:v>20345.75</x:v>
      </x:c>
      <x:c r="BY309" s="9" t="str">
        <x:v>36.14979721001793</x:v>
      </x:c>
      <x:c r="BZ309" s="9" t="str">
        <x:v>0.81</x:v>
      </x:c>
      <x:c r="CA309" s="6" t="str">
        <x:v>20291.525304184972</x:v>
      </x:c>
      <x:c r="CB309" s="6" t="str">
        <x:v>54.2246958150281</x:v>
      </x:c>
      <x:c r="CC309" s="9" t="str">
        <x:v>1.5000000000000333</x:v>
      </x:c>
      <x:c r="CD309" s="6" t="str">
        <x:v>20454.199391630053</x:v>
      </x:c>
      <x:c r="CE309" s="6" t="str">
        <x:v>108.44939163005256</x:v>
      </x:c>
      <x:c r="CF309" s="6" t="str">
        <x:v>Fixed 2.00R target</x:v>
      </x:c>
      <x:c r="CG309" s="9" t="str">
        <x:v>0.01337029169279489</x:v>
      </x:c>
      <x:c r="CH309" s="9" t="str">
        <x:v>0.17980737104103872</x:v>
      </x:c>
      <x:c r="CI309" s="9" t="str">
        <x:v>0.16643707934824384</x:v>
      </x:c>
      <x:c r="CJ309" s="6" t="str">
        <x:v>Win</x:v>
      </x:c>
      <x:c r="CK309" s="9" t="str">
        <x:v>0.8252697286242363</x:v>
      </x:c>
      <x:c r="CL309" s="9" t="str">
        <x:v>0.6177996851153501</x:v>
      </x:c>
      <x:c r="CM309" s="7" t="str">
        <x:v>2025-01-17 11:10:00-06:00</x:v>
      </x:c>
      <x:c r="CN309" s="6" t="str">
        <x:v>20355.5</x:v>
      </x:c>
      <x:c r="CO309" s="6" t="str">
        <x:v>TIME</x:v>
      </x:c>
      <x:c r="CP309" s="6" t="str">
        <x:v>F::Long::Same-bar Setup+BOS::Penetration + same-bar reclaim</x:v>
      </x:c>
    </x:row>
    <x:row r="310" ht="18" customHeight="1">
      <x:c r="A310" s="6" t="str">
        <x:v>A0309</x:v>
      </x:c>
      <x:c r="B310" s="6" t="str">
        <x:v>2025-01-17</x:v>
      </x:c>
      <x:c r="C310" s="6" t="str">
        <x:v>2025</x:v>
      </x:c>
      <x:c r="D310" s="6" t="str">
        <x:v>2025-Q1</x:v>
      </x:c>
      <x:c r="E310" s="6" t="str">
        <x:v>First 50%</x:v>
      </x:c>
      <x:c r="F310" s="6" t="str">
        <x:v>Long</x:v>
      </x:c>
      <x:c r="G310" s="6" t="str">
        <x:v>Long</x:v>
      </x:c>
      <x:c r="H310" s="6" t="str">
        <x:v>Midday</x:v>
      </x:c>
      <x:c r="I310" s="6" t="str">
        <x:v>Midday</x:v>
      </x:c>
      <x:c r="J310" s="6" t="str">
        <x:v>Bull</x:v>
      </x:c>
      <x:c r="K310" s="6" t="str">
        <x:v>Bull</x:v>
      </x:c>
      <x:c r="L310" s="6" t="str">
        <x:v>MID</x:v>
      </x:c>
      <x:c r="M310" s="7" t="str">
        <x:v>2025-01-17 12:05:00-06:00</x:v>
      </x:c>
      <x:c r="N310" s="6" t="str">
        <x:v>75.0</x:v>
      </x:c>
      <x:c r="O310" s="6" t="str">
        <x:v>75-79</x:v>
      </x:c>
      <x:c r="P310" s="6" t="str">
        <x:v>Matching BOS only</x:v>
      </x:c>
      <x:c r="Q310" s="6" t="str">
        <x:v>Bull BOS</x:v>
      </x:c>
      <x:c r="R310" s="6" t="str">
        <x:v>True</x:v>
      </x:c>
      <x:c r="S310" s="6" t="str">
        <x:v>False</x:v>
      </x:c>
      <x:c r="T310" s="6" t="str">
        <x:v>No recent matching sweep</x:v>
      </x:c>
      <x:c r="U310" s="6" t="str">
        <x:v>None</x:v>
      </x:c>
      <x:c r="V310" s="6" t="str">
        <x:v>None</x:v>
      </x:c>
      <x:c r="W310" s="6" t="str">
        <x:v>[]</x:v>
      </x:c>
      <x:c r="X310" s="8" t="str">
        <x:v>0</x:v>
      </x:c>
      <x:c r="Y310" s="8" t="str"/>
      <x:c r="Z310" s="6" t="str">
        <x:v>None</x:v>
      </x:c>
      <x:c r="AA310" s="6" t="str">
        <x:v>20390.5</x:v>
      </x:c>
      <x:c r="AB310" s="9" t="str">
        <x:v>0.13486333902559436</x:v>
      </x:c>
      <x:c r="AC310" s="9" t="str">
        <x:v>0.48326029817504645</x:v>
      </x:c>
      <x:c r="AD310" s="9" t="str">
        <x:v>0.854134480495431</x:v>
      </x:c>
      <x:c r="AE310" s="6" t="str">
        <x:v>With trade</x:v>
      </x:c>
      <x:c r="AF310" s="7" t="str">
        <x:v>2025-01-17 12:05:00-06:00</x:v>
      </x:c>
      <x:c r="AG310" s="6" t="str">
        <x:v>Long</x:v>
      </x:c>
      <x:c r="AH310" s="6" t="str">
        <x:v>20390.5</x:v>
      </x:c>
      <x:c r="AI310" s="8" t="str">
        <x:v>0</x:v>
      </x:c>
      <x:c r="AJ310" s="6" t="str">
        <x:v>True</x:v>
      </x:c>
      <x:c r="AK310" s="6" t="str">
        <x:v>Same-bar Setup+BOS</x:v>
      </x:c>
      <x:c r="AL310" s="9" t="str">
        <x:v>0.46078307500411403</x:v>
      </x:c>
      <x:c r="AM310" s="9" t="str">
        <x:v>0.13486333902559436</x:v>
      </x:c>
      <x:c r="AN310" s="9" t="str">
        <x:v>0.48326029817504645</x:v>
      </x:c>
      <x:c r="AO310" s="9" t="str">
        <x:v>0.854134480495431</x:v>
      </x:c>
      <x:c r="AP310" s="10" t="str">
        <x:v>0.5657894736842105</x:v>
      </x:c>
      <x:c r="AQ310" s="6" t="str">
        <x:v>0.34210526315789475</x:v>
      </x:c>
      <x:c r="AR310" s="6" t="str">
        <x:v>0.09210526315789473</x:v>
      </x:c>
      <x:c r="AS310" s="6" t="str">
        <x:v>With trade</x:v>
      </x:c>
      <x:c r="AT310" s="6" t="str">
        <x:v>1.147218603279172</x:v>
      </x:c>
      <x:c r="AU310" s="7" t="str">
        <x:v>2025-01-17 12:10:00-06:00</x:v>
      </x:c>
      <x:c r="AV310" s="8" t="str">
        <x:v>1</x:v>
      </x:c>
      <x:c r="AW310" s="6" t="str">
        <x:v>Immediate retest (1 bar)</x:v>
      </x:c>
      <x:c r="AX310" s="6" t="str">
        <x:v>20391.75</x:v>
      </x:c>
      <x:c r="AY310" s="6" t="str">
        <x:v>0.0</x:v>
      </x:c>
      <x:c r="AZ310" s="9" t="str">
        <x:v>0.0</x:v>
      </x:c>
      <x:c r="BA310" s="9" t="str">
        <x:v>0.8702485883116964</x:v>
      </x:c>
      <x:c r="BB310" s="9" t="str">
        <x:v>0.926758236903365</x:v>
      </x:c>
      <x:c r="BC310" s="9" t="str">
        <x:v>0.723323501973358</x:v>
      </x:c>
      <x:c r="BD310" s="6" t="str">
        <x:v>0.12195121951219512</x:v>
      </x:c>
      <x:c r="BE310" s="6" t="str">
        <x:v>0.0975609756097561</x:v>
      </x:c>
      <x:c r="BF310" s="9" t="str">
        <x:v>0.09041543774666976</x:v>
      </x:c>
      <x:c r="BG310" s="9" t="str">
        <x:v>0.1130192971833372</x:v>
      </x:c>
      <x:c r="BH310" s="6" t="str">
        <x:v>With trade</x:v>
      </x:c>
      <x:c r="BI310" s="6" t="str">
        <x:v>Tolerance-only shallow touch</x:v>
      </x:c>
      <x:c r="BJ310" s="6" t="str">
        <x:v>True</x:v>
      </x:c>
      <x:c r="BK310" s="10" t="str">
        <x:v>False</x:v>
      </x:c>
      <x:c r="BL310" s="6" t="str">
        <x:v>True</x:v>
      </x:c>
      <x:c r="BM310" s="7" t="str">
        <x:v>2025-01-17 12:15:00-06:00</x:v>
      </x:c>
      <x:c r="BN310" s="8" t="str">
        <x:v>1</x:v>
      </x:c>
      <x:c r="BO310" s="6" t="str">
        <x:v>Immediate confirmation (1 bar)</x:v>
      </x:c>
      <x:c r="BP310" s="9" t="str">
        <x:v>0.358901317481773</x:v>
      </x:c>
      <x:c r="BQ310" s="9" t="str">
        <x:v>0.6830702494007937</x:v>
      </x:c>
      <x:c r="BR310" s="10" t="str">
        <x:v>0.5254237288135594</x:v>
      </x:c>
      <x:c r="BS310" s="9" t="str">
        <x:v>1.25036588025908</x:v>
      </x:c>
      <x:c r="BT310" s="9" t="str">
        <x:v>0.358901317481773</x:v>
      </x:c>
      <x:c r="BU310" s="9" t="str">
        <x:v>0.15050700410525963</x:v>
      </x:c>
      <x:c r="BV310" s="6" t="str">
        <x:v>With trade</x:v>
      </x:c>
      <x:c r="BW310" s="7" t="str">
        <x:v>2025-01-17 12:15:00-06:00</x:v>
      </x:c>
      <x:c r="BX310" s="6" t="str">
        <x:v>20417.5</x:v>
      </x:c>
      <x:c r="BY310" s="9" t="str">
        <x:v>21.59367943917784</x:v>
      </x:c>
      <x:c r="BZ310" s="9" t="str">
        <x:v>0.48</x:v>
      </x:c>
      <x:c r="CA310" s="6" t="str">
        <x:v>20385.109480841234</x:v>
      </x:c>
      <x:c r="CB310" s="6" t="str">
        <x:v>32.39051915876553</x:v>
      </x:c>
      <x:c r="CC310" s="9" t="str">
        <x:v>1.499999999999943</x:v>
      </x:c>
      <x:c r="CD310" s="6" t="str">
        <x:v>20482.281038317535</x:v>
      </x:c>
      <x:c r="CE310" s="6" t="str">
        <x:v>64.7810383175347</x:v>
      </x:c>
      <x:c r="CF310" s="6" t="str">
        <x:v>Fixed 2.00R target</x:v>
      </x:c>
      <x:c r="CG310" s="9" t="str">
        <x:v>0.022383092918218953</x:v>
      </x:c>
      <x:c r="CH310" s="9" t="str">
        <x:v>-1.0</x:v>
      </x:c>
      <x:c r="CI310" s="9" t="str">
        <x:v>-1.022383092918219</x:v>
      </x:c>
      <x:c r="CJ310" s="6" t="str">
        <x:v>Loss</x:v>
      </x:c>
      <x:c r="CK310" s="9" t="str">
        <x:v>0.2161126212793554</x:v>
      </x:c>
      <x:c r="CL310" s="9" t="str">
        <x:v>1.14230956961945</x:v>
      </x:c>
      <x:c r="CM310" s="7" t="str">
        <x:v>2025-01-17 12:40:00-06:00</x:v>
      </x:c>
      <x:c r="CN310" s="6" t="str">
        <x:v>20385.109480841234</x:v>
      </x:c>
      <x:c r="CO310" s="6" t="str">
        <x:v>STOP</x:v>
      </x:c>
      <x:c r="CP310" s="6" t="str">
        <x:v>F::Long::Same-bar Setup+BOS::Tolerance-only shallow touch</x:v>
      </x:c>
    </x:row>
    <x:row r="311" ht="18" customHeight="1">
      <x:c r="A311" s="6" t="str">
        <x:v>A0310</x:v>
      </x:c>
      <x:c r="B311" s="6" t="str">
        <x:v>2025-01-20</x:v>
      </x:c>
      <x:c r="C311" s="6" t="str">
        <x:v>2025</x:v>
      </x:c>
      <x:c r="D311" s="6" t="str">
        <x:v>2025-Q1</x:v>
      </x:c>
      <x:c r="E311" s="6" t="str">
        <x:v>First 50%</x:v>
      </x:c>
      <x:c r="F311" s="6" t="str">
        <x:v>Short</x:v>
      </x:c>
      <x:c r="G311" s="6" t="str">
        <x:v>Short</x:v>
      </x:c>
      <x:c r="H311" s="6" t="str">
        <x:v>Premarket</x:v>
      </x:c>
      <x:c r="I311" s="6" t="str">
        <x:v>Premarket</x:v>
      </x:c>
      <x:c r="J311" s="6" t="str">
        <x:v>Bull</x:v>
      </x:c>
      <x:c r="K311" s="6" t="str">
        <x:v>Bull</x:v>
      </x:c>
      <x:c r="L311" s="6" t="str">
        <x:v>HIGH</x:v>
      </x:c>
      <x:c r="M311" s="7" t="str">
        <x:v>2025-01-20 06:10:00-06:00</x:v>
      </x:c>
      <x:c r="N311" s="6" t="str">
        <x:v>90.0</x:v>
      </x:c>
      <x:c r="O311" s="6" t="str">
        <x:v>90-94</x:v>
      </x:c>
      <x:c r="P311" s="6" t="str">
        <x:v>Matching BOS only</x:v>
      </x:c>
      <x:c r="Q311" s="6" t="str">
        <x:v>Bear CHoCH</x:v>
      </x:c>
      <x:c r="R311" s="6" t="str">
        <x:v>True</x:v>
      </x:c>
      <x:c r="S311" s="6" t="str">
        <x:v>False</x:v>
      </x:c>
      <x:c r="T311" s="6" t="str">
        <x:v>Recent BSL</x:v>
      </x:c>
      <x:c r="U311" s="6" t="str">
        <x:v>BSL</x:v>
      </x:c>
      <x:c r="V311" s="6" t="str">
        <x:v>Swing high / buy-side</x:v>
      </x:c>
      <x:c r="W311" s="6" t="str">
        <x:v>[20385.5]</x:v>
      </x:c>
      <x:c r="X311" s="8" t="str">
        <x:v>1</x:v>
      </x:c>
      <x:c r="Y311" s="8" t="str">
        <x:v>16.0</x:v>
      </x:c>
      <x:c r="Z311" s="6" t="str">
        <x:v>None</x:v>
      </x:c>
      <x:c r="AA311" s="6" t="str">
        <x:v>20362.5</x:v>
      </x:c>
      <x:c r="AB311" s="9" t="str">
        <x:v>0.18380142699901972</x:v>
      </x:c>
      <x:c r="AC311" s="9" t="str">
        <x:v>1.1553232554224098</x:v>
      </x:c>
      <x:c r="AD311" s="9" t="str">
        <x:v>1.5229261094204491</x:v>
      </x:c>
      <x:c r="AE311" s="6" t="str">
        <x:v>With trade</x:v>
      </x:c>
      <x:c r="AF311" s="7" t="str">
        <x:v>2025-01-20 06:10:00-06:00</x:v>
      </x:c>
      <x:c r="AG311" s="6" t="str">
        <x:v>Short</x:v>
      </x:c>
      <x:c r="AH311" s="6" t="str">
        <x:v>20362.5</x:v>
      </x:c>
      <x:c r="AI311" s="8" t="str">
        <x:v>0</x:v>
      </x:c>
      <x:c r="AJ311" s="6" t="str">
        <x:v>True</x:v>
      </x:c>
      <x:c r="AK311" s="6" t="str">
        <x:v>Same-bar Setup+BOS</x:v>
      </x:c>
      <x:c r="AL311" s="9" t="str">
        <x:v>1.1553232554224098</x:v>
      </x:c>
      <x:c r="AM311" s="9" t="str">
        <x:v>0.18380142699901972</x:v>
      </x:c>
      <x:c r="AN311" s="9" t="str">
        <x:v>1.1553232554224098</x:v>
      </x:c>
      <x:c r="AO311" s="9" t="str">
        <x:v>1.5229261094204491</x:v>
      </x:c>
      <x:c r="AP311" s="10" t="str">
        <x:v>0.7586206896551724</x:v>
      </x:c>
      <x:c r="AQ311" s="6" t="str">
        <x:v>0.05172413793103448</x:v>
      </x:c>
      <x:c r="AR311" s="6" t="str">
        <x:v>0.1896551724137931</x:v>
      </x:c>
      <x:c r="AS311" s="6" t="str">
        <x:v>With trade</x:v>
      </x:c>
      <x:c r="AT311" s="6" t="str">
        <x:v>1.8132854578096946</x:v>
      </x:c>
      <x:c r="AU311" s="7" t="str">
        <x:v>2025-01-20 06:15:00-06:00</x:v>
      </x:c>
      <x:c r="AV311" s="8" t="str">
        <x:v>1</x:v>
      </x:c>
      <x:c r="AW311" s="6" t="str">
        <x:v>Immediate retest (1 bar)</x:v>
      </x:c>
      <x:c r="AX311" s="6" t="str">
        <x:v>20363.0</x:v>
      </x:c>
      <x:c r="AY311" s="6" t="str">
        <x:v>0.5</x:v>
      </x:c>
      <x:c r="AZ311" s="9" t="str">
        <x:v>0.048184516741222004</x:v>
      </x:c>
      <x:c r="BA311" s="9" t="str">
        <x:v>1.9514729280194911</x:v>
      </x:c>
      <x:c r="BB311" s="9" t="str">
        <x:v>2.071934219872546</x:v>
      </x:c>
      <x:c r="BC311" s="9" t="str">
        <x:v>1.782827119425214</x:v>
      </x:c>
      <x:c r="BD311" s="6" t="str">
        <x:v>0.10465116279069768</x:v>
      </x:c>
      <x:c r="BE311" s="6" t="str">
        <x:v>0.03488372093023256</x:v>
      </x:c>
      <x:c r="BF311" s="9" t="str">
        <x:v>0.216830325335499</x:v>
      </x:c>
      <x:c r="BG311" s="9" t="str">
        <x:v>0.072276775111833</x:v>
      </x:c>
      <x:c r="BH311" s="6" t="str">
        <x:v>With trade</x:v>
      </x:c>
      <x:c r="BI311" s="6" t="str">
        <x:v>Penetration + same-bar reclaim</x:v>
      </x:c>
      <x:c r="BJ311" s="6" t="str">
        <x:v>False</x:v>
      </x:c>
      <x:c r="BK311" s="10" t="str">
        <x:v>True</x:v>
      </x:c>
      <x:c r="BL311" s="6" t="str">
        <x:v>True</x:v>
      </x:c>
      <x:c r="BM311" s="7" t="str">
        <x:v>2025-01-20 06:20:00-06:00</x:v>
      </x:c>
      <x:c r="BN311" s="8" t="str">
        <x:v>1</x:v>
      </x:c>
      <x:c r="BO311" s="6" t="str">
        <x:v>Immediate confirmation (1 bar)</x:v>
      </x:c>
      <x:c r="BP311" s="9" t="str">
        <x:v>0.18494286962925785</x:v>
      </x:c>
      <x:c r="BQ311" s="9" t="str">
        <x:v>1.5257786744413773</x:v>
      </x:c>
      <x:c r="BR311" s="10" t="str">
        <x:v>0.12121212121212122</x:v>
      </x:c>
      <x:c r="BS311" s="9" t="str">
        <x:v>2.126843000736465</x:v>
      </x:c>
      <x:c r="BT311" s="9" t="str">
        <x:v>0.2542964457402295</x:v>
      </x:c>
      <x:c r="BU311" s="9" t="str">
        <x:v>0.7860071959243459</x:v>
      </x:c>
      <x:c r="BV311" s="6" t="str">
        <x:v>With trade</x:v>
      </x:c>
      <x:c r="BW311" s="7" t="str">
        <x:v>2025-01-20 06:20:00-06:00</x:v>
      </x:c>
      <x:c r="BX311" s="6" t="str">
        <x:v>20339.5</x:v>
      </x:c>
      <x:c r="BY311" s="9" t="str">
        <x:v>10.814150359023094</x:v>
      </x:c>
      <x:c r="BZ311" s="9" t="str">
        <x:v>0.81</x:v>
      </x:c>
      <x:c r="CA311" s="6" t="str">
        <x:v>20355.721225538535</x:v>
      </x:c>
      <x:c r="CB311" s="6" t="str">
        <x:v>16.22122553853478</x:v>
      </x:c>
      <x:c r="CC311" s="9" t="str">
        <x:v>1.500000000000013</x:v>
      </x:c>
      <x:c r="CD311" s="6" t="str">
        <x:v>20307.05754892293</x:v>
      </x:c>
      <x:c r="CE311" s="6" t="str">
        <x:v>32.44245107706956</x:v>
      </x:c>
      <x:c r="CF311" s="6" t="str">
        <x:v>Fixed 2.00R target</x:v>
      </x:c>
      <x:c r="CG311" s="9" t="str">
        <x:v>0.04469452682707026</x:v>
      </x:c>
      <x:c r="CH311" s="9" t="str">
        <x:v>0.6473000437024026</x:v>
      </x:c>
      <x:c r="CI311" s="9" t="str">
        <x:v>0.6026055168753324</x:v>
      </x:c>
      <x:c r="CJ311" s="6" t="str">
        <x:v>Win</x:v>
      </x:c>
      <x:c r="CK311" s="9" t="str">
        <x:v>1.8340167904901243</x:v>
      </x:c>
      <x:c r="CL311" s="9" t="str">
        <x:v>0.5085928914804546</x:v>
      </x:c>
      <x:c r="CM311" s="7" t="str">
        <x:v>2025-01-20 07:20:00-06:00</x:v>
      </x:c>
      <x:c r="CN311" s="6" t="str">
        <x:v>20329.0</x:v>
      </x:c>
      <x:c r="CO311" s="6" t="str">
        <x:v>TIME</x:v>
      </x:c>
      <x:c r="CP311" s="6" t="str">
        <x:v>F::Short::Same-bar Setup+BOS::Penetration + same-bar reclaim</x:v>
      </x:c>
    </x:row>
    <x:row r="312" ht="18" customHeight="1">
      <x:c r="A312" s="6" t="str">
        <x:v>A0311</x:v>
      </x:c>
      <x:c r="B312" s="6" t="str">
        <x:v>2025-01-20</x:v>
      </x:c>
      <x:c r="C312" s="6" t="str">
        <x:v>2025</x:v>
      </x:c>
      <x:c r="D312" s="6" t="str">
        <x:v>2025-Q1</x:v>
      </x:c>
      <x:c r="E312" s="6" t="str">
        <x:v>First 50%</x:v>
      </x:c>
      <x:c r="F312" s="6" t="str">
        <x:v>Long</x:v>
      </x:c>
      <x:c r="G312" s="6" t="str">
        <x:v>Long</x:v>
      </x:c>
      <x:c r="H312" s="6" t="str">
        <x:v>Premarket</x:v>
      </x:c>
      <x:c r="I312" s="6" t="str">
        <x:v>Premarket</x:v>
      </x:c>
      <x:c r="J312" s="6" t="str">
        <x:v>Bull</x:v>
      </x:c>
      <x:c r="K312" s="6" t="str">
        <x:v>Bull</x:v>
      </x:c>
      <x:c r="L312" s="6" t="str">
        <x:v>HIGH</x:v>
      </x:c>
      <x:c r="M312" s="7" t="str">
        <x:v>2025-01-20 07:30:00-06:00</x:v>
      </x:c>
      <x:c r="N312" s="6" t="str">
        <x:v>90.0</x:v>
      </x:c>
      <x:c r="O312" s="6" t="str">
        <x:v>90-94</x:v>
      </x:c>
      <x:c r="P312" s="6" t="str">
        <x:v>Matching BOS + liquidity sweep</x:v>
      </x:c>
      <x:c r="Q312" s="6" t="str">
        <x:v>Bull CHoCH</x:v>
      </x:c>
      <x:c r="R312" s="6" t="str">
        <x:v>True</x:v>
      </x:c>
      <x:c r="S312" s="6" t="str">
        <x:v>True</x:v>
      </x:c>
      <x:c r="T312" s="6" t="str">
        <x:v>Recent SSL</x:v>
      </x:c>
      <x:c r="U312" s="6" t="str">
        <x:v>SSL</x:v>
      </x:c>
      <x:c r="V312" s="6" t="str">
        <x:v>Swing low / sell-side</x:v>
      </x:c>
      <x:c r="W312" s="6" t="str">
        <x:v>[20292.75,20298.0,20303.25,20306.5,20309.75]</x:v>
      </x:c>
      <x:c r="X312" s="8" t="str">
        <x:v>5</x:v>
      </x:c>
      <x:c r="Y312" s="8" t="str">
        <x:v>0.0</x:v>
      </x:c>
      <x:c r="Z312" s="6" t="str">
        <x:v>Sweep below CRT reference</x:v>
      </x:c>
      <x:c r="AA312" s="6" t="str">
        <x:v>20383.5</x:v>
      </x:c>
      <x:c r="AB312" s="9" t="str">
        <x:v>1.0289849137568614</x:v>
      </x:c>
      <x:c r="AC312" s="9" t="str">
        <x:v>4.51467130910823</x:v>
      </x:c>
      <x:c r="AD312" s="9" t="str">
        <x:v>6.096735614009405</x:v>
      </x:c>
      <x:c r="AE312" s="6" t="str">
        <x:v>With trade</x:v>
      </x:c>
      <x:c r="AF312" s="7" t="str">
        <x:v>2025-01-20 07:30:00-06:00</x:v>
      </x:c>
      <x:c r="AG312" s="6" t="str">
        <x:v>Long</x:v>
      </x:c>
      <x:c r="AH312" s="6" t="str">
        <x:v>20383.5</x:v>
      </x:c>
      <x:c r="AI312" s="8" t="str">
        <x:v>0</x:v>
      </x:c>
      <x:c r="AJ312" s="6" t="str">
        <x:v>True</x:v>
      </x:c>
      <x:c r="AK312" s="6" t="str">
        <x:v>Same-bar Setup+BOS</x:v>
      </x:c>
      <x:c r="AL312" s="9" t="str">
        <x:v>4.501808997686269</x:v>
      </x:c>
      <x:c r="AM312" s="9" t="str">
        <x:v>1.0289849137568614</x:v>
      </x:c>
      <x:c r="AN312" s="9" t="str">
        <x:v>4.51467130910823</x:v>
      </x:c>
      <x:c r="AO312" s="9" t="str">
        <x:v>6.096735614009405</x:v>
      </x:c>
      <x:c r="AP312" s="10" t="str">
        <x:v>0.740506329113924</x:v>
      </x:c>
      <x:c r="AQ312" s="6" t="str">
        <x:v>0.046413502109704644</x:v>
      </x:c>
      <x:c r="AR312" s="6" t="str">
        <x:v>0.21308016877637131</x:v>
      </x:c>
      <x:c r="AS312" s="6" t="str">
        <x:v>With trade</x:v>
      </x:c>
      <x:c r="AT312" s="6" t="str">
        <x:v>16.27931323283082</x:v>
      </x:c>
      <x:c r="AU312" s="7" t="str">
        <x:v>2025-01-20 07:35:00-06:00</x:v>
      </x:c>
      <x:c r="AV312" s="8" t="str">
        <x:v>1</x:v>
      </x:c>
      <x:c r="AW312" s="6" t="str">
        <x:v>Immediate retest (1 bar)</x:v>
      </x:c>
      <x:c r="AX312" s="6" t="str">
        <x:v>20360.5</x:v>
      </x:c>
      <x:c r="AY312" s="6" t="str">
        <x:v>23.0</x:v>
      </x:c>
      <x:c r="AZ312" s="9" t="str">
        <x:v>1.0826214965397956</x:v>
      </x:c>
      <x:c r="BA312" s="9" t="str">
        <x:v>-0.04707049984955632</x:v>
      </x:c>
      <x:c r="BB312" s="9" t="str">
        <x:v>2.1064048682676457</x:v>
      </x:c>
      <x:c r="BC312" s="9" t="str">
        <x:v>1.0708538715774065</x:v>
      </x:c>
      <x:c r="BD312" s="6" t="str">
        <x:v>0.0</x:v>
      </x:c>
      <x:c r="BE312" s="6" t="str">
        <x:v>0.49162011173184356</x:v>
      </x:c>
      <x:c r="BF312" s="9" t="str">
        <x:v>1.0355509966902392</x:v>
      </x:c>
      <x:c r="BG312" s="9" t="str">
        <x:v>0.0</x:v>
      </x:c>
      <x:c r="BH312" s="6" t="str">
        <x:v>Against trade</x:v>
      </x:c>
      <x:c r="BI312" s="6" t="str">
        <x:v>Penetration without same-bar reclaim</x:v>
      </x:c>
      <x:c r="BJ312" s="6" t="str">
        <x:v>False</x:v>
      </x:c>
      <x:c r="BK312" s="10" t="str">
        <x:v>True</x:v>
      </x:c>
      <x:c r="BL312" s="6" t="str">
        <x:v>False</x:v>
      </x:c>
      <x:c r="BM312" s="7" t="str">
        <x:v>2025-01-20 07:40:00-06:00</x:v>
      </x:c>
      <x:c r="BN312" s="8" t="str">
        <x:v>1</x:v>
      </x:c>
      <x:c r="BO312" s="6" t="str">
        <x:v>Immediate confirmation (1 bar)</x:v>
      </x:c>
      <x:c r="BP312" s="9" t="str">
        <x:v>0.5136688995419469</x:v>
      </x:c>
      <x:c r="BQ312" s="9" t="str">
        <x:v>1.6638405659076108</x:v>
      </x:c>
      <x:c r="BR312" s="10" t="str">
        <x:v>0.3087248322147651</x:v>
      </x:c>
      <x:c r="BS312" s="9" t="str">
        <x:v>0.5136688995419469</x:v>
      </x:c>
      <x:c r="BT312" s="9" t="str">
        <x:v>0.5583357603716814</x:v>
      </x:c>
      <x:c r="BU312" s="9" t="str">
        <x:v>0.9380040774244248</x:v>
      </x:c>
      <x:c r="BV312" s="6" t="str">
        <x:v>With trade</x:v>
      </x:c>
      <x:c r="BW312" s="7" t="str">
        <x:v>2025-01-20 07:40:00-06:00</x:v>
      </x:c>
      <x:c r="BX312" s="6" t="str">
        <x:v>20395.0</x:v>
      </x:c>
      <x:c r="BY312" s="9" t="str">
        <x:v>22.38796238248972</x:v>
      </x:c>
      <x:c r="BZ312" s="9" t="str">
        <x:v>1.0</x:v>
      </x:c>
      <x:c r="CA312" s="6" t="str">
        <x:v>20361.418056426264</x:v>
      </x:c>
      <x:c r="CB312" s="6" t="str">
        <x:v>33.58194357373577</x:v>
      </x:c>
      <x:c r="CC312" s="9" t="str">
        <x:v>1.500000000000053</x:v>
      </x:c>
      <x:c r="CD312" s="6" t="str">
        <x:v>20462.163887147468</x:v>
      </x:c>
      <x:c r="CE312" s="6" t="str">
        <x:v>67.1638871474679</x:v>
      </x:c>
      <x:c r="CF312" s="6" t="str">
        <x:v>Fixed 2.00R target</x:v>
      </x:c>
      <x:c r="CG312" s="9" t="str">
        <x:v>0.021588982734370918</x:v>
      </x:c>
      <x:c r="CH312" s="9" t="str">
        <x:v>2.0</x:v>
      </x:c>
      <x:c r="CI312" s="9" t="str">
        <x:v>1.978411017265629</x:v>
      </x:c>
      <x:c r="CJ312" s="6" t="str">
        <x:v>Win</x:v>
      </x:c>
      <x:c r="CK312" s="9" t="str">
        <x:v>2.0770090285825815</x:v>
      </x:c>
      <x:c r="CL312" s="9" t="str">
        <x:v>0.2010008737337982</x:v>
      </x:c>
      <x:c r="CM312" s="7" t="str">
        <x:v>2025-01-20 08:20:00-06:00</x:v>
      </x:c>
      <x:c r="CN312" s="6" t="str">
        <x:v>20462.163887147468</x:v>
      </x:c>
      <x:c r="CO312" s="6" t="str">
        <x:v>TARGET</x:v>
      </x:c>
      <x:c r="CP312" s="6" t="str">
        <x:v>F::Long::Same-bar Setup+BOS::Penetration without same-bar reclaim</x:v>
      </x:c>
    </x:row>
    <x:row r="313" ht="18" customHeight="1">
      <x:c r="A313" s="6" t="str">
        <x:v>A0312</x:v>
      </x:c>
      <x:c r="B313" s="6" t="str">
        <x:v>2025-01-21</x:v>
      </x:c>
      <x:c r="C313" s="6" t="str">
        <x:v>2025</x:v>
      </x:c>
      <x:c r="D313" s="6" t="str">
        <x:v>2025-Q1</x:v>
      </x:c>
      <x:c r="E313" s="6" t="str">
        <x:v>First 50%</x:v>
      </x:c>
      <x:c r="F313" s="6" t="str">
        <x:v>Long</x:v>
      </x:c>
      <x:c r="G313" s="6" t="str">
        <x:v>Long</x:v>
      </x:c>
      <x:c r="H313" s="6" t="str">
        <x:v>Afternoon</x:v>
      </x:c>
      <x:c r="I313" s="6" t="str">
        <x:v>Afternoon</x:v>
      </x:c>
      <x:c r="J313" s="6" t="str">
        <x:v>Bull</x:v>
      </x:c>
      <x:c r="K313" s="6" t="str">
        <x:v>Bull</x:v>
      </x:c>
      <x:c r="L313" s="6" t="str">
        <x:v>MID</x:v>
      </x:c>
      <x:c r="M313" s="7" t="str">
        <x:v>2025-01-21 15:00:00-06:00</x:v>
      </x:c>
      <x:c r="N313" s="6" t="str">
        <x:v>75.0</x:v>
      </x:c>
      <x:c r="O313" s="6" t="str">
        <x:v>75-79</x:v>
      </x:c>
      <x:c r="P313" s="6" t="str">
        <x:v>Matching BOS only</x:v>
      </x:c>
      <x:c r="Q313" s="6" t="str">
        <x:v>Bull CHoCH</x:v>
      </x:c>
      <x:c r="R313" s="6" t="str">
        <x:v>True</x:v>
      </x:c>
      <x:c r="S313" s="6" t="str">
        <x:v>False</x:v>
      </x:c>
      <x:c r="T313" s="6" t="str">
        <x:v>No recent matching sweep</x:v>
      </x:c>
      <x:c r="U313" s="6" t="str">
        <x:v>None</x:v>
      </x:c>
      <x:c r="V313" s="6" t="str">
        <x:v>None</x:v>
      </x:c>
      <x:c r="W313" s="6" t="str">
        <x:v>[]</x:v>
      </x:c>
      <x:c r="X313" s="8" t="str">
        <x:v>0</x:v>
      </x:c>
      <x:c r="Y313" s="8" t="str"/>
      <x:c r="Z313" s="6" t="str">
        <x:v>None</x:v>
      </x:c>
      <x:c r="AA313" s="6" t="str">
        <x:v>20508.0</x:v>
      </x:c>
      <x:c r="AB313" s="9" t="str">
        <x:v>0.28417349721065455</x:v>
      </x:c>
      <x:c r="AC313" s="9" t="str">
        <x:v>2.0657227297236043</x:v>
      </x:c>
      <x:c r="AD313" s="9" t="str">
        <x:v>3.278924967815245</x:v>
      </x:c>
      <x:c r="AE313" s="6" t="str">
        <x:v>With trade</x:v>
      </x:c>
      <x:c r="AF313" s="7" t="str">
        <x:v>2025-01-21 15:00:00-06:00</x:v>
      </x:c>
      <x:c r="AG313" s="6" t="str">
        <x:v>Long</x:v>
      </x:c>
      <x:c r="AH313" s="6" t="str">
        <x:v>20508.0</x:v>
      </x:c>
      <x:c r="AI313" s="8" t="str">
        <x:v>0</x:v>
      </x:c>
      <x:c r="AJ313" s="6" t="str">
        <x:v>True</x:v>
      </x:c>
      <x:c r="AK313" s="6" t="str">
        <x:v>Same-bar Setup+BOS</x:v>
      </x:c>
      <x:c r="AL313" s="9" t="str">
        <x:v>2.0766524796163215</x:v>
      </x:c>
      <x:c r="AM313" s="9" t="str">
        <x:v>0.28417349721065455</x:v>
      </x:c>
      <x:c r="AN313" s="9" t="str">
        <x:v>2.0657227297236043</x:v>
      </x:c>
      <x:c r="AO313" s="9" t="str">
        <x:v>3.278924967815245</x:v>
      </x:c>
      <x:c r="AP313" s="10" t="str">
        <x:v>0.63</x:v>
      </x:c>
      <x:c r="AQ313" s="6" t="str">
        <x:v>0.2866666666666667</x:v>
      </x:c>
      <x:c r="AR313" s="6" t="str">
        <x:v>0.08333333333333333</x:v>
      </x:c>
      <x:c r="AS313" s="6" t="str">
        <x:v>With trade</x:v>
      </x:c>
      <x:c r="AT313" s="6" t="str">
        <x:v>2.3504658056320133</x:v>
      </x:c>
      <x:c r="AU313" s="7" t="str">
        <x:v>2025-01-21 15:05:00-06:00</x:v>
      </x:c>
      <x:c r="AV313" s="8" t="str">
        <x:v>1</x:v>
      </x:c>
      <x:c r="AW313" s="6" t="str">
        <x:v>Immediate retest (1 bar)</x:v>
      </x:c>
      <x:c r="AX313" s="6" t="str">
        <x:v>20508.0</x:v>
      </x:c>
      <x:c r="AY313" s="6" t="str">
        <x:v>0.0</x:v>
      </x:c>
      <x:c r="AZ313" s="9" t="str">
        <x:v>0.0</x:v>
      </x:c>
      <x:c r="BA313" s="9" t="str">
        <x:v>0.07707952141760328</x:v>
      </x:c>
      <x:c r="BB313" s="9" t="str">
        <x:v>0.9029315366062098</x:v>
      </x:c>
      <x:c r="BC313" s="9" t="str">
        <x:v>0.2422499244553246</x:v>
      </x:c>
      <x:c r="BD313" s="6" t="str">
        <x:v>0.6463414634146342</x:v>
      </x:c>
      <x:c r="BE313" s="6" t="str">
        <x:v>0.08536585365853659</x:v>
      </x:c>
      <x:c r="BF313" s="9" t="str">
        <x:v>0.07707952141760328</x:v>
      </x:c>
      <x:c r="BG313" s="9" t="str">
        <x:v>0.583602090733282</x:v>
      </x:c>
      <x:c r="BH313" s="6" t="str">
        <x:v>Against trade</x:v>
      </x:c>
      <x:c r="BI313" s="6" t="str">
        <x:v>Exact BOS touch</x:v>
      </x:c>
      <x:c r="BJ313" s="6" t="str">
        <x:v>True</x:v>
      </x:c>
      <x:c r="BK313" s="10" t="str">
        <x:v>False</x:v>
      </x:c>
      <x:c r="BL313" s="6" t="str">
        <x:v>True</x:v>
      </x:c>
      <x:c r="BM313" s="7" t="str">
        <x:v>2025-01-21 15:10:00-06:00</x:v>
      </x:c>
      <x:c r="BN313" s="8" t="str">
        <x:v>1</x:v>
      </x:c>
      <x:c r="BO313" s="6" t="str">
        <x:v>Immediate confirmation (1 bar)</x:v>
      </x:c>
      <x:c r="BP313" s="9" t="str">
        <x:v>0.02273467398236747</x:v>
      </x:c>
      <x:c r="BQ313" s="9" t="str">
        <x:v>0.5797341865503705</x:v>
      </x:c>
      <x:c r="BR313" s="10" t="str">
        <x:v>0.0392156862745098</x:v>
      </x:c>
      <x:c r="BS313" s="9" t="str">
        <x:v>0.09093869592946988</x:v>
      </x:c>
      <x:c r="BT313" s="9" t="str">
        <x:v>0.011367336991183735</x:v>
      </x:c>
      <x:c r="BU313" s="9" t="str">
        <x:v>0.35238744672669575</x:v>
      </x:c>
      <x:c r="BV313" s="6" t="str">
        <x:v>With trade</x:v>
      </x:c>
      <x:c r="BW313" s="7" t="str">
        <x:v>2025-01-21 15:10:00-06:00</x:v>
      </x:c>
      <x:c r="BX313" s="6" t="str">
        <x:v>20510.0</x:v>
      </x:c>
      <x:c r="BY313" s="9" t="str">
        <x:v>21.992837917437893</x:v>
      </x:c>
      <x:c r="BZ313" s="9" t="str">
        <x:v>0.54</x:v>
      </x:c>
      <x:c r="CA313" s="6" t="str">
        <x:v>20477.010743123843</x:v>
      </x:c>
      <x:c r="CB313" s="6" t="str">
        <x:v>32.989256876157015</x:v>
      </x:c>
      <x:c r="CC313" s="9" t="str">
        <x:v>1.500000000000008</x:v>
      </x:c>
      <x:c r="CD313" s="6" t="str">
        <x:v>20575.978513752314</x:v>
      </x:c>
      <x:c r="CE313" s="6" t="str">
        <x:v>65.97851375231403</x:v>
      </x:c>
      <x:c r="CF313" s="6" t="str">
        <x:v>Fixed 2.00R target</x:v>
      </x:c>
      <x:c r="CG313" s="9" t="str">
        <x:v>0.021976851516288434</x:v>
      </x:c>
      <x:c r="CH313" s="9" t="str">
        <x:v>1.2958764169949457</x:v>
      </x:c>
      <x:c r="CI313" s="9" t="str">
        <x:v>1.2738995654786573</x:v>
      </x:c>
      <x:c r="CJ313" s="6" t="str">
        <x:v>Win</x:v>
      </x:c>
      <x:c r="CK313" s="9" t="str">
        <x:v>1.902134389858068</x:v>
      </x:c>
      <x:c r="CL313" s="9" t="str">
        <x:v>0.3107072110923538</x:v>
      </x:c>
      <x:c r="CM313" s="7" t="str">
        <x:v>2025-01-21 17:10:00-06:00</x:v>
      </x:c>
      <x:c r="CN313" s="6" t="str">
        <x:v>20552.75</x:v>
      </x:c>
      <x:c r="CO313" s="6" t="str">
        <x:v>TIME</x:v>
      </x:c>
      <x:c r="CP313" s="6" t="str">
        <x:v>F::Long::Same-bar Setup+BOS::Exact BOS touch</x:v>
      </x:c>
    </x:row>
    <x:row r="314" ht="18" customHeight="1">
      <x:c r="A314" s="6" t="str">
        <x:v>A0313</x:v>
      </x:c>
      <x:c r="B314" s="6" t="str">
        <x:v>2025-01-23</x:v>
      </x:c>
      <x:c r="C314" s="6" t="str">
        <x:v>2025</x:v>
      </x:c>
      <x:c r="D314" s="6" t="str">
        <x:v>2025-Q1</x:v>
      </x:c>
      <x:c r="E314" s="6" t="str">
        <x:v>First 50%</x:v>
      </x:c>
      <x:c r="F314" s="6" t="str">
        <x:v>Long</x:v>
      </x:c>
      <x:c r="G314" s="6" t="str">
        <x:v>Long</x:v>
      </x:c>
      <x:c r="H314" s="6" t="str">
        <x:v>Overnight</x:v>
      </x:c>
      <x:c r="I314" s="6" t="str">
        <x:v>Overnight</x:v>
      </x:c>
      <x:c r="J314" s="6" t="str">
        <x:v>Bull</x:v>
      </x:c>
      <x:c r="K314" s="6" t="str">
        <x:v>Bull</x:v>
      </x:c>
      <x:c r="L314" s="6" t="str">
        <x:v>LOW</x:v>
      </x:c>
      <x:c r="M314" s="7" t="str">
        <x:v>2025-01-23 19:05:00-06:00</x:v>
      </x:c>
      <x:c r="N314" s="6" t="str">
        <x:v>90.0</x:v>
      </x:c>
      <x:c r="O314" s="6" t="str">
        <x:v>90-94</x:v>
      </x:c>
      <x:c r="P314" s="6" t="str">
        <x:v>Matching BOS only</x:v>
      </x:c>
      <x:c r="Q314" s="6" t="str">
        <x:v>Bull CHoCH</x:v>
      </x:c>
      <x:c r="R314" s="6" t="str">
        <x:v>True</x:v>
      </x:c>
      <x:c r="S314" s="6" t="str">
        <x:v>False</x:v>
      </x:c>
      <x:c r="T314" s="6" t="str">
        <x:v>Recent SSL</x:v>
      </x:c>
      <x:c r="U314" s="6" t="str">
        <x:v>SSL</x:v>
      </x:c>
      <x:c r="V314" s="6" t="str">
        <x:v>Swing low / sell-side</x:v>
      </x:c>
      <x:c r="W314" s="6" t="str">
        <x:v>[20748.25]</x:v>
      </x:c>
      <x:c r="X314" s="8" t="str">
        <x:v>1</x:v>
      </x:c>
      <x:c r="Y314" s="8" t="str">
        <x:v>2.0</x:v>
      </x:c>
      <x:c r="Z314" s="6" t="str">
        <x:v>None</x:v>
      </x:c>
      <x:c r="AA314" s="6" t="str">
        <x:v>20767.25</x:v>
      </x:c>
      <x:c r="AB314" s="9" t="str">
        <x:v>0.5340058406406081</x:v>
      </x:c>
      <x:c r="AC314" s="9" t="str">
        <x:v>1.6613515042152254</x:v>
      </x:c>
      <x:c r="AD314" s="9" t="str">
        <x:v>1.780019468802027</x:v>
      </x:c>
      <x:c r="AE314" s="6" t="str">
        <x:v>With trade</x:v>
      </x:c>
      <x:c r="AF314" s="7" t="str">
        <x:v>2025-01-23 19:05:00-06:00</x:v>
      </x:c>
      <x:c r="AG314" s="6" t="str">
        <x:v>Long</x:v>
      </x:c>
      <x:c r="AH314" s="6" t="str">
        <x:v>20767.25</x:v>
      </x:c>
      <x:c r="AI314" s="8" t="str">
        <x:v>0</x:v>
      </x:c>
      <x:c r="AJ314" s="6" t="str">
        <x:v>True</x:v>
      </x:c>
      <x:c r="AK314" s="6" t="str">
        <x:v>Same-bar Setup+BOS</x:v>
      </x:c>
      <x:c r="AL314" s="9" t="str">
        <x:v>1.6613515042152254</x:v>
      </x:c>
      <x:c r="AM314" s="9" t="str">
        <x:v>0.5340058406406081</x:v>
      </x:c>
      <x:c r="AN314" s="9" t="str">
        <x:v>1.6613515042152254</x:v>
      </x:c>
      <x:c r="AO314" s="9" t="str">
        <x:v>1.780019468802027</x:v>
      </x:c>
      <x:c r="AP314" s="10" t="str">
        <x:v>0.9333333333333333</x:v>
      </x:c>
      <x:c r="AQ314" s="6" t="str">
        <x:v>0.03333333333333333</x:v>
      </x:c>
      <x:c r="AR314" s="6" t="str">
        <x:v>0.03333333333333333</x:v>
      </x:c>
      <x:c r="AS314" s="6" t="str">
        <x:v>With trade</x:v>
      </x:c>
      <x:c r="AT314" s="6" t="str">
        <x:v>3.8517605995277693</x:v>
      </x:c>
      <x:c r="AU314" s="7" t="str">
        <x:v>2025-01-23 19:10:00-06:00</x:v>
      </x:c>
      <x:c r="AV314" s="8" t="str">
        <x:v>1</x:v>
      </x:c>
      <x:c r="AW314" s="6" t="str">
        <x:v>Immediate retest (1 bar)</x:v>
      </x:c>
      <x:c r="AX314" s="6" t="str">
        <x:v>20768.0</x:v>
      </x:c>
      <x:c r="AY314" s="6" t="str">
        <x:v>0.0</x:v>
      </x:c>
      <x:c r="AZ314" s="9" t="str">
        <x:v>0.0</x:v>
      </x:c>
      <x:c r="BA314" s="9" t="str">
        <x:v>1.4790811969903317</x:v>
      </x:c>
      <x:c r="BB314" s="9" t="str">
        <x:v>1.5359689353361137</x:v>
      </x:c>
      <x:c r="BC314" s="9" t="str">
        <x:v>1.0239792902240759</x:v>
      </x:c>
      <x:c r="BD314" s="6" t="str">
        <x:v>0.09259259259259259</x:v>
      </x:c>
      <x:c r="BE314" s="6" t="str">
        <x:v>0.24074074074074073</x:v>
      </x:c>
      <x:c r="BF314" s="9" t="str">
        <x:v>0.3697702992475829</x:v>
      </x:c>
      <x:c r="BG314" s="9" t="str">
        <x:v>0.14221934586445498</x:v>
      </x:c>
      <x:c r="BH314" s="6" t="str">
        <x:v>With trade</x:v>
      </x:c>
      <x:c r="BI314" s="6" t="str">
        <x:v>Tolerance-only shallow touch</x:v>
      </x:c>
      <x:c r="BJ314" s="6" t="str">
        <x:v>True</x:v>
      </x:c>
      <x:c r="BK314" s="10" t="str">
        <x:v>False</x:v>
      </x:c>
      <x:c r="BL314" s="6" t="str">
        <x:v>True</x:v>
      </x:c>
      <x:c r="BM314" s="7" t="str">
        <x:v>2025-01-23 19:15:00-06:00</x:v>
      </x:c>
      <x:c r="BN314" s="8" t="str">
        <x:v>1</x:v>
      </x:c>
      <x:c r="BO314" s="6" t="str">
        <x:v>Immediate confirmation (1 bar)</x:v>
      </x:c>
      <x:c r="BP314" s="9" t="str">
        <x:v>0.14197616816863942</x:v>
      </x:c>
      <x:c r="BQ314" s="9" t="str">
        <x:v>1.022228410814204</x:v>
      </x:c>
      <x:c r="BR314" s="10" t="str">
        <x:v>0.1388888888888889</x:v>
      </x:c>
      <x:c r="BS314" s="9" t="str">
        <x:v>1.6753187843899453</x:v>
      </x:c>
      <x:c r="BT314" s="9" t="str">
        <x:v>0.19876663543609518</x:v>
      </x:c>
      <x:c r="BU314" s="9" t="str">
        <x:v>0.3691380372384625</x:v>
      </x:c>
      <x:c r="BV314" s="6" t="str">
        <x:v>With trade</x:v>
      </x:c>
      <x:c r="BW314" s="7" t="str">
        <x:v>2025-01-23 19:15:00-06:00</x:v>
      </x:c>
      <x:c r="BX314" s="6" t="str">
        <x:v>20782.0</x:v>
      </x:c>
      <x:c r="BY314" s="9" t="str">
        <x:v>8.804294524382774</x:v>
      </x:c>
      <x:c r="BZ314" s="9" t="str">
        <x:v>0.13</x:v>
      </x:c>
      <x:c r="CA314" s="6" t="str">
        <x:v>20768.793558213427</x:v>
      </x:c>
      <x:c r="CB314" s="6" t="str">
        <x:v>13.206441786573123</x:v>
      </x:c>
      <x:c r="CC314" s="9" t="str">
        <x:v>1.499999999999882</x:v>
      </x:c>
      <x:c r="CD314" s="6" t="str">
        <x:v>20808.41288357315</x:v>
      </x:c>
      <x:c r="CE314" s="6" t="str">
        <x:v>26.412883573149884</x:v>
      </x:c>
      <x:c r="CF314" s="6" t="str">
        <x:v>Fixed 2.00R target</x:v>
      </x:c>
      <x:c r="CG314" s="9" t="str">
        <x:v>0.05489745169187823</x:v>
      </x:c>
      <x:c r="CH314" s="9" t="str">
        <x:v>-1.0</x:v>
      </x:c>
      <x:c r="CI314" s="9" t="str">
        <x:v>-1.0548974516918783</x:v>
      </x:c>
      <x:c r="CJ314" s="6" t="str">
        <x:v>Loss</x:v>
      </x:c>
      <x:c r="CK314" s="9" t="str">
        <x:v>0.2650221805814811</x:v>
      </x:c>
      <x:c r="CL314" s="9" t="str">
        <x:v>1.3251109029074055</x:v>
      </x:c>
      <x:c r="CM314" s="7" t="str">
        <x:v>2025-01-23 19:30:00-06:00</x:v>
      </x:c>
      <x:c r="CN314" s="6" t="str">
        <x:v>20768.793558213427</x:v>
      </x:c>
      <x:c r="CO314" s="6" t="str">
        <x:v>STOP</x:v>
      </x:c>
      <x:c r="CP314" s="6" t="str">
        <x:v>F::Long::Same-bar Setup+BOS::Tolerance-only shallow touch</x:v>
      </x:c>
    </x:row>
    <x:row r="315" ht="18" customHeight="1">
      <x:c r="A315" s="6" t="str">
        <x:v>A0314</x:v>
      </x:c>
      <x:c r="B315" s="6" t="str">
        <x:v>2025-01-24</x:v>
      </x:c>
      <x:c r="C315" s="6" t="str">
        <x:v>2025</x:v>
      </x:c>
      <x:c r="D315" s="6" t="str">
        <x:v>2025-Q1</x:v>
      </x:c>
      <x:c r="E315" s="6" t="str">
        <x:v>First 50%</x:v>
      </x:c>
      <x:c r="F315" s="6" t="str">
        <x:v>Long</x:v>
      </x:c>
      <x:c r="G315" s="6" t="str">
        <x:v>Long</x:v>
      </x:c>
      <x:c r="H315" s="6" t="str">
        <x:v>Overnight</x:v>
      </x:c>
      <x:c r="I315" s="6" t="str">
        <x:v>Overnight</x:v>
      </x:c>
      <x:c r="J315" s="6" t="str">
        <x:v>Bull</x:v>
      </x:c>
      <x:c r="K315" s="6" t="str">
        <x:v>Bull</x:v>
      </x:c>
      <x:c r="L315" s="6" t="str">
        <x:v>MID</x:v>
      </x:c>
      <x:c r="M315" s="7" t="str">
        <x:v>2025-01-24 03:15:00-06:00</x:v>
      </x:c>
      <x:c r="N315" s="6" t="str">
        <x:v>75.0</x:v>
      </x:c>
      <x:c r="O315" s="6" t="str">
        <x:v>75-79</x:v>
      </x:c>
      <x:c r="P315" s="6" t="str">
        <x:v>Matching BOS only</x:v>
      </x:c>
      <x:c r="Q315" s="6" t="str">
        <x:v>Bull CHoCH</x:v>
      </x:c>
      <x:c r="R315" s="6" t="str">
        <x:v>True</x:v>
      </x:c>
      <x:c r="S315" s="6" t="str">
        <x:v>False</x:v>
      </x:c>
      <x:c r="T315" s="6" t="str">
        <x:v>Recent SSL</x:v>
      </x:c>
      <x:c r="U315" s="6" t="str">
        <x:v>SSL</x:v>
      </x:c>
      <x:c r="V315" s="6" t="str">
        <x:v>Swing low / sell-side</x:v>
      </x:c>
      <x:c r="W315" s="6" t="str">
        <x:v>[20731.75]</x:v>
      </x:c>
      <x:c r="X315" s="8" t="str">
        <x:v>1</x:v>
      </x:c>
      <x:c r="Y315" s="8" t="str">
        <x:v>17.0</x:v>
      </x:c>
      <x:c r="Z315" s="6" t="str">
        <x:v>None</x:v>
      </x:c>
      <x:c r="AA315" s="6" t="str">
        <x:v>20760.75</x:v>
      </x:c>
      <x:c r="AB315" s="9" t="str">
        <x:v>0.41172779315519803</x:v>
      </x:c>
      <x:c r="AC315" s="9" t="str">
        <x:v>0.6539206126582557</x:v>
      </x:c>
      <x:c r="AD315" s="9" t="str">
        <x:v>0.8718941502110077</x:v>
      </x:c>
      <x:c r="AE315" s="6" t="str">
        <x:v>With trade</x:v>
      </x:c>
      <x:c r="AF315" s="7" t="str">
        <x:v>2025-01-24 03:15:00-06:00</x:v>
      </x:c>
      <x:c r="AG315" s="6" t="str">
        <x:v>Long</x:v>
      </x:c>
      <x:c r="AH315" s="6" t="str">
        <x:v>20760.75</x:v>
      </x:c>
      <x:c r="AI315" s="8" t="str">
        <x:v>0</x:v>
      </x:c>
      <x:c r="AJ315" s="6" t="str">
        <x:v>True</x:v>
      </x:c>
      <x:c r="AK315" s="6" t="str">
        <x:v>Same-bar Setup+BOS</x:v>
      </x:c>
      <x:c r="AL315" s="9" t="str">
        <x:v>0.62970133070795</x:v>
      </x:c>
      <x:c r="AM315" s="9" t="str">
        <x:v>0.41172779315519803</x:v>
      </x:c>
      <x:c r="AN315" s="9" t="str">
        <x:v>0.6539206126582557</x:v>
      </x:c>
      <x:c r="AO315" s="9" t="str">
        <x:v>0.8718941502110077</x:v>
      </x:c>
      <x:c r="AP315" s="10" t="str">
        <x:v>0.75</x:v>
      </x:c>
      <x:c r="AQ315" s="6" t="str">
        <x:v>0.1388888888888889</x:v>
      </x:c>
      <x:c r="AR315" s="6" t="str">
        <x:v>0.1111111111111111</x:v>
      </x:c>
      <x:c r="AS315" s="6" t="str">
        <x:v>With trade</x:v>
      </x:c>
      <x:c r="AT315" s="6" t="str">
        <x:v>1.4114182147711827</x:v>
      </x:c>
      <x:c r="AU315" s="7" t="str">
        <x:v>2025-01-24 03:35:00-06:00</x:v>
      </x:c>
      <x:c r="AV315" s="8" t="str">
        <x:v>4</x:v>
      </x:c>
      <x:c r="AW315" s="6" t="str">
        <x:v>Delayed retest (2+ bars)</x:v>
      </x:c>
      <x:c r="AX315" s="6" t="str">
        <x:v>20759.75</x:v>
      </x:c>
      <x:c r="AY315" s="6" t="str">
        <x:v>1.0</x:v>
      </x:c>
      <x:c r="AZ315" s="9" t="str">
        <x:v>0.10080445970093083</x:v>
      </x:c>
      <x:c r="BA315" s="9" t="str">
        <x:v>0.025201114925232707</x:v>
      </x:c>
      <x:c r="BB315" s="9" t="str">
        <x:v>0.9576423671588429</x:v>
      </x:c>
      <x:c r="BC315" s="9" t="str">
        <x:v>0.8316367925326793</x:v>
      </x:c>
      <x:c r="BD315" s="6" t="str">
        <x:v>0.0</x:v>
      </x:c>
      <x:c r="BE315" s="6" t="str">
        <x:v>0.13157894736842105</x:v>
      </x:c>
      <x:c r="BF315" s="9" t="str">
        <x:v>0.12600557462616352</x:v>
      </x:c>
      <x:c r="BG315" s="9" t="str">
        <x:v>0.0</x:v>
      </x:c>
      <x:c r="BH315" s="6" t="str">
        <x:v>Against trade</x:v>
      </x:c>
      <x:c r="BI315" s="6" t="str">
        <x:v>Penetration + same-bar reclaim</x:v>
      </x:c>
      <x:c r="BJ315" s="6" t="str">
        <x:v>False</x:v>
      </x:c>
      <x:c r="BK315" s="10" t="str">
        <x:v>True</x:v>
      </x:c>
      <x:c r="BL315" s="6" t="str">
        <x:v>True</x:v>
      </x:c>
      <x:c r="BM315" s="7" t="str">
        <x:v>2025-01-24 03:40:00-06:00</x:v>
      </x:c>
      <x:c r="BN315" s="8" t="str">
        <x:v>1</x:v>
      </x:c>
      <x:c r="BO315" s="6" t="str">
        <x:v>Immediate confirmation (1 bar)</x:v>
      </x:c>
      <x:c r="BP315" s="9" t="str">
        <x:v>0.22832283395042316</x:v>
      </x:c>
      <x:c r="BQ315" s="9" t="str">
        <x:v>0.9132913358016926</x:v>
      </x:c>
      <x:c r="BR315" s="10" t="str">
        <x:v>0.25</x:v>
      </x:c>
      <x:c r="BS315" s="9" t="str">
        <x:v>0.27906124149496164</x:v>
      </x:c>
      <x:c r="BT315" s="9" t="str">
        <x:v>0.2536920377226924</x:v>
      </x:c>
      <x:c r="BU315" s="9" t="str">
        <x:v>0.5581224829899233</x:v>
      </x:c>
      <x:c r="BV315" s="6" t="str">
        <x:v>With trade</x:v>
      </x:c>
      <x:c r="BW315" s="7" t="str">
        <x:v>2025-01-24 03:40:00-06:00</x:v>
      </x:c>
      <x:c r="BX315" s="6" t="str">
        <x:v>20763.5</x:v>
      </x:c>
      <x:c r="BY315" s="9" t="str">
        <x:v>9.854467733562528</x:v>
      </x:c>
      <x:c r="BZ315" s="9" t="str">
        <x:v>0.65</x:v>
      </x:c>
      <x:c r="CA315" s="6" t="str">
        <x:v>20748.718298399657</x:v>
      </x:c>
      <x:c r="CB315" s="6" t="str">
        <x:v>14.781701600342785</x:v>
      </x:c>
      <x:c r="CC315" s="9" t="str">
        <x:v>1.4999999999998979</x:v>
      </x:c>
      <x:c r="CD315" s="6" t="str">
        <x:v>20793.06340320069</x:v>
      </x:c>
      <x:c r="CE315" s="6" t="str">
        <x:v>29.56340320068921</x:v>
      </x:c>
      <x:c r="CF315" s="6" t="str">
        <x:v>Fixed 2.00R target</x:v>
      </x:c>
      <x:c r="CG315" s="9" t="str">
        <x:v>0.049047127293057206</x:v>
      </x:c>
      <x:c r="CH315" s="9" t="str">
        <x:v>-1.0</x:v>
      </x:c>
      <x:c r="CI315" s="9" t="str">
        <x:v>-1.0490471272930573</x:v>
      </x:c>
      <x:c r="CJ315" s="6" t="str">
        <x:v>Loss</x:v>
      </x:c>
      <x:c r="CK315" s="9" t="str">
        <x:v>0.03382560502969462</x:v>
      </x:c>
      <x:c r="CL315" s="9" t="str">
        <x:v>1.1669833735244646</x:v>
      </x:c>
      <x:c r="CM315" s="7" t="str">
        <x:v>2025-01-24 04:15:00-06:00</x:v>
      </x:c>
      <x:c r="CN315" s="6" t="str">
        <x:v>20748.718298399657</x:v>
      </x:c>
      <x:c r="CO315" s="6" t="str">
        <x:v>STOP</x:v>
      </x:c>
      <x:c r="CP315" s="6" t="str">
        <x:v>F::Long::Same-bar Setup+BOS::Penetration + same-bar reclaim</x:v>
      </x:c>
    </x:row>
    <x:row r="316" ht="18" customHeight="1">
      <x:c r="A316" s="6" t="str">
        <x:v>A0315</x:v>
      </x:c>
      <x:c r="B316" s="6" t="str">
        <x:v>2025-01-27</x:v>
      </x:c>
      <x:c r="C316" s="6" t="str">
        <x:v>2025</x:v>
      </x:c>
      <x:c r="D316" s="6" t="str">
        <x:v>2025-Q1</x:v>
      </x:c>
      <x:c r="E316" s="6" t="str">
        <x:v>First 50%</x:v>
      </x:c>
      <x:c r="F316" s="6" t="str">
        <x:v>Short</x:v>
      </x:c>
      <x:c r="G316" s="6" t="str">
        <x:v>Short</x:v>
      </x:c>
      <x:c r="H316" s="6" t="str">
        <x:v>Morning</x:v>
      </x:c>
      <x:c r="I316" s="6" t="str">
        <x:v>Opening</x:v>
      </x:c>
      <x:c r="J316" s="6" t="str">
        <x:v>Bear</x:v>
      </x:c>
      <x:c r="K316" s="6" t="str">
        <x:v>Bear</x:v>
      </x:c>
      <x:c r="L316" s="6" t="str">
        <x:v>MID</x:v>
      </x:c>
      <x:c r="M316" s="7" t="str">
        <x:v>2025-01-27 10:20:00-06:00</x:v>
      </x:c>
      <x:c r="N316" s="6" t="str">
        <x:v>100.0</x:v>
      </x:c>
      <x:c r="O316" s="6" t="str">
        <x:v>95+</x:v>
      </x:c>
      <x:c r="P316" s="6" t="str">
        <x:v>Matching BOS only</x:v>
      </x:c>
      <x:c r="Q316" s="6" t="str">
        <x:v>Bear CHoCH</x:v>
      </x:c>
      <x:c r="R316" s="6" t="str">
        <x:v>True</x:v>
      </x:c>
      <x:c r="S316" s="6" t="str">
        <x:v>False</x:v>
      </x:c>
      <x:c r="T316" s="6" t="str">
        <x:v>Recent BSL</x:v>
      </x:c>
      <x:c r="U316" s="6" t="str">
        <x:v>BSL</x:v>
      </x:c>
      <x:c r="V316" s="6" t="str">
        <x:v>Swing high / buy-side</x:v>
      </x:c>
      <x:c r="W316" s="6" t="str">
        <x:v>[20164.5]</x:v>
      </x:c>
      <x:c r="X316" s="8" t="str">
        <x:v>1</x:v>
      </x:c>
      <x:c r="Y316" s="8" t="str">
        <x:v>8.0</x:v>
      </x:c>
      <x:c r="Z316" s="6" t="str">
        <x:v>None</x:v>
      </x:c>
      <x:c r="AA316" s="6" t="str">
        <x:v>19980.5</x:v>
      </x:c>
      <x:c r="AB316" s="9" t="str">
        <x:v>0.10373710665386279</x:v>
      </x:c>
      <x:c r="AC316" s="9" t="str">
        <x:v>0.8200171287876773</x:v>
      </x:c>
      <x:c r="AD316" s="9" t="str">
        <x:v>1.0818298265331405</x:v>
      </x:c>
      <x:c r="AE316" s="6" t="str">
        <x:v>With trade</x:v>
      </x:c>
      <x:c r="AF316" s="7" t="str">
        <x:v>2025-01-27 10:20:00-06:00</x:v>
      </x:c>
      <x:c r="AG316" s="6" t="str">
        <x:v>Short</x:v>
      </x:c>
      <x:c r="AH316" s="6" t="str">
        <x:v>19980.5</x:v>
      </x:c>
      <x:c r="AI316" s="8" t="str">
        <x:v>0</x:v>
      </x:c>
      <x:c r="AJ316" s="6" t="str">
        <x:v>True</x:v>
      </x:c>
      <x:c r="AK316" s="6" t="str">
        <x:v>Same-bar Setup+BOS</x:v>
      </x:c>
      <x:c r="AL316" s="9" t="str">
        <x:v>0.8150772665660648</x:v>
      </x:c>
      <x:c r="AM316" s="9" t="str">
        <x:v>0.10373710665386279</x:v>
      </x:c>
      <x:c r="AN316" s="9" t="str">
        <x:v>0.8200171287876773</x:v>
      </x:c>
      <x:c r="AO316" s="9" t="str">
        <x:v>1.0818298265331405</x:v>
      </x:c>
      <x:c r="AP316" s="10" t="str">
        <x:v>0.7579908675799086</x:v>
      </x:c>
      <x:c r="AQ316" s="6" t="str">
        <x:v>0.1461187214611872</x:v>
      </x:c>
      <x:c r="AR316" s="6" t="str">
        <x:v>0.0958904109589041</x:v>
      </x:c>
      <x:c r="AS316" s="6" t="str">
        <x:v>With trade</x:v>
      </x:c>
      <x:c r="AT316" s="6" t="str">
        <x:v>0.742836603596214</x:v>
      </x:c>
      <x:c r="AU316" s="7" t="str">
        <x:v>2025-01-27 10:25:00-06:00</x:v>
      </x:c>
      <x:c r="AV316" s="8" t="str">
        <x:v>1</x:v>
      </x:c>
      <x:c r="AW316" s="6" t="str">
        <x:v>Immediate retest (1 bar)</x:v>
      </x:c>
      <x:c r="AX316" s="6" t="str">
        <x:v>19979.25</x:v>
      </x:c>
      <x:c r="AY316" s="6" t="str">
        <x:v>0.0</x:v>
      </x:c>
      <x:c r="AZ316" s="9" t="str">
        <x:v>0.0</x:v>
      </x:c>
      <x:c r="BA316" s="9" t="str">
        <x:v>0.3597991624828853</x:v>
      </x:c>
      <x:c r="BB316" s="9" t="str">
        <x:v>0.6638547927501123</x:v>
      </x:c>
      <x:c r="BC316" s="9" t="str">
        <x:v>0.258447285727143</x:v>
      </x:c>
      <x:c r="BD316" s="6" t="str">
        <x:v>0.11450381679389313</x:v>
      </x:c>
      <x:c r="BE316" s="6" t="str">
        <x:v>0.4961832061068702</x:v>
      </x:c>
      <x:c r="BF316" s="9" t="str">
        <x:v>0.07601390756680676</x:v>
      </x:c>
      <x:c r="BG316" s="9" t="str">
        <x:v>0.3293935994561626</x:v>
      </x:c>
      <x:c r="BH316" s="6" t="str">
        <x:v>With trade</x:v>
      </x:c>
      <x:c r="BI316" s="6" t="str">
        <x:v>Tolerance-only shallow touch</x:v>
      </x:c>
      <x:c r="BJ316" s="6" t="str">
        <x:v>True</x:v>
      </x:c>
      <x:c r="BK316" s="10" t="str">
        <x:v>False</x:v>
      </x:c>
      <x:c r="BL316" s="6" t="str">
        <x:v>True</x:v>
      </x:c>
      <x:c r="BM316" s="7" t="str">
        <x:v>2025-01-27 10:35:00-06:00</x:v>
      </x:c>
      <x:c r="BN316" s="8" t="str">
        <x:v>2</x:v>
      </x:c>
      <x:c r="BO316" s="6" t="str">
        <x:v>Delayed confirmation (2+ bars)</x:v>
      </x:c>
      <x:c r="BP316" s="9" t="str">
        <x:v>0.2833495177391652</x:v>
      </x:c>
      <x:c r="BQ316" s="9" t="str">
        <x:v>1.0914203646249327</x:v>
      </x:c>
      <x:c r="BR316" s="10" t="str">
        <x:v>0.25961538461538464</x:v>
      </x:c>
      <x:c r="BS316" s="9" t="str">
        <x:v>0.5824406753527286</x:v>
      </x:c>
      <x:c r="BT316" s="9" t="str">
        <x:v>0.2098885316586409</x:v>
      </x:c>
      <x:c r="BU316" s="9" t="str">
        <x:v>0.6244183816844567</x:v>
      </x:c>
      <x:c r="BV316" s="6" t="str">
        <x:v>With trade</x:v>
      </x:c>
      <x:c r="BW316" s="7" t="str">
        <x:v>2025-01-27 10:35:00-06:00</x:v>
      </x:c>
      <x:c r="BX316" s="6" t="str">
        <x:v>19952.75</x:v>
      </x:c>
      <x:c r="BY316" s="9" t="str">
        <x:v>47.644337310738955</x:v>
      </x:c>
      <x:c r="BZ316" s="9" t="str">
        <x:v>0.64</x:v>
      </x:c>
      <x:c r="CA316" s="6" t="str">
        <x:v>20024.21650596611</x:v>
      </x:c>
      <x:c r="CB316" s="6" t="str">
        <x:v>71.46650596610925</x:v>
      </x:c>
      <x:c r="CC316" s="9" t="str">
        <x:v>1.5000000000000173</x:v>
      </x:c>
      <x:c r="CD316" s="6" t="str">
        <x:v>19809.81698806778</x:v>
      </x:c>
      <x:c r="CE316" s="6" t="str">
        <x:v>142.9330119322185</x:v>
      </x:c>
      <x:c r="CF316" s="6" t="str">
        <x:v>Fixed 2.00R target</x:v>
      </x:c>
      <x:c r="CG316" s="9" t="str">
        <x:v>0.010144612363500862</x:v>
      </x:c>
      <x:c r="CH316" s="9" t="str">
        <x:v>-1.0</x:v>
      </x:c>
      <x:c r="CI316" s="9" t="str">
        <x:v>-1.010144612363501</x:v>
      </x:c>
      <x:c r="CJ316" s="6" t="str">
        <x:v>Loss</x:v>
      </x:c>
      <x:c r="CK316" s="9" t="str">
        <x:v>0.17840525190984274</x:v>
      </x:c>
      <x:c r="CL316" s="9" t="str">
        <x:v>1.1403943553452693</x:v>
      </x:c>
      <x:c r="CM316" s="7" t="str">
        <x:v>2025-01-27 10:45:00-06:00</x:v>
      </x:c>
      <x:c r="CN316" s="6" t="str">
        <x:v>20024.21650596611</x:v>
      </x:c>
      <x:c r="CO316" s="6" t="str">
        <x:v>STOP</x:v>
      </x:c>
      <x:c r="CP316" s="6" t="str">
        <x:v>F::Short::Same-bar Setup+BOS::Tolerance-only shallow touch</x:v>
      </x:c>
    </x:row>
    <x:row r="317" ht="18" customHeight="1">
      <x:c r="A317" s="6" t="str">
        <x:v>A0316</x:v>
      </x:c>
      <x:c r="B317" s="6" t="str">
        <x:v>2025-01-28</x:v>
      </x:c>
      <x:c r="C317" s="6" t="str">
        <x:v>2025</x:v>
      </x:c>
      <x:c r="D317" s="6" t="str">
        <x:v>2025-Q1</x:v>
      </x:c>
      <x:c r="E317" s="6" t="str">
        <x:v>First 50%</x:v>
      </x:c>
      <x:c r="F317" s="6" t="str">
        <x:v>Long</x:v>
      </x:c>
      <x:c r="G317" s="6" t="str">
        <x:v>Long</x:v>
      </x:c>
      <x:c r="H317" s="6" t="str">
        <x:v>Premarket</x:v>
      </x:c>
      <x:c r="I317" s="6" t="str">
        <x:v>Premarket</x:v>
      </x:c>
      <x:c r="J317" s="6" t="str">
        <x:v>Bear</x:v>
      </x:c>
      <x:c r="K317" s="6" t="str">
        <x:v>Bear</x:v>
      </x:c>
      <x:c r="L317" s="6" t="str">
        <x:v>HIGH</x:v>
      </x:c>
      <x:c r="M317" s="7" t="str">
        <x:v>2025-01-28 09:00:00-06:00</x:v>
      </x:c>
      <x:c r="N317" s="6" t="str">
        <x:v>90.0</x:v>
      </x:c>
      <x:c r="O317" s="6" t="str">
        <x:v>90-94</x:v>
      </x:c>
      <x:c r="P317" s="6" t="str">
        <x:v>Matching BOS only</x:v>
      </x:c>
      <x:c r="Q317" s="6" t="str">
        <x:v>Bull CHoCH</x:v>
      </x:c>
      <x:c r="R317" s="6" t="str">
        <x:v>True</x:v>
      </x:c>
      <x:c r="S317" s="6" t="str">
        <x:v>False</x:v>
      </x:c>
      <x:c r="T317" s="6" t="str">
        <x:v>Recent SSL</x:v>
      </x:c>
      <x:c r="U317" s="6" t="str">
        <x:v>SSL</x:v>
      </x:c>
      <x:c r="V317" s="6" t="str">
        <x:v>Swing low / sell-side</x:v>
      </x:c>
      <x:c r="W317" s="6" t="str">
        <x:v>[19998.75,20010.25]</x:v>
      </x:c>
      <x:c r="X317" s="8" t="str">
        <x:v>2</x:v>
      </x:c>
      <x:c r="Y317" s="8" t="str">
        <x:v>6.0</x:v>
      </x:c>
      <x:c r="Z317" s="6" t="str">
        <x:v>None</x:v>
      </x:c>
      <x:c r="AA317" s="6" t="str">
        <x:v>20072.0</x:v>
      </x:c>
      <x:c r="AB317" s="9" t="str">
        <x:v>0.9395975481909579</x:v>
      </x:c>
      <x:c r="AC317" s="9" t="str">
        <x:v>1.8220574076405738</x:v>
      </x:c>
      <x:c r="AD317" s="9" t="str">
        <x:v>2.069654058853056</x:v>
      </x:c>
      <x:c r="AE317" s="6" t="str">
        <x:v>With trade</x:v>
      </x:c>
      <x:c r="AF317" s="7" t="str">
        <x:v>2025-01-28 09:00:00-06:00</x:v>
      </x:c>
      <x:c r="AG317" s="6" t="str">
        <x:v>Long</x:v>
      </x:c>
      <x:c r="AH317" s="6" t="str">
        <x:v>20072.0</x:v>
      </x:c>
      <x:c r="AI317" s="8" t="str">
        <x:v>0</x:v>
      </x:c>
      <x:c r="AJ317" s="6" t="str">
        <x:v>True</x:v>
      </x:c>
      <x:c r="AK317" s="6" t="str">
        <x:v>Same-bar Setup+BOS</x:v>
      </x:c>
      <x:c r="AL317" s="9" t="str">
        <x:v>1.8664978322171732</x:v>
      </x:c>
      <x:c r="AM317" s="9" t="str">
        <x:v>0.9395975481909579</x:v>
      </x:c>
      <x:c r="AN317" s="9" t="str">
        <x:v>1.8220574076405738</x:v>
      </x:c>
      <x:c r="AO317" s="9" t="str">
        <x:v>2.069654058853056</x:v>
      </x:c>
      <x:c r="AP317" s="10" t="str">
        <x:v>0.8803680981595092</x:v>
      </x:c>
      <x:c r="AQ317" s="6" t="str">
        <x:v>0.0736196319018405</x:v>
      </x:c>
      <x:c r="AR317" s="6" t="str">
        <x:v>0.046012269938650305</x:v>
      </x:c>
      <x:c r="AS317" s="6" t="str">
        <x:v>With trade</x:v>
      </x:c>
      <x:c r="AT317" s="6" t="str">
        <x:v>2.6447918767482443</x:v>
      </x:c>
      <x:c r="AU317" s="7" t="str">
        <x:v>2025-01-28 09:05:00-06:00</x:v>
      </x:c>
      <x:c r="AV317" s="8" t="str">
        <x:v>1</x:v>
      </x:c>
      <x:c r="AW317" s="6" t="str">
        <x:v>Immediate retest (1 bar)</x:v>
      </x:c>
      <x:c r="AX317" s="6" t="str">
        <x:v>20066.25</x:v>
      </x:c>
      <x:c r="AY317" s="6" t="str">
        <x:v>5.75</x:v>
      </x:c>
      <x:c r="AZ317" s="9" t="str">
        <x:v>0.1423717142412027</x:v>
      </x:c>
      <x:c r="BA317" s="9" t="str">
        <x:v>-0.018570223596678617</x:v>
      </x:c>
      <x:c r="BB317" s="9" t="str">
        <x:v>1.3246759498964078</x:v>
      </x:c>
      <x:c r="BC317" s="9" t="str">
        <x:v>0.9470814034306094</x:v>
      </x:c>
      <x:c r="BD317" s="6" t="str">
        <x:v>0.19158878504672897</x:v>
      </x:c>
      <x:c r="BE317" s="6" t="str">
        <x:v>0.09345794392523364</x:v>
      </x:c>
      <x:c r="BF317" s="9" t="str">
        <x:v>0.1238014906445241</x:v>
      </x:c>
      <x:c r="BG317" s="9" t="str">
        <x:v>0.2537930558212744</x:v>
      </x:c>
      <x:c r="BH317" s="6" t="str">
        <x:v>Against trade</x:v>
      </x:c>
      <x:c r="BI317" s="6" t="str">
        <x:v>Penetration without same-bar reclaim</x:v>
      </x:c>
      <x:c r="BJ317" s="6" t="str">
        <x:v>False</x:v>
      </x:c>
      <x:c r="BK317" s="10" t="str">
        <x:v>True</x:v>
      </x:c>
      <x:c r="BL317" s="6" t="str">
        <x:v>False</x:v>
      </x:c>
      <x:c r="BM317" s="7" t="str">
        <x:v>2025-01-28 09:10:00-06:00</x:v>
      </x:c>
      <x:c r="BN317" s="8" t="str">
        <x:v>1</x:v>
      </x:c>
      <x:c r="BO317" s="6" t="str">
        <x:v>Immediate confirmation (1 bar)</x:v>
      </x:c>
      <x:c r="BP317" s="9" t="str">
        <x:v>1.3304279639337573</x:v>
      </x:c>
      <x:c r="BQ317" s="9" t="str">
        <x:v>1.5264285121918555</x:v>
      </x:c>
      <x:c r="BR317" s="10" t="str">
        <x:v>0.8715953307392996</x:v>
      </x:c>
      <x:c r="BS317" s="9" t="str">
        <x:v>1.3066703217206546</x:v>
      </x:c>
      <x:c r="BT317" s="9" t="str">
        <x:v>1.3244885533804815</x:v>
      </x:c>
      <x:c r="BU317" s="9" t="str">
        <x:v>0.041575873872929915</x:v>
      </x:c>
      <x:c r="BV317" s="6" t="str">
        <x:v>With trade</x:v>
      </x:c>
      <x:c r="BW317" s="7" t="str">
        <x:v>2025-01-28 09:10:00-06:00</x:v>
      </x:c>
      <x:c r="BX317" s="6" t="str">
        <x:v>20127.0</x:v>
      </x:c>
      <x:c r="BY317" s="9" t="str">
        <x:v>42.0917189942561</x:v>
      </x:c>
      <x:c r="BZ317" s="9" t="str">
        <x:v>1.0</x:v>
      </x:c>
      <x:c r="CA317" s="6" t="str">
        <x:v>20063.862421508617</x:v>
      </x:c>
      <x:c r="CB317" s="6" t="str">
        <x:v>63.137578491383465</x:v>
      </x:c>
      <x:c r="CC317" s="9" t="str">
        <x:v>1.4999999999999838</x:v>
      </x:c>
      <x:c r="CD317" s="6" t="str">
        <x:v>20253.275156982767</x:v>
      </x:c>
      <x:c r="CE317" s="6" t="str">
        <x:v>126.27515698276693</x:v>
      </x:c>
      <x:c r="CF317" s="6" t="str">
        <x:v>Fixed 2.00R target</x:v>
      </x:c>
      <x:c r="CG317" s="9" t="str">
        <x:v>0.011482860402999815</x:v>
      </x:c>
      <x:c r="CH317" s="9" t="str">
        <x:v>1.1878821106551405</x:v>
      </x:c>
      <x:c r="CI317" s="9" t="str">
        <x:v>1.1763992502521408</x:v>
      </x:c>
      <x:c r="CJ317" s="6" t="str">
        <x:v>Win</x:v>
      </x:c>
      <x:c r="CK317" s="9" t="str">
        <x:v>1.6986714182368692</x:v>
      </x:c>
      <x:c r="CL317" s="9" t="str">
        <x:v>0.24549563620206502</x:v>
      </x:c>
      <x:c r="CM317" s="7" t="str">
        <x:v>2025-01-28 10:10:00-06:00</x:v>
      </x:c>
      <x:c r="CN317" s="6" t="str">
        <x:v>20202.0</x:v>
      </x:c>
      <x:c r="CO317" s="6" t="str">
        <x:v>TIME</x:v>
      </x:c>
      <x:c r="CP317" s="6" t="str">
        <x:v>F::Long::Same-bar Setup+BOS::Penetration without same-bar reclaim</x:v>
      </x:c>
    </x:row>
    <x:row r="318" ht="18" customHeight="1">
      <x:c r="A318" s="6" t="str">
        <x:v>A0317</x:v>
      </x:c>
      <x:c r="B318" s="6" t="str">
        <x:v>2025-01-30</x:v>
      </x:c>
      <x:c r="C318" s="6" t="str">
        <x:v>2025</x:v>
      </x:c>
      <x:c r="D318" s="6" t="str">
        <x:v>2025-Q1</x:v>
      </x:c>
      <x:c r="E318" s="6" t="str">
        <x:v>First 50%</x:v>
      </x:c>
      <x:c r="F318" s="6" t="str">
        <x:v>Short</x:v>
      </x:c>
      <x:c r="G318" s="6" t="str">
        <x:v>Short</x:v>
      </x:c>
      <x:c r="H318" s="6" t="str">
        <x:v>Premarket</x:v>
      </x:c>
      <x:c r="I318" s="6" t="str">
        <x:v>Premarket</x:v>
      </x:c>
      <x:c r="J318" s="6" t="str">
        <x:v>Bull</x:v>
      </x:c>
      <x:c r="K318" s="6" t="str">
        <x:v>Bull</x:v>
      </x:c>
      <x:c r="L318" s="6" t="str">
        <x:v>HIGH</x:v>
      </x:c>
      <x:c r="M318" s="7" t="str">
        <x:v>2025-01-30 09:00:00-06:00</x:v>
      </x:c>
      <x:c r="N318" s="6" t="str">
        <x:v>90.0</x:v>
      </x:c>
      <x:c r="O318" s="6" t="str">
        <x:v>90-94</x:v>
      </x:c>
      <x:c r="P318" s="6" t="str">
        <x:v>Matching BOS only</x:v>
      </x:c>
      <x:c r="Q318" s="6" t="str">
        <x:v>Bear CHoCH</x:v>
      </x:c>
      <x:c r="R318" s="6" t="str">
        <x:v>True</x:v>
      </x:c>
      <x:c r="S318" s="6" t="str">
        <x:v>False</x:v>
      </x:c>
      <x:c r="T318" s="6" t="str">
        <x:v>Recent BSL</x:v>
      </x:c>
      <x:c r="U318" s="6" t="str">
        <x:v>BSL</x:v>
      </x:c>
      <x:c r="V318" s="6" t="str">
        <x:v>Swing high / buy-side</x:v>
      </x:c>
      <x:c r="W318" s="6" t="str">
        <x:v>[20423.25]</x:v>
      </x:c>
      <x:c r="X318" s="8" t="str">
        <x:v>1</x:v>
      </x:c>
      <x:c r="Y318" s="8" t="str">
        <x:v>12.0</x:v>
      </x:c>
      <x:c r="Z318" s="6" t="str">
        <x:v>None</x:v>
      </x:c>
      <x:c r="AA318" s="6" t="str">
        <x:v>20357.75</x:v>
      </x:c>
      <x:c r="AB318" s="9" t="str">
        <x:v>0.16591117513619613</x:v>
      </x:c>
      <x:c r="AC318" s="9" t="str">
        <x:v>1.6867636138846607</x:v>
      </x:c>
      <x:c r="AD318" s="9" t="str">
        <x:v>2.488667627042942</x:v>
      </x:c>
      <x:c r="AE318" s="6" t="str">
        <x:v>With trade</x:v>
      </x:c>
      <x:c r="AF318" s="7" t="str">
        <x:v>2025-01-30 09:00:00-06:00</x:v>
      </x:c>
      <x:c r="AG318" s="6" t="str">
        <x:v>Short</x:v>
      </x:c>
      <x:c r="AH318" s="6" t="str">
        <x:v>20357.75</x:v>
      </x:c>
      <x:c r="AI318" s="8" t="str">
        <x:v>0</x:v>
      </x:c>
      <x:c r="AJ318" s="6" t="str">
        <x:v>True</x:v>
      </x:c>
      <x:c r="AK318" s="6" t="str">
        <x:v>Same-bar Setup+BOS</x:v>
      </x:c>
      <x:c r="AL318" s="9" t="str">
        <x:v>1.6867636138846607</x:v>
      </x:c>
      <x:c r="AM318" s="9" t="str">
        <x:v>0.16591117513619613</x:v>
      </x:c>
      <x:c r="AN318" s="9" t="str">
        <x:v>1.6867636138846607</x:v>
      </x:c>
      <x:c r="AO318" s="9" t="str">
        <x:v>2.488667627042942</x:v>
      </x:c>
      <x:c r="AP318" s="10" t="str">
        <x:v>0.6777777777777778</x:v>
      </x:c>
      <x:c r="AQ318" s="6" t="str">
        <x:v>0.02</x:v>
      </x:c>
      <x:c r="AR318" s="6" t="str">
        <x:v>0.3022222222222222</x:v>
      </x:c>
      <x:c r="AS318" s="6" t="str">
        <x:v>With trade</x:v>
      </x:c>
      <x:c r="AT318" s="6" t="str">
        <x:v>3.774779735682819</x:v>
      </x:c>
      <x:c r="AU318" s="7" t="str">
        <x:v>2025-01-30 09:05:00-06:00</x:v>
      </x:c>
      <x:c r="AV318" s="8" t="str">
        <x:v>1</x:v>
      </x:c>
      <x:c r="AW318" s="6" t="str">
        <x:v>Immediate retest (1 bar)</x:v>
      </x:c>
      <x:c r="AX318" s="6" t="str">
        <x:v>20360.75</x:v>
      </x:c>
      <x:c r="AY318" s="6" t="str">
        <x:v>3.0</x:v>
      </x:c>
      <x:c r="AZ318" s="9" t="str">
        <x:v>0.06710188626621928</x:v>
      </x:c>
      <x:c r="BA318" s="9" t="str">
        <x:v>0.3411012551866147</x:v>
      </x:c>
      <x:c r="BB318" s="9" t="str">
        <x:v>0.8555490498942959</x:v>
      </x:c>
      <x:c r="BC318" s="9" t="str">
        <x:v>0.15097924409899338</x:v>
      </x:c>
      <x:c r="BD318" s="6" t="str">
        <x:v>0.3006535947712418</x:v>
      </x:c>
      <x:c r="BE318" s="6" t="str">
        <x:v>0.5228758169934641</x:v>
      </x:c>
      <x:c r="BF318" s="9" t="str">
        <x:v>0.2572238973538406</x:v>
      </x:c>
      <x:c r="BG318" s="9" t="str">
        <x:v>0.4473459084414619</x:v>
      </x:c>
      <x:c r="BH318" s="6" t="str">
        <x:v>With trade</x:v>
      </x:c>
      <x:c r="BI318" s="6" t="str">
        <x:v>Penetration + same-bar reclaim</x:v>
      </x:c>
      <x:c r="BJ318" s="6" t="str">
        <x:v>False</x:v>
      </x:c>
      <x:c r="BK318" s="10" t="str">
        <x:v>True</x:v>
      </x:c>
      <x:c r="BL318" s="6" t="str">
        <x:v>True</x:v>
      </x:c>
      <x:c r="BM318" s="7" t="str">
        <x:v>2025-01-30 09:15:00-06:00</x:v>
      </x:c>
      <x:c r="BN318" s="8" t="str">
        <x:v>2</x:v>
      </x:c>
      <x:c r="BO318" s="6" t="str">
        <x:v>Delayed confirmation (2+ bars)</x:v>
      </x:c>
      <x:c r="BP318" s="9" t="str">
        <x:v>0.5266477936368144</x:v>
      </x:c>
      <x:c r="BQ318" s="9" t="str">
        <x:v>0.9978589774171218</x:v>
      </x:c>
      <x:c r="BR318" s="10" t="str">
        <x:v>0.5277777777777778</x:v>
      </x:c>
      <x:c r="BS318" s="9" t="str">
        <x:v>0.7040449451776359</x:v>
      </x:c>
      <x:c r="BT318" s="9" t="str">
        <x:v>0.3658816250529447</x:v>
      </x:c>
      <x:c r="BU318" s="9" t="str">
        <x:v>0.13859152464126692</x:v>
      </x:c>
      <x:c r="BV318" s="6" t="str">
        <x:v>With trade</x:v>
      </x:c>
      <x:c r="BW318" s="7" t="str">
        <x:v>2025-01-30 09:15:00-06:00</x:v>
      </x:c>
      <x:c r="BX318" s="6" t="str">
        <x:v>20326.0</x:v>
      </x:c>
      <x:c r="BY318" s="9" t="str">
        <x:v>45.09655273782163</x:v>
      </x:c>
      <x:c r="BZ318" s="9" t="str">
        <x:v>0.98</x:v>
      </x:c>
      <x:c r="CA318" s="6" t="str">
        <x:v>20393.64482910673</x:v>
      </x:c>
      <x:c r="CB318" s="6" t="str">
        <x:v>67.64482910673178</x:v>
      </x:c>
      <x:c r="CC318" s="9" t="str">
        <x:v>1.4999999999999851</x:v>
      </x:c>
      <x:c r="CD318" s="6" t="str">
        <x:v>20190.710341786536</x:v>
      </x:c>
      <x:c r="CE318" s="6" t="str">
        <x:v>135.28965821346355</x:v>
      </x:c>
      <x:c r="CF318" s="6" t="str">
        <x:v>Fixed 2.00R target</x:v>
      </x:c>
      <x:c r="CG318" s="9" t="str">
        <x:v>0.010717744572258082</x:v>
      </x:c>
      <x:c r="CH318" s="9" t="str">
        <x:v>2.0</x:v>
      </x:c>
      <x:c r="CI318" s="9" t="str">
        <x:v>1.9892822554277418</x:v>
      </x:c>
      <x:c r="CJ318" s="6" t="str">
        <x:v>Win</x:v>
      </x:c>
      <x:c r="CK318" s="9" t="str">
        <x:v>2.051154564690771</x:v>
      </x:c>
      <x:c r="CL318" s="9" t="str">
        <x:v>0.46197174880422764</x:v>
      </x:c>
      <x:c r="CM318" s="7" t="str">
        <x:v>2025-01-30 10:00:00-06:00</x:v>
      </x:c>
      <x:c r="CN318" s="6" t="str">
        <x:v>20190.710341786536</x:v>
      </x:c>
      <x:c r="CO318" s="6" t="str">
        <x:v>TARGET</x:v>
      </x:c>
      <x:c r="CP318" s="6" t="str">
        <x:v>F::Short::Same-bar Setup+BOS::Penetration + same-bar reclaim</x:v>
      </x:c>
    </x:row>
    <x:row r="319" ht="18" customHeight="1">
      <x:c r="A319" s="6" t="str">
        <x:v>A0318</x:v>
      </x:c>
      <x:c r="B319" s="6" t="str">
        <x:v>2025-01-31</x:v>
      </x:c>
      <x:c r="C319" s="6" t="str">
        <x:v>2025</x:v>
      </x:c>
      <x:c r="D319" s="6" t="str">
        <x:v>2025-Q1</x:v>
      </x:c>
      <x:c r="E319" s="6" t="str">
        <x:v>First 50%</x:v>
      </x:c>
      <x:c r="F319" s="6" t="str">
        <x:v>Short</x:v>
      </x:c>
      <x:c r="G319" s="6" t="str">
        <x:v>Short</x:v>
      </x:c>
      <x:c r="H319" s="6" t="str">
        <x:v>Midday</x:v>
      </x:c>
      <x:c r="I319" s="6" t="str">
        <x:v>Midday</x:v>
      </x:c>
      <x:c r="J319" s="6" t="str">
        <x:v>Bull</x:v>
      </x:c>
      <x:c r="K319" s="6" t="str">
        <x:v>Bull</x:v>
      </x:c>
      <x:c r="L319" s="6" t="str">
        <x:v>HIGH</x:v>
      </x:c>
      <x:c r="M319" s="7" t="str">
        <x:v>2025-01-31 12:15:00-06:00</x:v>
      </x:c>
      <x:c r="N319" s="6" t="str">
        <x:v>75.0</x:v>
      </x:c>
      <x:c r="O319" s="6" t="str">
        <x:v>75-79</x:v>
      </x:c>
      <x:c r="P319" s="6" t="str">
        <x:v>Matching BOS only</x:v>
      </x:c>
      <x:c r="Q319" s="6" t="str">
        <x:v>Bear CHoCH</x:v>
      </x:c>
      <x:c r="R319" s="6" t="str">
        <x:v>True</x:v>
      </x:c>
      <x:c r="S319" s="6" t="str">
        <x:v>False</x:v>
      </x:c>
      <x:c r="T319" s="6" t="str">
        <x:v>No recent matching sweep</x:v>
      </x:c>
      <x:c r="U319" s="6" t="str">
        <x:v>None</x:v>
      </x:c>
      <x:c r="V319" s="6" t="str">
        <x:v>None</x:v>
      </x:c>
      <x:c r="W319" s="6" t="str">
        <x:v>[]</x:v>
      </x:c>
      <x:c r="X319" s="8" t="str">
        <x:v>0</x:v>
      </x:c>
      <x:c r="Y319" s="8" t="str"/>
      <x:c r="Z319" s="6" t="str">
        <x:v>None</x:v>
      </x:c>
      <x:c r="AA319" s="6" t="str">
        <x:v>20617.5</x:v>
      </x:c>
      <x:c r="AB319" s="9" t="str">
        <x:v>0.599412932943171</x:v>
      </x:c>
      <x:c r="AC319" s="9" t="str">
        <x:v>2.267778929634997</x:v>
      </x:c>
      <x:c r="AD319" s="9" t="str">
        <x:v>2.7872701381857454</x:v>
      </x:c>
      <x:c r="AE319" s="6" t="str">
        <x:v>With trade</x:v>
      </x:c>
      <x:c r="AF319" s="7" t="str">
        <x:v>2025-01-31 12:15:00-06:00</x:v>
      </x:c>
      <x:c r="AG319" s="6" t="str">
        <x:v>Short</x:v>
      </x:c>
      <x:c r="AH319" s="6" t="str">
        <x:v>20617.5</x:v>
      </x:c>
      <x:c r="AI319" s="8" t="str">
        <x:v>0</x:v>
      </x:c>
      <x:c r="AJ319" s="6" t="str">
        <x:v>True</x:v>
      </x:c>
      <x:c r="AK319" s="6" t="str">
        <x:v>Same-bar Setup+BOS</x:v>
      </x:c>
      <x:c r="AL319" s="9" t="str">
        <x:v>2.2477984985368913</x:v>
      </x:c>
      <x:c r="AM319" s="9" t="str">
        <x:v>0.599412932943171</x:v>
      </x:c>
      <x:c r="AN319" s="9" t="str">
        <x:v>2.267778929634997</x:v>
      </x:c>
      <x:c r="AO319" s="9" t="str">
        <x:v>2.7872701381857454</x:v>
      </x:c>
      <x:c r="AP319" s="10" t="str">
        <x:v>0.8136200716845878</x:v>
      </x:c>
      <x:c r="AQ319" s="6" t="str">
        <x:v>0.0931899641577061</x:v>
      </x:c>
      <x:c r="AR319" s="6" t="str">
        <x:v>0.0931899641577061</x:v>
      </x:c>
      <x:c r="AS319" s="6" t="str">
        <x:v>With trade</x:v>
      </x:c>
      <x:c r="AT319" s="6" t="str">
        <x:v>1.9256288440574405</x:v>
      </x:c>
      <x:c r="AU319" s="7" t="str">
        <x:v>2025-01-31 12:20:00-06:00</x:v>
      </x:c>
      <x:c r="AV319" s="8" t="str">
        <x:v>1</x:v>
      </x:c>
      <x:c r="AW319" s="6" t="str">
        <x:v>Immediate retest (1 bar)</x:v>
      </x:c>
      <x:c r="AX319" s="6" t="str">
        <x:v>20637.0</x:v>
      </x:c>
      <x:c r="AY319" s="6" t="str">
        <x:v>19.5</x:v>
      </x:c>
      <x:c r="AZ319" s="9" t="str">
        <x:v>0.7062141300554415</x:v>
      </x:c>
      <x:c r="BA319" s="9" t="str">
        <x:v>0.4345933108033487</x:v>
      </x:c>
      <x:c r="BB319" s="9" t="str">
        <x:v>2.2182366905587587</x:v>
      </x:c>
      <x:c r="BC319" s="9" t="str">
        <x:v>0.11770235500924026</x:v>
      </x:c>
      <x:c r="BD319" s="6" t="str">
        <x:v>0.5142857142857142</x:v>
      </x:c>
      <x:c r="BE319" s="6" t="str">
        <x:v>0.4326530612244898</x:v>
      </x:c>
      <x:c r="BF319" s="9" t="str">
        <x:v>1.1408074408587903</x:v>
      </x:c>
      <x:c r="BG319" s="9" t="str">
        <x:v>0.9597268946907282</x:v>
      </x:c>
      <x:c r="BH319" s="6" t="str">
        <x:v>Against trade</x:v>
      </x:c>
      <x:c r="BI319" s="6" t="str">
        <x:v>Penetration + same-bar reclaim</x:v>
      </x:c>
      <x:c r="BJ319" s="6" t="str">
        <x:v>False</x:v>
      </x:c>
      <x:c r="BK319" s="10" t="str">
        <x:v>True</x:v>
      </x:c>
      <x:c r="BL319" s="6" t="str">
        <x:v>True</x:v>
      </x:c>
      <x:c r="BM319" s="7" t="str">
        <x:v>2025-01-31 12:25:00-06:00</x:v>
      </x:c>
      <x:c r="BN319" s="8" t="str">
        <x:v>1</x:v>
      </x:c>
      <x:c r="BO319" s="6" t="str">
        <x:v>Immediate confirmation (1 bar)</x:v>
      </x:c>
      <x:c r="BP319" s="9" t="str">
        <x:v>1.2949884827070648</x:v>
      </x:c>
      <x:c r="BQ319" s="9" t="str">
        <x:v>1.5209596273405122</x:v>
      </x:c>
      <x:c r="BR319" s="10" t="str">
        <x:v>0.8514285714285714</x:v>
      </x:c>
      <x:c r="BS319" s="9" t="str">
        <x:v>1.7382395741034427</x:v>
      </x:c>
      <x:c r="BT319" s="9" t="str">
        <x:v>1.3210620763186163</x:v>
      </x:c>
      <x:c r="BU319" s="9" t="str">
        <x:v>0.05214718722310328</x:v>
      </x:c>
      <x:c r="BV319" s="6" t="str">
        <x:v>With trade</x:v>
      </x:c>
      <x:c r="BW319" s="7" t="str">
        <x:v>2025-01-31 12:25:00-06:00</x:v>
      </x:c>
      <x:c r="BX319" s="6" t="str">
        <x:v>20567.5</x:v>
      </x:c>
      <x:c r="BY319" s="9" t="str">
        <x:v>28.764734588320046</x:v>
      </x:c>
      <x:c r="BZ319" s="9" t="str">
        <x:v>0.83</x:v>
      </x:c>
      <x:c r="CA319" s="6" t="str">
        <x:v>20610.64710188248</x:v>
      </x:c>
      <x:c r="CB319" s="6" t="str">
        <x:v>43.147101882481365</x:v>
      </x:c>
      <x:c r="CC319" s="9" t="str">
        <x:v>1.500000000000045</x:v>
      </x:c>
      <x:c r="CD319" s="6" t="str">
        <x:v>20481.20579623504</x:v>
      </x:c>
      <x:c r="CE319" s="6" t="str">
        <x:v>86.2942037649591</x:v>
      </x:c>
      <x:c r="CF319" s="6" t="str">
        <x:v>Fixed 2.00R target</x:v>
      </x:c>
      <x:c r="CG319" s="9" t="str">
        <x:v>0.016802982549666105</x:v>
      </x:c>
      <x:c r="CH319" s="9" t="str">
        <x:v>2.0</x:v>
      </x:c>
      <x:c r="CI319" s="9" t="str">
        <x:v>1.983197017450334</x:v>
      </x:c>
      <x:c r="CJ319" s="6" t="str">
        <x:v>Win</x:v>
      </x:c>
      <x:c r="CK319" s="9" t="str">
        <x:v>2.178593599542916</x:v>
      </x:c>
      <x:c r="CL319" s="9" t="str">
        <x:v>0.28391246377022045</x:v>
      </x:c>
      <x:c r="CM319" s="7" t="str">
        <x:v>2025-01-31 12:50:00-06:00</x:v>
      </x:c>
      <x:c r="CN319" s="6" t="str">
        <x:v>20481.20579623504</x:v>
      </x:c>
      <x:c r="CO319" s="6" t="str">
        <x:v>TARGET</x:v>
      </x:c>
      <x:c r="CP319" s="6" t="str">
        <x:v>F::Short::Same-bar Setup+BOS::Penetration + same-bar reclaim</x:v>
      </x:c>
    </x:row>
    <x:row r="320" ht="18" customHeight="1">
      <x:c r="A320" s="6" t="str">
        <x:v>A0319</x:v>
      </x:c>
      <x:c r="B320" s="6" t="str">
        <x:v>2025-02-03</x:v>
      </x:c>
      <x:c r="C320" s="6" t="str">
        <x:v>2025</x:v>
      </x:c>
      <x:c r="D320" s="6" t="str">
        <x:v>2025-Q1</x:v>
      </x:c>
      <x:c r="E320" s="6" t="str">
        <x:v>First 50%</x:v>
      </x:c>
      <x:c r="F320" s="6" t="str">
        <x:v>Long</x:v>
      </x:c>
      <x:c r="G320" s="6" t="str">
        <x:v>Long</x:v>
      </x:c>
      <x:c r="H320" s="6" t="str">
        <x:v>Premarket</x:v>
      </x:c>
      <x:c r="I320" s="6" t="str">
        <x:v>Premarket</x:v>
      </x:c>
      <x:c r="J320" s="6" t="str">
        <x:v>Bear</x:v>
      </x:c>
      <x:c r="K320" s="6" t="str">
        <x:v>Bear</x:v>
      </x:c>
      <x:c r="L320" s="6" t="str">
        <x:v>MID</x:v>
      </x:c>
      <x:c r="M320" s="7" t="str">
        <x:v>2025-02-03 04:30:00-06:00</x:v>
      </x:c>
      <x:c r="N320" s="6" t="str">
        <x:v>90.0</x:v>
      </x:c>
      <x:c r="O320" s="6" t="str">
        <x:v>90-94</x:v>
      </x:c>
      <x:c r="P320" s="6" t="str">
        <x:v>Matching BOS only</x:v>
      </x:c>
      <x:c r="Q320" s="6" t="str">
        <x:v>Bull CHoCH</x:v>
      </x:c>
      <x:c r="R320" s="6" t="str">
        <x:v>True</x:v>
      </x:c>
      <x:c r="S320" s="6" t="str">
        <x:v>False</x:v>
      </x:c>
      <x:c r="T320" s="6" t="str">
        <x:v>Recent SSL</x:v>
      </x:c>
      <x:c r="U320" s="6" t="str">
        <x:v>SSL</x:v>
      </x:c>
      <x:c r="V320" s="6" t="str">
        <x:v>Swing low / sell-side</x:v>
      </x:c>
      <x:c r="W320" s="6" t="str">
        <x:v>[19932.75]</x:v>
      </x:c>
      <x:c r="X320" s="8" t="str">
        <x:v>1</x:v>
      </x:c>
      <x:c r="Y320" s="8" t="str">
        <x:v>14.0</x:v>
      </x:c>
      <x:c r="Z320" s="6" t="str">
        <x:v>None</x:v>
      </x:c>
      <x:c r="AA320" s="6" t="str">
        <x:v>19984.5</x:v>
      </x:c>
      <x:c r="AB320" s="9" t="str">
        <x:v>0.04692363414377593</x:v>
      </x:c>
      <x:c r="AC320" s="9" t="str">
        <x:v>0.966626863361784</x:v>
      </x:c>
      <x:c r="AD320" s="9" t="str">
        <x:v>1.220014487738174</x:v>
      </x:c>
      <x:c r="AE320" s="6" t="str">
        <x:v>With trade</x:v>
      </x:c>
      <x:c r="AF320" s="7" t="str">
        <x:v>2025-02-03 04:30:00-06:00</x:v>
      </x:c>
      <x:c r="AG320" s="6" t="str">
        <x:v>Long</x:v>
      </x:c>
      <x:c r="AH320" s="6" t="str">
        <x:v>19984.5</x:v>
      </x:c>
      <x:c r="AI320" s="8" t="str">
        <x:v>0</x:v>
      </x:c>
      <x:c r="AJ320" s="6" t="str">
        <x:v>True</x:v>
      </x:c>
      <x:c r="AK320" s="6" t="str">
        <x:v>Same-bar Setup+BOS</x:v>
      </x:c>
      <x:c r="AL320" s="9" t="str">
        <x:v>1.0417046779918255</x:v>
      </x:c>
      <x:c r="AM320" s="9" t="str">
        <x:v>0.04692363414377593</x:v>
      </x:c>
      <x:c r="AN320" s="9" t="str">
        <x:v>0.966626863361784</x:v>
      </x:c>
      <x:c r="AO320" s="9" t="str">
        <x:v>1.220014487738174</x:v>
      </x:c>
      <x:c r="AP320" s="10" t="str">
        <x:v>0.7923076923076923</x:v>
      </x:c>
      <x:c r="AQ320" s="6" t="str">
        <x:v>0.2076923076923077</x:v>
      </x:c>
      <x:c r="AR320" s="6" t="str">
        <x:v>0.0</x:v>
      </x:c>
      <x:c r="AS320" s="6" t="str">
        <x:v>With trade</x:v>
      </x:c>
      <x:c r="AT320" s="6" t="str">
        <x:v>1.2420866042035958</x:v>
      </x:c>
      <x:c r="AU320" s="7" t="str">
        <x:v>2025-02-03 04:35:00-06:00</x:v>
      </x:c>
      <x:c r="AV320" s="8" t="str">
        <x:v>1</x:v>
      </x:c>
      <x:c r="AW320" s="6" t="str">
        <x:v>Immediate retest (1 bar)</x:v>
      </x:c>
      <x:c r="AX320" s="6" t="str">
        <x:v>19983.25</x:v>
      </x:c>
      <x:c r="AY320" s="6" t="str">
        <x:v>1.25</x:v>
      </x:c>
      <x:c r="AZ320" s="9" t="str">
        <x:v>0.04904607308462488</x:v>
      </x:c>
      <x:c r="BA320" s="9" t="str">
        <x:v>0.08828293155232479</x:v>
      </x:c>
      <x:c r="BB320" s="9" t="str">
        <x:v>0.411987013910849</x:v>
      </x:c>
      <x:c r="BC320" s="9" t="str">
        <x:v>0.04904607308462488</x:v>
      </x:c>
      <x:c r="BD320" s="6" t="str">
        <x:v>0.6666666666666666</x:v>
      </x:c>
      <x:c r="BE320" s="6" t="str">
        <x:v>0.21428571428571427</x:v>
      </x:c>
      <x:c r="BF320" s="9" t="str">
        <x:v>0.08828293155232479</x:v>
      </x:c>
      <x:c r="BG320" s="9" t="str">
        <x:v>0.27465800927389933</x:v>
      </x:c>
      <x:c r="BH320" s="6" t="str">
        <x:v>With trade</x:v>
      </x:c>
      <x:c r="BI320" s="6" t="str">
        <x:v>Penetration + same-bar reclaim</x:v>
      </x:c>
      <x:c r="BJ320" s="6" t="str">
        <x:v>False</x:v>
      </x:c>
      <x:c r="BK320" s="10" t="str">
        <x:v>True</x:v>
      </x:c>
      <x:c r="BL320" s="6" t="str">
        <x:v>True</x:v>
      </x:c>
      <x:c r="BM320" s="7" t="str">
        <x:v>2025-02-03 04:40:00-06:00</x:v>
      </x:c>
      <x:c r="BN320" s="8" t="str">
        <x:v>1</x:v>
      </x:c>
      <x:c r="BO320" s="6" t="str">
        <x:v>Immediate confirmation (1 bar)</x:v>
      </x:c>
      <x:c r="BP320" s="9" t="str">
        <x:v>0.30101388120533257</x:v>
      </x:c>
      <x:c r="BQ320" s="9" t="str">
        <x:v>0.7023657228124427</x:v>
      </x:c>
      <x:c r="BR320" s="10" t="str">
        <x:v>0.42857142857142855</x:v>
      </x:c>
      <x:c r="BS320" s="9" t="str">
        <x:v>0.45152082180799885</x:v>
      </x:c>
      <x:c r="BT320" s="9" t="str">
        <x:v>0.3612166574463991</x:v>
      </x:c>
      <x:c r="BU320" s="9" t="str">
        <x:v>0.3612166574463991</x:v>
      </x:c>
      <x:c r="BV320" s="6" t="str">
        <x:v>With trade</x:v>
      </x:c>
      <x:c r="BW320" s="7" t="str">
        <x:v>2025-02-03 04:40:00-06:00</x:v>
      </x:c>
      <x:c r="BX320" s="6" t="str">
        <x:v>19995.75</x:v>
      </x:c>
      <x:c r="BY320" s="9" t="str">
        <x:v>24.915794480866403</x:v>
      </x:c>
      <x:c r="BZ320" s="9" t="str">
        <x:v>0.54</x:v>
      </x:c>
      <x:c r="CA320" s="6" t="str">
        <x:v>19958.3763082787</x:v>
      </x:c>
      <x:c r="CB320" s="6" t="str">
        <x:v>37.37369172129911</x:v>
      </x:c>
      <x:c r="CC320" s="9" t="str">
        <x:v>1.4999999999999802</x:v>
      </x:c>
      <x:c r="CD320" s="6" t="str">
        <x:v>20070.4973834426</x:v>
      </x:c>
      <x:c r="CE320" s="6" t="str">
        <x:v>74.74738344259822</x:v>
      </x:c>
      <x:c r="CF320" s="6" t="str">
        <x:v>Fixed 2.00R target</x:v>
      </x:c>
      <x:c r="CG320" s="9" t="str">
        <x:v>0.01939867234434391</x:v>
      </x:c>
      <x:c r="CH320" s="9" t="str">
        <x:v>-0.6087169597707835</x:v>
      </x:c>
      <x:c r="CI320" s="9" t="str">
        <x:v>-0.6281156321151274</x:v>
      </x:c>
      <x:c r="CJ320" s="6" t="str">
        <x:v>Loss</x:v>
      </x:c>
      <x:c r="CK320" s="9" t="str">
        <x:v>0.7692576964136378</x:v>
      </x:c>
      <x:c r="CL320" s="9" t="str">
        <x:v>0.8093928805743493</x:v>
      </x:c>
      <x:c r="CM320" s="7" t="str">
        <x:v>2025-02-03 05:40:00-06:00</x:v>
      </x:c>
      <x:c r="CN320" s="6" t="str">
        <x:v>19973.0</x:v>
      </x:c>
      <x:c r="CO320" s="6" t="str">
        <x:v>TIME</x:v>
      </x:c>
      <x:c r="CP320" s="6" t="str">
        <x:v>F::Long::Same-bar Setup+BOS::Penetration + same-bar reclaim</x:v>
      </x:c>
    </x:row>
    <x:row r="321" ht="18" customHeight="1">
      <x:c r="A321" s="6" t="str">
        <x:v>A0320</x:v>
      </x:c>
      <x:c r="B321" s="6" t="str">
        <x:v>2025-02-04</x:v>
      </x:c>
      <x:c r="C321" s="6" t="str">
        <x:v>2025</x:v>
      </x:c>
      <x:c r="D321" s="6" t="str">
        <x:v>2025-Q1</x:v>
      </x:c>
      <x:c r="E321" s="6" t="str">
        <x:v>First 50%</x:v>
      </x:c>
      <x:c r="F321" s="6" t="str">
        <x:v>Short</x:v>
      </x:c>
      <x:c r="G321" s="6" t="str">
        <x:v>Short</x:v>
      </x:c>
      <x:c r="H321" s="6" t="str">
        <x:v>Afternoon</x:v>
      </x:c>
      <x:c r="I321" s="6" t="str">
        <x:v>Afternoon</x:v>
      </x:c>
      <x:c r="J321" s="6" t="str">
        <x:v>Bull</x:v>
      </x:c>
      <x:c r="K321" s="6" t="str">
        <x:v>Bull</x:v>
      </x:c>
      <x:c r="L321" s="6" t="str">
        <x:v>MID</x:v>
      </x:c>
      <x:c r="M321" s="7" t="str">
        <x:v>2025-02-04 15:00:00-06:00</x:v>
      </x:c>
      <x:c r="N321" s="6" t="str">
        <x:v>100.0</x:v>
      </x:c>
      <x:c r="O321" s="6" t="str">
        <x:v>95+</x:v>
      </x:c>
      <x:c r="P321" s="6" t="str">
        <x:v>Matching BOS only</x:v>
      </x:c>
      <x:c r="Q321" s="6" t="str">
        <x:v>Bear CHoCH</x:v>
      </x:c>
      <x:c r="R321" s="6" t="str">
        <x:v>True</x:v>
      </x:c>
      <x:c r="S321" s="6" t="str">
        <x:v>False</x:v>
      </x:c>
      <x:c r="T321" s="6" t="str">
        <x:v>Recent BSL</x:v>
      </x:c>
      <x:c r="U321" s="6" t="str">
        <x:v>BSL</x:v>
      </x:c>
      <x:c r="V321" s="6" t="str">
        <x:v>Swing high / buy-side</x:v>
      </x:c>
      <x:c r="W321" s="6" t="str">
        <x:v>[20432.5]</x:v>
      </x:c>
      <x:c r="X321" s="8" t="str">
        <x:v>1</x:v>
      </x:c>
      <x:c r="Y321" s="8" t="str">
        <x:v>2.0</x:v>
      </x:c>
      <x:c r="Z321" s="6" t="str">
        <x:v>Sweep above CRT reference</x:v>
      </x:c>
      <x:c r="AA321" s="6" t="str">
        <x:v>20377.75</x:v>
      </x:c>
      <x:c r="AB321" s="9" t="str">
        <x:v>0.7346578186946439</x:v>
      </x:c>
      <x:c r="AC321" s="9" t="str">
        <x:v>2.356629626202299</x:v>
      </x:c>
      <x:c r="AD321" s="9" t="str">
        <x:v>3.8259452635915867</x:v>
      </x:c>
      <x:c r="AE321" s="6" t="str">
        <x:v>With trade</x:v>
      </x:c>
      <x:c r="AF321" s="7" t="str">
        <x:v>2025-02-04 15:00:00-06:00</x:v>
      </x:c>
      <x:c r="AG321" s="6" t="str">
        <x:v>Short</x:v>
      </x:c>
      <x:c r="AH321" s="6" t="str">
        <x:v>20377.75</x:v>
      </x:c>
      <x:c r="AI321" s="8" t="str">
        <x:v>0</x:v>
      </x:c>
      <x:c r="AJ321" s="6" t="str">
        <x:v>True</x:v>
      </x:c>
      <x:c r="AK321" s="6" t="str">
        <x:v>Same-bar Setup+BOS</x:v>
      </x:c>
      <x:c r="AL321" s="9" t="str">
        <x:v>2.375711647467095</x:v>
      </x:c>
      <x:c r="AM321" s="9" t="str">
        <x:v>0.7346578186946439</x:v>
      </x:c>
      <x:c r="AN321" s="9" t="str">
        <x:v>2.356629626202299</x:v>
      </x:c>
      <x:c r="AO321" s="9" t="str">
        <x:v>3.8259452635915867</x:v>
      </x:c>
      <x:c r="AP321" s="10" t="str">
        <x:v>0.6159600997506235</x:v>
      </x:c>
      <x:c r="AQ321" s="6" t="str">
        <x:v>0.23940149625935161</x:v>
      </x:c>
      <x:c r="AR321" s="6" t="str">
        <x:v>0.14463840399002495</x:v>
      </x:c>
      <x:c r="AS321" s="6" t="str">
        <x:v>With trade</x:v>
      </x:c>
      <x:c r="AT321" s="6" t="str">
        <x:v>3.1303792507873847</x:v>
      </x:c>
      <x:c r="AU321" s="7" t="str">
        <x:v>2025-02-04 15:05:00-06:00</x:v>
      </x:c>
      <x:c r="AV321" s="8" t="str">
        <x:v>1</x:v>
      </x:c>
      <x:c r="AW321" s="6" t="str">
        <x:v>Immediate retest (1 bar)</x:v>
      </x:c>
      <x:c r="AX321" s="6" t="str">
        <x:v>20391.25</x:v>
      </x:c>
      <x:c r="AY321" s="6" t="str">
        <x:v>13.5</x:v>
      </x:c>
      <x:c r="AZ321" s="9" t="str">
        <x:v>0.5038189288906674</x:v>
      </x:c>
      <x:c r="BA321" s="9" t="str">
        <x:v>-0.00932998016464199</x:v>
      </x:c>
      <x:c r="BB321" s="9" t="str">
        <x:v>1.2875372627205945</x:v>
      </x:c>
      <x:c r="BC321" s="9" t="str">
        <x:v>0.6997485123481492</x:v>
      </x:c>
      <x:c r="BD321" s="6" t="str">
        <x:v>0.38405797101449274</x:v>
      </x:c>
      <x:c r="BE321" s="6" t="str">
        <x:v>0.07246376811594203</x:v>
      </x:c>
      <x:c r="BF321" s="9" t="str">
        <x:v>0.4944889487260254</x:v>
      </x:c>
      <x:c r="BG321" s="9" t="str">
        <x:v>0.09329980164641989</x:v>
      </x:c>
      <x:c r="BH321" s="6" t="str">
        <x:v>Against trade</x:v>
      </x:c>
      <x:c r="BI321" s="6" t="str">
        <x:v>Penetration without same-bar reclaim</x:v>
      </x:c>
      <x:c r="BJ321" s="6" t="str">
        <x:v>False</x:v>
      </x:c>
      <x:c r="BK321" s="10" t="str">
        <x:v>True</x:v>
      </x:c>
      <x:c r="BL321" s="6" t="str">
        <x:v>False</x:v>
      </x:c>
      <x:c r="BM321" s="7" t="str">
        <x:v>2025-02-04 15:10:00-06:00</x:v>
      </x:c>
      <x:c r="BN321" s="8" t="str">
        <x:v>1</x:v>
      </x:c>
      <x:c r="BO321" s="6" t="str">
        <x:v>Immediate confirmation (1 bar)</x:v>
      </x:c>
      <x:c r="BP321" s="9" t="str">
        <x:v>0.41054102074981824</x:v>
      </x:c>
      <x:c r="BQ321" s="9" t="str">
        <x:v>0.6969649887148077</x:v>
      </x:c>
      <x:c r="BR321" s="10" t="str">
        <x:v>0.589041095890411</x:v>
      </x:c>
      <x:c r="BS321" s="9" t="str">
        <x:v>0.3055188991626554</x:v>
      </x:c>
      <x:c r="BT321" s="9" t="str">
        <x:v>0.3150663647614884</x:v>
      </x:c>
      <x:c r="BU321" s="9" t="str">
        <x:v>0.057284793592997894</x:v>
      </x:c>
      <x:c r="BV321" s="6" t="str">
        <x:v>With trade</x:v>
      </x:c>
      <x:c r="BW321" s="7" t="str">
        <x:v>2025-02-04 15:10:00-06:00</x:v>
      </x:c>
      <x:c r="BX321" s="6" t="str">
        <x:v>20369.75</x:v>
      </x:c>
      <x:c r="BY321" s="9" t="str">
        <x:v>26.184959496534695</x:v>
      </x:c>
      <x:c r="BZ321" s="9" t="str">
        <x:v>0.51</x:v>
      </x:c>
      <x:c r="CA321" s="6" t="str">
        <x:v>20409.0274392448</x:v>
      </x:c>
      <x:c r="CB321" s="6" t="str">
        <x:v>39.27743924480092</x:v>
      </x:c>
      <x:c r="CC321" s="9" t="str">
        <x:v>1.499999999999957</x:v>
      </x:c>
      <x:c r="CD321" s="6" t="str">
        <x:v>20291.195121510395</x:v>
      </x:c>
      <x:c r="CE321" s="6" t="str">
        <x:v>78.55487848960547</x:v>
      </x:c>
      <x:c r="CF321" s="6" t="str">
        <x:v>Fixed 2.00R target</x:v>
      </x:c>
      <x:c r="CG321" s="9" t="str">
        <x:v>0.018458433491077626</x:v>
      </x:c>
      <x:c r="CH321" s="9" t="str">
        <x:v>0.8401769726973025</x:v>
      </x:c>
      <x:c r="CI321" s="9" t="str">
        <x:v>0.8217185392062248</x:v>
      </x:c>
      <x:c r="CJ321" s="6" t="str">
        <x:v>Win</x:v>
      </x:c>
      <x:c r="CK321" s="9" t="str">
        <x:v>1.7121788307240973</x:v>
      </x:c>
      <x:c r="CL321" s="9" t="str">
        <x:v>0.8083520873678823</x:v>
      </x:c>
      <x:c r="CM321" s="7" t="str">
        <x:v>2025-02-04 17:10:00-06:00</x:v>
      </x:c>
      <x:c r="CN321" s="6" t="str">
        <x:v>20336.75</x:v>
      </x:c>
      <x:c r="CO321" s="6" t="str">
        <x:v>TIME</x:v>
      </x:c>
      <x:c r="CP321" s="6" t="str">
        <x:v>F::Short::Same-bar Setup+BOS::Penetration without same-bar reclaim</x:v>
      </x:c>
    </x:row>
    <x:row r="322" ht="18" customHeight="1">
      <x:c r="A322" s="6" t="str">
        <x:v>A0321</x:v>
      </x:c>
      <x:c r="B322" s="6" t="str">
        <x:v>2025-02-05</x:v>
      </x:c>
      <x:c r="C322" s="6" t="str">
        <x:v>2025</x:v>
      </x:c>
      <x:c r="D322" s="6" t="str">
        <x:v>2025-Q1</x:v>
      </x:c>
      <x:c r="E322" s="6" t="str">
        <x:v>First 50%</x:v>
      </x:c>
      <x:c r="F322" s="6" t="str">
        <x:v>Long</x:v>
      </x:c>
      <x:c r="G322" s="6" t="str">
        <x:v>Long</x:v>
      </x:c>
      <x:c r="H322" s="6" t="str">
        <x:v>Afternoon</x:v>
      </x:c>
      <x:c r="I322" s="6" t="str">
        <x:v>Afternoon</x:v>
      </x:c>
      <x:c r="J322" s="6" t="str">
        <x:v>Bull</x:v>
      </x:c>
      <x:c r="K322" s="6" t="str">
        <x:v>Bull</x:v>
      </x:c>
      <x:c r="L322" s="6" t="str">
        <x:v>MID</x:v>
      </x:c>
      <x:c r="M322" s="7" t="str">
        <x:v>2025-02-05 14:55:00-06:00</x:v>
      </x:c>
      <x:c r="N322" s="6" t="str">
        <x:v>75.0</x:v>
      </x:c>
      <x:c r="O322" s="6" t="str">
        <x:v>75-79</x:v>
      </x:c>
      <x:c r="P322" s="6" t="str">
        <x:v>Matching BOS only</x:v>
      </x:c>
      <x:c r="Q322" s="6" t="str">
        <x:v>Bull CHoCH</x:v>
      </x:c>
      <x:c r="R322" s="6" t="str">
        <x:v>True</x:v>
      </x:c>
      <x:c r="S322" s="6" t="str">
        <x:v>False</x:v>
      </x:c>
      <x:c r="T322" s="6" t="str">
        <x:v>No recent matching sweep</x:v>
      </x:c>
      <x:c r="U322" s="6" t="str">
        <x:v>None</x:v>
      </x:c>
      <x:c r="V322" s="6" t="str">
        <x:v>None</x:v>
      </x:c>
      <x:c r="W322" s="6" t="str">
        <x:v>[]</x:v>
      </x:c>
      <x:c r="X322" s="8" t="str">
        <x:v>0</x:v>
      </x:c>
      <x:c r="Y322" s="8" t="str"/>
      <x:c r="Z322" s="6" t="str">
        <x:v>None</x:v>
      </x:c>
      <x:c r="AA322" s="6" t="str">
        <x:v>20505.5</x:v>
      </x:c>
      <x:c r="AB322" s="9" t="str">
        <x:v>0.40855601651919804</x:v>
      </x:c>
      <x:c r="AC322" s="9" t="str">
        <x:v>1.8446923170109244</x:v>
      </x:c>
      <x:c r="AD322" s="9" t="str">
        <x:v>2.2656288188791893</x:v>
      </x:c>
      <x:c r="AE322" s="6" t="str">
        <x:v>With trade</x:v>
      </x:c>
      <x:c r="AF322" s="7" t="str">
        <x:v>2025-02-05 14:55:00-06:00</x:v>
      </x:c>
      <x:c r="AG322" s="6" t="str">
        <x:v>Long</x:v>
      </x:c>
      <x:c r="AH322" s="6" t="str">
        <x:v>20505.5</x:v>
      </x:c>
      <x:c r="AI322" s="8" t="str">
        <x:v>0</x:v>
      </x:c>
      <x:c r="AJ322" s="6" t="str">
        <x:v>True</x:v>
      </x:c>
      <x:c r="AK322" s="6" t="str">
        <x:v>Same-bar Setup+BOS</x:v>
      </x:c>
      <x:c r="AL322" s="9" t="str">
        <x:v>1.8694532877090577</x:v>
      </x:c>
      <x:c r="AM322" s="9" t="str">
        <x:v>0.40855601651919804</x:v>
      </x:c>
      <x:c r="AN322" s="9" t="str">
        <x:v>1.8446923170109244</x:v>
      </x:c>
      <x:c r="AO322" s="9" t="str">
        <x:v>2.2656288188791893</x:v>
      </x:c>
      <x:c r="AP322" s="10" t="str">
        <x:v>0.8142076502732241</x:v>
      </x:c>
      <x:c r="AQ322" s="6" t="str">
        <x:v>0.16939890710382513</x:v>
      </x:c>
      <x:c r="AR322" s="6" t="str">
        <x:v>0.01639344262295082</x:v>
      </x:c>
      <x:c r="AS322" s="6" t="str">
        <x:v>With trade</x:v>
      </x:c>
      <x:c r="AT322" s="6" t="str">
        <x:v>5.583306629469755</x:v>
      </x:c>
      <x:c r="AU322" s="7" t="str">
        <x:v>2025-02-05 15:00:00-06:00</x:v>
      </x:c>
      <x:c r="AV322" s="8" t="str">
        <x:v>1</x:v>
      </x:c>
      <x:c r="AW322" s="6" t="str">
        <x:v>Immediate retest (1 bar)</x:v>
      </x:c>
      <x:c r="AX322" s="6" t="str">
        <x:v>20502.5</x:v>
      </x:c>
      <x:c r="AY322" s="6" t="str">
        <x:v>3.0</x:v>
      </x:c>
      <x:c r="AZ322" s="9" t="str">
        <x:v>0.14248885165684305</x:v>
      </x:c>
      <x:c r="BA322" s="9" t="str">
        <x:v>0.05937035485701794</x:v>
      </x:c>
      <x:c r="BB322" s="9" t="str">
        <x:v>1.5317551553110629</x:v>
      </x:c>
      <x:c r="BC322" s="9" t="str">
        <x:v>0.3205999162278969</x:v>
      </x:c>
      <x:c r="BD322" s="6" t="str">
        <x:v>0.6589147286821705</x:v>
      </x:c>
      <x:c r="BE322" s="6" t="str">
        <x:v>0.13178294573643412</x:v>
      </x:c>
      <x:c r="BF322" s="9" t="str">
        <x:v>0.201859206513861</x:v>
      </x:c>
      <x:c r="BG322" s="9" t="str">
        <x:v>1.009296032569305</x:v>
      </x:c>
      <x:c r="BH322" s="6" t="str">
        <x:v>Against trade</x:v>
      </x:c>
      <x:c r="BI322" s="6" t="str">
        <x:v>Penetration + same-bar reclaim</x:v>
      </x:c>
      <x:c r="BJ322" s="6" t="str">
        <x:v>False</x:v>
      </x:c>
      <x:c r="BK322" s="10" t="str">
        <x:v>True</x:v>
      </x:c>
      <x:c r="BL322" s="6" t="str">
        <x:v>True</x:v>
      </x:c>
      <x:c r="BM322" s="7" t="str">
        <x:v>2025-02-05 15:05:00-06:00</x:v>
      </x:c>
      <x:c r="BN322" s="8" t="str">
        <x:v>1</x:v>
      </x:c>
      <x:c r="BO322" s="6" t="str">
        <x:v>Immediate confirmation (1 bar)</x:v>
      </x:c>
      <x:c r="BP322" s="9" t="str">
        <x:v>0.35065824161451115</x:v>
      </x:c>
      <x:c r="BQ322" s="9" t="str">
        <x:v>0.7617748007487656</x:v>
      </x:c>
      <x:c r="BR322" s="10" t="str">
        <x:v>0.4603174603174603</x:v>
      </x:c>
      <x:c r="BS322" s="9" t="str">
        <x:v>0.4473915496461004</x:v>
      </x:c>
      <x:c r="BT322" s="9" t="str">
        <x:v>0.3869332321263571</x:v>
      </x:c>
      <x:c r="BU322" s="9" t="str">
        <x:v>0.19346661606317855</x:v>
      </x:c>
      <x:c r="BV322" s="6" t="str">
        <x:v>With trade</x:v>
      </x:c>
      <x:c r="BW322" s="7" t="str">
        <x:v>2025-02-05 15:05:00-06:00</x:v>
      </x:c>
      <x:c r="BX322" s="6" t="str">
        <x:v>20514.75</x:v>
      </x:c>
      <x:c r="BY322" s="9" t="str">
        <x:v>20.675401686323795</x:v>
      </x:c>
      <x:c r="BZ322" s="9" t="str">
        <x:v>0.5</x:v>
      </x:c>
      <x:c r="CA322" s="6" t="str">
        <x:v>20483.736897470513</x:v>
      </x:c>
      <x:c r="CB322" s="6" t="str">
        <x:v>31.013102529486787</x:v>
      </x:c>
      <x:c r="CC322" s="9" t="str">
        <x:v>1.5000000000000528</x:v>
      </x:c>
      <x:c r="CD322" s="6" t="str">
        <x:v>20576.77620505897</x:v>
      </x:c>
      <x:c r="CE322" s="6" t="str">
        <x:v>62.026205058969936</x:v>
      </x:c>
      <x:c r="CF322" s="6" t="str">
        <x:v>Fixed 2.00R target</x:v>
      </x:c>
      <x:c r="CG322" s="9" t="str">
        <x:v>0.02337721610763325</x:v>
      </x:c>
      <x:c r="CH322" s="9" t="str">
        <x:v>-0.3063221421000327</x:v>
      </x:c>
      <x:c r="CI322" s="9" t="str">
        <x:v>-0.329699358207666</x:v>
      </x:c>
      <x:c r="CJ322" s="6" t="str">
        <x:v>Loss</x:v>
      </x:c>
      <x:c r="CK322" s="9" t="str">
        <x:v>1.0560052793448123</x:v>
      </x:c>
      <x:c r="CL322" s="9" t="str">
        <x:v>0.40305545013160776</x:v>
      </x:c>
      <x:c r="CM322" s="7" t="str">
        <x:v>2025-02-05 17:05:00-06:00</x:v>
      </x:c>
      <x:c r="CN322" s="6" t="str">
        <x:v>20505.25</x:v>
      </x:c>
      <x:c r="CO322" s="6" t="str">
        <x:v>TIME</x:v>
      </x:c>
      <x:c r="CP322" s="6" t="str">
        <x:v>F::Long::Same-bar Setup+BOS::Penetration + same-bar reclaim</x:v>
      </x:c>
    </x:row>
    <x:row r="323" ht="18" customHeight="1">
      <x:c r="A323" s="6" t="str">
        <x:v>A0322</x:v>
      </x:c>
      <x:c r="B323" s="6" t="str">
        <x:v>2025-02-07</x:v>
      </x:c>
      <x:c r="C323" s="6" t="str">
        <x:v>2025</x:v>
      </x:c>
      <x:c r="D323" s="6" t="str">
        <x:v>2025-Q1</x:v>
      </x:c>
      <x:c r="E323" s="6" t="str">
        <x:v>First 50%</x:v>
      </x:c>
      <x:c r="F323" s="6" t="str">
        <x:v>Long</x:v>
      </x:c>
      <x:c r="G323" s="6" t="str">
        <x:v>Long</x:v>
      </x:c>
      <x:c r="H323" s="6" t="str">
        <x:v>Premarket</x:v>
      </x:c>
      <x:c r="I323" s="6" t="str">
        <x:v>Premarket</x:v>
      </x:c>
      <x:c r="J323" s="6" t="str">
        <x:v>Bull</x:v>
      </x:c>
      <x:c r="K323" s="6" t="str">
        <x:v>Bull</x:v>
      </x:c>
      <x:c r="L323" s="6" t="str">
        <x:v>HIGH</x:v>
      </x:c>
      <x:c r="M323" s="7" t="str">
        <x:v>2025-02-07 08:30:00-06:00</x:v>
      </x:c>
      <x:c r="N323" s="6" t="str">
        <x:v>90.0</x:v>
      </x:c>
      <x:c r="O323" s="6" t="str">
        <x:v>90-94</x:v>
      </x:c>
      <x:c r="P323" s="6" t="str">
        <x:v>Matching BOS only</x:v>
      </x:c>
      <x:c r="Q323" s="6" t="str">
        <x:v>Bull BOS</x:v>
      </x:c>
      <x:c r="R323" s="6" t="str">
        <x:v>True</x:v>
      </x:c>
      <x:c r="S323" s="6" t="str">
        <x:v>False</x:v>
      </x:c>
      <x:c r="T323" s="6" t="str">
        <x:v>Recent SSL</x:v>
      </x:c>
      <x:c r="U323" s="6" t="str">
        <x:v>SSL</x:v>
      </x:c>
      <x:c r="V323" s="6" t="str">
        <x:v>Swing low / sell-side</x:v>
      </x:c>
      <x:c r="W323" s="6" t="str">
        <x:v>[20560.0,20578.75,20585.5,20588.75]</x:v>
      </x:c>
      <x:c r="X323" s="8" t="str">
        <x:v>4</x:v>
      </x:c>
      <x:c r="Y323" s="8" t="str">
        <x:v>12.0</x:v>
      </x:c>
      <x:c r="Z323" s="6" t="str">
        <x:v>Sweep below CRT reference</x:v>
      </x:c>
      <x:c r="AA323" s="6" t="str">
        <x:v>20682.5</x:v>
      </x:c>
      <x:c r="AB323" s="9" t="str">
        <x:v>0.6164613548550385</x:v>
      </x:c>
      <x:c r="AC323" s="9" t="str">
        <x:v>2.366416168637083</x:v>
      </x:c>
      <x:c r="AD323" s="9" t="str">
        <x:v>3.301051125997948</x:v>
      </x:c>
      <x:c r="AE323" s="6" t="str">
        <x:v>With trade</x:v>
      </x:c>
      <x:c r="AF323" s="7" t="str">
        <x:v>2025-02-07 08:30:00-06:00</x:v>
      </x:c>
      <x:c r="AG323" s="6" t="str">
        <x:v>Long</x:v>
      </x:c>
      <x:c r="AH323" s="6" t="str">
        <x:v>20682.5</x:v>
      </x:c>
      <x:c r="AI323" s="8" t="str">
        <x:v>0</x:v>
      </x:c>
      <x:c r="AJ323" s="6" t="str">
        <x:v>True</x:v>
      </x:c>
      <x:c r="AK323" s="6" t="str">
        <x:v>Same-bar Setup+BOS</x:v>
      </x:c>
      <x:c r="AL323" s="9" t="str">
        <x:v>2.37635909371539</x:v>
      </x:c>
      <x:c r="AM323" s="9" t="str">
        <x:v>0.6164613548550385</x:v>
      </x:c>
      <x:c r="AN323" s="9" t="str">
        <x:v>2.366416168637083</x:v>
      </x:c>
      <x:c r="AO323" s="9" t="str">
        <x:v>3.301051125997948</x:v>
      </x:c>
      <x:c r="AP323" s="10" t="str">
        <x:v>0.7168674698795181</x:v>
      </x:c>
      <x:c r="AQ323" s="6" t="str">
        <x:v>0.08734939759036145</x:v>
      </x:c>
      <x:c r="AR323" s="6" t="str">
        <x:v>0.19578313253012047</x:v>
      </x:c>
      <x:c r="AS323" s="6" t="str">
        <x:v>With trade</x:v>
      </x:c>
      <x:c r="AT323" s="6" t="str">
        <x:v>8.320097385658803</x:v>
      </x:c>
      <x:c r="AU323" s="7" t="str">
        <x:v>2025-02-07 08:35:00-06:00</x:v>
      </x:c>
      <x:c r="AV323" s="8" t="str">
        <x:v>1</x:v>
      </x:c>
      <x:c r="AW323" s="6" t="str">
        <x:v>Immediate retest (1 bar)</x:v>
      </x:c>
      <x:c r="AX323" s="6" t="str">
        <x:v>20678.5</x:v>
      </x:c>
      <x:c r="AY323" s="6" t="str">
        <x:v>4.0</x:v>
      </x:c>
      <x:c r="AZ323" s="9" t="str">
        <x:v>0.1518168205932892</x:v>
      </x:c>
      <x:c r="BA323" s="9" t="str">
        <x:v>0.6547100388085597</x:v>
      </x:c>
      <x:c r="BB323" s="9" t="str">
        <x:v>1.5940766162295366</x:v>
      </x:c>
      <x:c r="BC323" s="9" t="str">
        <x:v>0.0759084102966446</x:v>
      </x:c>
      <x:c r="BD323" s="6" t="str">
        <x:v>0.49404761904761907</x:v>
      </x:c>
      <x:c r="BE323" s="6" t="str">
        <x:v>0.4583333333333333</x:v>
      </x:c>
      <x:c r="BF323" s="9" t="str">
        <x:v>0.7306184491052042</x:v>
      </x:c>
      <x:c r="BG323" s="9" t="str">
        <x:v>0.7875497568276877</x:v>
      </x:c>
      <x:c r="BH323" s="6" t="str">
        <x:v>With trade</x:v>
      </x:c>
      <x:c r="BI323" s="6" t="str">
        <x:v>Penetration + same-bar reclaim</x:v>
      </x:c>
      <x:c r="BJ323" s="6" t="str">
        <x:v>False</x:v>
      </x:c>
      <x:c r="BK323" s="10" t="str">
        <x:v>True</x:v>
      </x:c>
      <x:c r="BL323" s="6" t="str">
        <x:v>True</x:v>
      </x:c>
      <x:c r="BM323" s="7" t="str">
        <x:v>2025-02-07 08:45:00-06:00</x:v>
      </x:c>
      <x:c r="BN323" s="8" t="str">
        <x:v>2</x:v>
      </x:c>
      <x:c r="BO323" s="6" t="str">
        <x:v>Delayed confirmation (2+ bars)</x:v>
      </x:c>
      <x:c r="BP323" s="9" t="str">
        <x:v>0.5338018199435225</x:v>
      </x:c>
      <x:c r="BQ323" s="9" t="str">
        <x:v>0.9436853602572988</x:v>
      </x:c>
      <x:c r="BR323" s="10" t="str">
        <x:v>0.5656565656565656</x:v>
      </x:c>
      <x:c r="BS323" s="9" t="str">
        <x:v>0.8674279574082241</x:v>
      </x:c>
      <x:c r="BT323" s="9" t="str">
        <x:v>0.20970785783495527</x:v>
      </x:c>
      <x:c r="BU323" s="9" t="str">
        <x:v>0.3431583128208359</x:v>
      </x:c>
      <x:c r="BV323" s="6" t="str">
        <x:v>With trade</x:v>
      </x:c>
      <x:c r="BW323" s="7" t="str">
        <x:v>2025-02-07 08:45:00-06:00</x:v>
      </x:c>
      <x:c r="BX323" s="6" t="str">
        <x:v>20705.25</x:v>
      </x:c>
      <x:c r="BY323" s="9" t="str">
        <x:v>26.22696191159714</x:v>
      </x:c>
      <x:c r="BZ323" s="9" t="str">
        <x:v>0.98</x:v>
      </x:c>
      <x:c r="CA323" s="6" t="str">
        <x:v>20665.909557132603</x:v>
      </x:c>
      <x:c r="CB323" s="6" t="str">
        <x:v>39.34044286739663</x:v>
      </x:c>
      <x:c r="CC323" s="9" t="str">
        <x:v>1.500000000000035</x:v>
      </x:c>
      <x:c r="CD323" s="6" t="str">
        <x:v>20783.93088573479</x:v>
      </x:c>
      <x:c r="CE323" s="6" t="str">
        <x:v>78.68088573478963</x:v>
      </x:c>
      <x:c r="CF323" s="6" t="str">
        <x:v>Fixed 2.00R target</x:v>
      </x:c>
      <x:c r="CG323" s="9" t="str">
        <x:v>0.018428872355192607</x:v>
      </x:c>
      <x:c r="CH323" s="9" t="str">
        <x:v>-1.0</x:v>
      </x:c>
      <x:c r="CI323" s="9" t="str">
        <x:v>-1.0184288723551926</x:v>
      </x:c>
      <x:c r="CJ323" s="6" t="str">
        <x:v>Loss</x:v>
      </x:c>
      <x:c r="CK323" s="9" t="str">
        <x:v>0.17793393998117002</x:v>
      </x:c>
      <x:c r="CL323" s="9" t="str">
        <x:v>1.518793273410701</x:v>
      </x:c>
      <x:c r="CM323" s="7" t="str">
        <x:v>2025-02-07 08:55:00-06:00</x:v>
      </x:c>
      <x:c r="CN323" s="6" t="str">
        <x:v>20665.909557132603</x:v>
      </x:c>
      <x:c r="CO323" s="6" t="str">
        <x:v>STOP</x:v>
      </x:c>
      <x:c r="CP323" s="6" t="str">
        <x:v>F::Long::Same-bar Setup+BOS::Penetration + same-bar reclaim</x:v>
      </x:c>
    </x:row>
    <x:row r="324" ht="18" customHeight="1">
      <x:c r="A324" s="6" t="str">
        <x:v>A0323</x:v>
      </x:c>
      <x:c r="B324" s="6" t="str">
        <x:v>2025-02-07</x:v>
      </x:c>
      <x:c r="C324" s="6" t="str">
        <x:v>2025</x:v>
      </x:c>
      <x:c r="D324" s="6" t="str">
        <x:v>2025-Q1</x:v>
      </x:c>
      <x:c r="E324" s="6" t="str">
        <x:v>First 50%</x:v>
      </x:c>
      <x:c r="F324" s="6" t="str">
        <x:v>Short</x:v>
      </x:c>
      <x:c r="G324" s="6" t="str">
        <x:v>Short</x:v>
      </x:c>
      <x:c r="H324" s="6" t="str">
        <x:v>Premarket</x:v>
      </x:c>
      <x:c r="I324" s="6" t="str">
        <x:v>Premarket</x:v>
      </x:c>
      <x:c r="J324" s="6" t="str">
        <x:v>Bull</x:v>
      </x:c>
      <x:c r="K324" s="6" t="str">
        <x:v>Bull</x:v>
      </x:c>
      <x:c r="L324" s="6" t="str">
        <x:v>HIGH</x:v>
      </x:c>
      <x:c r="M324" s="7" t="str">
        <x:v>2025-02-07 09:00:00-06:00</x:v>
      </x:c>
      <x:c r="N324" s="6" t="str">
        <x:v>90.0</x:v>
      </x:c>
      <x:c r="O324" s="6" t="str">
        <x:v>90-94</x:v>
      </x:c>
      <x:c r="P324" s="6" t="str">
        <x:v>Matching BOS only</x:v>
      </x:c>
      <x:c r="Q324" s="6" t="str">
        <x:v>Bear CHoCH</x:v>
      </x:c>
      <x:c r="R324" s="6" t="str">
        <x:v>True</x:v>
      </x:c>
      <x:c r="S324" s="6" t="str">
        <x:v>False</x:v>
      </x:c>
      <x:c r="T324" s="6" t="str">
        <x:v>Recent BSL</x:v>
      </x:c>
      <x:c r="U324" s="6" t="str">
        <x:v>BSL</x:v>
      </x:c>
      <x:c r="V324" s="6" t="str">
        <x:v>Swing high / buy-side</x:v>
      </x:c>
      <x:c r="W324" s="6" t="str">
        <x:v>[20718.5]</x:v>
      </x:c>
      <x:c r="X324" s="8" t="str">
        <x:v>1</x:v>
      </x:c>
      <x:c r="Y324" s="8" t="str">
        <x:v>5.0</x:v>
      </x:c>
      <x:c r="Z324" s="6" t="str">
        <x:v>None</x:v>
      </x:c>
      <x:c r="AA324" s="6" t="str">
        <x:v>20542.75</x:v>
      </x:c>
      <x:c r="AB324" s="9" t="str">
        <x:v>0.979033690765554</x:v>
      </x:c>
      <x:c r="AC324" s="9" t="str">
        <x:v>3.948769219421068</x:v>
      </x:c>
      <x:c r="AD324" s="9" t="str">
        <x:v>4.5100818687933195</x:v>
      </x:c>
      <x:c r="AE324" s="6" t="str">
        <x:v>With trade</x:v>
      </x:c>
      <x:c r="AF324" s="7" t="str">
        <x:v>2025-02-07 09:00:00-06:00</x:v>
      </x:c>
      <x:c r="AG324" s="6" t="str">
        <x:v>Short</x:v>
      </x:c>
      <x:c r="AH324" s="6" t="str">
        <x:v>20542.75</x:v>
      </x:c>
      <x:c r="AI324" s="8" t="str">
        <x:v>0</x:v>
      </x:c>
      <x:c r="AJ324" s="6" t="str">
        <x:v>True</x:v>
      </x:c>
      <x:c r="AK324" s="6" t="str">
        <x:v>Same-bar Setup+BOS</x:v>
      </x:c>
      <x:c r="AL324" s="9" t="str">
        <x:v>3.948769219421068</x:v>
      </x:c>
      <x:c r="AM324" s="9" t="str">
        <x:v>0.979033690765554</x:v>
      </x:c>
      <x:c r="AN324" s="9" t="str">
        <x:v>3.948769219421068</x:v>
      </x:c>
      <x:c r="AO324" s="9" t="str">
        <x:v>4.5100818687933195</x:v>
      </x:c>
      <x:c r="AP324" s="10" t="str">
        <x:v>0.8755426917510853</x:v>
      </x:c>
      <x:c r="AQ324" s="6" t="str">
        <x:v>0.005788712011577424</x:v>
      </x:c>
      <x:c r="AR324" s="6" t="str">
        <x:v>0.11866859623733719</x:v>
      </x:c>
      <x:c r="AS324" s="6" t="str">
        <x:v>With trade</x:v>
      </x:c>
      <x:c r="AT324" s="6" t="str">
        <x:v>5.879300359087224</x:v>
      </x:c>
      <x:c r="AU324" s="7" t="str">
        <x:v>2025-02-07 09:05:00-06:00</x:v>
      </x:c>
      <x:c r="AV324" s="8" t="str">
        <x:v>1</x:v>
      </x:c>
      <x:c r="AW324" s="6" t="str">
        <x:v>Immediate retest (1 bar)</x:v>
      </x:c>
      <x:c r="AX324" s="6" t="str">
        <x:v>20548.0</x:v>
      </x:c>
      <x:c r="AY324" s="6" t="str">
        <x:v>5.25</x:v>
      </x:c>
      <x:c r="AZ324" s="9" t="str">
        <x:v>0.13161665503358286</x:v>
      </x:c>
      <x:c r="BA324" s="9" t="str">
        <x:v>0.1817563331416144</x:v>
      </x:c>
      <x:c r="BB324" s="9" t="str">
        <x:v>1.5167252627679546</x:v>
      </x:c>
      <x:c r="BC324" s="9" t="str">
        <x:v>0.7583626313839773</x:v>
      </x:c>
      <x:c r="BD324" s="6" t="str">
        <x:v>0.2066115702479339</x:v>
      </x:c>
      <x:c r="BE324" s="6" t="str">
        <x:v>0.29338842975206614</x:v>
      </x:c>
      <x:c r="BF324" s="9" t="str">
        <x:v>0.31337298817519726</x:v>
      </x:c>
      <x:c r="BG324" s="9" t="str">
        <x:v>0.4449896432087801</x:v>
      </x:c>
      <x:c r="BH324" s="6" t="str">
        <x:v>Against trade</x:v>
      </x:c>
      <x:c r="BI324" s="6" t="str">
        <x:v>Penetration + same-bar reclaim</x:v>
      </x:c>
      <x:c r="BJ324" s="6" t="str">
        <x:v>False</x:v>
      </x:c>
      <x:c r="BK324" s="10" t="str">
        <x:v>True</x:v>
      </x:c>
      <x:c r="BL324" s="6" t="str">
        <x:v>True</x:v>
      </x:c>
      <x:c r="BM324" s="7" t="str">
        <x:v>2025-02-07 09:10:00-06:00</x:v>
      </x:c>
      <x:c r="BN324" s="8" t="str">
        <x:v>1</x:v>
      </x:c>
      <x:c r="BO324" s="6" t="str">
        <x:v>Immediate confirmation (1 bar)</x:v>
      </x:c>
      <x:c r="BP324" s="9" t="str">
        <x:v>1.4167505010324357</x:v>
      </x:c>
      <x:c r="BQ324" s="9" t="str">
        <x:v>2.338762731863069</x:v>
      </x:c>
      <x:c r="BR324" s="10" t="str">
        <x:v>0.6057692307692307</x:v>
      </x:c>
      <x:c r="BS324" s="9" t="str">
        <x:v>1.5910333007626163</x:v>
      </x:c>
      <x:c r="BT324" s="9" t="str">
        <x:v>1.4279945526279314</x:v>
      </x:c>
      <x:c r="BU324" s="9" t="str">
        <x:v>0.16866077393243284</x:v>
      </x:c>
      <x:c r="BV324" s="6" t="str">
        <x:v>With trade</x:v>
      </x:c>
      <x:c r="BW324" s="7" t="str">
        <x:v>2025-02-07 09:10:00-06:00</x:v>
      </x:c>
      <x:c r="BX324" s="6" t="str">
        <x:v>20472.0</x:v>
      </x:c>
      <x:c r="BY324" s="9" t="str">
        <x:v>44.46795674615233</x:v>
      </x:c>
      <x:c r="BZ324" s="9" t="str">
        <x:v>1.0</x:v>
      </x:c>
      <x:c r="CA324" s="6" t="str">
        <x:v>20538.70193511923</x:v>
      </x:c>
      <x:c r="CB324" s="6" t="str">
        <x:v>66.70193511922844</x:v>
      </x:c>
      <x:c r="CC324" s="9" t="str">
        <x:v>1.4999999999999987</x:v>
      </x:c>
      <x:c r="CD324" s="6" t="str">
        <x:v>20338.596129761543</x:v>
      </x:c>
      <x:c r="CE324" s="6" t="str">
        <x:v>133.40387023845688</x:v>
      </x:c>
      <x:c r="CF324" s="6" t="str">
        <x:v>Fixed 2.00R target</x:v>
      </x:c>
      <x:c r="CG324" s="9" t="str">
        <x:v>0.010869249875645682</x:v>
      </x:c>
      <x:c r="CH324" s="9" t="str">
        <x:v>-1.0</x:v>
      </x:c>
      <x:c r="CI324" s="9" t="str">
        <x:v>-1.0108692498756457</x:v>
      </x:c>
      <x:c r="CJ324" s="6" t="str">
        <x:v>Loss</x:v>
      </x:c>
      <x:c r="CK324" s="9" t="str">
        <x:v>0.29609335868138237</x:v>
      </x:c>
      <x:c r="CL324" s="9" t="str">
        <x:v>1.2143575723135176</x:v>
      </x:c>
      <x:c r="CM324" s="7" t="str">
        <x:v>2025-02-07 09:35:00-06:00</x:v>
      </x:c>
      <x:c r="CN324" s="6" t="str">
        <x:v>20538.70193511923</x:v>
      </x:c>
      <x:c r="CO324" s="6" t="str">
        <x:v>STOP</x:v>
      </x:c>
      <x:c r="CP324" s="6" t="str">
        <x:v>F::Short::Same-bar Setup+BOS::Penetration + same-bar reclaim</x:v>
      </x:c>
    </x:row>
    <x:row r="325" ht="18" customHeight="1">
      <x:c r="A325" s="6" t="str">
        <x:v>A0324</x:v>
      </x:c>
      <x:c r="B325" s="6" t="str">
        <x:v>2025-02-11</x:v>
      </x:c>
      <x:c r="C325" s="6" t="str">
        <x:v>2025</x:v>
      </x:c>
      <x:c r="D325" s="6" t="str">
        <x:v>2025-Q1</x:v>
      </x:c>
      <x:c r="E325" s="6" t="str">
        <x:v>First 50%</x:v>
      </x:c>
      <x:c r="F325" s="6" t="str">
        <x:v>Short</x:v>
      </x:c>
      <x:c r="G325" s="6" t="str">
        <x:v>Short</x:v>
      </x:c>
      <x:c r="H325" s="6" t="str">
        <x:v>Afternoon</x:v>
      </x:c>
      <x:c r="I325" s="6" t="str">
        <x:v>Afternoon</x:v>
      </x:c>
      <x:c r="J325" s="6" t="str">
        <x:v>Bull</x:v>
      </x:c>
      <x:c r="K325" s="6" t="str">
        <x:v>Bull</x:v>
      </x:c>
      <x:c r="L325" s="6" t="str">
        <x:v>MID</x:v>
      </x:c>
      <x:c r="M325" s="7" t="str">
        <x:v>2025-02-11 14:35:00-06:00</x:v>
      </x:c>
      <x:c r="N325" s="6" t="str">
        <x:v>100.0</x:v>
      </x:c>
      <x:c r="O325" s="6" t="str">
        <x:v>95+</x:v>
      </x:c>
      <x:c r="P325" s="6" t="str">
        <x:v>Matching BOS only</x:v>
      </x:c>
      <x:c r="Q325" s="6" t="str">
        <x:v>Bear CHoCH</x:v>
      </x:c>
      <x:c r="R325" s="6" t="str">
        <x:v>True</x:v>
      </x:c>
      <x:c r="S325" s="6" t="str">
        <x:v>False</x:v>
      </x:c>
      <x:c r="T325" s="6" t="str">
        <x:v>Recent BSL</x:v>
      </x:c>
      <x:c r="U325" s="6" t="str">
        <x:v>BSL</x:v>
      </x:c>
      <x:c r="V325" s="6" t="str">
        <x:v>Swing high / buy-side</x:v>
      </x:c>
      <x:c r="W325" s="6" t="str">
        <x:v>[20586.0]</x:v>
      </x:c>
      <x:c r="X325" s="8" t="str">
        <x:v>1</x:v>
      </x:c>
      <x:c r="Y325" s="8" t="str">
        <x:v>11.0</x:v>
      </x:c>
      <x:c r="Z325" s="6" t="str">
        <x:v>None</x:v>
      </x:c>
      <x:c r="AA325" s="6" t="str">
        <x:v>20544.75</x:v>
      </x:c>
      <x:c r="AB325" s="9" t="str">
        <x:v>0.941069389224675</x:v>
      </x:c>
      <x:c r="AC325" s="9" t="str">
        <x:v>1.4038904003187775</x:v>
      </x:c>
      <x:c r="AD325" s="9" t="str">
        <x:v>1.6044461717928886</x:v>
      </x:c>
      <x:c r="AE325" s="6" t="str">
        <x:v>With trade</x:v>
      </x:c>
      <x:c r="AF325" s="7" t="str">
        <x:v>2025-02-11 14:35:00-06:00</x:v>
      </x:c>
      <x:c r="AG325" s="6" t="str">
        <x:v>Short</x:v>
      </x:c>
      <x:c r="AH325" s="6" t="str">
        <x:v>20544.75</x:v>
      </x:c>
      <x:c r="AI325" s="8" t="str">
        <x:v>0</x:v>
      </x:c>
      <x:c r="AJ325" s="6" t="str">
        <x:v>True</x:v>
      </x:c>
      <x:c r="AK325" s="6" t="str">
        <x:v>Same-bar Setup+BOS</x:v>
      </x:c>
      <x:c r="AL325" s="9" t="str">
        <x:v>1.4038904003187775</x:v>
      </x:c>
      <x:c r="AM325" s="9" t="str">
        <x:v>0.941069389224675</x:v>
      </x:c>
      <x:c r="AN325" s="9" t="str">
        <x:v>1.4038904003187775</x:v>
      </x:c>
      <x:c r="AO325" s="9" t="str">
        <x:v>1.6044461717928886</x:v>
      </x:c>
      <x:c r="AP325" s="10" t="str">
        <x:v>0.875</x:v>
      </x:c>
      <x:c r="AQ325" s="6" t="str">
        <x:v>0.09615384615384616</x:v>
      </x:c>
      <x:c r="AR325" s="6" t="str">
        <x:v>0.028846153846153848</x:v>
      </x:c>
      <x:c r="AS325" s="6" t="str">
        <x:v>With trade</x:v>
      </x:c>
      <x:c r="AT325" s="6" t="str">
        <x:v>1.8006338231057333</x:v>
      </x:c>
      <x:c r="AU325" s="7" t="str">
        <x:v>2025-02-11 14:50:00-06:00</x:v>
      </x:c>
      <x:c r="AV325" s="8" t="str">
        <x:v>3</x:v>
      </x:c>
      <x:c r="AW325" s="6" t="str">
        <x:v>Delayed retest (2+ bars)</x:v>
      </x:c>
      <x:c r="AX325" s="6" t="str">
        <x:v>20549.5</x:v>
      </x:c>
      <x:c r="AY325" s="6" t="str">
        <x:v>4.75</x:v>
      </x:c>
      <x:c r="AZ325" s="9" t="str">
        <x:v>0.27913013192229885</x:v>
      </x:c>
      <x:c r="BA325" s="9" t="str">
        <x:v>0.7492440383177495</x:v>
      </x:c>
      <x:c r="BB325" s="9" t="str">
        <x:v>1.3662685404617785</x:v>
      </x:c>
      <x:c r="BC325" s="9" t="str">
        <x:v>0.088146357449147</x:v>
      </x:c>
      <x:c r="BD325" s="6" t="str">
        <x:v>0.6881720430107527</x:v>
      </x:c>
      <x:c r="BE325" s="6" t="str">
        <x:v>0.24731182795698925</x:v>
      </x:c>
      <x:c r="BF325" s="9" t="str">
        <x:v>0.9402278127909014</x:v>
      </x:c>
      <x:c r="BG325" s="9" t="str">
        <x:v>0.3378943702217302</x:v>
      </x:c>
      <x:c r="BH325" s="6" t="str">
        <x:v>With trade</x:v>
      </x:c>
      <x:c r="BI325" s="6" t="str">
        <x:v>Penetration + same-bar reclaim</x:v>
      </x:c>
      <x:c r="BJ325" s="6" t="str">
        <x:v>False</x:v>
      </x:c>
      <x:c r="BK325" s="10" t="str">
        <x:v>True</x:v>
      </x:c>
      <x:c r="BL325" s="6" t="str">
        <x:v>True</x:v>
      </x:c>
      <x:c r="BM325" s="7" t="str">
        <x:v>2025-02-11 15:05:00-06:00</x:v>
      </x:c>
      <x:c r="BN325" s="8" t="str">
        <x:v>3</x:v>
      </x:c>
      <x:c r="BO325" s="6" t="str">
        <x:v>Delayed confirmation (2+ bars)</x:v>
      </x:c>
      <x:c r="BP325" s="9" t="str">
        <x:v>0.3654617633557454</x:v>
      </x:c>
      <x:c r="BQ325" s="9" t="str">
        <x:v>0.8478712909853292</x:v>
      </x:c>
      <x:c r="BR325" s="10" t="str">
        <x:v>0.43103448275862066</x:v>
      </x:c>
      <x:c r="BS325" s="9" t="str">
        <x:v>0.29236941068459626</x:v>
      </x:c>
      <x:c r="BT325" s="9" t="str">
        <x:v>-0.45317258656112425</x:v>
      </x:c>
      <x:c r="BU325" s="9" t="str">
        <x:v>0.014618470534229815</x:v>
      </x:c>
      <x:c r="BV325" s="6" t="str">
        <x:v>With trade</x:v>
      </x:c>
      <x:c r="BW325" s="7" t="str">
        <x:v>2025-02-11 15:05:00-06:00</x:v>
      </x:c>
      <x:c r="BX325" s="6" t="str">
        <x:v>20539.75</x:v>
      </x:c>
      <x:c r="BY325" s="9" t="str">
        <x:v>17.101652283979615</x:v>
      </x:c>
      <x:c r="BZ325" s="9" t="str">
        <x:v>0.36</x:v>
      </x:c>
      <x:c r="CA325" s="6" t="str">
        <x:v>20565.40247842597</x:v>
      </x:c>
      <x:c r="CB325" s="6" t="str">
        <x:v>25.652478425970912</x:v>
      </x:c>
      <x:c r="CC325" s="9" t="str">
        <x:v>1.500000000000087</x:v>
      </x:c>
      <x:c r="CD325" s="6" t="str">
        <x:v>20488.44504314806</x:v>
      </x:c>
      <x:c r="CE325" s="6" t="str">
        <x:v>51.304956851938186</x:v>
      </x:c>
      <x:c r="CF325" s="6" t="str">
        <x:v>Fixed 2.00R target</x:v>
      </x:c>
      <x:c r="CG325" s="9" t="str">
        <x:v>0.028262376366175998</x:v>
      </x:c>
      <x:c r="CH325" s="9" t="str">
        <x:v>-1.0</x:v>
      </x:c>
      <x:c r="CI325" s="9" t="str">
        <x:v>-1.028262376366176</x:v>
      </x:c>
      <x:c r="CJ325" s="6" t="str">
        <x:v>Loss</x:v>
      </x:c>
      <x:c r="CK325" s="9" t="str">
        <x:v>0.03898258809127724</x:v>
      </x:c>
      <x:c r="CL325" s="9" t="str">
        <x:v>1.0817668195329435</x:v>
      </x:c>
      <x:c r="CM325" s="7" t="str">
        <x:v>2025-02-11 17:00:00-06:00</x:v>
      </x:c>
      <x:c r="CN325" s="6" t="str">
        <x:v>20565.40247842597</x:v>
      </x:c>
      <x:c r="CO325" s="6" t="str">
        <x:v>STOP</x:v>
      </x:c>
      <x:c r="CP325" s="6" t="str">
        <x:v>F::Short::Same-bar Setup+BOS::Penetration + same-bar reclaim</x:v>
      </x:c>
    </x:row>
    <x:row r="326" ht="18" customHeight="1">
      <x:c r="A326" s="6" t="str">
        <x:v>A0325</x:v>
      </x:c>
      <x:c r="B326" s="6" t="str">
        <x:v>2025-02-12</x:v>
      </x:c>
      <x:c r="C326" s="6" t="str">
        <x:v>2025</x:v>
      </x:c>
      <x:c r="D326" s="6" t="str">
        <x:v>2025-Q1</x:v>
      </x:c>
      <x:c r="E326" s="6" t="str">
        <x:v>First 50%</x:v>
      </x:c>
      <x:c r="F326" s="6" t="str">
        <x:v>Short</x:v>
      </x:c>
      <x:c r="G326" s="6" t="str">
        <x:v>Short</x:v>
      </x:c>
      <x:c r="H326" s="6" t="str">
        <x:v>Overnight</x:v>
      </x:c>
      <x:c r="I326" s="6" t="str">
        <x:v>Overnight</x:v>
      </x:c>
      <x:c r="J326" s="6" t="str">
        <x:v>Bull</x:v>
      </x:c>
      <x:c r="K326" s="6" t="str">
        <x:v>Bull</x:v>
      </x:c>
      <x:c r="L326" s="6" t="str">
        <x:v>HIGH</x:v>
      </x:c>
      <x:c r="M326" s="7" t="str">
        <x:v>2025-02-12 03:00:00-06:00</x:v>
      </x:c>
      <x:c r="N326" s="6" t="str">
        <x:v>90.0</x:v>
      </x:c>
      <x:c r="O326" s="6" t="str">
        <x:v>90-94</x:v>
      </x:c>
      <x:c r="P326" s="6" t="str">
        <x:v>Matching BOS only</x:v>
      </x:c>
      <x:c r="Q326" s="6" t="str">
        <x:v>Bear CHoCH</x:v>
      </x:c>
      <x:c r="R326" s="6" t="str">
        <x:v>True</x:v>
      </x:c>
      <x:c r="S326" s="6" t="str">
        <x:v>False</x:v>
      </x:c>
      <x:c r="T326" s="6" t="str">
        <x:v>Recent BSL</x:v>
      </x:c>
      <x:c r="U326" s="6" t="str">
        <x:v>BSL</x:v>
      </x:c>
      <x:c r="V326" s="6" t="str">
        <x:v>Swing high / buy-side</x:v>
      </x:c>
      <x:c r="W326" s="6" t="str">
        <x:v>[20565.5]</x:v>
      </x:c>
      <x:c r="X326" s="8" t="str">
        <x:v>1</x:v>
      </x:c>
      <x:c r="Y326" s="8" t="str">
        <x:v>5.0</x:v>
      </x:c>
      <x:c r="Z326" s="6" t="str">
        <x:v>None</x:v>
      </x:c>
      <x:c r="AA326" s="6" t="str">
        <x:v>20542.25</x:v>
      </x:c>
      <x:c r="AB326" s="9" t="str">
        <x:v>0.14507702814040277</x:v>
      </x:c>
      <x:c r="AC326" s="9" t="str">
        <x:v>1.0735700082389805</x:v>
      </x:c>
      <x:c r="AD326" s="9" t="str">
        <x:v>1.5378164982882694</x:v>
      </x:c>
      <x:c r="AE326" s="6" t="str">
        <x:v>With trade</x:v>
      </x:c>
      <x:c r="AF326" s="7" t="str">
        <x:v>2025-02-12 03:00:00-06:00</x:v>
      </x:c>
      <x:c r="AG326" s="6" t="str">
        <x:v>Short</x:v>
      </x:c>
      <x:c r="AH326" s="6" t="str">
        <x:v>20542.25</x:v>
      </x:c>
      <x:c r="AI326" s="8" t="str">
        <x:v>0</x:v>
      </x:c>
      <x:c r="AJ326" s="6" t="str">
        <x:v>True</x:v>
      </x:c>
      <x:c r="AK326" s="6" t="str">
        <x:v>Same-bar Setup+BOS</x:v>
      </x:c>
      <x:c r="AL326" s="9" t="str">
        <x:v>1.1606162251232222</x:v>
      </x:c>
      <x:c r="AM326" s="9" t="str">
        <x:v>0.14507702814040277</x:v>
      </x:c>
      <x:c r="AN326" s="9" t="str">
        <x:v>1.0735700082389805</x:v>
      </x:c>
      <x:c r="AO326" s="9" t="str">
        <x:v>1.5378164982882694</x:v>
      </x:c>
      <x:c r="AP326" s="10" t="str">
        <x:v>0.6981132075471698</x:v>
      </x:c>
      <x:c r="AQ326" s="6" t="str">
        <x:v>0.07547169811320754</x:v>
      </x:c>
      <x:c r="AR326" s="6" t="str">
        <x:v>0.22641509433962265</x:v>
      </x:c>
      <x:c r="AS326" s="6" t="str">
        <x:v>With trade</x:v>
      </x:c>
      <x:c r="AT326" s="6" t="str">
        <x:v>1.843871423525256</x:v>
      </x:c>
      <x:c r="AU326" s="7" t="str">
        <x:v>2025-02-12 03:05:00-06:00</x:v>
      </x:c>
      <x:c r="AV326" s="8" t="str">
        <x:v>1</x:v>
      </x:c>
      <x:c r="AW326" s="6" t="str">
        <x:v>Immediate retest (1 bar)</x:v>
      </x:c>
      <x:c r="AX326" s="6" t="str">
        <x:v>20541.25</x:v>
      </x:c>
      <x:c r="AY326" s="6" t="str">
        <x:v>0.0</x:v>
      </x:c>
      <x:c r="AZ326" s="9" t="str">
        <x:v>0.0</x:v>
      </x:c>
      <x:c r="BA326" s="9" t="str">
        <x:v>2.234389942728905</x:v>
      </x:c>
      <x:c r="BB326" s="9" t="str">
        <x:v>3.7847829642142674</x:v>
      </x:c>
      <x:c r="BC326" s="9" t="str">
        <x:v>2.0975905584801966</x:v>
      </x:c>
      <x:c r="BD326" s="6" t="str">
        <x:v>0.012048192771084338</x:v>
      </x:c>
      <x:c r="BE326" s="6" t="str">
        <x:v>0.43373493975903615</x:v>
      </x:c>
      <x:c r="BF326" s="9" t="str">
        <x:v>0.04559979474956949</x:v>
      </x:c>
      <x:c r="BG326" s="9" t="str">
        <x:v>1.6415926109845016</x:v>
      </x:c>
      <x:c r="BH326" s="6" t="str">
        <x:v>With trade</x:v>
      </x:c>
      <x:c r="BI326" s="6" t="str">
        <x:v>Tolerance-only shallow touch</x:v>
      </x:c>
      <x:c r="BJ326" s="6" t="str">
        <x:v>True</x:v>
      </x:c>
      <x:c r="BK326" s="10" t="str">
        <x:v>False</x:v>
      </x:c>
      <x:c r="BL326" s="6" t="str">
        <x:v>True</x:v>
      </x:c>
      <x:c r="BM326" s="7" t="str">
        <x:v>2025-02-12 03:10:00-06:00</x:v>
      </x:c>
      <x:c r="BN326" s="8" t="str">
        <x:v>1</x:v>
      </x:c>
      <x:c r="BO326" s="6" t="str">
        <x:v>Immediate confirmation (1 bar)</x:v>
      </x:c>
      <x:c r="BP326" s="9" t="str">
        <x:v>0.08802567765216462</x:v>
      </x:c>
      <x:c r="BQ326" s="9" t="str">
        <x:v>1.4524236812607163</x:v>
      </x:c>
      <x:c r="BR326" s="10" t="str">
        <x:v>0.06060606060606061</x:v>
      </x:c>
      <x:c r="BS326" s="9" t="str">
        <x:v>2.310674038369321</x:v>
      </x:c>
      <x:c r="BT326" s="9" t="str">
        <x:v>0.1540449358912881</x:v>
      </x:c>
      <x:c r="BU326" s="9" t="str">
        <x:v>0.17605135530432925</x:v>
      </x:c>
      <x:c r="BV326" s="6" t="str">
        <x:v>With trade</x:v>
      </x:c>
      <x:c r="BW326" s="7" t="str">
        <x:v>2025-02-12 03:10:00-06:00</x:v>
      </x:c>
      <x:c r="BX326" s="6" t="str">
        <x:v>20516.0</x:v>
      </x:c>
      <x:c r="BY326" s="9" t="str">
        <x:v>11.360321518358788</x:v>
      </x:c>
      <x:c r="BZ326" s="9" t="str">
        <x:v>1.0</x:v>
      </x:c>
      <x:c r="CA326" s="6" t="str">
        <x:v>20533.040482277538</x:v>
      </x:c>
      <x:c r="CB326" s="6" t="str">
        <x:v>17.040482277538104</x:v>
      </x:c>
      <x:c r="CC326" s="9" t="str">
        <x:v>1.4999999999999931</x:v>
      </x:c>
      <x:c r="CD326" s="6" t="str">
        <x:v>20481.919035444924</x:v>
      </x:c>
      <x:c r="CE326" s="6" t="str">
        <x:v>34.08096455507621</x:v>
      </x:c>
      <x:c r="CF326" s="6" t="str">
        <x:v>Fixed 2.00R target</x:v>
      </x:c>
      <x:c r="CG326" s="9" t="str">
        <x:v>0.042545744198546426</x:v>
      </x:c>
      <x:c r="CH326" s="9" t="str">
        <x:v>-0.20539324785505078</x:v>
      </x:c>
      <x:c r="CI326" s="9" t="str">
        <x:v>-0.2479389920535972</x:v>
      </x:c>
      <x:c r="CJ326" s="6" t="str">
        <x:v>Loss</x:v>
      </x:c>
      <x:c r="CK326" s="9" t="str">
        <x:v>1.6138040902896922</x:v>
      </x:c>
      <x:c r="CL326" s="9" t="str">
        <x:v>0.8362439376955677</x:v>
      </x:c>
      <x:c r="CM326" s="7" t="str">
        <x:v>2025-02-12 04:10:00-06:00</x:v>
      </x:c>
      <x:c r="CN326" s="6" t="str">
        <x:v>20519.5</x:v>
      </x:c>
      <x:c r="CO326" s="6" t="str">
        <x:v>TIME</x:v>
      </x:c>
      <x:c r="CP326" s="6" t="str">
        <x:v>F::Short::Same-bar Setup+BOS::Tolerance-only shallow touch</x:v>
      </x:c>
    </x:row>
    <x:row r="327" ht="18" customHeight="1">
      <x:c r="A327" s="6" t="str">
        <x:v>A0326</x:v>
      </x:c>
      <x:c r="B327" s="6" t="str">
        <x:v>2025-02-12</x:v>
      </x:c>
      <x:c r="C327" s="6" t="str">
        <x:v>2025</x:v>
      </x:c>
      <x:c r="D327" s="6" t="str">
        <x:v>2025-Q1</x:v>
      </x:c>
      <x:c r="E327" s="6" t="str">
        <x:v>First 50%</x:v>
      </x:c>
      <x:c r="F327" s="6" t="str">
        <x:v>Long</x:v>
      </x:c>
      <x:c r="G327" s="6" t="str">
        <x:v>Long</x:v>
      </x:c>
      <x:c r="H327" s="6" t="str">
        <x:v>Morning</x:v>
      </x:c>
      <x:c r="I327" s="6" t="str">
        <x:v>Morning</x:v>
      </x:c>
      <x:c r="J327" s="6" t="str">
        <x:v>Neutral</x:v>
      </x:c>
      <x:c r="K327" s="6" t="str">
        <x:v>Bear</x:v>
      </x:c>
      <x:c r="L327" s="6" t="str">
        <x:v>MID</x:v>
      </x:c>
      <x:c r="M327" s="7" t="str">
        <x:v>2025-02-12 10:55:00-06:00</x:v>
      </x:c>
      <x:c r="N327" s="6" t="str">
        <x:v>75.0</x:v>
      </x:c>
      <x:c r="O327" s="6" t="str">
        <x:v>75-79</x:v>
      </x:c>
      <x:c r="P327" s="6" t="str">
        <x:v>Matching BOS only</x:v>
      </x:c>
      <x:c r="Q327" s="6" t="str">
        <x:v>Bull BOS</x:v>
      </x:c>
      <x:c r="R327" s="6" t="str">
        <x:v>True</x:v>
      </x:c>
      <x:c r="S327" s="6" t="str">
        <x:v>False</x:v>
      </x:c>
      <x:c r="T327" s="6" t="str">
        <x:v>No recent matching sweep</x:v>
      </x:c>
      <x:c r="U327" s="6" t="str">
        <x:v>None</x:v>
      </x:c>
      <x:c r="V327" s="6" t="str">
        <x:v>None</x:v>
      </x:c>
      <x:c r="W327" s="6" t="str">
        <x:v>[]</x:v>
      </x:c>
      <x:c r="X327" s="8" t="str">
        <x:v>0</x:v>
      </x:c>
      <x:c r="Y327" s="8" t="str"/>
      <x:c r="Z327" s="6" t="str">
        <x:v>None</x:v>
      </x:c>
      <x:c r="AA327" s="6" t="str">
        <x:v>20525.75</x:v>
      </x:c>
      <x:c r="AB327" s="9" t="str">
        <x:v>0.18904714446761697</x:v>
      </x:c>
      <x:c r="AC327" s="9" t="str">
        <x:v>0.9942479449778374</x:v>
      </x:c>
      <x:c r="AD327" s="9" t="str">
        <x:v>1.134282866805702</x:v>
      </x:c>
      <x:c r="AE327" s="6" t="str">
        <x:v>With trade</x:v>
      </x:c>
      <x:c r="AF327" s="7" t="str">
        <x:v>2025-02-12 10:55:00-06:00</x:v>
      </x:c>
      <x:c r="AG327" s="6" t="str">
        <x:v>Long</x:v>
      </x:c>
      <x:c r="AH327" s="6" t="str">
        <x:v>20525.75</x:v>
      </x:c>
      <x:c r="AI327" s="8" t="str">
        <x:v>0</x:v>
      </x:c>
      <x:c r="AJ327" s="6" t="str">
        <x:v>True</x:v>
      </x:c>
      <x:c r="AK327" s="6" t="str">
        <x:v>Same-bar Setup+BOS</x:v>
      </x:c>
      <x:c r="AL327" s="9" t="str">
        <x:v>1.008251437160624</x:v>
      </x:c>
      <x:c r="AM327" s="9" t="str">
        <x:v>0.18904714446761697</x:v>
      </x:c>
      <x:c r="AN327" s="9" t="str">
        <x:v>0.9942479449778374</x:v>
      </x:c>
      <x:c r="AO327" s="9" t="str">
        <x:v>1.134282866805702</x:v>
      </x:c>
      <x:c r="AP327" s="10" t="str">
        <x:v>0.8765432098765432</x:v>
      </x:c>
      <x:c r="AQ327" s="6" t="str">
        <x:v>0.1111111111111111</x:v>
      </x:c>
      <x:c r="AR327" s="6" t="str">
        <x:v>0.012345679012345678</x:v>
      </x:c>
      <x:c r="AS327" s="6" t="str">
        <x:v>With trade</x:v>
      </x:c>
      <x:c r="AT327" s="6" t="str">
        <x:v>1.2758186909061398</x:v>
      </x:c>
      <x:c r="AU327" s="7" t="str">
        <x:v>2025-02-12 11:00:00-06:00</x:v>
      </x:c>
      <x:c r="AV327" s="8" t="str">
        <x:v>1</x:v>
      </x:c>
      <x:c r="AW327" s="6" t="str">
        <x:v>Immediate retest (1 bar)</x:v>
      </x:c>
      <x:c r="AX327" s="6" t="str">
        <x:v>20526.25</x:v>
      </x:c>
      <x:c r="AY327" s="6" t="str">
        <x:v>0.0</x:v>
      </x:c>
      <x:c r="AZ327" s="9" t="str">
        <x:v>0.0</x:v>
      </x:c>
      <x:c r="BA327" s="9" t="str">
        <x:v>0.15773195994477865</x:v>
      </x:c>
      <x:c r="BB327" s="9" t="str">
        <x:v>0.6882849161226704</x:v>
      </x:c>
      <x:c r="BC327" s="9" t="str">
        <x:v>0.03584817271472242</x:v>
      </x:c>
      <x:c r="BD327" s="6" t="str">
        <x:v>0.7395833333333334</x:v>
      </x:c>
      <x:c r="BE327" s="6" t="str">
        <x:v>0.20833333333333334</x:v>
      </x:c>
      <x:c r="BF327" s="9" t="str">
        <x:v>0.14339269085888967</x:v>
      </x:c>
      <x:c r="BG327" s="9" t="str">
        <x:v>0.5090440525490584</x:v>
      </x:c>
      <x:c r="BH327" s="6" t="str">
        <x:v>Against trade</x:v>
      </x:c>
      <x:c r="BI327" s="6" t="str">
        <x:v>Tolerance-only shallow touch</x:v>
      </x:c>
      <x:c r="BJ327" s="6" t="str">
        <x:v>True</x:v>
      </x:c>
      <x:c r="BK327" s="10" t="str">
        <x:v>False</x:v>
      </x:c>
      <x:c r="BL327" s="6" t="str">
        <x:v>True</x:v>
      </x:c>
      <x:c r="BM327" s="7" t="str">
        <x:v>2025-02-12 11:10:00-06:00</x:v>
      </x:c>
      <x:c r="BN327" s="8" t="str">
        <x:v>2</x:v>
      </x:c>
      <x:c r="BO327" s="6" t="str">
        <x:v>Delayed confirmation (2+ bars)</x:v>
      </x:c>
      <x:c r="BP327" s="9" t="str">
        <x:v>0.18395027256904528</x:v>
      </x:c>
      <x:c r="BQ327" s="9" t="str">
        <x:v>0.9418253955535117</x:v>
      </x:c>
      <x:c r="BR327" s="10" t="str">
        <x:v>0.1953125</x:v>
      </x:c>
      <x:c r="BS327" s="9" t="str">
        <x:v>0.3384685015270433</x:v>
      </x:c>
      <x:c r="BT327" s="9" t="str">
        <x:v>0.17659226166628345</x:v>
      </x:c>
      <x:c r="BU327" s="9" t="str">
        <x:v>0.3384685015270433</x:v>
      </x:c>
      <x:c r="BV327" s="6" t="str">
        <x:v>With trade</x:v>
      </x:c>
      <x:c r="BW327" s="7" t="str">
        <x:v>2025-02-12 11:10:00-06:00</x:v>
      </x:c>
      <x:c r="BX327" s="6" t="str">
        <x:v>20537.25</x:v>
      </x:c>
      <x:c r="BY327" s="9" t="str">
        <x:v>33.976573737633785</x:v>
      </x:c>
      <x:c r="BZ327" s="9" t="str">
        <x:v>0.62</x:v>
      </x:c>
      <x:c r="CA327" s="6" t="str">
        <x:v>20486.28513939355</x:v>
      </x:c>
      <x:c r="CB327" s="6" t="str">
        <x:v>50.96486060645111</x:v>
      </x:c>
      <x:c r="CC327" s="9" t="str">
        <x:v>1.5000000000000127</x:v>
      </x:c>
      <x:c r="CD327" s="6" t="str">
        <x:v>20639.179721212902</x:v>
      </x:c>
      <x:c r="CE327" s="6" t="str">
        <x:v>101.92972121290222</x:v>
      </x:c>
      <x:c r="CF327" s="6" t="str">
        <x:v>Fixed 2.00R target</x:v>
      </x:c>
      <x:c r="CG327" s="9" t="str">
        <x:v>0.01422548774533938</x:v>
      </x:c>
      <x:c r="CH327" s="9" t="str">
        <x:v>0.4807233789804383</x:v>
      </x:c>
      <x:c r="CI327" s="9" t="str">
        <x:v>0.46649789123509894</x:v>
      </x:c>
      <x:c r="CJ327" s="6" t="str">
        <x:v>Win</x:v>
      </x:c>
      <x:c r="CK327" s="9" t="str">
        <x:v>0.8240972211093158</x:v>
      </x:c>
      <x:c r="CL327" s="9" t="str">
        <x:v>0.5739248504154164</x:v>
      </x:c>
      <x:c r="CM327" s="7" t="str">
        <x:v>2025-02-12 12:10:00-06:00</x:v>
      </x:c>
      <x:c r="CN327" s="6" t="str">
        <x:v>20561.75</x:v>
      </x:c>
      <x:c r="CO327" s="6" t="str">
        <x:v>TIME</x:v>
      </x:c>
      <x:c r="CP327" s="6" t="str">
        <x:v>F::Long::Same-bar Setup+BOS::Tolerance-only shallow touch</x:v>
      </x:c>
    </x:row>
    <x:row r="328" ht="18" customHeight="1">
      <x:c r="A328" s="6" t="str">
        <x:v>A0327</x:v>
      </x:c>
      <x:c r="B328" s="6" t="str">
        <x:v>2025-02-12</x:v>
      </x:c>
      <x:c r="C328" s="6" t="str">
        <x:v>2025</x:v>
      </x:c>
      <x:c r="D328" s="6" t="str">
        <x:v>2025-Q1</x:v>
      </x:c>
      <x:c r="E328" s="6" t="str">
        <x:v>First 50%</x:v>
      </x:c>
      <x:c r="F328" s="6" t="str">
        <x:v>Long</x:v>
      </x:c>
      <x:c r="G328" s="6" t="str">
        <x:v>Long</x:v>
      </x:c>
      <x:c r="H328" s="6" t="str">
        <x:v>Overnight</x:v>
      </x:c>
      <x:c r="I328" s="6" t="str">
        <x:v>Overnight</x:v>
      </x:c>
      <x:c r="J328" s="6" t="str">
        <x:v>Bull</x:v>
      </x:c>
      <x:c r="K328" s="6" t="str">
        <x:v>Bull</x:v>
      </x:c>
      <x:c r="L328" s="6" t="str">
        <x:v>LOW</x:v>
      </x:c>
      <x:c r="M328" s="7" t="str">
        <x:v>2025-02-12 21:05:00-06:00</x:v>
      </x:c>
      <x:c r="N328" s="6" t="str">
        <x:v>90.0</x:v>
      </x:c>
      <x:c r="O328" s="6" t="str">
        <x:v>90-94</x:v>
      </x:c>
      <x:c r="P328" s="6" t="str">
        <x:v>Matching BOS only</x:v>
      </x:c>
      <x:c r="Q328" s="6" t="str">
        <x:v>Bull CHoCH</x:v>
      </x:c>
      <x:c r="R328" s="6" t="str">
        <x:v>True</x:v>
      </x:c>
      <x:c r="S328" s="6" t="str">
        <x:v>False</x:v>
      </x:c>
      <x:c r="T328" s="6" t="str">
        <x:v>Recent SSL</x:v>
      </x:c>
      <x:c r="U328" s="6" t="str">
        <x:v>SSL</x:v>
      </x:c>
      <x:c r="V328" s="6" t="str">
        <x:v>Swing low / sell-side</x:v>
      </x:c>
      <x:c r="W328" s="6" t="str">
        <x:v>[20625.25]</x:v>
      </x:c>
      <x:c r="X328" s="8" t="str">
        <x:v>1</x:v>
      </x:c>
      <x:c r="Y328" s="8" t="str">
        <x:v>11.0</x:v>
      </x:c>
      <x:c r="Z328" s="6" t="str">
        <x:v>None</x:v>
      </x:c>
      <x:c r="AA328" s="6" t="str">
        <x:v>20647.0</x:v>
      </x:c>
      <x:c r="AB328" s="9" t="str">
        <x:v>0.1770974878651227</x:v>
      </x:c>
      <x:c r="AC328" s="9" t="str">
        <x:v>1.0330686792132158</x:v>
      </x:c>
      <x:c r="AD328" s="9" t="str">
        <x:v>1.3282311589884204</x:v>
      </x:c>
      <x:c r="AE328" s="6" t="str">
        <x:v>With trade</x:v>
      </x:c>
      <x:c r="AF328" s="7" t="str">
        <x:v>2025-02-12 21:05:00-06:00</x:v>
      </x:c>
      <x:c r="AG328" s="6" t="str">
        <x:v>Long</x:v>
      </x:c>
      <x:c r="AH328" s="6" t="str">
        <x:v>20647.0</x:v>
      </x:c>
      <x:c r="AI328" s="8" t="str">
        <x:v>0</x:v>
      </x:c>
      <x:c r="AJ328" s="6" t="str">
        <x:v>True</x:v>
      </x:c>
      <x:c r="AK328" s="6" t="str">
        <x:v>Same-bar Setup+BOS</x:v>
      </x:c>
      <x:c r="AL328" s="9" t="str">
        <x:v>1.0625849271907362</x:v>
      </x:c>
      <x:c r="AM328" s="9" t="str">
        <x:v>0.1770974878651227</x:v>
      </x:c>
      <x:c r="AN328" s="9" t="str">
        <x:v>1.0330686792132158</x:v>
      </x:c>
      <x:c r="AO328" s="9" t="str">
        <x:v>1.3282311589884204</x:v>
      </x:c>
      <x:c r="AP328" s="10" t="str">
        <x:v>0.7777777777777778</x:v>
      </x:c>
      <x:c r="AQ328" s="6" t="str">
        <x:v>0.2222222222222222</x:v>
      </x:c>
      <x:c r="AR328" s="6" t="str">
        <x:v>0.0</x:v>
      </x:c>
      <x:c r="AS328" s="6" t="str">
        <x:v>With trade</x:v>
      </x:c>
      <x:c r="AT328" s="6" t="str">
        <x:v>0.8100999473961074</x:v>
      </x:c>
      <x:c r="AU328" s="7" t="str">
        <x:v>2025-02-12 21:15:00-06:00</x:v>
      </x:c>
      <x:c r="AV328" s="8" t="str">
        <x:v>2</x:v>
      </x:c>
      <x:c r="AW328" s="6" t="str">
        <x:v>Delayed retest (2+ bars)</x:v>
      </x:c>
      <x:c r="AX328" s="6" t="str">
        <x:v>20646.5</x:v>
      </x:c>
      <x:c r="AY328" s="6" t="str">
        <x:v>0.5</x:v>
      </x:c>
      <x:c r="AZ328" s="9" t="str">
        <x:v>0.062334424318395976</x:v>
      </x:c>
      <x:c r="BA328" s="9" t="str">
        <x:v>0.8415147282983456</x:v>
      </x:c>
      <x:c r="BB328" s="9" t="str">
        <x:v>0.9350163647759396</x:v>
      </x:c>
      <x:c r="BC328" s="9" t="str">
        <x:v>0.5921770310247617</x:v>
      </x:c>
      <x:c r="BD328" s="6" t="str">
        <x:v>0.03333333333333333</x:v>
      </x:c>
      <x:c r="BE328" s="6" t="str">
        <x:v>0.3333333333333333</x:v>
      </x:c>
      <x:c r="BF328" s="9" t="str">
        <x:v>0.3116721215919799</x:v>
      </x:c>
      <x:c r="BG328" s="9" t="str">
        <x:v>0.031167212159197988</x:v>
      </x:c>
      <x:c r="BH328" s="6" t="str">
        <x:v>With trade</x:v>
      </x:c>
      <x:c r="BI328" s="6" t="str">
        <x:v>Penetration + same-bar reclaim</x:v>
      </x:c>
      <x:c r="BJ328" s="6" t="str">
        <x:v>False</x:v>
      </x:c>
      <x:c r="BK328" s="10" t="str">
        <x:v>True</x:v>
      </x:c>
      <x:c r="BL328" s="6" t="str">
        <x:v>True</x:v>
      </x:c>
      <x:c r="BM328" s="7" t="str">
        <x:v>2025-02-12 21:20:00-06:00</x:v>
      </x:c>
      <x:c r="BN328" s="8" t="str">
        <x:v>1</x:v>
      </x:c>
      <x:c r="BO328" s="6" t="str">
        <x:v>Immediate confirmation (1 bar)</x:v>
      </x:c>
      <x:c r="BP328" s="9" t="str">
        <x:v>0.5670372315436215</x:v>
      </x:c>
      <x:c r="BQ328" s="9" t="str">
        <x:v>1.5518913705404378</x:v>
      </x:c>
      <x:c r="BR328" s="10" t="str">
        <x:v>0.36538461538461536</x:v>
      </x:c>
      <x:c r="BS328" s="9" t="str">
        <x:v>1.402671046450011</x:v>
      </x:c>
      <x:c r="BT328" s="9" t="str">
        <x:v>0.5968812963617068</x:v>
      </x:c>
      <x:c r="BU328" s="9" t="str">
        <x:v>0.11937625927234137</x:v>
      </x:c>
      <x:c r="BV328" s="6" t="str">
        <x:v>With trade</x:v>
      </x:c>
      <x:c r="BW328" s="7" t="str">
        <x:v>2025-02-12 21:20:00-06:00</x:v>
      </x:c>
      <x:c r="BX328" s="6" t="str">
        <x:v>20658.75</x:v>
      </x:c>
      <x:c r="BY328" s="9" t="str">
        <x:v>8.376874984150998</x:v>
      </x:c>
      <x:c r="BZ328" s="9" t="str">
        <x:v>0.03</x:v>
      </x:c>
      <x:c r="CA328" s="6" t="str">
        <x:v>20646.184687523775</x:v>
      </x:c>
      <x:c r="CB328" s="6" t="str">
        <x:v>12.56531247622479</x:v>
      </x:c>
      <x:c r="CC328" s="9" t="str">
        <x:v>1.4999999999997962</x:v>
      </x:c>
      <x:c r="CD328" s="6" t="str">
        <x:v>20683.880624952453</x:v>
      </x:c>
      <x:c r="CE328" s="6" t="str">
        <x:v>25.130624952453218</x:v>
      </x:c>
      <x:c r="CF328" s="6" t="str">
        <x:v>Fixed 2.00R target</x:v>
      </x:c>
      <x:c r="CG328" s="9" t="str">
        <x:v>0.05769852531497283</x:v>
      </x:c>
      <x:c r="CH328" s="9" t="str">
        <x:v>1.094282376663129</x:v>
      </x:c>
      <x:c r="CI328" s="9" t="str">
        <x:v>1.0365838513481562</x:v>
      </x:c>
      <x:c r="CJ328" s="6" t="str">
        <x:v>Win</x:v>
      </x:c>
      <x:c r="CK328" s="9" t="str">
        <x:v>1.432515111268291</x:v>
      </x:c>
      <x:c r="CL328" s="9" t="str">
        <x:v>0.4775050370894303</x:v>
      </x:c>
      <x:c r="CM328" s="7" t="str">
        <x:v>2025-02-12 22:20:00-06:00</x:v>
      </x:c>
      <x:c r="CN328" s="6" t="str">
        <x:v>20672.5</x:v>
      </x:c>
      <x:c r="CO328" s="6" t="str">
        <x:v>TIME</x:v>
      </x:c>
      <x:c r="CP328" s="6" t="str">
        <x:v>F::Long::Same-bar Setup+BOS::Penetration + same-bar reclaim</x:v>
      </x:c>
    </x:row>
    <x:row r="329" ht="18" customHeight="1">
      <x:c r="A329" s="6" t="str">
        <x:v>A0328</x:v>
      </x:c>
      <x:c r="B329" s="6" t="str">
        <x:v>2025-02-13</x:v>
      </x:c>
      <x:c r="C329" s="6" t="str">
        <x:v>2025</x:v>
      </x:c>
      <x:c r="D329" s="6" t="str">
        <x:v>2025-Q1</x:v>
      </x:c>
      <x:c r="E329" s="6" t="str">
        <x:v>First 50%</x:v>
      </x:c>
      <x:c r="F329" s="6" t="str">
        <x:v>Short</x:v>
      </x:c>
      <x:c r="G329" s="6" t="str">
        <x:v>Short</x:v>
      </x:c>
      <x:c r="H329" s="6" t="str">
        <x:v>Overnight</x:v>
      </x:c>
      <x:c r="I329" s="6" t="str">
        <x:v>Overnight</x:v>
      </x:c>
      <x:c r="J329" s="6" t="str">
        <x:v>Bull</x:v>
      </x:c>
      <x:c r="K329" s="6" t="str">
        <x:v>Bull</x:v>
      </x:c>
      <x:c r="L329" s="6" t="str">
        <x:v>LOW</x:v>
      </x:c>
      <x:c r="M329" s="7" t="str">
        <x:v>2025-02-13 23:35:00-06:00</x:v>
      </x:c>
      <x:c r="N329" s="6" t="str">
        <x:v>90.0</x:v>
      </x:c>
      <x:c r="O329" s="6" t="str">
        <x:v>90-94</x:v>
      </x:c>
      <x:c r="P329" s="6" t="str">
        <x:v>Matching BOS only</x:v>
      </x:c>
      <x:c r="Q329" s="6" t="str">
        <x:v>Bear BOS</x:v>
      </x:c>
      <x:c r="R329" s="6" t="str">
        <x:v>True</x:v>
      </x:c>
      <x:c r="S329" s="6" t="str">
        <x:v>False</x:v>
      </x:c>
      <x:c r="T329" s="6" t="str">
        <x:v>Recent BSL</x:v>
      </x:c>
      <x:c r="U329" s="6" t="str">
        <x:v>BSL</x:v>
      </x:c>
      <x:c r="V329" s="6" t="str">
        <x:v>Equal high / buy-side | Swing high / buy-side</x:v>
      </x:c>
      <x:c r="W329" s="6" t="str">
        <x:v>[20899.5,20899.0]</x:v>
      </x:c>
      <x:c r="X329" s="8" t="str">
        <x:v>2</x:v>
      </x:c>
      <x:c r="Y329" s="8" t="str">
        <x:v>7.0</x:v>
      </x:c>
      <x:c r="Z329" s="6" t="str">
        <x:v>None</x:v>
      </x:c>
      <x:c r="AA329" s="6" t="str">
        <x:v>20878.5</x:v>
      </x:c>
      <x:c r="AB329" s="9" t="str">
        <x:v>0.3535747372300999</x:v>
      </x:c>
      <x:c r="AC329" s="9" t="str">
        <x:v>1.2375115803053498</x:v>
      </x:c>
      <x:c r="AD329" s="9" t="str">
        <x:v>1.900464212611787</x:v>
      </x:c>
      <x:c r="AE329" s="6" t="str">
        <x:v>With trade</x:v>
      </x:c>
      <x:c r="AF329" s="7" t="str">
        <x:v>2025-02-13 23:35:00-06:00</x:v>
      </x:c>
      <x:c r="AG329" s="6" t="str">
        <x:v>Short</x:v>
      </x:c>
      <x:c r="AH329" s="6" t="str">
        <x:v>20878.5</x:v>
      </x:c>
      <x:c r="AI329" s="8" t="str">
        <x:v>0</x:v>
      </x:c>
      <x:c r="AJ329" s="6" t="str">
        <x:v>True</x:v>
      </x:c>
      <x:c r="AK329" s="6" t="str">
        <x:v>Same-bar Setup+BOS</x:v>
      </x:c>
      <x:c r="AL329" s="9" t="str">
        <x:v>1.1933147381515872</x:v>
      </x:c>
      <x:c r="AM329" s="9" t="str">
        <x:v>0.3535747372300999</x:v>
      </x:c>
      <x:c r="AN329" s="9" t="str">
        <x:v>1.2375115803053498</x:v>
      </x:c>
      <x:c r="AO329" s="9" t="str">
        <x:v>1.900464212611787</x:v>
      </x:c>
      <x:c r="AP329" s="10" t="str">
        <x:v>0.6511627906976745</x:v>
      </x:c>
      <x:c r="AQ329" s="6" t="str">
        <x:v>0.32558139534883723</x:v>
      </x:c>
      <x:c r="AR329" s="6" t="str">
        <x:v>0.023255813953488372</x:v>
      </x:c>
      <x:c r="AS329" s="6" t="str">
        <x:v>With trade</x:v>
      </x:c>
      <x:c r="AT329" s="6" t="str">
        <x:v>2.7628032345013476</x:v>
      </x:c>
      <x:c r="AU329" s="7" t="str">
        <x:v>2025-02-13 23:40:00-06:00</x:v>
      </x:c>
      <x:c r="AV329" s="8" t="str">
        <x:v>1</x:v>
      </x:c>
      <x:c r="AW329" s="6" t="str">
        <x:v>Immediate retest (1 bar)</x:v>
      </x:c>
      <x:c r="AX329" s="6" t="str">
        <x:v>20880.0</x:v>
      </x:c>
      <x:c r="AY329" s="6" t="str">
        <x:v>1.5</x:v>
      </x:c>
      <x:c r="AZ329" s="9" t="str">
        <x:v>0.23652733163757153</x:v>
      </x:c>
      <x:c r="BA329" s="9" t="str">
        <x:v>0.5518971071543336</x:v>
      </x:c>
      <x:c r="BB329" s="9" t="str">
        <x:v>2.4046945383153107</x:v>
      </x:c>
      <x:c r="BC329" s="9" t="str">
        <x:v>0.19710610969797626</x:v>
      </x:c>
      <x:c r="BD329" s="6" t="str">
        <x:v>0.2459016393442623</x:v>
      </x:c>
      <x:c r="BE329" s="6" t="str">
        <x:v>0.6721311475409836</x:v>
      </x:c>
      <x:c r="BF329" s="9" t="str">
        <x:v>0.5913183290939288</x:v>
      </x:c>
      <x:c r="BG329" s="9" t="str">
        <x:v>1.6162700995234054</x:v>
      </x:c>
      <x:c r="BH329" s="6" t="str">
        <x:v>With trade</x:v>
      </x:c>
      <x:c r="BI329" s="6" t="str">
        <x:v>Penetration + same-bar reclaim</x:v>
      </x:c>
      <x:c r="BJ329" s="6" t="str">
        <x:v>False</x:v>
      </x:c>
      <x:c r="BK329" s="10" t="str">
        <x:v>True</x:v>
      </x:c>
      <x:c r="BL329" s="6" t="str">
        <x:v>True</x:v>
      </x:c>
      <x:c r="BM329" s="7" t="str">
        <x:v>2025-02-13 23:45:00-06:00</x:v>
      </x:c>
      <x:c r="BN329" s="8" t="str">
        <x:v>1</x:v>
      </x:c>
      <x:c r="BO329" s="6" t="str">
        <x:v>Immediate confirmation (1 bar)</x:v>
      </x:c>
      <x:c r="BP329" s="9" t="str">
        <x:v>0.8591899376623953</x:v>
      </x:c>
      <x:c r="BQ329" s="9" t="str">
        <x:v>1.6810237910785994</x:v>
      </x:c>
      <x:c r="BR329" s="10" t="str">
        <x:v>0.5111111111111111</x:v>
      </x:c>
      <x:c r="BS329" s="9" t="str">
        <x:v>1.4942433698476438</x:v>
      </x:c>
      <x:c r="BT329" s="9" t="str">
        <x:v>0.9712581904009685</x:v>
      </x:c>
      <x:c r="BU329" s="9" t="str">
        <x:v>0.26149258972333767</x:v>
      </x:c>
      <x:c r="BV329" s="6" t="str">
        <x:v>With trade</x:v>
      </x:c>
      <x:c r="BW329" s="7" t="str">
        <x:v>2025-02-13 23:45:00-06:00</x:v>
      </x:c>
      <x:c r="BX329" s="6" t="str">
        <x:v>20868.5</x:v>
      </x:c>
      <x:c r="BY329" s="9" t="str">
        <x:v>6.6923502568524835</x:v>
      </x:c>
      <x:c r="BZ329" s="9" t="str">
        <x:v>0.2</x:v>
      </x:c>
      <x:c r="CA329" s="6" t="str">
        <x:v>20878.53852538528</x:v>
      </x:c>
      <x:c r="CB329" s="6" t="str">
        <x:v>10.038525385280082</x:v>
      </x:c>
      <x:c r="CC329" s="9" t="str">
        <x:v>1.5000000000002027</x:v>
      </x:c>
      <x:c r="CD329" s="6" t="str">
        <x:v>20848.422949229443</x:v>
      </x:c>
      <x:c r="CE329" s="6" t="str">
        <x:v>20.077050770556525</x:v>
      </x:c>
      <x:c r="CF329" s="6" t="str">
        <x:v>Fixed 2.00R target</x:v>
      </x:c>
      <x:c r="CG329" s="9" t="str">
        <x:v>0.0722217628759597</x:v>
      </x:c>
      <x:c r="CH329" s="9" t="str">
        <x:v>-1.0</x:v>
      </x:c>
      <x:c r="CI329" s="9" t="str">
        <x:v>-1.0722217628759596</x:v>
      </x:c>
      <x:c r="CJ329" s="6" t="str">
        <x:v>Loss</x:v>
      </x:c>
      <x:c r="CK329" s="9" t="str">
        <x:v>0.1494243369847442</x:v>
      </x:c>
      <x:c r="CL329" s="9" t="str">
        <x:v>1.0708744150573335</x:v>
      </x:c>
      <x:c r="CM329" s="7" t="str">
        <x:v>2025-02-14 00:00:00-06:00</x:v>
      </x:c>
      <x:c r="CN329" s="6" t="str">
        <x:v>20878.53852538528</x:v>
      </x:c>
      <x:c r="CO329" s="6" t="str">
        <x:v>STOP</x:v>
      </x:c>
      <x:c r="CP329" s="6" t="str">
        <x:v>F::Short::Same-bar Setup+BOS::Penetration + same-bar reclaim</x:v>
      </x:c>
    </x:row>
    <x:row r="330" ht="18" customHeight="1">
      <x:c r="A330" s="6" t="str">
        <x:v>A0329</x:v>
      </x:c>
      <x:c r="B330" s="6" t="str">
        <x:v>2025-02-17</x:v>
      </x:c>
      <x:c r="C330" s="6" t="str">
        <x:v>2025</x:v>
      </x:c>
      <x:c r="D330" s="6" t="str">
        <x:v>2025-Q1</x:v>
      </x:c>
      <x:c r="E330" s="6" t="str">
        <x:v>First 50%</x:v>
      </x:c>
      <x:c r="F330" s="6" t="str">
        <x:v>Long</x:v>
      </x:c>
      <x:c r="G330" s="6" t="str">
        <x:v>Long</x:v>
      </x:c>
      <x:c r="H330" s="6" t="str">
        <x:v>Premarket</x:v>
      </x:c>
      <x:c r="I330" s="6" t="str">
        <x:v>Premarket</x:v>
      </x:c>
      <x:c r="J330" s="6" t="str">
        <x:v>Bull</x:v>
      </x:c>
      <x:c r="K330" s="6" t="str">
        <x:v>Bull</x:v>
      </x:c>
      <x:c r="L330" s="6" t="str">
        <x:v>MID</x:v>
      </x:c>
      <x:c r="M330" s="7" t="str">
        <x:v>2025-02-17 04:40:00-06:00</x:v>
      </x:c>
      <x:c r="N330" s="6" t="str">
        <x:v>75.0</x:v>
      </x:c>
      <x:c r="O330" s="6" t="str">
        <x:v>75-79</x:v>
      </x:c>
      <x:c r="P330" s="6" t="str">
        <x:v>Matching BOS only</x:v>
      </x:c>
      <x:c r="Q330" s="6" t="str">
        <x:v>Bull BOS</x:v>
      </x:c>
      <x:c r="R330" s="6" t="str">
        <x:v>True</x:v>
      </x:c>
      <x:c r="S330" s="6" t="str">
        <x:v>False</x:v>
      </x:c>
      <x:c r="T330" s="6" t="str">
        <x:v>Recent SSL</x:v>
      </x:c>
      <x:c r="U330" s="6" t="str">
        <x:v>SSL</x:v>
      </x:c>
      <x:c r="V330" s="6" t="str">
        <x:v>Swing low / sell-side</x:v>
      </x:c>
      <x:c r="W330" s="6" t="str">
        <x:v>[20980.25]</x:v>
      </x:c>
      <x:c r="X330" s="8" t="str">
        <x:v>1</x:v>
      </x:c>
      <x:c r="Y330" s="8" t="str">
        <x:v>12.0</x:v>
      </x:c>
      <x:c r="Z330" s="6" t="str">
        <x:v>None</x:v>
      </x:c>
      <x:c r="AA330" s="6" t="str">
        <x:v>21005.0</x:v>
      </x:c>
      <x:c r="AB330" s="9" t="str">
        <x:v>0.18503475028012478</x:v>
      </x:c>
      <x:c r="AC330" s="9" t="str">
        <x:v>0.40707645061627457</x:v>
      </x:c>
      <x:c r="AD330" s="9" t="str">
        <x:v>0.5180973007843495</x:v>
      </x:c>
      <x:c r="AE330" s="6" t="str">
        <x:v>With trade</x:v>
      </x:c>
      <x:c r="AF330" s="7" t="str">
        <x:v>2025-02-17 04:40:00-06:00</x:v>
      </x:c>
      <x:c r="AG330" s="6" t="str">
        <x:v>Long</x:v>
      </x:c>
      <x:c r="AH330" s="6" t="str">
        <x:v>21005.0</x:v>
      </x:c>
      <x:c r="AI330" s="8" t="str">
        <x:v>0</x:v>
      </x:c>
      <x:c r="AJ330" s="6" t="str">
        <x:v>True</x:v>
      </x:c>
      <x:c r="AK330" s="6" t="str">
        <x:v>Same-bar Setup+BOS</x:v>
      </x:c>
      <x:c r="AL330" s="9" t="str">
        <x:v>0.3330625505042246</x:v>
      </x:c>
      <x:c r="AM330" s="9" t="str">
        <x:v>0.18503475028012478</x:v>
      </x:c>
      <x:c r="AN330" s="9" t="str">
        <x:v>0.40707645061627457</x:v>
      </x:c>
      <x:c r="AO330" s="9" t="str">
        <x:v>0.5180973007843495</x:v>
      </x:c>
      <x:c r="AP330" s="10" t="str">
        <x:v>0.7857142857142857</x:v>
      </x:c>
      <x:c r="AQ330" s="6" t="str">
        <x:v>0.07142857142857142</x:v>
      </x:c>
      <x:c r="AR330" s="6" t="str">
        <x:v>0.14285714285714285</x:v>
      </x:c>
      <x:c r="AS330" s="6" t="str">
        <x:v>With trade</x:v>
      </x:c>
      <x:c r="AT330" s="6" t="str">
        <x:v>0.4030054644808743</x:v>
      </x:c>
      <x:c r="AU330" s="7" t="str">
        <x:v>2025-02-17 04:50:00-06:00</x:v>
      </x:c>
      <x:c r="AV330" s="8" t="str">
        <x:v>2</x:v>
      </x:c>
      <x:c r="AW330" s="6" t="str">
        <x:v>Delayed retest (2+ bars)</x:v>
      </x:c>
      <x:c r="AX330" s="6" t="str">
        <x:v>21004.75</x:v>
      </x:c>
      <x:c r="AY330" s="6" t="str">
        <x:v>0.25</x:v>
      </x:c>
      <x:c r="AZ330" s="9" t="str">
        <x:v>0.038365851500046955</x:v>
      </x:c>
      <x:c r="BA330" s="9" t="str">
        <x:v>0.5754877725007044</x:v>
      </x:c>
      <x:c r="BB330" s="9" t="str">
        <x:v>0.844048733001033</x:v>
      </x:c>
      <x:c r="BC330" s="9" t="str">
        <x:v>0.15346340600018782</x:v>
      </x:c>
      <x:c r="BD330" s="6" t="str">
        <x:v>0.2727272727272727</x:v>
      </x:c>
      <x:c r="BE330" s="6" t="str">
        <x:v>0.5454545454545454</x:v>
      </x:c>
      <x:c r="BF330" s="9" t="str">
        <x:v>0.46039021800056346</x:v>
      </x:c>
      <x:c r="BG330" s="9" t="str">
        <x:v>0.23019510900028173</x:v>
      </x:c>
      <x:c r="BH330" s="6" t="str">
        <x:v>With trade</x:v>
      </x:c>
      <x:c r="BI330" s="6" t="str">
        <x:v>Penetration + same-bar reclaim</x:v>
      </x:c>
      <x:c r="BJ330" s="6" t="str">
        <x:v>False</x:v>
      </x:c>
      <x:c r="BK330" s="10" t="str">
        <x:v>True</x:v>
      </x:c>
      <x:c r="BL330" s="6" t="str">
        <x:v>True</x:v>
      </x:c>
      <x:c r="BM330" s="7" t="str">
        <x:v>2025-02-17 05:00:00-06:00</x:v>
      </x:c>
      <x:c r="BN330" s="8" t="str">
        <x:v>2</x:v>
      </x:c>
      <x:c r="BO330" s="6" t="str">
        <x:v>Delayed confirmation (2+ bars)</x:v>
      </x:c>
      <x:c r="BP330" s="9" t="str">
        <x:v>0.9681959628835118</x:v>
      </x:c>
      <x:c r="BQ330" s="9" t="str">
        <x:v>1.2392908324908951</x:v>
      </x:c>
      <x:c r="BR330" s="10" t="str">
        <x:v>0.78125</x:v>
      </x:c>
      <x:c r="BS330" s="9" t="str">
        <x:v>1.6265692176442998</x:v>
      </x:c>
      <x:c r="BT330" s="9" t="str">
        <x:v>1.0456516399141929</x:v>
      </x:c>
      <x:c r="BU330" s="9" t="str">
        <x:v>0.07745567703068094</x:v>
      </x:c>
      <x:c r="BV330" s="6" t="str">
        <x:v>With trade</x:v>
      </x:c>
      <x:c r="BW330" s="7" t="str">
        <x:v>2025-02-17 05:00:00-06:00</x:v>
      </x:c>
      <x:c r="BX330" s="6" t="str">
        <x:v>21015.5</x:v>
      </x:c>
      <x:c r="BY330" s="9" t="str">
        <x:v>6.455304751928579</x:v>
      </x:c>
      <x:c r="BZ330" s="9" t="str">
        <x:v>0.58</x:v>
      </x:c>
      <x:c r="CA330" s="6" t="str">
        <x:v>21005.817042872106</x:v>
      </x:c>
      <x:c r="CB330" s="6" t="str">
        <x:v>9.682957127894042</x:v>
      </x:c>
      <x:c r="CC330" s="9" t="str">
        <x:v>1.5000000000001819</x:v>
      </x:c>
      <x:c r="CD330" s="6" t="str">
        <x:v>21034.865914255784</x:v>
      </x:c>
      <x:c r="CE330" s="6" t="str">
        <x:v>19.365914255784446</x:v>
      </x:c>
      <x:c r="CF330" s="6" t="str">
        <x:v>Fixed 2.00R target</x:v>
      </x:c>
      <x:c r="CG330" s="9" t="str">
        <x:v>0.07487382112964917</x:v>
      </x:c>
      <x:c r="CH330" s="9" t="str">
        <x:v>-1.0</x:v>
      </x:c>
      <x:c r="CI330" s="9" t="str">
        <x:v>-1.0748738211296491</x:v>
      </x:c>
      <x:c r="CJ330" s="6" t="str">
        <x:v>Loss</x:v>
      </x:c>
      <x:c r="CK330" s="9" t="str">
        <x:v>0.6712825342658202</x:v>
      </x:c>
      <x:c r="CL330" s="9" t="str">
        <x:v>1.6523877766543267</x:v>
      </x:c>
      <x:c r="CM330" s="7" t="str">
        <x:v>2025-02-17 05:25:00-06:00</x:v>
      </x:c>
      <x:c r="CN330" s="6" t="str">
        <x:v>21005.817042872106</x:v>
      </x:c>
      <x:c r="CO330" s="6" t="str">
        <x:v>STOP</x:v>
      </x:c>
      <x:c r="CP330" s="6" t="str">
        <x:v>F::Long::Same-bar Setup+BOS::Penetration + same-bar reclaim</x:v>
      </x:c>
    </x:row>
    <x:row r="331" ht="18" customHeight="1">
      <x:c r="A331" s="6" t="str">
        <x:v>A0330</x:v>
      </x:c>
      <x:c r="B331" s="6" t="str">
        <x:v>2025-02-17</x:v>
      </x:c>
      <x:c r="C331" s="6" t="str">
        <x:v>2025</x:v>
      </x:c>
      <x:c r="D331" s="6" t="str">
        <x:v>2025-Q1</x:v>
      </x:c>
      <x:c r="E331" s="6" t="str">
        <x:v>First 50%</x:v>
      </x:c>
      <x:c r="F331" s="6" t="str">
        <x:v>Short</x:v>
      </x:c>
      <x:c r="G331" s="6" t="str">
        <x:v>Short</x:v>
      </x:c>
      <x:c r="H331" s="6" t="str">
        <x:v>Premarket</x:v>
      </x:c>
      <x:c r="I331" s="6" t="str">
        <x:v>Premarket</x:v>
      </x:c>
      <x:c r="J331" s="6" t="str">
        <x:v>Bull</x:v>
      </x:c>
      <x:c r="K331" s="6" t="str">
        <x:v>Bull</x:v>
      </x:c>
      <x:c r="L331" s="6" t="str">
        <x:v>HIGH</x:v>
      </x:c>
      <x:c r="M331" s="7" t="str">
        <x:v>2025-02-17 08:25:00-06:00</x:v>
      </x:c>
      <x:c r="N331" s="6" t="str">
        <x:v>75.0</x:v>
      </x:c>
      <x:c r="O331" s="6" t="str">
        <x:v>75-79</x:v>
      </x:c>
      <x:c r="P331" s="6" t="str">
        <x:v>Matching BOS only</x:v>
      </x:c>
      <x:c r="Q331" s="6" t="str">
        <x:v>Bear BOS</x:v>
      </x:c>
      <x:c r="R331" s="6" t="str">
        <x:v>True</x:v>
      </x:c>
      <x:c r="S331" s="6" t="str">
        <x:v>False</x:v>
      </x:c>
      <x:c r="T331" s="6" t="str">
        <x:v>Recent BSL</x:v>
      </x:c>
      <x:c r="U331" s="6" t="str">
        <x:v>BSL</x:v>
      </x:c>
      <x:c r="V331" s="6" t="str">
        <x:v>Swing high / buy-side</x:v>
      </x:c>
      <x:c r="W331" s="6" t="str">
        <x:v>[21011.25]</x:v>
      </x:c>
      <x:c r="X331" s="8" t="str">
        <x:v>1</x:v>
      </x:c>
      <x:c r="Y331" s="8" t="str">
        <x:v>5.0</x:v>
      </x:c>
      <x:c r="Z331" s="6" t="str">
        <x:v>None</x:v>
      </x:c>
      <x:c r="AA331" s="6" t="str">
        <x:v>20996.25</x:v>
      </x:c>
      <x:c r="AB331" s="9" t="str">
        <x:v>0.4117215126293438</x:v>
      </x:c>
      <x:c r="AC331" s="9" t="str">
        <x:v>0.5614384263127415</x:v>
      </x:c>
      <x:c r="AD331" s="9" t="str">
        <x:v>1.2725937663088809</x:v>
      </x:c>
      <x:c r="AE331" s="6" t="str">
        <x:v>With trade</x:v>
      </x:c>
      <x:c r="AF331" s="7" t="str">
        <x:v>2025-02-17 08:25:00-06:00</x:v>
      </x:c>
      <x:c r="AG331" s="6" t="str">
        <x:v>Short</x:v>
      </x:c>
      <x:c r="AH331" s="6" t="str">
        <x:v>20996.25</x:v>
      </x:c>
      <x:c r="AI331" s="8" t="str">
        <x:v>0</x:v>
      </x:c>
      <x:c r="AJ331" s="6" t="str">
        <x:v>True</x:v>
      </x:c>
      <x:c r="AK331" s="6" t="str">
        <x:v>Same-bar Setup+BOS</x:v>
      </x:c>
      <x:c r="AL331" s="9" t="str">
        <x:v>0.5988676547335909</x:v>
      </x:c>
      <x:c r="AM331" s="9" t="str">
        <x:v>0.4117215126293438</x:v>
      </x:c>
      <x:c r="AN331" s="9" t="str">
        <x:v>0.5614384263127415</x:v>
      </x:c>
      <x:c r="AO331" s="9" t="str">
        <x:v>1.2725937663088809</x:v>
      </x:c>
      <x:c r="AP331" s="10" t="str">
        <x:v>0.4411764705882353</x:v>
      </x:c>
      <x:c r="AQ331" s="6" t="str">
        <x:v>0.0</x:v>
      </x:c>
      <x:c r="AR331" s="6" t="str">
        <x:v>0.5588235294117647</x:v>
      </x:c>
      <x:c r="AS331" s="6" t="str">
        <x:v>With trade</x:v>
      </x:c>
      <x:c r="AT331" s="6" t="str">
        <x:v>3.9141131737866246</x:v>
      </x:c>
      <x:c r="AU331" s="7" t="str">
        <x:v>2025-02-17 08:30:00-06:00</x:v>
      </x:c>
      <x:c r="AV331" s="8" t="str">
        <x:v>1</x:v>
      </x:c>
      <x:c r="AW331" s="6" t="str">
        <x:v>Immediate retest (1 bar)</x:v>
      </x:c>
      <x:c r="AX331" s="6" t="str">
        <x:v>20995.5</x:v>
      </x:c>
      <x:c r="AY331" s="6" t="str">
        <x:v>0.0</x:v>
      </x:c>
      <x:c r="AZ331" s="9" t="str">
        <x:v>0.0</x:v>
      </x:c>
      <x:c r="BA331" s="9" t="str">
        <x:v>3.2355895648157578</x:v>
      </x:c>
      <x:c r="BB331" s="9" t="str">
        <x:v>3.29721984224082</x:v>
      </x:c>
      <x:c r="BC331" s="9" t="str">
        <x:v>2.9274381776904477</x:v>
      </x:c>
      <x:c r="BD331" s="6" t="str">
        <x:v>0.06542056074766354</x:v>
      </x:c>
      <x:c r="BE331" s="6" t="str">
        <x:v>0.04672897196261682</x:v>
      </x:c>
      <x:c r="BF331" s="9" t="str">
        <x:v>0.21570597098771718</x:v>
      </x:c>
      <x:c r="BG331" s="9" t="str">
        <x:v>0.15407569356265513</x:v>
      </x:c>
      <x:c r="BH331" s="6" t="str">
        <x:v>With trade</x:v>
      </x:c>
      <x:c r="BI331" s="6" t="str">
        <x:v>Tolerance-only shallow touch</x:v>
      </x:c>
      <x:c r="BJ331" s="6" t="str">
        <x:v>True</x:v>
      </x:c>
      <x:c r="BK331" s="10" t="str">
        <x:v>False</x:v>
      </x:c>
      <x:c r="BL331" s="6" t="str">
        <x:v>True</x:v>
      </x:c>
      <x:c r="BM331" s="7" t="str">
        <x:v>2025-02-17 08:35:00-06:00</x:v>
      </x:c>
      <x:c r="BN331" s="8" t="str">
        <x:v>1</x:v>
      </x:c>
      <x:c r="BO331" s="6" t="str">
        <x:v>Immediate confirmation (1 bar)</x:v>
      </x:c>
      <x:c r="BP331" s="9" t="str">
        <x:v>1.3428058809651728</x:v>
      </x:c>
      <x:c r="BQ331" s="9" t="str">
        <x:v>2.4389739470591913</x:v>
      </x:c>
      <x:c r="BR331" s="10" t="str">
        <x:v>0.550561797752809</x:v>
      </x:c>
      <x:c r="BS331" s="9" t="str">
        <x:v>4.0832260462002195</x:v>
      </x:c>
      <x:c r="BT331" s="9" t="str">
        <x:v>1.2057848727034204</x:v>
      </x:c>
      <x:c r="BU331" s="9" t="str">
        <x:v>0.0</x:v>
      </x:c>
      <x:c r="BV331" s="6" t="str">
        <x:v>With trade</x:v>
      </x:c>
      <x:c r="BW331" s="7" t="str">
        <x:v>2025-02-17 08:35:00-06:00</x:v>
      </x:c>
      <x:c r="BX331" s="6" t="str">
        <x:v>20959.0</x:v>
      </x:c>
      <x:c r="BY331" s="9" t="str">
        <x:v>9.12268867276261</x:v>
      </x:c>
      <x:c r="BZ331" s="9" t="str">
        <x:v>1.0</x:v>
      </x:c>
      <x:c r="CA331" s="6" t="str">
        <x:v>20972.684033009144</x:v>
      </x:c>
      <x:c r="CB331" s="6" t="str">
        <x:v>13.684033009143604</x:v>
      </x:c>
      <x:c r="CC331" s="9" t="str">
        <x:v>1.499999999999966</x:v>
      </x:c>
      <x:c r="CD331" s="6" t="str">
        <x:v>20931.631933981713</x:v>
      </x:c>
      <x:c r="CE331" s="6" t="str">
        <x:v>27.36806601828721</x:v>
      </x:c>
      <x:c r="CF331" s="6" t="str">
        <x:v>Fixed 2.00R target</x:v>
      </x:c>
      <x:c r="CG331" s="9" t="str">
        <x:v>0.05298145652787877</x:v>
      </x:c>
      <x:c r="CH331" s="9" t="str">
        <x:v>-1.0</x:v>
      </x:c>
      <x:c r="CI331" s="9" t="str">
        <x:v>-1.0529814565278788</x:v>
      </x:c>
      <x:c r="CJ331" s="6" t="str">
        <x:v>Loss</x:v>
      </x:c>
      <x:c r="CK331" s="9" t="str">
        <x:v>1.0230901950211073</x:v>
      </x:c>
      <x:c r="CL331" s="9" t="str">
        <x:v>1.1509764693987456</x:v>
      </x:c>
      <x:c r="CM331" s="7" t="str">
        <x:v>2025-02-17 09:15:00-06:00</x:v>
      </x:c>
      <x:c r="CN331" s="6" t="str">
        <x:v>20972.684033009144</x:v>
      </x:c>
      <x:c r="CO331" s="6" t="str">
        <x:v>STOP</x:v>
      </x:c>
      <x:c r="CP331" s="6" t="str">
        <x:v>F::Short::Same-bar Setup+BOS::Tolerance-only shallow touch</x:v>
      </x:c>
    </x:row>
    <x:row r="332" ht="18" customHeight="1">
      <x:c r="A332" s="6" t="str">
        <x:v>A0331</x:v>
      </x:c>
      <x:c r="B332" s="6" t="str">
        <x:v>2025-02-18</x:v>
      </x:c>
      <x:c r="C332" s="6" t="str">
        <x:v>2025</x:v>
      </x:c>
      <x:c r="D332" s="6" t="str">
        <x:v>2025-Q1</x:v>
      </x:c>
      <x:c r="E332" s="6" t="str">
        <x:v>First 50%</x:v>
      </x:c>
      <x:c r="F332" s="6" t="str">
        <x:v>Short</x:v>
      </x:c>
      <x:c r="G332" s="6" t="str">
        <x:v>Short</x:v>
      </x:c>
      <x:c r="H332" s="6" t="str">
        <x:v>Premarket</x:v>
      </x:c>
      <x:c r="I332" s="6" t="str">
        <x:v>Premarket</x:v>
      </x:c>
      <x:c r="J332" s="6" t="str">
        <x:v>Bull</x:v>
      </x:c>
      <x:c r="K332" s="6" t="str">
        <x:v>Bull</x:v>
      </x:c>
      <x:c r="L332" s="6" t="str">
        <x:v>HIGH</x:v>
      </x:c>
      <x:c r="M332" s="7" t="str">
        <x:v>2025-02-18 08:25:00-06:00</x:v>
      </x:c>
      <x:c r="N332" s="6" t="str">
        <x:v>90.0</x:v>
      </x:c>
      <x:c r="O332" s="6" t="str">
        <x:v>90-94</x:v>
      </x:c>
      <x:c r="P332" s="6" t="str">
        <x:v>Matching BOS only</x:v>
      </x:c>
      <x:c r="Q332" s="6" t="str">
        <x:v>Bear CHoCH</x:v>
      </x:c>
      <x:c r="R332" s="6" t="str">
        <x:v>True</x:v>
      </x:c>
      <x:c r="S332" s="6" t="str">
        <x:v>False</x:v>
      </x:c>
      <x:c r="T332" s="6" t="str">
        <x:v>Recent BSL</x:v>
      </x:c>
      <x:c r="U332" s="6" t="str">
        <x:v>BSL</x:v>
      </x:c>
      <x:c r="V332" s="6" t="str">
        <x:v>Swing high / buy-side</x:v>
      </x:c>
      <x:c r="W332" s="6" t="str">
        <x:v>[21059.5]</x:v>
      </x:c>
      <x:c r="X332" s="8" t="str">
        <x:v>1</x:v>
      </x:c>
      <x:c r="Y332" s="8" t="str">
        <x:v>9.0</x:v>
      </x:c>
      <x:c r="Z332" s="6" t="str">
        <x:v>None</x:v>
      </x:c>
      <x:c r="AA332" s="6" t="str">
        <x:v>21021.75</x:v>
      </x:c>
      <x:c r="AB332" s="9" t="str">
        <x:v>0.9231943016124016</x:v>
      </x:c>
      <x:c r="AC332" s="9" t="str">
        <x:v>3.902594093179698</x:v>
      </x:c>
      <x:c r="AD332" s="9" t="str">
        <x:v>4.385172932658907</x:v>
      </x:c>
      <x:c r="AE332" s="6" t="str">
        <x:v>With trade</x:v>
      </x:c>
      <x:c r="AF332" s="7" t="str">
        <x:v>2025-02-18 08:25:00-06:00</x:v>
      </x:c>
      <x:c r="AG332" s="6" t="str">
        <x:v>Short</x:v>
      </x:c>
      <x:c r="AH332" s="6" t="str">
        <x:v>21021.75</x:v>
      </x:c>
      <x:c r="AI332" s="8" t="str">
        <x:v>0</x:v>
      </x:c>
      <x:c r="AJ332" s="6" t="str">
        <x:v>True</x:v>
      </x:c>
      <x:c r="AK332" s="6" t="str">
        <x:v>Same-bar Setup+BOS</x:v>
      </x:c>
      <x:c r="AL332" s="9" t="str">
        <x:v>3.944557470525716</x:v>
      </x:c>
      <x:c r="AM332" s="9" t="str">
        <x:v>0.9231943016124016</x:v>
      </x:c>
      <x:c r="AN332" s="9" t="str">
        <x:v>3.902594093179698</x:v>
      </x:c>
      <x:c r="AO332" s="9" t="str">
        <x:v>4.385172932658907</x:v>
      </x:c>
      <x:c r="AP332" s="10" t="str">
        <x:v>0.8899521531100478</x:v>
      </x:c>
      <x:c r="AQ332" s="6" t="str">
        <x:v>0.0</x:v>
      </x:c>
      <x:c r="AR332" s="6" t="str">
        <x:v>0.11004784688995216</x:v>
      </x:c>
      <x:c r="AS332" s="6" t="str">
        <x:v>With trade</x:v>
      </x:c>
      <x:c r="AT332" s="6" t="str">
        <x:v>8.462833774356508</x:v>
      </x:c>
      <x:c r="AU332" s="7" t="str">
        <x:v>2025-02-18 08:30:00-06:00</x:v>
      </x:c>
      <x:c r="AV332" s="8" t="str">
        <x:v>1</x:v>
      </x:c>
      <x:c r="AW332" s="6" t="str">
        <x:v>Immediate retest (1 bar)</x:v>
      </x:c>
      <x:c r="AX332" s="6" t="str">
        <x:v>21020.5</x:v>
      </x:c>
      <x:c r="AY332" s="6" t="str">
        <x:v>0.0</x:v>
      </x:c>
      <x:c r="AZ332" s="9" t="str">
        <x:v>0.0</x:v>
      </x:c>
      <x:c r="BA332" s="9" t="str">
        <x:v>1.3323518010777236</x:v>
      </x:c>
      <x:c r="BB332" s="9" t="str">
        <x:v>3.1380391104330596</x:v>
      </x:c>
      <x:c r="BC332" s="9" t="str">
        <x:v>0.5259283425306803</x:v>
      </x:c>
      <x:c r="BD332" s="6" t="str">
        <x:v>0.22905027932960895</x:v>
      </x:c>
      <x:c r="BE332" s="6" t="str">
        <x:v>0.6033519553072626</x:v>
      </x:c>
      <x:c r="BF332" s="9" t="str">
        <x:v>0.7187687347919298</x:v>
      </x:c>
      <x:c r="BG332" s="9" t="str">
        <x:v>1.8933420331104494</x:v>
      </x:c>
      <x:c r="BH332" s="6" t="str">
        <x:v>With trade</x:v>
      </x:c>
      <x:c r="BI332" s="6" t="str">
        <x:v>Tolerance-only shallow touch</x:v>
      </x:c>
      <x:c r="BJ332" s="6" t="str">
        <x:v>True</x:v>
      </x:c>
      <x:c r="BK332" s="10" t="str">
        <x:v>False</x:v>
      </x:c>
      <x:c r="BL332" s="6" t="str">
        <x:v>True</x:v>
      </x:c>
      <x:c r="BM332" s="7" t="str">
        <x:v>2025-02-18 08:35:00-06:00</x:v>
      </x:c>
      <x:c r="BN332" s="8" t="str">
        <x:v>1</x:v>
      </x:c>
      <x:c r="BO332" s="6" t="str">
        <x:v>Immediate confirmation (1 bar)</x:v>
      </x:c>
      <x:c r="BP332" s="9" t="str">
        <x:v>0.3400629208264889</x:v>
      </x:c>
      <x:c r="BQ332" s="9" t="str">
        <x:v>1.9917971076980066</x:v>
      </x:c>
      <x:c r="BR332" s="10" t="str">
        <x:v>0.17073170731707318</x:v>
      </x:c>
      <x:c r="BS332" s="9" t="str">
        <x:v>1.5869602971902816</x:v>
      </x:c>
      <x:c r="BT332" s="9" t="str">
        <x:v>0.3562563932467979</x:v>
      </x:c>
      <x:c r="BU332" s="9" t="str">
        <x:v>0.4696107001889609</x:v>
      </x:c>
      <x:c r="BV332" s="6" t="str">
        <x:v>With trade</x:v>
      </x:c>
      <x:c r="BW332" s="7" t="str">
        <x:v>2025-02-18 08:35:00-06:00</x:v>
      </x:c>
      <x:c r="BX332" s="6" t="str">
        <x:v>20997.25</x:v>
      </x:c>
      <x:c r="BY332" s="9" t="str">
        <x:v>15.438319435827934</x:v>
      </x:c>
      <x:c r="BZ332" s="9" t="str">
        <x:v>1.0</x:v>
      </x:c>
      <x:c r="CA332" s="6" t="str">
        <x:v>21020.407479153742</x:v>
      </x:c>
      <x:c r="CB332" s="6" t="str">
        <x:v>23.157479153742315</x:v>
      </x:c>
      <x:c r="CC332" s="9" t="str">
        <x:v>1.5000000000000269</x:v>
      </x:c>
      <x:c r="CD332" s="6" t="str">
        <x:v>20950.935041692515</x:v>
      </x:c>
      <x:c r="CE332" s="6" t="str">
        <x:v>46.31495830748463</x:v>
      </x:c>
      <x:c r="CF332" s="6" t="str">
        <x:v>Fixed 2.00R target</x:v>
      </x:c>
      <x:c r="CG332" s="9" t="str">
        <x:v>0.031307380012596836</x:v>
      </x:c>
      <x:c r="CH332" s="9" t="str">
        <x:v>2.0</x:v>
      </x:c>
      <x:c r="CI332" s="9" t="str">
        <x:v>1.968692619987403</x:v>
      </x:c>
      <x:c r="CJ332" s="6" t="str">
        <x:v>Win</x:v>
      </x:c>
      <x:c r="CK332" s="9" t="str">
        <x:v>3.152329297820095</x:v>
      </x:c>
      <x:c r="CL332" s="9" t="str">
        <x:v>0.5397824140102903</x:v>
      </x:c>
      <x:c r="CM332" s="7" t="str">
        <x:v>2025-02-18 08:45:00-06:00</x:v>
      </x:c>
      <x:c r="CN332" s="6" t="str">
        <x:v>20950.935041692515</x:v>
      </x:c>
      <x:c r="CO332" s="6" t="str">
        <x:v>TARGET</x:v>
      </x:c>
      <x:c r="CP332" s="6" t="str">
        <x:v>F::Short::Same-bar Setup+BOS::Tolerance-only shallow touch</x:v>
      </x:c>
    </x:row>
    <x:row r="333" ht="18" customHeight="1">
      <x:c r="A333" s="6" t="str">
        <x:v>A0332</x:v>
      </x:c>
      <x:c r="B333" s="6" t="str">
        <x:v>2025-02-19</x:v>
      </x:c>
      <x:c r="C333" s="6" t="str">
        <x:v>2025</x:v>
      </x:c>
      <x:c r="D333" s="6" t="str">
        <x:v>2025-Q1</x:v>
      </x:c>
      <x:c r="E333" s="6" t="str">
        <x:v>First 50%</x:v>
      </x:c>
      <x:c r="F333" s="6" t="str">
        <x:v>Long</x:v>
      </x:c>
      <x:c r="G333" s="6" t="str">
        <x:v>Long</x:v>
      </x:c>
      <x:c r="H333" s="6" t="str">
        <x:v>Midday</x:v>
      </x:c>
      <x:c r="I333" s="6" t="str">
        <x:v>Midday</x:v>
      </x:c>
      <x:c r="J333" s="6" t="str">
        <x:v>Bull</x:v>
      </x:c>
      <x:c r="K333" s="6" t="str">
        <x:v>Bull</x:v>
      </x:c>
      <x:c r="L333" s="6" t="str">
        <x:v>MID</x:v>
      </x:c>
      <x:c r="M333" s="7" t="str">
        <x:v>2025-02-19 13:10:00-06:00</x:v>
      </x:c>
      <x:c r="N333" s="6" t="str">
        <x:v>100.0</x:v>
      </x:c>
      <x:c r="O333" s="6" t="str">
        <x:v>95+</x:v>
      </x:c>
      <x:c r="P333" s="6" t="str">
        <x:v>Matching BOS only</x:v>
      </x:c>
      <x:c r="Q333" s="6" t="str">
        <x:v>Bull BOS</x:v>
      </x:c>
      <x:c r="R333" s="6" t="str">
        <x:v>True</x:v>
      </x:c>
      <x:c r="S333" s="6" t="str">
        <x:v>False</x:v>
      </x:c>
      <x:c r="T333" s="6" t="str">
        <x:v>Recent SSL</x:v>
      </x:c>
      <x:c r="U333" s="6" t="str">
        <x:v>SSL</x:v>
      </x:c>
      <x:c r="V333" s="6" t="str">
        <x:v>Swing low / sell-side</x:v>
      </x:c>
      <x:c r="W333" s="6" t="str">
        <x:v>[20960.0]</x:v>
      </x:c>
      <x:c r="X333" s="8" t="str">
        <x:v>1</x:v>
      </x:c>
      <x:c r="Y333" s="8" t="str">
        <x:v>12.0</x:v>
      </x:c>
      <x:c r="Z333" s="6" t="str">
        <x:v>None</x:v>
      </x:c>
      <x:c r="AA333" s="6" t="str">
        <x:v>21016.75</x:v>
      </x:c>
      <x:c r="AB333" s="9" t="str">
        <x:v>0.32159919467587106</x:v>
      </x:c>
      <x:c r="AC333" s="9" t="str">
        <x:v>1.8177345786027495</x:v>
      </x:c>
      <x:c r="AD333" s="9" t="str">
        <x:v>1.901630020692107</x:v>
      </x:c>
      <x:c r="AE333" s="6" t="str">
        <x:v>With trade</x:v>
      </x:c>
      <x:c r="AF333" s="7" t="str">
        <x:v>2025-02-19 13:10:00-06:00</x:v>
      </x:c>
      <x:c r="AG333" s="6" t="str">
        <x:v>Long</x:v>
      </x:c>
      <x:c r="AH333" s="6" t="str">
        <x:v>21016.75</x:v>
      </x:c>
      <x:c r="AI333" s="8" t="str">
        <x:v>0</x:v>
      </x:c>
      <x:c r="AJ333" s="6" t="str">
        <x:v>True</x:v>
      </x:c>
      <x:c r="AK333" s="6" t="str">
        <x:v>Same-bar Setup+BOS</x:v>
      </x:c>
      <x:c r="AL333" s="9" t="str">
        <x:v>1.831717152284309</x:v>
      </x:c>
      <x:c r="AM333" s="9" t="str">
        <x:v>0.32159919467587106</x:v>
      </x:c>
      <x:c r="AN333" s="9" t="str">
        <x:v>1.8177345786027495</x:v>
      </x:c>
      <x:c r="AO333" s="9" t="str">
        <x:v>1.901630020692107</x:v>
      </x:c>
      <x:c r="AP333" s="10" t="str">
        <x:v>0.9558823529411765</x:v>
      </x:c>
      <x:c r="AQ333" s="6" t="str">
        <x:v>0.007352941176470588</x:v>
      </x:c>
      <x:c r="AR333" s="6" t="str">
        <x:v>0.03676470588235294</x:v>
      </x:c>
      <x:c r="AS333" s="6" t="str">
        <x:v>With trade</x:v>
      </x:c>
      <x:c r="AT333" s="6" t="str">
        <x:v>1.4195343720170202</x:v>
      </x:c>
      <x:c r="AU333" s="7" t="str">
        <x:v>2025-02-19 13:15:00-06:00</x:v>
      </x:c>
      <x:c r="AV333" s="8" t="str">
        <x:v>1</x:v>
      </x:c>
      <x:c r="AW333" s="6" t="str">
        <x:v>Immediate retest (1 bar)</x:v>
      </x:c>
      <x:c r="AX333" s="6" t="str">
        <x:v>21017.5</x:v>
      </x:c>
      <x:c r="AY333" s="6" t="str">
        <x:v>0.0</x:v>
      </x:c>
      <x:c r="AZ333" s="9" t="str">
        <x:v>0.0</x:v>
      </x:c>
      <x:c r="BA333" s="9" t="str">
        <x:v>0.408151490458167</x:v>
      </x:c>
      <x:c r="BB333" s="9" t="str">
        <x:v>0.9148223061993399</x:v>
      </x:c>
      <x:c r="BC333" s="9" t="str">
        <x:v>0.11259351460914953</x:v>
      </x:c>
      <x:c r="BD333" s="6" t="str">
        <x:v>0.6</x:v>
      </x:c>
      <x:c r="BE333" s="6" t="str">
        <x:v>0.27692307692307694</x:v>
      </x:c>
      <x:c r="BF333" s="9" t="str">
        <x:v>0.25333540787058645</x:v>
      </x:c>
      <x:c r="BG333" s="9" t="str">
        <x:v>0.5488933837196039</x:v>
      </x:c>
      <x:c r="BH333" s="6" t="str">
        <x:v>With trade</x:v>
      </x:c>
      <x:c r="BI333" s="6" t="str">
        <x:v>Tolerance-only shallow touch</x:v>
      </x:c>
      <x:c r="BJ333" s="6" t="str">
        <x:v>True</x:v>
      </x:c>
      <x:c r="BK333" s="10" t="str">
        <x:v>False</x:v>
      </x:c>
      <x:c r="BL333" s="6" t="str">
        <x:v>True</x:v>
      </x:c>
      <x:c r="BM333" s="7" t="str">
        <x:v>2025-02-19 13:20:00-06:00</x:v>
      </x:c>
      <x:c r="BN333" s="8" t="str">
        <x:v>1</x:v>
      </x:c>
      <x:c r="BO333" s="6" t="str">
        <x:v>Immediate confirmation (1 bar)</x:v>
      </x:c>
      <x:c r="BP333" s="9" t="str">
        <x:v>0.3260176304840247</x:v>
      </x:c>
      <x:c r="BQ333" s="9" t="str">
        <x:v>0.8930048139345025</x:v>
      </x:c>
      <x:c r="BR333" s="10" t="str">
        <x:v>0.36507936507936506</x:v>
      </x:c>
      <x:c r="BS333" s="9" t="str">
        <x:v>0.765432697658145</x:v>
      </x:c>
      <x:c r="BT333" s="9" t="str">
        <x:v>0.3543669896565486</x:v>
      </x:c>
      <x:c r="BU333" s="9" t="str">
        <x:v>0.014174679586261944</x:v>
      </x:c>
      <x:c r="BV333" s="6" t="str">
        <x:v>With trade</x:v>
      </x:c>
      <x:c r="BW333" s="7" t="str">
        <x:v>2025-02-19 13:20:00-06:00</x:v>
      </x:c>
      <x:c r="BX333" s="6" t="str">
        <x:v>21030.25</x:v>
      </x:c>
      <x:c r="BY333" s="9" t="str">
        <x:v>17.637082974510353</x:v>
      </x:c>
      <x:c r="BZ333" s="9" t="str">
        <x:v>0.49</x:v>
      </x:c>
      <x:c r="CA333" s="6" t="str">
        <x:v>21003.794375538233</x:v>
      </x:c>
      <x:c r="CB333" s="6" t="str">
        <x:v>26.455624461767</x:v>
      </x:c>
      <x:c r="CC333" s="9" t="str">
        <x:v>1.5000000000000835</x:v>
      </x:c>
      <x:c r="CD333" s="6" t="str">
        <x:v>21083.16124892353</x:v>
      </x:c>
      <x:c r="CE333" s="6" t="str">
        <x:v>52.911248923530366</x:v>
      </x:c>
      <x:c r="CF333" s="6" t="str">
        <x:v>Fixed 2.00R target</x:v>
      </x:c>
      <x:c r="CG333" s="9" t="str">
        <x:v>0.027404380533438234</x:v>
      </x:c>
      <x:c r="CH333" s="9" t="str">
        <x:v>-0.4724893195420648</x:v>
      </x:c>
      <x:c r="CI333" s="9" t="str">
        <x:v>-0.49989370007550304</x:v>
      </x:c>
      <x:c r="CJ333" s="6" t="str">
        <x:v>Loss</x:v>
      </x:c>
      <x:c r="CK333" s="9" t="str">
        <x:v>0.8315812023939878</x:v>
      </x:c>
      <x:c r="CL333" s="9" t="str">
        <x:v>0.7276335520947393</x:v>
      </x:c>
      <x:c r="CM333" s="7" t="str">
        <x:v>2025-02-19 14:20:00-06:00</x:v>
      </x:c>
      <x:c r="CN333" s="6" t="str">
        <x:v>21017.75</x:v>
      </x:c>
      <x:c r="CO333" s="6" t="str">
        <x:v>TIME</x:v>
      </x:c>
      <x:c r="CP333" s="6" t="str">
        <x:v>F::Long::Same-bar Setup+BOS::Tolerance-only shallow touch</x:v>
      </x:c>
    </x:row>
    <x:row r="334" ht="18" customHeight="1">
      <x:c r="A334" s="6" t="str">
        <x:v>A0333</x:v>
      </x:c>
      <x:c r="B334" s="6" t="str">
        <x:v>2025-02-20</x:v>
      </x:c>
      <x:c r="C334" s="6" t="str">
        <x:v>2025</x:v>
      </x:c>
      <x:c r="D334" s="6" t="str">
        <x:v>2025-Q1</x:v>
      </x:c>
      <x:c r="E334" s="6" t="str">
        <x:v>First 50%</x:v>
      </x:c>
      <x:c r="F334" s="6" t="str">
        <x:v>Long</x:v>
      </x:c>
      <x:c r="G334" s="6" t="str">
        <x:v>Long</x:v>
      </x:c>
      <x:c r="H334" s="6" t="str">
        <x:v>Afternoon</x:v>
      </x:c>
      <x:c r="I334" s="6" t="str">
        <x:v>Afternoon</x:v>
      </x:c>
      <x:c r="J334" s="6" t="str">
        <x:v>Bear</x:v>
      </x:c>
      <x:c r="K334" s="6" t="str">
        <x:v>Bear</x:v>
      </x:c>
      <x:c r="L334" s="6" t="str">
        <x:v>MID</x:v>
      </x:c>
      <x:c r="M334" s="7" t="str">
        <x:v>2025-02-20 14:45:00-06:00</x:v>
      </x:c>
      <x:c r="N334" s="6" t="str">
        <x:v>75.0</x:v>
      </x:c>
      <x:c r="O334" s="6" t="str">
        <x:v>75-79</x:v>
      </x:c>
      <x:c r="P334" s="6" t="str">
        <x:v>Matching BOS only</x:v>
      </x:c>
      <x:c r="Q334" s="6" t="str">
        <x:v>Bull BOS</x:v>
      </x:c>
      <x:c r="R334" s="6" t="str">
        <x:v>True</x:v>
      </x:c>
      <x:c r="S334" s="6" t="str">
        <x:v>False</x:v>
      </x:c>
      <x:c r="T334" s="6" t="str">
        <x:v>No recent matching sweep</x:v>
      </x:c>
      <x:c r="U334" s="6" t="str">
        <x:v>None</x:v>
      </x:c>
      <x:c r="V334" s="6" t="str">
        <x:v>None</x:v>
      </x:c>
      <x:c r="W334" s="6" t="str">
        <x:v>[]</x:v>
      </x:c>
      <x:c r="X334" s="8" t="str">
        <x:v>0</x:v>
      </x:c>
      <x:c r="Y334" s="8" t="str"/>
      <x:c r="Z334" s="6" t="str">
        <x:v>None</x:v>
      </x:c>
      <x:c r="AA334" s="6" t="str">
        <x:v>20880.25</x:v>
      </x:c>
      <x:c r="AB334" s="9" t="str">
        <x:v>0.13625561507424544</x:v>
      </x:c>
      <x:c r="AC334" s="9" t="str">
        <x:v>0.6565043271759098</x:v>
      </x:c>
      <x:c r="AD334" s="9" t="str">
        <x:v>1.3006217802541609</x:v>
      </x:c>
      <x:c r="AE334" s="6" t="str">
        <x:v>With trade</x:v>
      </x:c>
      <x:c r="AF334" s="7" t="str">
        <x:v>2025-02-20 14:45:00-06:00</x:v>
      </x:c>
      <x:c r="AG334" s="6" t="str">
        <x:v>Long</x:v>
      </x:c>
      <x:c r="AH334" s="6" t="str">
        <x:v>20880.25</x:v>
      </x:c>
      <x:c r="AI334" s="8" t="str">
        <x:v>0</x:v>
      </x:c>
      <x:c r="AJ334" s="6" t="str">
        <x:v>True</x:v>
      </x:c>
      <x:c r="AK334" s="6" t="str">
        <x:v>Same-bar Setup+BOS</x:v>
      </x:c>
      <x:c r="AL334" s="9" t="str">
        <x:v>0.6565043271759098</x:v>
      </x:c>
      <x:c r="AM334" s="9" t="str">
        <x:v>0.13625561507424544</x:v>
      </x:c>
      <x:c r="AN334" s="9" t="str">
        <x:v>0.6565043271759098</x:v>
      </x:c>
      <x:c r="AO334" s="9" t="str">
        <x:v>1.3006217802541609</x:v>
      </x:c>
      <x:c r="AP334" s="10" t="str">
        <x:v>0.5047619047619047</x:v>
      </x:c>
      <x:c r="AQ334" s="6" t="str">
        <x:v>0.1523809523809524</x:v>
      </x:c>
      <x:c r="AR334" s="6" t="str">
        <x:v>0.34285714285714286</x:v>
      </x:c>
      <x:c r="AS334" s="6" t="str">
        <x:v>With trade</x:v>
      </x:c>
      <x:c r="AT334" s="6" t="str">
        <x:v>1.2842898953321096</x:v>
      </x:c>
      <x:c r="AU334" s="7" t="str">
        <x:v>2025-02-20 14:50:00-06:00</x:v>
      </x:c>
      <x:c r="AV334" s="8" t="str">
        <x:v>1</x:v>
      </x:c>
      <x:c r="AW334" s="6" t="str">
        <x:v>Immediate retest (1 bar)</x:v>
      </x:c>
      <x:c r="AX334" s="6" t="str">
        <x:v>20868.5</x:v>
      </x:c>
      <x:c r="AY334" s="6" t="str">
        <x:v>11.75</x:v>
      </x:c>
      <x:c r="AZ334" s="9" t="str">
        <x:v>0.5583378008260559</x:v>
      </x:c>
      <x:c r="BA334" s="9" t="str">
        <x:v>0.10691574909435114</x:v>
      </x:c>
      <x:c r="BB334" s="9" t="str">
        <x:v>1.5324590703523664</x:v>
      </x:c>
      <x:c r="BC334" s="9" t="str">
        <x:v>0.04751811070860051</x:v>
      </x:c>
      <x:c r="BD334" s="6" t="str">
        <x:v>0.5348837209302325</x:v>
      </x:c>
      <x:c r="BE334" s="6" t="str">
        <x:v>0.43410852713178294</x:v>
      </x:c>
      <x:c r="BF334" s="9" t="str">
        <x:v>0.6652535499204071</x:v>
      </x:c>
      <x:c r="BG334" s="9" t="str">
        <x:v>0.8196874097233587</x:v>
      </x:c>
      <x:c r="BH334" s="6" t="str">
        <x:v>Against trade</x:v>
      </x:c>
      <x:c r="BI334" s="6" t="str">
        <x:v>Penetration + same-bar reclaim</x:v>
      </x:c>
      <x:c r="BJ334" s="6" t="str">
        <x:v>False</x:v>
      </x:c>
      <x:c r="BK334" s="10" t="str">
        <x:v>True</x:v>
      </x:c>
      <x:c r="BL334" s="6" t="str">
        <x:v>True</x:v>
      </x:c>
      <x:c r="BM334" s="7" t="str">
        <x:v>2025-02-20 14:55:00-06:00</x:v>
      </x:c>
      <x:c r="BN334" s="8" t="str">
        <x:v>1</x:v>
      </x:c>
      <x:c r="BO334" s="6" t="str">
        <x:v>Immediate confirmation (1 bar)</x:v>
      </x:c>
      <x:c r="BP334" s="9" t="str">
        <x:v>0.6980689075294405</x:v>
      </x:c>
      <x:c r="BQ334" s="9" t="str">
        <x:v>1.2681585153451502</x:v>
      </x:c>
      <x:c r="BR334" s="10" t="str">
        <x:v>0.5504587155963303</x:v>
      </x:c>
      <x:c r="BS334" s="9" t="str">
        <x:v>0.7911447618666992</x:v>
      </x:c>
      <x:c r="BT334" s="9" t="str">
        <x:v>0.6864344257372832</x:v>
      </x:c>
      <x:c r="BU334" s="9" t="str">
        <x:v>0.442110308101979</x:v>
      </x:c>
      <x:c r="BV334" s="6" t="str">
        <x:v>With trade</x:v>
      </x:c>
      <x:c r="BW334" s="7" t="str">
        <x:v>2025-02-20 14:55:00-06:00</x:v>
      </x:c>
      <x:c r="BX334" s="6" t="str">
        <x:v>20897.25</x:v>
      </x:c>
      <x:c r="BY334" s="9" t="str">
        <x:v>21.487850036305172</x:v>
      </x:c>
      <x:c r="BZ334" s="9" t="str">
        <x:v>0.45</x:v>
      </x:c>
      <x:c r="CA334" s="6" t="str">
        <x:v>20865.018224945543</x:v>
      </x:c>
      <x:c r="CB334" s="6" t="str">
        <x:v>32.2317750544571</x:v>
      </x:c>
      <x:c r="CC334" s="9" t="str">
        <x:v>1.4999999999999696</x:v>
      </x:c>
      <x:c r="CD334" s="6" t="str">
        <x:v>20961.713550108914</x:v>
      </x:c>
      <x:c r="CE334" s="6" t="str">
        <x:v>64.4635501089142</x:v>
      </x:c>
      <x:c r="CF334" s="6" t="str">
        <x:v>Fixed 2.00R target</x:v>
      </x:c>
      <x:c r="CG334" s="9" t="str">
        <x:v>0.022493331464837986</x:v>
      </x:c>
      <x:c r="CH334" s="9" t="str">
        <x:v>-0.2792275630117762</x:v>
      </x:c>
      <x:c r="CI334" s="9" t="str">
        <x:v>-0.3017208944766142</x:v>
      </x:c>
      <x:c r="CJ334" s="6" t="str">
        <x:v>Loss</x:v>
      </x:c>
      <x:c r="CK334" s="9" t="str">
        <x:v>0.1628827450902061</x:v>
      </x:c>
      <x:c r="CL334" s="9" t="str">
        <x:v>0.8066574042562588</x:v>
      </x:c>
      <x:c r="CM334" s="7" t="str">
        <x:v>2025-02-20 15:55:00-06:00</x:v>
      </x:c>
      <x:c r="CN334" s="6" t="str">
        <x:v>20888.25</x:v>
      </x:c>
      <x:c r="CO334" s="6" t="str">
        <x:v>TIME</x:v>
      </x:c>
      <x:c r="CP334" s="6" t="str">
        <x:v>F::Long::Same-bar Setup+BOS::Penetration + same-bar reclaim</x:v>
      </x:c>
    </x:row>
    <x:row r="335" ht="18" customHeight="1">
      <x:c r="A335" s="6" t="str">
        <x:v>A0334</x:v>
      </x:c>
      <x:c r="B335" s="6" t="str">
        <x:v>2025-02-24</x:v>
      </x:c>
      <x:c r="C335" s="6" t="str">
        <x:v>2025</x:v>
      </x:c>
      <x:c r="D335" s="6" t="str">
        <x:v>2025-Q1</x:v>
      </x:c>
      <x:c r="E335" s="6" t="str">
        <x:v>First 50%</x:v>
      </x:c>
      <x:c r="F335" s="6" t="str">
        <x:v>Long</x:v>
      </x:c>
      <x:c r="G335" s="6" t="str">
        <x:v>Long</x:v>
      </x:c>
      <x:c r="H335" s="6" t="str">
        <x:v>Overnight</x:v>
      </x:c>
      <x:c r="I335" s="6" t="str">
        <x:v>Overnight</x:v>
      </x:c>
      <x:c r="J335" s="6" t="str">
        <x:v>Bear</x:v>
      </x:c>
      <x:c r="K335" s="6" t="str">
        <x:v>Bear</x:v>
      </x:c>
      <x:c r="L335" s="6" t="str">
        <x:v>HIGH</x:v>
      </x:c>
      <x:c r="M335" s="7" t="str">
        <x:v>2025-02-24 03:05:00-06:00</x:v>
      </x:c>
      <x:c r="N335" s="6" t="str">
        <x:v>75.0</x:v>
      </x:c>
      <x:c r="O335" s="6" t="str">
        <x:v>75-79</x:v>
      </x:c>
      <x:c r="P335" s="6" t="str">
        <x:v>Matching BOS only</x:v>
      </x:c>
      <x:c r="Q335" s="6" t="str">
        <x:v>Bull CHoCH</x:v>
      </x:c>
      <x:c r="R335" s="6" t="str">
        <x:v>True</x:v>
      </x:c>
      <x:c r="S335" s="6" t="str">
        <x:v>False</x:v>
      </x:c>
      <x:c r="T335" s="6" t="str">
        <x:v>Recent SSL</x:v>
      </x:c>
      <x:c r="U335" s="6" t="str">
        <x:v>SSL</x:v>
      </x:c>
      <x:c r="V335" s="6" t="str">
        <x:v>Swing low / sell-side</x:v>
      </x:c>
      <x:c r="W335" s="6" t="str">
        <x:v>[20485.25]</x:v>
      </x:c>
      <x:c r="X335" s="8" t="str">
        <x:v>1</x:v>
      </x:c>
      <x:c r="Y335" s="8" t="str">
        <x:v>16.0</x:v>
      </x:c>
      <x:c r="Z335" s="6" t="str">
        <x:v>None</x:v>
      </x:c>
      <x:c r="AA335" s="6" t="str">
        <x:v>20546.0</x:v>
      </x:c>
      <x:c r="AB335" s="9" t="str">
        <x:v>0.20836344247757183</x:v>
      </x:c>
      <x:c r="AC335" s="9" t="str">
        <x:v>0.2500361309730862</x:v>
      </x:c>
      <x:c r="AD335" s="9" t="str">
        <x:v>1.5002167858385171</x:v>
      </x:c>
      <x:c r="AE335" s="6" t="str">
        <x:v>With trade</x:v>
      </x:c>
      <x:c r="AF335" s="7" t="str">
        <x:v>2025-02-24 03:05:00-06:00</x:v>
      </x:c>
      <x:c r="AG335" s="6" t="str">
        <x:v>Long</x:v>
      </x:c>
      <x:c r="AH335" s="6" t="str">
        <x:v>20546.0</x:v>
      </x:c>
      <x:c r="AI335" s="8" t="str">
        <x:v>0</x:v>
      </x:c>
      <x:c r="AJ335" s="6" t="str">
        <x:v>True</x:v>
      </x:c>
      <x:c r="AK335" s="6" t="str">
        <x:v>Same-bar Setup+BOS</x:v>
      </x:c>
      <x:c r="AL335" s="9" t="str">
        <x:v>0.23614523480791472</x:v>
      </x:c>
      <x:c r="AM335" s="9" t="str">
        <x:v>0.20836344247757183</x:v>
      </x:c>
      <x:c r="AN335" s="9" t="str">
        <x:v>0.2500361309730862</x:v>
      </x:c>
      <x:c r="AO335" s="9" t="str">
        <x:v>1.5002167858385171</x:v>
      </x:c>
      <x:c r="AP335" s="10" t="str">
        <x:v>0.16666666666666666</x:v>
      </x:c>
      <x:c r="AQ335" s="6" t="str">
        <x:v>0.4537037037037037</x:v>
      </x:c>
      <x:c r="AR335" s="6" t="str">
        <x:v>0.37962962962962965</x:v>
      </x:c>
      <x:c r="AS335" s="6" t="str">
        <x:v>With trade</x:v>
      </x:c>
      <x:c r="AT335" s="6" t="str">
        <x:v>2.4600889819419</x:v>
      </x:c>
      <x:c r="AU335" s="7" t="str">
        <x:v>2025-02-24 03:10:00-06:00</x:v>
      </x:c>
      <x:c r="AV335" s="8" t="str">
        <x:v>1</x:v>
      </x:c>
      <x:c r="AW335" s="6" t="str">
        <x:v>Immediate retest (1 bar)</x:v>
      </x:c>
      <x:c r="AX335" s="6" t="str">
        <x:v>20540.0</x:v>
      </x:c>
      <x:c r="AY335" s="6" t="str">
        <x:v>6.0</x:v>
      </x:c>
      <x:c r="AZ335" s="9" t="str">
        <x:v>0.3387558652843955</x:v>
      </x:c>
      <x:c r="BA335" s="9" t="str">
        <x:v>0.0</x:v>
      </x:c>
      <x:c r="BB335" s="9" t="str">
        <x:v>0.7904303523302562</x:v>
      </x:c>
      <x:c r="BC335" s="9" t="str">
        <x:v>0.19760758808256404</x:v>
      </x:c>
      <x:c r="BD335" s="6" t="str">
        <x:v>0.32142857142857145</x:v>
      </x:c>
      <x:c r="BE335" s="6" t="str">
        <x:v>0.42857142857142855</x:v>
      </x:c>
      <x:c r="BF335" s="9" t="str">
        <x:v>0.3387558652843955</x:v>
      </x:c>
      <x:c r="BG335" s="9" t="str">
        <x:v>0.2540668989632966</x:v>
      </x:c>
      <x:c r="BH335" s="6" t="str">
        <x:v>Against trade</x:v>
      </x:c>
      <x:c r="BI335" s="6" t="str">
        <x:v>Penetration without same-bar reclaim</x:v>
      </x:c>
      <x:c r="BJ335" s="6" t="str">
        <x:v>False</x:v>
      </x:c>
      <x:c r="BK335" s="10" t="str">
        <x:v>True</x:v>
      </x:c>
      <x:c r="BL335" s="6" t="str">
        <x:v>False</x:v>
      </x:c>
      <x:c r="BM335" s="7" t="str">
        <x:v>2025-02-24 03:15:00-06:00</x:v>
      </x:c>
      <x:c r="BN335" s="8" t="str">
        <x:v>1</x:v>
      </x:c>
      <x:c r="BO335" s="6" t="str">
        <x:v>Immediate confirmation (1 bar)</x:v>
      </x:c>
      <x:c r="BP335" s="9" t="str">
        <x:v>0.3489471345873561</x:v>
      </x:c>
      <x:c r="BQ335" s="9" t="str">
        <x:v>1.144546601446528</x:v>
      </x:c>
      <x:c r="BR335" s="10" t="str">
        <x:v>0.3048780487804878</x:v>
      </x:c>
      <x:c r="BS335" s="9" t="str">
        <x:v>0.32103136382036757</x:v>
      </x:c>
      <x:c r="BT335" s="9" t="str">
        <x:v>0.32103136382036757</x:v>
      </x:c>
      <x:c r="BU335" s="9" t="str">
        <x:v>0.3768629053543446</x:v>
      </x:c>
      <x:c r="BV335" s="6" t="str">
        <x:v>With trade</x:v>
      </x:c>
      <x:c r="BW335" s="7" t="str">
        <x:v>2025-02-24 03:15:00-06:00</x:v>
      </x:c>
      <x:c r="BX335" s="6" t="str">
        <x:v>20551.75</x:v>
      </x:c>
      <x:c r="BY335" s="9" t="str">
        <x:v>17.91102256045425</x:v>
      </x:c>
      <x:c r="BZ335" s="9" t="str">
        <x:v>0.99</x:v>
      </x:c>
      <x:c r="CA335" s="6" t="str">
        <x:v>20524.883466159317</x:v>
      </x:c>
      <x:c r="CB335" s="6" t="str">
        <x:v>26.866533840682678</x:v>
      </x:c>
      <x:c r="CC335" s="9" t="str">
        <x:v>1.5000000000000728</x:v>
      </x:c>
      <x:c r="CD335" s="6" t="str">
        <x:v>20605.48306768136</x:v>
      </x:c>
      <x:c r="CE335" s="6" t="str">
        <x:v>53.73306768136172</x:v>
      </x:c>
      <x:c r="CF335" s="6" t="str">
        <x:v>Fixed 2.00R target</x:v>
      </x:c>
      <x:c r="CG335" s="9" t="str">
        <x:v>0.02698524507475423</x:v>
      </x:c>
      <x:c r="CH335" s="9" t="str">
        <x:v>-1.0</x:v>
      </x:c>
      <x:c r="CI335" s="9" t="str">
        <x:v>-1.0269852450747543</x:v>
      </x:c>
      <x:c r="CJ335" s="6" t="str">
        <x:v>Loss</x:v>
      </x:c>
      <x:c r="CK335" s="9" t="str">
        <x:v>0.5117891307280974</x:v>
      </x:c>
      <x:c r="CL335" s="9" t="str">
        <x:v>1.2375991706697629</x:v>
      </x:c>
      <x:c r="CM335" s="7" t="str">
        <x:v>2025-02-24 04:10:00-06:00</x:v>
      </x:c>
      <x:c r="CN335" s="6" t="str">
        <x:v>20524.883466159317</x:v>
      </x:c>
      <x:c r="CO335" s="6" t="str">
        <x:v>STOP</x:v>
      </x:c>
      <x:c r="CP335" s="6" t="str">
        <x:v>F::Long::Same-bar Setup+BOS::Penetration without same-bar reclaim</x:v>
      </x:c>
    </x:row>
    <x:row r="336" ht="18" customHeight="1">
      <x:c r="A336" s="6" t="str">
        <x:v>A0335</x:v>
      </x:c>
      <x:c r="B336" s="6" t="str">
        <x:v>2025-02-26</x:v>
      </x:c>
      <x:c r="C336" s="6" t="str">
        <x:v>2025</x:v>
      </x:c>
      <x:c r="D336" s="6" t="str">
        <x:v>2025-Q1</x:v>
      </x:c>
      <x:c r="E336" s="6" t="str">
        <x:v>First 50%</x:v>
      </x:c>
      <x:c r="F336" s="6" t="str">
        <x:v>Short</x:v>
      </x:c>
      <x:c r="G336" s="6" t="str">
        <x:v>Short</x:v>
      </x:c>
      <x:c r="H336" s="6" t="str">
        <x:v>Premarket</x:v>
      </x:c>
      <x:c r="I336" s="6" t="str">
        <x:v>Premarket</x:v>
      </x:c>
      <x:c r="J336" s="6" t="str">
        <x:v>Bear</x:v>
      </x:c>
      <x:c r="K336" s="6" t="str">
        <x:v>Bear</x:v>
      </x:c>
      <x:c r="L336" s="6" t="str">
        <x:v>HIGH</x:v>
      </x:c>
      <x:c r="M336" s="7" t="str">
        <x:v>2025-02-26 08:10:00-06:00</x:v>
      </x:c>
      <x:c r="N336" s="6" t="str">
        <x:v>90.0</x:v>
      </x:c>
      <x:c r="O336" s="6" t="str">
        <x:v>90-94</x:v>
      </x:c>
      <x:c r="P336" s="6" t="str">
        <x:v>Matching BOS only</x:v>
      </x:c>
      <x:c r="Q336" s="6" t="str">
        <x:v>Bear CHoCH</x:v>
      </x:c>
      <x:c r="R336" s="6" t="str">
        <x:v>True</x:v>
      </x:c>
      <x:c r="S336" s="6" t="str">
        <x:v>False</x:v>
      </x:c>
      <x:c r="T336" s="6" t="str">
        <x:v>Recent BSL</x:v>
      </x:c>
      <x:c r="U336" s="6" t="str">
        <x:v>BSL</x:v>
      </x:c>
      <x:c r="V336" s="6" t="str">
        <x:v>Swing high / buy-side</x:v>
      </x:c>
      <x:c r="W336" s="6" t="str">
        <x:v>[20081.75]</x:v>
      </x:c>
      <x:c r="X336" s="8" t="str">
        <x:v>1</x:v>
      </x:c>
      <x:c r="Y336" s="8" t="str">
        <x:v>8.0</x:v>
      </x:c>
      <x:c r="Z336" s="6" t="str">
        <x:v>None</x:v>
      </x:c>
      <x:c r="AA336" s="6" t="str">
        <x:v>20012.0</x:v>
      </x:c>
      <x:c r="AB336" s="9" t="str">
        <x:v>0.6920244036500197</x:v>
      </x:c>
      <x:c r="AC336" s="9" t="str">
        <x:v>1.5604471847010248</x:v>
      </x:c>
      <x:c r="AD336" s="9" t="str">
        <x:v>1.7368455621020102</x:v>
      </x:c>
      <x:c r="AE336" s="6" t="str">
        <x:v>With trade</x:v>
      </x:c>
      <x:c r="AF336" s="7" t="str">
        <x:v>2025-02-26 08:10:00-06:00</x:v>
      </x:c>
      <x:c r="AG336" s="6" t="str">
        <x:v>Short</x:v>
      </x:c>
      <x:c r="AH336" s="6" t="str">
        <x:v>20012.0</x:v>
      </x:c>
      <x:c r="AI336" s="8" t="str">
        <x:v>0</x:v>
      </x:c>
      <x:c r="AJ336" s="6" t="str">
        <x:v>True</x:v>
      </x:c>
      <x:c r="AK336" s="6" t="str">
        <x:v>Same-bar Setup+BOS</x:v>
      </x:c>
      <x:c r="AL336" s="9" t="str">
        <x:v>1.6418618204245565</x:v>
      </x:c>
      <x:c r="AM336" s="9" t="str">
        <x:v>0.6920244036500197</x:v>
      </x:c>
      <x:c r="AN336" s="9" t="str">
        <x:v>1.5604471847010248</x:v>
      </x:c>
      <x:c r="AO336" s="9" t="str">
        <x:v>1.7368455621020102</x:v>
      </x:c>
      <x:c r="AP336" s="10" t="str">
        <x:v>0.8984375</x:v>
      </x:c>
      <x:c r="AQ336" s="6" t="str">
        <x:v>0.0</x:v>
      </x:c>
      <x:c r="AR336" s="6" t="str">
        <x:v>0.1015625</x:v>
      </x:c>
      <x:c r="AS336" s="6" t="str">
        <x:v>With trade</x:v>
      </x:c>
      <x:c r="AT336" s="6" t="str">
        <x:v>2.108855144173349</x:v>
      </x:c>
      <x:c r="AU336" s="7" t="str">
        <x:v>2025-02-26 08:20:00-06:00</x:v>
      </x:c>
      <x:c r="AV336" s="8" t="str">
        <x:v>2</x:v>
      </x:c>
      <x:c r="AW336" s="6" t="str">
        <x:v>Delayed retest (2+ bars)</x:v>
      </x:c>
      <x:c r="AX336" s="6" t="str">
        <x:v>20014.75</x:v>
      </x:c>
      <x:c r="AY336" s="6" t="str">
        <x:v>2.75</x:v>
      </x:c>
      <x:c r="AZ336" s="9" t="str">
        <x:v>0.13401490237833688</x:v>
      </x:c>
      <x:c r="BA336" s="9" t="str">
        <x:v>1.4619807532182205</x:v>
      </x:c>
      <x:c r="BB336" s="9" t="str">
        <x:v>1.6569115203139835</x:v>
      </x:c>
      <x:c r="BC336" s="9" t="str">
        <x:v>1.1208519108006358</x:v>
      </x:c>
      <x:c r="BD336" s="6" t="str">
        <x:v>0.2867647058823529</x:v>
      </x:c>
      <x:c r="BE336" s="6" t="str">
        <x:v>0.03676470588235294</x:v>
      </x:c>
      <x:c r="BF336" s="9" t="str">
        <x:v>0.4751437447959217</x:v>
      </x:c>
      <x:c r="BG336" s="9" t="str">
        <x:v>0.06091586471742586</x:v>
      </x:c>
      <x:c r="BH336" s="6" t="str">
        <x:v>With trade</x:v>
      </x:c>
      <x:c r="BI336" s="6" t="str">
        <x:v>Penetration + same-bar reclaim</x:v>
      </x:c>
      <x:c r="BJ336" s="6" t="str">
        <x:v>False</x:v>
      </x:c>
      <x:c r="BK336" s="10" t="str">
        <x:v>True</x:v>
      </x:c>
      <x:c r="BL336" s="6" t="str">
        <x:v>True</x:v>
      </x:c>
      <x:c r="BM336" s="7" t="str">
        <x:v>2025-02-26 08:30:00-06:00</x:v>
      </x:c>
      <x:c r="BN336" s="8" t="str">
        <x:v>2</x:v>
      </x:c>
      <x:c r="BO336" s="6" t="str">
        <x:v>Delayed confirmation (2+ bars)</x:v>
      </x:c>
      <x:c r="BP336" s="9" t="str">
        <x:v>1.3927683704799196</x:v>
      </x:c>
      <x:c r="BQ336" s="9" t="str">
        <x:v>2.144421141850035</x:v>
      </x:c>
      <x:c r="BR336" s="10" t="str">
        <x:v>0.6494845360824743</x:v>
      </x:c>
      <x:c r="BS336" s="9" t="str">
        <x:v>2.310226900240502</x:v>
      </x:c>
      <x:c r="BT336" s="9" t="str">
        <x:v>0.9837808331167687</x:v>
      </x:c>
      <x:c r="BU336" s="9" t="str">
        <x:v>0.08842973780824886</x:v>
      </x:c>
      <x:c r="BV336" s="6" t="str">
        <x:v>With trade</x:v>
      </x:c>
      <x:c r="BW336" s="7" t="str">
        <x:v>2025-02-26 08:30:00-06:00</x:v>
      </x:c>
      <x:c r="BX336" s="6" t="str">
        <x:v>19959.75</x:v>
      </x:c>
      <x:c r="BY336" s="9" t="str">
        <x:v>22.616826076503834</x:v>
      </x:c>
      <x:c r="BZ336" s="9" t="str">
        <x:v>1.0</x:v>
      </x:c>
      <x:c r="CA336" s="6" t="str">
        <x:v>19993.675239114757</x:v>
      </x:c>
      <x:c r="CB336" s="6" t="str">
        <x:v>33.92523911475655</x:v>
      </x:c>
      <x:c r="CC336" s="9" t="str">
        <x:v>1.5000000000000353</x:v>
      </x:c>
      <x:c r="CD336" s="6" t="str">
        <x:v>19891.899521770487</x:v>
      </x:c>
      <x:c r="CE336" s="6" t="str">
        <x:v>67.8504782295131</x:v>
      </x:c>
      <x:c r="CF336" s="6" t="str">
        <x:v>Fixed 2.00R target</x:v>
      </x:c>
      <x:c r="CG336" s="9" t="str">
        <x:v>0.021370519970326306</x:v>
      </x:c>
      <x:c r="CH336" s="9" t="str">
        <x:v>-1.0</x:v>
      </x:c>
      <x:c r="CI336" s="9" t="str">
        <x:v>-1.0213705199703262</x:v>
      </x:c>
      <x:c r="CJ336" s="6" t="str">
        <x:v>Loss</x:v>
      </x:c>
      <x:c r="CK336" s="9" t="str">
        <x:v>0.5379475716668346</x:v>
      </x:c>
      <x:c r="CL336" s="9" t="str">
        <x:v>1.967561666233491</x:v>
      </x:c>
      <x:c r="CM336" s="7" t="str">
        <x:v>2025-02-26 08:35:00-06:00</x:v>
      </x:c>
      <x:c r="CN336" s="6" t="str">
        <x:v>19993.675239114757</x:v>
      </x:c>
      <x:c r="CO336" s="6" t="str">
        <x:v>STOP</x:v>
      </x:c>
      <x:c r="CP336" s="6" t="str">
        <x:v>F::Short::Same-bar Setup+BOS::Penetration + same-bar reclaim</x:v>
      </x:c>
    </x:row>
    <x:row r="337" ht="18" customHeight="1">
      <x:c r="A337" s="6" t="str">
        <x:v>A0336</x:v>
      </x:c>
      <x:c r="B337" s="6" t="str">
        <x:v>2025-02-26</x:v>
      </x:c>
      <x:c r="C337" s="6" t="str">
        <x:v>2025</x:v>
      </x:c>
      <x:c r="D337" s="6" t="str">
        <x:v>2025-Q1</x:v>
      </x:c>
      <x:c r="E337" s="6" t="str">
        <x:v>First 50%</x:v>
      </x:c>
      <x:c r="F337" s="6" t="str">
        <x:v>Long</x:v>
      </x:c>
      <x:c r="G337" s="6" t="str">
        <x:v>Long</x:v>
      </x:c>
      <x:c r="H337" s="6" t="str">
        <x:v>Afternoon</x:v>
      </x:c>
      <x:c r="I337" s="6" t="str">
        <x:v>Afternoon</x:v>
      </x:c>
      <x:c r="J337" s="6" t="str">
        <x:v>Bear</x:v>
      </x:c>
      <x:c r="K337" s="6" t="str">
        <x:v>Bear</x:v>
      </x:c>
      <x:c r="L337" s="6" t="str">
        <x:v>HIGH</x:v>
      </x:c>
      <x:c r="M337" s="7" t="str">
        <x:v>2025-02-26 14:40:00-06:00</x:v>
      </x:c>
      <x:c r="N337" s="6" t="str">
        <x:v>75.0</x:v>
      </x:c>
      <x:c r="O337" s="6" t="str">
        <x:v>75-79</x:v>
      </x:c>
      <x:c r="P337" s="6" t="str">
        <x:v>Matching BOS only</x:v>
      </x:c>
      <x:c r="Q337" s="6" t="str">
        <x:v>Bull CHoCH</x:v>
      </x:c>
      <x:c r="R337" s="6" t="str">
        <x:v>True</x:v>
      </x:c>
      <x:c r="S337" s="6" t="str">
        <x:v>False</x:v>
      </x:c>
      <x:c r="T337" s="6" t="str">
        <x:v>No recent matching sweep</x:v>
      </x:c>
      <x:c r="U337" s="6" t="str">
        <x:v>None</x:v>
      </x:c>
      <x:c r="V337" s="6" t="str">
        <x:v>None</x:v>
      </x:c>
      <x:c r="W337" s="6" t="str">
        <x:v>[]</x:v>
      </x:c>
      <x:c r="X337" s="8" t="str">
        <x:v>0</x:v>
      </x:c>
      <x:c r="Y337" s="8" t="str"/>
      <x:c r="Z337" s="6" t="str">
        <x:v>None</x:v>
      </x:c>
      <x:c r="AA337" s="6" t="str">
        <x:v>19925.75</x:v>
      </x:c>
      <x:c r="AB337" s="9" t="str">
        <x:v>0.6937342966991827</x:v>
      </x:c>
      <x:c r="AC337" s="9" t="str">
        <x:v>0.9547432400117465</x:v>
      </x:c>
      <x:c r="AD337" s="9" t="str">
        <x:v>1.5591850034724204</x:v>
      </x:c>
      <x:c r="AE337" s="6" t="str">
        <x:v>With trade</x:v>
      </x:c>
      <x:c r="AF337" s="7" t="str">
        <x:v>2025-02-26 14:40:00-06:00</x:v>
      </x:c>
      <x:c r="AG337" s="6" t="str">
        <x:v>Long</x:v>
      </x:c>
      <x:c r="AH337" s="6" t="str">
        <x:v>19925.75</x:v>
      </x:c>
      <x:c r="AI337" s="8" t="str">
        <x:v>0</x:v>
      </x:c>
      <x:c r="AJ337" s="6" t="str">
        <x:v>True</x:v>
      </x:c>
      <x:c r="AK337" s="6" t="str">
        <x:v>Same-bar Setup+BOS</x:v>
      </x:c>
      <x:c r="AL337" s="9" t="str">
        <x:v>0.9753492092206331</x:v>
      </x:c>
      <x:c r="AM337" s="9" t="str">
        <x:v>0.6937342966991827</x:v>
      </x:c>
      <x:c r="AN337" s="9" t="str">
        <x:v>0.9547432400117465</x:v>
      </x:c>
      <x:c r="AO337" s="9" t="str">
        <x:v>1.5591850034724204</x:v>
      </x:c>
      <x:c r="AP337" s="10" t="str">
        <x:v>0.6123348017621145</x:v>
      </x:c>
      <x:c r="AQ337" s="6" t="str">
        <x:v>0.09691629955947137</x:v>
      </x:c>
      <x:c r="AR337" s="6" t="str">
        <x:v>0.2907488986784141</x:v>
      </x:c>
      <x:c r="AS337" s="6" t="str">
        <x:v>With trade</x:v>
      </x:c>
      <x:c r="AT337" s="6" t="str">
        <x:v>1.115516090535812</x:v>
      </x:c>
      <x:c r="AU337" s="7" t="str">
        <x:v>2025-02-26 14:55:00-06:00</x:v>
      </x:c>
      <x:c r="AV337" s="8" t="str">
        <x:v>3</x:v>
      </x:c>
      <x:c r="AW337" s="6" t="str">
        <x:v>Delayed retest (2+ bars)</x:v>
      </x:c>
      <x:c r="AX337" s="6" t="str">
        <x:v>19917.25</x:v>
      </x:c>
      <x:c r="AY337" s="6" t="str">
        <x:v>8.5</x:v>
      </x:c>
      <x:c r="AZ337" s="9" t="str">
        <x:v>0.22688783729476422</x:v>
      </x:c>
      <x:c r="BA337" s="9" t="str">
        <x:v>0.48046836133008897</x:v>
      </x:c>
      <x:c r="BB337" s="9" t="str">
        <x:v>1.3146148219726046</x:v>
      </x:c>
      <x:c r="BC337" s="9" t="str">
        <x:v>0.28027321077588524</x:v>
      </x:c>
      <x:c r="BD337" s="6" t="str">
        <x:v>0.24873096446700507</x:v>
      </x:c>
      <x:c r="BE337" s="6" t="str">
        <x:v>0.5380710659898477</x:v>
      </x:c>
      <x:c r="BF337" s="9" t="str">
        <x:v>0.7073561986248532</x:v>
      </x:c>
      <x:c r="BG337" s="9" t="str">
        <x:v>0.3269854125718661</x:v>
      </x:c>
      <x:c r="BH337" s="6" t="str">
        <x:v>Against trade</x:v>
      </x:c>
      <x:c r="BI337" s="6" t="str">
        <x:v>Penetration + same-bar reclaim</x:v>
      </x:c>
      <x:c r="BJ337" s="6" t="str">
        <x:v>False</x:v>
      </x:c>
      <x:c r="BK337" s="10" t="str">
        <x:v>True</x:v>
      </x:c>
      <x:c r="BL337" s="6" t="str">
        <x:v>True</x:v>
      </x:c>
      <x:c r="BM337" s="7" t="str">
        <x:v>2025-02-26 15:00:00-06:00</x:v>
      </x:c>
      <x:c r="BN337" s="8" t="str">
        <x:v>1</x:v>
      </x:c>
      <x:c r="BO337" s="6" t="str">
        <x:v>Immediate confirmation (1 bar)</x:v>
      </x:c>
      <x:c r="BP337" s="9" t="str">
        <x:v>0.4297476261236717</x:v>
      </x:c>
      <x:c r="BQ337" s="9" t="str">
        <x:v>1.3152881890451769</x:v>
      </x:c>
      <x:c r="BR337" s="10" t="str">
        <x:v>0.32673267326732675</x:v>
      </x:c>
      <x:c r="BS337" s="9" t="str">
        <x:v>0.9050745459271267</x:v>
      </x:c>
      <x:c r="BT337" s="9" t="str">
        <x:v>0.43625895379221213</x:v>
      </x:c>
      <x:c r="BU337" s="9" t="str">
        <x:v>0.26696443441015966</x:v>
      </x:c>
      <x:c r="BV337" s="6" t="str">
        <x:v>With trade</x:v>
      </x:c>
      <x:c r="BW337" s="7" t="str">
        <x:v>2025-02-26 15:00:00-06:00</x:v>
      </x:c>
      <x:c r="BX337" s="6" t="str">
        <x:v>19960.5</x:v>
      </x:c>
      <x:c r="BY337" s="9" t="str">
        <x:v>38.39462744408895</x:v>
      </x:c>
      <x:c r="BZ337" s="9" t="str">
        <x:v>0.67</x:v>
      </x:c>
      <x:c r="CA337" s="6" t="str">
        <x:v>19902.908058833866</x:v>
      </x:c>
      <x:c r="CB337" s="6" t="str">
        <x:v>57.59194116613435</x:v>
      </x:c>
      <x:c r="CC337" s="9" t="str">
        <x:v>1.5000000000000242</x:v>
      </x:c>
      <x:c r="CD337" s="6" t="str">
        <x:v>20075.683882332265</x:v>
      </x:c>
      <x:c r="CE337" s="6" t="str">
        <x:v>115.18388233226506</x:v>
      </x:c>
      <x:c r="CF337" s="6" t="str">
        <x:v>Fixed 2.00R target</x:v>
      </x:c>
      <x:c r="CG337" s="9" t="str">
        <x:v>0.012588566825844725</x:v>
      </x:c>
      <x:c r="CH337" s="9" t="str">
        <x:v>-1.0</x:v>
      </x:c>
      <x:c r="CI337" s="9" t="str">
        <x:v>-1.0125885668258447</x:v>
      </x:c>
      <x:c r="CJ337" s="6" t="str">
        <x:v>Loss</x:v>
      </x:c>
      <x:c r="CK337" s="9" t="str">
        <x:v>2.066261313483479</x:v>
      </x:c>
      <x:c r="CL337" s="9" t="str">
        <x:v>2.656621688764473</x:v>
      </x:c>
      <x:c r="CM337" s="7" t="str">
        <x:v>2025-02-26 15:20:00-06:00</x:v>
      </x:c>
      <x:c r="CN337" s="6" t="str">
        <x:v>19902.908058833866</x:v>
      </x:c>
      <x:c r="CO337" s="6" t="str">
        <x:v>STOP</x:v>
      </x:c>
      <x:c r="CP337" s="6" t="str">
        <x:v>F::Long::Same-bar Setup+BOS::Penetration + same-bar reclaim</x:v>
      </x:c>
    </x:row>
    <x:row r="338" ht="18" customHeight="1">
      <x:c r="A338" s="6" t="str">
        <x:v>A0337</x:v>
      </x:c>
      <x:c r="B338" s="6" t="str">
        <x:v>2025-02-27</x:v>
      </x:c>
      <x:c r="C338" s="6" t="str">
        <x:v>2025</x:v>
      </x:c>
      <x:c r="D338" s="6" t="str">
        <x:v>2025-Q1</x:v>
      </x:c>
      <x:c r="E338" s="6" t="str">
        <x:v>First 50%</x:v>
      </x:c>
      <x:c r="F338" s="6" t="str">
        <x:v>Long</x:v>
      </x:c>
      <x:c r="G338" s="6" t="str">
        <x:v>Long</x:v>
      </x:c>
      <x:c r="H338" s="6" t="str">
        <x:v>Midday</x:v>
      </x:c>
      <x:c r="I338" s="6" t="str">
        <x:v>Midday</x:v>
      </x:c>
      <x:c r="J338" s="6" t="str">
        <x:v>Bear</x:v>
      </x:c>
      <x:c r="K338" s="6" t="str">
        <x:v>Bear</x:v>
      </x:c>
      <x:c r="L338" s="6" t="str">
        <x:v>MID</x:v>
      </x:c>
      <x:c r="M338" s="7" t="str">
        <x:v>2025-02-27 12:10:00-06:00</x:v>
      </x:c>
      <x:c r="N338" s="6" t="str">
        <x:v>100.0</x:v>
      </x:c>
      <x:c r="O338" s="6" t="str">
        <x:v>95+</x:v>
      </x:c>
      <x:c r="P338" s="6" t="str">
        <x:v>Matching BOS only</x:v>
      </x:c>
      <x:c r="Q338" s="6" t="str">
        <x:v>Bull CHoCH</x:v>
      </x:c>
      <x:c r="R338" s="6" t="str">
        <x:v>True</x:v>
      </x:c>
      <x:c r="S338" s="6" t="str">
        <x:v>False</x:v>
      </x:c>
      <x:c r="T338" s="6" t="str">
        <x:v>Recent SSL</x:v>
      </x:c>
      <x:c r="U338" s="6" t="str">
        <x:v>SSL</x:v>
      </x:c>
      <x:c r="V338" s="6" t="str">
        <x:v>Swing low / sell-side</x:v>
      </x:c>
      <x:c r="W338" s="6" t="str">
        <x:v>[19761.75]</x:v>
      </x:c>
      <x:c r="X338" s="8" t="str">
        <x:v>1</x:v>
      </x:c>
      <x:c r="Y338" s="8" t="str">
        <x:v>16.0</x:v>
      </x:c>
      <x:c r="Z338" s="6" t="str">
        <x:v>None</x:v>
      </x:c>
      <x:c r="AA338" s="6" t="str">
        <x:v>19829.0</x:v>
      </x:c>
      <x:c r="AB338" s="9" t="str">
        <x:v>0.39518969028207085</x:v>
      </x:c>
      <x:c r="AC338" s="9" t="str">
        <x:v>0.8905683161286104</x:v>
      </x:c>
      <x:c r="AD338" s="9" t="str">
        <x:v>1.3191543182655041</x:v>
      </x:c>
      <x:c r="AE338" s="6" t="str">
        <x:v>With trade</x:v>
      </x:c>
      <x:c r="AF338" s="7" t="str">
        <x:v>2025-02-27 12:10:00-06:00</x:v>
      </x:c>
      <x:c r="AG338" s="6" t="str">
        <x:v>Long</x:v>
      </x:c>
      <x:c r="AH338" s="6" t="str">
        <x:v>19829.0</x:v>
      </x:c>
      <x:c r="AI338" s="8" t="str">
        <x:v>0</x:v>
      </x:c>
      <x:c r="AJ338" s="6" t="str">
        <x:v>True</x:v>
      </x:c>
      <x:c r="AK338" s="6" t="str">
        <x:v>Same-bar Setup+BOS</x:v>
      </x:c>
      <x:c r="AL338" s="9" t="str">
        <x:v>0.8571720042737875</x:v>
      </x:c>
      <x:c r="AM338" s="9" t="str">
        <x:v>0.39518969028207085</x:v>
      </x:c>
      <x:c r="AN338" s="9" t="str">
        <x:v>0.8905683161286104</x:v>
      </x:c>
      <x:c r="AO338" s="9" t="str">
        <x:v>1.3191543182655041</x:v>
      </x:c>
      <x:c r="AP338" s="10" t="str">
        <x:v>0.6751054852320675</x:v>
      </x:c>
      <x:c r="AQ338" s="6" t="str">
        <x:v>0.1729957805907173</x:v>
      </x:c>
      <x:c r="AR338" s="6" t="str">
        <x:v>0.1518987341772152</x:v>
      </x:c>
      <x:c r="AS338" s="6" t="str">
        <x:v>With trade</x:v>
      </x:c>
      <x:c r="AT338" s="6" t="str">
        <x:v>0.9785225131085443</x:v>
      </x:c>
      <x:c r="AU338" s="7" t="str">
        <x:v>2025-02-27 12:15:00-06:00</x:v>
      </x:c>
      <x:c r="AV338" s="8" t="str">
        <x:v>1</x:v>
      </x:c>
      <x:c r="AW338" s="6" t="str">
        <x:v>Immediate retest (1 bar)</x:v>
      </x:c>
      <x:c r="AX338" s="6" t="str">
        <x:v>19824.25</x:v>
      </x:c>
      <x:c r="AY338" s="6" t="str">
        <x:v>4.75</x:v>
      </x:c>
      <x:c r="AZ338" s="9" t="str">
        <x:v>0.10836852531353021</x:v>
      </x:c>
      <x:c r="BA338" s="9" t="str">
        <x:v>0.3308091825360396</x:v>
      </x:c>
      <x:c r="BB338" s="9" t="str">
        <x:v>0.678729184858426</x:v>
      </x:c>
      <x:c r="BC338" s="9" t="str">
        <x:v>0.07414688574083646</x:v>
      </x:c>
      <x:c r="BD338" s="6" t="str">
        <x:v>0.24369747899159663</x:v>
      </x:c>
      <x:c r="BE338" s="6" t="str">
        <x:v>0.6470588235294118</x:v>
      </x:c>
      <x:c r="BF338" s="9" t="str">
        <x:v>0.4391777078495698</x:v>
      </x:c>
      <x:c r="BG338" s="9" t="str">
        <x:v>0.1654045912680198</x:v>
      </x:c>
      <x:c r="BH338" s="6" t="str">
        <x:v>Against trade</x:v>
      </x:c>
      <x:c r="BI338" s="6" t="str">
        <x:v>Penetration + same-bar reclaim</x:v>
      </x:c>
      <x:c r="BJ338" s="6" t="str">
        <x:v>False</x:v>
      </x:c>
      <x:c r="BK338" s="10" t="str">
        <x:v>True</x:v>
      </x:c>
      <x:c r="BL338" s="6" t="str">
        <x:v>True</x:v>
      </x:c>
      <x:c r="BM338" s="7" t="str">
        <x:v>2025-02-27 12:20:00-06:00</x:v>
      </x:c>
      <x:c r="BN338" s="8" t="str">
        <x:v>1</x:v>
      </x:c>
      <x:c r="BO338" s="6" t="str">
        <x:v>Immediate confirmation (1 bar)</x:v>
      </x:c>
      <x:c r="BP338" s="9" t="str">
        <x:v>0.3771029019831205</x:v>
      </x:c>
      <x:c r="BQ338" s="9" t="str">
        <x:v>0.9770393369562668</x:v>
      </x:c>
      <x:c r="BR338" s="10" t="str">
        <x:v>0.38596491228070173</x:v>
      </x:c>
      <x:c r="BS338" s="9" t="str">
        <x:v>0.7313510826339307</x:v>
      </x:c>
      <x:c r="BT338" s="9" t="str">
        <x:v>0.39995762331543083</x:v>
      </x:c>
      <x:c r="BU338" s="9" t="str">
        <x:v>0.4513807463131291</x:v>
      </x:c>
      <x:c r="BV338" s="6" t="str">
        <x:v>With trade</x:v>
      </x:c>
      <x:c r="BW338" s="7" t="str">
        <x:v>2025-02-27 12:20:00-06:00</x:v>
      </x:c>
      <x:c r="BX338" s="6" t="str">
        <x:v>19861.0</x:v>
      </x:c>
      <x:c r="BY338" s="9" t="str">
        <x:v>43.7546354409613</x:v>
      </x:c>
      <x:c r="BZ338" s="9" t="str">
        <x:v>0.58</x:v>
      </x:c>
      <x:c r="CA338" s="6" t="str">
        <x:v>19795.368046838557</x:v>
      </x:c>
      <x:c r="CB338" s="6" t="str">
        <x:v>65.63195316144265</x:v>
      </x:c>
      <x:c r="CC338" s="9" t="str">
        <x:v>1.500000000000016</x:v>
      </x:c>
      <x:c r="CD338" s="6" t="str">
        <x:v>19992.263906322885</x:v>
      </x:c>
      <x:c r="CE338" s="6" t="str">
        <x:v>131.2639063228853</x:v>
      </x:c>
      <x:c r="CF338" s="6" t="str">
        <x:v>Fixed 2.00R target</x:v>
      </x:c>
      <x:c r="CG338" s="9" t="str">
        <x:v>0.011046448643949876</x:v>
      </x:c>
      <x:c r="CH338" s="9" t="str">
        <x:v>-1.0</x:v>
      </x:c>
      <x:c r="CI338" s="9" t="str">
        <x:v>-1.0110464486439499</x:v>
      </x:c>
      <x:c r="CJ338" s="6" t="str">
        <x:v>Loss</x:v>
      </x:c>
      <x:c r="CK338" s="9" t="str">
        <x:v>0.13712832799386054</x:v>
      </x:c>
      <x:c r="CL338" s="9" t="str">
        <x:v>1.2303458317226932</x:v>
      </x:c>
      <x:c r="CM338" s="7" t="str">
        <x:v>2025-02-27 13:00:00-06:00</x:v>
      </x:c>
      <x:c r="CN338" s="6" t="str">
        <x:v>19795.368046838557</x:v>
      </x:c>
      <x:c r="CO338" s="6" t="str">
        <x:v>STOP</x:v>
      </x:c>
      <x:c r="CP338" s="6" t="str">
        <x:v>F::Long::Same-bar Setup+BOS::Penetration + same-bar reclaim</x:v>
      </x:c>
    </x:row>
    <x:row r="339" ht="18" customHeight="1">
      <x:c r="A339" s="6" t="str">
        <x:v>A0338</x:v>
      </x:c>
      <x:c r="B339" s="6" t="str">
        <x:v>2025-02-28</x:v>
      </x:c>
      <x:c r="C339" s="6" t="str">
        <x:v>2025</x:v>
      </x:c>
      <x:c r="D339" s="6" t="str">
        <x:v>2025-Q1</x:v>
      </x:c>
      <x:c r="E339" s="6" t="str">
        <x:v>First 50%</x:v>
      </x:c>
      <x:c r="F339" s="6" t="str">
        <x:v>Short</x:v>
      </x:c>
      <x:c r="G339" s="6" t="str">
        <x:v>Short</x:v>
      </x:c>
      <x:c r="H339" s="6" t="str">
        <x:v>Overnight</x:v>
      </x:c>
      <x:c r="I339" s="6" t="str">
        <x:v>Overnight</x:v>
      </x:c>
      <x:c r="J339" s="6" t="str">
        <x:v>Bear</x:v>
      </x:c>
      <x:c r="K339" s="6" t="str">
        <x:v>Bear</x:v>
      </x:c>
      <x:c r="L339" s="6" t="str">
        <x:v>LOW</x:v>
      </x:c>
      <x:c r="M339" s="7" t="str">
        <x:v>2025-02-28 00:50:00-06:00</x:v>
      </x:c>
      <x:c r="N339" s="6" t="str">
        <x:v>90.0</x:v>
      </x:c>
      <x:c r="O339" s="6" t="str">
        <x:v>90-94</x:v>
      </x:c>
      <x:c r="P339" s="6" t="str">
        <x:v>Matching BOS only</x:v>
      </x:c>
      <x:c r="Q339" s="6" t="str">
        <x:v>Bear BOS</x:v>
      </x:c>
      <x:c r="R339" s="6" t="str">
        <x:v>True</x:v>
      </x:c>
      <x:c r="S339" s="6" t="str">
        <x:v>False</x:v>
      </x:c>
      <x:c r="T339" s="6" t="str">
        <x:v>Recent BSL</x:v>
      </x:c>
      <x:c r="U339" s="6" t="str">
        <x:v>BSL</x:v>
      </x:c>
      <x:c r="V339" s="6" t="str">
        <x:v>Equal high / buy-side</x:v>
      </x:c>
      <x:c r="W339" s="6" t="str">
        <x:v>[19398.0]</x:v>
      </x:c>
      <x:c r="X339" s="8" t="str">
        <x:v>1</x:v>
      </x:c>
      <x:c r="Y339" s="8" t="str">
        <x:v>4.0</x:v>
      </x:c>
      <x:c r="Z339" s="6" t="str">
        <x:v>None</x:v>
      </x:c>
      <x:c r="AA339" s="6" t="str">
        <x:v>19365.75</x:v>
      </x:c>
      <x:c r="AB339" s="9" t="str">
        <x:v>1.0728938710476619</x:v>
      </x:c>
      <x:c r="AC339" s="9" t="str">
        <x:v>1.7833235964711134</x:v>
      </x:c>
      <x:c r="AD339" s="9" t="str">
        <x:v>1.8703149914209238</x:v>
      </x:c>
      <x:c r="AE339" s="6" t="str">
        <x:v>With trade</x:v>
      </x:c>
      <x:c r="AF339" s="7" t="str">
        <x:v>2025-02-28 00:50:00-06:00</x:v>
      </x:c>
      <x:c r="AG339" s="6" t="str">
        <x:v>Short</x:v>
      </x:c>
      <x:c r="AH339" s="6" t="str">
        <x:v>19365.75</x:v>
      </x:c>
      <x:c r="AI339" s="8" t="str">
        <x:v>0</x:v>
      </x:c>
      <x:c r="AJ339" s="6" t="str">
        <x:v>True</x:v>
      </x:c>
      <x:c r="AK339" s="6" t="str">
        <x:v>Same-bar Setup+BOS</x:v>
      </x:c>
      <x:c r="AL339" s="9" t="str">
        <x:v>1.6673350698713663</x:v>
      </x:c>
      <x:c r="AM339" s="9" t="str">
        <x:v>1.0728938710476619</x:v>
      </x:c>
      <x:c r="AN339" s="9" t="str">
        <x:v>1.7833235964711134</x:v>
      </x:c>
      <x:c r="AO339" s="9" t="str">
        <x:v>1.8703149914209238</x:v>
      </x:c>
      <x:c r="AP339" s="10" t="str">
        <x:v>0.9534883720930233</x:v>
      </x:c>
      <x:c r="AQ339" s="6" t="str">
        <x:v>0.0</x:v>
      </x:c>
      <x:c r="AR339" s="6" t="str">
        <x:v>0.046511627906976744</x:v>
      </x:c>
      <x:c r="AS339" s="6" t="str">
        <x:v>With trade</x:v>
      </x:c>
      <x:c r="AT339" s="6" t="str">
        <x:v>1.647502356267672</x:v>
      </x:c>
      <x:c r="AU339" s="7" t="str">
        <x:v>2025-02-28 01:00:00-06:00</x:v>
      </x:c>
      <x:c r="AV339" s="8" t="str">
        <x:v>2</x:v>
      </x:c>
      <x:c r="AW339" s="6" t="str">
        <x:v>Delayed retest (2+ bars)</x:v>
      </x:c>
      <x:c r="AX339" s="6" t="str">
        <x:v>19376.5</x:v>
      </x:c>
      <x:c r="AY339" s="6" t="str">
        <x:v>10.75</x:v>
      </x:c>
      <x:c r="AZ339" s="9" t="str">
        <x:v>0.5717648568973736</x:v>
      </x:c>
      <x:c r="BA339" s="9" t="str">
        <x:v>0.21274971419437153</x:v>
      </x:c>
      <x:c r="BB339" s="9" t="str">
        <x:v>2.287059427589494</x:v>
      </x:c>
      <x:c r="BC339" s="9" t="str">
        <x:v>0.7446239996803004</x:v>
      </x:c>
      <x:c r="BD339" s="6" t="str">
        <x:v>0.3430232558139535</x:v>
      </x:c>
      <x:c r="BE339" s="6" t="str">
        <x:v>0.3313953488372093</x:v>
      </x:c>
      <x:c r="BF339" s="9" t="str">
        <x:v>0.784514571091745</x:v>
      </x:c>
      <x:c r="BG339" s="9" t="str">
        <x:v>0.7579208568174486</x:v>
      </x:c>
      <x:c r="BH339" s="6" t="str">
        <x:v>Against trade</x:v>
      </x:c>
      <x:c r="BI339" s="6" t="str">
        <x:v>Penetration + same-bar reclaim</x:v>
      </x:c>
      <x:c r="BJ339" s="6" t="str">
        <x:v>False</x:v>
      </x:c>
      <x:c r="BK339" s="10" t="str">
        <x:v>True</x:v>
      </x:c>
      <x:c r="BL339" s="6" t="str">
        <x:v>True</x:v>
      </x:c>
      <x:c r="BM339" s="7" t="str">
        <x:v>2025-02-28 01:05:00-06:00</x:v>
      </x:c>
      <x:c r="BN339" s="8" t="str">
        <x:v>1</x:v>
      </x:c>
      <x:c r="BO339" s="6" t="str">
        <x:v>Immediate confirmation (1 bar)</x:v>
      </x:c>
      <x:c r="BP339" s="9" t="str">
        <x:v>0.19780071248435085</x:v>
      </x:c>
      <x:c r="BQ339" s="9" t="str">
        <x:v>1.1076839899123647</x:v>
      </x:c>
      <x:c r="BR339" s="10" t="str">
        <x:v>0.17857142857142858</x:v>
      </x:c>
      <x:c r="BS339" s="9" t="str">
        <x:v>0.47472170996244206</x:v>
      </x:c>
      <x:c r="BT339" s="9" t="str">
        <x:v>0.2637342833124678</x:v>
      </x:c>
      <x:c r="BU339" s="9" t="str">
        <x:v>0.22417414081559764</x:v>
      </x:c>
      <x:c r="BV339" s="6" t="str">
        <x:v>With trade</x:v>
      </x:c>
      <x:c r="BW339" s="7" t="str">
        <x:v>2025-02-28 01:05:00-06:00</x:v>
      </x:c>
      <x:c r="BX339" s="6" t="str">
        <x:v>19356.75</x:v>
      </x:c>
      <x:c r="BY339" s="9" t="str">
        <x:v>18.95847569455385</x:v>
      </x:c>
      <x:c r="BZ339" s="9" t="str">
        <x:v>0.2</x:v>
      </x:c>
      <x:c r="CA339" s="6" t="str">
        <x:v>19385.18771354183</x:v>
      </x:c>
      <x:c r="CB339" s="6" t="str">
        <x:v>28.437713541828998</x:v>
      </x:c>
      <x:c r="CC339" s="9" t="str">
        <x:v>1.4999999999999063</x:v>
      </x:c>
      <x:c r="CD339" s="6" t="str">
        <x:v>19299.87457291634</x:v>
      </x:c>
      <x:c r="CE339" s="6" t="str">
        <x:v>56.875427083661634</x:v>
      </x:c>
      <x:c r="CF339" s="6" t="str">
        <x:v>Fixed 2.00R target</x:v>
      </x:c>
      <x:c r="CG339" s="9" t="str">
        <x:v>0.02549431405354015</x:v>
      </x:c>
      <x:c r="CH339" s="9" t="str">
        <x:v>-1.0</x:v>
      </x:c>
      <x:c r="CI339" s="9" t="str">
        <x:v>-1.0254943140535402</x:v>
      </x:c>
      <x:c r="CJ339" s="6" t="str">
        <x:v>Loss</x:v>
      </x:c>
      <x:c r="CK339" s="9" t="str">
        <x:v>1.8109754120790589</x:v>
      </x:c>
      <x:c r="CL339" s="9" t="str">
        <x:v>1.0285637049186886</x:v>
      </x:c>
      <x:c r="CM339" s="7" t="str">
        <x:v>2025-02-28 02:00:00-06:00</x:v>
      </x:c>
      <x:c r="CN339" s="6" t="str">
        <x:v>19385.18771354183</x:v>
      </x:c>
      <x:c r="CO339" s="6" t="str">
        <x:v>STOP</x:v>
      </x:c>
      <x:c r="CP339" s="6" t="str">
        <x:v>F::Short::Same-bar Setup+BOS::Penetration + same-bar reclaim</x:v>
      </x:c>
    </x:row>
    <x:row r="340" ht="18" customHeight="1">
      <x:c r="A340" s="6" t="str">
        <x:v>A0339</x:v>
      </x:c>
      <x:c r="B340" s="6" t="str">
        <x:v>2025-02-28</x:v>
      </x:c>
      <x:c r="C340" s="6" t="str">
        <x:v>2025</x:v>
      </x:c>
      <x:c r="D340" s="6" t="str">
        <x:v>2025-Q1</x:v>
      </x:c>
      <x:c r="E340" s="6" t="str">
        <x:v>First 50%</x:v>
      </x:c>
      <x:c r="F340" s="6" t="str">
        <x:v>Long</x:v>
      </x:c>
      <x:c r="G340" s="6" t="str">
        <x:v>Long</x:v>
      </x:c>
      <x:c r="H340" s="6" t="str">
        <x:v>Overnight</x:v>
      </x:c>
      <x:c r="I340" s="6" t="str">
        <x:v>Overnight</x:v>
      </x:c>
      <x:c r="J340" s="6" t="str">
        <x:v>Bear</x:v>
      </x:c>
      <x:c r="K340" s="6" t="str">
        <x:v>Bear</x:v>
      </x:c>
      <x:c r="L340" s="6" t="str">
        <x:v>MID</x:v>
      </x:c>
      <x:c r="M340" s="7" t="str">
        <x:v>2025-02-28 02:20:00-06:00</x:v>
      </x:c>
      <x:c r="N340" s="6" t="str">
        <x:v>75.0</x:v>
      </x:c>
      <x:c r="O340" s="6" t="str">
        <x:v>75-79</x:v>
      </x:c>
      <x:c r="P340" s="6" t="str">
        <x:v>Matching BOS only</x:v>
      </x:c>
      <x:c r="Q340" s="6" t="str">
        <x:v>Bull CHoCH</x:v>
      </x:c>
      <x:c r="R340" s="6" t="str">
        <x:v>True</x:v>
      </x:c>
      <x:c r="S340" s="6" t="str">
        <x:v>False</x:v>
      </x:c>
      <x:c r="T340" s="6" t="str">
        <x:v>Recent SSL</x:v>
      </x:c>
      <x:c r="U340" s="6" t="str">
        <x:v>SSL</x:v>
      </x:c>
      <x:c r="V340" s="6" t="str">
        <x:v>Swing low / sell-side</x:v>
      </x:c>
      <x:c r="W340" s="6" t="str">
        <x:v>[19363.5]</x:v>
      </x:c>
      <x:c r="X340" s="8" t="str">
        <x:v>1</x:v>
      </x:c>
      <x:c r="Y340" s="8" t="str">
        <x:v>19.0</x:v>
      </x:c>
      <x:c r="Z340" s="6" t="str">
        <x:v>None</x:v>
      </x:c>
      <x:c r="AA340" s="6" t="str">
        <x:v>19398.25</x:v>
      </x:c>
      <x:c r="AB340" s="9" t="str">
        <x:v>0.5031973769038135</x:v>
      </x:c>
      <x:c r="AC340" s="9" t="str">
        <x:v>0.8425630496994087</x:v>
      </x:c>
      <x:c r="AD340" s="9" t="str">
        <x:v>1.2872491037074298</x:v>
      </x:c>
      <x:c r="AE340" s="6" t="str">
        <x:v>With trade</x:v>
      </x:c>
      <x:c r="AF340" s="7" t="str">
        <x:v>2025-02-28 02:20:00-06:00</x:v>
      </x:c>
      <x:c r="AG340" s="6" t="str">
        <x:v>Long</x:v>
      </x:c>
      <x:c r="AH340" s="6" t="str">
        <x:v>19398.25</x:v>
      </x:c>
      <x:c r="AI340" s="8" t="str">
        <x:v>0</x:v>
      </x:c>
      <x:c r="AJ340" s="6" t="str">
        <x:v>True</x:v>
      </x:c>
      <x:c r="AK340" s="6" t="str">
        <x:v>Same-bar Setup+BOS</x:v>
      </x:c>
      <x:c r="AL340" s="9" t="str">
        <x:v>0.8425630496994087</x:v>
      </x:c>
      <x:c r="AM340" s="9" t="str">
        <x:v>0.5031973769038135</x:v>
      </x:c>
      <x:c r="AN340" s="9" t="str">
        <x:v>0.8425630496994087</x:v>
      </x:c>
      <x:c r="AO340" s="9" t="str">
        <x:v>1.2872491037074298</x:v>
      </x:c>
      <x:c r="AP340" s="10" t="str">
        <x:v>0.6545454545454545</x:v>
      </x:c>
      <x:c r="AQ340" s="6" t="str">
        <x:v>0.2636363636363636</x:v>
      </x:c>
      <x:c r="AR340" s="6" t="str">
        <x:v>0.08181818181818182</x:v>
      </x:c>
      <x:c r="AS340" s="6" t="str">
        <x:v>With trade</x:v>
      </x:c>
      <x:c r="AT340" s="6" t="str">
        <x:v>3.053325097796994</x:v>
      </x:c>
      <x:c r="AU340" s="7" t="str">
        <x:v>2025-02-28 03:00:00-06:00</x:v>
      </x:c>
      <x:c r="AV340" s="8" t="str">
        <x:v>8</x:v>
      </x:c>
      <x:c r="AW340" s="6" t="str">
        <x:v>Delayed retest (2+ bars)</x:v>
      </x:c>
      <x:c r="AX340" s="6" t="str">
        <x:v>19388.5</x:v>
      </x:c>
      <x:c r="AY340" s="6" t="str">
        <x:v>9.75</x:v>
      </x:c>
      <x:c r="AZ340" s="9" t="str">
        <x:v>0.48452181109002457</x:v>
      </x:c>
      <x:c r="BA340" s="9" t="str">
        <x:v>-0.037270908545386505</x:v>
      </x:c>
      <x:c r="BB340" s="9" t="str">
        <x:v>1.4411417970882783</x:v>
      </x:c>
      <x:c r="BC340" s="9" t="str">
        <x:v>0.7826890794531166</x:v>
      </x:c>
      <x:c r="BD340" s="6" t="str">
        <x:v>0.14655172413793102</x:v>
      </x:c>
      <x:c r="BE340" s="6" t="str">
        <x:v>0.3103448275862069</x:v>
      </x:c>
      <x:c r="BF340" s="9" t="str">
        <x:v>0.44725090254463806</x:v>
      </x:c>
      <x:c r="BG340" s="9" t="str">
        <x:v>0.21120181509052352</x:v>
      </x:c>
      <x:c r="BH340" s="6" t="str">
        <x:v>Against trade</x:v>
      </x:c>
      <x:c r="BI340" s="6" t="str">
        <x:v>Penetration without same-bar reclaim</x:v>
      </x:c>
      <x:c r="BJ340" s="6" t="str">
        <x:v>False</x:v>
      </x:c>
      <x:c r="BK340" s="10" t="str">
        <x:v>True</x:v>
      </x:c>
      <x:c r="BL340" s="6" t="str">
        <x:v>False</x:v>
      </x:c>
      <x:c r="BM340" s="7" t="str">
        <x:v>2025-02-28 03:05:00-06:00</x:v>
      </x:c>
      <x:c r="BN340" s="8" t="str">
        <x:v>1</x:v>
      </x:c>
      <x:c r="BO340" s="6" t="str">
        <x:v>Immediate confirmation (1 bar)</x:v>
      </x:c>
      <x:c r="BP340" s="9" t="str">
        <x:v>1.0281732230901632</x:v>
      </x:c>
      <x:c r="BQ340" s="9" t="str">
        <x:v>1.3426732678000954</x:v>
      </x:c>
      <x:c r="BR340" s="10" t="str">
        <x:v>0.7657657657657657</x:v>
      </x:c>
      <x:c r="BS340" s="9" t="str">
        <x:v>1.00398091195863</x:v>
      </x:c>
      <x:c r="BT340" s="9" t="str">
        <x:v>1.0402693786559298</x:v>
      </x:c>
      <x:c r="BU340" s="9" t="str">
        <x:v>0.012096155565766627</x:v>
      </x:c>
      <x:c r="BV340" s="6" t="str">
        <x:v>With trade</x:v>
      </x:c>
      <x:c r="BW340" s="7" t="str">
        <x:v>2025-02-28 03:05:00-06:00</x:v>
      </x:c>
      <x:c r="BX340" s="6" t="str">
        <x:v>19419.0</x:v>
      </x:c>
      <x:c r="BY340" s="9" t="str">
        <x:v>20.667723611915665</x:v>
      </x:c>
      <x:c r="BZ340" s="9" t="str">
        <x:v>0.46</x:v>
      </x:c>
      <x:c r="CA340" s="6" t="str">
        <x:v>19387.998414582125</x:v>
      </x:c>
      <x:c r="CB340" s="6" t="str">
        <x:v>31.001585417874594</x:v>
      </x:c>
      <x:c r="CC340" s="9" t="str">
        <x:v>1.500000000000053</x:v>
      </x:c>
      <x:c r="CD340" s="6" t="str">
        <x:v>19481.003170835746</x:v>
      </x:c>
      <x:c r="CE340" s="6" t="str">
        <x:v>62.00317083574555</x:v>
      </x:c>
      <x:c r="CF340" s="6" t="str">
        <x:v>Fixed 2.00R target</x:v>
      </x:c>
      <x:c r="CG340" s="9" t="str">
        <x:v>0.023385900760481318</x:v>
      </x:c>
      <x:c r="CH340" s="9" t="str">
        <x:v>-0.31450004470993226</x:v>
      </x:c>
      <x:c r="CI340" s="9" t="str">
        <x:v>-0.33788594547041356</x:v>
      </x:c>
      <x:c r="CJ340" s="6" t="str">
        <x:v>Loss</x:v>
      </x:c>
      <x:c r="CK340" s="9" t="str">
        <x:v>0.564487259735756</x:v>
      </x:c>
      <x:c r="CL340" s="9" t="str">
        <x:v>0.5806154671567776</x:v>
      </x:c>
      <x:c r="CM340" s="7" t="str">
        <x:v>2025-02-28 04:05:00-06:00</x:v>
      </x:c>
      <x:c r="CN340" s="6" t="str">
        <x:v>19409.25</x:v>
      </x:c>
      <x:c r="CO340" s="6" t="str">
        <x:v>TIME</x:v>
      </x:c>
      <x:c r="CP340" s="6" t="str">
        <x:v>F::Long::Same-bar Setup+BOS::Penetration without same-bar reclaim</x:v>
      </x:c>
    </x:row>
    <x:row r="341" ht="18" customHeight="1">
      <x:c r="A341" s="6" t="str">
        <x:v>A0340</x:v>
      </x:c>
      <x:c r="B341" s="6" t="str">
        <x:v>2025-03-03</x:v>
      </x:c>
      <x:c r="C341" s="6" t="str">
        <x:v>2025</x:v>
      </x:c>
      <x:c r="D341" s="6" t="str">
        <x:v>2025-Q1</x:v>
      </x:c>
      <x:c r="E341" s="6" t="str">
        <x:v>First 50%</x:v>
      </x:c>
      <x:c r="F341" s="6" t="str">
        <x:v>Short</x:v>
      </x:c>
      <x:c r="G341" s="6" t="str">
        <x:v>Short</x:v>
      </x:c>
      <x:c r="H341" s="6" t="str">
        <x:v>Afternoon</x:v>
      </x:c>
      <x:c r="I341" s="6" t="str">
        <x:v>Midday</x:v>
      </x:c>
      <x:c r="J341" s="6" t="str">
        <x:v>Bear</x:v>
      </x:c>
      <x:c r="K341" s="6" t="str">
        <x:v>Bear</x:v>
      </x:c>
      <x:c r="L341" s="6" t="str">
        <x:v>HIGH</x:v>
      </x:c>
      <x:c r="M341" s="7" t="str">
        <x:v>2025-03-03 13:50:00-06:00</x:v>
      </x:c>
      <x:c r="N341" s="6" t="str">
        <x:v>75.0</x:v>
      </x:c>
      <x:c r="O341" s="6" t="str">
        <x:v>75-79</x:v>
      </x:c>
      <x:c r="P341" s="6" t="str">
        <x:v>Matching BOS only</x:v>
      </x:c>
      <x:c r="Q341" s="6" t="str">
        <x:v>Bear CHoCH</x:v>
      </x:c>
      <x:c r="R341" s="6" t="str">
        <x:v>True</x:v>
      </x:c>
      <x:c r="S341" s="6" t="str">
        <x:v>False</x:v>
      </x:c>
      <x:c r="T341" s="6" t="str">
        <x:v>No recent matching sweep</x:v>
      </x:c>
      <x:c r="U341" s="6" t="str">
        <x:v>None</x:v>
      </x:c>
      <x:c r="V341" s="6" t="str">
        <x:v>None</x:v>
      </x:c>
      <x:c r="W341" s="6" t="str">
        <x:v>[]</x:v>
      </x:c>
      <x:c r="X341" s="8" t="str">
        <x:v>0</x:v>
      </x:c>
      <x:c r="Y341" s="8" t="str"/>
      <x:c r="Z341" s="6" t="str">
        <x:v>None</x:v>
      </x:c>
      <x:c r="AA341" s="6" t="str">
        <x:v>19405.75</x:v>
      </x:c>
      <x:c r="AB341" s="9" t="str">
        <x:v>0.24805631586593765</x:v>
      </x:c>
      <x:c r="AC341" s="9" t="str">
        <x:v>1.411354900616542</x:v>
      </x:c>
      <x:c r="AD341" s="9" t="str">
        <x:v>2.2752751731151526</x:v>
      </x:c>
      <x:c r="AE341" s="6" t="str">
        <x:v>With trade</x:v>
      </x:c>
      <x:c r="AF341" s="7" t="str">
        <x:v>2025-03-03 13:50:00-06:00</x:v>
      </x:c>
      <x:c r="AG341" s="6" t="str">
        <x:v>Short</x:v>
      </x:c>
      <x:c r="AH341" s="6" t="str">
        <x:v>19405.75</x:v>
      </x:c>
      <x:c r="AI341" s="8" t="str">
        <x:v>0</x:v>
      </x:c>
      <x:c r="AJ341" s="6" t="str">
        <x:v>True</x:v>
      </x:c>
      <x:c r="AK341" s="6" t="str">
        <x:v>Same-bar Setup+BOS</x:v>
      </x:c>
      <x:c r="AL341" s="9" t="str">
        <x:v>1.411354900616542</x:v>
      </x:c>
      <x:c r="AM341" s="9" t="str">
        <x:v>0.24805631586593765</x:v>
      </x:c>
      <x:c r="AN341" s="9" t="str">
        <x:v>1.411354900616542</x:v>
      </x:c>
      <x:c r="AO341" s="9" t="str">
        <x:v>2.2752751731151526</x:v>
      </x:c>
      <x:c r="AP341" s="10" t="str">
        <x:v>0.6203007518796992</x:v>
      </x:c>
      <x:c r="AQ341" s="6" t="str">
        <x:v>0.14285714285714285</x:v>
      </x:c>
      <x:c r="AR341" s="6" t="str">
        <x:v>0.23684210526315788</x:v>
      </x:c>
      <x:c r="AS341" s="6" t="str">
        <x:v>With trade</x:v>
      </x:c>
      <x:c r="AT341" s="6" t="str">
        <x:v>2.46236658646431</x:v>
      </x:c>
      <x:c r="AU341" s="7" t="str">
        <x:v>2025-03-03 13:55:00-06:00</x:v>
      </x:c>
      <x:c r="AV341" s="8" t="str">
        <x:v>1</x:v>
      </x:c>
      <x:c r="AW341" s="6" t="str">
        <x:v>Immediate retest (1 bar)</x:v>
      </x:c>
      <x:c r="AX341" s="6" t="str">
        <x:v>19428.25</x:v>
      </x:c>
      <x:c r="AY341" s="6" t="str">
        <x:v>22.5</x:v>
      </x:c>
      <x:c r="AZ341" s="9" t="str">
        <x:v>0.3763854186473752</x:v>
      </x:c>
      <x:c r="BA341" s="9" t="str">
        <x:v>0.8364120414386115</x:v>
      </x:c>
      <x:c r="BB341" s="9" t="str">
        <x:v>1.2880745438154617</x:v>
      </x:c>
      <x:c r="BC341" s="9" t="str">
        <x:v>0.6105807902501864</x:v>
      </x:c>
      <x:c r="BD341" s="6" t="str">
        <x:v>0.4675324675324675</x:v>
      </x:c>
      <x:c r="BE341" s="6" t="str">
        <x:v>0.05844155844155844</x:v>
      </x:c>
      <x:c r="BF341" s="9" t="str">
        <x:v>0.6022166698358002</x:v>
      </x:c>
      <x:c r="BG341" s="9" t="str">
        <x:v>0.07527708372947503</x:v>
      </x:c>
      <x:c r="BH341" s="6" t="str">
        <x:v>With trade</x:v>
      </x:c>
      <x:c r="BI341" s="6" t="str">
        <x:v>Penetration + same-bar reclaim</x:v>
      </x:c>
      <x:c r="BJ341" s="6" t="str">
        <x:v>False</x:v>
      </x:c>
      <x:c r="BK341" s="10" t="str">
        <x:v>True</x:v>
      </x:c>
      <x:c r="BL341" s="6" t="str">
        <x:v>True</x:v>
      </x:c>
      <x:c r="BM341" s="7" t="str">
        <x:v>2025-03-03 14:00:00-06:00</x:v>
      </x:c>
      <x:c r="BN341" s="8" t="str">
        <x:v>1</x:v>
      </x:c>
      <x:c r="BO341" s="6" t="str">
        <x:v>Immediate confirmation (1 bar)</x:v>
      </x:c>
      <x:c r="BP341" s="9" t="str">
        <x:v>1.1125251833262266</x:v>
      </x:c>
      <x:c r="BQ341" s="9" t="str">
        <x:v>1.6489212538585143</x:v>
      </x:c>
      <x:c r="BR341" s="10" t="str">
        <x:v>0.6746987951807228</x:v>
      </x:c>
      <x:c r="BS341" s="9" t="str">
        <x:v>1.891292811654585</x:v>
      </x:c>
      <x:c r="BT341" s="9" t="str">
        <x:v>1.0966319664215662</x:v>
      </x:c>
      <x:c r="BU341" s="9" t="str">
        <x:v>0.027813129583155665</x:v>
      </x:c>
      <x:c r="BV341" s="6" t="str">
        <x:v>With trade</x:v>
      </x:c>
      <x:c r="BW341" s="7" t="str">
        <x:v>2025-03-03 14:00:00-06:00</x:v>
      </x:c>
      <x:c r="BX341" s="6" t="str">
        <x:v>19286.75</x:v>
      </x:c>
      <x:c r="BY341" s="9" t="str">
        <x:v>62.919924015305504</x:v>
      </x:c>
      <x:c r="BZ341" s="9" t="str">
        <x:v>0.97</x:v>
      </x:c>
      <x:c r="CA341" s="6" t="str">
        <x:v>19381.129886022958</x:v>
      </x:c>
      <x:c r="CB341" s="6" t="str">
        <x:v>94.37988602295809</x:v>
      </x:c>
      <x:c r="CC341" s="9" t="str">
        <x:v>1.4999999999999973</x:v>
      </x:c>
      <x:c r="CD341" s="6" t="str">
        <x:v>19097.990227954084</x:v>
      </x:c>
      <x:c r="CE341" s="6" t="str">
        <x:v>188.75977204591618</x:v>
      </x:c>
      <x:c r="CF341" s="6" t="str">
        <x:v>Fixed 2.00R target</x:v>
      </x:c>
      <x:c r="CG341" s="9" t="str">
        <x:v>0.007681721503919197</x:v>
      </x:c>
      <x:c r="CH341" s="9" t="str">
        <x:v>2.0</x:v>
      </x:c>
      <x:c r="CI341" s="9" t="str">
        <x:v>1.992318278496081</x:v>
      </x:c>
      <x:c r="CJ341" s="6" t="str">
        <x:v>Win</x:v>
      </x:c>
      <x:c r="CK341" s="9" t="str">
        <x:v>2.304516451175759</x:v>
      </x:c>
      <x:c r="CL341" s="9" t="str">
        <x:v>0.25164260099045643</x:v>
      </x:c>
      <x:c r="CM341" s="7" t="str">
        <x:v>2025-03-03 14:40:00-06:00</x:v>
      </x:c>
      <x:c r="CN341" s="6" t="str">
        <x:v>19097.990227954084</x:v>
      </x:c>
      <x:c r="CO341" s="6" t="str">
        <x:v>TARGET</x:v>
      </x:c>
      <x:c r="CP341" s="6" t="str">
        <x:v>F::Short::Same-bar Setup+BOS::Penetration + same-bar reclaim</x:v>
      </x:c>
    </x:row>
    <x:row r="342" ht="18" customHeight="1">
      <x:c r="A342" s="6" t="str">
        <x:v>A0341</x:v>
      </x:c>
      <x:c r="B342" s="6" t="str">
        <x:v>2025-03-03</x:v>
      </x:c>
      <x:c r="C342" s="6" t="str">
        <x:v>2025</x:v>
      </x:c>
      <x:c r="D342" s="6" t="str">
        <x:v>2025-Q1</x:v>
      </x:c>
      <x:c r="E342" s="6" t="str">
        <x:v>First 50%</x:v>
      </x:c>
      <x:c r="F342" s="6" t="str">
        <x:v>Long</x:v>
      </x:c>
      <x:c r="G342" s="6" t="str">
        <x:v>Long</x:v>
      </x:c>
      <x:c r="H342" s="6" t="str">
        <x:v>Overnight</x:v>
      </x:c>
      <x:c r="I342" s="6" t="str">
        <x:v>Overnight</x:v>
      </x:c>
      <x:c r="J342" s="6" t="str">
        <x:v>Bear</x:v>
      </x:c>
      <x:c r="K342" s="6" t="str">
        <x:v>Bear</x:v>
      </x:c>
      <x:c r="L342" s="6" t="str">
        <x:v>LOW</x:v>
      </x:c>
      <x:c r="M342" s="7" t="str">
        <x:v>2025-03-03 20:30:00-06:00</x:v>
      </x:c>
      <x:c r="N342" s="6" t="str">
        <x:v>75.0</x:v>
      </x:c>
      <x:c r="O342" s="6" t="str">
        <x:v>75-79</x:v>
      </x:c>
      <x:c r="P342" s="6" t="str">
        <x:v>Matching BOS only</x:v>
      </x:c>
      <x:c r="Q342" s="6" t="str">
        <x:v>Bull BOS</x:v>
      </x:c>
      <x:c r="R342" s="6" t="str">
        <x:v>True</x:v>
      </x:c>
      <x:c r="S342" s="6" t="str">
        <x:v>False</x:v>
      </x:c>
      <x:c r="T342" s="6" t="str">
        <x:v>Recent SSL</x:v>
      </x:c>
      <x:c r="U342" s="6" t="str">
        <x:v>SSL</x:v>
      </x:c>
      <x:c r="V342" s="6" t="str">
        <x:v>Swing low / sell-side</x:v>
      </x:c>
      <x:c r="W342" s="6" t="str">
        <x:v>[19226.5]</x:v>
      </x:c>
      <x:c r="X342" s="8" t="str">
        <x:v>1</x:v>
      </x:c>
      <x:c r="Y342" s="8" t="str">
        <x:v>12.0</x:v>
      </x:c>
      <x:c r="Z342" s="6" t="str">
        <x:v>None</x:v>
      </x:c>
      <x:c r="AA342" s="6" t="str">
        <x:v>19274.0</x:v>
      </x:c>
      <x:c r="AB342" s="9" t="str">
        <x:v>0.3317306481393766</x:v>
      </x:c>
      <x:c r="AC342" s="9" t="str">
        <x:v>0.5428319696826163</x:v>
      </x:c>
      <x:c r="AD342" s="9" t="str">
        <x:v>0.8041955106409129</x:v>
      </x:c>
      <x:c r="AE342" s="6" t="str">
        <x:v>With trade</x:v>
      </x:c>
      <x:c r="AF342" s="7" t="str">
        <x:v>2025-03-03 20:30:00-06:00</x:v>
      </x:c>
      <x:c r="AG342" s="6" t="str">
        <x:v>Long</x:v>
      </x:c>
      <x:c r="AH342" s="6" t="str">
        <x:v>19274.0</x:v>
      </x:c>
      <x:c r="AI342" s="8" t="str">
        <x:v>0</x:v>
      </x:c>
      <x:c r="AJ342" s="6" t="str">
        <x:v>True</x:v>
      </x:c>
      <x:c r="AK342" s="6" t="str">
        <x:v>Same-bar Setup+BOS</x:v>
      </x:c>
      <x:c r="AL342" s="9" t="str">
        <x:v>0.48251730638454776</x:v>
      </x:c>
      <x:c r="AM342" s="9" t="str">
        <x:v>0.3317306481393766</x:v>
      </x:c>
      <x:c r="AN342" s="9" t="str">
        <x:v>0.5428319696826163</x:v>
      </x:c>
      <x:c r="AO342" s="9" t="str">
        <x:v>0.8041955106409129</x:v>
      </x:c>
      <x:c r="AP342" s="10" t="str">
        <x:v>0.675</x:v>
      </x:c>
      <x:c r="AQ342" s="6" t="str">
        <x:v>0.175</x:v>
      </x:c>
      <x:c r="AR342" s="6" t="str">
        <x:v>0.15</x:v>
      </x:c>
      <x:c r="AS342" s="6" t="str">
        <x:v>With trade</x:v>
      </x:c>
      <x:c r="AT342" s="6" t="str">
        <x:v>0.6460481099656358</x:v>
      </x:c>
      <x:c r="AU342" s="7" t="str">
        <x:v>2025-03-03 20:35:00-06:00</x:v>
      </x:c>
      <x:c r="AV342" s="8" t="str">
        <x:v>1</x:v>
      </x:c>
      <x:c r="AW342" s="6" t="str">
        <x:v>Immediate retest (1 bar)</x:v>
      </x:c>
      <x:c r="AX342" s="6" t="str">
        <x:v>19275.25</x:v>
      </x:c>
      <x:c r="AY342" s="6" t="str">
        <x:v>0.0</x:v>
      </x:c>
      <x:c r="AZ342" s="9" t="str">
        <x:v>0.0</x:v>
      </x:c>
      <x:c r="BA342" s="9" t="str">
        <x:v>0.20706722458384125</x:v>
      </x:c>
      <x:c r="BB342" s="9" t="str">
        <x:v>0.6108483125223317</x:v>
      </x:c>
      <x:c r="BC342" s="9" t="str">
        <x:v>0.1449470572086889</x:v>
      </x:c>
      <x:c r="BD342" s="6" t="str">
        <x:v>0.5084745762711864</x:v>
      </x:c>
      <x:c r="BE342" s="6" t="str">
        <x:v>0.2542372881355932</x:v>
      </x:c>
      <x:c r="BF342" s="9" t="str">
        <x:v>0.15530041843788095</x:v>
      </x:c>
      <x:c r="BG342" s="9" t="str">
        <x:v>0.3106008368757619</x:v>
      </x:c>
      <x:c r="BH342" s="6" t="str">
        <x:v>Against trade</x:v>
      </x:c>
      <x:c r="BI342" s="6" t="str">
        <x:v>Tolerance-only shallow touch</x:v>
      </x:c>
      <x:c r="BJ342" s="6" t="str">
        <x:v>True</x:v>
      </x:c>
      <x:c r="BK342" s="10" t="str">
        <x:v>False</x:v>
      </x:c>
      <x:c r="BL342" s="6" t="str">
        <x:v>True</x:v>
      </x:c>
      <x:c r="BM342" s="7" t="str">
        <x:v>2025-03-03 20:45:00-06:00</x:v>
      </x:c>
      <x:c r="BN342" s="8" t="str">
        <x:v>2</x:v>
      </x:c>
      <x:c r="BO342" s="6" t="str">
        <x:v>Delayed confirmation (2+ bars)</x:v>
      </x:c>
      <x:c r="BP342" s="9" t="str">
        <x:v>0.05546374058183258</x:v>
      </x:c>
      <x:c r="BQ342" s="9" t="str">
        <x:v>0.5102664133528597</x:v>
      </x:c>
      <x:c r="BR342" s="10" t="str">
        <x:v>0.10869565217391304</x:v>
      </x:c>
      <x:c r="BS342" s="9" t="str">
        <x:v>0.22185496232733032</x:v>
      </x:c>
      <x:c r="BT342" s="9" t="str">
        <x:v>0.0</x:v>
      </x:c>
      <x:c r="BU342" s="9" t="str">
        <x:v>0.0</x:v>
      </x:c>
      <x:c r="BV342" s="6" t="str">
        <x:v>With trade</x:v>
      </x:c>
      <x:c r="BW342" s="7" t="str">
        <x:v>2025-03-03 20:45:00-06:00</x:v>
      </x:c>
      <x:c r="BX342" s="6" t="str">
        <x:v>19279.0</x:v>
      </x:c>
      <x:c r="BY342" s="9" t="str">
        <x:v>22.537246620712843</x:v>
      </x:c>
      <x:c r="BZ342" s="9" t="str">
        <x:v>0.0</x:v>
      </x:c>
      <x:c r="CA342" s="6" t="str">
        <x:v>19245.194130068932</x:v>
      </x:c>
      <x:c r="CB342" s="6" t="str">
        <x:v>33.80586993106772</x:v>
      </x:c>
      <x:c r="CC342" s="9" t="str">
        <x:v>1.4999999999999314</x:v>
      </x:c>
      <x:c r="CD342" s="6" t="str">
        <x:v>19346.61173986214</x:v>
      </x:c>
      <x:c r="CE342" s="6" t="str">
        <x:v>67.61173986213907</x:v>
      </x:c>
      <x:c r="CF342" s="6" t="str">
        <x:v>Fixed 2.00R target</x:v>
      </x:c>
      <x:c r="CG342" s="9" t="str">
        <x:v>0.02144597969164291</x:v>
      </x:c>
      <x:c r="CH342" s="9" t="str">
        <x:v>0.2292501277382413</x:v>
      </x:c>
      <x:c r="CI342" s="9" t="str">
        <x:v>0.20780414804659839</x:v>
      </x:c>
      <x:c r="CJ342" s="6" t="str">
        <x:v>Win</x:v>
      </x:c>
      <x:c r="CK342" s="9" t="str">
        <x:v>0.680355217803844</x:v>
      </x:c>
      <x:c r="CL342" s="9" t="str">
        <x:v>0.7469117065020462</x:v>
      </x:c>
      <x:c r="CM342" s="7" t="str">
        <x:v>2025-03-03 21:45:00-06:00</x:v>
      </x:c>
      <x:c r="CN342" s="6" t="str">
        <x:v>19286.75</x:v>
      </x:c>
      <x:c r="CO342" s="6" t="str">
        <x:v>TIME</x:v>
      </x:c>
      <x:c r="CP342" s="6" t="str">
        <x:v>F::Long::Same-bar Setup+BOS::Tolerance-only shallow touch</x:v>
      </x:c>
    </x:row>
    <x:row r="343" ht="18" customHeight="1">
      <x:c r="A343" s="6" t="str">
        <x:v>A0342</x:v>
      </x:c>
      <x:c r="B343" s="6" t="str">
        <x:v>2025-03-04</x:v>
      </x:c>
      <x:c r="C343" s="6" t="str">
        <x:v>2025</x:v>
      </x:c>
      <x:c r="D343" s="6" t="str">
        <x:v>2025-Q1</x:v>
      </x:c>
      <x:c r="E343" s="6" t="str">
        <x:v>First 50%</x:v>
      </x:c>
      <x:c r="F343" s="6" t="str">
        <x:v>Long</x:v>
      </x:c>
      <x:c r="G343" s="6" t="str">
        <x:v>Long</x:v>
      </x:c>
      <x:c r="H343" s="6" t="str">
        <x:v>Morning</x:v>
      </x:c>
      <x:c r="I343" s="6" t="str">
        <x:v>Morning</x:v>
      </x:c>
      <x:c r="J343" s="6" t="str">
        <x:v>Bear</x:v>
      </x:c>
      <x:c r="K343" s="6" t="str">
        <x:v>Bear</x:v>
      </x:c>
      <x:c r="L343" s="6" t="str">
        <x:v>HIGH</x:v>
      </x:c>
      <x:c r="M343" s="7" t="str">
        <x:v>2025-03-04 10:45:00-06:00</x:v>
      </x:c>
      <x:c r="N343" s="6" t="str">
        <x:v>85.0</x:v>
      </x:c>
      <x:c r="O343" s="6" t="str">
        <x:v>85-89</x:v>
      </x:c>
      <x:c r="P343" s="6" t="str">
        <x:v>Matching BOS only</x:v>
      </x:c>
      <x:c r="Q343" s="6" t="str">
        <x:v>Bull CHoCH</x:v>
      </x:c>
      <x:c r="R343" s="6" t="str">
        <x:v>True</x:v>
      </x:c>
      <x:c r="S343" s="6" t="str">
        <x:v>False</x:v>
      </x:c>
      <x:c r="T343" s="6" t="str">
        <x:v>Recent SSL</x:v>
      </x:c>
      <x:c r="U343" s="6" t="str">
        <x:v>SSL</x:v>
      </x:c>
      <x:c r="V343" s="6" t="str">
        <x:v>Swing low / sell-side</x:v>
      </x:c>
      <x:c r="W343" s="6" t="str">
        <x:v>[18843.5]</x:v>
      </x:c>
      <x:c r="X343" s="8" t="str">
        <x:v>1</x:v>
      </x:c>
      <x:c r="Y343" s="8" t="str">
        <x:v>18.0</x:v>
      </x:c>
      <x:c r="Z343" s="6" t="str">
        <x:v>None</x:v>
      </x:c>
      <x:c r="AA343" s="6" t="str">
        <x:v>19016.0</x:v>
      </x:c>
      <x:c r="AB343" s="9" t="str">
        <x:v>0.3284023538221888</x:v>
      </x:c>
      <x:c r="AC343" s="9" t="str">
        <x:v>0.49790034289170554</x:v>
      </x:c>
      <x:c r="AD343" s="9" t="str">
        <x:v>0.8792708182981184</x:v>
      </x:c>
      <x:c r="AE343" s="6" t="str">
        <x:v>With trade</x:v>
      </x:c>
      <x:c r="AF343" s="7" t="str">
        <x:v>2025-03-04 10:45:00-06:00</x:v>
      </x:c>
      <x:c r="AG343" s="6" t="str">
        <x:v>Long</x:v>
      </x:c>
      <x:c r="AH343" s="6" t="str">
        <x:v>19016.0</x:v>
      </x:c>
      <x:c r="AI343" s="8" t="str">
        <x:v>0</x:v>
      </x:c>
      <x:c r="AJ343" s="6" t="str">
        <x:v>True</x:v>
      </x:c>
      <x:c r="AK343" s="6" t="str">
        <x:v>Same-bar Setup+BOS</x:v>
      </x:c>
      <x:c r="AL343" s="9" t="str">
        <x:v>0.49790034289170554</x:v>
      </x:c>
      <x:c r="AM343" s="9" t="str">
        <x:v>0.3284023538221888</x:v>
      </x:c>
      <x:c r="AN343" s="9" t="str">
        <x:v>0.49790034289170554</x:v>
      </x:c>
      <x:c r="AO343" s="9" t="str">
        <x:v>0.8792708182981184</x:v>
      </x:c>
      <x:c r="AP343" s="10" t="str">
        <x:v>0.5662650602409639</x:v>
      </x:c>
      <x:c r="AQ343" s="6" t="str">
        <x:v>0.1285140562248996</x:v>
      </x:c>
      <x:c r="AR343" s="6" t="str">
        <x:v>0.30522088353413657</x:v>
      </x:c>
      <x:c r="AS343" s="6" t="str">
        <x:v>With trade</x:v>
      </x:c>
      <x:c r="AT343" s="6" t="str">
        <x:v>0.7870677596306711</x:v>
      </x:c>
      <x:c r="AU343" s="7" t="str">
        <x:v>2025-03-04 10:50:00-06:00</x:v>
      </x:c>
      <x:c r="AV343" s="8" t="str">
        <x:v>1</x:v>
      </x:c>
      <x:c r="AW343" s="6" t="str">
        <x:v>Immediate retest (1 bar)</x:v>
      </x:c>
      <x:c r="AX343" s="6" t="str">
        <x:v>19001.0</x:v>
      </x:c>
      <x:c r="AY343" s="6" t="str">
        <x:v>15.0</x:v>
      </x:c>
      <x:c r="AZ343" s="9" t="str">
        <x:v>0.21198954275777904</x:v>
      </x:c>
      <x:c r="BA343" s="9" t="str">
        <x:v>0.4981754254807807</x:v>
      </x:c>
      <x:c r="BB343" s="9" t="str">
        <x:v>0.9928176919155984</x:v>
      </x:c>
      <x:c r="BC343" s="9" t="str">
        <x:v>0.18019111134411217</x:v>
      </x:c>
      <x:c r="BD343" s="6" t="str">
        <x:v>0.2846975088967972</x:v>
      </x:c>
      <x:c r="BE343" s="6" t="str">
        <x:v>0.5338078291814946</x:v>
      </x:c>
      <x:c r="BF343" s="9" t="str">
        <x:v>0.5299738568944475</x:v>
      </x:c>
      <x:c r="BG343" s="9" t="str">
        <x:v>0.2826527236770387</x:v>
      </x:c>
      <x:c r="BH343" s="6" t="str">
        <x:v>With trade</x:v>
      </x:c>
      <x:c r="BI343" s="6" t="str">
        <x:v>Penetration + same-bar reclaim</x:v>
      </x:c>
      <x:c r="BJ343" s="6" t="str">
        <x:v>False</x:v>
      </x:c>
      <x:c r="BK343" s="10" t="str">
        <x:v>True</x:v>
      </x:c>
      <x:c r="BL343" s="6" t="str">
        <x:v>True</x:v>
      </x:c>
      <x:c r="BM343" s="7" t="str">
        <x:v>2025-03-04 11:00:00-06:00</x:v>
      </x:c>
      <x:c r="BN343" s="8" t="str">
        <x:v>2</x:v>
      </x:c>
      <x:c r="BO343" s="6" t="str">
        <x:v>Delayed confirmation (2+ bars)</x:v>
      </x:c>
      <x:c r="BP343" s="9" t="str">
        <x:v>0.08603784412491423</x:v>
      </x:c>
      <x:c r="BQ343" s="9" t="str">
        <x:v>0.5835610297168097</x:v>
      </x:c>
      <x:c r="BR343" s="10" t="str">
        <x:v>0.14743589743589744</x:v>
      </x:c>
      <x:c r="BS343" s="9" t="str">
        <x:v>0.6022649088743997</x:v>
      </x:c>
      <x:c r="BT343" s="9" t="str">
        <x:v>0.07481551663036021</x:v>
      </x:c>
      <x:c r="BU343" s="9" t="str">
        <x:v>0.3030028423529588</x:v>
      </x:c>
      <x:c r="BV343" s="6" t="str">
        <x:v>With trade</x:v>
      </x:c>
      <x:c r="BW343" s="7" t="str">
        <x:v>2025-03-04 11:00:00-06:00</x:v>
      </x:c>
      <x:c r="BX343" s="6" t="str">
        <x:v>19056.25</x:v>
      </x:c>
      <x:c r="BY343" s="9" t="str">
        <x:v>66.83105624603807</x:v>
      </x:c>
      <x:c r="BZ343" s="9" t="str">
        <x:v>0.78</x:v>
      </x:c>
      <x:c r="CA343" s="6" t="str">
        <x:v>18956.00341563094</x:v>
      </x:c>
      <x:c r="CB343" s="6" t="str">
        <x:v>100.24658436905884</x:v>
      </x:c>
      <x:c r="CC343" s="9" t="str">
        <x:v>1.5000000000000258</x:v>
      </x:c>
      <x:c r="CD343" s="6" t="str">
        <x:v>19256.743168738114</x:v>
      </x:c>
      <x:c r="CE343" s="6" t="str">
        <x:v>200.49316873811404</x:v>
      </x:c>
      <x:c r="CF343" s="6" t="str">
        <x:v>Fixed 2.00R target</x:v>
      </x:c>
      <x:c r="CG343" s="9" t="str">
        <x:v>0.007232166607601362</x:v>
      </x:c>
      <x:c r="CH343" s="9" t="str">
        <x:v>0.46136235255388797</x:v>
      </x:c>
      <x:c r="CI343" s="9" t="str">
        <x:v>0.4541301859462866</x:v>
      </x:c>
      <x:c r="CJ343" s="6" t="str">
        <x:v>Win</x:v>
      </x:c>
      <x:c r="CK343" s="9" t="str">
        <x:v>1.3217407938030077</x:v>
      </x:c>
      <x:c r="CL343" s="9" t="str">
        <x:v>0.3790652842604852</x:v>
      </x:c>
      <x:c r="CM343" s="7" t="str">
        <x:v>2025-03-04 12:00:00-06:00</x:v>
      </x:c>
      <x:c r="CN343" s="6" t="str">
        <x:v>19102.5</x:v>
      </x:c>
      <x:c r="CO343" s="6" t="str">
        <x:v>TIME</x:v>
      </x:c>
      <x:c r="CP343" s="6" t="str">
        <x:v>F::Long::Same-bar Setup+BOS::Penetration + same-bar reclaim</x:v>
      </x:c>
    </x:row>
    <x:row r="344" ht="18" customHeight="1">
      <x:c r="A344" s="6" t="str">
        <x:v>A0343</x:v>
      </x:c>
      <x:c r="B344" s="6" t="str">
        <x:v>2025-03-05</x:v>
      </x:c>
      <x:c r="C344" s="6" t="str">
        <x:v>2025</x:v>
      </x:c>
      <x:c r="D344" s="6" t="str">
        <x:v>2025-Q1</x:v>
      </x:c>
      <x:c r="E344" s="6" t="str">
        <x:v>First 50%</x:v>
      </x:c>
      <x:c r="F344" s="6" t="str">
        <x:v>Short</x:v>
      </x:c>
      <x:c r="G344" s="6" t="str">
        <x:v>Short</x:v>
      </x:c>
      <x:c r="H344" s="6" t="str">
        <x:v>Morning</x:v>
      </x:c>
      <x:c r="I344" s="6" t="str">
        <x:v>Morning</x:v>
      </x:c>
      <x:c r="J344" s="6" t="str">
        <x:v>Bear</x:v>
      </x:c>
      <x:c r="K344" s="6" t="str">
        <x:v>Bear</x:v>
      </x:c>
      <x:c r="L344" s="6" t="str">
        <x:v>HIGH</x:v>
      </x:c>
      <x:c r="M344" s="7" t="str">
        <x:v>2025-03-05 10:30:00-06:00</x:v>
      </x:c>
      <x:c r="N344" s="6" t="str">
        <x:v>100.0</x:v>
      </x:c>
      <x:c r="O344" s="6" t="str">
        <x:v>95+</x:v>
      </x:c>
      <x:c r="P344" s="6" t="str">
        <x:v>Matching BOS only</x:v>
      </x:c>
      <x:c r="Q344" s="6" t="str">
        <x:v>Bear BOS</x:v>
      </x:c>
      <x:c r="R344" s="6" t="str">
        <x:v>True</x:v>
      </x:c>
      <x:c r="S344" s="6" t="str">
        <x:v>False</x:v>
      </x:c>
      <x:c r="T344" s="6" t="str">
        <x:v>Recent BSL</x:v>
      </x:c>
      <x:c r="U344" s="6" t="str">
        <x:v>BSL</x:v>
      </x:c>
      <x:c r="V344" s="6" t="str">
        <x:v>Swing high / buy-side</x:v>
      </x:c>
      <x:c r="W344" s="6" t="str">
        <x:v>[19218.25]</x:v>
      </x:c>
      <x:c r="X344" s="8" t="str">
        <x:v>1</x:v>
      </x:c>
      <x:c r="Y344" s="8" t="str">
        <x:v>18.0</x:v>
      </x:c>
      <x:c r="Z344" s="6" t="str">
        <x:v>None</x:v>
      </x:c>
      <x:c r="AA344" s="6" t="str">
        <x:v>19022.75</x:v>
      </x:c>
      <x:c r="AB344" s="9" t="str">
        <x:v>0.49616350031101863</x:v>
      </x:c>
      <x:c r="AC344" s="9" t="str">
        <x:v>0.9649794061167055</x:v>
      </x:c>
      <x:c r="AD344" s="9" t="str">
        <x:v>1.1173445755035538</x:v>
      </x:c>
      <x:c r="AE344" s="6" t="str">
        <x:v>With trade</x:v>
      </x:c>
      <x:c r="AF344" s="7" t="str">
        <x:v>2025-03-05 10:30:00-06:00</x:v>
      </x:c>
      <x:c r="AG344" s="6" t="str">
        <x:v>Short</x:v>
      </x:c>
      <x:c r="AH344" s="6" t="str">
        <x:v>19022.75</x:v>
      </x:c>
      <x:c r="AI344" s="8" t="str">
        <x:v>0</x:v>
      </x:c>
      <x:c r="AJ344" s="6" t="str">
        <x:v>True</x:v>
      </x:c>
      <x:c r="AK344" s="6" t="str">
        <x:v>Same-bar Setup+BOS</x:v>
      </x:c>
      <x:c r="AL344" s="9" t="str">
        <x:v>0.9649794061167055</x:v>
      </x:c>
      <x:c r="AM344" s="9" t="str">
        <x:v>0.49616350031101863</x:v>
      </x:c>
      <x:c r="AN344" s="9" t="str">
        <x:v>0.9649794061167055</x:v>
      </x:c>
      <x:c r="AO344" s="9" t="str">
        <x:v>1.1173445755035538</x:v>
      </x:c>
      <x:c r="AP344" s="10" t="str">
        <x:v>0.8636363636363636</x:v>
      </x:c>
      <x:c r="AQ344" s="6" t="str">
        <x:v>0.0</x:v>
      </x:c>
      <x:c r="AR344" s="6" t="str">
        <x:v>0.13636363636363635</x:v>
      </x:c>
      <x:c r="AS344" s="6" t="str">
        <x:v>With trade</x:v>
      </x:c>
      <x:c r="AT344" s="6" t="str">
        <x:v>0.7404980687024112</x:v>
      </x:c>
      <x:c r="AU344" s="7" t="str">
        <x:v>2025-03-05 10:35:00-06:00</x:v>
      </x:c>
      <x:c r="AV344" s="8" t="str">
        <x:v>1</x:v>
      </x:c>
      <x:c r="AW344" s="6" t="str">
        <x:v>Immediate retest (1 bar)</x:v>
      </x:c>
      <x:c r="AX344" s="6" t="str">
        <x:v>19043.5</x:v>
      </x:c>
      <x:c r="AY344" s="6" t="str">
        <x:v>20.75</x:v>
      </x:c>
      <x:c r="AZ344" s="9" t="str">
        <x:v>0.32444215230842255</x:v>
      </x:c>
      <x:c r="BA344" s="9" t="str">
        <x:v>0.019544707970386897</x:v>
      </x:c>
      <x:c r="BB344" s="9" t="str">
        <x:v>0.9928711648956544</x:v>
      </x:c>
      <x:c r="BC344" s="9" t="str">
        <x:v>0.4690729912892856</x:v>
      </x:c>
      <x:c r="BD344" s="6" t="str">
        <x:v>0.3464566929133858</x:v>
      </x:c>
      <x:c r="BE344" s="6" t="str">
        <x:v>0.18110236220472442</x:v>
      </x:c>
      <x:c r="BF344" s="9" t="str">
        <x:v>0.3439868602788094</x:v>
      </x:c>
      <x:c r="BG344" s="9" t="str">
        <x:v>0.17981131332755948</x:v>
      </x:c>
      <x:c r="BH344" s="6" t="str">
        <x:v>Against trade</x:v>
      </x:c>
      <x:c r="BI344" s="6" t="str">
        <x:v>Penetration + same-bar reclaim</x:v>
      </x:c>
      <x:c r="BJ344" s="6" t="str">
        <x:v>False</x:v>
      </x:c>
      <x:c r="BK344" s="10" t="str">
        <x:v>True</x:v>
      </x:c>
      <x:c r="BL344" s="6" t="str">
        <x:v>True</x:v>
      </x:c>
      <x:c r="BM344" s="7" t="str">
        <x:v>2025-03-05 10:40:00-06:00</x:v>
      </x:c>
      <x:c r="BN344" s="8" t="str">
        <x:v>1</x:v>
      </x:c>
      <x:c r="BO344" s="6" t="str">
        <x:v>Immediate confirmation (1 bar)</x:v>
      </x:c>
      <x:c r="BP344" s="9" t="str">
        <x:v>0.5772856031929121</x:v>
      </x:c>
      <x:c r="BQ344" s="9" t="str">
        <x:v>0.8501123608662747</x:v>
      </x:c>
      <x:c r="BR344" s="10" t="str">
        <x:v>0.6790697674418604</x:v>
      </x:c>
      <x:c r="BS344" s="9" t="str">
        <x:v>0.597055658096779</x:v>
      </x:c>
      <x:c r="BT344" s="9" t="str">
        <x:v>0.5772856031929121</x:v>
      </x:c>
      <x:c r="BU344" s="9" t="str">
        <x:v>0.05535615373082719</x:v>
      </x:c>
      <x:c r="BV344" s="6" t="str">
        <x:v>With trade</x:v>
      </x:c>
      <x:c r="BW344" s="7" t="str">
        <x:v>2025-03-05 10:40:00-06:00</x:v>
      </x:c>
      <x:c r="BX344" s="6" t="str">
        <x:v>18985.0</x:v>
      </x:c>
      <x:c r="BY344" s="9" t="str">
        <x:v>63.22693619609072</x:v>
      </x:c>
      <x:c r="BZ344" s="9" t="str">
        <x:v>0.8</x:v>
      </x:c>
      <x:c r="CA344" s="6" t="str">
        <x:v>19079.840404294137</x:v>
      </x:c>
      <x:c r="CB344" s="6" t="str">
        <x:v>94.84040429413653</x:v>
      </x:c>
      <x:c r="CC344" s="9" t="str">
        <x:v>1.500000000000007</x:v>
      </x:c>
      <x:c r="CD344" s="6" t="str">
        <x:v>18795.319191411727</x:v>
      </x:c>
      <x:c r="CE344" s="6" t="str">
        <x:v>189.68080858827307</x:v>
      </x:c>
      <x:c r="CF344" s="6" t="str">
        <x:v>Fixed 2.00R target</x:v>
      </x:c>
      <x:c r="CG344" s="9" t="str">
        <x:v>0.007644421229495147</x:v>
      </x:c>
      <x:c r="CH344" s="9" t="str">
        <x:v>-1.0</x:v>
      </x:c>
      <x:c r="CI344" s="9" t="str">
        <x:v>-1.007644421229495</x:v>
      </x:c>
      <x:c r="CJ344" s="6" t="str">
        <x:v>Loss</x:v>
      </x:c>
      <x:c r="CK344" s="9" t="str">
        <x:v>0.18452051243608975</x:v>
      </x:c>
      <x:c r="CL344" s="9" t="str">
        <x:v>1.5526083117836695</x:v>
      </x:c>
      <x:c r="CM344" s="7" t="str">
        <x:v>2025-03-05 10:55:00-06:00</x:v>
      </x:c>
      <x:c r="CN344" s="6" t="str">
        <x:v>19079.840404294137</x:v>
      </x:c>
      <x:c r="CO344" s="6" t="str">
        <x:v>STOP</x:v>
      </x:c>
      <x:c r="CP344" s="6" t="str">
        <x:v>F::Short::Same-bar Setup+BOS::Penetration + same-bar reclaim</x:v>
      </x:c>
    </x:row>
    <x:row r="345" ht="18" customHeight="1">
      <x:c r="A345" s="6" t="str">
        <x:v>A0344</x:v>
      </x:c>
      <x:c r="B345" s="6" t="str">
        <x:v>2025-03-05</x:v>
      </x:c>
      <x:c r="C345" s="6" t="str">
        <x:v>2025</x:v>
      </x:c>
      <x:c r="D345" s="6" t="str">
        <x:v>2025-Q1</x:v>
      </x:c>
      <x:c r="E345" s="6" t="str">
        <x:v>First 50%</x:v>
      </x:c>
      <x:c r="F345" s="6" t="str">
        <x:v>Long</x:v>
      </x:c>
      <x:c r="G345" s="6" t="str">
        <x:v>Long</x:v>
      </x:c>
      <x:c r="H345" s="6" t="str">
        <x:v>Morning</x:v>
      </x:c>
      <x:c r="I345" s="6" t="str">
        <x:v>Morning</x:v>
      </x:c>
      <x:c r="J345" s="6" t="str">
        <x:v>Bear</x:v>
      </x:c>
      <x:c r="K345" s="6" t="str">
        <x:v>Bear</x:v>
      </x:c>
      <x:c r="L345" s="6" t="str">
        <x:v>HIGH</x:v>
      </x:c>
      <x:c r="M345" s="7" t="str">
        <x:v>2025-03-05 11:35:00-06:00</x:v>
      </x:c>
      <x:c r="N345" s="6" t="str">
        <x:v>85.0</x:v>
      </x:c>
      <x:c r="O345" s="6" t="str">
        <x:v>85-89</x:v>
      </x:c>
      <x:c r="P345" s="6" t="str">
        <x:v>Matching BOS only</x:v>
      </x:c>
      <x:c r="Q345" s="6" t="str">
        <x:v>Bull CHoCH</x:v>
      </x:c>
      <x:c r="R345" s="6" t="str">
        <x:v>True</x:v>
      </x:c>
      <x:c r="S345" s="6" t="str">
        <x:v>False</x:v>
      </x:c>
      <x:c r="T345" s="6" t="str">
        <x:v>Recent SSL</x:v>
      </x:c>
      <x:c r="U345" s="6" t="str">
        <x:v>SSL</x:v>
      </x:c>
      <x:c r="V345" s="6" t="str">
        <x:v>Swing low / sell-side</x:v>
      </x:c>
      <x:c r="W345" s="6" t="str">
        <x:v>[19022.75]</x:v>
      </x:c>
      <x:c r="X345" s="8" t="str">
        <x:v>1</x:v>
      </x:c>
      <x:c r="Y345" s="8" t="str">
        <x:v>17.0</x:v>
      </x:c>
      <x:c r="Z345" s="6" t="str">
        <x:v>Sweep below CRT reference</x:v>
      </x:c>
      <x:c r="AA345" s="6" t="str">
        <x:v>19249.5</x:v>
      </x:c>
      <x:c r="AB345" s="9" t="str">
        <x:v>0.06037795789368041</x:v>
      </x:c>
      <x:c r="AC345" s="9" t="str">
        <x:v>0.41833299397764284</x:v>
      </x:c>
      <x:c r="AD345" s="9" t="str">
        <x:v>0.7460990511147652</x:v>
      </x:c>
      <x:c r="AE345" s="6" t="str">
        <x:v>With trade</x:v>
      </x:c>
      <x:c r="AF345" s="7" t="str">
        <x:v>2025-03-05 11:35:00-06:00</x:v>
      </x:c>
      <x:c r="AG345" s="6" t="str">
        <x:v>Long</x:v>
      </x:c>
      <x:c r="AH345" s="6" t="str">
        <x:v>19249.5</x:v>
      </x:c>
      <x:c r="AI345" s="8" t="str">
        <x:v>0</x:v>
      </x:c>
      <x:c r="AJ345" s="6" t="str">
        <x:v>True</x:v>
      </x:c>
      <x:c r="AK345" s="6" t="str">
        <x:v>Same-bar Setup+BOS</x:v>
      </x:c>
      <x:c r="AL345" s="9" t="str">
        <x:v>0.4097075714214028</x:v>
      </x:c>
      <x:c r="AM345" s="9" t="str">
        <x:v>0.06037795789368041</x:v>
      </x:c>
      <x:c r="AN345" s="9" t="str">
        <x:v>0.41833299397764284</x:v>
      </x:c>
      <x:c r="AO345" s="9" t="str">
        <x:v>0.7460990511147652</x:v>
      </x:c>
      <x:c r="AP345" s="10" t="str">
        <x:v>0.5606936416184971</x:v>
      </x:c>
      <x:c r="AQ345" s="6" t="str">
        <x:v>0.10404624277456648</x:v>
      </x:c>
      <x:c r="AR345" s="6" t="str">
        <x:v>0.3352601156069364</x:v>
      </x:c>
      <x:c r="AS345" s="6" t="str">
        <x:v>With trade</x:v>
      </x:c>
      <x:c r="AT345" s="6" t="str">
        <x:v>0.6066544029432936</x:v>
      </x:c>
      <x:c r="AU345" s="7" t="str">
        <x:v>2025-03-05 11:40:00-06:00</x:v>
      </x:c>
      <x:c r="AV345" s="8" t="str">
        <x:v>1</x:v>
      </x:c>
      <x:c r="AW345" s="6" t="str">
        <x:v>Immediate retest (1 bar)</x:v>
      </x:c>
      <x:c r="AX345" s="6" t="str">
        <x:v>19236.0</x:v>
      </x:c>
      <x:c r="AY345" s="6" t="str">
        <x:v>13.5</x:v>
      </x:c>
      <x:c r="AZ345" s="9" t="str">
        <x:v>0.24158409569501058</x:v>
      </x:c>
      <x:c r="BA345" s="9" t="str">
        <x:v>-0.022368897749538017</x:v>
      </x:c>
      <x:c r="BB345" s="9" t="str">
        <x:v>0.5144846482393745</x:v>
      </x:c>
      <x:c r="BC345" s="9" t="str">
        <x:v>0.08052803189833686</x:v>
      </x:c>
      <x:c r="BD345" s="6" t="str">
        <x:v>0.41739130434782606</x:v>
      </x:c>
      <x:c r="BE345" s="6" t="str">
        <x:v>0.4260869565217391</x:v>
      </x:c>
      <x:c r="BF345" s="9" t="str">
        <x:v>0.21921519794547256</x:v>
      </x:c>
      <x:c r="BG345" s="9" t="str">
        <x:v>0.21474141839556496</x:v>
      </x:c>
      <x:c r="BH345" s="6" t="str">
        <x:v>Against trade</x:v>
      </x:c>
      <x:c r="BI345" s="6" t="str">
        <x:v>Penetration without same-bar reclaim</x:v>
      </x:c>
      <x:c r="BJ345" s="6" t="str">
        <x:v>False</x:v>
      </x:c>
      <x:c r="BK345" s="10" t="str">
        <x:v>True</x:v>
      </x:c>
      <x:c r="BL345" s="6" t="str">
        <x:v>False</x:v>
      </x:c>
      <x:c r="BM345" s="7" t="str">
        <x:v>2025-03-05 11:50:00-06:00</x:v>
      </x:c>
      <x:c r="BN345" s="8" t="str">
        <x:v>2</x:v>
      </x:c>
      <x:c r="BO345" s="6" t="str">
        <x:v>Delayed confirmation (2+ bars)</x:v>
      </x:c>
      <x:c r="BP345" s="9" t="str">
        <x:v>0.8778000528665555</x:v>
      </x:c>
      <x:c r="BQ345" s="9" t="str">
        <x:v>1.3384278033806887</x:v>
      </x:c>
      <x:c r="BR345" s="10" t="str">
        <x:v>0.6558441558441559</x:v>
      </x:c>
      <x:c r="BS345" s="9" t="str">
        <x:v>0.8169624254401606</x:v>
      </x:c>
      <x:c r="BT345" s="9" t="str">
        <x:v>0.838690149521016</x:v>
      </x:c>
      <x:c r="BU345" s="9" t="str">
        <x:v>0.008691089632342134</x:v>
      </x:c>
      <x:c r="BV345" s="6" t="str">
        <x:v>With trade</x:v>
      </x:c>
      <x:c r="BW345" s="7" t="str">
        <x:v>2025-03-05 11:50:00-06:00</x:v>
      </x:c>
      <x:c r="BX345" s="6" t="str">
        <x:v>19296.5</x:v>
      </x:c>
      <x:c r="BY345" s="9" t="str">
        <x:v>57.5301856443122</x:v>
      </x:c>
      <x:c r="BZ345" s="9" t="str">
        <x:v>0.68</x:v>
      </x:c>
      <x:c r="CA345" s="6" t="str">
        <x:v>19210.204721533533</x:v>
      </x:c>
      <x:c r="CB345" s="6" t="str">
        <x:v>86.2952784664667</x:v>
      </x:c>
      <x:c r="CC345" s="9" t="str">
        <x:v>1.4999999999999722</x:v>
      </x:c>
      <x:c r="CD345" s="6" t="str">
        <x:v>19469.090556932937</x:v>
      </x:c>
      <x:c r="CE345" s="6" t="str">
        <x:v>172.59055693293703</x:v>
      </x:c>
      <x:c r="CF345" s="6" t="str">
        <x:v>Fixed 2.00R target</x:v>
      </x:c>
      <x:c r="CG345" s="9" t="str">
        <x:v>0.008401386644597551</x:v>
      </x:c>
      <x:c r="CH345" s="9" t="str">
        <x:v>-1.0</x:v>
      </x:c>
      <x:c r="CI345" s="9" t="str">
        <x:v>-1.0084013866445976</x:v>
      </x:c>
      <x:c r="CJ345" s="6" t="str">
        <x:v>Loss</x:v>
      </x:c>
      <x:c r="CK345" s="9" t="str">
        <x:v>0.48090695965627367</x:v>
      </x:c>
      <x:c r="CL345" s="9" t="str">
        <x:v>1.1385327418368407</x:v>
      </x:c>
      <x:c r="CM345" s="7" t="str">
        <x:v>2025-03-05 12:05:00-06:00</x:v>
      </x:c>
      <x:c r="CN345" s="6" t="str">
        <x:v>19210.204721533533</x:v>
      </x:c>
      <x:c r="CO345" s="6" t="str">
        <x:v>STOP</x:v>
      </x:c>
      <x:c r="CP345" s="6" t="str">
        <x:v>F::Long::Same-bar Setup+BOS::Penetration without same-bar reclaim</x:v>
      </x:c>
    </x:row>
    <x:row r="346" ht="18" customHeight="1">
      <x:c r="A346" s="6" t="str">
        <x:v>A0345</x:v>
      </x:c>
      <x:c r="B346" s="6" t="str">
        <x:v>2025-03-06</x:v>
      </x:c>
      <x:c r="C346" s="6" t="str">
        <x:v>2025</x:v>
      </x:c>
      <x:c r="D346" s="6" t="str">
        <x:v>2025-Q1</x:v>
      </x:c>
      <x:c r="E346" s="6" t="str">
        <x:v>First 50%</x:v>
      </x:c>
      <x:c r="F346" s="6" t="str">
        <x:v>Short</x:v>
      </x:c>
      <x:c r="G346" s="6" t="str">
        <x:v>Short</x:v>
      </x:c>
      <x:c r="H346" s="6" t="str">
        <x:v>Morning</x:v>
      </x:c>
      <x:c r="I346" s="6" t="str">
        <x:v>Morning</x:v>
      </x:c>
      <x:c r="J346" s="6" t="str">
        <x:v>Bear</x:v>
      </x:c>
      <x:c r="K346" s="6" t="str">
        <x:v>Bear</x:v>
      </x:c>
      <x:c r="L346" s="6" t="str">
        <x:v>HIGH</x:v>
      </x:c>
      <x:c r="M346" s="7" t="str">
        <x:v>2025-03-06 11:00:00-06:00</x:v>
      </x:c>
      <x:c r="N346" s="6" t="str">
        <x:v>75.0</x:v>
      </x:c>
      <x:c r="O346" s="6" t="str">
        <x:v>75-79</x:v>
      </x:c>
      <x:c r="P346" s="6" t="str">
        <x:v>Matching BOS only</x:v>
      </x:c>
      <x:c r="Q346" s="6" t="str">
        <x:v>Bear CHoCH</x:v>
      </x:c>
      <x:c r="R346" s="6" t="str">
        <x:v>True</x:v>
      </x:c>
      <x:c r="S346" s="6" t="str">
        <x:v>False</x:v>
      </x:c>
      <x:c r="T346" s="6" t="str">
        <x:v>No recent matching sweep</x:v>
      </x:c>
      <x:c r="U346" s="6" t="str">
        <x:v>None</x:v>
      </x:c>
      <x:c r="V346" s="6" t="str">
        <x:v>None</x:v>
      </x:c>
      <x:c r="W346" s="6" t="str">
        <x:v>[]</x:v>
      </x:c>
      <x:c r="X346" s="8" t="str">
        <x:v>0</x:v>
      </x:c>
      <x:c r="Y346" s="8" t="str"/>
      <x:c r="Z346" s="6" t="str">
        <x:v>None</x:v>
      </x:c>
      <x:c r="AA346" s="6" t="str">
        <x:v>18980.75</x:v>
      </x:c>
      <x:c r="AB346" s="9" t="str">
        <x:v>0.6775183913833295</x:v>
      </x:c>
      <x:c r="AC346" s="9" t="str">
        <x:v>1.0748285591698499</x:v>
      </x:c>
      <x:c r="AD346" s="9" t="str">
        <x:v>1.5265074867587363</x:v>
      </x:c>
      <x:c r="AE346" s="6" t="str">
        <x:v>With trade</x:v>
      </x:c>
      <x:c r="AF346" s="7" t="str">
        <x:v>2025-03-06 11:00:00-06:00</x:v>
      </x:c>
      <x:c r="AG346" s="6" t="str">
        <x:v>Short</x:v>
      </x:c>
      <x:c r="AH346" s="6" t="str">
        <x:v>18980.75</x:v>
      </x:c>
      <x:c r="AI346" s="8" t="str">
        <x:v>0</x:v>
      </x:c>
      <x:c r="AJ346" s="6" t="str">
        <x:v>True</x:v>
      </x:c>
      <x:c r="AK346" s="6" t="str">
        <x:v>Same-bar Setup+BOS</x:v>
      </x:c>
      <x:c r="AL346" s="9" t="str">
        <x:v>1.0748285591698499</x:v>
      </x:c>
      <x:c r="AM346" s="9" t="str">
        <x:v>0.6775183913833295</x:v>
      </x:c>
      <x:c r="AN346" s="9" t="str">
        <x:v>1.0748285591698499</x:v>
      </x:c>
      <x:c r="AO346" s="9" t="str">
        <x:v>1.5265074867587363</x:v>
      </x:c>
      <x:c r="AP346" s="10" t="str">
        <x:v>0.7041095890410959</x:v>
      </x:c>
      <x:c r="AQ346" s="6" t="str">
        <x:v>0.27671232876712326</x:v>
      </x:c>
      <x:c r="AR346" s="6" t="str">
        <x:v>0.019178082191780823</x:v>
      </x:c>
      <x:c r="AS346" s="6" t="str">
        <x:v>With trade</x:v>
      </x:c>
      <x:c r="AT346" s="6" t="str">
        <x:v>1.8223302627089732</x:v>
      </x:c>
      <x:c r="AU346" s="7" t="str">
        <x:v>2025-03-06 11:20:00-06:00</x:v>
      </x:c>
      <x:c r="AV346" s="8" t="str">
        <x:v>4</x:v>
      </x:c>
      <x:c r="AW346" s="6" t="str">
        <x:v>Delayed retest (2+ bars)</x:v>
      </x:c>
      <x:c r="AX346" s="6" t="str">
        <x:v>18984.25</x:v>
      </x:c>
      <x:c r="AY346" s="6" t="str">
        <x:v>3.5</x:v>
      </x:c>
      <x:c r="AZ346" s="9" t="str">
        <x:v>0.06082219335636581</x:v>
      </x:c>
      <x:c r="BA346" s="9" t="str">
        <x:v>0.7211774355111946</x:v>
      </x:c>
      <x:c r="BB346" s="9" t="str">
        <x:v>0.8471662646065238</x:v>
      </x:c>
      <x:c r="BC346" s="9" t="str">
        <x:v>0.030411096678182904</x:v>
      </x:c>
      <x:c r="BD346" s="6" t="str">
        <x:v>0.9230769230769231</x:v>
      </x:c>
      <x:c r="BE346" s="6" t="str">
        <x:v>0.041025641025641026</x:v>
      </x:c>
      <x:c r="BF346" s="9" t="str">
        <x:v>0.7819996288675604</x:v>
      </x:c>
      <x:c r="BG346" s="9" t="str">
        <x:v>0.03475553906078046</x:v>
      </x:c>
      <x:c r="BH346" s="6" t="str">
        <x:v>Against trade</x:v>
      </x:c>
      <x:c r="BI346" s="6" t="str">
        <x:v>Penetration + same-bar reclaim</x:v>
      </x:c>
      <x:c r="BJ346" s="6" t="str">
        <x:v>False</x:v>
      </x:c>
      <x:c r="BK346" s="10" t="str">
        <x:v>True</x:v>
      </x:c>
      <x:c r="BL346" s="6" t="str">
        <x:v>True</x:v>
      </x:c>
      <x:c r="BM346" s="7" t="str">
        <x:v>2025-03-06 11:25:00-06:00</x:v>
      </x:c>
      <x:c r="BN346" s="8" t="str">
        <x:v>1</x:v>
      </x:c>
      <x:c r="BO346" s="6" t="str">
        <x:v>Immediate confirmation (1 bar)</x:v>
      </x:c>
      <x:c r="BP346" s="9" t="str">
        <x:v>0.5369079716193877</x:v>
      </x:c>
      <x:c r="BQ346" s="9" t="str">
        <x:v>1.0435066222602618</x:v>
      </x:c>
      <x:c r="BR346" s="10" t="str">
        <x:v>0.5145228215767634</x:v>
      </x:c>
      <x:c r="BS346" s="9" t="str">
        <x:v>1.2556718691098585</x:v>
      </x:c>
      <x:c r="BT346" s="9" t="str">
        <x:v>0.5369079716193877</x:v>
      </x:c>
      <x:c r="BU346" s="9" t="str">
        <x:v>0.017319611987722187</x:v>
      </x:c>
      <x:c r="BV346" s="6" t="str">
        <x:v>With trade</x:v>
      </x:c>
      <x:c r="BW346" s="7" t="str">
        <x:v>2025-03-06 11:25:00-06:00</x:v>
      </x:c>
      <x:c r="BX346" s="6" t="str">
        <x:v>18908.25</x:v>
      </x:c>
      <x:c r="BY346" s="9" t="str">
        <x:v>57.73801403339154</x:v>
      </x:c>
      <x:c r="BZ346" s="9" t="str">
        <x:v>0.91</x:v>
      </x:c>
      <x:c r="CA346" s="6" t="str">
        <x:v>18994.857021050087</x:v>
      </x:c>
      <x:c r="CB346" s="6" t="str">
        <x:v>86.6070210500875</x:v>
      </x:c>
      <x:c r="CC346" s="9" t="str">
        <x:v>1.500000000000003</x:v>
      </x:c>
      <x:c r="CD346" s="6" t="str">
        <x:v>18735.035957899825</x:v>
      </x:c>
      <x:c r="CE346" s="6" t="str">
        <x:v>173.214042100175</x:v>
      </x:c>
      <x:c r="CF346" s="6" t="str">
        <x:v>Fixed 2.00R target</x:v>
      </x:c>
      <x:c r="CG346" s="9" t="str">
        <x:v>0.008371145794065706</x:v>
      </x:c>
      <x:c r="CH346" s="9" t="str">
        <x:v>0.22804155783834212</x:v>
      </x:c>
      <x:c r="CI346" s="9" t="str">
        <x:v>0.21967041204427643</x:v>
      </x:c>
      <x:c r="CJ346" s="6" t="str">
        <x:v>Win</x:v>
      </x:c>
      <x:c r="CK346" s="9" t="str">
        <x:v>0.7793825394474968</x:v>
      </x:c>
      <x:c r="CL346" s="9" t="str">
        <x:v>0.6032998175723215</x:v>
      </x:c>
      <x:c r="CM346" s="7" t="str">
        <x:v>2025-03-06 12:25:00-06:00</x:v>
      </x:c>
      <x:c r="CN346" s="6" t="str">
        <x:v>18888.5</x:v>
      </x:c>
      <x:c r="CO346" s="6" t="str">
        <x:v>TIME</x:v>
      </x:c>
      <x:c r="CP346" s="6" t="str">
        <x:v>F::Short::Same-bar Setup+BOS::Penetration + same-bar reclaim</x:v>
      </x:c>
    </x:row>
    <x:row r="347" ht="18" customHeight="1">
      <x:c r="A347" s="6" t="str">
        <x:v>A0346</x:v>
      </x:c>
      <x:c r="B347" s="6" t="str">
        <x:v>2025-03-17</x:v>
      </x:c>
      <x:c r="C347" s="6" t="str">
        <x:v>2025</x:v>
      </x:c>
      <x:c r="D347" s="6" t="str">
        <x:v>2025-Q1</x:v>
      </x:c>
      <x:c r="E347" s="6" t="str">
        <x:v>First 50%</x:v>
      </x:c>
      <x:c r="F347" s="6" t="str">
        <x:v>Long</x:v>
      </x:c>
      <x:c r="G347" s="6" t="str">
        <x:v>Long</x:v>
      </x:c>
      <x:c r="H347" s="6" t="str">
        <x:v>Overnight</x:v>
      </x:c>
      <x:c r="I347" s="6" t="str">
        <x:v>Overnight</x:v>
      </x:c>
      <x:c r="J347" s="6" t="str">
        <x:v>Bull</x:v>
      </x:c>
      <x:c r="K347" s="6" t="str">
        <x:v>Bull</x:v>
      </x:c>
      <x:c r="L347" s="6" t="str">
        <x:v>MID</x:v>
      </x:c>
      <x:c r="M347" s="7" t="str">
        <x:v>2025-03-17 02:50:00-05:00</x:v>
      </x:c>
      <x:c r="N347" s="6" t="str">
        <x:v>75.0</x:v>
      </x:c>
      <x:c r="O347" s="6" t="str">
        <x:v>75-79</x:v>
      </x:c>
      <x:c r="P347" s="6" t="str">
        <x:v>Matching BOS only</x:v>
      </x:c>
      <x:c r="Q347" s="6" t="str">
        <x:v>Bull CHoCH</x:v>
      </x:c>
      <x:c r="R347" s="6" t="str">
        <x:v>True</x:v>
      </x:c>
      <x:c r="S347" s="6" t="str">
        <x:v>False</x:v>
      </x:c>
      <x:c r="T347" s="6" t="str">
        <x:v>Recent SSL</x:v>
      </x:c>
      <x:c r="U347" s="6" t="str">
        <x:v>SSL</x:v>
      </x:c>
      <x:c r="V347" s="6" t="str">
        <x:v>Swing low / sell-side</x:v>
      </x:c>
      <x:c r="W347" s="6" t="str">
        <x:v>[18314.5]</x:v>
      </x:c>
      <x:c r="X347" s="8" t="str">
        <x:v>1</x:v>
      </x:c>
      <x:c r="Y347" s="8" t="str">
        <x:v>8.0</x:v>
      </x:c>
      <x:c r="Z347" s="6" t="str">
        <x:v>None</x:v>
      </x:c>
      <x:c r="AA347" s="6" t="str">
        <x:v>18334.5</x:v>
      </x:c>
      <x:c r="AB347" s="9" t="str">
        <x:v>0.1301719905411868</x:v>
      </x:c>
      <x:c r="AC347" s="9" t="str">
        <x:v>0.8027272750039852</x:v>
      </x:c>
      <x:c r="AD347" s="9" t="str">
        <x:v>1.6271498817648349</x:v>
      </x:c>
      <x:c r="AE347" s="6" t="str">
        <x:v>With trade</x:v>
      </x:c>
      <x:c r="AF347" s="7" t="str">
        <x:v>2025-03-17 02:50:00-05:00</x:v>
      </x:c>
      <x:c r="AG347" s="6" t="str">
        <x:v>Long</x:v>
      </x:c>
      <x:c r="AH347" s="6" t="str">
        <x:v>18334.5</x:v>
      </x:c>
      <x:c r="AI347" s="8" t="str">
        <x:v>0</x:v>
      </x:c>
      <x:c r="AJ347" s="6" t="str">
        <x:v>True</x:v>
      </x:c>
      <x:c r="AK347" s="6" t="str">
        <x:v>Same-bar Setup+BOS</x:v>
      </x:c>
      <x:c r="AL347" s="9" t="str">
        <x:v>0.932899265545172</x:v>
      </x:c>
      <x:c r="AM347" s="9" t="str">
        <x:v>0.1301719905411868</x:v>
      </x:c>
      <x:c r="AN347" s="9" t="str">
        <x:v>0.8027272750039852</x:v>
      </x:c>
      <x:c r="AO347" s="9" t="str">
        <x:v>1.6271498817648349</x:v>
      </x:c>
      <x:c r="AP347" s="10" t="str">
        <x:v>0.49333333333333335</x:v>
      </x:c>
      <x:c r="AQ347" s="6" t="str">
        <x:v>0.32</x:v>
      </x:c>
      <x:c r="AR347" s="6" t="str">
        <x:v>0.18666666666666668</x:v>
      </x:c>
      <x:c r="AS347" s="6" t="str">
        <x:v>With trade</x:v>
      </x:c>
      <x:c r="AT347" s="6" t="str">
        <x:v>1.7549407114624507</x:v>
      </x:c>
      <x:c r="AU347" s="7" t="str">
        <x:v>2025-03-17 02:55:00-05:00</x:v>
      </x:c>
      <x:c r="AV347" s="8" t="str">
        <x:v>1</x:v>
      </x:c>
      <x:c r="AW347" s="6" t="str">
        <x:v>Immediate retest (1 bar)</x:v>
      </x:c>
      <x:c r="AX347" s="6" t="str">
        <x:v>18330.25</x:v>
      </x:c>
      <x:c r="AY347" s="6" t="str">
        <x:v>4.25</x:v>
      </x:c>
      <x:c r="AZ347" s="9" t="str">
        <x:v>0.3458260593347597</x:v>
      </x:c>
      <x:c r="BA347" s="9" t="str">
        <x:v>0.8137083749053169</x:v>
      </x:c>
      <x:c r="BB347" s="9" t="str">
        <x:v>1.8105011341643302</x:v>
      </x:c>
      <x:c r="BC347" s="9" t="str">
        <x:v>0.7119948280421523</x:v>
      </x:c>
      <x:c r="BD347" s="6" t="str">
        <x:v>0.3595505617977528</x:v>
      </x:c>
      <x:c r="BE347" s="6" t="str">
        <x:v>0.24719101123595505</x:v>
      </x:c>
      <x:c r="BF347" s="9" t="str">
        <x:v>0.4475396061979243</x:v>
      </x:c>
      <x:c r="BG347" s="9" t="str">
        <x:v>0.6509666999242535</x:v>
      </x:c>
      <x:c r="BH347" s="6" t="str">
        <x:v>With trade</x:v>
      </x:c>
      <x:c r="BI347" s="6" t="str">
        <x:v>Penetration + same-bar reclaim</x:v>
      </x:c>
      <x:c r="BJ347" s="6" t="str">
        <x:v>False</x:v>
      </x:c>
      <x:c r="BK347" s="10" t="str">
        <x:v>True</x:v>
      </x:c>
      <x:c r="BL347" s="6" t="str">
        <x:v>True</x:v>
      </x:c>
      <x:c r="BM347" s="7" t="str">
        <x:v>2025-03-17 03:05:00-05:00</x:v>
      </x:c>
      <x:c r="BN347" s="8" t="str">
        <x:v>2</x:v>
      </x:c>
      <x:c r="BO347" s="6" t="str">
        <x:v>Delayed confirmation (2+ bars)</x:v>
      </x:c>
      <x:c r="BP347" s="9" t="str">
        <x:v>0.6414078869994373</x:v>
      </x:c>
      <x:c r="BQ347" s="9" t="str">
        <x:v>1.5091950282339701</x:v>
      </x:c>
      <x:c r="BR347" s="10" t="str">
        <x:v>0.425</x:v>
      </x:c>
      <x:c r="BS347" s="9" t="str">
        <x:v>0.8489222033816082</x:v>
      </x:c>
      <x:c r="BT347" s="9" t="str">
        <x:v>0.09432468926462313</x:v>
      </x:c>
      <x:c r="BU347" s="9" t="str">
        <x:v>0.6791377627052866</x:v>
      </x:c>
      <x:c r="BV347" s="6" t="str">
        <x:v>With trade</x:v>
      </x:c>
      <x:c r="BW347" s="7" t="str">
        <x:v>2025-03-17 03:05:00-05:00</x:v>
      </x:c>
      <x:c r="BX347" s="6" t="str">
        <x:v>18345.75</x:v>
      </x:c>
      <x:c r="BY347" s="9" t="str">
        <x:v>13.252097724840507</x:v>
      </x:c>
      <x:c r="BZ347" s="9" t="str">
        <x:v>0.66</x:v>
      </x:c>
      <x:c r="CA347" s="6" t="str">
        <x:v>18325.87185341274</x:v>
      </x:c>
      <x:c r="CB347" s="6" t="str">
        <x:v>19.878146587259835</x:v>
      </x:c>
      <x:c r="CC347" s="9" t="str">
        <x:v>1.49999999999993</x:v>
      </x:c>
      <x:c r="CD347" s="6" t="str">
        <x:v>18385.506293174523</x:v>
      </x:c>
      <x:c r="CE347" s="6" t="str">
        <x:v>39.75629317452331</x:v>
      </x:c>
      <x:c r="CF347" s="6" t="str">
        <x:v>Fixed 2.00R target</x:v>
      </x:c>
      <x:c r="CG347" s="9" t="str">
        <x:v>0.036472213182322646</x:v>
      </x:c>
      <x:c r="CH347" s="9" t="str">
        <x:v>0.9684001431167976</x:v>
      </x:c>
      <x:c r="CI347" s="9" t="str">
        <x:v>0.9319279299344749</x:v>
      </x:c>
      <x:c r="CJ347" s="6" t="str">
        <x:v>Win</x:v>
      </x:c>
      <x:c r="CK347" s="9" t="str">
        <x:v>1.8361872843514158</x:v>
      </x:c>
      <x:c r="CL347" s="9" t="str">
        <x:v>0.6665611374700345</x:v>
      </x:c>
      <x:c r="CM347" s="7" t="str">
        <x:v>2025-03-17 04:05:00-05:00</x:v>
      </x:c>
      <x:c r="CN347" s="6" t="str">
        <x:v>18365.0</x:v>
      </x:c>
      <x:c r="CO347" s="6" t="str">
        <x:v>TIME</x:v>
      </x:c>
      <x:c r="CP347" s="6" t="str">
        <x:v>F::Long::Same-bar Setup+BOS::Penetration + same-bar reclaim</x:v>
      </x:c>
    </x:row>
    <x:row r="348" ht="18" customHeight="1">
      <x:c r="A348" s="6" t="str">
        <x:v>A0347</x:v>
      </x:c>
      <x:c r="B348" s="6" t="str">
        <x:v>2025-03-18</x:v>
      </x:c>
      <x:c r="C348" s="6" t="str">
        <x:v>2025</x:v>
      </x:c>
      <x:c r="D348" s="6" t="str">
        <x:v>2025-Q1</x:v>
      </x:c>
      <x:c r="E348" s="6" t="str">
        <x:v>First 50%</x:v>
      </x:c>
      <x:c r="F348" s="6" t="str">
        <x:v>Short</x:v>
      </x:c>
      <x:c r="G348" s="6" t="str">
        <x:v>Short</x:v>
      </x:c>
      <x:c r="H348" s="6" t="str">
        <x:v>Premarket</x:v>
      </x:c>
      <x:c r="I348" s="6" t="str">
        <x:v>Premarket</x:v>
      </x:c>
      <x:c r="J348" s="6" t="str">
        <x:v>Bull</x:v>
      </x:c>
      <x:c r="K348" s="6" t="str">
        <x:v>Bull</x:v>
      </x:c>
      <x:c r="L348" s="6" t="str">
        <x:v>HIGH</x:v>
      </x:c>
      <x:c r="M348" s="7" t="str">
        <x:v>2025-03-18 04:35:00-05:00</x:v>
      </x:c>
      <x:c r="N348" s="6" t="str">
        <x:v>90.0</x:v>
      </x:c>
      <x:c r="O348" s="6" t="str">
        <x:v>90-94</x:v>
      </x:c>
      <x:c r="P348" s="6" t="str">
        <x:v>Matching BOS only</x:v>
      </x:c>
      <x:c r="Q348" s="6" t="str">
        <x:v>Bear CHoCH</x:v>
      </x:c>
      <x:c r="R348" s="6" t="str">
        <x:v>True</x:v>
      </x:c>
      <x:c r="S348" s="6" t="str">
        <x:v>False</x:v>
      </x:c>
      <x:c r="T348" s="6" t="str">
        <x:v>Recent BSL</x:v>
      </x:c>
      <x:c r="U348" s="6" t="str">
        <x:v>BSL</x:v>
      </x:c>
      <x:c r="V348" s="6" t="str">
        <x:v>Swing high / buy-side</x:v>
      </x:c>
      <x:c r="W348" s="6" t="str">
        <x:v>[18580.25]</x:v>
      </x:c>
      <x:c r="X348" s="8" t="str">
        <x:v>1</x:v>
      </x:c>
      <x:c r="Y348" s="8" t="str">
        <x:v>4.0</x:v>
      </x:c>
      <x:c r="Z348" s="6" t="str">
        <x:v>None</x:v>
      </x:c>
      <x:c r="AA348" s="6" t="str">
        <x:v>18548.25</x:v>
      </x:c>
      <x:c r="AB348" s="9" t="str">
        <x:v>0.24837907513502316</x:v>
      </x:c>
      <x:c r="AC348" s="9" t="str">
        <x:v>0.9553041351347045</x:v>
      </x:c>
      <x:c r="AD348" s="9" t="str">
        <x:v>1.280107541080504</x:v>
      </x:c>
      <x:c r="AE348" s="6" t="str">
        <x:v>With trade</x:v>
      </x:c>
      <x:c r="AF348" s="7" t="str">
        <x:v>2025-03-18 04:35:00-05:00</x:v>
      </x:c>
      <x:c r="AG348" s="6" t="str">
        <x:v>Short</x:v>
      </x:c>
      <x:c r="AH348" s="6" t="str">
        <x:v>18548.25</x:v>
      </x:c>
      <x:c r="AI348" s="8" t="str">
        <x:v>0</x:v>
      </x:c>
      <x:c r="AJ348" s="6" t="str">
        <x:v>True</x:v>
      </x:c>
      <x:c r="AK348" s="6" t="str">
        <x:v>Same-bar Setup+BOS</x:v>
      </x:c>
      <x:c r="AL348" s="9" t="str">
        <x:v>0.9553041351347045</x:v>
      </x:c>
      <x:c r="AM348" s="9" t="str">
        <x:v>0.24837907513502316</x:v>
      </x:c>
      <x:c r="AN348" s="9" t="str">
        <x:v>0.9553041351347045</x:v>
      </x:c>
      <x:c r="AO348" s="9" t="str">
        <x:v>1.280107541080504</x:v>
      </x:c>
      <x:c r="AP348" s="10" t="str">
        <x:v>0.746268656716418</x:v>
      </x:c>
      <x:c r="AQ348" s="6" t="str">
        <x:v>0.19402985074626866</x:v>
      </x:c>
      <x:c r="AR348" s="6" t="str">
        <x:v>0.05970149253731343</x:v>
      </x:c>
      <x:c r="AS348" s="6" t="str">
        <x:v>With trade</x:v>
      </x:c>
      <x:c r="AT348" s="6" t="str">
        <x:v>5.145425040569217</x:v>
      </x:c>
      <x:c r="AU348" s="7" t="str">
        <x:v>2025-03-18 04:40:00-05:00</x:v>
      </x:c>
      <x:c r="AV348" s="8" t="str">
        <x:v>1</x:v>
      </x:c>
      <x:c r="AW348" s="6" t="str">
        <x:v>Immediate retest (1 bar)</x:v>
      </x:c>
      <x:c r="AX348" s="6" t="str">
        <x:v>18548.5</x:v>
      </x:c>
      <x:c r="AY348" s="6" t="str">
        <x:v>0.25</x:v>
      </x:c>
      <x:c r="AZ348" s="9" t="str">
        <x:v>0.019272820401138063</x:v>
      </x:c>
      <x:c r="BA348" s="9" t="str">
        <x:v>0.05781846120341419</x:v>
      </x:c>
      <x:c r="BB348" s="9" t="str">
        <x:v>0.886549738452351</x:v>
      </x:c>
      <x:c r="BC348" s="9" t="str">
        <x:v>0.289092306017071</x:v>
      </x:c>
      <x:c r="BD348" s="6" t="str">
        <x:v>0.08695652173913043</x:v>
      </x:c>
      <x:c r="BE348" s="6" t="str">
        <x:v>0.5869565217391305</x:v>
      </x:c>
      <x:c r="BF348" s="9" t="str">
        <x:v>0.07709128160455225</x:v>
      </x:c>
      <x:c r="BG348" s="9" t="str">
        <x:v>0.5203661508307277</x:v>
      </x:c>
      <x:c r="BH348" s="6" t="str">
        <x:v>Against trade</x:v>
      </x:c>
      <x:c r="BI348" s="6" t="str">
        <x:v>Penetration + same-bar reclaim</x:v>
      </x:c>
      <x:c r="BJ348" s="6" t="str">
        <x:v>False</x:v>
      </x:c>
      <x:c r="BK348" s="10" t="str">
        <x:v>True</x:v>
      </x:c>
      <x:c r="BL348" s="6" t="str">
        <x:v>True</x:v>
      </x:c>
      <x:c r="BM348" s="7" t="str">
        <x:v>2025-03-18 04:45:00-05:00</x:v>
      </x:c>
      <x:c r="BN348" s="8" t="str">
        <x:v>1</x:v>
      </x:c>
      <x:c r="BO348" s="6" t="str">
        <x:v>Immediate confirmation (1 bar)</x:v>
      </x:c>
      <x:c r="BP348" s="9" t="str">
        <x:v>0.25085281601736786</x:v>
      </x:c>
      <x:c r="BQ348" s="9" t="str">
        <x:v>0.984114893606597</x:v>
      </x:c>
      <x:c r="BR348" s="10" t="str">
        <x:v>0.2549019607843137</x:v>
      </x:c>
      <x:c r="BS348" s="9" t="str">
        <x:v>0.2701491864802423</x:v>
      </x:c>
      <x:c r="BT348" s="9" t="str">
        <x:v>0.21226007509161895</x:v>
      </x:c>
      <x:c r="BU348" s="9" t="str">
        <x:v>0.21226007509161895</x:v>
      </x:c>
      <x:c r="BV348" s="6" t="str">
        <x:v>With trade</x:v>
      </x:c>
      <x:c r="BW348" s="7" t="str">
        <x:v>2025-03-18 04:45:00-05:00</x:v>
      </x:c>
      <x:c r="BX348" s="6" t="str">
        <x:v>18544.75</x:v>
      </x:c>
      <x:c r="BY348" s="9" t="str">
        <x:v>12.955804330197296</x:v>
      </x:c>
      <x:c r="BZ348" s="9" t="str">
        <x:v>0.97</x:v>
      </x:c>
      <x:c r="CA348" s="6" t="str">
        <x:v>18564.183706495296</x:v>
      </x:c>
      <x:c r="CB348" s="6" t="str">
        <x:v>19.433706495296065</x:v>
      </x:c>
      <x:c r="CC348" s="9" t="str">
        <x:v>1.5000000000000093</x:v>
      </x:c>
      <x:c r="CD348" s="6" t="str">
        <x:v>18505.882587009408</x:v>
      </x:c>
      <x:c r="CE348" s="6" t="str">
        <x:v>38.86741299059213</x:v>
      </x:c>
      <x:c r="CF348" s="6" t="str">
        <x:v>Fixed 2.00R target</x:v>
      </x:c>
      <x:c r="CG348" s="9" t="str">
        <x:v>0.0373063162282237</x:v>
      </x:c>
      <x:c r="CH348" s="9" t="str">
        <x:v>2.0</x:v>
      </x:c>
      <x:c r="CI348" s="9" t="str">
        <x:v>1.9626936837717763</x:v>
      </x:c>
      <x:c r="CJ348" s="6" t="str">
        <x:v>Win</x:v>
      </x:c>
      <x:c r="CK348" s="9" t="str">
        <x:v>2.727220358752905</x:v>
      </x:c>
      <x:c r="CL348" s="9" t="str">
        <x:v>0.1672352106782442</x:v>
      </x:c>
      <x:c r="CM348" s="7" t="str">
        <x:v>2025-03-18 05:05:00-05:00</x:v>
      </x:c>
      <x:c r="CN348" s="6" t="str">
        <x:v>18505.882587009408</x:v>
      </x:c>
      <x:c r="CO348" s="6" t="str">
        <x:v>TARGET</x:v>
      </x:c>
      <x:c r="CP348" s="6" t="str">
        <x:v>F::Short::Same-bar Setup+BOS::Penetration + same-bar reclaim</x:v>
      </x:c>
    </x:row>
    <x:row r="349" ht="18" customHeight="1">
      <x:c r="A349" s="6" t="str">
        <x:v>A0348</x:v>
      </x:c>
      <x:c r="B349" s="6" t="str">
        <x:v>2025-03-18</x:v>
      </x:c>
      <x:c r="C349" s="6" t="str">
        <x:v>2025</x:v>
      </x:c>
      <x:c r="D349" s="6" t="str">
        <x:v>2025-Q1</x:v>
      </x:c>
      <x:c r="E349" s="6" t="str">
        <x:v>First 50%</x:v>
      </x:c>
      <x:c r="F349" s="6" t="str">
        <x:v>Short</x:v>
      </x:c>
      <x:c r="G349" s="6" t="str">
        <x:v>Short</x:v>
      </x:c>
      <x:c r="H349" s="6" t="str">
        <x:v>Overnight</x:v>
      </x:c>
      <x:c r="I349" s="6" t="str">
        <x:v>Overnight</x:v>
      </x:c>
      <x:c r="J349" s="6" t="str">
        <x:v>Bear</x:v>
      </x:c>
      <x:c r="K349" s="6" t="str">
        <x:v>Bear</x:v>
      </x:c>
      <x:c r="L349" s="6" t="str">
        <x:v>LOW</x:v>
      </x:c>
      <x:c r="M349" s="7" t="str">
        <x:v>2025-03-18 23:00:00-05:00</x:v>
      </x:c>
      <x:c r="N349" s="6" t="str">
        <x:v>90.0</x:v>
      </x:c>
      <x:c r="O349" s="6" t="str">
        <x:v>90-94</x:v>
      </x:c>
      <x:c r="P349" s="6" t="str">
        <x:v>Matching BOS only</x:v>
      </x:c>
      <x:c r="Q349" s="6" t="str">
        <x:v>Bear BOS</x:v>
      </x:c>
      <x:c r="R349" s="6" t="str">
        <x:v>True</x:v>
      </x:c>
      <x:c r="S349" s="6" t="str">
        <x:v>False</x:v>
      </x:c>
      <x:c r="T349" s="6" t="str">
        <x:v>Recent BSL</x:v>
      </x:c>
      <x:c r="U349" s="6" t="str">
        <x:v>BSL</x:v>
      </x:c>
      <x:c r="V349" s="6" t="str">
        <x:v>Swing high / buy-side</x:v>
      </x:c>
      <x:c r="W349" s="6" t="str">
        <x:v>[18326.5]</x:v>
      </x:c>
      <x:c r="X349" s="8" t="str">
        <x:v>1</x:v>
      </x:c>
      <x:c r="Y349" s="8" t="str">
        <x:v>18.0</x:v>
      </x:c>
      <x:c r="Z349" s="6" t="str">
        <x:v>None</x:v>
      </x:c>
      <x:c r="AA349" s="6" t="str">
        <x:v>18299.75</x:v>
      </x:c>
      <x:c r="AB349" s="9" t="str">
        <x:v>0.10637990738777121</x:v>
      </x:c>
      <x:c r="AC349" s="9" t="str">
        <x:v>1.0372040970307694</x:v>
      </x:c>
      <x:c r="AD349" s="9" t="str">
        <x:v>1.489318703428797</x:v>
      </x:c>
      <x:c r="AE349" s="6" t="str">
        <x:v>With trade</x:v>
      </x:c>
      <x:c r="AF349" s="7" t="str">
        <x:v>2025-03-18 23:00:00-05:00</x:v>
      </x:c>
      <x:c r="AG349" s="6" t="str">
        <x:v>Short</x:v>
      </x:c>
      <x:c r="AH349" s="6" t="str">
        <x:v>18299.75</x:v>
      </x:c>
      <x:c r="AI349" s="8" t="str">
        <x:v>0</x:v>
      </x:c>
      <x:c r="AJ349" s="6" t="str">
        <x:v>True</x:v>
      </x:c>
      <x:c r="AK349" s="6" t="str">
        <x:v>Same-bar Setup+BOS</x:v>
      </x:c>
      <x:c r="AL349" s="9" t="str">
        <x:v>0.9840141433368838</x:v>
      </x:c>
      <x:c r="AM349" s="9" t="str">
        <x:v>0.10637990738777121</x:v>
      </x:c>
      <x:c r="AN349" s="9" t="str">
        <x:v>1.0372040970307694</x:v>
      </x:c>
      <x:c r="AO349" s="9" t="str">
        <x:v>1.489318703428797</x:v>
      </x:c>
      <x:c r="AP349" s="10" t="str">
        <x:v>0.6964285714285714</x:v>
      </x:c>
      <x:c r="AQ349" s="6" t="str">
        <x:v>0.10714285714285714</x:v>
      </x:c>
      <x:c r="AR349" s="6" t="str">
        <x:v>0.19642857142857142</x:v>
      </x:c>
      <x:c r="AS349" s="6" t="str">
        <x:v>With trade</x:v>
      </x:c>
      <x:c r="AT349" s="6" t="str">
        <x:v>0.21519190621487072</x:v>
      </x:c>
      <x:c r="AU349" s="7" t="str">
        <x:v>2025-03-18 23:05:00-05:00</x:v>
      </x:c>
      <x:c r="AV349" s="8" t="str">
        <x:v>1</x:v>
      </x:c>
      <x:c r="AW349" s="6" t="str">
        <x:v>Immediate retest (1 bar)</x:v>
      </x:c>
      <x:c r="AX349" s="6" t="str">
        <x:v>18299.5</x:v>
      </x:c>
      <x:c r="AY349" s="6" t="str">
        <x:v>0.0</x:v>
      </x:c>
      <x:c r="AZ349" s="9" t="str">
        <x:v>0.0</x:v>
      </x:c>
      <x:c r="BA349" s="9" t="str">
        <x:v>0.350800018104732</x:v>
      </x:c>
      <x:c r="BB349" s="9" t="str">
        <x:v>0.8095385033186123</x:v>
      </x:c>
      <x:c r="BC349" s="9" t="str">
        <x:v>0.3238154013274449</x:v>
      </x:c>
      <x:c r="BD349" s="6" t="str">
        <x:v>0.0</x:v>
      </x:c>
      <x:c r="BE349" s="6" t="str">
        <x:v>0.6</x:v>
      </x:c>
      <x:c r="BF349" s="9" t="str">
        <x:v>0.0</x:v>
      </x:c>
      <x:c r="BG349" s="9" t="str">
        <x:v>0.4857231019911674</x:v>
      </x:c>
      <x:c r="BH349" s="6" t="str">
        <x:v>With trade</x:v>
      </x:c>
      <x:c r="BI349" s="6" t="str">
        <x:v>Tolerance-only shallow touch</x:v>
      </x:c>
      <x:c r="BJ349" s="6" t="str">
        <x:v>True</x:v>
      </x:c>
      <x:c r="BK349" s="10" t="str">
        <x:v>False</x:v>
      </x:c>
      <x:c r="BL349" s="6" t="str">
        <x:v>True</x:v>
      </x:c>
      <x:c r="BM349" s="7" t="str">
        <x:v>2025-03-18 23:10:00-05:00</x:v>
      </x:c>
      <x:c r="BN349" s="8" t="str">
        <x:v>1</x:v>
      </x:c>
      <x:c r="BO349" s="6" t="str">
        <x:v>Immediate confirmation (1 bar)</x:v>
      </x:c>
      <x:c r="BP349" s="9" t="str">
        <x:v>0.08404101849597649</x:v>
      </x:c>
      <x:c r="BQ349" s="9" t="str">
        <x:v>0.504246110975859</x:v>
      </x:c>
      <x:c r="BR349" s="10" t="str">
        <x:v>0.16666666666666666</x:v>
      </x:c>
      <x:c r="BS349" s="9" t="str">
        <x:v>0.5322597838078511</x:v>
      </x:c>
      <x:c r="BT349" s="9" t="str">
        <x:v>0.16808203699195298</x:v>
      </x:c>
      <x:c r="BU349" s="9" t="str">
        <x:v>0.11205469132796866</x:v>
      </x:c>
      <x:c r="BV349" s="6" t="str">
        <x:v>With trade</x:v>
      </x:c>
      <x:c r="BW349" s="7" t="str">
        <x:v>2025-03-18 23:10:00-05:00</x:v>
      </x:c>
      <x:c r="BX349" s="6" t="str">
        <x:v>18295.0</x:v>
      </x:c>
      <x:c r="BY349" s="9" t="str">
        <x:v>8.924213597386455</x:v>
      </x:c>
      <x:c r="BZ349" s="9" t="str">
        <x:v>0.0</x:v>
      </x:c>
      <x:c r="CA349" s="6" t="str">
        <x:v>18308.38632039608</x:v>
      </x:c>
      <x:c r="CB349" s="6" t="str">
        <x:v>13.3863203960791</x:v>
      </x:c>
      <x:c r="CC349" s="9" t="str">
        <x:v>1.4999999999999347</x:v>
      </x:c>
      <x:c r="CD349" s="6" t="str">
        <x:v>18268.22735920784</x:v>
      </x:c>
      <x:c r="CE349" s="6" t="str">
        <x:v>26.7726407921582</x:v>
      </x:c>
      <x:c r="CF349" s="6" t="str">
        <x:v>Fixed 2.00R target</x:v>
      </x:c>
      <x:c r="CG349" s="9" t="str">
        <x:v>0.054159767475187214</x:v>
      </x:c>
      <x:c r="CH349" s="9" t="str">
        <x:v>1.5500898967035666</x:v>
      </x:c>
      <x:c r="CI349" s="9" t="str">
        <x:v>1.4959301292283793</x:v>
      </x:c>
      <x:c r="CJ349" s="6" t="str">
        <x:v>Win</x:v>
      </x:c>
      <x:c r="CK349" s="9" t="str">
        <x:v>1.8862539706875545</x:v>
      </x:c>
      <x:c r="CL349" s="9" t="str">
        <x:v>0.0</x:v>
      </x:c>
      <x:c r="CM349" s="7" t="str">
        <x:v>2025-03-19 00:10:00-05:00</x:v>
      </x:c>
      <x:c r="CN349" s="6" t="str">
        <x:v>18274.25</x:v>
      </x:c>
      <x:c r="CO349" s="6" t="str">
        <x:v>TIME</x:v>
      </x:c>
      <x:c r="CP349" s="6" t="str">
        <x:v>F::Short::Same-bar Setup+BOS::Tolerance-only shallow touch</x:v>
      </x:c>
    </x:row>
    <x:row r="350" ht="18" customHeight="1">
      <x:c r="A350" s="6" t="str">
        <x:v>A0349</x:v>
      </x:c>
      <x:c r="B350" s="6" t="str">
        <x:v>2025-03-20</x:v>
      </x:c>
      <x:c r="C350" s="6" t="str">
        <x:v>2025</x:v>
      </x:c>
      <x:c r="D350" s="6" t="str">
        <x:v>2025-Q1</x:v>
      </x:c>
      <x:c r="E350" s="6" t="str">
        <x:v>First 50%</x:v>
      </x:c>
      <x:c r="F350" s="6" t="str">
        <x:v>Short</x:v>
      </x:c>
      <x:c r="G350" s="6" t="str">
        <x:v>Short</x:v>
      </x:c>
      <x:c r="H350" s="6" t="str">
        <x:v>Morning</x:v>
      </x:c>
      <x:c r="I350" s="6" t="str">
        <x:v>Morning</x:v>
      </x:c>
      <x:c r="J350" s="6" t="str">
        <x:v>Bull</x:v>
      </x:c>
      <x:c r="K350" s="6" t="str">
        <x:v>Bull</x:v>
      </x:c>
      <x:c r="L350" s="6" t="str">
        <x:v>HIGH</x:v>
      </x:c>
      <x:c r="M350" s="7" t="str">
        <x:v>2025-03-20 11:15:00-05:00</x:v>
      </x:c>
      <x:c r="N350" s="6" t="str">
        <x:v>85.0</x:v>
      </x:c>
      <x:c r="O350" s="6" t="str">
        <x:v>85-89</x:v>
      </x:c>
      <x:c r="P350" s="6" t="str">
        <x:v>Matching BOS only</x:v>
      </x:c>
      <x:c r="Q350" s="6" t="str">
        <x:v>Bear BOS</x:v>
      </x:c>
      <x:c r="R350" s="6" t="str">
        <x:v>True</x:v>
      </x:c>
      <x:c r="S350" s="6" t="str">
        <x:v>False</x:v>
      </x:c>
      <x:c r="T350" s="6" t="str">
        <x:v>Recent BSL</x:v>
      </x:c>
      <x:c r="U350" s="6" t="str">
        <x:v>BSL</x:v>
      </x:c>
      <x:c r="V350" s="6" t="str">
        <x:v>Equal high / buy-side | Swing high / buy-side</x:v>
      </x:c>
      <x:c r="W350" s="6" t="str">
        <x:v>[18637.25,18636.5]</x:v>
      </x:c>
      <x:c r="X350" s="8" t="str">
        <x:v>2</x:v>
      </x:c>
      <x:c r="Y350" s="8" t="str">
        <x:v>19.0</x:v>
      </x:c>
      <x:c r="Z350" s="6" t="str">
        <x:v>None</x:v>
      </x:c>
      <x:c r="AA350" s="6" t="str">
        <x:v>18509.5</x:v>
      </x:c>
      <x:c r="AB350" s="9" t="str">
        <x:v>0.006203393863787778</x:v>
      </x:c>
      <x:c r="AC350" s="9" t="str">
        <x:v>0.22332217909636</x:v>
      </x:c>
      <x:c r="AD350" s="9" t="str">
        <x:v>0.5645088416046878</x:v>
      </x:c>
      <x:c r="AE350" s="6" t="str">
        <x:v>With trade</x:v>
      </x:c>
      <x:c r="AF350" s="7" t="str">
        <x:v>2025-03-20 11:15:00-05:00</x:v>
      </x:c>
      <x:c r="AG350" s="6" t="str">
        <x:v>Short</x:v>
      </x:c>
      <x:c r="AH350" s="6" t="str">
        <x:v>18509.5</x:v>
      </x:c>
      <x:c r="AI350" s="8" t="str">
        <x:v>0</x:v>
      </x:c>
      <x:c r="AJ350" s="6" t="str">
        <x:v>True</x:v>
      </x:c>
      <x:c r="AK350" s="6" t="str">
        <x:v>Same-bar Setup+BOS</x:v>
      </x:c>
      <x:c r="AL350" s="9" t="str">
        <x:v>0.21091539136878446</x:v>
      </x:c>
      <x:c r="AM350" s="9" t="str">
        <x:v>0.006203393863787778</x:v>
      </x:c>
      <x:c r="AN350" s="9" t="str">
        <x:v>0.22332217909636</x:v>
      </x:c>
      <x:c r="AO350" s="9" t="str">
        <x:v>0.5645088416046878</x:v>
      </x:c>
      <x:c r="AP350" s="10" t="str">
        <x:v>0.3956043956043956</x:v>
      </x:c>
      <x:c r="AQ350" s="6" t="str">
        <x:v>0.08791208791208792</x:v>
      </x:c>
      <x:c r="AR350" s="6" t="str">
        <x:v>0.5164835164835165</x:v>
      </x:c>
      <x:c r="AS350" s="6" t="str">
        <x:v>With trade</x:v>
      </x:c>
      <x:c r="AT350" s="6" t="str">
        <x:v>0.6325630558390436</x:v>
      </x:c>
      <x:c r="AU350" s="7" t="str">
        <x:v>2025-03-20 11:20:00-05:00</x:v>
      </x:c>
      <x:c r="AV350" s="8" t="str">
        <x:v>1</x:v>
      </x:c>
      <x:c r="AW350" s="6" t="str">
        <x:v>Immediate retest (1 bar)</x:v>
      </x:c>
      <x:c r="AX350" s="6" t="str">
        <x:v>18509.5</x:v>
      </x:c>
      <x:c r="AY350" s="6" t="str">
        <x:v>0.0</x:v>
      </x:c>
      <x:c r="AZ350" s="9" t="str">
        <x:v>0.0</x:v>
      </x:c>
      <x:c r="BA350" s="9" t="str">
        <x:v>0.7190397134516049</x:v>
      </x:c>
      <x:c r="BB350" s="9" t="str">
        <x:v>0.7821133725263071</x:v>
      </x:c>
      <x:c r="BC350" s="9" t="str">
        <x:v>0.6748881520993134</x:v>
      </x:c>
      <x:c r="BD350" s="6" t="str">
        <x:v>0.056451612903225805</x:v>
      </x:c>
      <x:c r="BE350" s="6" t="str">
        <x:v>0.08064516129032258</x:v>
      </x:c>
      <x:c r="BF350" s="9" t="str">
        <x:v>0.04415156135229153</x:v>
      </x:c>
      <x:c r="BG350" s="9" t="str">
        <x:v>0.06307365907470218</x:v>
      </x:c>
      <x:c r="BH350" s="6" t="str">
        <x:v>With trade</x:v>
      </x:c>
      <x:c r="BI350" s="6" t="str">
        <x:v>Exact BOS touch</x:v>
      </x:c>
      <x:c r="BJ350" s="6" t="str">
        <x:v>True</x:v>
      </x:c>
      <x:c r="BK350" s="10" t="str">
        <x:v>False</x:v>
      </x:c>
      <x:c r="BL350" s="6" t="str">
        <x:v>True</x:v>
      </x:c>
      <x:c r="BM350" s="7" t="str">
        <x:v>2025-03-20 11:25:00-05:00</x:v>
      </x:c>
      <x:c r="BN350" s="8" t="str">
        <x:v>1</x:v>
      </x:c>
      <x:c r="BO350" s="6" t="str">
        <x:v>Immediate confirmation (1 bar)</x:v>
      </x:c>
      <x:c r="BP350" s="9" t="str">
        <x:v>1.3133748243412093</x:v>
      </x:c>
      <x:c r="BQ350" s="9" t="str">
        <x:v>1.8611051322503236</x:v>
      </x:c>
      <x:c r="BR350" s="10" t="str">
        <x:v>0.7056962025316456</x:v>
      </x:c>
      <x:c r="BS350" s="9" t="str">
        <x:v>1.9965653159267711</x:v>
      </x:c>
      <x:c r="BT350" s="9" t="str">
        <x:v>1.325153970747857</x:v>
      </x:c>
      <x:c r="BU350" s="9" t="str">
        <x:v>0.2591412209462476</x:v>
      </x:c>
      <x:c r="BV350" s="6" t="str">
        <x:v>With trade</x:v>
      </x:c>
      <x:c r="BW350" s="7" t="str">
        <x:v>2025-03-20 11:25:00-05:00</x:v>
      </x:c>
      <x:c r="BX350" s="6" t="str">
        <x:v>18424.75</x:v>
      </x:c>
      <x:c r="BY350" s="9" t="str">
        <x:v>42.44789755884371</x:v>
      </x:c>
      <x:c r="BZ350" s="9" t="str">
        <x:v>0.99</x:v>
      </x:c>
      <x:c r="CA350" s="6" t="str">
        <x:v>18488.421846338264</x:v>
      </x:c>
      <x:c r="CB350" s="6" t="str">
        <x:v>63.671846338264004</x:v>
      </x:c>
      <x:c r="CC350" s="9" t="str">
        <x:v>1.4999999999999634</x:v>
      </x:c>
      <x:c r="CD350" s="6" t="str">
        <x:v>18297.40630732347</x:v>
      </x:c>
      <x:c r="CE350" s="6" t="str">
        <x:v>127.34369267653165</x:v>
      </x:c>
      <x:c r="CF350" s="6" t="str">
        <x:v>Fixed 2.00R target</x:v>
      </x:c>
      <x:c r="CG350" s="9" t="str">
        <x:v>0.011386508193092974</x:v>
      </x:c>
      <x:c r="CH350" s="9" t="str">
        <x:v>0.7734972807031936</x:v>
      </x:c>
      <x:c r="CI350" s="9" t="str">
        <x:v>0.7621107725101006</x:v>
      </x:c>
      <x:c r="CJ350" s="6" t="str">
        <x:v>Win</x:v>
      </x:c>
      <x:c r="CK350" s="9" t="str">
        <x:v>0.7892028092454096</x:v>
      </x:c>
      <x:c r="CL350" s="9" t="str">
        <x:v>0.9698163874806776</x:v>
      </x:c>
      <x:c r="CM350" s="7" t="str">
        <x:v>2025-03-20 12:25:00-05:00</x:v>
      </x:c>
      <x:c r="CN350" s="6" t="str">
        <x:v>18375.5</x:v>
      </x:c>
      <x:c r="CO350" s="6" t="str">
        <x:v>TIME</x:v>
      </x:c>
      <x:c r="CP350" s="6" t="str">
        <x:v>F::Short::Same-bar Setup+BOS::Exact BOS touch</x:v>
      </x:c>
    </x:row>
    <x:row r="351" ht="18" customHeight="1">
      <x:c r="A351" s="6" t="str">
        <x:v>A0350</x:v>
      </x:c>
      <x:c r="B351" s="6" t="str">
        <x:v>2025-03-24</x:v>
      </x:c>
      <x:c r="C351" s="6" t="str">
        <x:v>2025</x:v>
      </x:c>
      <x:c r="D351" s="6" t="str">
        <x:v>2025-Q1</x:v>
      </x:c>
      <x:c r="E351" s="6" t="str">
        <x:v>First 50%</x:v>
      </x:c>
      <x:c r="F351" s="6" t="str">
        <x:v>Long</x:v>
      </x:c>
      <x:c r="G351" s="6" t="str">
        <x:v>Long</x:v>
      </x:c>
      <x:c r="H351" s="6" t="str">
        <x:v>Overnight</x:v>
      </x:c>
      <x:c r="I351" s="6" t="str">
        <x:v>Overnight</x:v>
      </x:c>
      <x:c r="J351" s="6" t="str">
        <x:v>Bull</x:v>
      </x:c>
      <x:c r="K351" s="6" t="str">
        <x:v>Bull</x:v>
      </x:c>
      <x:c r="L351" s="6" t="str">
        <x:v>LOW</x:v>
      </x:c>
      <x:c r="M351" s="7" t="str">
        <x:v>2025-03-24 18:30:00-05:00</x:v>
      </x:c>
      <x:c r="N351" s="6" t="str">
        <x:v>90.0</x:v>
      </x:c>
      <x:c r="O351" s="6" t="str">
        <x:v>90-94</x:v>
      </x:c>
      <x:c r="P351" s="6" t="str">
        <x:v>Matching BOS only</x:v>
      </x:c>
      <x:c r="Q351" s="6" t="str">
        <x:v>Bull CHoCH</x:v>
      </x:c>
      <x:c r="R351" s="6" t="str">
        <x:v>True</x:v>
      </x:c>
      <x:c r="S351" s="6" t="str">
        <x:v>False</x:v>
      </x:c>
      <x:c r="T351" s="6" t="str">
        <x:v>Recent SSL</x:v>
      </x:c>
      <x:c r="U351" s="6" t="str">
        <x:v>SSL</x:v>
      </x:c>
      <x:c r="V351" s="6" t="str">
        <x:v>Swing low / sell-side</x:v>
      </x:c>
      <x:c r="W351" s="6" t="str">
        <x:v>[18901.75]</x:v>
      </x:c>
      <x:c r="X351" s="8" t="str">
        <x:v>1</x:v>
      </x:c>
      <x:c r="Y351" s="8" t="str">
        <x:v>18.0</x:v>
      </x:c>
      <x:c r="Z351" s="6" t="str">
        <x:v>None</x:v>
      </x:c>
      <x:c r="AA351" s="6" t="str">
        <x:v>18902.5</x:v>
      </x:c>
      <x:c r="AB351" s="9" t="str">
        <x:v>0.08595021479487878</x:v>
      </x:c>
      <x:c r="AC351" s="9" t="str">
        <x:v>0.7735519331539091</x:v>
      </x:c>
      <x:c r="AD351" s="9" t="str">
        <x:v>1.1460028639317172</x:v>
      </x:c>
      <x:c r="AE351" s="6" t="str">
        <x:v>With trade</x:v>
      </x:c>
      <x:c r="AF351" s="7" t="str">
        <x:v>2025-03-24 18:30:00-05:00</x:v>
      </x:c>
      <x:c r="AG351" s="6" t="str">
        <x:v>Long</x:v>
      </x:c>
      <x:c r="AH351" s="6" t="str">
        <x:v>18902.5</x:v>
      </x:c>
      <x:c r="AI351" s="8" t="str">
        <x:v>0</x:v>
      </x:c>
      <x:c r="AJ351" s="6" t="str">
        <x:v>True</x:v>
      </x:c>
      <x:c r="AK351" s="6" t="str">
        <x:v>Same-bar Setup+BOS</x:v>
      </x:c>
      <x:c r="AL351" s="9" t="str">
        <x:v>0.8595021479487879</x:v>
      </x:c>
      <x:c r="AM351" s="9" t="str">
        <x:v>0.08595021479487878</x:v>
      </x:c>
      <x:c r="AN351" s="9" t="str">
        <x:v>0.7735519331539091</x:v>
      </x:c>
      <x:c r="AO351" s="9" t="str">
        <x:v>1.1460028639317172</x:v>
      </x:c>
      <x:c r="AP351" s="10" t="str">
        <x:v>0.675</x:v>
      </x:c>
      <x:c r="AQ351" s="6" t="str">
        <x:v>0.3</x:v>
      </x:c>
      <x:c r="AR351" s="6" t="str">
        <x:v>0.025</x:v>
      </x:c>
      <x:c r="AS351" s="6" t="str">
        <x:v>With trade</x:v>
      </x:c>
      <x:c r="AT351" s="6" t="str">
        <x:v>1.810949043379428</x:v>
      </x:c>
      <x:c r="AU351" s="7" t="str">
        <x:v>2025-03-24 18:35:00-05:00</x:v>
      </x:c>
      <x:c r="AV351" s="8" t="str">
        <x:v>1</x:v>
      </x:c>
      <x:c r="AW351" s="6" t="str">
        <x:v>Immediate retest (1 bar)</x:v>
      </x:c>
      <x:c r="AX351" s="6" t="str">
        <x:v>18903.0</x:v>
      </x:c>
      <x:c r="AY351" s="6" t="str">
        <x:v>0.0</x:v>
      </x:c>
      <x:c r="AZ351" s="9" t="str">
        <x:v>0.0</x:v>
      </x:c>
      <x:c r="BA351" s="9" t="str">
        <x:v>0.5263696054381254</x:v>
      </x:c>
      <x:c r="BB351" s="9" t="str">
        <x:v>0.7310688964418409</x:v>
      </x:c>
      <x:c r="BC351" s="9" t="str">
        <x:v>0.2631848027190627</x:v>
      </x:c>
      <x:c r="BD351" s="6" t="str">
        <x:v>0.36</x:v>
      </x:c>
      <x:c r="BE351" s="6" t="str">
        <x:v>0.28</x:v>
      </x:c>
      <x:c r="BF351" s="9" t="str">
        <x:v>0.20469929100371545</x:v>
      </x:c>
      <x:c r="BG351" s="9" t="str">
        <x:v>0.2631848027190627</x:v>
      </x:c>
      <x:c r="BH351" s="6" t="str">
        <x:v>With trade</x:v>
      </x:c>
      <x:c r="BI351" s="6" t="str">
        <x:v>Tolerance-only shallow touch</x:v>
      </x:c>
      <x:c r="BJ351" s="6" t="str">
        <x:v>True</x:v>
      </x:c>
      <x:c r="BK351" s="10" t="str">
        <x:v>False</x:v>
      </x:c>
      <x:c r="BL351" s="6" t="str">
        <x:v>True</x:v>
      </x:c>
      <x:c r="BM351" s="7" t="str">
        <x:v>2025-03-24 18:40:00-05:00</x:v>
      </x:c>
      <x:c r="BN351" s="8" t="str">
        <x:v>1</x:v>
      </x:c>
      <x:c r="BO351" s="6" t="str">
        <x:v>Immediate confirmation (1 bar)</x:v>
      </x:c>
      <x:c r="BP351" s="9" t="str">
        <x:v>0.386777690838652</x:v>
      </x:c>
      <x:c r="BQ351" s="9" t="str">
        <x:v>0.773555381677304</x:v>
      </x:c>
      <x:c r="BR351" s="10" t="str">
        <x:v>0.5</x:v>
      </x:c>
      <x:c r="BS351" s="9" t="str">
        <x:v>1.0115724221933975</x:v>
      </x:c>
      <x:c r="BT351" s="9" t="str">
        <x:v>0.47603408103218703</x:v>
      </x:c>
      <x:c r="BU351" s="9" t="str">
        <x:v>0.2975213006451169</x:v>
      </x:c>
      <x:c r="BV351" s="6" t="str">
        <x:v>With trade</x:v>
      </x:c>
      <x:c r="BW351" s="7" t="str">
        <x:v>2025-03-24 18:40:00-05:00</x:v>
      </x:c>
      <x:c r="BX351" s="6" t="str">
        <x:v>18911.0</x:v>
      </x:c>
      <x:c r="BY351" s="9" t="str">
        <x:v>8.402759716965601</x:v>
      </x:c>
      <x:c r="BZ351" s="9" t="str">
        <x:v>0.0</x:v>
      </x:c>
      <x:c r="CA351" s="6" t="str">
        <x:v>18898.395860424553</x:v>
      </x:c>
      <x:c r="CB351" s="6" t="str">
        <x:v>12.604139575447334</x:v>
      </x:c>
      <x:c r="CC351" s="9" t="str">
        <x:v>1.499999999999873</x:v>
      </x:c>
      <x:c r="CD351" s="6" t="str">
        <x:v>18936.2082791509</x:v>
      </x:c>
      <x:c r="CE351" s="6" t="str">
        <x:v>25.208279150898306</x:v>
      </x:c>
      <x:c r="CF351" s="6" t="str">
        <x:v>Fixed 2.00R target</x:v>
      </x:c>
      <x:c r="CG351" s="9" t="str">
        <x:v>0.057520784791394136</x:v>
      </x:c>
      <x:c r="CH351" s="9" t="str">
        <x:v>-1.0</x:v>
      </x:c>
      <x:c r="CI351" s="9" t="str">
        <x:v>-1.057520784791394</x:v>
      </x:c>
      <x:c r="CJ351" s="6" t="str">
        <x:v>Loss</x:v>
      </x:c>
      <x:c r="CK351" s="9" t="str">
        <x:v>0.09917376688171403</x:v>
      </x:c>
      <x:c r="CL351" s="9" t="str">
        <x:v>1.0909114356988543</x:v>
      </x:c>
      <x:c r="CM351" s="7" t="str">
        <x:v>2025-03-24 19:00:00-05:00</x:v>
      </x:c>
      <x:c r="CN351" s="6" t="str">
        <x:v>18898.395860424553</x:v>
      </x:c>
      <x:c r="CO351" s="6" t="str">
        <x:v>STOP</x:v>
      </x:c>
      <x:c r="CP351" s="6" t="str">
        <x:v>F::Long::Same-bar Setup+BOS::Tolerance-only shallow touch</x:v>
      </x:c>
    </x:row>
    <x:row r="352" ht="18" customHeight="1">
      <x:c r="A352" s="6" t="str">
        <x:v>A0351</x:v>
      </x:c>
      <x:c r="B352" s="6" t="str">
        <x:v>2025-03-25</x:v>
      </x:c>
      <x:c r="C352" s="6" t="str">
        <x:v>2025</x:v>
      </x:c>
      <x:c r="D352" s="6" t="str">
        <x:v>2025-Q1</x:v>
      </x:c>
      <x:c r="E352" s="6" t="str">
        <x:v>First 50%</x:v>
      </x:c>
      <x:c r="F352" s="6" t="str">
        <x:v>Short</x:v>
      </x:c>
      <x:c r="G352" s="6" t="str">
        <x:v>Short</x:v>
      </x:c>
      <x:c r="H352" s="6" t="str">
        <x:v>Overnight</x:v>
      </x:c>
      <x:c r="I352" s="6" t="str">
        <x:v>Overnight</x:v>
      </x:c>
      <x:c r="J352" s="6" t="str">
        <x:v>Bull</x:v>
      </x:c>
      <x:c r="K352" s="6" t="str">
        <x:v>Bull</x:v>
      </x:c>
      <x:c r="L352" s="6" t="str">
        <x:v>HIGH</x:v>
      </x:c>
      <x:c r="M352" s="7" t="str">
        <x:v>2025-03-25 03:05:00-05:00</x:v>
      </x:c>
      <x:c r="N352" s="6" t="str">
        <x:v>90.0</x:v>
      </x:c>
      <x:c r="O352" s="6" t="str">
        <x:v>90-94</x:v>
      </x:c>
      <x:c r="P352" s="6" t="str">
        <x:v>Matching BOS only</x:v>
      </x:c>
      <x:c r="Q352" s="6" t="str">
        <x:v>Bear CHoCH</x:v>
      </x:c>
      <x:c r="R352" s="6" t="str">
        <x:v>True</x:v>
      </x:c>
      <x:c r="S352" s="6" t="str">
        <x:v>False</x:v>
      </x:c>
      <x:c r="T352" s="6" t="str">
        <x:v>Recent BSL</x:v>
      </x:c>
      <x:c r="U352" s="6" t="str">
        <x:v>BSL</x:v>
      </x:c>
      <x:c r="V352" s="6" t="str">
        <x:v>Swing high / buy-side</x:v>
      </x:c>
      <x:c r="W352" s="6" t="str">
        <x:v>[18887.5]</x:v>
      </x:c>
      <x:c r="X352" s="8" t="str">
        <x:v>1</x:v>
      </x:c>
      <x:c r="Y352" s="8" t="str">
        <x:v>18.0</x:v>
      </x:c>
      <x:c r="Z352" s="6" t="str">
        <x:v>Sweep above CRT reference</x:v>
      </x:c>
      <x:c r="AA352" s="6" t="str">
        <x:v>18876.75</x:v>
      </x:c>
      <x:c r="AB352" s="9" t="str">
        <x:v>0.5829604999688034</x:v>
      </x:c>
      <x:c r="AC352" s="9" t="str">
        <x:v>2.5159347893390462</x:v>
      </x:c>
      <x:c r="AD352" s="9" t="str">
        <x:v>3.3136702103489877</x:v>
      </x:c>
      <x:c r="AE352" s="6" t="str">
        <x:v>With trade</x:v>
      </x:c>
      <x:c r="AF352" s="7" t="str">
        <x:v>2025-03-25 03:05:00-05:00</x:v>
      </x:c>
      <x:c r="AG352" s="6" t="str">
        <x:v>Short</x:v>
      </x:c>
      <x:c r="AH352" s="6" t="str">
        <x:v>18876.75</x:v>
      </x:c>
      <x:c r="AI352" s="8" t="str">
        <x:v>0</x:v>
      </x:c>
      <x:c r="AJ352" s="6" t="str">
        <x:v>True</x:v>
      </x:c>
      <x:c r="AK352" s="6" t="str">
        <x:v>Same-bar Setup+BOS</x:v>
      </x:c>
      <x:c r="AL352" s="9" t="str">
        <x:v>2.454570526184435</x:v>
      </x:c>
      <x:c r="AM352" s="9" t="str">
        <x:v>0.5829604999688034</x:v>
      </x:c>
      <x:c r="AN352" s="9" t="str">
        <x:v>2.5159347893390462</x:v>
      </x:c>
      <x:c r="AO352" s="9" t="str">
        <x:v>3.3136702103489877</x:v>
      </x:c>
      <x:c r="AP352" s="10" t="str">
        <x:v>0.7592592592592593</x:v>
      </x:c>
      <x:c r="AQ352" s="6" t="str">
        <x:v>0.09259259259259259</x:v>
      </x:c>
      <x:c r="AR352" s="6" t="str">
        <x:v>0.14814814814814814</x:v>
      </x:c>
      <x:c r="AS352" s="6" t="str">
        <x:v>With trade</x:v>
      </x:c>
      <x:c r="AT352" s="6" t="str">
        <x:v>4.73404255319149</x:v>
      </x:c>
      <x:c r="AU352" s="7" t="str">
        <x:v>2025-03-25 03:10:00-05:00</x:v>
      </x:c>
      <x:c r="AV352" s="8" t="str">
        <x:v>1</x:v>
      </x:c>
      <x:c r="AW352" s="6" t="str">
        <x:v>Immediate retest (1 bar)</x:v>
      </x:c>
      <x:c r="AX352" s="6" t="str">
        <x:v>18877.75</x:v>
      </x:c>
      <x:c r="AY352" s="6" t="str">
        <x:v>1.0</x:v>
      </x:c>
      <x:c r="AZ352" s="9" t="str">
        <x:v>0.11412282703532908</x:v>
      </x:c>
      <x:c r="BA352" s="9" t="str">
        <x:v>1.569188871735775</x:v>
      </x:c>
      <x:c r="BB352" s="9" t="str">
        <x:v>1.9115573528417622</x:v>
      </x:c>
      <x:c r="BC352" s="9" t="str">
        <x:v>1.0556361500767941</x:v>
      </x:c>
      <x:c r="BD352" s="6" t="str">
        <x:v>0.3283582089552239</x:v>
      </x:c>
      <x:c r="BE352" s="6" t="str">
        <x:v>0.11940298507462686</x:v>
      </x:c>
      <x:c r="BF352" s="9" t="str">
        <x:v>0.62767554869431</x:v>
      </x:c>
      <x:c r="BG352" s="9" t="str">
        <x:v>0.22824565407065817</x:v>
      </x:c>
      <x:c r="BH352" s="6" t="str">
        <x:v>With trade</x:v>
      </x:c>
      <x:c r="BI352" s="6" t="str">
        <x:v>Penetration + same-bar reclaim</x:v>
      </x:c>
      <x:c r="BJ352" s="6" t="str">
        <x:v>False</x:v>
      </x:c>
      <x:c r="BK352" s="10" t="str">
        <x:v>True</x:v>
      </x:c>
      <x:c r="BL352" s="6" t="str">
        <x:v>True</x:v>
      </x:c>
      <x:c r="BM352" s="7" t="str">
        <x:v>2025-03-25 03:15:00-05:00</x:v>
      </x:c>
      <x:c r="BN352" s="8" t="str">
        <x:v>1</x:v>
      </x:c>
      <x:c r="BO352" s="6" t="str">
        <x:v>Immediate confirmation (1 bar)</x:v>
      </x:c>
      <x:c r="BP352" s="9" t="str">
        <x:v>2.1454994021471716</x:v>
      </x:c>
      <x:c r="BQ352" s="9" t="str">
        <x:v>2.498875774265529</x:v>
      </x:c>
      <x:c r="BR352" s="10" t="str">
        <x:v>0.8585858585858586</x:v>
      </x:c>
      <x:c r="BS352" s="9" t="str">
        <x:v>3.5337637211835764</x:v>
      </x:c>
      <x:c r="BT352" s="9" t="str">
        <x:v>2.1454994021471716</x:v>
      </x:c>
      <x:c r="BU352" s="9" t="str">
        <x:v>0.025241169437025545</x:v>
      </x:c>
      <x:c r="BV352" s="6" t="str">
        <x:v>With trade</x:v>
      </x:c>
      <x:c r="BW352" s="7" t="str">
        <x:v>2025-03-25 03:15:00-05:00</x:v>
      </x:c>
      <x:c r="BX352" s="6" t="str">
        <x:v>18841.75</x:v>
      </x:c>
      <x:c r="BY352" s="9" t="str">
        <x:v>9.904453936800653</x:v>
      </x:c>
      <x:c r="BZ352" s="9" t="str">
        <x:v>1.0</x:v>
      </x:c>
      <x:c r="CA352" s="6" t="str">
        <x:v>18856.606680905203</x:v>
      </x:c>
      <x:c r="CB352" s="6" t="str">
        <x:v>14.856680905202666</x:v>
      </x:c>
      <x:c r="CC352" s="9" t="str">
        <x:v>1.5000000000001703</x:v>
      </x:c>
      <x:c r="CD352" s="6" t="str">
        <x:v>18812.0366381896</x:v>
      </x:c>
      <x:c r="CE352" s="6" t="str">
        <x:v>29.713361810401693</x:v>
      </x:c>
      <x:c r="CF352" s="6" t="str">
        <x:v>Fixed 2.00R target</x:v>
      </x:c>
      <x:c r="CG352" s="9" t="str">
        <x:v>0.04879959424491052</x:v>
      </x:c>
      <x:c r="CH352" s="9" t="str">
        <x:v>-1.0</x:v>
      </x:c>
      <x:c r="CI352" s="9" t="str">
        <x:v>-1.0487995942449104</x:v>
      </x:c>
      <x:c r="CJ352" s="6" t="str">
        <x:v>Loss</x:v>
      </x:c>
      <x:c r="CK352" s="9" t="str">
        <x:v>0.016827446291348455</x:v>
      </x:c>
      <x:c r="CL352" s="9" t="str">
        <x:v>1.177921240394392</x:v>
      </x:c>
      <x:c r="CM352" s="7" t="str">
        <x:v>2025-03-25 03:20:00-05:00</x:v>
      </x:c>
      <x:c r="CN352" s="6" t="str">
        <x:v>18856.606680905203</x:v>
      </x:c>
      <x:c r="CO352" s="6" t="str">
        <x:v>STOP</x:v>
      </x:c>
      <x:c r="CP352" s="6" t="str">
        <x:v>F::Short::Same-bar Setup+BOS::Penetration + same-bar reclaim</x:v>
      </x:c>
    </x:row>
    <x:row r="353" ht="18" customHeight="1">
      <x:c r="A353" s="6" t="str">
        <x:v>A0352</x:v>
      </x:c>
      <x:c r="B353" s="6" t="str">
        <x:v>2025-03-25</x:v>
      </x:c>
      <x:c r="C353" s="6" t="str">
        <x:v>2025</x:v>
      </x:c>
      <x:c r="D353" s="6" t="str">
        <x:v>2025-Q1</x:v>
      </x:c>
      <x:c r="E353" s="6" t="str">
        <x:v>First 50%</x:v>
      </x:c>
      <x:c r="F353" s="6" t="str">
        <x:v>Short</x:v>
      </x:c>
      <x:c r="G353" s="6" t="str">
        <x:v>Short</x:v>
      </x:c>
      <x:c r="H353" s="6" t="str">
        <x:v>Overnight</x:v>
      </x:c>
      <x:c r="I353" s="6" t="str">
        <x:v>Overnight</x:v>
      </x:c>
      <x:c r="J353" s="6" t="str">
        <x:v>Bull</x:v>
      </x:c>
      <x:c r="K353" s="6" t="str">
        <x:v>Bull</x:v>
      </x:c>
      <x:c r="L353" s="6" t="str">
        <x:v>LOW</x:v>
      </x:c>
      <x:c r="M353" s="7" t="str">
        <x:v>2025-03-25 20:30:00-05:00</x:v>
      </x:c>
      <x:c r="N353" s="6" t="str">
        <x:v>75.0</x:v>
      </x:c>
      <x:c r="O353" s="6" t="str">
        <x:v>75-79</x:v>
      </x:c>
      <x:c r="P353" s="6" t="str">
        <x:v>Matching BOS only</x:v>
      </x:c>
      <x:c r="Q353" s="6" t="str">
        <x:v>Bear BOS</x:v>
      </x:c>
      <x:c r="R353" s="6" t="str">
        <x:v>True</x:v>
      </x:c>
      <x:c r="S353" s="6" t="str">
        <x:v>False</x:v>
      </x:c>
      <x:c r="T353" s="6" t="str">
        <x:v>Recent BSL</x:v>
      </x:c>
      <x:c r="U353" s="6" t="str">
        <x:v>BSL</x:v>
      </x:c>
      <x:c r="V353" s="6" t="str">
        <x:v>Swing high / buy-side</x:v>
      </x:c>
      <x:c r="W353" s="6" t="str">
        <x:v>[19078.5]</x:v>
      </x:c>
      <x:c r="X353" s="8" t="str">
        <x:v>1</x:v>
      </x:c>
      <x:c r="Y353" s="8" t="str">
        <x:v>10.0</x:v>
      </x:c>
      <x:c r="Z353" s="6" t="str">
        <x:v>None</x:v>
      </x:c>
      <x:c r="AA353" s="6" t="str">
        <x:v>19055.5</x:v>
      </x:c>
      <x:c r="AB353" s="9" t="str">
        <x:v>0.07458231351152783</x:v>
      </x:c>
      <x:c r="AC353" s="9" t="str">
        <x:v>0.33562041080187527</x:v>
      </x:c>
      <x:c r="AD353" s="9" t="str">
        <x:v>0.8204054486268062</x:v>
      </x:c>
      <x:c r="AE353" s="6" t="str">
        <x:v>With trade</x:v>
      </x:c>
      <x:c r="AF353" s="7" t="str">
        <x:v>2025-03-25 20:30:00-05:00</x:v>
      </x:c>
      <x:c r="AG353" s="6" t="str">
        <x:v>Short</x:v>
      </x:c>
      <x:c r="AH353" s="6" t="str">
        <x:v>19055.5</x:v>
      </x:c>
      <x:c r="AI353" s="8" t="str">
        <x:v>0</x:v>
      </x:c>
      <x:c r="AJ353" s="6" t="str">
        <x:v>True</x:v>
      </x:c>
      <x:c r="AK353" s="6" t="str">
        <x:v>Same-bar Setup+BOS</x:v>
      </x:c>
      <x:c r="AL353" s="9" t="str">
        <x:v>0.4102027243134031</x:v>
      </x:c>
      <x:c r="AM353" s="9" t="str">
        <x:v>0.07458231351152783</x:v>
      </x:c>
      <x:c r="AN353" s="9" t="str">
        <x:v>0.33562041080187527</x:v>
      </x:c>
      <x:c r="AO353" s="9" t="str">
        <x:v>0.8204054486268062</x:v>
      </x:c>
      <x:c r="AP353" s="10" t="str">
        <x:v>0.4090909090909091</x:v>
      </x:c>
      <x:c r="AQ353" s="6" t="str">
        <x:v>0.22727272727272727</x:v>
      </x:c>
      <x:c r="AR353" s="6" t="str">
        <x:v>0.36363636363636365</x:v>
      </x:c>
      <x:c r="AS353" s="6" t="str">
        <x:v>With trade</x:v>
      </x:c>
      <x:c r="AT353" s="6" t="str">
        <x:v>1.1405985319028797</x:v>
      </x:c>
      <x:c r="AU353" s="7" t="str">
        <x:v>2025-03-25 20:35:00-05:00</x:v>
      </x:c>
      <x:c r="AV353" s="8" t="str">
        <x:v>1</x:v>
      </x:c>
      <x:c r="AW353" s="6" t="str">
        <x:v>Immediate retest (1 bar)</x:v>
      </x:c>
      <x:c r="AX353" s="6" t="str">
        <x:v>19057.5</x:v>
      </x:c>
      <x:c r="AY353" s="6" t="str">
        <x:v>2.0</x:v>
      </x:c>
      <x:c r="AZ353" s="9" t="str">
        <x:v>0.30717911714556906</x:v>
      </x:c>
      <x:c r="BA353" s="9" t="str">
        <x:v>0.2687817275023729</x:v>
      </x:c>
      <x:c r="BB353" s="9" t="str">
        <x:v>0.6143582342911381</x:v>
      </x:c>
      <x:c r="BC353" s="9" t="str">
        <x:v>0.19198694821598064</x:v>
      </x:c>
      <x:c r="BD353" s="6" t="str">
        <x:v>0.625</x:v>
      </x:c>
      <x:c r="BE353" s="6" t="str">
        <x:v>0.0625</x:v>
      </x:c>
      <x:c r="BF353" s="9" t="str">
        <x:v>0.3839738964319613</x:v>
      </x:c>
      <x:c r="BG353" s="9" t="str">
        <x:v>0.03839738964319613</x:v>
      </x:c>
      <x:c r="BH353" s="6" t="str">
        <x:v>With trade</x:v>
      </x:c>
      <x:c r="BI353" s="6" t="str">
        <x:v>Penetration + same-bar reclaim</x:v>
      </x:c>
      <x:c r="BJ353" s="6" t="str">
        <x:v>False</x:v>
      </x:c>
      <x:c r="BK353" s="10" t="str">
        <x:v>True</x:v>
      </x:c>
      <x:c r="BL353" s="6" t="str">
        <x:v>True</x:v>
      </x:c>
      <x:c r="BM353" s="7" t="str">
        <x:v>2025-03-25 20:40:00-05:00</x:v>
      </x:c>
      <x:c r="BN353" s="8" t="str">
        <x:v>1</x:v>
      </x:c>
      <x:c r="BO353" s="6" t="str">
        <x:v>Immediate confirmation (1 bar)</x:v>
      </x:c>
      <x:c r="BP353" s="9" t="str">
        <x:v>0.0789700764081202</x:v>
      </x:c>
      <x:c r="BQ353" s="9" t="str">
        <x:v>0.6317606112649616</x:v>
      </x:c>
      <x:c r="BR353" s="10" t="str">
        <x:v>0.125</x:v>
      </x:c>
      <x:c r="BS353" s="9" t="str">
        <x:v>0.1974251910203005</x:v>
      </x:c>
      <x:c r="BT353" s="9" t="str">
        <x:v>-0.0789700764081202</x:v>
      </x:c>
      <x:c r="BU353" s="9" t="str">
        <x:v>0.1579401528162404</x:v>
      </x:c>
      <x:c r="BV353" s="6" t="str">
        <x:v>With trade</x:v>
      </x:c>
      <x:c r="BW353" s="7" t="str">
        <x:v>2025-03-25 20:40:00-05:00</x:v>
      </x:c>
      <x:c r="BX353" s="6" t="str">
        <x:v>19054.25</x:v>
      </x:c>
      <x:c r="BY353" s="9" t="str">
        <x:v>6.331512171977421</x:v>
      </x:c>
      <x:c r="BZ353" s="9" t="str">
        <x:v>0.0</x:v>
      </x:c>
      <x:c r="CA353" s="6" t="str">
        <x:v>19063.747268257965</x:v>
      </x:c>
      <x:c r="CB353" s="6" t="str">
        <x:v>9.497268257964606</x:v>
      </x:c>
      <x:c r="CC353" s="9" t="str">
        <x:v>1.499999999999759</x:v>
      </x:c>
      <x:c r="CD353" s="6" t="str">
        <x:v>19035.255463484067</x:v>
      </x:c>
      <x:c r="CE353" s="6" t="str">
        <x:v>18.99453651593285</x:v>
      </x:c>
      <x:c r="CF353" s="6" t="str">
        <x:v>Fixed 2.00R target</x:v>
      </x:c>
      <x:c r="CG353" s="9" t="str">
        <x:v>0.07633774052786178</x:v>
      </x:c>
      <x:c r="CH353" s="9" t="str">
        <x:v>2.0</x:v>
      </x:c>
      <x:c r="CI353" s="9" t="str">
        <x:v>1.9236622594721382</x:v>
      </x:c>
      <x:c r="CJ353" s="6" t="str">
        <x:v>Win</x:v>
      </x:c>
      <x:c r="CK353" s="9" t="str">
        <x:v>3.448360003155136</x:v>
      </x:c>
      <x:c r="CL353" s="9" t="str">
        <x:v>0.5527905348569302</x:v>
      </x:c>
      <x:c r="CM353" s="7" t="str">
        <x:v>2025-03-25 21:20:00-05:00</x:v>
      </x:c>
      <x:c r="CN353" s="6" t="str">
        <x:v>19035.255463484067</x:v>
      </x:c>
      <x:c r="CO353" s="6" t="str">
        <x:v>TARGET</x:v>
      </x:c>
      <x:c r="CP353" s="6" t="str">
        <x:v>F::Short::Same-bar Setup+BOS::Penetration + same-bar reclaim</x:v>
      </x:c>
    </x:row>
    <x:row r="354" ht="18" customHeight="1">
      <x:c r="A354" s="6" t="str">
        <x:v>A0353</x:v>
      </x:c>
      <x:c r="B354" s="6" t="str">
        <x:v>2025-03-27</x:v>
      </x:c>
      <x:c r="C354" s="6" t="str">
        <x:v>2025</x:v>
      </x:c>
      <x:c r="D354" s="6" t="str">
        <x:v>2025-Q1</x:v>
      </x:c>
      <x:c r="E354" s="6" t="str">
        <x:v>Second 50%</x:v>
      </x:c>
      <x:c r="F354" s="6" t="str">
        <x:v>Short</x:v>
      </x:c>
      <x:c r="G354" s="6" t="str">
        <x:v>Short</x:v>
      </x:c>
      <x:c r="H354" s="6" t="str">
        <x:v>Premarket</x:v>
      </x:c>
      <x:c r="I354" s="6" t="str">
        <x:v>Premarket</x:v>
      </x:c>
      <x:c r="J354" s="6" t="str">
        <x:v>Bear</x:v>
      </x:c>
      <x:c r="K354" s="6" t="str">
        <x:v>Bear</x:v>
      </x:c>
      <x:c r="L354" s="6" t="str">
        <x:v>HIGH</x:v>
      </x:c>
      <x:c r="M354" s="7" t="str">
        <x:v>2025-03-27 08:20:00-05:00</x:v>
      </x:c>
      <x:c r="N354" s="6" t="str">
        <x:v>90.0</x:v>
      </x:c>
      <x:c r="O354" s="6" t="str">
        <x:v>90-94</x:v>
      </x:c>
      <x:c r="P354" s="6" t="str">
        <x:v>Matching BOS only</x:v>
      </x:c>
      <x:c r="Q354" s="6" t="str">
        <x:v>Bear BOS</x:v>
      </x:c>
      <x:c r="R354" s="6" t="str">
        <x:v>True</x:v>
      </x:c>
      <x:c r="S354" s="6" t="str">
        <x:v>False</x:v>
      </x:c>
      <x:c r="T354" s="6" t="str">
        <x:v>Recent BSL</x:v>
      </x:c>
      <x:c r="U354" s="6" t="str">
        <x:v>BSL</x:v>
      </x:c>
      <x:c r="V354" s="6" t="str">
        <x:v>Swing high / buy-side</x:v>
      </x:c>
      <x:c r="W354" s="6" t="str">
        <x:v>[18639.25]</x:v>
      </x:c>
      <x:c r="X354" s="8" t="str">
        <x:v>1</x:v>
      </x:c>
      <x:c r="Y354" s="8" t="str">
        <x:v>10.0</x:v>
      </x:c>
      <x:c r="Z354" s="6" t="str">
        <x:v>None</x:v>
      </x:c>
      <x:c r="AA354" s="6" t="str">
        <x:v>18594.0</x:v>
      </x:c>
      <x:c r="AB354" s="9" t="str">
        <x:v>0.7717144023701847</x:v>
      </x:c>
      <x:c r="AC354" s="9" t="str">
        <x:v>0.810300122488694</x:v>
      </x:c>
      <x:c r="AD354" s="9" t="str">
        <x:v>0.861747749313373</x:v>
      </x:c>
      <x:c r="AE354" s="6" t="str">
        <x:v>With trade</x:v>
      </x:c>
      <x:c r="AF354" s="7" t="str">
        <x:v>2025-03-27 08:20:00-05:00</x:v>
      </x:c>
      <x:c r="AG354" s="6" t="str">
        <x:v>Short</x:v>
      </x:c>
      <x:c r="AH354" s="6" t="str">
        <x:v>18594.0</x:v>
      </x:c>
      <x:c r="AI354" s="8" t="str">
        <x:v>0</x:v>
      </x:c>
      <x:c r="AJ354" s="6" t="str">
        <x:v>True</x:v>
      </x:c>
      <x:c r="AK354" s="6" t="str">
        <x:v>Same-bar Setup+BOS</x:v>
      </x:c>
      <x:c r="AL354" s="9" t="str">
        <x:v>0.810300122488694</x:v>
      </x:c>
      <x:c r="AM354" s="9" t="str">
        <x:v>0.7717144023701847</x:v>
      </x:c>
      <x:c r="AN354" s="9" t="str">
        <x:v>0.810300122488694</x:v>
      </x:c>
      <x:c r="AO354" s="9" t="str">
        <x:v>0.861747749313373</x:v>
      </x:c>
      <x:c r="AP354" s="10" t="str">
        <x:v>0.9402985074626866</x:v>
      </x:c>
      <x:c r="AQ354" s="6" t="str">
        <x:v>0.0</x:v>
      </x:c>
      <x:c r="AR354" s="6" t="str">
        <x:v>0.05970149253731343</x:v>
      </x:c>
      <x:c r="AS354" s="6" t="str">
        <x:v>With trade</x:v>
      </x:c>
      <x:c r="AT354" s="6" t="str">
        <x:v>1.3372509674645263</x:v>
      </x:c>
      <x:c r="AU354" s="7" t="str">
        <x:v>2025-03-27 08:30:00-05:00</x:v>
      </x:c>
      <x:c r="AV354" s="8" t="str">
        <x:v>2</x:v>
      </x:c>
      <x:c r="AW354" s="6" t="str">
        <x:v>Delayed retest (2+ bars)</x:v>
      </x:c>
      <x:c r="AX354" s="6" t="str">
        <x:v>18616.75</x:v>
      </x:c>
      <x:c r="AY354" s="6" t="str">
        <x:v>22.75</x:v>
      </x:c>
      <x:c r="AZ354" s="9" t="str">
        <x:v>0.9013736723991927</x:v>
      </x:c>
      <x:c r="BA354" s="9" t="str">
        <x:v>2.0899982953431833</x:v>
      </x:c>
      <x:c r="BB354" s="9" t="str">
        <x:v>3.7837883830383694</x:v>
      </x:c>
      <x:c r="BC354" s="9" t="str">
        <x:v>1.2579610592823898</x:v>
      </x:c>
      <x:c r="BD354" s="6" t="str">
        <x:v>0.4581151832460733</x:v>
      </x:c>
      <x:c r="BE354" s="6" t="str">
        <x:v>0.2094240837696335</x:v>
      </x:c>
      <x:c r="BF354" s="9" t="str">
        <x:v>1.733410908459986</x:v>
      </x:c>
      <x:c r="BG354" s="9" t="str">
        <x:v>0.7924164152959936</x:v>
      </x:c>
      <x:c r="BH354" s="6" t="str">
        <x:v>With trade</x:v>
      </x:c>
      <x:c r="BI354" s="6" t="str">
        <x:v>Penetration + same-bar reclaim</x:v>
      </x:c>
      <x:c r="BJ354" s="6" t="str">
        <x:v>False</x:v>
      </x:c>
      <x:c r="BK354" s="10" t="str">
        <x:v>True</x:v>
      </x:c>
      <x:c r="BL354" s="6" t="str">
        <x:v>True</x:v>
      </x:c>
      <x:c r="BM354" s="7" t="str">
        <x:v>2025-03-27 08:35:00-05:00</x:v>
      </x:c>
      <x:c r="BN354" s="8" t="str">
        <x:v>1</x:v>
      </x:c>
      <x:c r="BO354" s="6" t="str">
        <x:v>Immediate confirmation (1 bar)</x:v>
      </x:c>
      <x:c r="BP354" s="9" t="str">
        <x:v>1.6582538801215085</x:v>
      </x:c>
      <x:c r="BQ354" s="9" t="str">
        <x:v>2.171952092985237</x:v>
      </x:c>
      <x:c r="BR354" s="10" t="str">
        <x:v>0.7634854771784232</x:v>
      </x:c>
      <x:c r="BS354" s="9" t="str">
        <x:v>3.541813993955179</x:v>
      </x:c>
      <x:c r="BT354" s="9" t="str">
        <x:v>1.6402293814245357</x:v>
      </x:c>
      <x:c r="BU354" s="9" t="str">
        <x:v>0.2613552311061073</x:v>
      </x:c>
      <x:c r="BV354" s="6" t="str">
        <x:v>With trade</x:v>
      </x:c>
      <x:c r="BW354" s="7" t="str">
        <x:v>2025-03-27 08:35:00-05:00</x:v>
      </x:c>
      <x:c r="BX354" s="6" t="str">
        <x:v>18495.75</x:v>
      </x:c>
      <x:c r="BY354" s="9" t="str">
        <x:v>27.740022532996786</x:v>
      </x:c>
      <x:c r="BZ354" s="9" t="str">
        <x:v>1.0</x:v>
      </x:c>
      <x:c r="CA354" s="6" t="str">
        <x:v>18537.360033799494</x:v>
      </x:c>
      <x:c r="CB354" s="6" t="str">
        <x:v>41.610033799493976</x:v>
      </x:c>
      <x:c r="CC354" s="9" t="str">
        <x:v>1.4999999999999567</x:v>
      </x:c>
      <x:c r="CD354" s="6" t="str">
        <x:v>18412.52993240101</x:v>
      </x:c>
      <x:c r="CE354" s="6" t="str">
        <x:v>83.22006759899159</x:v>
      </x:c>
      <x:c r="CF354" s="6" t="str">
        <x:v>Fixed 2.00R target</x:v>
      </x:c>
      <x:c r="CG354" s="9" t="str">
        <x:v>0.017423682073740992</x:v>
      </x:c>
      <x:c r="CH354" s="9" t="str">
        <x:v>-1.0</x:v>
      </x:c>
      <x:c r="CI354" s="9" t="str">
        <x:v>-1.017423682073741</x:v>
      </x:c>
      <x:c r="CJ354" s="6" t="str">
        <x:v>Loss</x:v>
      </x:c>
      <x:c r="CK354" s="9" t="str">
        <x:v>0.3364573090101709</x:v>
      </x:c>
      <x:c r="CL354" s="9" t="str">
        <x:v>1.7664008723033973</x:v>
      </x:c>
      <x:c r="CM354" s="7" t="str">
        <x:v>2025-03-27 08:45:00-05:00</x:v>
      </x:c>
      <x:c r="CN354" s="6" t="str">
        <x:v>18537.360033799494</x:v>
      </x:c>
      <x:c r="CO354" s="6" t="str">
        <x:v>STOP</x:v>
      </x:c>
      <x:c r="CP354" s="6" t="str">
        <x:v>F::Short::Same-bar Setup+BOS::Penetration + same-bar reclaim</x:v>
      </x:c>
    </x:row>
    <x:row r="355" ht="18" customHeight="1">
      <x:c r="A355" s="6" t="str">
        <x:v>A0354</x:v>
      </x:c>
      <x:c r="B355" s="6" t="str">
        <x:v>2025-03-27</x:v>
      </x:c>
      <x:c r="C355" s="6" t="str">
        <x:v>2025</x:v>
      </x:c>
      <x:c r="D355" s="6" t="str">
        <x:v>2025-Q1</x:v>
      </x:c>
      <x:c r="E355" s="6" t="str">
        <x:v>Second 50%</x:v>
      </x:c>
      <x:c r="F355" s="6" t="str">
        <x:v>Long</x:v>
      </x:c>
      <x:c r="G355" s="6" t="str">
        <x:v>Long</x:v>
      </x:c>
      <x:c r="H355" s="6" t="str">
        <x:v>Opening</x:v>
      </x:c>
      <x:c r="I355" s="6" t="str">
        <x:v>Premarket</x:v>
      </x:c>
      <x:c r="J355" s="6" t="str">
        <x:v>Bear</x:v>
      </x:c>
      <x:c r="K355" s="6" t="str">
        <x:v>Bear</x:v>
      </x:c>
      <x:c r="L355" s="6" t="str">
        <x:v>HIGH</x:v>
      </x:c>
      <x:c r="M355" s="7" t="str">
        <x:v>2025-03-27 09:25:00-05:00</x:v>
      </x:c>
      <x:c r="N355" s="6" t="str">
        <x:v>90.0</x:v>
      </x:c>
      <x:c r="O355" s="6" t="str">
        <x:v>90-94</x:v>
      </x:c>
      <x:c r="P355" s="6" t="str">
        <x:v>Matching BOS only</x:v>
      </x:c>
      <x:c r="Q355" s="6" t="str">
        <x:v>Bull CHoCH</x:v>
      </x:c>
      <x:c r="R355" s="6" t="str">
        <x:v>True</x:v>
      </x:c>
      <x:c r="S355" s="6" t="str">
        <x:v>False</x:v>
      </x:c>
      <x:c r="T355" s="6" t="str">
        <x:v>Recent SSL</x:v>
      </x:c>
      <x:c r="U355" s="6" t="str">
        <x:v>SSL</x:v>
      </x:c>
      <x:c r="V355" s="6" t="str">
        <x:v>Swing low / sell-side</x:v>
      </x:c>
      <x:c r="W355" s="6" t="str">
        <x:v>[18557.0,18564.5]</x:v>
      </x:c>
      <x:c r="X355" s="8" t="str">
        <x:v>2</x:v>
      </x:c>
      <x:c r="Y355" s="8" t="str">
        <x:v>12.0</x:v>
      </x:c>
      <x:c r="Z355" s="6" t="str">
        <x:v>None</x:v>
      </x:c>
      <x:c r="AA355" s="6" t="str">
        <x:v>18649.75</x:v>
      </x:c>
      <x:c r="AB355" s="9" t="str">
        <x:v>0.38297220235990914</x:v>
      </x:c>
      <x:c r="AC355" s="9" t="str">
        <x:v>1.3465796792654872</x:v>
      </x:c>
      <x:c r="AD355" s="9" t="str">
        <x:v>1.5257118384338317</x:v>
      </x:c>
      <x:c r="AE355" s="6" t="str">
        <x:v>With trade</x:v>
      </x:c>
      <x:c r="AF355" s="7" t="str">
        <x:v>2025-03-27 09:25:00-05:00</x:v>
      </x:c>
      <x:c r="AG355" s="6" t="str">
        <x:v>Long</x:v>
      </x:c>
      <x:c r="AH355" s="6" t="str">
        <x:v>18649.75</x:v>
      </x:c>
      <x:c r="AI355" s="8" t="str">
        <x:v>0</x:v>
      </x:c>
      <x:c r="AJ355" s="6" t="str">
        <x:v>True</x:v>
      </x:c>
      <x:c r="AK355" s="6" t="str">
        <x:v>Same-bar Setup+BOS</x:v>
      </x:c>
      <x:c r="AL355" s="9" t="str">
        <x:v>1.352756650271292</x:v>
      </x:c>
      <x:c r="AM355" s="9" t="str">
        <x:v>0.38297220235990914</x:v>
      </x:c>
      <x:c r="AN355" s="9" t="str">
        <x:v>1.3465796792654872</x:v>
      </x:c>
      <x:c r="AO355" s="9" t="str">
        <x:v>1.5257118384338317</x:v>
      </x:c>
      <x:c r="AP355" s="10" t="str">
        <x:v>0.8825910931174089</x:v>
      </x:c>
      <x:c r="AQ355" s="6" t="str">
        <x:v>0.020242914979757085</x:v>
      </x:c>
      <x:c r="AR355" s="6" t="str">
        <x:v>0.09716599190283401</x:v>
      </x:c>
      <x:c r="AS355" s="6" t="str">
        <x:v>With trade</x:v>
      </x:c>
      <x:c r="AT355" s="6" t="str">
        <x:v>1.1448446937014667</x:v>
      </x:c>
      <x:c r="AU355" s="7" t="str">
        <x:v>2025-03-27 09:30:00-05:00</x:v>
      </x:c>
      <x:c r="AV355" s="8" t="str">
        <x:v>1</x:v>
      </x:c>
      <x:c r="AW355" s="6" t="str">
        <x:v>Immediate retest (1 bar)</x:v>
      </x:c>
      <x:c r="AX355" s="6" t="str">
        <x:v>18651.0</x:v>
      </x:c>
      <x:c r="AY355" s="6" t="str">
        <x:v>0.0</x:v>
      </x:c>
      <x:c r="AZ355" s="9" t="str">
        <x:v>0.0</x:v>
      </x:c>
      <x:c r="BA355" s="9" t="str">
        <x:v>0.5895160170537707</x:v>
      </x:c>
      <x:c r="BB355" s="9" t="str">
        <x:v>0.6592437179956145</x:v>
      </x:c>
      <x:c r="BC355" s="9" t="str">
        <x:v>0.20284422092172755</x:v>
      </x:c>
      <x:c r="BD355" s="6" t="str">
        <x:v>0.15384615384615385</x:v>
      </x:c>
      <x:c r="BE355" s="6" t="str">
        <x:v>0.5384615384615384</x:v>
      </x:c>
      <x:c r="BF355" s="9" t="str">
        <x:v>0.3549773866130232</x:v>
      </x:c>
      <x:c r="BG355" s="9" t="str">
        <x:v>0.10142211046086377</x:v>
      </x:c>
      <x:c r="BH355" s="6" t="str">
        <x:v>With trade</x:v>
      </x:c>
      <x:c r="BI355" s="6" t="str">
        <x:v>Tolerance-only shallow touch</x:v>
      </x:c>
      <x:c r="BJ355" s="6" t="str">
        <x:v>True</x:v>
      </x:c>
      <x:c r="BK355" s="10" t="str">
        <x:v>False</x:v>
      </x:c>
      <x:c r="BL355" s="6" t="str">
        <x:v>True</x:v>
      </x:c>
      <x:c r="BM355" s="7" t="str">
        <x:v>2025-03-27 09:35:00-05:00</x:v>
      </x:c>
      <x:c r="BN355" s="8" t="str">
        <x:v>1</x:v>
      </x:c>
      <x:c r="BO355" s="6" t="str">
        <x:v>Immediate confirmation (1 bar)</x:v>
      </x:c>
      <x:c r="BP355" s="9" t="str">
        <x:v>0.5781397990760366</x:v>
      </x:c>
      <x:c r="BQ355" s="9" t="str">
        <x:v>1.1122907003962879</x:v>
      </x:c>
      <x:c r="BR355" s="10" t="str">
        <x:v>0.519774011299435</x:v>
      </x:c>
      <x:c r="BS355" s="9" t="str">
        <x:v>1.1688478546537262</x:v>
      </x:c>
      <x:c r="BT355" s="9" t="str">
        <x:v>0.5844239273268631</x:v>
      </x:c>
      <x:c r="BU355" s="9" t="str">
        <x:v>0.10683018026405025</x:v>
      </x:c>
      <x:c r="BV355" s="6" t="str">
        <x:v>With trade</x:v>
      </x:c>
      <x:c r="BW355" s="7" t="str">
        <x:v>2025-03-27 09:35:00-05:00</x:v>
      </x:c>
      <x:c r="BX355" s="6" t="str">
        <x:v>18696.25</x:v>
      </x:c>
      <x:c r="BY355" s="9" t="str">
        <x:v>39.78276540857041</x:v>
      </x:c>
      <x:c r="BZ355" s="9" t="str">
        <x:v>0.99</x:v>
      </x:c>
      <x:c r="CA355" s="6" t="str">
        <x:v>18636.575851887144</x:v>
      </x:c>
      <x:c r="CB355" s="6" t="str">
        <x:v>59.67414811285562</x:v>
      </x:c>
      <x:c r="CC355" s="9" t="str">
        <x:v>1.5</x:v>
      </x:c>
      <x:c r="CD355" s="6" t="str">
        <x:v>18815.59829622571</x:v>
      </x:c>
      <x:c r="CE355" s="6" t="str">
        <x:v>119.34829622571124</x:v>
      </x:c>
      <x:c r="CF355" s="6" t="str">
        <x:v>Fixed 2.00R target</x:v>
      </x:c>
      <x:c r="CG355" s="9" t="str">
        <x:v>0.012149314618264538</x:v>
      </x:c>
      <x:c r="CH355" s="9" t="str">
        <x:v>-1.0</x:v>
      </x:c>
      <x:c r="CI355" s="9" t="str">
        <x:v>-1.0121493146182645</x:v>
      </x:c>
      <x:c r="CJ355" s="6" t="str">
        <x:v>Loss</x:v>
      </x:c>
      <x:c r="CK355" s="9" t="str">
        <x:v>0.8001789972719058</x:v>
      </x:c>
      <x:c r="CL355" s="9" t="str">
        <x:v>1.0138393578000062</x:v>
      </x:c>
      <x:c r="CM355" s="7" t="str">
        <x:v>2025-03-27 10:30:00-05:00</x:v>
      </x:c>
      <x:c r="CN355" s="6" t="str">
        <x:v>18636.575851887144</x:v>
      </x:c>
      <x:c r="CO355" s="6" t="str">
        <x:v>STOP</x:v>
      </x:c>
      <x:c r="CP355" s="6" t="str">
        <x:v>F::Long::Same-bar Setup+BOS::Tolerance-only shallow touch</x:v>
      </x:c>
    </x:row>
    <x:row r="356" ht="18" customHeight="1">
      <x:c r="A356" s="6" t="str">
        <x:v>A0355</x:v>
      </x:c>
      <x:c r="B356" s="6" t="str">
        <x:v>2025-03-28</x:v>
      </x:c>
      <x:c r="C356" s="6" t="str">
        <x:v>2025</x:v>
      </x:c>
      <x:c r="D356" s="6" t="str">
        <x:v>2025-Q1</x:v>
      </x:c>
      <x:c r="E356" s="6" t="str">
        <x:v>Second 50%</x:v>
      </x:c>
      <x:c r="F356" s="6" t="str">
        <x:v>Short</x:v>
      </x:c>
      <x:c r="G356" s="6" t="str">
        <x:v>Short</x:v>
      </x:c>
      <x:c r="H356" s="6" t="str">
        <x:v>Premarket</x:v>
      </x:c>
      <x:c r="I356" s="6" t="str">
        <x:v>Premarket</x:v>
      </x:c>
      <x:c r="J356" s="6" t="str">
        <x:v>Bear</x:v>
      </x:c>
      <x:c r="K356" s="6" t="str">
        <x:v>Bear</x:v>
      </x:c>
      <x:c r="L356" s="6" t="str">
        <x:v>HIGH</x:v>
      </x:c>
      <x:c r="M356" s="7" t="str">
        <x:v>2025-03-28 08:15:00-05:00</x:v>
      </x:c>
      <x:c r="N356" s="6" t="str">
        <x:v>75.0</x:v>
      </x:c>
      <x:c r="O356" s="6" t="str">
        <x:v>75-79</x:v>
      </x:c>
      <x:c r="P356" s="6" t="str">
        <x:v>Matching liquidity sweep only</x:v>
      </x:c>
      <x:c r="Q356" s="6" t="str">
        <x:v>Recent bear structure</x:v>
      </x:c>
      <x:c r="R356" s="6" t="str">
        <x:v>False</x:v>
      </x:c>
      <x:c r="S356" s="6" t="str">
        <x:v>True</x:v>
      </x:c>
      <x:c r="T356" s="6" t="str">
        <x:v>Recent BSL</x:v>
      </x:c>
      <x:c r="U356" s="6" t="str">
        <x:v>BSL</x:v>
      </x:c>
      <x:c r="V356" s="6" t="str">
        <x:v>Swing high / buy-side</x:v>
      </x:c>
      <x:c r="W356" s="6" t="str">
        <x:v>[18499.75]</x:v>
      </x:c>
      <x:c r="X356" s="8" t="str">
        <x:v>1</x:v>
      </x:c>
      <x:c r="Y356" s="8" t="str">
        <x:v>0.0</x:v>
      </x:c>
      <x:c r="Z356" s="6" t="str">
        <x:v>None</x:v>
      </x:c>
      <x:c r="AA356" s="6" t="str">
        <x:v>18453.25</x:v>
      </x:c>
      <x:c r="AB356" s="9" t="str">
        <x:v>-1.6058751018058568</x:v>
      </x:c>
      <x:c r="AC356" s="9" t="str">
        <x:v>0.4450015342353579</x:v>
      </x:c>
      <x:c r="AD356" s="9" t="str">
        <x:v>1.093155942795553</x:v>
      </x:c>
      <x:c r="AE356" s="6" t="str">
        <x:v>Against trade</x:v>
      </x:c>
      <x:c r="AF356" s="7" t="str">
        <x:v>2025-03-28 09:00:00-05:00</x:v>
      </x:c>
      <x:c r="AG356" s="6" t="str">
        <x:v>Short</x:v>
      </x:c>
      <x:c r="AH356" s="6" t="str">
        <x:v>18384.5</x:v>
      </x:c>
      <x:c r="AI356" s="8" t="str">
        <x:v>9</x:v>
      </x:c>
      <x:c r="AJ356" s="6" t="str">
        <x:v>False</x:v>
      </x:c>
      <x:c r="AK356" s="6" t="str">
        <x:v>Delayed BOS</x:v>
      </x:c>
      <x:c r="AL356" s="9" t="str">
        <x:v>0.4162627643027309</x:v>
      </x:c>
      <x:c r="AM356" s="9" t="str">
        <x:v>0.012614023160688817</x:v>
      </x:c>
      <x:c r="AN356" s="9" t="str">
        <x:v>0.42887678746341973</x:v>
      </x:c>
      <x:c r="AO356" s="9" t="str">
        <x:v>1.6398230108895462</x:v>
      </x:c>
      <x:c r="AP356" s="10" t="str">
        <x:v>0.26153846153846155</x:v>
      </x:c>
      <x:c r="AQ356" s="6" t="str">
        <x:v>0.34615384615384615</x:v>
      </x:c>
      <x:c r="AR356" s="6" t="str">
        <x:v>0.3923076923076923</x:v>
      </x:c>
      <x:c r="AS356" s="6" t="str">
        <x:v>With trade</x:v>
      </x:c>
      <x:c r="AT356" s="6" t="str">
        <x:v>2.3717364396127385</x:v>
      </x:c>
      <x:c r="AU356" s="7" t="str">
        <x:v>2025-03-28 09:05:00-05:00</x:v>
      </x:c>
      <x:c r="AV356" s="8" t="str">
        <x:v>1</x:v>
      </x:c>
      <x:c r="AW356" s="6" t="str">
        <x:v>Immediate retest (1 bar)</x:v>
      </x:c>
      <x:c r="AX356" s="6" t="str">
        <x:v>18388.25</x:v>
      </x:c>
      <x:c r="AY356" s="6" t="str">
        <x:v>3.75</x:v>
      </x:c>
      <x:c r="AZ356" s="9" t="str">
        <x:v>0.08553281459436582</x:v>
      </x:c>
      <x:c r="BA356" s="9" t="str">
        <x:v>1.8589131705175506</x:v>
      </x:c>
      <x:c r="BB356" s="9" t="str">
        <x:v>2.246661930012009</x:v>
      </x:c>
      <x:c r="BC356" s="9" t="str">
        <x:v>1.8532109828779262</x:v>
      </x:c>
      <x:c r="BD356" s="6" t="str">
        <x:v>0.04060913705583756</x:v>
      </x:c>
      <x:c r="BE356" s="6" t="str">
        <x:v>0.13451776649746192</x:v>
      </x:c>
      <x:c r="BF356" s="9" t="str">
        <x:v>0.09123500223399021</x:v>
      </x:c>
      <x:c r="BG356" s="9" t="str">
        <x:v>0.30221594490009257</x:v>
      </x:c>
      <x:c r="BH356" s="6" t="str">
        <x:v>With trade</x:v>
      </x:c>
      <x:c r="BI356" s="6" t="str">
        <x:v>Penetration + same-bar reclaim</x:v>
      </x:c>
      <x:c r="BJ356" s="6" t="str">
        <x:v>False</x:v>
      </x:c>
      <x:c r="BK356" s="10" t="str">
        <x:v>True</x:v>
      </x:c>
      <x:c r="BL356" s="6" t="str">
        <x:v>True</x:v>
      </x:c>
      <x:c r="BM356" s="7" t="str">
        <x:v>2025-03-28 09:10:00-05:00</x:v>
      </x:c>
      <x:c r="BN356" s="8" t="str">
        <x:v>1</x:v>
      </x:c>
      <x:c r="BO356" s="6" t="str">
        <x:v>Immediate confirmation (1 bar)</x:v>
      </x:c>
      <x:c r="BP356" s="9" t="str">
        <x:v>0.8871128213180017</x:v>
      </x:c>
      <x:c r="BQ356" s="9" t="str">
        <x:v>1.4381145736894314</x:v>
      </x:c>
      <x:c r="BR356" s="10" t="str">
        <x:v>0.6168582375478927</x:v>
      </x:c>
      <x:c r="BS356" s="9" t="str">
        <x:v>2.688888551572577</x:v>
      </x:c>
      <x:c r="BT356" s="9" t="str">
        <x:v>0.8926228388417161</x:v>
      </x:c>
      <x:c r="BU356" s="9" t="str">
        <x:v>0.1708105432351432</x:v>
      </x:c>
      <x:c r="BV356" s="6" t="str">
        <x:v>With trade</x:v>
      </x:c>
      <x:c r="BW356" s="7" t="str">
        <x:v>2025-03-28 09:10:00-05:00</x:v>
      </x:c>
      <x:c r="BX356" s="6" t="str">
        <x:v>18262.5</x:v>
      </x:c>
      <x:c r="BY356" s="9" t="str">
        <x:v>45.371906518270976</x:v>
      </x:c>
      <x:c r="BZ356" s="9" t="str">
        <x:v>1.0</x:v>
      </x:c>
      <x:c r="CA356" s="6" t="str">
        <x:v>18330.557859777407</x:v>
      </x:c>
      <x:c r="CB356" s="6" t="str">
        <x:v>68.05785977740743</x:v>
      </x:c>
      <x:c r="CC356" s="9" t="str">
        <x:v>1.5000000000000213</x:v>
      </x:c>
      <x:c r="CD356" s="6" t="str">
        <x:v>18126.38428044519</x:v>
      </x:c>
      <x:c r="CE356" s="6" t="str">
        <x:v>136.11571955481122</x:v>
      </x:c>
      <x:c r="CF356" s="6" t="str">
        <x:v>Fixed 2.00R target</x:v>
      </x:c>
      <x:c r="CG356" s="9" t="str">
        <x:v>0.01065270054584749</x:v>
      </x:c>
      <x:c r="CH356" s="9" t="str">
        <x:v>2.0</x:v>
      </x:c>
      <x:c r="CI356" s="9" t="str">
        <x:v>1.9893472994541526</x:v>
      </x:c>
      <x:c r="CJ356" s="6" t="str">
        <x:v>Win</x:v>
      </x:c>
      <x:c r="CK356" s="9" t="str">
        <x:v>2.0901333139955938</x:v>
      </x:c>
      <x:c r="CL356" s="9" t="str">
        <x:v>0.05877352025295166</x:v>
      </x:c>
      <x:c r="CM356" s="7" t="str">
        <x:v>2025-03-28 09:55:00-05:00</x:v>
      </x:c>
      <x:c r="CN356" s="6" t="str">
        <x:v>18126.38428044519</x:v>
      </x:c>
      <x:c r="CO356" s="6" t="str">
        <x:v>TARGET</x:v>
      </x:c>
      <x:c r="CP356" s="6" t="str">
        <x:v>F::Short::Delayed BOS::Penetration + same-bar reclaim</x:v>
      </x:c>
    </x:row>
    <x:row r="357" ht="18" customHeight="1">
      <x:c r="A357" s="6" t="str">
        <x:v>A0356</x:v>
      </x:c>
      <x:c r="B357" s="6" t="str">
        <x:v>2025-03-28</x:v>
      </x:c>
      <x:c r="C357" s="6" t="str">
        <x:v>2025</x:v>
      </x:c>
      <x:c r="D357" s="6" t="str">
        <x:v>2025-Q1</x:v>
      </x:c>
      <x:c r="E357" s="6" t="str">
        <x:v>Second 50%</x:v>
      </x:c>
      <x:c r="F357" s="6" t="str">
        <x:v>Short</x:v>
      </x:c>
      <x:c r="G357" s="6" t="str">
        <x:v>Short</x:v>
      </x:c>
      <x:c r="H357" s="6" t="str">
        <x:v>Afternoon</x:v>
      </x:c>
      <x:c r="I357" s="6" t="str">
        <x:v>Afternoon</x:v>
      </x:c>
      <x:c r="J357" s="6" t="str">
        <x:v>Bear</x:v>
      </x:c>
      <x:c r="K357" s="6" t="str">
        <x:v>Bear</x:v>
      </x:c>
      <x:c r="L357" s="6" t="str">
        <x:v>LOW</x:v>
      </x:c>
      <x:c r="M357" s="7" t="str">
        <x:v>2025-03-28 14:30:00-05:00</x:v>
      </x:c>
      <x:c r="N357" s="6" t="str">
        <x:v>75.0</x:v>
      </x:c>
      <x:c r="O357" s="6" t="str">
        <x:v>75-79</x:v>
      </x:c>
      <x:c r="P357" s="6" t="str">
        <x:v>Matching BOS only</x:v>
      </x:c>
      <x:c r="Q357" s="6" t="str">
        <x:v>Bear BOS</x:v>
      </x:c>
      <x:c r="R357" s="6" t="str">
        <x:v>True</x:v>
      </x:c>
      <x:c r="S357" s="6" t="str">
        <x:v>False</x:v>
      </x:c>
      <x:c r="T357" s="6" t="str">
        <x:v>No recent matching sweep</x:v>
      </x:c>
      <x:c r="U357" s="6" t="str">
        <x:v>None</x:v>
      </x:c>
      <x:c r="V357" s="6" t="str">
        <x:v>None</x:v>
      </x:c>
      <x:c r="W357" s="6" t="str">
        <x:v>[]</x:v>
      </x:c>
      <x:c r="X357" s="8" t="str">
        <x:v>0</x:v>
      </x:c>
      <x:c r="Y357" s="8" t="str"/>
      <x:c r="Z357" s="6" t="str">
        <x:v>None</x:v>
      </x:c>
      <x:c r="AA357" s="6" t="str">
        <x:v>17988.75</x:v>
      </x:c>
      <x:c r="AB357" s="9" t="str">
        <x:v>0.6586101066287555</x:v>
      </x:c>
      <x:c r="AC357" s="9" t="str">
        <x:v>1.2313145471754996</x:v>
      </x:c>
      <x:c r="AD357" s="9" t="str">
        <x:v>1.4890315454215344</x:v>
      </x:c>
      <x:c r="AE357" s="6" t="str">
        <x:v>With trade</x:v>
      </x:c>
      <x:c r="AF357" s="7" t="str">
        <x:v>2025-03-28 14:30:00-05:00</x:v>
      </x:c>
      <x:c r="AG357" s="6" t="str">
        <x:v>Short</x:v>
      </x:c>
      <x:c r="AH357" s="6" t="str">
        <x:v>17988.75</x:v>
      </x:c>
      <x:c r="AI357" s="8" t="str">
        <x:v>0</x:v>
      </x:c>
      <x:c r="AJ357" s="6" t="str">
        <x:v>True</x:v>
      </x:c>
      <x:c r="AK357" s="6" t="str">
        <x:v>Same-bar Setup+BOS</x:v>
      </x:c>
      <x:c r="AL357" s="9" t="str">
        <x:v>1.221769473166387</x:v>
      </x:c>
      <x:c r="AM357" s="9" t="str">
        <x:v>0.6586101066287555</x:v>
      </x:c>
      <x:c r="AN357" s="9" t="str">
        <x:v>1.2313145471754996</x:v>
      </x:c>
      <x:c r="AO357" s="9" t="str">
        <x:v>1.4890315454215344</x:v>
      </x:c>
      <x:c r="AP357" s="10" t="str">
        <x:v>0.8269230769230769</x:v>
      </x:c>
      <x:c r="AQ357" s="6" t="str">
        <x:v>0.16025641025641027</x:v>
      </x:c>
      <x:c r="AR357" s="6" t="str">
        <x:v>0.01282051282051282</x:v>
      </x:c>
      <x:c r="AS357" s="6" t="str">
        <x:v>With trade</x:v>
      </x:c>
      <x:c r="AT357" s="6" t="str">
        <x:v>1.6621461682611698</x:v>
      </x:c>
      <x:c r="AU357" s="7" t="str">
        <x:v>2025-03-28 14:35:00-05:00</x:v>
      </x:c>
      <x:c r="AV357" s="8" t="str">
        <x:v>1</x:v>
      </x:c>
      <x:c r="AW357" s="6" t="str">
        <x:v>Immediate retest (1 bar)</x:v>
      </x:c>
      <x:c r="AX357" s="6" t="str">
        <x:v>17992.25</x:v>
      </x:c>
      <x:c r="AY357" s="6" t="str">
        <x:v>3.5</x:v>
      </x:c>
      <x:c r="AZ357" s="9" t="str">
        <x:v>0.13360972756191314</x:v>
      </x:c>
      <x:c r="BA357" s="9" t="str">
        <x:v>0.09543551968708082</x:v>
      </x:c>
      <x:c r="BB357" s="9" t="str">
        <x:v>1.0020729567143485</x:v>
      </x:c>
      <x:c r="BC357" s="9" t="str">
        <x:v>0.5344389102476526</x:v>
      </x:c>
      <x:c r="BD357" s="6" t="str">
        <x:v>0.22857142857142856</x:v>
      </x:c>
      <x:c r="BE357" s="6" t="str">
        <x:v>0.23809523809523808</x:v>
      </x:c>
      <x:c r="BF357" s="9" t="str">
        <x:v>0.22904524724899394</x:v>
      </x:c>
      <x:c r="BG357" s="9" t="str">
        <x:v>0.23858879921770204</x:v>
      </x:c>
      <x:c r="BH357" s="6" t="str">
        <x:v>Against trade</x:v>
      </x:c>
      <x:c r="BI357" s="6" t="str">
        <x:v>Penetration + same-bar reclaim</x:v>
      </x:c>
      <x:c r="BJ357" s="6" t="str">
        <x:v>False</x:v>
      </x:c>
      <x:c r="BK357" s="10" t="str">
        <x:v>True</x:v>
      </x:c>
      <x:c r="BL357" s="6" t="str">
        <x:v>True</x:v>
      </x:c>
      <x:c r="BM357" s="7" t="str">
        <x:v>2025-03-28 14:40:00-05:00</x:v>
      </x:c>
      <x:c r="BN357" s="8" t="str">
        <x:v>1</x:v>
      </x:c>
      <x:c r="BO357" s="6" t="str">
        <x:v>Immediate confirmation (1 bar)</x:v>
      </x:c>
      <x:c r="BP357" s="9" t="str">
        <x:v>0.24168328665522099</x:v>
      </x:c>
      <x:c r="BQ357" s="9" t="str">
        <x:v>0.8313905060939601</x:v>
      </x:c>
      <x:c r="BR357" s="10" t="str">
        <x:v>0.29069767441860467</x:v>
      </x:c>
      <x:c r="BS357" s="9" t="str">
        <x:v>0.32868926985110053</x:v>
      </x:c>
      <x:c r="BT357" s="9" t="str">
        <x:v>0.23201595518901214</x:v>
      </x:c>
      <x:c r="BU357" s="9" t="str">
        <x:v>0.12567530906071492</x:v>
      </x:c>
      <x:c r="BV357" s="6" t="str">
        <x:v>With trade</x:v>
      </x:c>
      <x:c r="BW357" s="7" t="str">
        <x:v>2025-03-28 14:40:00-05:00</x:v>
      </x:c>
      <x:c r="BX357" s="6" t="str">
        <x:v>17980.25</x:v>
      </x:c>
      <x:c r="BY357" s="9" t="str">
        <x:v>25.860290492143488</x:v>
      </x:c>
      <x:c r="BZ357" s="9" t="str">
        <x:v>0.32</x:v>
      </x:c>
      <x:c r="CA357" s="6" t="str">
        <x:v>18019.040435738214</x:v>
      </x:c>
      <x:c r="CB357" s="6" t="str">
        <x:v>38.790435738214</x:v>
      </x:c>
      <x:c r="CC357" s="9" t="str">
        <x:v>1.4999999999999525</x:v>
      </x:c>
      <x:c r="CD357" s="6" t="str">
        <x:v>17902.66912852357</x:v>
      </x:c>
      <x:c r="CE357" s="6" t="str">
        <x:v>77.58087147643164</x:v>
      </x:c>
      <x:c r="CF357" s="6" t="str">
        <x:v>Fixed 2.00R target</x:v>
      </x:c>
      <x:c r="CG357" s="9" t="str">
        <x:v>0.018690174168004347</x:v>
      </x:c>
      <x:c r="CH357" s="9" t="str">
        <x:v>-1.0</x:v>
      </x:c>
      <x:c r="CI357" s="9" t="str">
        <x:v>-1.0186901741680043</x:v>
      </x:c>
      <x:c r="CJ357" s="6" t="str">
        <x:v>Loss</x:v>
      </x:c>
      <x:c r="CK357" s="9" t="str">
        <x:v>0.3157994945628321</x:v>
      </x:c>
      <x:c r="CL357" s="9" t="str">
        <x:v>1.1794144388775158</x:v>
      </x:c>
      <x:c r="CM357" s="7" t="str">
        <x:v>2025-03-28 14:55:00-05:00</x:v>
      </x:c>
      <x:c r="CN357" s="6" t="str">
        <x:v>18019.040435738214</x:v>
      </x:c>
      <x:c r="CO357" s="6" t="str">
        <x:v>STOP</x:v>
      </x:c>
      <x:c r="CP357" s="6" t="str">
        <x:v>F::Short::Same-bar Setup+BOS::Penetration + same-bar reclaim</x:v>
      </x:c>
    </x:row>
    <x:row r="358" ht="18" customHeight="1">
      <x:c r="A358" s="6" t="str">
        <x:v>A0357</x:v>
      </x:c>
      <x:c r="B358" s="6" t="str">
        <x:v>2025-03-28</x:v>
      </x:c>
      <x:c r="C358" s="6" t="str">
        <x:v>2025</x:v>
      </x:c>
      <x:c r="D358" s="6" t="str">
        <x:v>2025-Q1</x:v>
      </x:c>
      <x:c r="E358" s="6" t="str">
        <x:v>Second 50%</x:v>
      </x:c>
      <x:c r="F358" s="6" t="str">
        <x:v>Short</x:v>
      </x:c>
      <x:c r="G358" s="6" t="str">
        <x:v>Short</x:v>
      </x:c>
      <x:c r="H358" s="6" t="str">
        <x:v>Afternoon</x:v>
      </x:c>
      <x:c r="I358" s="6" t="str">
        <x:v>Afternoon</x:v>
      </x:c>
      <x:c r="J358" s="6" t="str">
        <x:v>Bear</x:v>
      </x:c>
      <x:c r="K358" s="6" t="str">
        <x:v>Bear</x:v>
      </x:c>
      <x:c r="L358" s="6" t="str">
        <x:v>MID</x:v>
      </x:c>
      <x:c r="M358" s="7" t="str">
        <x:v>2025-03-28 15:05:00-05:00</x:v>
      </x:c>
      <x:c r="N358" s="6" t="str">
        <x:v>75.0</x:v>
      </x:c>
      <x:c r="O358" s="6" t="str">
        <x:v>75-79</x:v>
      </x:c>
      <x:c r="P358" s="6" t="str">
        <x:v>Matching BOS only</x:v>
      </x:c>
      <x:c r="Q358" s="6" t="str">
        <x:v>Bear BOS</x:v>
      </x:c>
      <x:c r="R358" s="6" t="str">
        <x:v>True</x:v>
      </x:c>
      <x:c r="S358" s="6" t="str">
        <x:v>False</x:v>
      </x:c>
      <x:c r="T358" s="6" t="str">
        <x:v>No recent matching sweep</x:v>
      </x:c>
      <x:c r="U358" s="6" t="str">
        <x:v>None</x:v>
      </x:c>
      <x:c r="V358" s="6" t="str">
        <x:v>None</x:v>
      </x:c>
      <x:c r="W358" s="6" t="str">
        <x:v>[]</x:v>
      </x:c>
      <x:c r="X358" s="8" t="str">
        <x:v>0</x:v>
      </x:c>
      <x:c r="Y358" s="8" t="str"/>
      <x:c r="Z358" s="6" t="str">
        <x:v>None</x:v>
      </x:c>
      <x:c r="AA358" s="6" t="str">
        <x:v>17966.0</x:v>
      </x:c>
      <x:c r="AB358" s="9" t="str">
        <x:v>0.2587106365870884</x:v>
      </x:c>
      <x:c r="AC358" s="9" t="str">
        <x:v>1.3292374086715923</x:v>
      </x:c>
      <x:c r="AD358" s="9" t="str">
        <x:v>1.37384269084178</x:v>
      </x:c>
      <x:c r="AE358" s="6" t="str">
        <x:v>With trade</x:v>
      </x:c>
      <x:c r="AF358" s="7" t="str">
        <x:v>2025-03-28 15:05:00-05:00</x:v>
      </x:c>
      <x:c r="AG358" s="6" t="str">
        <x:v>Short</x:v>
      </x:c>
      <x:c r="AH358" s="6" t="str">
        <x:v>17966.0</x:v>
      </x:c>
      <x:c r="AI358" s="8" t="str">
        <x:v>0</x:v>
      </x:c>
      <x:c r="AJ358" s="6" t="str">
        <x:v>True</x:v>
      </x:c>
      <x:c r="AK358" s="6" t="str">
        <x:v>Same-bar Setup+BOS</x:v>
      </x:c>
      <x:c r="AL358" s="9" t="str">
        <x:v>1.3113952958035173</x:v>
      </x:c>
      <x:c r="AM358" s="9" t="str">
        <x:v>0.2587106365870884</x:v>
      </x:c>
      <x:c r="AN358" s="9" t="str">
        <x:v>1.3292374086715923</x:v>
      </x:c>
      <x:c r="AO358" s="9" t="str">
        <x:v>1.37384269084178</x:v>
      </x:c>
      <x:c r="AP358" s="10" t="str">
        <x:v>0.9675324675324676</x:v>
      </x:c>
      <x:c r="AQ358" s="6" t="str">
        <x:v>0.006493506493506494</x:v>
      </x:c>
      <x:c r="AR358" s="6" t="str">
        <x:v>0.025974025974025976</x:v>
      </x:c>
      <x:c r="AS358" s="6" t="str">
        <x:v>With trade</x:v>
      </x:c>
      <x:c r="AT358" s="6" t="str">
        <x:v>0.7964526596557993</x:v>
      </x:c>
      <x:c r="AU358" s="7" t="str">
        <x:v>2025-03-28 15:10:00-05:00</x:v>
      </x:c>
      <x:c r="AV358" s="8" t="str">
        <x:v>1</x:v>
      </x:c>
      <x:c r="AW358" s="6" t="str">
        <x:v>Immediate retest (1 bar)</x:v>
      </x:c>
      <x:c r="AX358" s="6" t="str">
        <x:v>17964.5</x:v>
      </x:c>
      <x:c r="AY358" s="6" t="str">
        <x:v>0.0</x:v>
      </x:c>
      <x:c r="AZ358" s="9" t="str">
        <x:v>0.0</x:v>
      </x:c>
      <x:c r="BA358" s="9" t="str">
        <x:v>0.33707267366745114</x:v>
      </x:c>
      <x:c r="BB358" s="9" t="str">
        <x:v>0.35579893331564283</x:v>
      </x:c>
      <x:c r="BC358" s="9" t="str">
        <x:v>0.06554190876867105</x:v>
      </x:c>
      <x:c r="BD358" s="6" t="str">
        <x:v>0.6052631578947368</x:v>
      </x:c>
      <x:c r="BE358" s="6" t="str">
        <x:v>0.21052631578947367</x:v>
      </x:c>
      <x:c r="BF358" s="9" t="str">
        <x:v>0.21535198595420488</x:v>
      </x:c>
      <x:c r="BG358" s="9" t="str">
        <x:v>0.07490503859276691</x:v>
      </x:c>
      <x:c r="BH358" s="6" t="str">
        <x:v>With trade</x:v>
      </x:c>
      <x:c r="BI358" s="6" t="str">
        <x:v>Tolerance-only shallow touch</x:v>
      </x:c>
      <x:c r="BJ358" s="6" t="str">
        <x:v>True</x:v>
      </x:c>
      <x:c r="BK358" s="10" t="str">
        <x:v>False</x:v>
      </x:c>
      <x:c r="BL358" s="6" t="str">
        <x:v>True</x:v>
      </x:c>
      <x:c r="BM358" s="7" t="str">
        <x:v>2025-03-28 15:15:00-05:00</x:v>
      </x:c>
      <x:c r="BN358" s="8" t="str">
        <x:v>1</x:v>
      </x:c>
      <x:c r="BO358" s="6" t="str">
        <x:v>Immediate confirmation (1 bar)</x:v>
      </x:c>
      <x:c r="BP358" s="9" t="str">
        <x:v>0.3339020658480716</x:v>
      </x:c>
      <x:c r="BQ358" s="9" t="str">
        <x:v>1.1222819435449072</x:v>
      </x:c>
      <x:c r="BR358" s="10" t="str">
        <x:v>0.2975206611570248</x:v>
      </x:c>
      <x:c r="BS358" s="9" t="str">
        <x:v>0.6863542464654805</x:v>
      </x:c>
      <x:c r="BT358" s="9" t="str">
        <x:v>0.3524521806174089</x:v>
      </x:c>
      <x:c r="BU358" s="9" t="str">
        <x:v>0.06492540169268059</x:v>
      </x:c>
      <x:c r="BV358" s="6" t="str">
        <x:v>With trade</x:v>
      </x:c>
      <x:c r="BW358" s="7" t="str">
        <x:v>2025-03-28 15:15:00-05:00</x:v>
      </x:c>
      <x:c r="BX358" s="6" t="str">
        <x:v>17947.5</x:v>
      </x:c>
      <x:c r="BY358" s="9" t="str">
        <x:v>26.954011132399163</x:v>
      </x:c>
      <x:c r="BZ358" s="9" t="str">
        <x:v>0.34</x:v>
      </x:c>
      <x:c r="CA358" s="6" t="str">
        <x:v>17987.9310166986</x:v>
      </x:c>
      <x:c r="CB358" s="6" t="str">
        <x:v>40.431016698599706</x:v>
      </x:c>
      <x:c r="CC358" s="9" t="str">
        <x:v>1.5000000000000357</x:v>
      </x:c>
      <x:c r="CD358" s="6" t="str">
        <x:v>17866.637966602804</x:v>
      </x:c>
      <x:c r="CE358" s="6" t="str">
        <x:v>80.86203339719577</x:v>
      </x:c>
      <x:c r="CF358" s="6" t="str">
        <x:v>Fixed 2.00R target</x:v>
      </x:c>
      <x:c r="CG358" s="9" t="str">
        <x:v>0.017931777610358975</x:v>
      </x:c>
      <x:c r="CH358" s="9" t="str">
        <x:v>2.0</x:v>
      </x:c>
      <x:c r="CI358" s="9" t="str">
        <x:v>1.982068222389641</x:v>
      </x:c>
      <x:c r="CJ358" s="6" t="str">
        <x:v>Win</x:v>
      </x:c>
      <x:c r="CK358" s="9" t="str">
        <x:v>3.1658862539668258</x:v>
      </x:c>
      <x:c r="CL358" s="9" t="str">
        <x:v>0.1855011476933687</x:v>
      </x:c>
      <x:c r="CM358" s="7" t="str">
        <x:v>2025-03-30 17:00:00-05:00</x:v>
      </x:c>
      <x:c r="CN358" s="6" t="str">
        <x:v>17866.637966602804</x:v>
      </x:c>
      <x:c r="CO358" s="6" t="str">
        <x:v>TARGET</x:v>
      </x:c>
      <x:c r="CP358" s="6" t="str">
        <x:v>F::Short::Same-bar Setup+BOS::Tolerance-only shallow touch</x:v>
      </x:c>
    </x:row>
    <x:row r="359" ht="18" customHeight="1">
      <x:c r="A359" s="6" t="str">
        <x:v>A0358</x:v>
      </x:c>
      <x:c r="B359" s="6" t="str">
        <x:v>2025-03-31</x:v>
      </x:c>
      <x:c r="C359" s="6" t="str">
        <x:v>2025</x:v>
      </x:c>
      <x:c r="D359" s="6" t="str">
        <x:v>2025-Q1</x:v>
      </x:c>
      <x:c r="E359" s="6" t="str">
        <x:v>Second 50%</x:v>
      </x:c>
      <x:c r="F359" s="6" t="str">
        <x:v>Short</x:v>
      </x:c>
      <x:c r="G359" s="6" t="str">
        <x:v>Short</x:v>
      </x:c>
      <x:c r="H359" s="6" t="str">
        <x:v>Premarket</x:v>
      </x:c>
      <x:c r="I359" s="6" t="str">
        <x:v>Premarket</x:v>
      </x:c>
      <x:c r="J359" s="6" t="str">
        <x:v>Bear</x:v>
      </x:c>
      <x:c r="K359" s="6" t="str">
        <x:v>Bear</x:v>
      </x:c>
      <x:c r="L359" s="6" t="str">
        <x:v>HIGH</x:v>
      </x:c>
      <x:c r="M359" s="7" t="str">
        <x:v>2025-03-31 04:00:00-05:00</x:v>
      </x:c>
      <x:c r="N359" s="6" t="str">
        <x:v>90.0</x:v>
      </x:c>
      <x:c r="O359" s="6" t="str">
        <x:v>90-94</x:v>
      </x:c>
      <x:c r="P359" s="6" t="str">
        <x:v>Matching BOS only</x:v>
      </x:c>
      <x:c r="Q359" s="6" t="str">
        <x:v>Bear CHoCH</x:v>
      </x:c>
      <x:c r="R359" s="6" t="str">
        <x:v>True</x:v>
      </x:c>
      <x:c r="S359" s="6" t="str">
        <x:v>False</x:v>
      </x:c>
      <x:c r="T359" s="6" t="str">
        <x:v>Recent BSL</x:v>
      </x:c>
      <x:c r="U359" s="6" t="str">
        <x:v>BSL</x:v>
      </x:c>
      <x:c r="V359" s="6" t="str">
        <x:v>Swing high / buy-side</x:v>
      </x:c>
      <x:c r="W359" s="6" t="str">
        <x:v>[17803.75]</x:v>
      </x:c>
      <x:c r="X359" s="8" t="str">
        <x:v>1</x:v>
      </x:c>
      <x:c r="Y359" s="8" t="str">
        <x:v>15.0</x:v>
      </x:c>
      <x:c r="Z359" s="6" t="str">
        <x:v>None</x:v>
      </x:c>
      <x:c r="AA359" s="6" t="str">
        <x:v>17738.25</x:v>
      </x:c>
      <x:c r="AB359" s="9" t="str">
        <x:v>0.5101472977004031</x:v>
      </x:c>
      <x:c r="AC359" s="9" t="str">
        <x:v>0.9728390328240246</x:v>
      </x:c>
      <x:c r="AD359" s="9" t="str">
        <x:v>1.352483533438278</x:v>
      </x:c>
      <x:c r="AE359" s="6" t="str">
        <x:v>With trade</x:v>
      </x:c>
      <x:c r="AF359" s="7" t="str">
        <x:v>2025-03-31 04:00:00-05:00</x:v>
      </x:c>
      <x:c r="AG359" s="6" t="str">
        <x:v>Short</x:v>
      </x:c>
      <x:c r="AH359" s="6" t="str">
        <x:v>17738.25</x:v>
      </x:c>
      <x:c r="AI359" s="8" t="str">
        <x:v>0</x:v>
      </x:c>
      <x:c r="AJ359" s="6" t="str">
        <x:v>True</x:v>
      </x:c>
      <x:c r="AK359" s="6" t="str">
        <x:v>Same-bar Setup+BOS</x:v>
      </x:c>
      <x:c r="AL359" s="9" t="str">
        <x:v>1.0202945954008062</x:v>
      </x:c>
      <x:c r="AM359" s="9" t="str">
        <x:v>0.5101472977004031</x:v>
      </x:c>
      <x:c r="AN359" s="9" t="str">
        <x:v>0.9728390328240246</x:v>
      </x:c>
      <x:c r="AO359" s="9" t="str">
        <x:v>1.352483533438278</x:v>
      </x:c>
      <x:c r="AP359" s="10" t="str">
        <x:v>0.7192982456140351</x:v>
      </x:c>
      <x:c r="AQ359" s="6" t="str">
        <x:v>0.0</x:v>
      </x:c>
      <x:c r="AR359" s="6" t="str">
        <x:v>0.2807017543859649</x:v>
      </x:c>
      <x:c r="AS359" s="6" t="str">
        <x:v>With trade</x:v>
      </x:c>
      <x:c r="AT359" s="6" t="str">
        <x:v>1.9192403606368695</x:v>
      </x:c>
      <x:c r="AU359" s="7" t="str">
        <x:v>2025-03-31 04:05:00-05:00</x:v>
      </x:c>
      <x:c r="AV359" s="8" t="str">
        <x:v>1</x:v>
      </x:c>
      <x:c r="AW359" s="6" t="str">
        <x:v>Immediate retest (1 bar)</x:v>
      </x:c>
      <x:c r="AX359" s="6" t="str">
        <x:v>17739.25</x:v>
      </x:c>
      <x:c r="AY359" s="6" t="str">
        <x:v>1.0</x:v>
      </x:c>
      <x:c r="AZ359" s="9" t="str">
        <x:v>0.04687126150117015</x:v>
      </x:c>
      <x:c r="BA359" s="9" t="str">
        <x:v>0.7850936301446001</x:v>
      </x:c>
      <x:c r="BB359" s="9" t="str">
        <x:v>1.1600637221539614</x:v>
      </x:c>
      <x:c r="BC359" s="9" t="str">
        <x:v>0.28122756900702095</x:v>
      </x:c>
      <x:c r="BD359" s="6" t="str">
        <x:v>0.47474747474747475</x:v>
      </x:c>
      <x:c r="BE359" s="6" t="str">
        <x:v>0.2828282828282828</x:v>
      </x:c>
      <x:c r="BF359" s="9" t="str">
        <x:v>0.5507373226387493</x:v>
      </x:c>
      <x:c r="BG359" s="9" t="str">
        <x:v>0.32809883050819105</x:v>
      </x:c>
      <x:c r="BH359" s="6" t="str">
        <x:v>With trade</x:v>
      </x:c>
      <x:c r="BI359" s="6" t="str">
        <x:v>Penetration + same-bar reclaim</x:v>
      </x:c>
      <x:c r="BJ359" s="6" t="str">
        <x:v>False</x:v>
      </x:c>
      <x:c r="BK359" s="10" t="str">
        <x:v>True</x:v>
      </x:c>
      <x:c r="BL359" s="6" t="str">
        <x:v>True</x:v>
      </x:c>
      <x:c r="BM359" s="7" t="str">
        <x:v>2025-03-31 04:10:00-05:00</x:v>
      </x:c>
      <x:c r="BN359" s="8" t="str">
        <x:v>1</x:v>
      </x:c>
      <x:c r="BO359" s="6" t="str">
        <x:v>Immediate confirmation (1 bar)</x:v>
      </x:c>
      <x:c r="BP359" s="9" t="str">
        <x:v>0.2542467010406046</x:v>
      </x:c>
      <x:c r="BQ359" s="9" t="str">
        <x:v>1.178780159370076</x:v>
      </x:c>
      <x:c r="BR359" s="10" t="str">
        <x:v>0.21568627450980393</x:v>
      </x:c>
      <x:c r="BS359" s="9" t="str">
        <x:v>1.0054301359333</x:v>
      </x:c>
      <x:c r="BT359" s="9" t="str">
        <x:v>0.23113336458236783</x:v>
      </x:c>
      <x:c r="BU359" s="9" t="str">
        <x:v>0.531606738539446</x:v>
      </x:c>
      <x:c r="BV359" s="6" t="str">
        <x:v>With trade</x:v>
      </x:c>
      <x:c r="BW359" s="7" t="str">
        <x:v>2025-03-31 04:10:00-05:00</x:v>
      </x:c>
      <x:c r="BX359" s="6" t="str">
        <x:v>17716.5</x:v>
      </x:c>
      <x:c r="BY359" s="9" t="str">
        <x:v>21.63253240844065</x:v>
      </x:c>
      <x:c r="BZ359" s="9" t="str">
        <x:v>0.86</x:v>
      </x:c>
      <x:c r="CA359" s="6" t="str">
        <x:v>17748.948798612662</x:v>
      </x:c>
      <x:c r="CB359" s="6" t="str">
        <x:v>32.44879861266236</x:v>
      </x:c>
      <x:c r="CC359" s="9" t="str">
        <x:v>1.500000000000064</x:v>
      </x:c>
      <x:c r="CD359" s="6" t="str">
        <x:v>17651.60240277468</x:v>
      </x:c>
      <x:c r="CE359" s="6" t="str">
        <x:v>64.89759722532108</x:v>
      </x:c>
      <x:c r="CF359" s="6" t="str">
        <x:v>Fixed 2.00R target</x:v>
      </x:c>
      <x:c r="CG359" s="9" t="str">
        <x:v>0.022342891909627936</x:v>
      </x:c>
      <x:c r="CH359" s="9" t="str">
        <x:v>-1.0</x:v>
      </x:c>
      <x:c r="CI359" s="9" t="str">
        <x:v>-1.022342891909628</x:v>
      </x:c>
      <x:c r="CJ359" s="6" t="str">
        <x:v>Loss</x:v>
      </x:c>
      <x:c r="CK359" s="9" t="str">
        <x:v>0.0</x:v>
      </x:c>
      <x:c r="CL359" s="9" t="str">
        <x:v>1.0015779131902178</x:v>
      </x:c>
      <x:c r="CM359" s="7" t="str">
        <x:v>2025-03-31 04:20:00-05:00</x:v>
      </x:c>
      <x:c r="CN359" s="6" t="str">
        <x:v>17748.948798612662</x:v>
      </x:c>
      <x:c r="CO359" s="6" t="str">
        <x:v>STOP</x:v>
      </x:c>
      <x:c r="CP359" s="6" t="str">
        <x:v>F::Short::Same-bar Setup+BOS::Penetration + same-bar reclaim</x:v>
      </x:c>
    </x:row>
    <x:row r="360" ht="18" customHeight="1">
      <x:c r="A360" s="6" t="str">
        <x:v>A0359</x:v>
      </x:c>
      <x:c r="B360" s="6" t="str">
        <x:v>2025-04-02</x:v>
      </x:c>
      <x:c r="C360" s="6" t="str">
        <x:v>2025</x:v>
      </x:c>
      <x:c r="D360" s="6" t="str">
        <x:v>2025-Q2</x:v>
      </x:c>
      <x:c r="E360" s="6" t="str">
        <x:v>Second 50%</x:v>
      </x:c>
      <x:c r="F360" s="6" t="str">
        <x:v>Long</x:v>
      </x:c>
      <x:c r="G360" s="6" t="str">
        <x:v>Long</x:v>
      </x:c>
      <x:c r="H360" s="6" t="str">
        <x:v>Morning</x:v>
      </x:c>
      <x:c r="I360" s="6" t="str">
        <x:v>Morning</x:v>
      </x:c>
      <x:c r="J360" s="6" t="str">
        <x:v>Bull</x:v>
      </x:c>
      <x:c r="K360" s="6" t="str">
        <x:v>Bull</x:v>
      </x:c>
      <x:c r="L360" s="6" t="str">
        <x:v>HIGH</x:v>
      </x:c>
      <x:c r="M360" s="7" t="str">
        <x:v>2025-04-02 11:10:00-05:00</x:v>
      </x:c>
      <x:c r="N360" s="6" t="str">
        <x:v>75.0</x:v>
      </x:c>
      <x:c r="O360" s="6" t="str">
        <x:v>75-79</x:v>
      </x:c>
      <x:c r="P360" s="6" t="str">
        <x:v>Matching BOS only</x:v>
      </x:c>
      <x:c r="Q360" s="6" t="str">
        <x:v>Bull BOS</x:v>
      </x:c>
      <x:c r="R360" s="6" t="str">
        <x:v>True</x:v>
      </x:c>
      <x:c r="S360" s="6" t="str">
        <x:v>False</x:v>
      </x:c>
      <x:c r="T360" s="6" t="str">
        <x:v>No recent matching sweep</x:v>
      </x:c>
      <x:c r="U360" s="6" t="str">
        <x:v>None</x:v>
      </x:c>
      <x:c r="V360" s="6" t="str">
        <x:v>None</x:v>
      </x:c>
      <x:c r="W360" s="6" t="str">
        <x:v>[]</x:v>
      </x:c>
      <x:c r="X360" s="8" t="str">
        <x:v>0</x:v>
      </x:c>
      <x:c r="Y360" s="8" t="str"/>
      <x:c r="Z360" s="6" t="str">
        <x:v>None</x:v>
      </x:c>
      <x:c r="AA360" s="6" t="str">
        <x:v>18258.5</x:v>
      </x:c>
      <x:c r="AB360" s="9" t="str">
        <x:v>0.1603401759167618</x:v>
      </x:c>
      <x:c r="AC360" s="9" t="str">
        <x:v>0.8076394046177631</x:v>
      </x:c>
      <x:c r="AD360" s="9" t="str">
        <x:v>1.140196806519195</x:v>
      </x:c>
      <x:c r="AE360" s="6" t="str">
        <x:v>With trade</x:v>
      </x:c>
      <x:c r="AF360" s="7" t="str">
        <x:v>2025-04-02 11:10:00-05:00</x:v>
      </x:c>
      <x:c r="AG360" s="6" t="str">
        <x:v>Long</x:v>
      </x:c>
      <x:c r="AH360" s="6" t="str">
        <x:v>18258.5</x:v>
      </x:c>
      <x:c r="AI360" s="8" t="str">
        <x:v>0</x:v>
      </x:c>
      <x:c r="AJ360" s="6" t="str">
        <x:v>True</x:v>
      </x:c>
      <x:c r="AK360" s="6" t="str">
        <x:v>Same-bar Setup+BOS</x:v>
      </x:c>
      <x:c r="AL360" s="9" t="str">
        <x:v>0.8195164546856714</x:v>
      </x:c>
      <x:c r="AM360" s="9" t="str">
        <x:v>0.1603401759167618</x:v>
      </x:c>
      <x:c r="AN360" s="9" t="str">
        <x:v>0.8076394046177631</x:v>
      </x:c>
      <x:c r="AO360" s="9" t="str">
        <x:v>1.140196806519195</x:v>
      </x:c>
      <x:c r="AP360" s="10" t="str">
        <x:v>0.7083333333333334</x:v>
      </x:c>
      <x:c r="AQ360" s="6" t="str">
        <x:v>0.16666666666666666</x:v>
      </x:c>
      <x:c r="AR360" s="6" t="str">
        <x:v>0.125</x:v>
      </x:c>
      <x:c r="AS360" s="6" t="str">
        <x:v>With trade</x:v>
      </x:c>
      <x:c r="AT360" s="6" t="str">
        <x:v>0.871818511999553</x:v>
      </x:c>
      <x:c r="AU360" s="7" t="str">
        <x:v>2025-04-02 11:15:00-05:00</x:v>
      </x:c>
      <x:c r="AV360" s="8" t="str">
        <x:v>1</x:v>
      </x:c>
      <x:c r="AW360" s="6" t="str">
        <x:v>Immediate retest (1 bar)</x:v>
      </x:c>
      <x:c r="AX360" s="6" t="str">
        <x:v>18261.25</x:v>
      </x:c>
      <x:c r="AY360" s="6" t="str">
        <x:v>0.0</x:v>
      </x:c>
      <x:c r="AZ360" s="9" t="str">
        <x:v>0.0</x:v>
      </x:c>
      <x:c r="BA360" s="9" t="str">
        <x:v>0.5348918648557365</x:v>
      </x:c>
      <x:c r="BB360" s="9" t="str">
        <x:v>0.5410400472104001</x:v>
      </x:c>
      <x:c r="BC360" s="9" t="str">
        <x:v>0.356594576570491</x:v>
      </x:c>
      <x:c r="BD360" s="6" t="str">
        <x:v>0.13636363636363635</x:v>
      </x:c>
      <x:c r="BE360" s="6" t="str">
        <x:v>0.20454545454545456</x:v>
      </x:c>
      <x:c r="BF360" s="9" t="str">
        <x:v>0.11066728238394548</x:v>
      </x:c>
      <x:c r="BG360" s="9" t="str">
        <x:v>0.07377818825596365</x:v>
      </x:c>
      <x:c r="BH360" s="6" t="str">
        <x:v>With trade</x:v>
      </x:c>
      <x:c r="BI360" s="6" t="str">
        <x:v>Tolerance-only shallow touch</x:v>
      </x:c>
      <x:c r="BJ360" s="6" t="str">
        <x:v>True</x:v>
      </x:c>
      <x:c r="BK360" s="10" t="str">
        <x:v>False</x:v>
      </x:c>
      <x:c r="BL360" s="6" t="str">
        <x:v>True</x:v>
      </x:c>
      <x:c r="BM360" s="7" t="str">
        <x:v>2025-04-02 11:20:00-05:00</x:v>
      </x:c>
      <x:c r="BN360" s="8" t="str">
        <x:v>1</x:v>
      </x:c>
      <x:c r="BO360" s="6" t="str">
        <x:v>Immediate confirmation (1 bar)</x:v>
      </x:c>
      <x:c r="BP360" s="9" t="str">
        <x:v>0.2389458284424767</x:v>
      </x:c>
      <x:c r="BQ360" s="9" t="str">
        <x:v>0.7042613890936156</x:v>
      </x:c>
      <x:c r="BR360" s="10" t="str">
        <x:v>0.3392857142857143</x:v>
      </x:c>
      <x:c r="BS360" s="9" t="str">
        <x:v>0.7797179664965029</x:v>
      </x:c>
      <x:c r="BT360" s="9" t="str">
        <x:v>0.2326577803255694</x:v>
      </x:c>
      <x:c r="BU360" s="9" t="str">
        <x:v>0.32069045396227136</x:v>
      </x:c>
      <x:c r="BV360" s="6" t="str">
        <x:v>With trade</x:v>
      </x:c>
      <x:c r="BW360" s="7" t="str">
        <x:v>2025-04-02 11:20:00-05:00</x:v>
      </x:c>
      <x:c r="BX360" s="6" t="str">
        <x:v>18289.5</x:v>
      </x:c>
      <x:c r="BY360" s="9" t="str">
        <x:v>39.75796548499699</x:v>
      </x:c>
      <x:c r="BZ360" s="9" t="str">
        <x:v>0.72</x:v>
      </x:c>
      <x:c r="CA360" s="6" t="str">
        <x:v>18229.863051772503</x:v>
      </x:c>
      <x:c r="CB360" s="6" t="str">
        <x:v>59.63694822749676</x:v>
      </x:c>
      <x:c r="CC360" s="9" t="str">
        <x:v>1.5000000000000322</x:v>
      </x:c>
      <x:c r="CD360" s="6" t="str">
        <x:v>18408.77389645499</x:v>
      </x:c>
      <x:c r="CE360" s="6" t="str">
        <x:v>119.27389645498988</x:v>
      </x:c>
      <x:c r="CF360" s="6" t="str">
        <x:v>Fixed 2.00R target</x:v>
      </x:c>
      <x:c r="CG360" s="9" t="str">
        <x:v>0.012156893026020483</x:v>
      </x:c>
      <x:c r="CH360" s="9" t="str">
        <x:v>2.0</x:v>
      </x:c>
      <x:c r="CI360" s="9" t="str">
        <x:v>1.9878431069739795</x:v>
      </x:c>
      <x:c r="CJ360" s="6" t="str">
        <x:v>Win</x:v>
      </x:c>
      <x:c r="CK360" s="9" t="str">
        <x:v>2.435570637282035</x:v>
      </x:c>
      <x:c r="CL360" s="9" t="str">
        <x:v>0.25152192467628587</x:v>
      </x:c>
      <x:c r="CM360" s="7" t="str">
        <x:v>2025-04-02 12:10:00-05:00</x:v>
      </x:c>
      <x:c r="CN360" s="6" t="str">
        <x:v>18408.77389645499</x:v>
      </x:c>
      <x:c r="CO360" s="6" t="str">
        <x:v>TARGET</x:v>
      </x:c>
      <x:c r="CP360" s="6" t="str">
        <x:v>F::Long::Same-bar Setup+BOS::Tolerance-only shallow touch</x:v>
      </x:c>
    </x:row>
    <x:row r="361" ht="18" customHeight="1">
      <x:c r="A361" s="6" t="str">
        <x:v>A0360</x:v>
      </x:c>
      <x:c r="B361" s="6" t="str">
        <x:v>2025-04-02</x:v>
      </x:c>
      <x:c r="C361" s="6" t="str">
        <x:v>2025</x:v>
      </x:c>
      <x:c r="D361" s="6" t="str">
        <x:v>2025-Q2</x:v>
      </x:c>
      <x:c r="E361" s="6" t="str">
        <x:v>Second 50%</x:v>
      </x:c>
      <x:c r="F361" s="6" t="str">
        <x:v>Long</x:v>
      </x:c>
      <x:c r="G361" s="6" t="str">
        <x:v>Long</x:v>
      </x:c>
      <x:c r="H361" s="6" t="str">
        <x:v>Afternoon</x:v>
      </x:c>
      <x:c r="I361" s="6" t="str">
        <x:v>Afternoon</x:v>
      </x:c>
      <x:c r="J361" s="6" t="str">
        <x:v>Bull</x:v>
      </x:c>
      <x:c r="K361" s="6" t="str">
        <x:v>Bull</x:v>
      </x:c>
      <x:c r="L361" s="6" t="str">
        <x:v>HIGH</x:v>
      </x:c>
      <x:c r="M361" s="7" t="str">
        <x:v>2025-04-02 14:30:00-05:00</x:v>
      </x:c>
      <x:c r="N361" s="6" t="str">
        <x:v>85.0</x:v>
      </x:c>
      <x:c r="O361" s="6" t="str">
        <x:v>85-89</x:v>
      </x:c>
      <x:c r="P361" s="6" t="str">
        <x:v>Matching BOS only</x:v>
      </x:c>
      <x:c r="Q361" s="6" t="str">
        <x:v>Bull CHoCH</x:v>
      </x:c>
      <x:c r="R361" s="6" t="str">
        <x:v>True</x:v>
      </x:c>
      <x:c r="S361" s="6" t="str">
        <x:v>False</x:v>
      </x:c>
      <x:c r="T361" s="6" t="str">
        <x:v>Recent SSL</x:v>
      </x:c>
      <x:c r="U361" s="6" t="str">
        <x:v>SSL</x:v>
      </x:c>
      <x:c r="V361" s="6" t="str">
        <x:v>Swing low / sell-side</x:v>
      </x:c>
      <x:c r="W361" s="6" t="str">
        <x:v>[18156.0]</x:v>
      </x:c>
      <x:c r="X361" s="8" t="str">
        <x:v>1</x:v>
      </x:c>
      <x:c r="Y361" s="8" t="str">
        <x:v>12.0</x:v>
      </x:c>
      <x:c r="Z361" s="6" t="str">
        <x:v>None</x:v>
      </x:c>
      <x:c r="AA361" s="6" t="str">
        <x:v>18258.75</x:v>
      </x:c>
      <x:c r="AB361" s="9" t="str">
        <x:v>0.42593334396476207</x:v>
      </x:c>
      <x:c r="AC361" s="9" t="str">
        <x:v>0.8737094235174607</x:v>
      </x:c>
      <x:c r="AD361" s="9" t="str">
        <x:v>1.774722266519842</x:v>
      </x:c>
      <x:c r="AE361" s="6" t="str">
        <x:v>With trade</x:v>
      </x:c>
      <x:c r="AF361" s="7" t="str">
        <x:v>2025-04-02 14:30:00-05:00</x:v>
      </x:c>
      <x:c r="AG361" s="6" t="str">
        <x:v>Long</x:v>
      </x:c>
      <x:c r="AH361" s="6" t="str">
        <x:v>18258.75</x:v>
      </x:c>
      <x:c r="AI361" s="8" t="str">
        <x:v>0</x:v>
      </x:c>
      <x:c r="AJ361" s="6" t="str">
        <x:v>True</x:v>
      </x:c>
      <x:c r="AK361" s="6" t="str">
        <x:v>Same-bar Setup+BOS</x:v>
      </x:c>
      <x:c r="AL361" s="9" t="str">
        <x:v>0.884630791311429</x:v>
      </x:c>
      <x:c r="AM361" s="9" t="str">
        <x:v>0.42593334396476207</x:v>
      </x:c>
      <x:c r="AN361" s="9" t="str">
        <x:v>0.8737094235174607</x:v>
      </x:c>
      <x:c r="AO361" s="9" t="str">
        <x:v>1.774722266519842</x:v>
      </x:c>
      <x:c r="AP361" s="10" t="str">
        <x:v>0.49230769230769234</x:v>
      </x:c>
      <x:c r="AQ361" s="6" t="str">
        <x:v>0.15692307692307692</x:v>
      </x:c>
      <x:c r="AR361" s="6" t="str">
        <x:v>0.3507692307692308</x:v>
      </x:c>
      <x:c r="AS361" s="6" t="str">
        <x:v>With trade</x:v>
      </x:c>
      <x:c r="AT361" s="6" t="str">
        <x:v>1.2350619492635924</x:v>
      </x:c>
      <x:c r="AU361" s="7" t="str">
        <x:v>2025-04-02 15:10:00-05:00</x:v>
      </x:c>
      <x:c r="AV361" s="8" t="str">
        <x:v>8</x:v>
      </x:c>
      <x:c r="AW361" s="6" t="str">
        <x:v>Delayed retest (2+ bars)</x:v>
      </x:c>
      <x:c r="AX361" s="6" t="str">
        <x:v>18237.25</x:v>
      </x:c>
      <x:c r="AY361" s="6" t="str">
        <x:v>21.5</x:v>
      </x:c>
      <x:c r="AZ361" s="9" t="str">
        <x:v>0.3436902771464153</x:v>
      </x:c>
      <x:c r="BA361" s="9" t="str">
        <x:v>3.7366326643243992</x:v>
      </x:c>
      <x:c r="BB361" s="9" t="str">
        <x:v>4.647811538619547</x:v>
      </x:c>
      <x:c r="BC361" s="9" t="str">
        <x:v>3.2810432271768253</x:v>
      </x:c>
      <x:c r="BD361" s="6" t="str">
        <x:v>0.12209802235597593</x:v>
      </x:c>
      <x:c r="BE361" s="6" t="str">
        <x:v>0.17196904557179707</x:v>
      </x:c>
      <x:c r="BF361" s="9" t="str">
        <x:v>0.7992797142939891</x:v>
      </x:c>
      <x:c r="BG361" s="9" t="str">
        <x:v>0.5674885971487323</x:v>
      </x:c>
      <x:c r="BH361" s="6" t="str">
        <x:v>With trade</x:v>
      </x:c>
      <x:c r="BI361" s="6" t="str">
        <x:v>Penetration + same-bar reclaim</x:v>
      </x:c>
      <x:c r="BJ361" s="6" t="str">
        <x:v>False</x:v>
      </x:c>
      <x:c r="BK361" s="10" t="str">
        <x:v>True</x:v>
      </x:c>
      <x:c r="BL361" s="6" t="str">
        <x:v>True</x:v>
      </x:c>
      <x:c r="BM361" s="7" t="str">
        <x:v>2025-04-02 15:15:00-05:00</x:v>
      </x:c>
      <x:c r="BN361" s="8" t="str">
        <x:v>1</x:v>
      </x:c>
      <x:c r="BO361" s="6" t="str">
        <x:v>Immediate confirmation (1 bar)</x:v>
      </x:c>
      <x:c r="BP361" s="9" t="str">
        <x:v>0.1828392906684889</x:v>
      </x:c>
      <x:c r="BQ361" s="9" t="str">
        <x:v>1.8619756335423665</x:v>
      </x:c>
      <x:c r="BR361" s="10" t="str">
        <x:v>0.09819639278557114</x:v>
      </x:c>
      <x:c r="BS361" s="9" t="str">
        <x:v>3.701562782513081</x:v>
      </x:c>
      <x:c r="BT361" s="9" t="str">
        <x:v>0.21269060343069116</x:v>
      </x:c>
      <x:c r="BU361" s="9" t="str">
        <x:v>0.4552325196235846</x:v>
      </x:c>
      <x:c r="BV361" s="6" t="str">
        <x:v>With trade</x:v>
      </x:c>
      <x:c r="BW361" s="7" t="str">
        <x:v>2025-04-02 15:15:00-05:00</x:v>
      </x:c>
      <x:c r="BX361" s="6" t="str">
        <x:v>18506.75</x:v>
      </x:c>
      <x:c r="BY361" s="9" t="str">
        <x:v>66.99872852936639</x:v>
      </x:c>
      <x:c r="BZ361" s="9" t="str">
        <x:v>1.0</x:v>
      </x:c>
      <x:c r="CA361" s="6" t="str">
        <x:v>18406.25190720595</x:v>
      </x:c>
      <x:c r="CB361" s="6" t="str">
        <x:v>100.49809279404872</x:v>
      </x:c>
      <x:c r="CC361" s="9" t="str">
        <x:v>1.4999999999999871</x:v>
      </x:c>
      <x:c r="CD361" s="6" t="str">
        <x:v>18707.746185588097</x:v>
      </x:c>
      <x:c r="CE361" s="6" t="str">
        <x:v>200.99618558809743</x:v>
      </x:c>
      <x:c r="CF361" s="6" t="str">
        <x:v>Fixed 2.00R target</x:v>
      </x:c>
      <x:c r="CG361" s="9" t="str">
        <x:v>0.00721406725086561</x:v>
      </x:c>
      <x:c r="CH361" s="9" t="str">
        <x:v>-1.0</x:v>
      </x:c>
      <x:c r="CI361" s="9" t="str">
        <x:v>-1.0072140672508656</x:v>
      </x:c>
      <x:c r="CJ361" s="6" t="str">
        <x:v>Loss</x:v>
      </x:c>
      <x:c r="CK361" s="9" t="str">
        <x:v>0.17413265777951473</x:v>
      </x:c>
      <x:c r="CL361" s="9" t="str">
        <x:v>5.8931466611381484</x:v>
      </x:c>
      <x:c r="CM361" s="7" t="str">
        <x:v>2025-04-02 15:25:00-05:00</x:v>
      </x:c>
      <x:c r="CN361" s="6" t="str">
        <x:v>18406.25190720595</x:v>
      </x:c>
      <x:c r="CO361" s="6" t="str">
        <x:v>STOP</x:v>
      </x:c>
      <x:c r="CP361" s="6" t="str">
        <x:v>F::Long::Same-bar Setup+BOS::Penetration + same-bar reclaim</x:v>
      </x:c>
    </x:row>
    <x:row r="362" ht="18" customHeight="1">
      <x:c r="A362" s="6" t="str">
        <x:v>A0361</x:v>
      </x:c>
      <x:c r="B362" s="6" t="str">
        <x:v>2025-04-02</x:v>
      </x:c>
      <x:c r="C362" s="6" t="str">
        <x:v>2025</x:v>
      </x:c>
      <x:c r="D362" s="6" t="str">
        <x:v>2025-Q2</x:v>
      </x:c>
      <x:c r="E362" s="6" t="str">
        <x:v>Second 50%</x:v>
      </x:c>
      <x:c r="F362" s="6" t="str">
        <x:v>Long</x:v>
      </x:c>
      <x:c r="G362" s="6" t="str">
        <x:v>Long</x:v>
      </x:c>
      <x:c r="H362" s="6" t="str">
        <x:v>Overnight</x:v>
      </x:c>
      <x:c r="I362" s="6" t="str">
        <x:v>Overnight</x:v>
      </x:c>
      <x:c r="J362" s="6" t="str">
        <x:v>Bear</x:v>
      </x:c>
      <x:c r="K362" s="6" t="str">
        <x:v>Bear</x:v>
      </x:c>
      <x:c r="L362" s="6" t="str">
        <x:v>MID</x:v>
      </x:c>
      <x:c r="M362" s="7" t="str">
        <x:v>2025-04-02 19:15:00-05:00</x:v>
      </x:c>
      <x:c r="N362" s="6" t="str">
        <x:v>90.0</x:v>
      </x:c>
      <x:c r="O362" s="6" t="str">
        <x:v>90-94</x:v>
      </x:c>
      <x:c r="P362" s="6" t="str">
        <x:v>Matching BOS only</x:v>
      </x:c>
      <x:c r="Q362" s="6" t="str">
        <x:v>Bull CHoCH</x:v>
      </x:c>
      <x:c r="R362" s="6" t="str">
        <x:v>True</x:v>
      </x:c>
      <x:c r="S362" s="6" t="str">
        <x:v>False</x:v>
      </x:c>
      <x:c r="T362" s="6" t="str">
        <x:v>Recent SSL</x:v>
      </x:c>
      <x:c r="U362" s="6" t="str">
        <x:v>SSL</x:v>
      </x:c>
      <x:c r="V362" s="6" t="str">
        <x:v>Swing low / sell-side</x:v>
      </x:c>
      <x:c r="W362" s="6" t="str">
        <x:v>[17397.0]</x:v>
      </x:c>
      <x:c r="X362" s="8" t="str">
        <x:v>1</x:v>
      </x:c>
      <x:c r="Y362" s="8" t="str">
        <x:v>6.0</x:v>
      </x:c>
      <x:c r="Z362" s="6" t="str">
        <x:v>None</x:v>
      </x:c>
      <x:c r="AA362" s="6" t="str">
        <x:v>17529.5</x:v>
      </x:c>
      <x:c r="AB362" s="9" t="str">
        <x:v>0.11881488154785359</x:v>
      </x:c>
      <x:c r="AC362" s="9" t="str">
        <x:v>0.7256194551672488</x:v>
      </x:c>
      <x:c r="AD362" s="9" t="str">
        <x:v>1.0056831045300465</x:v>
      </x:c>
      <x:c r="AE362" s="6" t="str">
        <x:v>With trade</x:v>
      </x:c>
      <x:c r="AF362" s="7" t="str">
        <x:v>2025-04-02 19:15:00-05:00</x:v>
      </x:c>
      <x:c r="AG362" s="6" t="str">
        <x:v>Long</x:v>
      </x:c>
      <x:c r="AH362" s="6" t="str">
        <x:v>17529.5</x:v>
      </x:c>
      <x:c r="AI362" s="8" t="str">
        <x:v>0</x:v>
      </x:c>
      <x:c r="AJ362" s="6" t="str">
        <x:v>True</x:v>
      </x:c>
      <x:c r="AK362" s="6" t="str">
        <x:v>Same-bar Setup+BOS</x:v>
      </x:c>
      <x:c r="AL362" s="9" t="str">
        <x:v>0.7510797869275031</x:v>
      </x:c>
      <x:c r="AM362" s="9" t="str">
        <x:v>0.11881488154785359</x:v>
      </x:c>
      <x:c r="AN362" s="9" t="str">
        <x:v>0.7256194551672488</x:v>
      </x:c>
      <x:c r="AO362" s="9" t="str">
        <x:v>1.0056831045300465</x:v>
      </x:c>
      <x:c r="AP362" s="10" t="str">
        <x:v>0.7215189873417721</x:v>
      </x:c>
      <x:c r="AQ362" s="6" t="str">
        <x:v>0.15611814345991562</x:v>
      </x:c>
      <x:c r="AR362" s="6" t="str">
        <x:v>0.12236286919831224</x:v>
      </x:c>
      <x:c r="AS362" s="6" t="str">
        <x:v>With trade</x:v>
      </x:c>
      <x:c r="AT362" s="6" t="str">
        <x:v>0.9352600712944152</x:v>
      </x:c>
      <x:c r="AU362" s="7" t="str">
        <x:v>2025-04-02 19:20:00-05:00</x:v>
      </x:c>
      <x:c r="AV362" s="8" t="str">
        <x:v>1</x:v>
      </x:c>
      <x:c r="AW362" s="6" t="str">
        <x:v>Immediate retest (1 bar)</x:v>
      </x:c>
      <x:c r="AX362" s="6" t="str">
        <x:v>17526.75</x:v>
      </x:c>
      <x:c r="AY362" s="6" t="str">
        <x:v>2.75</x:v>
      </x:c>
      <x:c r="AZ362" s="9" t="str">
        <x:v>0.04799617075188796</x:v>
      </x:c>
      <x:c r="BA362" s="9" t="str">
        <x:v>0.37524278951476037</x:v>
      </x:c>
      <x:c r="BB362" s="9" t="str">
        <x:v>0.6326767962748867</x:v>
      </x:c>
      <x:c r="BC362" s="9" t="str">
        <x:v>0.2705238715106412</x:v>
      </x:c>
      <x:c r="BD362" s="6" t="str">
        <x:v>0.3310344827586207</x:v>
      </x:c>
      <x:c r="BE362" s="6" t="str">
        <x:v>0.2413793103448276</x:v>
      </x:c>
      <x:c r="BF362" s="9" t="str">
        <x:v>0.15271508875600714</x:v>
      </x:c>
      <x:c r="BG362" s="9" t="str">
        <x:v>0.20943783600823834</x:v>
      </x:c>
      <x:c r="BH362" s="6" t="str">
        <x:v>With trade</x:v>
      </x:c>
      <x:c r="BI362" s="6" t="str">
        <x:v>Penetration + same-bar reclaim</x:v>
      </x:c>
      <x:c r="BJ362" s="6" t="str">
        <x:v>False</x:v>
      </x:c>
      <x:c r="BK362" s="10" t="str">
        <x:v>True</x:v>
      </x:c>
      <x:c r="BL362" s="6" t="str">
        <x:v>True</x:v>
      </x:c>
      <x:c r="BM362" s="7" t="str">
        <x:v>2025-04-02 19:30:00-05:00</x:v>
      </x:c>
      <x:c r="BN362" s="8" t="str">
        <x:v>2</x:v>
      </x:c>
      <x:c r="BO362" s="6" t="str">
        <x:v>Delayed confirmation (2+ bars)</x:v>
      </x:c>
      <x:c r="BP362" s="9" t="str">
        <x:v>0.22323334505203418</x:v>
      </x:c>
      <x:c r="BQ362" s="9" t="str">
        <x:v>0.9717216196382664</x:v>
      </x:c>
      <x:c r="BR362" s="10" t="str">
        <x:v>0.22972972972972974</x:v>
      </x:c>
      <x:c r="BS362" s="9" t="str">
        <x:v>0.6346830398538227</x:v>
      </x:c>
      <x:c r="BT362" s="9" t="str">
        <x:v>0.25825034035431405</x:v>
      </x:c>
      <x:c r="BU362" s="9" t="str">
        <x:v>0.0787882394301297</x:v>
      </x:c>
      <x:c r="BV362" s="6" t="str">
        <x:v>With trade</x:v>
      </x:c>
      <x:c r="BW362" s="7" t="str">
        <x:v>2025-04-02 19:30:00-05:00</x:v>
      </x:c>
      <x:c r="BX362" s="6" t="str">
        <x:v>17565.75</x:v>
      </x:c>
      <x:c r="BY362" s="9" t="str">
        <x:v>57.11512317762412</x:v>
      </x:c>
      <x:c r="BZ362" s="9" t="str">
        <x:v>0.6</x:v>
      </x:c>
      <x:c r="CA362" s="6" t="str">
        <x:v>17480.077315233564</x:v>
      </x:c>
      <x:c r="CB362" s="6" t="str">
        <x:v>85.67268476643585</x:v>
      </x:c>
      <x:c r="CC362" s="9" t="str">
        <x:v>1.4999999999999942</x:v>
      </x:c>
      <x:c r="CD362" s="6" t="str">
        <x:v>17737.09536953287</x:v>
      </x:c>
      <x:c r="CE362" s="6" t="str">
        <x:v>171.3453695328717</x:v>
      </x:c>
      <x:c r="CF362" s="6" t="str">
        <x:v>Fixed 2.00R target</x:v>
      </x:c>
      <x:c r="CG362" s="9" t="str">
        <x:v>0.008462440531384334</x:v>
      </x:c>
      <x:c r="CH362" s="9" t="str">
        <x:v>0.14882223003468945</x:v>
      </x:c>
      <x:c r="CI362" s="9" t="str">
        <x:v>0.1403597895033051</x:v>
      </x:c>
      <x:c r="CJ362" s="6" t="str">
        <x:v>Win</x:v>
      </x:c>
      <x:c r="CK362" s="9" t="str">
        <x:v>0.7061760719293134</x:v>
      </x:c>
      <x:c r="CL362" s="9" t="str">
        <x:v>0.5398453442434834</x:v>
      </x:c>
      <x:c r="CM362" s="7" t="str">
        <x:v>2025-04-02 20:30:00-05:00</x:v>
      </x:c>
      <x:c r="CN362" s="6" t="str">
        <x:v>17578.5</x:v>
      </x:c>
      <x:c r="CO362" s="6" t="str">
        <x:v>TIME</x:v>
      </x:c>
      <x:c r="CP362" s="6" t="str">
        <x:v>F::Long::Same-bar Setup+BOS::Penetration + same-bar reclaim</x:v>
      </x:c>
    </x:row>
    <x:row r="363" ht="18" customHeight="1">
      <x:c r="A363" s="6" t="str">
        <x:v>A0362</x:v>
      </x:c>
      <x:c r="B363" s="6" t="str">
        <x:v>2025-04-03</x:v>
      </x:c>
      <x:c r="C363" s="6" t="str">
        <x:v>2025</x:v>
      </x:c>
      <x:c r="D363" s="6" t="str">
        <x:v>2025-Q2</x:v>
      </x:c>
      <x:c r="E363" s="6" t="str">
        <x:v>Second 50%</x:v>
      </x:c>
      <x:c r="F363" s="6" t="str">
        <x:v>Short</x:v>
      </x:c>
      <x:c r="G363" s="6" t="str">
        <x:v>Short</x:v>
      </x:c>
      <x:c r="H363" s="6" t="str">
        <x:v>Overnight</x:v>
      </x:c>
      <x:c r="I363" s="6" t="str">
        <x:v>Overnight</x:v>
      </x:c>
      <x:c r="J363" s="6" t="str">
        <x:v>Bear</x:v>
      </x:c>
      <x:c r="K363" s="6" t="str">
        <x:v>Bear</x:v>
      </x:c>
      <x:c r="L363" s="6" t="str">
        <x:v>LOW</x:v>
      </x:c>
      <x:c r="M363" s="7" t="str">
        <x:v>2025-04-03 00:20:00-05:00</x:v>
      </x:c>
      <x:c r="N363" s="6" t="str">
        <x:v>90.0</x:v>
      </x:c>
      <x:c r="O363" s="6" t="str">
        <x:v>90-94</x:v>
      </x:c>
      <x:c r="P363" s="6" t="str">
        <x:v>Matching BOS only</x:v>
      </x:c>
      <x:c r="Q363" s="6" t="str">
        <x:v>Bear CHoCH</x:v>
      </x:c>
      <x:c r="R363" s="6" t="str">
        <x:v>True</x:v>
      </x:c>
      <x:c r="S363" s="6" t="str">
        <x:v>False</x:v>
      </x:c>
      <x:c r="T363" s="6" t="str">
        <x:v>Recent BSL</x:v>
      </x:c>
      <x:c r="U363" s="6" t="str">
        <x:v>BSL</x:v>
      </x:c>
      <x:c r="V363" s="6" t="str">
        <x:v>Swing high / buy-side</x:v>
      </x:c>
      <x:c r="W363" s="6" t="str">
        <x:v>[17684.5]</x:v>
      </x:c>
      <x:c r="X363" s="8" t="str">
        <x:v>1</x:v>
      </x:c>
      <x:c r="Y363" s="8" t="str">
        <x:v>14.0</x:v>
      </x:c>
      <x:c r="Z363" s="6" t="str">
        <x:v>None</x:v>
      </x:c>
      <x:c r="AA363" s="6" t="str">
        <x:v>17642.75</x:v>
      </x:c>
      <x:c r="AB363" s="9" t="str">
        <x:v>0.3971562098361153</x:v>
      </x:c>
      <x:c r="AC363" s="9" t="str">
        <x:v>0.5581654840939999</x:v>
      </x:c>
      <x:c r="AD363" s="9" t="str">
        <x:v>0.9553216939301153</x:v>
      </x:c>
      <x:c r="AE363" s="6" t="str">
        <x:v>With trade</x:v>
      </x:c>
      <x:c r="AF363" s="7" t="str">
        <x:v>2025-04-03 00:20:00-05:00</x:v>
      </x:c>
      <x:c r="AG363" s="6" t="str">
        <x:v>Short</x:v>
      </x:c>
      <x:c r="AH363" s="6" t="str">
        <x:v>17642.75</x:v>
      </x:c>
      <x:c r="AI363" s="8" t="str">
        <x:v>0</x:v>
      </x:c>
      <x:c r="AJ363" s="6" t="str">
        <x:v>True</x:v>
      </x:c>
      <x:c r="AK363" s="6" t="str">
        <x:v>Same-bar Setup+BOS</x:v>
      </x:c>
      <x:c r="AL363" s="9" t="str">
        <x:v>0.6118352421799614</x:v>
      </x:c>
      <x:c r="AM363" s="9" t="str">
        <x:v>0.3971562098361153</x:v>
      </x:c>
      <x:c r="AN363" s="9" t="str">
        <x:v>0.5581654840939999</x:v>
      </x:c>
      <x:c r="AO363" s="9" t="str">
        <x:v>0.9553216939301153</x:v>
      </x:c>
      <x:c r="AP363" s="10" t="str">
        <x:v>0.5842696629213483</x:v>
      </x:c>
      <x:c r="AQ363" s="6" t="str">
        <x:v>0.25842696629213485</x:v>
      </x:c>
      <x:c r="AR363" s="6" t="str">
        <x:v>0.15730337078651685</x:v>
      </x:c>
      <x:c r="AS363" s="6" t="str">
        <x:v>With trade</x:v>
      </x:c>
      <x:c r="AT363" s="6" t="str">
        <x:v>1.437170805116629</x:v>
      </x:c>
      <x:c r="AU363" s="7" t="str">
        <x:v>2025-04-03 00:25:00-05:00</x:v>
      </x:c>
      <x:c r="AV363" s="8" t="str">
        <x:v>1</x:v>
      </x:c>
      <x:c r="AW363" s="6" t="str">
        <x:v>Immediate retest (1 bar)</x:v>
      </x:c>
      <x:c r="AX363" s="6" t="str">
        <x:v>17643.25</x:v>
      </x:c>
      <x:c r="AY363" s="6" t="str">
        <x:v>0.5</x:v>
      </x:c>
      <x:c r="AZ363" s="9" t="str">
        <x:v>0.02143769843049106</x:v>
      </x:c>
      <x:c r="BA363" s="9" t="str">
        <x:v>0.7181628974214506</x:v>
      </x:c>
      <x:c r="BB363" s="9" t="str">
        <x:v>1.0182906754483254</x:v>
      </x:c>
      <x:c r="BC363" s="9" t="str">
        <x:v>0.15006388901343742</x:v>
      </x:c>
      <x:c r="BD363" s="6" t="str">
        <x:v>0.5789473684210527</x:v>
      </x:c>
      <x:c r="BE363" s="6" t="str">
        <x:v>0.2736842105263158</x:v>
      </x:c>
      <x:c r="BF363" s="9" t="str">
        <x:v>0.5895367068385042</x:v>
      </x:c>
      <x:c r="BG363" s="9" t="str">
        <x:v>0.2786900795963838</x:v>
      </x:c>
      <x:c r="BH363" s="6" t="str">
        <x:v>With trade</x:v>
      </x:c>
      <x:c r="BI363" s="6" t="str">
        <x:v>Penetration + same-bar reclaim</x:v>
      </x:c>
      <x:c r="BJ363" s="6" t="str">
        <x:v>False</x:v>
      </x:c>
      <x:c r="BK363" s="10" t="str">
        <x:v>True</x:v>
      </x:c>
      <x:c r="BL363" s="6" t="str">
        <x:v>True</x:v>
      </x:c>
      <x:c r="BM363" s="7" t="str">
        <x:v>2025-04-03 00:30:00-05:00</x:v>
      </x:c>
      <x:c r="BN363" s="8" t="str">
        <x:v>1</x:v>
      </x:c>
      <x:c r="BO363" s="6" t="str">
        <x:v>Immediate confirmation (1 bar)</x:v>
      </x:c>
      <x:c r="BP363" s="9" t="str">
        <x:v>0.6232301181757189</x:v>
      </x:c>
      <x:c r="BQ363" s="9" t="str">
        <x:v>1.4022677658953675</x:v>
      </x:c>
      <x:c r="BR363" s="10" t="str">
        <x:v>0.4444444444444444</x:v>
      </x:c>
      <x:c r="BS363" s="9" t="str">
        <x:v>1.2983960795327478</x:v>
      </x:c>
      <x:c r="BT363" s="9" t="str">
        <x:v>0.602455780903195</x:v>
      </x:c>
      <x:c r="BU363" s="9" t="str">
        <x:v>0.15580752954392973</x:v>
      </x:c>
      <x:c r="BV363" s="6" t="str">
        <x:v>With trade</x:v>
      </x:c>
      <x:c r="BW363" s="7" t="str">
        <x:v>2025-04-03 00:30:00-05:00</x:v>
      </x:c>
      <x:c r="BX363" s="6" t="str">
        <x:v>17611.5</x:v>
      </x:c>
      <x:c r="BY363" s="9" t="str">
        <x:v>24.06815646828347</x:v>
      </x:c>
      <x:c r="BZ363" s="9" t="str">
        <x:v>0.07</x:v>
      </x:c>
      <x:c r="CA363" s="6" t="str">
        <x:v>17647.602234702426</x:v>
      </x:c>
      <x:c r="CB363" s="6" t="str">
        <x:v>36.10223470242636</x:v>
      </x:c>
      <x:c r="CC363" s="9" t="str">
        <x:v>1.500000000000048</x:v>
      </x:c>
      <x:c r="CD363" s="6" t="str">
        <x:v>17539.29553059515</x:v>
      </x:c>
      <x:c r="CE363" s="6" t="str">
        <x:v>72.20446940484908</x:v>
      </x:c>
      <x:c r="CF363" s="6" t="str">
        <x:v>Fixed 2.00R target</x:v>
      </x:c>
      <x:c r="CG363" s="9" t="str">
        <x:v>0.02008185936343919</x:v>
      </x:c>
      <x:c r="CH363" s="9" t="str">
        <x:v>-1.0</x:v>
      </x:c>
      <x:c r="CI363" s="9" t="str">
        <x:v>-1.020081859363439</x:v>
      </x:c>
      <x:c r="CJ363" s="6" t="str">
        <x:v>Loss</x:v>
      </x:c>
      <x:c r="CK363" s="9" t="str">
        <x:v>0.6647787927207456</x:v>
      </x:c>
      <x:c r="CL363" s="9" t="str">
        <x:v>1.0525664218078472</x:v>
      </x:c>
      <x:c r="CM363" s="7" t="str">
        <x:v>2025-04-03 00:45:00-05:00</x:v>
      </x:c>
      <x:c r="CN363" s="6" t="str">
        <x:v>17647.602234702426</x:v>
      </x:c>
      <x:c r="CO363" s="6" t="str">
        <x:v>STOP</x:v>
      </x:c>
      <x:c r="CP363" s="6" t="str">
        <x:v>F::Short::Same-bar Setup+BOS::Penetration + same-bar reclaim</x:v>
      </x:c>
    </x:row>
    <x:row r="364" ht="18" customHeight="1">
      <x:c r="A364" s="6" t="str">
        <x:v>A0363</x:v>
      </x:c>
      <x:c r="B364" s="6" t="str">
        <x:v>2025-04-03</x:v>
      </x:c>
      <x:c r="C364" s="6" t="str">
        <x:v>2025</x:v>
      </x:c>
      <x:c r="D364" s="6" t="str">
        <x:v>2025-Q2</x:v>
      </x:c>
      <x:c r="E364" s="6" t="str">
        <x:v>Second 50%</x:v>
      </x:c>
      <x:c r="F364" s="6" t="str">
        <x:v>Short</x:v>
      </x:c>
      <x:c r="G364" s="6" t="str">
        <x:v>Short</x:v>
      </x:c>
      <x:c r="H364" s="6" t="str">
        <x:v>Opening</x:v>
      </x:c>
      <x:c r="I364" s="6" t="str">
        <x:v>Opening</x:v>
      </x:c>
      <x:c r="J364" s="6" t="str">
        <x:v>Bear</x:v>
      </x:c>
      <x:c r="K364" s="6" t="str">
        <x:v>Bear</x:v>
      </x:c>
      <x:c r="L364" s="6" t="str">
        <x:v>HIGH</x:v>
      </x:c>
      <x:c r="M364" s="7" t="str">
        <x:v>2025-04-03 09:45:00-05:00</x:v>
      </x:c>
      <x:c r="N364" s="6" t="str">
        <x:v>100.0</x:v>
      </x:c>
      <x:c r="O364" s="6" t="str">
        <x:v>95+</x:v>
      </x:c>
      <x:c r="P364" s="6" t="str">
        <x:v>Matching BOS only</x:v>
      </x:c>
      <x:c r="Q364" s="6" t="str">
        <x:v>Bear BOS</x:v>
      </x:c>
      <x:c r="R364" s="6" t="str">
        <x:v>True</x:v>
      </x:c>
      <x:c r="S364" s="6" t="str">
        <x:v>False</x:v>
      </x:c>
      <x:c r="T364" s="6" t="str">
        <x:v>Recent BSL</x:v>
      </x:c>
      <x:c r="U364" s="6" t="str">
        <x:v>BSL</x:v>
      </x:c>
      <x:c r="V364" s="6" t="str">
        <x:v>Swing high / buy-side</x:v>
      </x:c>
      <x:c r="W364" s="6" t="str">
        <x:v>[17605.75]</x:v>
      </x:c>
      <x:c r="X364" s="8" t="str">
        <x:v>1</x:v>
      </x:c>
      <x:c r="Y364" s="8" t="str">
        <x:v>14.0</x:v>
      </x:c>
      <x:c r="Z364" s="6" t="str">
        <x:v>None</x:v>
      </x:c>
      <x:c r="AA364" s="6" t="str">
        <x:v>17374.75</x:v>
      </x:c>
      <x:c r="AB364" s="9" t="str">
        <x:v>0.6717360537477476</x:v>
      </x:c>
      <x:c r="AC364" s="9" t="str">
        <x:v>1.0462797928070977</x:v>
      </x:c>
      <x:c r="AD364" s="9" t="str">
        <x:v>1.2254094071398305</x:v>
      </x:c>
      <x:c r="AE364" s="6" t="str">
        <x:v>With trade</x:v>
      </x:c>
      <x:c r="AF364" s="7" t="str">
        <x:v>2025-04-03 09:45:00-05:00</x:v>
      </x:c>
      <x:c r="AG364" s="6" t="str">
        <x:v>Short</x:v>
      </x:c>
      <x:c r="AH364" s="6" t="str">
        <x:v>17374.75</x:v>
      </x:c>
      <x:c r="AI364" s="8" t="str">
        <x:v>0</x:v>
      </x:c>
      <x:c r="AJ364" s="6" t="str">
        <x:v>True</x:v>
      </x:c>
      <x:c r="AK364" s="6" t="str">
        <x:v>Same-bar Setup+BOS</x:v>
      </x:c>
      <x:c r="AL364" s="9" t="str">
        <x:v>1.0584931756025113</x:v>
      </x:c>
      <x:c r="AM364" s="9" t="str">
        <x:v>0.6717360537477476</x:v>
      </x:c>
      <x:c r="AN364" s="9" t="str">
        <x:v>1.0462797928070977</x:v>
      </x:c>
      <x:c r="AO364" s="9" t="str">
        <x:v>1.2254094071398305</x:v>
      </x:c>
      <x:c r="AP364" s="10" t="str">
        <x:v>0.8538205980066446</x:v>
      </x:c>
      <x:c r="AQ364" s="6" t="str">
        <x:v>0.0664451827242525</x:v>
      </x:c>
      <x:c r="AR364" s="6" t="str">
        <x:v>0.07973421926910298</x:v>
      </x:c>
      <x:c r="AS364" s="6" t="str">
        <x:v>With trade</x:v>
      </x:c>
      <x:c r="AT364" s="6" t="str">
        <x:v>1.1921541399062663</x:v>
      </x:c>
      <x:c r="AU364" s="7" t="str">
        <x:v>2025-04-03 10:10:00-05:00</x:v>
      </x:c>
      <x:c r="AV364" s="8" t="str">
        <x:v>5</x:v>
      </x:c>
      <x:c r="AW364" s="6" t="str">
        <x:v>Delayed retest (2+ bars)</x:v>
      </x:c>
      <x:c r="AX364" s="6" t="str">
        <x:v>17371.75</x:v>
      </x:c>
      <x:c r="AY364" s="6" t="str">
        <x:v>0.0</x:v>
      </x:c>
      <x:c r="AZ364" s="9" t="str">
        <x:v>0.0</x:v>
      </x:c>
      <x:c r="BA364" s="9" t="str">
        <x:v>0.549638777957024</x:v>
      </x:c>
      <x:c r="BB364" s="9" t="str">
        <x:v>1.4079208696899153</x:v>
      </x:c>
      <x:c r="BC364" s="9" t="str">
        <x:v>0.8709660635318995</x:v>
      </x:c>
      <x:c r="BD364" s="6" t="str">
        <x:v>0.35435435435435436</x:v>
      </x:c>
      <x:c r="BE364" s="6" t="str">
        <x:v>0.02702702702702703</x:v>
      </x:c>
      <x:c r="BF364" s="9" t="str">
        <x:v>0.498902890760991</x:v>
      </x:c>
      <x:c r="BG364" s="9" t="str">
        <x:v>0.03805191539702474</x:v>
      </x:c>
      <x:c r="BH364" s="6" t="str">
        <x:v>Against trade</x:v>
      </x:c>
      <x:c r="BI364" s="6" t="str">
        <x:v>Tolerance-only shallow touch</x:v>
      </x:c>
      <x:c r="BJ364" s="6" t="str">
        <x:v>True</x:v>
      </x:c>
      <x:c r="BK364" s="10" t="str">
        <x:v>False</x:v>
      </x:c>
      <x:c r="BL364" s="6" t="str">
        <x:v>True</x:v>
      </x:c>
      <x:c r="BM364" s="7" t="str">
        <x:v>2025-04-03 10:25:00-05:00</x:v>
      </x:c>
      <x:c r="BN364" s="8" t="str">
        <x:v>3</x:v>
      </x:c>
      <x:c r="BO364" s="6" t="str">
        <x:v>Delayed confirmation (2+ bars)</x:v>
      </x:c>
      <x:c r="BP364" s="9" t="str">
        <x:v>0.16449121686007895</x:v>
      </x:c>
      <x:c r="BQ364" s="9" t="str">
        <x:v>0.8614145303988344</x:v>
      </x:c>
      <x:c r="BR364" s="10" t="str">
        <x:v>0.19095477386934673</x:v>
      </x:c>
      <x:c r="BS364" s="9" t="str">
        <x:v>0.16016250062691897</x:v>
      </x:c>
      <x:c r="BT364" s="9" t="str">
        <x:v>-0.4025706096838774</x:v>
      </x:c>
      <x:c r="BU364" s="9" t="str">
        <x:v>0.6709510161397957</x:v>
      </x:c>
      <x:c r="BV364" s="6" t="str">
        <x:v>With trade</x:v>
      </x:c>
      <x:c r="BW364" s="7" t="str">
        <x:v>2025-04-03 10:25:00-05:00</x:v>
      </x:c>
      <x:c r="BX364" s="6" t="str">
        <x:v>17365.5</x:v>
      </x:c>
      <x:c r="BY364" s="9" t="str">
        <x:v>57.7538435263749</x:v>
      </x:c>
      <x:c r="BZ364" s="9" t="str">
        <x:v>0.84</x:v>
      </x:c>
      <x:c r="CA364" s="6" t="str">
        <x:v>17452.130765289563</x:v>
      </x:c>
      <x:c r="CB364" s="6" t="str">
        <x:v>86.63076528956299</x:v>
      </x:c>
      <x:c r="CC364" s="9" t="str">
        <x:v>1.500000000000011</x:v>
      </x:c>
      <x:c r="CD364" s="6" t="str">
        <x:v>17192.238469420874</x:v>
      </x:c>
      <x:c r="CE364" s="6" t="str">
        <x:v>173.26153057912597</x:v>
      </x:c>
      <x:c r="CF364" s="6" t="str">
        <x:v>Fixed 2.00R target</x:v>
      </x:c>
      <x:c r="CG364" s="9" t="str">
        <x:v>0.008368851384109218</x:v>
      </x:c>
      <x:c r="CH364" s="9" t="str">
        <x:v>-1.0</x:v>
      </x:c>
      <x:c r="CI364" s="9" t="str">
        <x:v>-1.0083688513841091</x:v>
      </x:c>
      <x:c r="CJ364" s="6" t="str">
        <x:v>Loss</x:v>
      </x:c>
      <x:c r="CK364" s="9" t="str">
        <x:v>0.06925945973055904</x:v>
      </x:c>
      <x:c r="CL364" s="9" t="str">
        <x:v>1.3130439240585152</x:v>
      </x:c>
      <x:c r="CM364" s="7" t="str">
        <x:v>2025-04-03 10:40:00-05:00</x:v>
      </x:c>
      <x:c r="CN364" s="6" t="str">
        <x:v>17452.130765289563</x:v>
      </x:c>
      <x:c r="CO364" s="6" t="str">
        <x:v>STOP</x:v>
      </x:c>
      <x:c r="CP364" s="6" t="str">
        <x:v>F::Short::Same-bar Setup+BOS::Tolerance-only shallow touch</x:v>
      </x:c>
    </x:row>
    <x:row r="365" ht="18" customHeight="1">
      <x:c r="A365" s="6" t="str">
        <x:v>A0364</x:v>
      </x:c>
      <x:c r="B365" s="6" t="str">
        <x:v>2025-04-03</x:v>
      </x:c>
      <x:c r="C365" s="6" t="str">
        <x:v>2025</x:v>
      </x:c>
      <x:c r="D365" s="6" t="str">
        <x:v>2025-Q2</x:v>
      </x:c>
      <x:c r="E365" s="6" t="str">
        <x:v>Second 50%</x:v>
      </x:c>
      <x:c r="F365" s="6" t="str">
        <x:v>Short</x:v>
      </x:c>
      <x:c r="G365" s="6" t="str">
        <x:v>Short</x:v>
      </x:c>
      <x:c r="H365" s="6" t="str">
        <x:v>Midday</x:v>
      </x:c>
      <x:c r="I365" s="6" t="str">
        <x:v>Midday</x:v>
      </x:c>
      <x:c r="J365" s="6" t="str">
        <x:v>Bear</x:v>
      </x:c>
      <x:c r="K365" s="6" t="str">
        <x:v>Bear</x:v>
      </x:c>
      <x:c r="L365" s="6" t="str">
        <x:v>MID</x:v>
      </x:c>
      <x:c r="M365" s="7" t="str">
        <x:v>2025-04-03 12:55:00-05:00</x:v>
      </x:c>
      <x:c r="N365" s="6" t="str">
        <x:v>75.0</x:v>
      </x:c>
      <x:c r="O365" s="6" t="str">
        <x:v>75-79</x:v>
      </x:c>
      <x:c r="P365" s="6" t="str">
        <x:v>Matching BOS only</x:v>
      </x:c>
      <x:c r="Q365" s="6" t="str">
        <x:v>Bear BOS</x:v>
      </x:c>
      <x:c r="R365" s="6" t="str">
        <x:v>True</x:v>
      </x:c>
      <x:c r="S365" s="6" t="str">
        <x:v>False</x:v>
      </x:c>
      <x:c r="T365" s="6" t="str">
        <x:v>No recent matching sweep</x:v>
      </x:c>
      <x:c r="U365" s="6" t="str">
        <x:v>None</x:v>
      </x:c>
      <x:c r="V365" s="6" t="str">
        <x:v>None</x:v>
      </x:c>
      <x:c r="W365" s="6" t="str">
        <x:v>[]</x:v>
      </x:c>
      <x:c r="X365" s="8" t="str">
        <x:v>0</x:v>
      </x:c>
      <x:c r="Y365" s="8" t="str"/>
      <x:c r="Z365" s="6" t="str">
        <x:v>None</x:v>
      </x:c>
      <x:c r="AA365" s="6" t="str">
        <x:v>17368.0</x:v>
      </x:c>
      <x:c r="AB365" s="9" t="str">
        <x:v>0.2110988986816992</x:v>
      </x:c>
      <x:c r="AC365" s="9" t="str">
        <x:v>0.7999537213201233</x:v>
      </x:c>
      <x:c r="AD365" s="9" t="str">
        <x:v>0.877726999781802</x:v>
      </x:c>
      <x:c r="AE365" s="6" t="str">
        <x:v>With trade</x:v>
      </x:c>
      <x:c r="AF365" s="7" t="str">
        <x:v>2025-04-03 12:55:00-05:00</x:v>
      </x:c>
      <x:c r="AG365" s="6" t="str">
        <x:v>Short</x:v>
      </x:c>
      <x:c r="AH365" s="6" t="str">
        <x:v>17368.0</x:v>
      </x:c>
      <x:c r="AI365" s="8" t="str">
        <x:v>0</x:v>
      </x:c>
      <x:c r="AJ365" s="6" t="str">
        <x:v>True</x:v>
      </x:c>
      <x:c r="AK365" s="6" t="str">
        <x:v>Same-bar Setup+BOS</x:v>
      </x:c>
      <x:c r="AL365" s="9" t="str">
        <x:v>0.8166194238476259</x:v>
      </x:c>
      <x:c r="AM365" s="9" t="str">
        <x:v>0.2110988986816992</x:v>
      </x:c>
      <x:c r="AN365" s="9" t="str">
        <x:v>0.7999537213201233</x:v>
      </x:c>
      <x:c r="AO365" s="9" t="str">
        <x:v>0.877726999781802</x:v>
      </x:c>
      <x:c r="AP365" s="10" t="str">
        <x:v>0.9113924050632911</x:v>
      </x:c>
      <x:c r="AQ365" s="6" t="str">
        <x:v>0.0379746835443038</x:v>
      </x:c>
      <x:c r="AR365" s="6" t="str">
        <x:v>0.05063291139240506</x:v>
      </x:c>
      <x:c r="AS365" s="6" t="str">
        <x:v>With trade</x:v>
      </x:c>
      <x:c r="AT365" s="6" t="str">
        <x:v>0.8248943465433379</x:v>
      </x:c>
      <x:c r="AU365" s="7" t="str">
        <x:v>2025-04-03 13:00:00-05:00</x:v>
      </x:c>
      <x:c r="AV365" s="8" t="str">
        <x:v>1</x:v>
      </x:c>
      <x:c r="AW365" s="6" t="str">
        <x:v>Immediate retest (1 bar)</x:v>
      </x:c>
      <x:c r="AX365" s="6" t="str">
        <x:v>17383.75</x:v>
      </x:c>
      <x:c r="AY365" s="6" t="str">
        <x:v>15.75</x:v>
      </x:c>
      <x:c r="AZ365" s="9" t="str">
        <x:v>0.3589545817062563</x:v>
      </x:c>
      <x:c r="BA365" s="9" t="str">
        <x:v>0.2336053626977224</x:v>
      </x:c>
      <x:c r="BB365" s="9" t="str">
        <x:v>0.6666299374544761</x:v>
      </x:c>
      <x:c r="BC365" s="9" t="str">
        <x:v>0.02279076709246072</x:v>
      </x:c>
      <x:c r="BD365" s="6" t="str">
        <x:v>0.8547008547008547</x:v>
      </x:c>
      <x:c r="BE365" s="6" t="str">
        <x:v>0.1111111111111111</x:v>
      </x:c>
      <x:c r="BF365" s="9" t="str">
        <x:v>0.569769177311518</x:v>
      </x:c>
      <x:c r="BG365" s="9" t="str">
        <x:v>0.07406999305049734</x:v>
      </x:c>
      <x:c r="BH365" s="6" t="str">
        <x:v>With trade</x:v>
      </x:c>
      <x:c r="BI365" s="6" t="str">
        <x:v>Penetration + same-bar reclaim</x:v>
      </x:c>
      <x:c r="BJ365" s="6" t="str">
        <x:v>False</x:v>
      </x:c>
      <x:c r="BK365" s="10" t="str">
        <x:v>True</x:v>
      </x:c>
      <x:c r="BL365" s="6" t="str">
        <x:v>True</x:v>
      </x:c>
      <x:c r="BM365" s="7" t="str">
        <x:v>2025-04-03 13:05:00-05:00</x:v>
      </x:c>
      <x:c r="BN365" s="8" t="str">
        <x:v>1</x:v>
      </x:c>
      <x:c r="BO365" s="6" t="str">
        <x:v>Immediate confirmation (1 bar)</x:v>
      </x:c>
      <x:c r="BP365" s="9" t="str">
        <x:v>0.1003531036333363</x:v>
      </x:c>
      <x:c r="BQ365" s="9" t="str">
        <x:v>0.5312811368823687</x:v>
      </x:c>
      <x:c r="BR365" s="10" t="str">
        <x:v>0.18888888888888888</x:v>
      </x:c>
      <x:c r="BS365" s="9" t="str">
        <x:v>0.35418742458824576</x:v>
      </x:c>
      <x:c r="BT365" s="9" t="str">
        <x:v>0.11215935111961116</x:v>
      </x:c>
      <x:c r="BU365" s="9" t="str">
        <x:v>0.11215935111961116</x:v>
      </x:c>
      <x:c r="BV365" s="6" t="str">
        <x:v>With trade</x:v>
      </x:c>
      <x:c r="BW365" s="7" t="str">
        <x:v>2025-04-03 13:05:00-05:00</x:v>
      </x:c>
      <x:c r="BX365" s="6" t="str">
        <x:v>17353.0</x:v>
      </x:c>
      <x:c r="BY365" s="9" t="str">
        <x:v>42.3504589905697</x:v>
      </x:c>
      <x:c r="BZ365" s="9" t="str">
        <x:v>0.45</x:v>
      </x:c>
      <x:c r="CA365" s="6" t="str">
        <x:v>17416.525688485854</x:v>
      </x:c>
      <x:c r="CB365" s="6" t="str">
        <x:v>63.52568848585361</x:v>
      </x:c>
      <x:c r="CC365" s="9" t="str">
        <x:v>1.4999999999999778</x:v>
      </x:c>
      <x:c r="CD365" s="6" t="str">
        <x:v>17225.94862302829</x:v>
      </x:c>
      <x:c r="CE365" s="6" t="str">
        <x:v>127.05137697171085</x:v>
      </x:c>
      <x:c r="CF365" s="6" t="str">
        <x:v>Fixed 2.00R target</x:v>
      </x:c>
      <x:c r="CG365" s="9" t="str">
        <x:v>0.0114127059033992</x:v>
      </x:c>
      <x:c r="CH365" s="9" t="str">
        <x:v>-0.31089785047190466</x:v>
      </x:c>
      <x:c r="CI365" s="9" t="str">
        <x:v>-0.32231055637530387</x:v>
      </x:c>
      <x:c r="CJ365" s="6" t="str">
        <x:v>Loss</x:v>
      </x:c>
      <x:c r="CK365" s="9" t="str">
        <x:v>0.8461144031830441</x:v>
      </x:c>
      <x:c r="CL365" s="9" t="str">
        <x:v>0.8539852348405608</x:v>
      </x:c>
      <x:c r="CM365" s="7" t="str">
        <x:v>2025-04-03 14:05:00-05:00</x:v>
      </x:c>
      <x:c r="CN365" s="6" t="str">
        <x:v>17372.75</x:v>
      </x:c>
      <x:c r="CO365" s="6" t="str">
        <x:v>TIME</x:v>
      </x:c>
      <x:c r="CP365" s="6" t="str">
        <x:v>F::Short::Same-bar Setup+BOS::Penetration + same-bar reclaim</x:v>
      </x:c>
    </x:row>
    <x:row r="366" ht="18" customHeight="1">
      <x:c r="A366" s="6" t="str">
        <x:v>A0365</x:v>
      </x:c>
      <x:c r="B366" s="6" t="str">
        <x:v>2025-04-03</x:v>
      </x:c>
      <x:c r="C366" s="6" t="str">
        <x:v>2025</x:v>
      </x:c>
      <x:c r="D366" s="6" t="str">
        <x:v>2025-Q2</x:v>
      </x:c>
      <x:c r="E366" s="6" t="str">
        <x:v>Second 50%</x:v>
      </x:c>
      <x:c r="F366" s="6" t="str">
        <x:v>Short</x:v>
      </x:c>
      <x:c r="G366" s="6" t="str">
        <x:v>Short</x:v>
      </x:c>
      <x:c r="H366" s="6" t="str">
        <x:v>Afternoon</x:v>
      </x:c>
      <x:c r="I366" s="6" t="str">
        <x:v>Afternoon</x:v>
      </x:c>
      <x:c r="J366" s="6" t="str">
        <x:v>Bear</x:v>
      </x:c>
      <x:c r="K366" s="6" t="str">
        <x:v>Bear</x:v>
      </x:c>
      <x:c r="L366" s="6" t="str">
        <x:v>MID</x:v>
      </x:c>
      <x:c r="M366" s="7" t="str">
        <x:v>2025-04-03 14:15:00-05:00</x:v>
      </x:c>
      <x:c r="N366" s="6" t="str">
        <x:v>75.0</x:v>
      </x:c>
      <x:c r="O366" s="6" t="str">
        <x:v>75-79</x:v>
      </x:c>
      <x:c r="P366" s="6" t="str">
        <x:v>Matching BOS only</x:v>
      </x:c>
      <x:c r="Q366" s="6" t="str">
        <x:v>Bear BOS</x:v>
      </x:c>
      <x:c r="R366" s="6" t="str">
        <x:v>True</x:v>
      </x:c>
      <x:c r="S366" s="6" t="str">
        <x:v>False</x:v>
      </x:c>
      <x:c r="T366" s="6" t="str">
        <x:v>No recent matching sweep</x:v>
      </x:c>
      <x:c r="U366" s="6" t="str">
        <x:v>None</x:v>
      </x:c>
      <x:c r="V366" s="6" t="str">
        <x:v>None</x:v>
      </x:c>
      <x:c r="W366" s="6" t="str">
        <x:v>[]</x:v>
      </x:c>
      <x:c r="X366" s="8" t="str">
        <x:v>0</x:v>
      </x:c>
      <x:c r="Y366" s="8" t="str"/>
      <x:c r="Z366" s="6" t="str">
        <x:v>None</x:v>
      </x:c>
      <x:c r="AA366" s="6" t="str">
        <x:v>17299.25</x:v>
      </x:c>
      <x:c r="AB366" s="9" t="str">
        <x:v>0.03387707036779112</x:v>
      </x:c>
      <x:c r="AC366" s="9" t="str">
        <x:v>1.5018834529720728</x:v>
      </x:c>
      <x:c r="AD366" s="9" t="str">
        <x:v>2.190717217117159</x:v>
      </x:c>
      <x:c r="AE366" s="6" t="str">
        <x:v>With trade</x:v>
      </x:c>
      <x:c r="AF366" s="7" t="str">
        <x:v>2025-04-03 14:15:00-05:00</x:v>
      </x:c>
      <x:c r="AG366" s="6" t="str">
        <x:v>Short</x:v>
      </x:c>
      <x:c r="AH366" s="6" t="str">
        <x:v>17299.25</x:v>
      </x:c>
      <x:c r="AI366" s="8" t="str">
        <x:v>0</x:v>
      </x:c>
      <x:c r="AJ366" s="6" t="str">
        <x:v>True</x:v>
      </x:c>
      <x:c r="AK366" s="6" t="str">
        <x:v>Same-bar Setup+BOS</x:v>
      </x:c>
      <x:c r="AL366" s="9" t="str">
        <x:v>1.46236020420965</x:v>
      </x:c>
      <x:c r="AM366" s="9" t="str">
        <x:v>0.03387707036779112</x:v>
      </x:c>
      <x:c r="AN366" s="9" t="str">
        <x:v>1.5018834529720728</x:v>
      </x:c>
      <x:c r="AO366" s="9" t="str">
        <x:v>2.190717217117159</x:v>
      </x:c>
      <x:c r="AP366" s="10" t="str">
        <x:v>0.6855670103092784</x:v>
      </x:c>
      <x:c r="AQ366" s="6" t="str">
        <x:v>0.01804123711340206</x:v>
      </x:c>
      <x:c r="AR366" s="6" t="str">
        <x:v>0.2963917525773196</x:v>
      </x:c>
      <x:c r="AS366" s="6" t="str">
        <x:v>With trade</x:v>
      </x:c>
      <x:c r="AT366" s="6" t="str">
        <x:v>1.8621802258584925</x:v>
      </x:c>
      <x:c r="AU366" s="7" t="str">
        <x:v>2025-04-03 14:20:00-05:00</x:v>
      </x:c>
      <x:c r="AV366" s="8" t="str">
        <x:v>1</x:v>
      </x:c>
      <x:c r="AW366" s="6" t="str">
        <x:v>Immediate retest (1 bar)</x:v>
      </x:c>
      <x:c r="AX366" s="6" t="str">
        <x:v>17321.25</x:v>
      </x:c>
      <x:c r="AY366" s="6" t="str">
        <x:v>22.0</x:v>
      </x:c>
      <x:c r="AZ366" s="9" t="str">
        <x:v>0.49212238576890643</x:v>
      </x:c>
      <x:c r="BA366" s="9" t="str">
        <x:v>0.19013819450162295</x:v>
      </x:c>
      <x:c r="BB366" s="9" t="str">
        <x:v>1.1240522674948885</x:v>
      </x:c>
      <x:c r="BC366" s="9" t="str">
        <x:v>0.15099209563364174</x:v>
      </x:c>
      <x:c r="BD366" s="6" t="str">
        <x:v>0.472636815920398</x:v>
      </x:c>
      <x:c r="BE366" s="6" t="str">
        <x:v>0.39303482587064675</x:v>
      </x:c>
      <x:c r="BF366" s="9" t="str">
        <x:v>0.5312684846368877</x:v>
      </x:c>
      <x:c r="BG366" s="9" t="str">
        <x:v>0.4417916872243592</x:v>
      </x:c>
      <x:c r="BH366" s="6" t="str">
        <x:v>With trade</x:v>
      </x:c>
      <x:c r="BI366" s="6" t="str">
        <x:v>Penetration + same-bar reclaim</x:v>
      </x:c>
      <x:c r="BJ366" s="6" t="str">
        <x:v>False</x:v>
      </x:c>
      <x:c r="BK366" s="10" t="str">
        <x:v>True</x:v>
      </x:c>
      <x:c r="BL366" s="6" t="str">
        <x:v>True</x:v>
      </x:c>
      <x:c r="BM366" s="7" t="str">
        <x:v>2025-04-03 14:25:00-05:00</x:v>
      </x:c>
      <x:c r="BN366" s="8" t="str">
        <x:v>1</x:v>
      </x:c>
      <x:c r="BO366" s="6" t="str">
        <x:v>Immediate confirmation (1 bar)</x:v>
      </x:c>
      <x:c r="BP366" s="9" t="str">
        <x:v>0.4782284895444326</x:v>
      </x:c>
      <x:c r="BQ366" s="9" t="str">
        <x:v>1.0732337032799475</x:v>
      </x:c>
      <x:c r="BR366" s="10" t="str">
        <x:v>0.44559585492227977</x:v>
      </x:c>
      <x:c r="BS366" s="9" t="str">
        <x:v>0.6394915848559273</x:v>
      </x:c>
      <x:c r="BT366" s="9" t="str">
        <x:v>0.45042450759417485</x:v>
      </x:c>
      <x:c r="BU366" s="9" t="str">
        <x:v>0.37813415452350485</x:v>
      </x:c>
      <x:c r="BV366" s="6" t="str">
        <x:v>With trade</x:v>
      </x:c>
      <x:c r="BW366" s="7" t="str">
        <x:v>2025-04-03 14:25:00-05:00</x:v>
      </x:c>
      <x:c r="BX366" s="6" t="str">
        <x:v>17270.5</x:v>
      </x:c>
      <x:c r="BY366" s="9" t="str">
        <x:v>44.95758924877356</x:v>
      </x:c>
      <x:c r="BZ366" s="9" t="str">
        <x:v>0.46</x:v>
      </x:c>
      <x:c r="CA366" s="6" t="str">
        <x:v>17337.93638387316</x:v>
      </x:c>
      <x:c r="CB366" s="6" t="str">
        <x:v>67.43638387315877</x:v>
      </x:c>
      <x:c r="CC366" s="9" t="str">
        <x:v>1.4999999999999651</x:v>
      </x:c>
      <x:c r="CD366" s="6" t="str">
        <x:v>17135.62723225368</x:v>
      </x:c>
      <x:c r="CE366" s="6" t="str">
        <x:v>134.8727677463212</x:v>
      </x:c>
      <x:c r="CF366" s="6" t="str">
        <x:v>Fixed 2.00R target</x:v>
      </x:c>
      <x:c r="CG366" s="9" t="str">
        <x:v>0.010750873020766563</x:v>
      </x:c>
      <x:c r="CH366" s="9" t="str">
        <x:v>1.564437384401167</x:v>
      </x:c>
      <x:c r="CI366" s="9" t="str">
        <x:v>1.5536865113804004</x:v>
      </x:c>
      <x:c r="CJ366" s="6" t="str">
        <x:v>Win</x:v>
      </x:c>
      <x:c r="CK366" s="9" t="str">
        <x:v>1.5903877675547777</x:v>
      </x:c>
      <x:c r="CL366" s="9" t="str">
        <x:v>0.5153004654781215</x:v>
      </x:c>
      <x:c r="CM366" s="7" t="str">
        <x:v>2025-04-03 15:25:00-05:00</x:v>
      </x:c>
      <x:c r="CN366" s="6" t="str">
        <x:v>17165.0</x:v>
      </x:c>
      <x:c r="CO366" s="6" t="str">
        <x:v>TIME</x:v>
      </x:c>
      <x:c r="CP366" s="6" t="str">
        <x:v>F::Short::Same-bar Setup+BOS::Penetration + same-bar reclaim</x:v>
      </x:c>
    </x:row>
    <x:row r="367" ht="18" customHeight="1">
      <x:c r="A367" s="6" t="str">
        <x:v>A0366</x:v>
      </x:c>
      <x:c r="B367" s="6" t="str">
        <x:v>2025-04-03</x:v>
      </x:c>
      <x:c r="C367" s="6" t="str">
        <x:v>2025</x:v>
      </x:c>
      <x:c r="D367" s="6" t="str">
        <x:v>2025-Q2</x:v>
      </x:c>
      <x:c r="E367" s="6" t="str">
        <x:v>Second 50%</x:v>
      </x:c>
      <x:c r="F367" s="6" t="str">
        <x:v>Short</x:v>
      </x:c>
      <x:c r="G367" s="6" t="str">
        <x:v>Short</x:v>
      </x:c>
      <x:c r="H367" s="6" t="str">
        <x:v>Afternoon</x:v>
      </x:c>
      <x:c r="I367" s="6" t="str">
        <x:v>Afternoon</x:v>
      </x:c>
      <x:c r="J367" s="6" t="str">
        <x:v>Bear</x:v>
      </x:c>
      <x:c r="K367" s="6" t="str">
        <x:v>Bear</x:v>
      </x:c>
      <x:c r="L367" s="6" t="str">
        <x:v>LOW</x:v>
      </x:c>
      <x:c r="M367" s="7" t="str">
        <x:v>2025-04-03 15:25:00-05:00</x:v>
      </x:c>
      <x:c r="N367" s="6" t="str">
        <x:v>75.0</x:v>
      </x:c>
      <x:c r="O367" s="6" t="str">
        <x:v>75-79</x:v>
      </x:c>
      <x:c r="P367" s="6" t="str">
        <x:v>Matching BOS only</x:v>
      </x:c>
      <x:c r="Q367" s="6" t="str">
        <x:v>Bear BOS</x:v>
      </x:c>
      <x:c r="R367" s="6" t="str">
        <x:v>True</x:v>
      </x:c>
      <x:c r="S367" s="6" t="str">
        <x:v>False</x:v>
      </x:c>
      <x:c r="T367" s="6" t="str">
        <x:v>No recent matching sweep</x:v>
      </x:c>
      <x:c r="U367" s="6" t="str">
        <x:v>None</x:v>
      </x:c>
      <x:c r="V367" s="6" t="str">
        <x:v>None</x:v>
      </x:c>
      <x:c r="W367" s="6" t="str">
        <x:v>[]</x:v>
      </x:c>
      <x:c r="X367" s="8" t="str">
        <x:v>0</x:v>
      </x:c>
      <x:c r="Y367" s="8" t="str"/>
      <x:c r="Z367" s="6" t="str">
        <x:v>None</x:v>
      </x:c>
      <x:c r="AA367" s="6" t="str">
        <x:v>17209.25</x:v>
      </x:c>
      <x:c r="AB367" s="9" t="str">
        <x:v>1.1064007480983808</x:v>
      </x:c>
      <x:c r="AC367" s="9" t="str">
        <x:v>1.1876618199926123</x:v>
      </x:c>
      <x:c r="AD367" s="9" t="str">
        <x:v>1.2314177817818137</x:v>
      </x:c>
      <x:c r="AE367" s="6" t="str">
        <x:v>With trade</x:v>
      </x:c>
      <x:c r="AF367" s="7" t="str">
        <x:v>2025-04-03 15:25:00-05:00</x:v>
      </x:c>
      <x:c r="AG367" s="6" t="str">
        <x:v>Short</x:v>
      </x:c>
      <x:c r="AH367" s="6" t="str">
        <x:v>17209.25</x:v>
      </x:c>
      <x:c r="AI367" s="8" t="str">
        <x:v>0</x:v>
      </x:c>
      <x:c r="AJ367" s="6" t="str">
        <x:v>True</x:v>
      </x:c>
      <x:c r="AK367" s="6" t="str">
        <x:v>Same-bar Setup+BOS</x:v>
      </x:c>
      <x:c r="AL367" s="9" t="str">
        <x:v>1.2001635233609556</x:v>
      </x:c>
      <x:c r="AM367" s="9" t="str">
        <x:v>1.1064007480983808</x:v>
      </x:c>
      <x:c r="AN367" s="9" t="str">
        <x:v>1.1876618199926123</x:v>
      </x:c>
      <x:c r="AO367" s="9" t="str">
        <x:v>1.2314177817818137</x:v>
      </x:c>
      <x:c r="AP367" s="10" t="str">
        <x:v>0.9644670050761421</x:v>
      </x:c>
      <x:c r="AQ367" s="6" t="str">
        <x:v>0.0</x:v>
      </x:c>
      <x:c r="AR367" s="6" t="str">
        <x:v>0.03553299492385787</x:v>
      </x:c>
      <x:c r="AS367" s="6" t="str">
        <x:v>With trade</x:v>
      </x:c>
      <x:c r="AT367" s="6" t="str">
        <x:v>0.4045896697212811</x:v>
      </x:c>
      <x:c r="AU367" s="7" t="str">
        <x:v>2025-04-03 15:30:00-05:00</x:v>
      </x:c>
      <x:c r="AV367" s="8" t="str">
        <x:v>1</x:v>
      </x:c>
      <x:c r="AW367" s="6" t="str">
        <x:v>Immediate retest (1 bar)</x:v>
      </x:c>
      <x:c r="AX367" s="6" t="str">
        <x:v>17208.75</x:v>
      </x:c>
      <x:c r="AY367" s="6" t="str">
        <x:v>0.0</x:v>
      </x:c>
      <x:c r="AZ367" s="9" t="str">
        <x:v>0.0</x:v>
      </x:c>
      <x:c r="BA367" s="9" t="str">
        <x:v>0.632257423471381</x:v>
      </x:c>
      <x:c r="BB367" s="9" t="str">
        <x:v>1.233822739007258</x:v>
      </x:c>
      <x:c r="BC367" s="9" t="str">
        <x:v>0.4665200406196598</x:v>
      </x:c>
      <x:c r="BD367" s="6" t="str">
        <x:v>0.5024875621890548</x:v>
      </x:c>
      <x:c r="BE367" s="6" t="str">
        <x:v>0.11940298507462686</x:v>
      </x:c>
      <x:c r="BF367" s="9" t="str">
        <x:v>0.6199805802971794</x:v>
      </x:c>
      <x:c r="BG367" s="9" t="str">
        <x:v>0.14732211809041887</x:v>
      </x:c>
      <x:c r="BH367" s="6" t="str">
        <x:v>Against trade</x:v>
      </x:c>
      <x:c r="BI367" s="6" t="str">
        <x:v>Tolerance-only shallow touch</x:v>
      </x:c>
      <x:c r="BJ367" s="6" t="str">
        <x:v>True</x:v>
      </x:c>
      <x:c r="BK367" s="10" t="str">
        <x:v>False</x:v>
      </x:c>
      <x:c r="BL367" s="6" t="str">
        <x:v>True</x:v>
      </x:c>
      <x:c r="BM367" s="7" t="str">
        <x:v>2025-04-03 15:35:00-05:00</x:v>
      </x:c>
      <x:c r="BN367" s="8" t="str">
        <x:v>1</x:v>
      </x:c>
      <x:c r="BO367" s="6" t="str">
        <x:v>Immediate confirmation (1 bar)</x:v>
      </x:c>
      <x:c r="BP367" s="9" t="str">
        <x:v>0.27229860149051444</x:v>
      </x:c>
      <x:c r="BQ367" s="9" t="str">
        <x:v>0.5889248822934382</x:v>
      </x:c>
      <x:c r="BR367" s="10" t="str">
        <x:v>0.46236559139784944</x:v>
      </x:c>
      <x:c r="BS367" s="9" t="str">
        <x:v>0.9118836887124204</x:v>
      </x:c>
      <x:c r="BT367" s="9" t="str">
        <x:v>0.25963355025839746</x:v>
      </x:c>
      <x:c r="BU367" s="9" t="str">
        <x:v>0.11398546108905255</x:v>
      </x:c>
      <x:c r="BV367" s="6" t="str">
        <x:v>With trade</x:v>
      </x:c>
      <x:c r="BW367" s="7" t="str">
        <x:v>2025-04-03 15:35:00-05:00</x:v>
      </x:c>
      <x:c r="BX367" s="6" t="str">
        <x:v>17173.25</x:v>
      </x:c>
      <x:c r="BY367" s="9" t="str">
        <x:v>39.47871910159068</x:v>
      </x:c>
      <x:c r="BZ367" s="9" t="str">
        <x:v>0.16</x:v>
      </x:c>
      <x:c r="CA367" s="6" t="str">
        <x:v>17232.468078652386</x:v>
      </x:c>
      <x:c r="CB367" s="6" t="str">
        <x:v>59.218078652385884</x:v>
      </x:c>
      <x:c r="CC367" s="9" t="str">
        <x:v>1.4999999999999967</x:v>
      </x:c>
      <x:c r="CD367" s="6" t="str">
        <x:v>17054.81384269523</x:v>
      </x:c>
      <x:c r="CE367" s="6" t="str">
        <x:v>118.43615730477177</x:v>
      </x:c>
      <x:c r="CF367" s="6" t="str">
        <x:v>Fixed 2.00R target</x:v>
      </x:c>
      <x:c r="CG367" s="9" t="str">
        <x:v>0.01224288285771308</x:v>
      </x:c>
      <x:c r="CH367" s="9" t="str">
        <x:v>-1.0</x:v>
      </x:c>
      <x:c r="CI367" s="9" t="str">
        <x:v>-1.012242882857713</x:v>
      </x:c>
      <x:c r="CJ367" s="6" t="str">
        <x:v>Loss</x:v>
      </x:c>
      <x:c r="CK367" s="9" t="str">
        <x:v>0.016886734976155972</x:v>
      </x:c>
      <x:c r="CL367" s="9" t="str">
        <x:v>1.1694063970988011</x:v>
      </x:c>
      <x:c r="CM367" s="7" t="str">
        <x:v>2025-04-03 17:00:00-05:00</x:v>
      </x:c>
      <x:c r="CN367" s="6" t="str">
        <x:v>17232.468078652386</x:v>
      </x:c>
      <x:c r="CO367" s="6" t="str">
        <x:v>STOP</x:v>
      </x:c>
      <x:c r="CP367" s="6" t="str">
        <x:v>F::Short::Same-bar Setup+BOS::Tolerance-only shallow touch</x:v>
      </x:c>
    </x:row>
    <x:row r="368" ht="18" customHeight="1">
      <x:c r="A368" s="6" t="str">
        <x:v>A0367</x:v>
      </x:c>
      <x:c r="B368" s="6" t="str">
        <x:v>2025-04-04</x:v>
      </x:c>
      <x:c r="C368" s="6" t="str">
        <x:v>2025</x:v>
      </x:c>
      <x:c r="D368" s="6" t="str">
        <x:v>2025-Q2</x:v>
      </x:c>
      <x:c r="E368" s="6" t="str">
        <x:v>Second 50%</x:v>
      </x:c>
      <x:c r="F368" s="6" t="str">
        <x:v>Long</x:v>
      </x:c>
      <x:c r="G368" s="6" t="str">
        <x:v>Long</x:v>
      </x:c>
      <x:c r="H368" s="6" t="str">
        <x:v>Overnight</x:v>
      </x:c>
      <x:c r="I368" s="6" t="str">
        <x:v>Overnight</x:v>
      </x:c>
      <x:c r="J368" s="6" t="str">
        <x:v>Bear</x:v>
      </x:c>
      <x:c r="K368" s="6" t="str">
        <x:v>Bear</x:v>
      </x:c>
      <x:c r="L368" s="6" t="str">
        <x:v>HIGH</x:v>
      </x:c>
      <x:c r="M368" s="7" t="str">
        <x:v>2025-04-04 00:25:00-05:00</x:v>
      </x:c>
      <x:c r="N368" s="6" t="str">
        <x:v>90.0</x:v>
      </x:c>
      <x:c r="O368" s="6" t="str">
        <x:v>90-94</x:v>
      </x:c>
      <x:c r="P368" s="6" t="str">
        <x:v>Matching BOS only</x:v>
      </x:c>
      <x:c r="Q368" s="6" t="str">
        <x:v>Bull CHoCH</x:v>
      </x:c>
      <x:c r="R368" s="6" t="str">
        <x:v>True</x:v>
      </x:c>
      <x:c r="S368" s="6" t="str">
        <x:v>False</x:v>
      </x:c>
      <x:c r="T368" s="6" t="str">
        <x:v>Recent SSL</x:v>
      </x:c>
      <x:c r="U368" s="6" t="str">
        <x:v>SSL</x:v>
      </x:c>
      <x:c r="V368" s="6" t="str">
        <x:v>Swing low / sell-side</x:v>
      </x:c>
      <x:c r="W368" s="6" t="str">
        <x:v>[17004.25]</x:v>
      </x:c>
      <x:c r="X368" s="8" t="str">
        <x:v>1</x:v>
      </x:c>
      <x:c r="Y368" s="8" t="str">
        <x:v>5.0</x:v>
      </x:c>
      <x:c r="Z368" s="6" t="str">
        <x:v>None</x:v>
      </x:c>
      <x:c r="AA368" s="6" t="str">
        <x:v>17118.5</x:v>
      </x:c>
      <x:c r="AB368" s="9" t="str">
        <x:v>0.4674371525212044</x:v>
      </x:c>
      <x:c r="AC368" s="9" t="str">
        <x:v>1.6461917110529372</x:v>
      </x:c>
      <x:c r="AD368" s="9" t="str">
        <x:v>1.6970000971965464</x:v>
      </x:c>
      <x:c r="AE368" s="6" t="str">
        <x:v>With trade</x:v>
      </x:c>
      <x:c r="AF368" s="7" t="str">
        <x:v>2025-04-04 00:25:00-05:00</x:v>
      </x:c>
      <x:c r="AG368" s="6" t="str">
        <x:v>Long</x:v>
      </x:c>
      <x:c r="AH368" s="6" t="str">
        <x:v>17118.5</x:v>
      </x:c>
      <x:c r="AI368" s="8" t="str">
        <x:v>0</x:v>
      </x:c>
      <x:c r="AJ368" s="6" t="str">
        <x:v>True</x:v>
      </x:c>
      <x:c r="AK368" s="6" t="str">
        <x:v>Same-bar Setup+BOS</x:v>
      </x:c>
      <x:c r="AL368" s="9" t="str">
        <x:v>1.656353388281659</x:v>
      </x:c>
      <x:c r="AM368" s="9" t="str">
        <x:v>0.4674371525212044</x:v>
      </x:c>
      <x:c r="AN368" s="9" t="str">
        <x:v>1.6461917110529372</x:v>
      </x:c>
      <x:c r="AO368" s="9" t="str">
        <x:v>1.6970000971965464</x:v>
      </x:c>
      <x:c r="AP368" s="10" t="str">
        <x:v>0.9700598802395209</x:v>
      </x:c>
      <x:c r="AQ368" s="6" t="str">
        <x:v>0.029940119760479042</x:v>
      </x:c>
      <x:c r="AR368" s="6" t="str">
        <x:v>0.0</x:v>
      </x:c>
      <x:c r="AS368" s="6" t="str">
        <x:v>With trade</x:v>
      </x:c>
      <x:c r="AT368" s="6" t="str">
        <x:v>1.9069090909090909</x:v>
      </x:c>
      <x:c r="AU368" s="7" t="str">
        <x:v>2025-04-04 00:30:00-05:00</x:v>
      </x:c>
      <x:c r="AV368" s="8" t="str">
        <x:v>1</x:v>
      </x:c>
      <x:c r="AW368" s="6" t="str">
        <x:v>Immediate retest (1 bar)</x:v>
      </x:c>
      <x:c r="AX368" s="6" t="str">
        <x:v>17116.0</x:v>
      </x:c>
      <x:c r="AY368" s="6" t="str">
        <x:v>2.5</x:v>
      </x:c>
      <x:c r="AZ368" s="9" t="str">
        <x:v>0.10047969238369245</x:v>
      </x:c>
      <x:c r="BA368" s="9" t="str">
        <x:v>0.6631659697323702</x:v>
      </x:c>
      <x:c r="BB368" s="9" t="str">
        <x:v>1.145468493174094</x:v>
      </x:c>
      <x:c r="BC368" s="9" t="str">
        <x:v>0.3014390771510774</x:v>
      </x:c>
      <x:c r="BD368" s="6" t="str">
        <x:v>0.3333333333333333</x:v>
      </x:c>
      <x:c r="BE368" s="6" t="str">
        <x:v>0.40350877192982454</x:v>
      </x:c>
      <x:c r="BF368" s="9" t="str">
        <x:v>0.4622065849649853</x:v>
      </x:c>
      <x:c r="BG368" s="9" t="str">
        <x:v>0.38182283105803133</x:v>
      </x:c>
      <x:c r="BH368" s="6" t="str">
        <x:v>With trade</x:v>
      </x:c>
      <x:c r="BI368" s="6" t="str">
        <x:v>Penetration + same-bar reclaim</x:v>
      </x:c>
      <x:c r="BJ368" s="6" t="str">
        <x:v>False</x:v>
      </x:c>
      <x:c r="BK368" s="10" t="str">
        <x:v>True</x:v>
      </x:c>
      <x:c r="BL368" s="6" t="str">
        <x:v>True</x:v>
      </x:c>
      <x:c r="BM368" s="7" t="str">
        <x:v>2025-04-04 00:35:00-05:00</x:v>
      </x:c>
      <x:c r="BN368" s="8" t="str">
        <x:v>1</x:v>
      </x:c>
      <x:c r="BO368" s="6" t="str">
        <x:v>Immediate confirmation (1 bar)</x:v>
      </x:c>
      <x:c r="BP368" s="9" t="str">
        <x:v>0.6483301349252836</x:v>
      </x:c>
      <x:c r="BQ368" s="9" t="str">
        <x:v>1.480515084232364</x:v>
      </x:c>
      <x:c r="BR368" s="10" t="str">
        <x:v>0.43790849673202614</x:v>
      </x:c>
      <x:c r="BS368" s="9" t="str">
        <x:v>1.3160134082065458</x:v>
      </x:c>
      <x:c r="BT368" s="9" t="str">
        <x:v>0.6773598424592515</x:v>
      </x:c>
      <x:c r="BU368" s="9" t="str">
        <x:v>0.5709175815013691</x:v>
      </x:c>
      <x:c r="BV368" s="6" t="str">
        <x:v>With trade</x:v>
      </x:c>
      <x:c r="BW368" s="7" t="str">
        <x:v>2025-04-04 00:35:00-05:00</x:v>
      </x:c>
      <x:c r="BX368" s="6" t="str">
        <x:v>17152.5</x:v>
      </x:c>
      <x:c r="BY368" s="9" t="str">
        <x:v>25.835603032597497</x:v>
      </x:c>
      <x:c r="BZ368" s="9" t="str">
        <x:v>0.74</x:v>
      </x:c>
      <x:c r="CA368" s="6" t="str">
        <x:v>17113.746595451103</x:v>
      </x:c>
      <x:c r="CB368" s="6" t="str">
        <x:v>38.75340454889738</x:v>
      </x:c>
      <x:c r="CC368" s="9" t="str">
        <x:v>1.500000000000044</x:v>
      </x:c>
      <x:c r="CD368" s="6" t="str">
        <x:v>17230.00680909779</x:v>
      </x:c>
      <x:c r="CE368" s="6" t="str">
        <x:v>77.50680909779112</x:v>
      </x:c>
      <x:c r="CF368" s="6" t="str">
        <x:v>Fixed 2.00R target</x:v>
      </x:c>
      <x:c r="CG368" s="9" t="str">
        <x:v>0.01870803374411211</x:v>
      </x:c>
      <x:c r="CH368" s="9" t="str">
        <x:v>0.37416067488225324</x:v>
      </x:c>
      <x:c r="CI368" s="9" t="str">
        <x:v>0.3554526411381411</x:v>
      </x:c>
      <x:c r="CJ368" s="6" t="str">
        <x:v>Win</x:v>
      </x:c>
      <x:c r="CK368" s="9" t="str">
        <x:v>1.7482334981566836</x:v>
      </x:c>
      <x:c r="CL368" s="9" t="str">
        <x:v>0.10321673789854958</x:v>
      </x:c>
      <x:c r="CM368" s="7" t="str">
        <x:v>2025-04-04 01:35:00-05:00</x:v>
      </x:c>
      <x:c r="CN368" s="6" t="str">
        <x:v>17167.0</x:v>
      </x:c>
      <x:c r="CO368" s="6" t="str">
        <x:v>TIME</x:v>
      </x:c>
      <x:c r="CP368" s="6" t="str">
        <x:v>F::Long::Same-bar Setup+BOS::Penetration + same-bar reclaim</x:v>
      </x:c>
    </x:row>
    <x:row r="369" ht="18" customHeight="1">
      <x:c r="A369" s="6" t="str">
        <x:v>A0368</x:v>
      </x:c>
      <x:c r="B369" s="6" t="str">
        <x:v>2025-04-04</x:v>
      </x:c>
      <x:c r="C369" s="6" t="str">
        <x:v>2025</x:v>
      </x:c>
      <x:c r="D369" s="6" t="str">
        <x:v>2025-Q2</x:v>
      </x:c>
      <x:c r="E369" s="6" t="str">
        <x:v>Second 50%</x:v>
      </x:c>
      <x:c r="F369" s="6" t="str">
        <x:v>Short</x:v>
      </x:c>
      <x:c r="G369" s="6" t="str">
        <x:v>Short</x:v>
      </x:c>
      <x:c r="H369" s="6" t="str">
        <x:v>Morning</x:v>
      </x:c>
      <x:c r="I369" s="6" t="str">
        <x:v>Morning</x:v>
      </x:c>
      <x:c r="J369" s="6" t="str">
        <x:v>Bear</x:v>
      </x:c>
      <x:c r="K369" s="6" t="str">
        <x:v>Bear</x:v>
      </x:c>
      <x:c r="L369" s="6" t="str">
        <x:v>HIGH</x:v>
      </x:c>
      <x:c r="M369" s="7" t="str">
        <x:v>2025-04-04 11:15:00-05:00</x:v>
      </x:c>
      <x:c r="N369" s="6" t="str">
        <x:v>75.0</x:v>
      </x:c>
      <x:c r="O369" s="6" t="str">
        <x:v>75-79</x:v>
      </x:c>
      <x:c r="P369" s="6" t="str">
        <x:v>Matching BOS only</x:v>
      </x:c>
      <x:c r="Q369" s="6" t="str">
        <x:v>Bear BOS</x:v>
      </x:c>
      <x:c r="R369" s="6" t="str">
        <x:v>True</x:v>
      </x:c>
      <x:c r="S369" s="6" t="str">
        <x:v>False</x:v>
      </x:c>
      <x:c r="T369" s="6" t="str">
        <x:v>No recent matching sweep</x:v>
      </x:c>
      <x:c r="U369" s="6" t="str">
        <x:v>None</x:v>
      </x:c>
      <x:c r="V369" s="6" t="str">
        <x:v>None</x:v>
      </x:c>
      <x:c r="W369" s="6" t="str">
        <x:v>[]</x:v>
      </x:c>
      <x:c r="X369" s="8" t="str">
        <x:v>0</x:v>
      </x:c>
      <x:c r="Y369" s="8" t="str"/>
      <x:c r="Z369" s="6" t="str">
        <x:v>None</x:v>
      </x:c>
      <x:c r="AA369" s="6" t="str">
        <x:v>16388.5</x:v>
      </x:c>
      <x:c r="AB369" s="9" t="str">
        <x:v>0.3344619250632045</x:v>
      </x:c>
      <x:c r="AC369" s="9" t="str">
        <x:v>1.1629656479321882</x:v>
      </x:c>
      <x:c r="AD369" s="9" t="str">
        <x:v>1.40780052118107</x:v>
      </x:c>
      <x:c r="AE369" s="6" t="str">
        <x:v>With trade</x:v>
      </x:c>
      <x:c r="AF369" s="7" t="str">
        <x:v>2025-04-04 11:15:00-05:00</x:v>
      </x:c>
      <x:c r="AG369" s="6" t="str">
        <x:v>Short</x:v>
      </x:c>
      <x:c r="AH369" s="6" t="str">
        <x:v>16388.5</x:v>
      </x:c>
      <x:c r="AI369" s="8" t="str">
        <x:v>0</x:v>
      </x:c>
      <x:c r="AJ369" s="6" t="str">
        <x:v>True</x:v>
      </x:c>
      <x:c r="AK369" s="6" t="str">
        <x:v>Same-bar Setup+BOS</x:v>
      </x:c>
      <x:c r="AL369" s="9" t="str">
        <x:v>1.1542215453161568</x:v>
      </x:c>
      <x:c r="AM369" s="9" t="str">
        <x:v>0.3344619250632045</x:v>
      </x:c>
      <x:c r="AN369" s="9" t="str">
        <x:v>1.1629656479321882</x:v>
      </x:c>
      <x:c r="AO369" s="9" t="str">
        <x:v>1.40780052118107</x:v>
      </x:c>
      <x:c r="AP369" s="10" t="str">
        <x:v>0.8260869565217391</x:v>
      </x:c>
      <x:c r="AQ369" s="6" t="str">
        <x:v>0.11801242236024845</x:v>
      </x:c>
      <x:c r="AR369" s="6" t="str">
        <x:v>0.055900621118012424</x:v>
      </x:c>
      <x:c r="AS369" s="6" t="str">
        <x:v>With trade</x:v>
      </x:c>
      <x:c r="AT369" s="6" t="str">
        <x:v>0.9133255558259964</x:v>
      </x:c>
      <x:c r="AU369" s="7" t="str">
        <x:v>2025-04-04 11:40:00-05:00</x:v>
      </x:c>
      <x:c r="AV369" s="8" t="str">
        <x:v>5</x:v>
      </x:c>
      <x:c r="AW369" s="6" t="str">
        <x:v>Delayed retest (2+ bars)</x:v>
      </x:c>
      <x:c r="AX369" s="6" t="str">
        <x:v>16389.75</x:v>
      </x:c>
      <x:c r="AY369" s="6" t="str">
        <x:v>1.25</x:v>
      </x:c>
      <x:c r="AZ369" s="9" t="str">
        <x:v>0.01199674278981612</x:v>
      </x:c>
      <x:c r="BA369" s="9" t="str">
        <x:v>0.8493693895189813</x:v>
      </x:c>
      <x:c r="BB369" s="9" t="str">
        <x:v>0.9045544063521355</x:v>
      </x:c>
      <x:c r="BC369" s="9" t="str">
        <x:v>0.5662462596793209</x:v>
      </x:c>
      <x:c r="BD369" s="6" t="str">
        <x:v>0.32625994694960214</x:v>
      </x:c>
      <x:c r="BE369" s="6" t="str">
        <x:v>0.04774535809018567</x:v>
      </x:c>
      <x:c r="BF369" s="9" t="str">
        <x:v>0.2951198726294766</x:v>
      </x:c>
      <x:c r="BG369" s="9" t="str">
        <x:v>0.04318827404333803</x:v>
      </x:c>
      <x:c r="BH369" s="6" t="str">
        <x:v>With trade</x:v>
      </x:c>
      <x:c r="BI369" s="6" t="str">
        <x:v>Penetration + same-bar reclaim</x:v>
      </x:c>
      <x:c r="BJ369" s="6" t="str">
        <x:v>False</x:v>
      </x:c>
      <x:c r="BK369" s="10" t="str">
        <x:v>True</x:v>
      </x:c>
      <x:c r="BL369" s="6" t="str">
        <x:v>True</x:v>
      </x:c>
      <x:c r="BM369" s="7" t="str">
        <x:v>2025-04-04 11:45:00-05:00</x:v>
      </x:c>
      <x:c r="BN369" s="8" t="str">
        <x:v>1</x:v>
      </x:c>
      <x:c r="BO369" s="6" t="str">
        <x:v>Immediate confirmation (1 bar)</x:v>
      </x:c>
      <x:c r="BP369" s="9" t="str">
        <x:v>0.24954825819147652</x:v>
      </x:c>
      <x:c r="BQ369" s="9" t="str">
        <x:v>0.4791326557276349</x:v>
      </x:c>
      <x:c r="BR369" s="10" t="str">
        <x:v>0.5208333333333334</x:v>
      </x:c>
      <x:c r="BS369" s="9" t="str">
        <x:v>1.1329490921893035</x:v>
      </x:c>
      <x:c r="BT369" s="9" t="str">
        <x:v>0.24954825819147652</x:v>
      </x:c>
      <x:c r="BU369" s="9" t="str">
        <x:v>0.12477412909573826</x:v>
      </x:c>
      <x:c r="BV369" s="6" t="str">
        <x:v>With trade</x:v>
      </x:c>
      <x:c r="BW369" s="7" t="str">
        <x:v>2025-04-04 11:45:00-05:00</x:v>
      </x:c>
      <x:c r="BX369" s="6" t="str">
        <x:v>16275.0</x:v>
      </x:c>
      <x:c r="BY369" s="9" t="str">
        <x:v>100.18102382753433</x:v>
      </x:c>
      <x:c r="BZ369" s="9" t="str">
        <x:v>0.71</x:v>
      </x:c>
      <x:c r="CA369" s="6" t="str">
        <x:v>16425.2715357413</x:v>
      </x:c>
      <x:c r="CB369" s="6" t="str">
        <x:v>150.27153574129989</x:v>
      </x:c>
      <x:c r="CC369" s="9" t="str">
        <x:v>1.4999999999999838</x:v>
      </x:c>
      <x:c r="CD369" s="6" t="str">
        <x:v>15974.456928517397</x:v>
      </x:c>
      <x:c r="CE369" s="6" t="str">
        <x:v>300.5430714826034</x:v>
      </x:c>
      <x:c r="CF369" s="6" t="str">
        <x:v>Fixed 2.00R target</x:v>
      </x:c>
      <x:c r="CG369" s="9" t="str">
        <x:v>0.004824599658368598</x:v>
      </x:c>
      <x:c r="CH369" s="9" t="str">
        <x:v>-0.8002180812673347</x:v>
      </x:c>
      <x:c r="CI369" s="9" t="str">
        <x:v>-0.8050426809257033</x:v>
      </x:c>
      <x:c r="CJ369" s="6" t="str">
        <x:v>Loss</x:v>
      </x:c>
      <x:c r="CK369" s="9" t="str">
        <x:v>0.7369991891921686</x:v>
      </x:c>
      <x:c r="CL369" s="9" t="str">
        <x:v>0.8501277329056391</x:v>
      </x:c>
      <x:c r="CM369" s="7" t="str">
        <x:v>2025-04-04 12:45:00-05:00</x:v>
      </x:c>
      <x:c r="CN369" s="6" t="str">
        <x:v>16395.25</x:v>
      </x:c>
      <x:c r="CO369" s="6" t="str">
        <x:v>TIME</x:v>
      </x:c>
      <x:c r="CP369" s="6" t="str">
        <x:v>F::Short::Same-bar Setup+BOS::Penetration + same-bar reclaim</x:v>
      </x:c>
    </x:row>
    <x:row r="370" ht="18" customHeight="1">
      <x:c r="A370" s="6" t="str">
        <x:v>A0369</x:v>
      </x:c>
      <x:c r="B370" s="6" t="str">
        <x:v>2025-04-07</x:v>
      </x:c>
      <x:c r="C370" s="6" t="str">
        <x:v>2025</x:v>
      </x:c>
      <x:c r="D370" s="6" t="str">
        <x:v>2025-Q2</x:v>
      </x:c>
      <x:c r="E370" s="6" t="str">
        <x:v>Second 50%</x:v>
      </x:c>
      <x:c r="F370" s="6" t="str">
        <x:v>Long</x:v>
      </x:c>
      <x:c r="G370" s="6" t="str">
        <x:v>Long</x:v>
      </x:c>
      <x:c r="H370" s="6" t="str">
        <x:v>Overnight</x:v>
      </x:c>
      <x:c r="I370" s="6" t="str">
        <x:v>Overnight</x:v>
      </x:c>
      <x:c r="J370" s="6" t="str">
        <x:v>Bear</x:v>
      </x:c>
      <x:c r="K370" s="6" t="str">
        <x:v>Bear</x:v>
      </x:c>
      <x:c r="L370" s="6" t="str">
        <x:v>HIGH</x:v>
      </x:c>
      <x:c r="M370" s="7" t="str">
        <x:v>2025-04-07 02:55:00-05:00</x:v>
      </x:c>
      <x:c r="N370" s="6" t="str">
        <x:v>90.0</x:v>
      </x:c>
      <x:c r="O370" s="6" t="str">
        <x:v>90-94</x:v>
      </x:c>
      <x:c r="P370" s="6" t="str">
        <x:v>Matching BOS only</x:v>
      </x:c>
      <x:c r="Q370" s="6" t="str">
        <x:v>Bull CHoCH</x:v>
      </x:c>
      <x:c r="R370" s="6" t="str">
        <x:v>True</x:v>
      </x:c>
      <x:c r="S370" s="6" t="str">
        <x:v>False</x:v>
      </x:c>
      <x:c r="T370" s="6" t="str">
        <x:v>Recent SSL</x:v>
      </x:c>
      <x:c r="U370" s="6" t="str">
        <x:v>SSL</x:v>
      </x:c>
      <x:c r="V370" s="6" t="str">
        <x:v>Swing low / sell-side</x:v>
      </x:c>
      <x:c r="W370" s="6" t="str">
        <x:v>[15213.0]</x:v>
      </x:c>
      <x:c r="X370" s="8" t="str">
        <x:v>1</x:v>
      </x:c>
      <x:c r="Y370" s="8" t="str">
        <x:v>19.0</x:v>
      </x:c>
      <x:c r="Z370" s="6" t="str">
        <x:v>None</x:v>
      </x:c>
      <x:c r="AA370" s="6" t="str">
        <x:v>15218.25</x:v>
      </x:c>
      <x:c r="AB370" s="9" t="str">
        <x:v>0.14159129501540896</x:v>
      </x:c>
      <x:c r="AC370" s="9" t="str">
        <x:v>0.8992960629357055</x:v>
      </x:c>
      <x:c r="AD370" s="9" t="str">
        <x:v>1.2398805293241217</x:v>
      </x:c>
      <x:c r="AE370" s="6" t="str">
        <x:v>With trade</x:v>
      </x:c>
      <x:c r="AF370" s="7" t="str">
        <x:v>2025-04-07 02:55:00-05:00</x:v>
      </x:c>
      <x:c r="AG370" s="6" t="str">
        <x:v>Long</x:v>
      </x:c>
      <x:c r="AH370" s="6" t="str">
        <x:v>15218.25</x:v>
      </x:c>
      <x:c r="AI370" s="8" t="str">
        <x:v>0</x:v>
      </x:c>
      <x:c r="AJ370" s="6" t="str">
        <x:v>True</x:v>
      </x:c>
      <x:c r="AK370" s="6" t="str">
        <x:v>Same-bar Setup+BOS</x:v>
      </x:c>
      <x:c r="AL370" s="9" t="str">
        <x:v>0.8992960629357055</x:v>
      </x:c>
      <x:c r="AM370" s="9" t="str">
        <x:v>0.14159129501540896</x:v>
      </x:c>
      <x:c r="AN370" s="9" t="str">
        <x:v>0.8992960629357055</x:v>
      </x:c>
      <x:c r="AO370" s="9" t="str">
        <x:v>1.2398805293241217</x:v>
      </x:c>
      <x:c r="AP370" s="10" t="str">
        <x:v>0.7253086419753086</x:v>
      </x:c>
      <x:c r="AQ370" s="6" t="str">
        <x:v>0.1697530864197531</x:v>
      </x:c>
      <x:c r="AR370" s="6" t="str">
        <x:v>0.10493827160493827</x:v>
      </x:c>
      <x:c r="AS370" s="6" t="str">
        <x:v>With trade</x:v>
      </x:c>
      <x:c r="AT370" s="6" t="str">
        <x:v>1.0875425459496255</x:v>
      </x:c>
      <x:c r="AU370" s="7" t="str">
        <x:v>2025-04-07 03:00:00-05:00</x:v>
      </x:c>
      <x:c r="AV370" s="8" t="str">
        <x:v>1</x:v>
      </x:c>
      <x:c r="AW370" s="6" t="str">
        <x:v>Immediate retest (1 bar)</x:v>
      </x:c>
      <x:c r="AX370" s="6" t="str">
        <x:v>15213.0</x:v>
      </x:c>
      <x:c r="AY370" s="6" t="str">
        <x:v>5.25</x:v>
      </x:c>
      <x:c r="AZ370" s="9" t="str">
        <x:v>0.0697823207765112</x:v>
      </x:c>
      <x:c r="BA370" s="9" t="str">
        <x:v>2.605206642323085</x:v>
      </x:c>
      <x:c r="BB370" s="9" t="str">
        <x:v>2.711541607315864</x:v>
      </x:c>
      <x:c r="BC370" s="9" t="str">
        <x:v>2.482256839050184</x:v>
      </x:c>
      <x:c r="BD370" s="6" t="str">
        <x:v>0.013480392156862746</x:v>
      </x:c>
      <x:c r="BE370" s="6" t="str">
        <x:v>0.07107843137254902</x:v>
      </x:c>
      <x:c r="BF370" s="9" t="str">
        <x:v>0.19273212404941187</x:v>
      </x:c>
      <x:c r="BG370" s="9" t="str">
        <x:v>0.03655264421626777</x:v>
      </x:c>
      <x:c r="BH370" s="6" t="str">
        <x:v>With trade</x:v>
      </x:c>
      <x:c r="BI370" s="6" t="str">
        <x:v>Penetration + same-bar reclaim</x:v>
      </x:c>
      <x:c r="BJ370" s="6" t="str">
        <x:v>False</x:v>
      </x:c>
      <x:c r="BK370" s="10" t="str">
        <x:v>True</x:v>
      </x:c>
      <x:c r="BL370" s="6" t="str">
        <x:v>True</x:v>
      </x:c>
      <x:c r="BM370" s="7" t="str">
        <x:v>2025-04-07 03:15:00-05:00</x:v>
      </x:c>
      <x:c r="BN370" s="8" t="str">
        <x:v>3</x:v>
      </x:c>
      <x:c r="BO370" s="6" t="str">
        <x:v>Delayed confirmation (2+ bars)</x:v>
      </x:c>
      <x:c r="BP370" s="9" t="str">
        <x:v>1.2759600633403496</x:v>
      </x:c>
      <x:c r="BQ370" s="9" t="str">
        <x:v>1.5169404142859846</x:v>
      </x:c>
      <x:c r="BR370" s="10" t="str">
        <x:v>0.8411405295315683</x:v>
      </x:c>
      <x:c r="BS370" s="9" t="str">
        <x:v>2.9411960782082636</x:v>
      </x:c>
      <x:c r="BT370" s="9" t="str">
        <x:v>0.5190346020367523</x:v>
      </x:c>
      <x:c r="BU370" s="9" t="str">
        <x:v>0.030894916787901926</x:v>
      </x:c>
      <x:c r="BV370" s="6" t="str">
        <x:v>With trade</x:v>
      </x:c>
      <x:c r="BW370" s="7" t="str">
        <x:v>2025-04-07 03:15:00-05:00</x:v>
      </x:c>
      <x:c r="BX370" s="6" t="str">
        <x:v>15456.25</x:v>
      </x:c>
      <x:c r="BY370" s="9" t="str">
        <x:v>80.91946054306803</x:v>
      </x:c>
      <x:c r="BZ370" s="9" t="str">
        <x:v>0.74</x:v>
      </x:c>
      <x:c r="CA370" s="6" t="str">
        <x:v>15334.870809185399</x:v>
      </x:c>
      <x:c r="CB370" s="6" t="str">
        <x:v>121.37919081460132</x:v>
      </x:c>
      <x:c r="CC370" s="9" t="str">
        <x:v>1.4999999999999911</x:v>
      </x:c>
      <x:c r="CD370" s="6" t="str">
        <x:v>15699.008381629204</x:v>
      </x:c>
      <x:c r="CE370" s="6" t="str">
        <x:v>242.75838162920445</x:v>
      </x:c>
      <x:c r="CF370" s="6" t="str">
        <x:v>Fixed 2.00R target</x:v>
      </x:c>
      <x:c r="CG370" s="9" t="str">
        <x:v>0.0059730172456610746</x:v>
      </x:c>
      <x:c r="CH370" s="9" t="str">
        <x:v>-1.0</x:v>
      </x:c>
      <x:c r="CI370" s="9" t="str">
        <x:v>-1.0059730172456611</x:v>
      </x:c>
      <x:c r="CJ370" s="6" t="str">
        <x:v>Loss</x:v>
      </x:c>
      <x:c r="CK370" s="9" t="str">
        <x:v>0.38515662928917965</x:v>
      </x:c>
      <x:c r="CL370" s="9" t="str">
        <x:v>1.2049017547281824</x:v>
      </x:c>
      <x:c r="CM370" s="7" t="str">
        <x:v>2025-04-07 04:15:00-05:00</x:v>
      </x:c>
      <x:c r="CN370" s="6" t="str">
        <x:v>15334.870809185399</x:v>
      </x:c>
      <x:c r="CO370" s="6" t="str">
        <x:v>STOP</x:v>
      </x:c>
      <x:c r="CP370" s="6" t="str">
        <x:v>F::Long::Same-bar Setup+BOS::Penetration + same-bar reclaim</x:v>
      </x:c>
    </x:row>
    <x:row r="371" ht="18" customHeight="1">
      <x:c r="A371" s="6" t="str">
        <x:v>A0370</x:v>
      </x:c>
      <x:c r="B371" s="6" t="str">
        <x:v>2025-04-08</x:v>
      </x:c>
      <x:c r="C371" s="6" t="str">
        <x:v>2025</x:v>
      </x:c>
      <x:c r="D371" s="6" t="str">
        <x:v>2025-Q2</x:v>
      </x:c>
      <x:c r="E371" s="6" t="str">
        <x:v>Second 50%</x:v>
      </x:c>
      <x:c r="F371" s="6" t="str">
        <x:v>Short</x:v>
      </x:c>
      <x:c r="G371" s="6" t="str">
        <x:v>Short</x:v>
      </x:c>
      <x:c r="H371" s="6" t="str">
        <x:v>Morning</x:v>
      </x:c>
      <x:c r="I371" s="6" t="str">
        <x:v>Morning</x:v>
      </x:c>
      <x:c r="J371" s="6" t="str">
        <x:v>Bull</x:v>
      </x:c>
      <x:c r="K371" s="6" t="str">
        <x:v>Bull</x:v>
      </x:c>
      <x:c r="L371" s="6" t="str">
        <x:v>HIGH</x:v>
      </x:c>
      <x:c r="M371" s="7" t="str">
        <x:v>2025-04-08 11:15:00-05:00</x:v>
      </x:c>
      <x:c r="N371" s="6" t="str">
        <x:v>75.0</x:v>
      </x:c>
      <x:c r="O371" s="6" t="str">
        <x:v>75-79</x:v>
      </x:c>
      <x:c r="P371" s="6" t="str">
        <x:v>Matching BOS only</x:v>
      </x:c>
      <x:c r="Q371" s="6" t="str">
        <x:v>Bear CHoCH</x:v>
      </x:c>
      <x:c r="R371" s="6" t="str">
        <x:v>True</x:v>
      </x:c>
      <x:c r="S371" s="6" t="str">
        <x:v>False</x:v>
      </x:c>
      <x:c r="T371" s="6" t="str">
        <x:v>No recent matching sweep</x:v>
      </x:c>
      <x:c r="U371" s="6" t="str">
        <x:v>None</x:v>
      </x:c>
      <x:c r="V371" s="6" t="str">
        <x:v>None</x:v>
      </x:c>
      <x:c r="W371" s="6" t="str">
        <x:v>[]</x:v>
      </x:c>
      <x:c r="X371" s="8" t="str">
        <x:v>0</x:v>
      </x:c>
      <x:c r="Y371" s="8" t="str"/>
      <x:c r="Z371" s="6" t="str">
        <x:v>None</x:v>
      </x:c>
      <x:c r="AA371" s="6" t="str">
        <x:v>16470.5</x:v>
      </x:c>
      <x:c r="AB371" s="9" t="str">
        <x:v>0.19415097582834515</x:v>
      </x:c>
      <x:c r="AC371" s="9" t="str">
        <x:v>1.1426262347930478</x:v>
      </x:c>
      <x:c r="AD371" s="9" t="str">
        <x:v>1.4322612970943496</x:v>
      </x:c>
      <x:c r="AE371" s="6" t="str">
        <x:v>With trade</x:v>
      </x:c>
      <x:c r="AF371" s="7" t="str">
        <x:v>2025-04-08 11:15:00-05:00</x:v>
      </x:c>
      <x:c r="AG371" s="6" t="str">
        <x:v>Short</x:v>
      </x:c>
      <x:c r="AH371" s="6" t="str">
        <x:v>16470.5</x:v>
      </x:c>
      <x:c r="AI371" s="8" t="str">
        <x:v>0</x:v>
      </x:c>
      <x:c r="AJ371" s="6" t="str">
        <x:v>True</x:v>
      </x:c>
      <x:c r="AK371" s="6" t="str">
        <x:v>Same-bar Setup+BOS</x:v>
      </x:c>
      <x:c r="AL371" s="9" t="str">
        <x:v>1.1489918405579116</x:v>
      </x:c>
      <x:c r="AM371" s="9" t="str">
        <x:v>0.19415097582834515</x:v>
      </x:c>
      <x:c r="AN371" s="9" t="str">
        <x:v>1.1426262347930478</x:v>
      </x:c>
      <x:c r="AO371" s="9" t="str">
        <x:v>1.4322612970943496</x:v>
      </x:c>
      <x:c r="AP371" s="10" t="str">
        <x:v>0.7977777777777778</x:v>
      </x:c>
      <x:c r="AQ371" s="6" t="str">
        <x:v>0.08888888888888889</x:v>
      </x:c>
      <x:c r="AR371" s="6" t="str">
        <x:v>0.11333333333333333</x:v>
      </x:c>
      <x:c r="AS371" s="6" t="str">
        <x:v>With trade</x:v>
      </x:c>
      <x:c r="AT371" s="6" t="str">
        <x:v>0.9709920978906771</x:v>
      </x:c>
      <x:c r="AU371" s="7" t="str">
        <x:v>2025-04-08 11:20:00-05:00</x:v>
      </x:c>
      <x:c r="AV371" s="8" t="str">
        <x:v>1</x:v>
      </x:c>
      <x:c r="AW371" s="6" t="str">
        <x:v>Immediate retest (1 bar)</x:v>
      </x:c>
      <x:c r="AX371" s="6" t="str">
        <x:v>16468.0</x:v>
      </x:c>
      <x:c r="AY371" s="6" t="str">
        <x:v>0.0</x:v>
      </x:c>
      <x:c r="AZ371" s="9" t="str">
        <x:v>0.0</x:v>
      </x:c>
      <x:c r="BA371" s="9" t="str">
        <x:v>0.8307471495284231</x:v>
      </x:c>
      <x:c r="BB371" s="9" t="str">
        <x:v>0.9994429308502868</x:v>
      </x:c>
      <x:c r="BC371" s="9" t="str">
        <x:v>0.630221975504321</x:v>
      </x:c>
      <x:c r="BD371" s="6" t="str">
        <x:v>0.16878980891719744</x:v>
      </x:c>
      <x:c r="BE371" s="6" t="str">
        <x:v>0.20063694267515925</x:v>
      </x:c>
      <x:c r="BF371" s="9" t="str">
        <x:v>0.1686957813218637</x:v>
      </x:c>
      <x:c r="BG371" s="9" t="str">
        <x:v>0.20052517402410214</x:v>
      </x:c>
      <x:c r="BH371" s="6" t="str">
        <x:v>With trade</x:v>
      </x:c>
      <x:c r="BI371" s="6" t="str">
        <x:v>Tolerance-only shallow touch</x:v>
      </x:c>
      <x:c r="BJ371" s="6" t="str">
        <x:v>True</x:v>
      </x:c>
      <x:c r="BK371" s="10" t="str">
        <x:v>False</x:v>
      </x:c>
      <x:c r="BL371" s="6" t="str">
        <x:v>True</x:v>
      </x:c>
      <x:c r="BM371" s="7" t="str">
        <x:v>2025-04-08 11:30:00-05:00</x:v>
      </x:c>
      <x:c r="BN371" s="8" t="str">
        <x:v>2</x:v>
      </x:c>
      <x:c r="BO371" s="6" t="str">
        <x:v>Delayed confirmation (2+ bars)</x:v>
      </x:c>
      <x:c r="BP371" s="9" t="str">
        <x:v>1.0745186247431653</x:v>
      </x:c>
      <x:c r="BQ371" s="9" t="str">
        <x:v>1.6072377175735797</x:v>
      </x:c>
      <x:c r="BR371" s="10" t="str">
        <x:v>0.6685499058380414</x:v>
      </x:c>
      <x:c r="BS371" s="9" t="str">
        <x:v>1.1532157634567493</x:v>
      </x:c>
      <x:c r="BT371" s="9" t="str">
        <x:v>0.36321756329346433</x:v>
      </x:c>
      <x:c r="BU371" s="9" t="str">
        <x:v>0.3299226199915634</x:v>
      </x:c>
      <x:c r="BV371" s="6" t="str">
        <x:v>With trade</x:v>
      </x:c>
      <x:c r="BW371" s="7" t="str">
        <x:v>2025-04-08 11:30:00-05:00</x:v>
      </x:c>
      <x:c r="BX371" s="6" t="str">
        <x:v>16375.25</x:v>
      </x:c>
      <x:c r="BY371" s="9" t="str">
        <x:v>82.59512488321297</x:v>
      </x:c>
      <x:c r="BZ371" s="9" t="str">
        <x:v>1.0</x:v>
      </x:c>
      <x:c r="CA371" s="6" t="str">
        <x:v>16499.14268732482</x:v>
      </x:c>
      <x:c r="CB371" s="6" t="str">
        <x:v>123.89268732482014</x:v>
      </x:c>
      <x:c r="CC371" s="9" t="str">
        <x:v>1.5000000000000082</x:v>
      </x:c>
      <x:c r="CD371" s="6" t="str">
        <x:v>16127.464625350362</x:v>
      </x:c>
      <x:c r="CE371" s="6" t="str">
        <x:v>247.78537464963847</x:v>
      </x:c>
      <x:c r="CF371" s="6" t="str">
        <x:v>Fixed 2.00R target</x:v>
      </x:c>
      <x:c r="CG371" s="9" t="str">
        <x:v>0.005851838519728004</x:v>
      </x:c>
      <x:c r="CH371" s="9" t="str">
        <x:v>2.0</x:v>
      </x:c>
      <x:c r="CI371" s="9" t="str">
        <x:v>1.994148161480272</x:v>
      </x:c>
      <x:c r="CJ371" s="6" t="str">
        <x:v>Win</x:v>
      </x:c>
      <x:c r="CK371" s="9" t="str">
        <x:v>2.080429487530887</x:v>
      </x:c>
      <x:c r="CL371" s="9" t="str">
        <x:v>0.25828804500868435</x:v>
      </x:c>
      <x:c r="CM371" s="7" t="str">
        <x:v>2025-04-08 12:05:00-05:00</x:v>
      </x:c>
      <x:c r="CN371" s="6" t="str">
        <x:v>16127.464625350362</x:v>
      </x:c>
      <x:c r="CO371" s="6" t="str">
        <x:v>TARGET</x:v>
      </x:c>
      <x:c r="CP371" s="6" t="str">
        <x:v>F::Short::Same-bar Setup+BOS::Tolerance-only shallow touch</x:v>
      </x:c>
    </x:row>
    <x:row r="372" ht="18" customHeight="1">
      <x:c r="A372" s="6" t="str">
        <x:v>A0371</x:v>
      </x:c>
      <x:c r="B372" s="6" t="str">
        <x:v>2025-04-09</x:v>
      </x:c>
      <x:c r="C372" s="6" t="str">
        <x:v>2025</x:v>
      </x:c>
      <x:c r="D372" s="6" t="str">
        <x:v>2025-Q2</x:v>
      </x:c>
      <x:c r="E372" s="6" t="str">
        <x:v>Second 50%</x:v>
      </x:c>
      <x:c r="F372" s="6" t="str">
        <x:v>Long</x:v>
      </x:c>
      <x:c r="G372" s="6" t="str">
        <x:v>Long</x:v>
      </x:c>
      <x:c r="H372" s="6" t="str">
        <x:v>Overnight</x:v>
      </x:c>
      <x:c r="I372" s="6" t="str">
        <x:v>Overnight</x:v>
      </x:c>
      <x:c r="J372" s="6" t="str">
        <x:v>Bear</x:v>
      </x:c>
      <x:c r="K372" s="6" t="str">
        <x:v>Bear</x:v>
      </x:c>
      <x:c r="L372" s="6" t="str">
        <x:v>MID</x:v>
      </x:c>
      <x:c r="M372" s="7" t="str">
        <x:v>2025-04-09 00:55:00-05:00</x:v>
      </x:c>
      <x:c r="N372" s="6" t="str">
        <x:v>90.0</x:v>
      </x:c>
      <x:c r="O372" s="6" t="str">
        <x:v>90-94</x:v>
      </x:c>
      <x:c r="P372" s="6" t="str">
        <x:v>Matching BOS only</x:v>
      </x:c>
      <x:c r="Q372" s="6" t="str">
        <x:v>Bull CHoCH</x:v>
      </x:c>
      <x:c r="R372" s="6" t="str">
        <x:v>True</x:v>
      </x:c>
      <x:c r="S372" s="6" t="str">
        <x:v>False</x:v>
      </x:c>
      <x:c r="T372" s="6" t="str">
        <x:v>Recent SSL</x:v>
      </x:c>
      <x:c r="U372" s="6" t="str">
        <x:v>SSL</x:v>
      </x:c>
      <x:c r="V372" s="6" t="str">
        <x:v>Swing low / sell-side</x:v>
      </x:c>
      <x:c r="W372" s="6" t="str">
        <x:v>[15294.75]</x:v>
      </x:c>
      <x:c r="X372" s="8" t="str">
        <x:v>1</x:v>
      </x:c>
      <x:c r="Y372" s="8" t="str">
        <x:v>4.0</x:v>
      </x:c>
      <x:c r="Z372" s="6" t="str">
        <x:v>None</x:v>
      </x:c>
      <x:c r="AA372" s="6" t="str">
        <x:v>15432.75</x:v>
      </x:c>
      <x:c r="AB372" s="9" t="str">
        <x:v>0.1211041899346424</x:v>
      </x:c>
      <x:c r="AC372" s="9" t="str">
        <x:v>0.8719501675294253</x:v>
      </x:c>
      <x:c r="AD372" s="9" t="str">
        <x:v>1.0657168714248533</x:v>
      </x:c>
      <x:c r="AE372" s="6" t="str">
        <x:v>With trade</x:v>
      </x:c>
      <x:c r="AF372" s="7" t="str">
        <x:v>2025-04-09 00:55:00-05:00</x:v>
      </x:c>
      <x:c r="AG372" s="6" t="str">
        <x:v>Long</x:v>
      </x:c>
      <x:c r="AH372" s="6" t="str">
        <x:v>15432.75</x:v>
      </x:c>
      <x:c r="AI372" s="8" t="str">
        <x:v>0</x:v>
      </x:c>
      <x:c r="AJ372" s="6" t="str">
        <x:v>True</x:v>
      </x:c>
      <x:c r="AK372" s="6" t="str">
        <x:v>Same-bar Setup+BOS</x:v>
      </x:c>
      <x:c r="AL372" s="9" t="str">
        <x:v>0.9203918435032823</x:v>
      </x:c>
      <x:c r="AM372" s="9" t="str">
        <x:v>0.1211041899346424</x:v>
      </x:c>
      <x:c r="AN372" s="9" t="str">
        <x:v>0.8719501675294253</x:v>
      </x:c>
      <x:c r="AO372" s="9" t="str">
        <x:v>1.0657168714248533</x:v>
      </x:c>
      <x:c r="AP372" s="10" t="str">
        <x:v>0.8181818181818182</x:v>
      </x:c>
      <x:c r="AQ372" s="6" t="str">
        <x:v>0.0</x:v>
      </x:c>
      <x:c r="AR372" s="6" t="str">
        <x:v>0.18181818181818182</x:v>
      </x:c>
      <x:c r="AS372" s="6" t="str">
        <x:v>With trade</x:v>
      </x:c>
      <x:c r="AT372" s="6" t="str">
        <x:v>0.6295635242576668</x:v>
      </x:c>
      <x:c r="AU372" s="7" t="str">
        <x:v>2025-04-09 01:00:00-05:00</x:v>
      </x:c>
      <x:c r="AV372" s="8" t="str">
        <x:v>1</x:v>
      </x:c>
      <x:c r="AW372" s="6" t="str">
        <x:v>Immediate retest (1 bar)</x:v>
      </x:c>
      <x:c r="AX372" s="6" t="str">
        <x:v>15433.0</x:v>
      </x:c>
      <x:c r="AY372" s="6" t="str">
        <x:v>0.0</x:v>
      </x:c>
      <x:c r="AZ372" s="9" t="str">
        <x:v>0.0</x:v>
      </x:c>
      <x:c r="BA372" s="9" t="str">
        <x:v>0.5723423202192052</x:v>
      </x:c>
      <x:c r="BB372" s="9" t="str">
        <x:v>1.200329032681944</x:v>
      </x:c>
      <x:c r="BC372" s="9" t="str">
        <x:v>0.45310433684020407</x:v>
      </x:c>
      <x:c r="BD372" s="6" t="str">
        <x:v>0.5264900662251656</x:v>
      </x:c>
      <x:c r="BE372" s="6" t="str">
        <x:v>0.09602649006622517</x:v>
      </x:c>
      <x:c r="BF372" s="9" t="str">
        <x:v>0.11526338393303437</x:v>
      </x:c>
      <x:c r="BG372" s="9" t="str">
        <x:v>0.6319613119087056</x:v>
      </x:c>
      <x:c r="BH372" s="6" t="str">
        <x:v>With trade</x:v>
      </x:c>
      <x:c r="BI372" s="6" t="str">
        <x:v>Tolerance-only shallow touch</x:v>
      </x:c>
      <x:c r="BJ372" s="6" t="str">
        <x:v>True</x:v>
      </x:c>
      <x:c r="BK372" s="10" t="str">
        <x:v>False</x:v>
      </x:c>
      <x:c r="BL372" s="6" t="str">
        <x:v>True</x:v>
      </x:c>
      <x:c r="BM372" s="7" t="str">
        <x:v>2025-04-09 01:05:00-05:00</x:v>
      </x:c>
      <x:c r="BN372" s="8" t="str">
        <x:v>1</x:v>
      </x:c>
      <x:c r="BO372" s="6" t="str">
        <x:v>Immediate confirmation (1 bar)</x:v>
      </x:c>
      <x:c r="BP372" s="9" t="str">
        <x:v>0.6070213150624082</x:v>
      </x:c>
      <x:c r="BQ372" s="9" t="str">
        <x:v>1.1076168151463421</x:v>
      </x:c>
      <x:c r="BR372" s="10" t="str">
        <x:v>0.5480427046263345</x:v>
      </x:c>
      <x:c r="BS372" s="9" t="str">
        <x:v>1.1746256616142703</x:v>
      </x:c>
      <x:c r="BT372" s="9" t="str">
        <x:v>0.6070213150624082</x:v>
      </x:c>
      <x:c r="BU372" s="9" t="str">
        <x:v>0.2128516299569483</x:v>
      </x:c>
      <x:c r="BV372" s="6" t="str">
        <x:v>With trade</x:v>
      </x:c>
      <x:c r="BW372" s="7" t="str">
        <x:v>2025-04-09 01:05:00-05:00</x:v>
      </x:c>
      <x:c r="BX372" s="6" t="str">
        <x:v>15507.25</x:v>
      </x:c>
      <x:c r="BY372" s="9" t="str">
        <x:v>63.42446145575925</x:v>
      </x:c>
      <x:c r="BZ372" s="9" t="str">
        <x:v>0.65</x:v>
      </x:c>
      <x:c r="CA372" s="6" t="str">
        <x:v>15412.11330781636</x:v>
      </x:c>
      <x:c r="CB372" s="6" t="str">
        <x:v>95.13669218363975</x:v>
      </x:c>
      <x:c r="CC372" s="9" t="str">
        <x:v>1.5000000000000138</x:v>
      </x:c>
      <x:c r="CD372" s="6" t="str">
        <x:v>15697.523384367278</x:v>
      </x:c>
      <x:c r="CE372" s="6" t="str">
        <x:v>190.27338436727769</x:v>
      </x:c>
      <x:c r="CF372" s="6" t="str">
        <x:v>Fixed 2.00R target</x:v>
      </x:c>
      <x:c r="CG372" s="9" t="str">
        <x:v>0.00762061391203882</x:v>
      </x:c>
      <x:c r="CH372" s="9" t="str">
        <x:v>2.0</x:v>
      </x:c>
      <x:c r="CI372" s="9" t="str">
        <x:v>1.9923793860879613</x:v>
      </x:c>
      <x:c r="CJ372" s="6" t="str">
        <x:v>Win</x:v>
      </x:c>
      <x:c r="CK372" s="9" t="str">
        <x:v>4.614413113634541</x:v>
      </x:c>
      <x:c r="CL372" s="9" t="str">
        <x:v>0.3311025354885832</x:v>
      </x:c>
      <x:c r="CM372" s="7" t="str">
        <x:v>2025-04-09 02:00:00-05:00</x:v>
      </x:c>
      <x:c r="CN372" s="6" t="str">
        <x:v>15697.523384367278</x:v>
      </x:c>
      <x:c r="CO372" s="6" t="str">
        <x:v>TARGET</x:v>
      </x:c>
      <x:c r="CP372" s="6" t="str">
        <x:v>F::Long::Same-bar Setup+BOS::Tolerance-only shallow touch</x:v>
      </x:c>
    </x:row>
    <x:row r="373" ht="18" customHeight="1">
      <x:c r="A373" s="6" t="str">
        <x:v>A0372</x:v>
      </x:c>
      <x:c r="B373" s="6" t="str">
        <x:v>2025-04-09</x:v>
      </x:c>
      <x:c r="C373" s="6" t="str">
        <x:v>2025</x:v>
      </x:c>
      <x:c r="D373" s="6" t="str">
        <x:v>2025-Q2</x:v>
      </x:c>
      <x:c r="E373" s="6" t="str">
        <x:v>Second 50%</x:v>
      </x:c>
      <x:c r="F373" s="6" t="str">
        <x:v>Short</x:v>
      </x:c>
      <x:c r="G373" s="6" t="str">
        <x:v>Short</x:v>
      </x:c>
      <x:c r="H373" s="6" t="str">
        <x:v>Overnight</x:v>
      </x:c>
      <x:c r="I373" s="6" t="str">
        <x:v>Overnight</x:v>
      </x:c>
      <x:c r="J373" s="6" t="str">
        <x:v>Bull</x:v>
      </x:c>
      <x:c r="K373" s="6" t="str">
        <x:v>Bull</x:v>
      </x:c>
      <x:c r="L373" s="6" t="str">
        <x:v>LOW</x:v>
      </x:c>
      <x:c r="M373" s="7" t="str">
        <x:v>2025-04-09 19:25:00-05:00</x:v>
      </x:c>
      <x:c r="N373" s="6" t="str">
        <x:v>90.0</x:v>
      </x:c>
      <x:c r="O373" s="6" t="str">
        <x:v>90-94</x:v>
      </x:c>
      <x:c r="P373" s="6" t="str">
        <x:v>Matching BOS only</x:v>
      </x:c>
      <x:c r="Q373" s="6" t="str">
        <x:v>Bear CHoCH</x:v>
      </x:c>
      <x:c r="R373" s="6" t="str">
        <x:v>True</x:v>
      </x:c>
      <x:c r="S373" s="6" t="str">
        <x:v>False</x:v>
      </x:c>
      <x:c r="T373" s="6" t="str">
        <x:v>Recent BSL</x:v>
      </x:c>
      <x:c r="U373" s="6" t="str">
        <x:v>BSL</x:v>
      </x:c>
      <x:c r="V373" s="6" t="str">
        <x:v>Swing high / buy-side</x:v>
      </x:c>
      <x:c r="W373" s="6" t="str">
        <x:v>[17903.5]</x:v>
      </x:c>
      <x:c r="X373" s="8" t="str">
        <x:v>1</x:v>
      </x:c>
      <x:c r="Y373" s="8" t="str">
        <x:v>17.0</x:v>
      </x:c>
      <x:c r="Z373" s="6" t="str">
        <x:v>None</x:v>
      </x:c>
      <x:c r="AA373" s="6" t="str">
        <x:v>17786.75</x:v>
      </x:c>
      <x:c r="AB373" s="9" t="str">
        <x:v>0.09474995227725817</x:v>
      </x:c>
      <x:c r="AC373" s="9" t="str">
        <x:v>0.9610352302407614</x:v>
      </x:c>
      <x:c r="AD373" s="9" t="str">
        <x:v>1.1979101109339068</x:v>
      </x:c>
      <x:c r="AE373" s="6" t="str">
        <x:v>With trade</x:v>
      </x:c>
      <x:c r="AF373" s="7" t="str">
        <x:v>2025-04-09 19:25:00-05:00</x:v>
      </x:c>
      <x:c r="AG373" s="6" t="str">
        <x:v>Short</x:v>
      </x:c>
      <x:c r="AH373" s="6" t="str">
        <x:v>17786.75</x:v>
      </x:c>
      <x:c r="AI373" s="8" t="str">
        <x:v>0</x:v>
      </x:c>
      <x:c r="AJ373" s="6" t="str">
        <x:v>True</x:v>
      </x:c>
      <x:c r="AK373" s="6" t="str">
        <x:v>Same-bar Setup+BOS</x:v>
      </x:c>
      <x:c r="AL373" s="9" t="str">
        <x:v>0.981338791443031</x:v>
      </x:c>
      <x:c r="AM373" s="9" t="str">
        <x:v>0.09474995227725817</x:v>
      </x:c>
      <x:c r="AN373" s="9" t="str">
        <x:v>0.9610352302407614</x:v>
      </x:c>
      <x:c r="AO373" s="9" t="str">
        <x:v>1.1979101109339068</x:v>
      </x:c>
      <x:c r="AP373" s="10" t="str">
        <x:v>0.8022598870056498</x:v>
      </x:c>
      <x:c r="AQ373" s="6" t="str">
        <x:v>0.06779661016949153</x:v>
      </x:c>
      <x:c r="AR373" s="6" t="str">
        <x:v>0.12994350282485875</x:v>
      </x:c>
      <x:c r="AS373" s="6" t="str">
        <x:v>With trade</x:v>
      </x:c>
      <x:c r="AT373" s="6" t="str">
        <x:v>2.421061264660051</x:v>
      </x:c>
      <x:c r="AU373" s="7" t="str">
        <x:v>2025-04-09 19:30:00-05:00</x:v>
      </x:c>
      <x:c r="AV373" s="8" t="str">
        <x:v>1</x:v>
      </x:c>
      <x:c r="AW373" s="6" t="str">
        <x:v>Immediate retest (1 bar)</x:v>
      </x:c>
      <x:c r="AX373" s="6" t="str">
        <x:v>17788.0</x:v>
      </x:c>
      <x:c r="AY373" s="6" t="str">
        <x:v>1.25</x:v>
      </x:c>
      <x:c r="AZ373" s="9" t="str">
        <x:v>0.034049254670180426</x:v>
      </x:c>
      <x:c r="BA373" s="9" t="str">
        <x:v>0.7831328574141498</x:v>
      </x:c>
      <x:c r="BB373" s="9" t="str">
        <x:v>0.9193298760948715</x:v>
      </x:c>
      <x:c r="BC373" s="9" t="str">
        <x:v>0.721844199007825</x:v>
      </x:c>
      <x:c r="BD373" s="6" t="str">
        <x:v>0.1037037037037037</x:v>
      </x:c>
      <x:c r="BE373" s="6" t="str">
        <x:v>0.1111111111111111</x:v>
      </x:c>
      <x:c r="BF373" s="9" t="str">
        <x:v>0.09533791307650519</x:v>
      </x:c>
      <x:c r="BG373" s="9" t="str">
        <x:v>0.10214776401054128</x:v>
      </x:c>
      <x:c r="BH373" s="6" t="str">
        <x:v>With trade</x:v>
      </x:c>
      <x:c r="BI373" s="6" t="str">
        <x:v>Penetration + same-bar reclaim</x:v>
      </x:c>
      <x:c r="BJ373" s="6" t="str">
        <x:v>False</x:v>
      </x:c>
      <x:c r="BK373" s="10" t="str">
        <x:v>True</x:v>
      </x:c>
      <x:c r="BL373" s="6" t="str">
        <x:v>True</x:v>
      </x:c>
      <x:c r="BM373" s="7" t="str">
        <x:v>2025-04-09 19:35:00-05:00</x:v>
      </x:c>
      <x:c r="BN373" s="8" t="str">
        <x:v>1</x:v>
      </x:c>
      <x:c r="BO373" s="6" t="str">
        <x:v>Immediate confirmation (1 bar)</x:v>
      </x:c>
      <x:c r="BP373" s="9" t="str">
        <x:v>0.1272727758571801</x:v>
      </x:c>
      <x:c r="BQ373" s="9" t="str">
        <x:v>1.205742087068022</x:v>
      </x:c>
      <x:c r="BR373" s="10" t="str">
        <x:v>0.10555555555555556</x:v>
      </x:c>
      <x:c r="BS373" s="9" t="str">
        <x:v>0.9244022667521502</x:v>
      </x:c>
      <x:c r="BT373" s="9" t="str">
        <x:v>0.1540670444586917</x:v>
      </x:c>
      <x:c r="BU373" s="9" t="str">
        <x:v>0.0200957014511337</x:v>
      </x:c>
      <x:c r="BV373" s="6" t="str">
        <x:v>With trade</x:v>
      </x:c>
      <x:c r="BW373" s="7" t="str">
        <x:v>2025-04-09 19:35:00-05:00</x:v>
      </x:c>
      <x:c r="BX373" s="6" t="str">
        <x:v>17752.25</x:v>
      </x:c>
      <x:c r="BY373" s="9" t="str">
        <x:v>37.32141432453898</x:v>
      </x:c>
      <x:c r="BZ373" s="9" t="str">
        <x:v>0.05</x:v>
      </x:c>
      <x:c r="CA373" s="6" t="str">
        <x:v>17808.23212148681</x:v>
      </x:c>
      <x:c r="CB373" s="6" t="str">
        <x:v>55.982121486809774</x:v>
      </x:c>
      <x:c r="CC373" s="9" t="str">
        <x:v>1.500000000000035</x:v>
      </x:c>
      <x:c r="CD373" s="6" t="str">
        <x:v>17640.285757026384</x:v>
      </x:c>
      <x:c r="CE373" s="6" t="str">
        <x:v>111.96424297361591</x:v>
      </x:c>
      <x:c r="CF373" s="6" t="str">
        <x:v>Fixed 2.00R target</x:v>
      </x:c>
      <x:c r="CG373" s="9" t="str">
        <x:v>0.01295056315739697</x:v>
      </x:c>
      <x:c r="CH373" s="9" t="str">
        <x:v>-1.0</x:v>
      </x:c>
      <x:c r="CI373" s="9" t="str">
        <x:v>-1.012950563157397</x:v>
      </x:c>
      <x:c r="CJ373" s="6" t="str">
        <x:v>Loss</x:v>
      </x:c>
      <x:c r="CK373" s="9" t="str">
        <x:v>1.1432221269978016</x:v>
      </x:c>
      <x:c r="CL373" s="9" t="str">
        <x:v>1.2727277585717713</x:v>
      </x:c>
      <x:c r="CM373" s="7" t="str">
        <x:v>2025-04-09 20:00:00-05:00</x:v>
      </x:c>
      <x:c r="CN373" s="6" t="str">
        <x:v>17808.23212148681</x:v>
      </x:c>
      <x:c r="CO373" s="6" t="str">
        <x:v>STOP</x:v>
      </x:c>
      <x:c r="CP373" s="6" t="str">
        <x:v>F::Short::Same-bar Setup+BOS::Penetration + same-bar reclaim</x:v>
      </x:c>
    </x:row>
    <x:row r="374" ht="18" customHeight="1">
      <x:c r="A374" s="6" t="str">
        <x:v>A0373</x:v>
      </x:c>
      <x:c r="B374" s="6" t="str">
        <x:v>2025-04-10</x:v>
      </x:c>
      <x:c r="C374" s="6" t="str">
        <x:v>2025</x:v>
      </x:c>
      <x:c r="D374" s="6" t="str">
        <x:v>2025-Q2</x:v>
      </x:c>
      <x:c r="E374" s="6" t="str">
        <x:v>Second 50%</x:v>
      </x:c>
      <x:c r="F374" s="6" t="str">
        <x:v>Long</x:v>
      </x:c>
      <x:c r="G374" s="6" t="str">
        <x:v>Long</x:v>
      </x:c>
      <x:c r="H374" s="6" t="str">
        <x:v>Premarket</x:v>
      </x:c>
      <x:c r="I374" s="6" t="str">
        <x:v>Premarket</x:v>
      </x:c>
      <x:c r="J374" s="6" t="str">
        <x:v>Bull</x:v>
      </x:c>
      <x:c r="K374" s="6" t="str">
        <x:v>Bull</x:v>
      </x:c>
      <x:c r="L374" s="6" t="str">
        <x:v>HIGH</x:v>
      </x:c>
      <x:c r="M374" s="7" t="str">
        <x:v>2025-04-10 05:05:00-05:00</x:v>
      </x:c>
      <x:c r="N374" s="6" t="str">
        <x:v>75.0</x:v>
      </x:c>
      <x:c r="O374" s="6" t="str">
        <x:v>75-79</x:v>
      </x:c>
      <x:c r="P374" s="6" t="str">
        <x:v>Matching BOS only</x:v>
      </x:c>
      <x:c r="Q374" s="6" t="str">
        <x:v>Bull CHoCH</x:v>
      </x:c>
      <x:c r="R374" s="6" t="str">
        <x:v>True</x:v>
      </x:c>
      <x:c r="S374" s="6" t="str">
        <x:v>False</x:v>
      </x:c>
      <x:c r="T374" s="6" t="str">
        <x:v>Recent SSL</x:v>
      </x:c>
      <x:c r="U374" s="6" t="str">
        <x:v>SSL</x:v>
      </x:c>
      <x:c r="V374" s="6" t="str">
        <x:v>Swing low / sell-side</x:v>
      </x:c>
      <x:c r="W374" s="6" t="str">
        <x:v>[17263.75]</x:v>
      </x:c>
      <x:c r="X374" s="8" t="str">
        <x:v>1</x:v>
      </x:c>
      <x:c r="Y374" s="8" t="str">
        <x:v>19.0</x:v>
      </x:c>
      <x:c r="Z374" s="6" t="str">
        <x:v>None</x:v>
      </x:c>
      <x:c r="AA374" s="6" t="str">
        <x:v>17449.5</x:v>
      </x:c>
      <x:c r="AB374" s="9" t="str">
        <x:v>0.13046786413078104</x:v>
      </x:c>
      <x:c r="AC374" s="9" t="str">
        <x:v>0.3479143043487495</x:v>
      </x:c>
      <x:c r="AD374" s="9" t="str">
        <x:v>0.9809250525388353</x:v>
      </x:c>
      <x:c r="AE374" s="6" t="str">
        <x:v>With trade</x:v>
      </x:c>
      <x:c r="AF374" s="7" t="str">
        <x:v>2025-04-10 05:05:00-05:00</x:v>
      </x:c>
      <x:c r="AG374" s="6" t="str">
        <x:v>Long</x:v>
      </x:c>
      <x:c r="AH374" s="6" t="str">
        <x:v>17449.5</x:v>
      </x:c>
      <x:c r="AI374" s="8" t="str">
        <x:v>0</x:v>
      </x:c>
      <x:c r="AJ374" s="6" t="str">
        <x:v>True</x:v>
      </x:c>
      <x:c r="AK374" s="6" t="str">
        <x:v>Same-bar Setup+BOS</x:v>
      </x:c>
      <x:c r="AL374" s="9" t="str">
        <x:v>0.3769071630444786</x:v>
      </x:c>
      <x:c r="AM374" s="9" t="str">
        <x:v>0.13046786413078104</x:v>
      </x:c>
      <x:c r="AN374" s="9" t="str">
        <x:v>0.3479143043487495</x:v>
      </x:c>
      <x:c r="AO374" s="9" t="str">
        <x:v>0.9809250525388353</x:v>
      </x:c>
      <x:c r="AP374" s="10" t="str">
        <x:v>0.35467980295566504</x:v>
      </x:c>
      <x:c r="AQ374" s="6" t="str">
        <x:v>0.29064039408866993</x:v>
      </x:c>
      <x:c r="AR374" s="6" t="str">
        <x:v>0.35467980295566504</x:v>
      </x:c>
      <x:c r="AS374" s="6" t="str">
        <x:v>With trade</x:v>
      </x:c>
      <x:c r="AT374" s="6" t="str">
        <x:v>0.9630597784962509</x:v>
      </x:c>
      <x:c r="AU374" s="7" t="str">
        <x:v>2025-04-10 05:10:00-05:00</x:v>
      </x:c>
      <x:c r="AV374" s="8" t="str">
        <x:v>1</x:v>
      </x:c>
      <x:c r="AW374" s="6" t="str">
        <x:v>Immediate retest (1 bar)</x:v>
      </x:c>
      <x:c r="AX374" s="6" t="str">
        <x:v>17452.5</x:v>
      </x:c>
      <x:c r="AY374" s="6" t="str">
        <x:v>0.0</x:v>
      </x:c>
      <x:c r="AZ374" s="9" t="str">
        <x:v>0.0</x:v>
      </x:c>
      <x:c r="BA374" s="9" t="str">
        <x:v>0.995827797155079</x:v>
      </x:c>
      <x:c r="BB374" s="9" t="str">
        <x:v>1.2424137278791938</x:v>
      </x:c>
      <x:c r="BC374" s="9" t="str">
        <x:v>0.8630507575344017</x:v>
      </x:c>
      <x:c r="BD374" s="6" t="str">
        <x:v>0.24427480916030533</x:v>
      </x:c>
      <x:c r="BE374" s="6" t="str">
        <x:v>0.061068702290076333</x:v>
      </x:c>
      <x:c r="BF374" s="9" t="str">
        <x:v>0.0758725940689584</x:v>
      </x:c>
      <x:c r="BG374" s="9" t="str">
        <x:v>0.3034903762758336</x:v>
      </x:c>
      <x:c r="BH374" s="6" t="str">
        <x:v>With trade</x:v>
      </x:c>
      <x:c r="BI374" s="6" t="str">
        <x:v>Tolerance-only shallow touch</x:v>
      </x:c>
      <x:c r="BJ374" s="6" t="str">
        <x:v>True</x:v>
      </x:c>
      <x:c r="BK374" s="10" t="str">
        <x:v>False</x:v>
      </x:c>
      <x:c r="BL374" s="6" t="str">
        <x:v>True</x:v>
      </x:c>
      <x:c r="BM374" s="7" t="str">
        <x:v>2025-04-10 05:15:00-05:00</x:v>
      </x:c>
      <x:c r="BN374" s="8" t="str">
        <x:v>1</x:v>
      </x:c>
      <x:c r="BO374" s="6" t="str">
        <x:v>Immediate confirmation (1 bar)</x:v>
      </x:c>
      <x:c r="BP374" s="9" t="str">
        <x:v>0.5396776971977306</x:v>
      </x:c>
      <x:c r="BQ374" s="9" t="str">
        <x:v>0.7902423423252484</x:v>
      </x:c>
      <x:c r="BR374" s="10" t="str">
        <x:v>0.6829268292682927</x:v>
      </x:c>
      <x:c r="BS374" s="9" t="str">
        <x:v>1.493750769029433</x:v>
      </x:c>
      <x:c r="BT374" s="9" t="str">
        <x:v>0.48185508678368805</x:v>
      </x:c>
      <x:c r="BU374" s="9" t="str">
        <x:v>0.0770968138853901</x:v>
      </x:c>
      <x:c r="BV374" s="6" t="str">
        <x:v>With trade</x:v>
      </x:c>
      <x:c r="BW374" s="7" t="str">
        <x:v>2025-04-10 05:15:00-05:00</x:v>
      </x:c>
      <x:c r="BX374" s="6" t="str">
        <x:v>17527.0</x:v>
      </x:c>
      <x:c r="BY374" s="9" t="str">
        <x:v>51.88281847737943</x:v>
      </x:c>
      <x:c r="BZ374" s="9" t="str">
        <x:v>0.81</x:v>
      </x:c>
      <x:c r="CA374" s="6" t="str">
        <x:v>17449.175772283932</x:v>
      </x:c>
      <x:c r="CB374" s="6" t="str">
        <x:v>77.82422771606798</x:v>
      </x:c>
      <x:c r="CC374" s="9" t="str">
        <x:v>1.4999999999999776</x:v>
      </x:c>
      <x:c r="CD374" s="6" t="str">
        <x:v>17682.64845543214</x:v>
      </x:c>
      <x:c r="CE374" s="6" t="str">
        <x:v>155.6484554321396</x:v>
      </x:c>
      <x:c r="CF374" s="6" t="str">
        <x:v>Fixed 2.00R target</x:v>
      </x:c>
      <x:c r="CG374" s="9" t="str">
        <x:v>0.009315865011151442</x:v>
      </x:c>
      <x:c r="CH374" s="9" t="str">
        <x:v>-1.0</x:v>
      </x:c>
      <x:c r="CI374" s="9" t="str">
        <x:v>-1.0093158650111513</x:v>
      </x:c>
      <x:c r="CJ374" s="6" t="str">
        <x:v>Loss</x:v>
      </x:c>
      <x:c r="CK374" s="9" t="str">
        <x:v>0.27947595033454325</x:v>
      </x:c>
      <x:c r="CL374" s="9" t="str">
        <x:v>1.4295034241249627</x:v>
      </x:c>
      <x:c r="CM374" s="7" t="str">
        <x:v>2025-04-10 05:50:00-05:00</x:v>
      </x:c>
      <x:c r="CN374" s="6" t="str">
        <x:v>17449.175772283932</x:v>
      </x:c>
      <x:c r="CO374" s="6" t="str">
        <x:v>STOP</x:v>
      </x:c>
      <x:c r="CP374" s="6" t="str">
        <x:v>F::Long::Same-bar Setup+BOS::Tolerance-only shallow touch</x:v>
      </x:c>
    </x:row>
    <x:row r="375" ht="18" customHeight="1">
      <x:c r="A375" s="6" t="str">
        <x:v>A0374</x:v>
      </x:c>
      <x:c r="B375" s="6" t="str">
        <x:v>2025-04-11</x:v>
      </x:c>
      <x:c r="C375" s="6" t="str">
        <x:v>2025</x:v>
      </x:c>
      <x:c r="D375" s="6" t="str">
        <x:v>2025-Q2</x:v>
      </x:c>
      <x:c r="E375" s="6" t="str">
        <x:v>Second 50%</x:v>
      </x:c>
      <x:c r="F375" s="6" t="str">
        <x:v>Long</x:v>
      </x:c>
      <x:c r="G375" s="6" t="str">
        <x:v>Long</x:v>
      </x:c>
      <x:c r="H375" s="6" t="str">
        <x:v>Midday</x:v>
      </x:c>
      <x:c r="I375" s="6" t="str">
        <x:v>Midday</x:v>
      </x:c>
      <x:c r="J375" s="6" t="str">
        <x:v>Bull</x:v>
      </x:c>
      <x:c r="K375" s="6" t="str">
        <x:v>Bull</x:v>
      </x:c>
      <x:c r="L375" s="6" t="str">
        <x:v>HIGH</x:v>
      </x:c>
      <x:c r="M375" s="7" t="str">
        <x:v>2025-04-11 12:40:00-05:00</x:v>
      </x:c>
      <x:c r="N375" s="6" t="str">
        <x:v>75.0</x:v>
      </x:c>
      <x:c r="O375" s="6" t="str">
        <x:v>75-79</x:v>
      </x:c>
      <x:c r="P375" s="6" t="str">
        <x:v>Matching BOS only</x:v>
      </x:c>
      <x:c r="Q375" s="6" t="str">
        <x:v>Bull BOS</x:v>
      </x:c>
      <x:c r="R375" s="6" t="str">
        <x:v>True</x:v>
      </x:c>
      <x:c r="S375" s="6" t="str">
        <x:v>False</x:v>
      </x:c>
      <x:c r="T375" s="6" t="str">
        <x:v>No recent matching sweep</x:v>
      </x:c>
      <x:c r="U375" s="6" t="str">
        <x:v>None</x:v>
      </x:c>
      <x:c r="V375" s="6" t="str">
        <x:v>None</x:v>
      </x:c>
      <x:c r="W375" s="6" t="str">
        <x:v>[]</x:v>
      </x:c>
      <x:c r="X375" s="8" t="str">
        <x:v>0</x:v>
      </x:c>
      <x:c r="Y375" s="8" t="str"/>
      <x:c r="Z375" s="6" t="str">
        <x:v>None</x:v>
      </x:c>
      <x:c r="AA375" s="6" t="str">
        <x:v>17334.5</x:v>
      </x:c>
      <x:c r="AB375" s="9" t="str">
        <x:v>0.41559752561402574</x:v>
      </x:c>
      <x:c r="AC375" s="9" t="str">
        <x:v>1.0713180660272663</x:v>
      </x:c>
      <x:c r="AD375" s="9" t="str">
        <x:v>1.486915591641292</x:v>
      </x:c>
      <x:c r="AE375" s="6" t="str">
        <x:v>With trade</x:v>
      </x:c>
      <x:c r="AF375" s="7" t="str">
        <x:v>2025-04-11 12:40:00-05:00</x:v>
      </x:c>
      <x:c r="AG375" s="6" t="str">
        <x:v>Long</x:v>
      </x:c>
      <x:c r="AH375" s="6" t="str">
        <x:v>17334.5</x:v>
      </x:c>
      <x:c r="AI375" s="8" t="str">
        <x:v>0</x:v>
      </x:c>
      <x:c r="AJ375" s="6" t="str">
        <x:v>True</x:v>
      </x:c>
      <x:c r="AK375" s="6" t="str">
        <x:v>Same-bar Setup+BOS</x:v>
      </x:c>
      <x:c r="AL375" s="9" t="str">
        <x:v>1.0559255650785986</x:v>
      </x:c>
      <x:c r="AM375" s="9" t="str">
        <x:v>0.41559752561402574</x:v>
      </x:c>
      <x:c r="AN375" s="9" t="str">
        <x:v>1.0713180660272663</x:v>
      </x:c>
      <x:c r="AO375" s="9" t="str">
        <x:v>1.486915591641292</x:v>
      </x:c>
      <x:c r="AP375" s="10" t="str">
        <x:v>0.7204968944099379</x:v>
      </x:c>
      <x:c r="AQ375" s="6" t="str">
        <x:v>0.2236024844720497</x:v>
      </x:c>
      <x:c r="AR375" s="6" t="str">
        <x:v>0.055900621118012424</x:v>
      </x:c>
      <x:c r="AS375" s="6" t="str">
        <x:v>With trade</x:v>
      </x:c>
      <x:c r="AT375" s="6" t="str">
        <x:v>2.254277312422028</x:v>
      </x:c>
      <x:c r="AU375" s="7" t="str">
        <x:v>2025-04-11 12:45:00-05:00</x:v>
      </x:c>
      <x:c r="AV375" s="8" t="str">
        <x:v>1</x:v>
      </x:c>
      <x:c r="AW375" s="6" t="str">
        <x:v>Immediate retest (1 bar)</x:v>
      </x:c>
      <x:c r="AX375" s="6" t="str">
        <x:v>17285.0</x:v>
      </x:c>
      <x:c r="AY375" s="6" t="str">
        <x:v>49.5</x:v>
      </x:c>
      <x:c r="AZ375" s="9" t="str">
        <x:v>0.605526340551762</x:v>
      </x:c>
      <x:c r="BA375" s="9" t="str">
        <x:v>0.24465710729364123</x:v>
      </x:c>
      <x:c r="BB375" s="9" t="str">
        <x:v>1.0856659136155329</x:v>
      </x:c>
      <x:c r="BC375" s="9" t="str">
        <x:v>0.14985247821735526</x:v>
      </x:c>
      <x:c r="BD375" s="6" t="str">
        <x:v>0.07887323943661972</x:v>
      </x:c>
      <x:c r="BE375" s="6" t="str">
        <x:v>0.7830985915492957</x:v>
      </x:c>
      <x:c r="BF375" s="9" t="str">
        <x:v>0.8501834478454032</x:v>
      </x:c>
      <x:c r="BG375" s="9" t="str">
        <x:v>0.08562998755277443</x:v>
      </x:c>
      <x:c r="BH375" s="6" t="str">
        <x:v>Against trade</x:v>
      </x:c>
      <x:c r="BI375" s="6" t="str">
        <x:v>Penetration + same-bar reclaim</x:v>
      </x:c>
      <x:c r="BJ375" s="6" t="str">
        <x:v>False</x:v>
      </x:c>
      <x:c r="BK375" s="10" t="str">
        <x:v>True</x:v>
      </x:c>
      <x:c r="BL375" s="6" t="str">
        <x:v>True</x:v>
      </x:c>
      <x:c r="BM375" s="7" t="str">
        <x:v>2025-04-11 12:50:00-05:00</x:v>
      </x:c>
      <x:c r="BN375" s="8" t="str">
        <x:v>1</x:v>
      </x:c>
      <x:c r="BO375" s="6" t="str">
        <x:v>Immediate confirmation (1 bar)</x:v>
      </x:c>
      <x:c r="BP375" s="9" t="str">
        <x:v>0.46587019267691404</x:v>
      </x:c>
      <x:c r="BQ375" s="9" t="str">
        <x:v>1.0565814173783608</x:v>
      </x:c>
      <x:c r="BR375" s="10" t="str">
        <x:v>0.4409221902017291</x:v>
      </x:c>
      <x:c r="BS375" s="9" t="str">
        <x:v>0.7003277406254264</x:v>
      </x:c>
      <x:c r="BT375" s="9" t="str">
        <x:v>0.4567354830165824</x:v>
      </x:c>
      <x:c r="BU375" s="9" t="str">
        <x:v>0.27404128980994946</x:v>
      </x:c>
      <x:c r="BV375" s="6" t="str">
        <x:v>With trade</x:v>
      </x:c>
      <x:c r="BW375" s="7" t="str">
        <x:v>2025-04-11 12:50:00-05:00</x:v>
      </x:c>
      <x:c r="BX375" s="6" t="str">
        <x:v>17392.0</x:v>
      </x:c>
      <x:c r="BY375" s="9" t="str">
        <x:v>82.10441578203047</x:v>
      </x:c>
      <x:c r="BZ375" s="9" t="str">
        <x:v>0.71</x:v>
      </x:c>
      <x:c r="CA375" s="6" t="str">
        <x:v>17268.843376326953</x:v>
      </x:c>
      <x:c r="CB375" s="6" t="str">
        <x:v>123.15662367304685</x:v>
      </x:c>
      <x:c r="CC375" s="9" t="str">
        <x:v>1.500000000000014</x:v>
      </x:c>
      <x:c r="CD375" s="6" t="str">
        <x:v>17638.31324734609</x:v>
      </x:c>
      <x:c r="CE375" s="6" t="str">
        <x:v>246.31324734609007</x:v>
      </x:c>
      <x:c r="CF375" s="6" t="str">
        <x:v>Fixed 2.00R target</x:v>
      </x:c>
      <x:c r="CG375" s="9" t="str">
        <x:v>0.005886812892213674</x:v>
      </x:c>
      <x:c r="CH375" s="9" t="str">
        <x:v>-1.0</x:v>
      </x:c>
      <x:c r="CI375" s="9" t="str">
        <x:v>-1.0058868128922136</x:v>
      </x:c>
      <x:c r="CJ375" s="6" t="str">
        <x:v>Loss</x:v>
      </x:c>
      <x:c r="CK375" s="9" t="str">
        <x:v>0.07510761276272619</x:v>
      </x:c>
      <x:c r="CL375" s="9" t="str">
        <x:v>1.0007581916763246</x:v>
      </x:c>
      <x:c r="CM375" s="7" t="str">
        <x:v>2025-04-11 13:15:00-05:00</x:v>
      </x:c>
      <x:c r="CN375" s="6" t="str">
        <x:v>17268.843376326953</x:v>
      </x:c>
      <x:c r="CO375" s="6" t="str">
        <x:v>STOP</x:v>
      </x:c>
      <x:c r="CP375" s="6" t="str">
        <x:v>F::Long::Same-bar Setup+BOS::Penetration + same-bar reclaim</x:v>
      </x:c>
    </x:row>
    <x:row r="376" ht="18" customHeight="1">
      <x:c r="A376" s="6" t="str">
        <x:v>A0375</x:v>
      </x:c>
      <x:c r="B376" s="6" t="str">
        <x:v>2025-04-14</x:v>
      </x:c>
      <x:c r="C376" s="6" t="str">
        <x:v>2025</x:v>
      </x:c>
      <x:c r="D376" s="6" t="str">
        <x:v>2025-Q2</x:v>
      </x:c>
      <x:c r="E376" s="6" t="str">
        <x:v>Second 50%</x:v>
      </x:c>
      <x:c r="F376" s="6" t="str">
        <x:v>Short</x:v>
      </x:c>
      <x:c r="G376" s="6" t="str">
        <x:v>Short</x:v>
      </x:c>
      <x:c r="H376" s="6" t="str">
        <x:v>Morning</x:v>
      </x:c>
      <x:c r="I376" s="6" t="str">
        <x:v>Opening</x:v>
      </x:c>
      <x:c r="J376" s="6" t="str">
        <x:v>Bull</x:v>
      </x:c>
      <x:c r="K376" s="6" t="str">
        <x:v>Bull</x:v>
      </x:c>
      <x:c r="L376" s="6" t="str">
        <x:v>HIGH</x:v>
      </x:c>
      <x:c r="M376" s="7" t="str">
        <x:v>2025-04-14 10:25:00-05:00</x:v>
      </x:c>
      <x:c r="N376" s="6" t="str">
        <x:v>100.0</x:v>
      </x:c>
      <x:c r="O376" s="6" t="str">
        <x:v>95+</x:v>
      </x:c>
      <x:c r="P376" s="6" t="str">
        <x:v>Matching BOS only</x:v>
      </x:c>
      <x:c r="Q376" s="6" t="str">
        <x:v>Bear CHoCH</x:v>
      </x:c>
      <x:c r="R376" s="6" t="str">
        <x:v>True</x:v>
      </x:c>
      <x:c r="S376" s="6" t="str">
        <x:v>False</x:v>
      </x:c>
      <x:c r="T376" s="6" t="str">
        <x:v>Recent BSL</x:v>
      </x:c>
      <x:c r="U376" s="6" t="str">
        <x:v>BSL</x:v>
      </x:c>
      <x:c r="V376" s="6" t="str">
        <x:v>Swing high / buy-side</x:v>
      </x:c>
      <x:c r="W376" s="6" t="str">
        <x:v>[17720.5]</x:v>
      </x:c>
      <x:c r="X376" s="8" t="str">
        <x:v>1</x:v>
      </x:c>
      <x:c r="Y376" s="8" t="str">
        <x:v>9.0</x:v>
      </x:c>
      <x:c r="Z376" s="6" t="str">
        <x:v>None</x:v>
      </x:c>
      <x:c r="AA376" s="6" t="str">
        <x:v>17532.25</x:v>
      </x:c>
      <x:c r="AB376" s="9" t="str">
        <x:v>0.7621813418070247</x:v>
      </x:c>
      <x:c r="AC376" s="9" t="str">
        <x:v>1.39808411810756</x:v>
      </x:c>
      <x:c r="AD376" s="9" t="str">
        <x:v>1.542402478686405</x:v>
      </x:c>
      <x:c r="AE376" s="6" t="str">
        <x:v>With trade</x:v>
      </x:c>
      <x:c r="AF376" s="7" t="str">
        <x:v>2025-04-14 10:25:00-05:00</x:v>
      </x:c>
      <x:c r="AG376" s="6" t="str">
        <x:v>Short</x:v>
      </x:c>
      <x:c r="AH376" s="6" t="str">
        <x:v>17532.25</x:v>
      </x:c>
      <x:c r="AI376" s="8" t="str">
        <x:v>0</x:v>
      </x:c>
      <x:c r="AJ376" s="6" t="str">
        <x:v>True</x:v>
      </x:c>
      <x:c r="AK376" s="6" t="str">
        <x:v>Same-bar Setup+BOS</x:v>
      </x:c>
      <x:c r="AL376" s="9" t="str">
        <x:v>1.4161239131799157</x:v>
      </x:c>
      <x:c r="AM376" s="9" t="str">
        <x:v>0.7621813418070247</x:v>
      </x:c>
      <x:c r="AN376" s="9" t="str">
        <x:v>1.39808411810756</x:v>
      </x:c>
      <x:c r="AO376" s="9" t="str">
        <x:v>1.542402478686405</x:v>
      </x:c>
      <x:c r="AP376" s="10" t="str">
        <x:v>0.9064327485380117</x:v>
      </x:c>
      <x:c r="AQ376" s="6" t="str">
        <x:v>0.043859649122807015</x:v>
      </x:c>
      <x:c r="AR376" s="6" t="str">
        <x:v>0.049707602339181284</x:v>
      </x:c>
      <x:c r="AS376" s="6" t="str">
        <x:v>With trade</x:v>
      </x:c>
      <x:c r="AT376" s="6" t="str">
        <x:v>1.2285961079213454</x:v>
      </x:c>
      <x:c r="AU376" s="7" t="str">
        <x:v>2025-04-14 10:30:00-05:00</x:v>
      </x:c>
      <x:c r="AV376" s="8" t="str">
        <x:v>1</x:v>
      </x:c>
      <x:c r="AW376" s="6" t="str">
        <x:v>Immediate retest (1 bar)</x:v>
      </x:c>
      <x:c r="AX376" s="6" t="str">
        <x:v>17536.75</x:v>
      </x:c>
      <x:c r="AY376" s="6" t="str">
        <x:v>4.5</x:v>
      </x:c>
      <x:c r="AZ376" s="9" t="str">
        <x:v>0.07996151402596746</x:v>
      </x:c>
      <x:c r="BA376" s="9" t="str">
        <x:v>0.10217304569984731</x:v>
      </x:c>
      <x:c r="BB376" s="9" t="str">
        <x:v>1.1949804040547358</x:v>
      </x:c>
      <x:c r="BC376" s="9" t="str">
        <x:v>0.6485767248772916</x:v>
      </x:c>
      <x:c r="BD376" s="6" t="str">
        <x:v>0.1524163568773234</x:v>
      </x:c>
      <x:c r="BE376" s="6" t="str">
        <x:v>0.3048327137546468</x:v>
      </x:c>
      <x:c r="BF376" s="9" t="str">
        <x:v>0.18213455972581477</x:v>
      </x:c>
      <x:c r="BG376" s="9" t="str">
        <x:v>0.36426911945162954</x:v>
      </x:c>
      <x:c r="BH376" s="6" t="str">
        <x:v>Against trade</x:v>
      </x:c>
      <x:c r="BI376" s="6" t="str">
        <x:v>Penetration + same-bar reclaim</x:v>
      </x:c>
      <x:c r="BJ376" s="6" t="str">
        <x:v>False</x:v>
      </x:c>
      <x:c r="BK376" s="10" t="str">
        <x:v>True</x:v>
      </x:c>
      <x:c r="BL376" s="6" t="str">
        <x:v>True</x:v>
      </x:c>
      <x:c r="BM376" s="7" t="str">
        <x:v>2025-04-14 10:35:00-05:00</x:v>
      </x:c>
      <x:c r="BN376" s="8" t="str">
        <x:v>1</x:v>
      </x:c>
      <x:c r="BO376" s="6" t="str">
        <x:v>Immediate confirmation (1 bar)</x:v>
      </x:c>
      <x:c r="BP376" s="9" t="str">
        <x:v>1.4133283952487024</x:v>
      </x:c>
      <x:c r="BQ376" s="9" t="str">
        <x:v>1.653805166977586</x:v>
      </x:c>
      <x:c r="BR376" s="10" t="str">
        <x:v>0.8545918367346939</x:v>
      </x:c>
      <x:c r="BS376" s="9" t="str">
        <x:v>1.4934873191583302</x:v>
      </x:c>
      <x:c r="BT376" s="9" t="str">
        <x:v>1.3964528323203595</x:v>
      </x:c>
      <x:c r="BU376" s="9" t="str">
        <x:v>0.09703448683797061</x:v>
      </x:c>
      <x:c r="BV376" s="6" t="str">
        <x:v>With trade</x:v>
      </x:c>
      <x:c r="BW376" s="7" t="str">
        <x:v>2025-04-14 10:35:00-05:00</x:v>
      </x:c>
      <x:c r="BX376" s="6" t="str">
        <x:v>17443.75</x:v>
      </x:c>
      <x:c r="BY376" s="9" t="str">
        <x:v>59.25728251236513</x:v>
      </x:c>
      <x:c r="BZ376" s="9" t="str">
        <x:v>1.0</x:v>
      </x:c>
      <x:c r="CA376" s="6" t="str">
        <x:v>17532.635923768546</x:v>
      </x:c>
      <x:c r="CB376" s="6" t="str">
        <x:v>88.88592376854649</x:v>
      </x:c>
      <x:c r="CC376" s="9" t="str">
        <x:v>1.4999999999999796</x:v>
      </x:c>
      <x:c r="CD376" s="6" t="str">
        <x:v>17265.978152462903</x:v>
      </x:c>
      <x:c r="CE376" s="6" t="str">
        <x:v>177.77184753709662</x:v>
      </x:c>
      <x:c r="CF376" s="6" t="str">
        <x:v>Fixed 2.00R target</x:v>
      </x:c>
      <x:c r="CG376" s="9" t="str">
        <x:v>0.008156522082032422</x:v>
      </x:c>
      <x:c r="CH376" s="9" t="str">
        <x:v>0.37407497824493013</x:v>
      </x:c>
      <x:c r="CI376" s="9" t="str">
        <x:v>0.3659184561628977</x:v>
      </x:c>
      <x:c r="CJ376" s="6" t="str">
        <x:v>Win</x:v>
      </x:c>
      <x:c r="CK376" s="9" t="str">
        <x:v>1.8197482024396474</x:v>
      </x:c>
      <x:c r="CL376" s="9" t="str">
        <x:v>0.3487616338524208</x:v>
      </x:c>
      <x:c r="CM376" s="7" t="str">
        <x:v>2025-04-14 11:35:00-05:00</x:v>
      </x:c>
      <x:c r="CN376" s="6" t="str">
        <x:v>17410.5</x:v>
      </x:c>
      <x:c r="CO376" s="6" t="str">
        <x:v>TIME</x:v>
      </x:c>
      <x:c r="CP376" s="6" t="str">
        <x:v>F::Short::Same-bar Setup+BOS::Penetration + same-bar reclaim</x:v>
      </x:c>
    </x:row>
    <x:row r="377" ht="18" customHeight="1">
      <x:c r="A377" s="6" t="str">
        <x:v>A0376</x:v>
      </x:c>
      <x:c r="B377" s="6" t="str">
        <x:v>2025-04-16</x:v>
      </x:c>
      <x:c r="C377" s="6" t="str">
        <x:v>2025</x:v>
      </x:c>
      <x:c r="D377" s="6" t="str">
        <x:v>2025-Q2</x:v>
      </x:c>
      <x:c r="E377" s="6" t="str">
        <x:v>Second 50%</x:v>
      </x:c>
      <x:c r="F377" s="6" t="str">
        <x:v>Short</x:v>
      </x:c>
      <x:c r="G377" s="6" t="str">
        <x:v>Short</x:v>
      </x:c>
      <x:c r="H377" s="6" t="str">
        <x:v>Morning</x:v>
      </x:c>
      <x:c r="I377" s="6" t="str">
        <x:v>Morning</x:v>
      </x:c>
      <x:c r="J377" s="6" t="str">
        <x:v>Bear</x:v>
      </x:c>
      <x:c r="K377" s="6" t="str">
        <x:v>Bear</x:v>
      </x:c>
      <x:c r="L377" s="6" t="str">
        <x:v>MID</x:v>
      </x:c>
      <x:c r="M377" s="7" t="str">
        <x:v>2025-04-16 10:55:00-05:00</x:v>
      </x:c>
      <x:c r="N377" s="6" t="str">
        <x:v>85.0</x:v>
      </x:c>
      <x:c r="O377" s="6" t="str">
        <x:v>85-89</x:v>
      </x:c>
      <x:c r="P377" s="6" t="str">
        <x:v>Matching BOS only</x:v>
      </x:c>
      <x:c r="Q377" s="6" t="str">
        <x:v>Bear CHoCH</x:v>
      </x:c>
      <x:c r="R377" s="6" t="str">
        <x:v>True</x:v>
      </x:c>
      <x:c r="S377" s="6" t="str">
        <x:v>False</x:v>
      </x:c>
      <x:c r="T377" s="6" t="str">
        <x:v>Recent BSL</x:v>
      </x:c>
      <x:c r="U377" s="6" t="str">
        <x:v>BSL</x:v>
      </x:c>
      <x:c r="V377" s="6" t="str">
        <x:v>Swing high / buy-side</x:v>
      </x:c>
      <x:c r="W377" s="6" t="str">
        <x:v>[17268.5,17257.75]</x:v>
      </x:c>
      <x:c r="X377" s="8" t="str">
        <x:v>2</x:v>
      </x:c>
      <x:c r="Y377" s="8" t="str">
        <x:v>6.0</x:v>
      </x:c>
      <x:c r="Z377" s="6" t="str">
        <x:v>None</x:v>
      </x:c>
      <x:c r="AA377" s="6" t="str">
        <x:v>17136.0</x:v>
      </x:c>
      <x:c r="AB377" s="9" t="str">
        <x:v>0.09024130112660163</x:v>
      </x:c>
      <x:c r="AC377" s="9" t="str">
        <x:v>0.3910456382152737</x:v>
      </x:c>
      <x:c r="AD377" s="9" t="str">
        <x:v>0.9264773582331101</x:v>
      </x:c>
      <x:c r="AE377" s="6" t="str">
        <x:v>With trade</x:v>
      </x:c>
      <x:c r="AF377" s="7" t="str">
        <x:v>2025-04-16 10:55:00-05:00</x:v>
      </x:c>
      <x:c r="AG377" s="6" t="str">
        <x:v>Short</x:v>
      </x:c>
      <x:c r="AH377" s="6" t="str">
        <x:v>17136.0</x:v>
      </x:c>
      <x:c r="AI377" s="8" t="str">
        <x:v>0</x:v>
      </x:c>
      <x:c r="AJ377" s="6" t="str">
        <x:v>True</x:v>
      </x:c>
      <x:c r="AK377" s="6" t="str">
        <x:v>Same-bar Setup+BOS</x:v>
      </x:c>
      <x:c r="AL377" s="9" t="str">
        <x:v>0.39706172495704717</x:v>
      </x:c>
      <x:c r="AM377" s="9" t="str">
        <x:v>0.09024130112660163</x:v>
      </x:c>
      <x:c r="AN377" s="9" t="str">
        <x:v>0.3910456382152737</x:v>
      </x:c>
      <x:c r="AO377" s="9" t="str">
        <x:v>0.9264773582331101</x:v>
      </x:c>
      <x:c r="AP377" s="10" t="str">
        <x:v>0.42207792207792205</x:v>
      </x:c>
      <x:c r="AQ377" s="6" t="str">
        <x:v>0.2792207792207792</x:v>
      </x:c>
      <x:c r="AR377" s="6" t="str">
        <x:v>0.2987012987012987</x:v>
      </x:c>
      <x:c r="AS377" s="6" t="str">
        <x:v>With trade</x:v>
      </x:c>
      <x:c r="AT377" s="6" t="str">
        <x:v>1.1193829387159906</x:v>
      </x:c>
      <x:c r="AU377" s="7" t="str">
        <x:v>2025-04-16 11:00:00-05:00</x:v>
      </x:c>
      <x:c r="AV377" s="8" t="str">
        <x:v>1</x:v>
      </x:c>
      <x:c r="AW377" s="6" t="str">
        <x:v>Immediate retest (1 bar)</x:v>
      </x:c>
      <x:c r="AX377" s="6" t="str">
        <x:v>17141.0</x:v>
      </x:c>
      <x:c r="AY377" s="6" t="str">
        <x:v>5.0</x:v>
      </x:c>
      <x:c r="AZ377" s="9" t="str">
        <x:v>0.12319209557053884</x:v>
      </x:c>
      <x:c r="BA377" s="9" t="str">
        <x:v>-0.03079802389263471</x:v>
      </x:c>
      <x:c r="BB377" s="9" t="str">
        <x:v>0.6898757351950174</x:v>
      </x:c>
      <x:c r="BC377" s="9" t="str">
        <x:v>0.10471328123495802</x:v>
      </x:c>
      <x:c r="BD377" s="6" t="str">
        <x:v>0.13392857142857142</x:v>
      </x:c>
      <x:c r="BE377" s="6" t="str">
        <x:v>0.7142857142857143</x:v>
      </x:c>
      <x:c r="BF377" s="9" t="str">
        <x:v>0.09239407167790413</x:v>
      </x:c>
      <x:c r="BG377" s="9" t="str">
        <x:v>0.49276838228215536</x:v>
      </x:c>
      <x:c r="BH377" s="6" t="str">
        <x:v>Against trade</x:v>
      </x:c>
      <x:c r="BI377" s="6" t="str">
        <x:v>Penetration without same-bar reclaim</x:v>
      </x:c>
      <x:c r="BJ377" s="6" t="str">
        <x:v>False</x:v>
      </x:c>
      <x:c r="BK377" s="10" t="str">
        <x:v>True</x:v>
      </x:c>
      <x:c r="BL377" s="6" t="str">
        <x:v>False</x:v>
      </x:c>
      <x:c r="BM377" s="7" t="str">
        <x:v>2025-04-16 11:05:00-05:00</x:v>
      </x:c>
      <x:c r="BN377" s="8" t="str">
        <x:v>1</x:v>
      </x:c>
      <x:c r="BO377" s="6" t="str">
        <x:v>Immediate confirmation (1 bar)</x:v>
      </x:c>
      <x:c r="BP377" s="9" t="str">
        <x:v>0.2638586010032653</x:v>
      </x:c>
      <x:c r="BQ377" s="9" t="str">
        <x:v>1.0492981574781015</x:v>
      </x:c>
      <x:c r="BR377" s="10" t="str">
        <x:v>0.25146198830409355</x:v>
      </x:c>
      <x:c r="BS377" s="9" t="str">
        <x:v>0.24544986139838634</x:v>
      </x:c>
      <x:c r="BT377" s="9" t="str">
        <x:v>0.27613109407318465</x:v>
      </x:c>
      <x:c r="BU377" s="9" t="str">
        <x:v>0.012272493069919318</x:v>
      </x:c>
      <x:c r="BV377" s="6" t="str">
        <x:v>With trade</x:v>
      </x:c>
      <x:c r="BW377" s="7" t="str">
        <x:v>2025-04-16 11:05:00-05:00</x:v>
      </x:c>
      <x:c r="BX377" s="6" t="str">
        <x:v>17126.0</x:v>
      </x:c>
      <x:c r="BY377" s="9" t="str">
        <x:v>40.74151821894548</x:v>
      </x:c>
      <x:c r="BZ377" s="9" t="str">
        <x:v>0.66</x:v>
      </x:c>
      <x:c r="CA377" s="6" t="str">
        <x:v>17187.11227732842</x:v>
      </x:c>
      <x:c r="CB377" s="6" t="str">
        <x:v>61.11227732841871</x:v>
      </x:c>
      <x:c r="CC377" s="9" t="str">
        <x:v>1.5000000000000122</x:v>
      </x:c>
      <x:c r="CD377" s="6" t="str">
        <x:v>17003.775445343163</x:v>
      </x:c>
      <x:c r="CE377" s="6" t="str">
        <x:v>122.22455465683743</x:v>
      </x:c>
      <x:c r="CF377" s="6" t="str">
        <x:v>Fixed 2.00R target</x:v>
      </x:c>
      <x:c r="CG377" s="9" t="str">
        <x:v>0.011863409967588577</x:v>
      </x:c>
      <x:c r="CH377" s="9" t="str">
        <x:v>0.6136246534959658</x:v>
      </x:c>
      <x:c r="CI377" s="9" t="str">
        <x:v>0.6017612435283772</x:v>
      </x:c>
      <x:c r="CJ377" s="6" t="str">
        <x:v>Win</x:v>
      </x:c>
      <x:c r="CK377" s="9" t="str">
        <x:v>0.6708962878222506</x:v>
      </x:c>
      <x:c r="CL377" s="9" t="str">
        <x:v>0.5727163432628969</x:v>
      </x:c>
      <x:c r="CM377" s="7" t="str">
        <x:v>2025-04-16 12:05:00-05:00</x:v>
      </x:c>
      <x:c r="CN377" s="6" t="str">
        <x:v>17088.5</x:v>
      </x:c>
      <x:c r="CO377" s="6" t="str">
        <x:v>TIME</x:v>
      </x:c>
      <x:c r="CP377" s="6" t="str">
        <x:v>F::Short::Same-bar Setup+BOS::Penetration without same-bar reclaim</x:v>
      </x:c>
    </x:row>
    <x:row r="378" ht="18" customHeight="1">
      <x:c r="A378" s="6" t="str">
        <x:v>A0377</x:v>
      </x:c>
      <x:c r="B378" s="6" t="str">
        <x:v>2025-04-16</x:v>
      </x:c>
      <x:c r="C378" s="6" t="str">
        <x:v>2025</x:v>
      </x:c>
      <x:c r="D378" s="6" t="str">
        <x:v>2025-Q2</x:v>
      </x:c>
      <x:c r="E378" s="6" t="str">
        <x:v>Second 50%</x:v>
      </x:c>
      <x:c r="F378" s="6" t="str">
        <x:v>Short</x:v>
      </x:c>
      <x:c r="G378" s="6" t="str">
        <x:v>Short</x:v>
      </x:c>
      <x:c r="H378" s="6" t="str">
        <x:v>Midday</x:v>
      </x:c>
      <x:c r="I378" s="6" t="str">
        <x:v>Midday</x:v>
      </x:c>
      <x:c r="J378" s="6" t="str">
        <x:v>Bear</x:v>
      </x:c>
      <x:c r="K378" s="6" t="str">
        <x:v>Bear</x:v>
      </x:c>
      <x:c r="L378" s="6" t="str">
        <x:v>HIGH</x:v>
      </x:c>
      <x:c r="M378" s="7" t="str">
        <x:v>2025-04-16 13:35:00-05:00</x:v>
      </x:c>
      <x:c r="N378" s="6" t="str">
        <x:v>75.0</x:v>
      </x:c>
      <x:c r="O378" s="6" t="str">
        <x:v>75-79</x:v>
      </x:c>
      <x:c r="P378" s="6" t="str">
        <x:v>Matching BOS only</x:v>
      </x:c>
      <x:c r="Q378" s="6" t="str">
        <x:v>Bear BOS</x:v>
      </x:c>
      <x:c r="R378" s="6" t="str">
        <x:v>True</x:v>
      </x:c>
      <x:c r="S378" s="6" t="str">
        <x:v>False</x:v>
      </x:c>
      <x:c r="T378" s="6" t="str">
        <x:v>No recent matching sweep</x:v>
      </x:c>
      <x:c r="U378" s="6" t="str">
        <x:v>None</x:v>
      </x:c>
      <x:c r="V378" s="6" t="str">
        <x:v>None</x:v>
      </x:c>
      <x:c r="W378" s="6" t="str">
        <x:v>[]</x:v>
      </x:c>
      <x:c r="X378" s="8" t="str">
        <x:v>0</x:v>
      </x:c>
      <x:c r="Y378" s="8" t="str"/>
      <x:c r="Z378" s="6" t="str">
        <x:v>None</x:v>
      </x:c>
      <x:c r="AA378" s="6" t="str">
        <x:v>16828.5</x:v>
      </x:c>
      <x:c r="AB378" s="9" t="str">
        <x:v>0.21976637325603726</x:v>
      </x:c>
      <x:c r="AC378" s="9" t="str">
        <x:v>1.0053142606393195</x:v>
      </x:c>
      <x:c r="AD378" s="9" t="str">
        <x:v>1.164294190228793</x:v>
      </x:c>
      <x:c r="AE378" s="6" t="str">
        <x:v>With trade</x:v>
      </x:c>
      <x:c r="AF378" s="7" t="str">
        <x:v>2025-04-16 13:35:00-05:00</x:v>
      </x:c>
      <x:c r="AG378" s="6" t="str">
        <x:v>Short</x:v>
      </x:c>
      <x:c r="AH378" s="6" t="str">
        <x:v>16828.5</x:v>
      </x:c>
      <x:c r="AI378" s="8" t="str">
        <x:v>0</x:v>
      </x:c>
      <x:c r="AJ378" s="6" t="str">
        <x:v>True</x:v>
      </x:c>
      <x:c r="AK378" s="6" t="str">
        <x:v>Same-bar Setup+BOS</x:v>
      </x:c>
      <x:c r="AL378" s="9" t="str">
        <x:v>0.9959625000752327</x:v>
      </x:c>
      <x:c r="AM378" s="9" t="str">
        <x:v>0.21976637325603726</x:v>
      </x:c>
      <x:c r="AN378" s="9" t="str">
        <x:v>1.0053142606393195</x:v>
      </x:c>
      <x:c r="AO378" s="9" t="str">
        <x:v>1.164294190228793</x:v>
      </x:c>
      <x:c r="AP378" s="10" t="str">
        <x:v>0.8634538152610441</x:v>
      </x:c>
      <x:c r="AQ378" s="6" t="str">
        <x:v>0.07228915662650602</x:v>
      </x:c>
      <x:c r="AR378" s="6" t="str">
        <x:v>0.0642570281124498</x:v>
      </x:c>
      <x:c r="AS378" s="6" t="str">
        <x:v>With trade</x:v>
      </x:c>
      <x:c r="AT378" s="6" t="str">
        <x:v>1.0139382123817922</x:v>
      </x:c>
      <x:c r="AU378" s="7" t="str">
        <x:v>2025-04-16 13:40:00-05:00</x:v>
      </x:c>
      <x:c r="AV378" s="8" t="str">
        <x:v>1</x:v>
      </x:c>
      <x:c r="AW378" s="6" t="str">
        <x:v>Immediate retest (1 bar)</x:v>
      </x:c>
      <x:c r="AX378" s="6" t="str">
        <x:v>16830.5</x:v>
      </x:c>
      <x:c r="AY378" s="6" t="str">
        <x:v>2.0</x:v>
      </x:c>
      <x:c r="AZ378" s="9" t="str">
        <x:v>0.038222318739219316</x:v>
      </x:c>
      <x:c r="BA378" s="9" t="str">
        <x:v>0.5446680420338752</x:v>
      </x:c>
      <x:c r="BB378" s="9" t="str">
        <x:v>0.7166684763603621</x:v>
      </x:c>
      <x:c r="BC378" s="9" t="str">
        <x:v>0.31055633975615693</x:v>
      </x:c>
      <x:c r="BD378" s="6" t="str">
        <x:v>0.38</x:v>
      </x:c>
      <x:c r="BE378" s="6" t="str">
        <x:v>0.18666666666666668</x:v>
      </x:c>
      <x:c r="BF378" s="9" t="str">
        <x:v>0.2723340210169376</x:v>
      </x:c>
      <x:c r="BG378" s="9" t="str">
        <x:v>0.1337781155872676</x:v>
      </x:c>
      <x:c r="BH378" s="6" t="str">
        <x:v>With trade</x:v>
      </x:c>
      <x:c r="BI378" s="6" t="str">
        <x:v>Penetration + same-bar reclaim</x:v>
      </x:c>
      <x:c r="BJ378" s="6" t="str">
        <x:v>False</x:v>
      </x:c>
      <x:c r="BK378" s="10" t="str">
        <x:v>True</x:v>
      </x:c>
      <x:c r="BL378" s="6" t="str">
        <x:v>True</x:v>
      </x:c>
      <x:c r="BM378" s="7" t="str">
        <x:v>2025-04-16 13:45:00-05:00</x:v>
      </x:c>
      <x:c r="BN378" s="8" t="str">
        <x:v>1</x:v>
      </x:c>
      <x:c r="BO378" s="6" t="str">
        <x:v>Immediate confirmation (1 bar)</x:v>
      </x:c>
      <x:c r="BP378" s="9" t="str">
        <x:v>0.10853006256089173</x:v>
      </x:c>
      <x:c r="BQ378" s="9" t="str">
        <x:v>0.5771826054374697</x:v>
      </x:c>
      <x:c r="BR378" s="10" t="str">
        <x:v>0.18803418803418803</x:v>
      </x:c>
      <x:c r="BS378" s="9" t="str">
        <x:v>0.6511803753653505</x:v>
      </x:c>
      <x:c r="BT378" s="9" t="str">
        <x:v>0.08879732391345688</x:v>
      </x:c>
      <x:c r="BU378" s="9" t="str">
        <x:v>0.29599107971152294</x:v>
      </x:c>
      <x:c r="BV378" s="6" t="str">
        <x:v>With trade</x:v>
      </x:c>
      <x:c r="BW378" s="7" t="str">
        <x:v>2025-04-16 13:45:00-05:00</x:v>
      </x:c>
      <x:c r="BX378" s="6" t="str">
        <x:v>16795.5</x:v>
      </x:c>
      <x:c r="BY378" s="9" t="str">
        <x:v>50.67720288942225</x:v>
      </x:c>
      <x:c r="BZ378" s="9" t="str">
        <x:v>0.9</x:v>
      </x:c>
      <x:c r="CA378" s="6" t="str">
        <x:v>16871.515804334133</x:v>
      </x:c>
      <x:c r="CB378" s="6" t="str">
        <x:v>76.01580433413255</x:v>
      </x:c>
      <x:c r="CC378" s="9" t="str">
        <x:v>1.4999999999999838</x:v>
      </x:c>
      <x:c r="CD378" s="6" t="str">
        <x:v>16643.468391331735</x:v>
      </x:c>
      <x:c r="CE378" s="6" t="str">
        <x:v>152.0316086682651</x:v>
      </x:c>
      <x:c r="CF378" s="6" t="str">
        <x:v>Fixed 2.00R target</x:v>
      </x:c>
      <x:c r="CG378" s="9" t="str">
        <x:v>0.009537490346260285</x:v>
      </x:c>
      <x:c r="CH378" s="9" t="str">
        <x:v>-0.14470675008118897</x:v>
      </x:c>
      <x:c r="CI378" s="9" t="str">
        <x:v>-0.15424424042744925</x:v>
      </x:c>
      <x:c r="CJ378" s="6" t="str">
        <x:v>Loss</x:v>
      </x:c>
      <x:c r="CK378" s="9" t="str">
        <x:v>1.7726576884945842</x:v>
      </x:c>
      <x:c r="CL378" s="9" t="str">
        <x:v>0.2137713353472133</x:v>
      </x:c>
      <x:c r="CM378" s="7" t="str">
        <x:v>2025-04-16 14:45:00-05:00</x:v>
      </x:c>
      <x:c r="CN378" s="6" t="str">
        <x:v>16806.5</x:v>
      </x:c>
      <x:c r="CO378" s="6" t="str">
        <x:v>TIME</x:v>
      </x:c>
      <x:c r="CP378" s="6" t="str">
        <x:v>F::Short::Same-bar Setup+BOS::Penetration + same-bar reclaim</x:v>
      </x:c>
    </x:row>
    <x:row r="379" ht="18" customHeight="1">
      <x:c r="A379" s="6" t="str">
        <x:v>A0378</x:v>
      </x:c>
      <x:c r="B379" s="6" t="str">
        <x:v>2025-04-20</x:v>
      </x:c>
      <x:c r="C379" s="6" t="str">
        <x:v>2025</x:v>
      </x:c>
      <x:c r="D379" s="6" t="str">
        <x:v>2025-Q2</x:v>
      </x:c>
      <x:c r="E379" s="6" t="str">
        <x:v>Second 50%</x:v>
      </x:c>
      <x:c r="F379" s="6" t="str">
        <x:v>Short</x:v>
      </x:c>
      <x:c r="G379" s="6" t="str">
        <x:v>Short</x:v>
      </x:c>
      <x:c r="H379" s="6" t="str">
        <x:v>Overnight</x:v>
      </x:c>
      <x:c r="I379" s="6" t="str">
        <x:v>Overnight</x:v>
      </x:c>
      <x:c r="J379" s="6" t="str">
        <x:v>Bear</x:v>
      </x:c>
      <x:c r="K379" s="6" t="str">
        <x:v>Bear</x:v>
      </x:c>
      <x:c r="L379" s="6" t="str">
        <x:v>LOW</x:v>
      </x:c>
      <x:c r="M379" s="7" t="str">
        <x:v>2025-04-20 20:05:00-05:00</x:v>
      </x:c>
      <x:c r="N379" s="6" t="str">
        <x:v>90.0</x:v>
      </x:c>
      <x:c r="O379" s="6" t="str">
        <x:v>90-94</x:v>
      </x:c>
      <x:c r="P379" s="6" t="str">
        <x:v>Matching BOS only</x:v>
      </x:c>
      <x:c r="Q379" s="6" t="str">
        <x:v>Bear CHoCH</x:v>
      </x:c>
      <x:c r="R379" s="6" t="str">
        <x:v>True</x:v>
      </x:c>
      <x:c r="S379" s="6" t="str">
        <x:v>False</x:v>
      </x:c>
      <x:c r="T379" s="6" t="str">
        <x:v>Recent BSL</x:v>
      </x:c>
      <x:c r="U379" s="6" t="str">
        <x:v>BSL</x:v>
      </x:c>
      <x:c r="V379" s="6" t="str">
        <x:v>Swing high / buy-side</x:v>
      </x:c>
      <x:c r="W379" s="6" t="str">
        <x:v>[16872.0]</x:v>
      </x:c>
      <x:c r="X379" s="8" t="str">
        <x:v>1</x:v>
      </x:c>
      <x:c r="Y379" s="8" t="str">
        <x:v>13.0</x:v>
      </x:c>
      <x:c r="Z379" s="6" t="str">
        <x:v>None</x:v>
      </x:c>
      <x:c r="AA379" s="6" t="str">
        <x:v>16823.5</x:v>
      </x:c>
      <x:c r="AB379" s="9" t="str">
        <x:v>0.316441230415502</x:v>
      </x:c>
      <x:c r="AC379" s="9" t="str">
        <x:v>1.0849413614245782</x:v>
      </x:c>
      <x:c r="AD379" s="9" t="str">
        <x:v>1.4465884818994375</x:v>
      </x:c>
      <x:c r="AE379" s="6" t="str">
        <x:v>With trade</x:v>
      </x:c>
      <x:c r="AF379" s="7" t="str">
        <x:v>2025-04-20 20:05:00-05:00</x:v>
      </x:c>
      <x:c r="AG379" s="6" t="str">
        <x:v>Short</x:v>
      </x:c>
      <x:c r="AH379" s="6" t="str">
        <x:v>16823.5</x:v>
      </x:c>
      <x:c r="AI379" s="8" t="str">
        <x:v>0</x:v>
      </x:c>
      <x:c r="AJ379" s="6" t="str">
        <x:v>True</x:v>
      </x:c>
      <x:c r="AK379" s="6" t="str">
        <x:v>Same-bar Setup+BOS</x:v>
      </x:c>
      <x:c r="AL379" s="9" t="str">
        <x:v>1.2544634491471685</x:v>
      </x:c>
      <x:c r="AM379" s="9" t="str">
        <x:v>0.316441230415502</x:v>
      </x:c>
      <x:c r="AN379" s="9" t="str">
        <x:v>1.0849413614245782</x:v>
      </x:c>
      <x:c r="AO379" s="9" t="str">
        <x:v>1.4465884818994375</x:v>
      </x:c>
      <x:c r="AP379" s="10" t="str">
        <x:v>0.75</x:v>
      </x:c>
      <x:c r="AQ379" s="6" t="str">
        <x:v>0.03125</x:v>
      </x:c>
      <x:c r="AR379" s="6" t="str">
        <x:v>0.21875</x:v>
      </x:c>
      <x:c r="AS379" s="6" t="str">
        <x:v>With trade</x:v>
      </x:c>
      <x:c r="AT379" s="6" t="str">
        <x:v>2.046500363284088</x:v>
      </x:c>
      <x:c r="AU379" s="7" t="str">
        <x:v>2025-04-20 20:10:00-05:00</x:v>
      </x:c>
      <x:c r="AV379" s="8" t="str">
        <x:v>1</x:v>
      </x:c>
      <x:c r="AW379" s="6" t="str">
        <x:v>Immediate retest (1 bar)</x:v>
      </x:c>
      <x:c r="AX379" s="6" t="str">
        <x:v>16827.0</x:v>
      </x:c>
      <x:c r="AY379" s="6" t="str">
        <x:v>3.5</x:v>
      </x:c>
      <x:c r="AZ379" s="9" t="str">
        <x:v>0.15764591764690344</x:v>
      </x:c>
      <x:c r="BA379" s="9" t="str">
        <x:v>0.25898972184848423</x:v>
      </x:c>
      <x:c r="BB379" s="9" t="str">
        <x:v>1.0472193100830014</x:v>
      </x:c>
      <x:c r="BC379" s="9" t="str">
        <x:v>0.011260422689064532</x:v>
      </x:c>
      <x:c r="BD379" s="6" t="str">
        <x:v>0.3870967741935484</x:v>
      </x:c>
      <x:c r="BE379" s="6" t="str">
        <x:v>0.6021505376344086</x:v>
      </x:c>
      <x:c r="BF379" s="9" t="str">
        <x:v>0.40537521680632316</x:v>
      </x:c>
      <x:c r="BG379" s="9" t="str">
        <x:v>0.6305836705876138</x:v>
      </x:c>
      <x:c r="BH379" s="6" t="str">
        <x:v>With trade</x:v>
      </x:c>
      <x:c r="BI379" s="6" t="str">
        <x:v>Penetration + same-bar reclaim</x:v>
      </x:c>
      <x:c r="BJ379" s="6" t="str">
        <x:v>False</x:v>
      </x:c>
      <x:c r="BK379" s="10" t="str">
        <x:v>True</x:v>
      </x:c>
      <x:c r="BL379" s="6" t="str">
        <x:v>True</x:v>
      </x:c>
      <x:c r="BM379" s="7" t="str">
        <x:v>2025-04-20 20:15:00-05:00</x:v>
      </x:c>
      <x:c r="BN379" s="8" t="str">
        <x:v>1</x:v>
      </x:c>
      <x:c r="BO379" s="6" t="str">
        <x:v>Immediate confirmation (1 bar)</x:v>
      </x:c>
      <x:c r="BP379" s="9" t="str">
        <x:v>0.38218013838114345</x:v>
      </x:c>
      <x:c r="BQ379" s="9" t="str">
        <x:v>1.0228938997848251</x:v>
      </x:c>
      <x:c r="BR379" s="10" t="str">
        <x:v>0.37362637362637363</x:v>
      </x:c>
      <x:c r="BS379" s="9" t="str">
        <x:v>0.5845107998770429</x:v>
      </x:c>
      <x:c r="BT379" s="9" t="str">
        <x:v>0.32597717685450467</x:v>
      </x:c>
      <x:c r="BU379" s="9" t="str">
        <x:v>0.2360524384118827</x:v>
      </x:c>
      <x:c r="BV379" s="6" t="str">
        <x:v>With trade</x:v>
      </x:c>
      <x:c r="BW379" s="7" t="str">
        <x:v>2025-04-20 20:15:00-05:00</x:v>
      </x:c>
      <x:c r="BX379" s="6" t="str">
        <x:v>16810.5</x:v>
      </x:c>
      <x:c r="BY379" s="9" t="str">
        <x:v>22.240820875738596</x:v>
      </x:c>
      <x:c r="BZ379" s="9" t="str">
        <x:v>0.12</x:v>
      </x:c>
      <x:c r="CA379" s="6" t="str">
        <x:v>16843.861231313607</x:v>
      </x:c>
      <x:c r="CB379" s="6" t="str">
        <x:v>33.36123131360728</x:v>
      </x:c>
      <x:c r="CC379" s="9" t="str">
        <x:v>1.4999999999999722</x:v>
      </x:c>
      <x:c r="CD379" s="6" t="str">
        <x:v>16743.777537372785</x:v>
      </x:c>
      <x:c r="CE379" s="6" t="str">
        <x:v>66.72246262721455</x:v>
      </x:c>
      <x:c r="CF379" s="6" t="str">
        <x:v>Fixed 2.00R target</x:v>
      </x:c>
      <x:c r="CG379" s="9" t="str">
        <x:v>0.021731811790300714</x:v>
      </x:c>
      <x:c r="CH379" s="9" t="str">
        <x:v>-1.0</x:v>
      </x:c>
      <x:c r="CI379" s="9" t="str">
        <x:v>-1.0217318117903007</x:v>
      </x:c>
      <x:c r="CJ379" s="6" t="str">
        <x:v>Loss</x:v>
      </x:c>
      <x:c r="CK379" s="9" t="str">
        <x:v>0.02997491281420788</x:v>
      </x:c>
      <x:c r="CL379" s="9" t="str">
        <x:v>1.251452609993179</x:v>
      </x:c>
      <x:c r="CM379" s="7" t="str">
        <x:v>2025-04-20 20:30:00-05:00</x:v>
      </x:c>
      <x:c r="CN379" s="6" t="str">
        <x:v>16843.861231313607</x:v>
      </x:c>
      <x:c r="CO379" s="6" t="str">
        <x:v>STOP</x:v>
      </x:c>
      <x:c r="CP379" s="6" t="str">
        <x:v>F::Short::Same-bar Setup+BOS::Penetration + same-bar reclaim</x:v>
      </x:c>
    </x:row>
    <x:row r="380" ht="18" customHeight="1">
      <x:c r="A380" s="6" t="str">
        <x:v>A0379</x:v>
      </x:c>
      <x:c r="B380" s="6" t="str">
        <x:v>2025-04-22</x:v>
      </x:c>
      <x:c r="C380" s="6" t="str">
        <x:v>2025</x:v>
      </x:c>
      <x:c r="D380" s="6" t="str">
        <x:v>2025-Q2</x:v>
      </x:c>
      <x:c r="E380" s="6" t="str">
        <x:v>Second 50%</x:v>
      </x:c>
      <x:c r="F380" s="6" t="str">
        <x:v>Long</x:v>
      </x:c>
      <x:c r="G380" s="6" t="str">
        <x:v>Long</x:v>
      </x:c>
      <x:c r="H380" s="6" t="str">
        <x:v>Overnight</x:v>
      </x:c>
      <x:c r="I380" s="6" t="str">
        <x:v>Overnight</x:v>
      </x:c>
      <x:c r="J380" s="6" t="str">
        <x:v>Bear</x:v>
      </x:c>
      <x:c r="K380" s="6" t="str">
        <x:v>Bear</x:v>
      </x:c>
      <x:c r="L380" s="6" t="str">
        <x:v>LOW</x:v>
      </x:c>
      <x:c r="M380" s="7" t="str">
        <x:v>2025-04-22 01:00:00-05:00</x:v>
      </x:c>
      <x:c r="N380" s="6" t="str">
        <x:v>90.0</x:v>
      </x:c>
      <x:c r="O380" s="6" t="str">
        <x:v>90-94</x:v>
      </x:c>
      <x:c r="P380" s="6" t="str">
        <x:v>Matching BOS only</x:v>
      </x:c>
      <x:c r="Q380" s="6" t="str">
        <x:v>Bull CHoCH</x:v>
      </x:c>
      <x:c r="R380" s="6" t="str">
        <x:v>True</x:v>
      </x:c>
      <x:c r="S380" s="6" t="str">
        <x:v>False</x:v>
      </x:c>
      <x:c r="T380" s="6" t="str">
        <x:v>Recent SSL</x:v>
      </x:c>
      <x:c r="U380" s="6" t="str">
        <x:v>SSL</x:v>
      </x:c>
      <x:c r="V380" s="6" t="str">
        <x:v>Swing low / sell-side</x:v>
      </x:c>
      <x:c r="W380" s="6" t="str">
        <x:v>[16516.75]</x:v>
      </x:c>
      <x:c r="X380" s="8" t="str">
        <x:v>1</x:v>
      </x:c>
      <x:c r="Y380" s="8" t="str">
        <x:v>7.0</x:v>
      </x:c>
      <x:c r="Z380" s="6" t="str">
        <x:v>None</x:v>
      </x:c>
      <x:c r="AA380" s="6" t="str">
        <x:v>16557.5</x:v>
      </x:c>
      <x:c r="AB380" s="9" t="str">
        <x:v>0.07716391029275983</x:v>
      </x:c>
      <x:c r="AC380" s="9" t="str">
        <x:v>1.0494291799815336</x:v>
      </x:c>
      <x:c r="AD380" s="9" t="str">
        <x:v>1.9753961034946514</x:v>
      </x:c>
      <x:c r="AE380" s="6" t="str">
        <x:v>With trade</x:v>
      </x:c>
      <x:c r="AF380" s="7" t="str">
        <x:v>2025-04-22 01:00:00-05:00</x:v>
      </x:c>
      <x:c r="AG380" s="6" t="str">
        <x:v>Long</x:v>
      </x:c>
      <x:c r="AH380" s="6" t="str">
        <x:v>16557.5</x:v>
      </x:c>
      <x:c r="AI380" s="8" t="str">
        <x:v>0</x:v>
      </x:c>
      <x:c r="AJ380" s="6" t="str">
        <x:v>True</x:v>
      </x:c>
      <x:c r="AK380" s="6" t="str">
        <x:v>Same-bar Setup+BOS</x:v>
      </x:c>
      <x:c r="AL380" s="9" t="str">
        <x:v>1.0031308338058778</x:v>
      </x:c>
      <x:c r="AM380" s="9" t="str">
        <x:v>0.07716391029275983</x:v>
      </x:c>
      <x:c r="AN380" s="9" t="str">
        <x:v>1.0494291799815336</x:v>
      </x:c>
      <x:c r="AO380" s="9" t="str">
        <x:v>1.9753961034946514</x:v>
      </x:c>
      <x:c r="AP380" s="10" t="str">
        <x:v>0.53125</x:v>
      </x:c>
      <x:c r="AQ380" s="6" t="str">
        <x:v>0.0859375</x:v>
      </x:c>
      <x:c r="AR380" s="6" t="str">
        <x:v>0.3828125</x:v>
      </x:c>
      <x:c r="AS380" s="6" t="str">
        <x:v>With trade</x:v>
      </x:c>
      <x:c r="AT380" s="6" t="str">
        <x:v>2.442938659058488</x:v>
      </x:c>
      <x:c r="AU380" s="7" t="str">
        <x:v>2025-04-22 01:05:00-05:00</x:v>
      </x:c>
      <x:c r="AV380" s="8" t="str">
        <x:v>1</x:v>
      </x:c>
      <x:c r="AW380" s="6" t="str">
        <x:v>Immediate retest (1 bar)</x:v>
      </x:c>
      <x:c r="AX380" s="6" t="str">
        <x:v>16552.5</x:v>
      </x:c>
      <x:c r="AY380" s="6" t="str">
        <x:v>5.0</x:v>
      </x:c>
      <x:c r="AZ380" s="9" t="str">
        <x:v>0.31307208949633136</x:v>
      </x:c>
      <x:c r="BA380" s="9" t="str">
        <x:v>0.2504576715970651</x:v>
      </x:c>
      <x:c r="BB380" s="9" t="str">
        <x:v>0.8139874326904616</x:v>
      </x:c>
      <x:c r="BC380" s="9" t="str">
        <x:v>0.07826802237408284</x:v>
      </x:c>
      <x:c r="BD380" s="6" t="str">
        <x:v>0.3076923076923077</x:v>
      </x:c>
      <x:c r="BE380" s="6" t="str">
        <x:v>0.5961538461538461</x:v>
      </x:c>
      <x:c r="BF380" s="9" t="str">
        <x:v>0.48526173871931366</x:v>
      </x:c>
      <x:c r="BG380" s="9" t="str">
        <x:v>0.2504576715970651</x:v>
      </x:c>
      <x:c r="BH380" s="6" t="str">
        <x:v>With trade</x:v>
      </x:c>
      <x:c r="BI380" s="6" t="str">
        <x:v>Penetration + same-bar reclaim</x:v>
      </x:c>
      <x:c r="BJ380" s="6" t="str">
        <x:v>False</x:v>
      </x:c>
      <x:c r="BK380" s="10" t="str">
        <x:v>True</x:v>
      </x:c>
      <x:c r="BL380" s="6" t="str">
        <x:v>True</x:v>
      </x:c>
      <x:c r="BM380" s="7" t="str">
        <x:v>2025-04-22 01:10:00-05:00</x:v>
      </x:c>
      <x:c r="BN380" s="8" t="str">
        <x:v>1</x:v>
      </x:c>
      <x:c r="BO380" s="6" t="str">
        <x:v>Immediate confirmation (1 bar)</x:v>
      </x:c>
      <x:c r="BP380" s="9" t="str">
        <x:v>0.1427794960316353</x:v>
      </x:c>
      <x:c r="BQ380" s="9" t="str">
        <x:v>0.8249481992938928</x:v>
      </x:c>
      <x:c r="BR380" s="10" t="str">
        <x:v>0.17307692307692307</x:v>
      </x:c>
      <x:c r="BS380" s="9" t="str">
        <x:v>0.4442028765428654</x:v>
      </x:c>
      <x:c r="BT380" s="9" t="str">
        <x:v>0.19037266137551373</x:v>
      </x:c>
      <x:c r="BU380" s="9" t="str">
        <x:v>0.0793219422397974</x:v>
      </x:c>
      <x:c r="BV380" s="6" t="str">
        <x:v>With trade</x:v>
      </x:c>
      <x:c r="BW380" s="7" t="str">
        <x:v>2025-04-22 01:10:00-05:00</x:v>
      </x:c>
      <x:c r="BX380" s="6" t="str">
        <x:v>16564.5</x:v>
      </x:c>
      <x:c r="BY380" s="9" t="str">
        <x:v>15.75856521794609</x:v>
      </x:c>
      <x:c r="BZ380" s="9" t="str">
        <x:v>0.12</x:v>
      </x:c>
      <x:c r="CA380" s="6" t="str">
        <x:v>16540.862152173082</x:v>
      </x:c>
      <x:c r="CB380" s="6" t="str">
        <x:v>23.637847826918005</x:v>
      </x:c>
      <x:c r="CC380" s="9" t="str">
        <x:v>1.4999999999999283</x:v>
      </x:c>
      <x:c r="CD380" s="6" t="str">
        <x:v>16611.77569565384</x:v>
      </x:c>
      <x:c r="CE380" s="6" t="str">
        <x:v>47.27569565383965</x:v>
      </x:c>
      <x:c r="CF380" s="6" t="str">
        <x:v>Fixed 2.00R target</x:v>
      </x:c>
      <x:c r="CG380" s="9" t="str">
        <x:v>0.03067115099938979</x:v>
      </x:c>
      <x:c r="CH380" s="9" t="str">
        <x:v>2.0</x:v>
      </x:c>
      <x:c r="CI380" s="9" t="str">
        <x:v>1.9693288490006102</x:v>
      </x:c>
      <x:c r="CJ380" s="6" t="str">
        <x:v>Win</x:v>
      </x:c>
      <x:c r="CK380" s="9" t="str">
        <x:v>2.961352510285911</x:v>
      </x:c>
      <x:c r="CL380" s="9" t="str">
        <x:v>0.602846761022489</x:v>
      </x:c>
      <x:c r="CM380" s="7" t="str">
        <x:v>2025-04-22 01:45:00-05:00</x:v>
      </x:c>
      <x:c r="CN380" s="6" t="str">
        <x:v>16611.77569565384</x:v>
      </x:c>
      <x:c r="CO380" s="6" t="str">
        <x:v>TARGET</x:v>
      </x:c>
      <x:c r="CP380" s="6" t="str">
        <x:v>F::Long::Same-bar Setup+BOS::Penetration + same-bar reclaim</x:v>
      </x:c>
    </x:row>
    <x:row r="381" ht="18" customHeight="1">
      <x:c r="A381" s="6" t="str">
        <x:v>A0380</x:v>
      </x:c>
      <x:c r="B381" s="6" t="str">
        <x:v>2025-04-23</x:v>
      </x:c>
      <x:c r="C381" s="6" t="str">
        <x:v>2025</x:v>
      </x:c>
      <x:c r="D381" s="6" t="str">
        <x:v>2025-Q2</x:v>
      </x:c>
      <x:c r="E381" s="6" t="str">
        <x:v>Second 50%</x:v>
      </x:c>
      <x:c r="F381" s="6" t="str">
        <x:v>Short</x:v>
      </x:c>
      <x:c r="G381" s="6" t="str">
        <x:v>Short</x:v>
      </x:c>
      <x:c r="H381" s="6" t="str">
        <x:v>Morning</x:v>
      </x:c>
      <x:c r="I381" s="6" t="str">
        <x:v>Opening</x:v>
      </x:c>
      <x:c r="J381" s="6" t="str">
        <x:v>Bull</x:v>
      </x:c>
      <x:c r="K381" s="6" t="str">
        <x:v>Bull</x:v>
      </x:c>
      <x:c r="L381" s="6" t="str">
        <x:v>HIGH</x:v>
      </x:c>
      <x:c r="M381" s="7" t="str">
        <x:v>2025-04-23 10:20:00-05:00</x:v>
      </x:c>
      <x:c r="N381" s="6" t="str">
        <x:v>100.0</x:v>
      </x:c>
      <x:c r="O381" s="6" t="str">
        <x:v>95+</x:v>
      </x:c>
      <x:c r="P381" s="6" t="str">
        <x:v>Matching BOS only</x:v>
      </x:c>
      <x:c r="Q381" s="6" t="str">
        <x:v>Bear CHoCH</x:v>
      </x:c>
      <x:c r="R381" s="6" t="str">
        <x:v>True</x:v>
      </x:c>
      <x:c r="S381" s="6" t="str">
        <x:v>False</x:v>
      </x:c>
      <x:c r="T381" s="6" t="str">
        <x:v>Recent BSL</x:v>
      </x:c>
      <x:c r="U381" s="6" t="str">
        <x:v>BSL</x:v>
      </x:c>
      <x:c r="V381" s="6" t="str">
        <x:v>Swing high / buy-side</x:v>
      </x:c>
      <x:c r="W381" s="6" t="str">
        <x:v>[17689.25,17689.0]</x:v>
      </x:c>
      <x:c r="X381" s="8" t="str">
        <x:v>2</x:v>
      </x:c>
      <x:c r="Y381" s="8" t="str">
        <x:v>10.0</x:v>
      </x:c>
      <x:c r="Z381" s="6" t="str">
        <x:v>None</x:v>
      </x:c>
      <x:c r="AA381" s="6" t="str">
        <x:v>17518.5</x:v>
      </x:c>
      <x:c r="AB381" s="9" t="str">
        <x:v>0.012097233895955867</x:v>
      </x:c>
      <x:c r="AC381" s="9" t="str">
        <x:v>0.5685699931099257</x:v>
      </x:c>
      <x:c r="AD381" s="9" t="str">
        <x:v>2.096853875299017</x:v>
      </x:c>
      <x:c r="AE381" s="6" t="str">
        <x:v>With trade</x:v>
      </x:c>
      <x:c r="AF381" s="7" t="str">
        <x:v>2025-04-23 10:20:00-05:00</x:v>
      </x:c>
      <x:c r="AG381" s="6" t="str">
        <x:v>Short</x:v>
      </x:c>
      <x:c r="AH381" s="6" t="str">
        <x:v>17518.5</x:v>
      </x:c>
      <x:c r="AI381" s="8" t="str">
        <x:v>0</x:v>
      </x:c>
      <x:c r="AJ381" s="6" t="str">
        <x:v>True</x:v>
      </x:c>
      <x:c r="AK381" s="6" t="str">
        <x:v>Same-bar Setup+BOS</x:v>
      </x:c>
      <x:c r="AL381" s="9" t="str">
        <x:v>0.5564727592139699</x:v>
      </x:c>
      <x:c r="AM381" s="9" t="str">
        <x:v>0.012097233895955867</x:v>
      </x:c>
      <x:c r="AN381" s="9" t="str">
        <x:v>0.5685699931099257</x:v>
      </x:c>
      <x:c r="AO381" s="9" t="str">
        <x:v>2.096853875299017</x:v>
      </x:c>
      <x:c r="AP381" s="10" t="str">
        <x:v>0.27115384615384613</x:v>
      </x:c>
      <x:c r="AQ381" s="6" t="str">
        <x:v>0.16538461538461538</x:v>
      </x:c>
      <x:c r="AR381" s="6" t="str">
        <x:v>0.5634615384615385</x:v>
      </x:c>
      <x:c r="AS381" s="6" t="str">
        <x:v>With trade</x:v>
      </x:c>
      <x:c r="AT381" s="6" t="str">
        <x:v>1.479891523858981</x:v>
      </x:c>
      <x:c r="AU381" s="7" t="str">
        <x:v>2025-04-23 10:25:00-05:00</x:v>
      </x:c>
      <x:c r="AV381" s="8" t="str">
        <x:v>1</x:v>
      </x:c>
      <x:c r="AW381" s="6" t="str">
        <x:v>Immediate retest (1 bar)</x:v>
      </x:c>
      <x:c r="AX381" s="6" t="str">
        <x:v>17523.25</x:v>
      </x:c>
      <x:c r="AY381" s="6" t="str">
        <x:v>4.75</x:v>
      </x:c>
      <x:c r="AZ381" s="9" t="str">
        <x:v>0.07358478981112919</x:v>
      </x:c>
      <x:c r="BA381" s="9" t="str">
        <x:v>0.91012766345344</x:v>
      </x:c>
      <x:c r="BB381" s="9" t="str">
        <x:v>1.5142975166395534</x:v>
      </x:c>
      <x:c r="BC381" s="9" t="str">
        <x:v>0.8791445940592804</x:v>
      </x:c>
      <x:c r="BD381" s="6" t="str">
        <x:v>0.06905370843989769</x:v>
      </x:c>
      <x:c r="BE381" s="6" t="str">
        <x:v>0.35038363171355497</x:v>
      </x:c>
      <x:c r="BF381" s="9" t="str">
        <x:v>0.10456785920528885</x:v>
      </x:c>
      <x:c r="BG381" s="9" t="str">
        <x:v>0.5305850633749841</x:v>
      </x:c>
      <x:c r="BH381" s="6" t="str">
        <x:v>With trade</x:v>
      </x:c>
      <x:c r="BI381" s="6" t="str">
        <x:v>Penetration + same-bar reclaim</x:v>
      </x:c>
      <x:c r="BJ381" s="6" t="str">
        <x:v>False</x:v>
      </x:c>
      <x:c r="BK381" s="10" t="str">
        <x:v>True</x:v>
      </x:c>
      <x:c r="BL381" s="6" t="str">
        <x:v>True</x:v>
      </x:c>
      <x:c r="BM381" s="7" t="str">
        <x:v>2025-04-23 10:40:00-05:00</x:v>
      </x:c>
      <x:c r="BN381" s="8" t="str">
        <x:v>3</x:v>
      </x:c>
      <x:c r="BO381" s="6" t="str">
        <x:v>Delayed confirmation (2+ bars)</x:v>
      </x:c>
      <x:c r="BP381" s="9" t="str">
        <x:v>0.7118410154871287</x:v>
      </x:c>
      <x:c r="BQ381" s="9" t="str">
        <x:v>1.0677615232306932</x:v>
      </x:c>
      <x:c r="BR381" s="10" t="str">
        <x:v>0.6666666666666666</x:v>
      </x:c>
      <x:c r="BS381" s="9" t="str">
        <x:v>1.2973876572587992</x:v>
      </x:c>
      <x:c r="BT381" s="9" t="str">
        <x:v>0.39801863231538387</x:v>
      </x:c>
      <x:c r="BU381" s="9" t="str">
        <x:v>0.2717242585999255</x:v>
      </x:c>
      <x:c r="BV381" s="6" t="str">
        <x:v>With trade</x:v>
      </x:c>
      <x:c r="BW381" s="7" t="str">
        <x:v>2025-04-23 10:40:00-05:00</x:v>
      </x:c>
      <x:c r="BX381" s="6" t="str">
        <x:v>17433.75</x:v>
      </x:c>
      <x:c r="BY381" s="9" t="str">
        <x:v>65.32357505162723</x:v>
      </x:c>
      <x:c r="BZ381" s="9" t="str">
        <x:v>0.99</x:v>
      </x:c>
      <x:c r="CA381" s="6" t="str">
        <x:v>17531.73536257744</x:v>
      </x:c>
      <x:c r="CB381" s="6" t="str">
        <x:v>97.98536257744126</x:v>
      </x:c>
      <x:c r="CC381" s="9" t="str">
        <x:v>1.5000000000000064</x:v>
      </x:c>
      <x:c r="CD381" s="6" t="str">
        <x:v>17237.779274845117</x:v>
      </x:c>
      <x:c r="CE381" s="6" t="str">
        <x:v>195.97072515488253</x:v>
      </x:c>
      <x:c r="CF381" s="6" t="str">
        <x:v>Fixed 2.00R target</x:v>
      </x:c>
      <x:c r="CG381" s="9" t="str">
        <x:v>0.007399064318683386</x:v>
      </x:c>
      <x:c r="CH381" s="9" t="str">
        <x:v>0.17604670275488132</x:v>
      </x:c>
      <x:c r="CI381" s="9" t="str">
        <x:v>0.16864763843619793</x:v>
      </x:c>
      <x:c r="CJ381" s="6" t="str">
        <x:v>Win</x:v>
      </x:c>
      <x:c r="CK381" s="9" t="str">
        <x:v>1.4517474473554643</x:v>
      </x:c>
      <x:c r="CL381" s="9" t="str">
        <x:v>0.18625230871168524</x:v>
      </x:c>
      <x:c r="CM381" s="7" t="str">
        <x:v>2025-04-23 11:40:00-05:00</x:v>
      </x:c>
      <x:c r="CN381" s="6" t="str">
        <x:v>17416.5</x:v>
      </x:c>
      <x:c r="CO381" s="6" t="str">
        <x:v>TIME</x:v>
      </x:c>
      <x:c r="CP381" s="6" t="str">
        <x:v>F::Short::Same-bar Setup+BOS::Penetration + same-bar reclaim</x:v>
      </x:c>
    </x:row>
    <x:row r="382" ht="18" customHeight="1">
      <x:c r="A382" s="6" t="str">
        <x:v>A0381</x:v>
      </x:c>
      <x:c r="B382" s="6" t="str">
        <x:v>2025-04-23</x:v>
      </x:c>
      <x:c r="C382" s="6" t="str">
        <x:v>2025</x:v>
      </x:c>
      <x:c r="D382" s="6" t="str">
        <x:v>2025-Q2</x:v>
      </x:c>
      <x:c r="E382" s="6" t="str">
        <x:v>Second 50%</x:v>
      </x:c>
      <x:c r="F382" s="6" t="str">
        <x:v>Short</x:v>
      </x:c>
      <x:c r="G382" s="6" t="str">
        <x:v>Short</x:v>
      </x:c>
      <x:c r="H382" s="6" t="str">
        <x:v>Afternoon</x:v>
      </x:c>
      <x:c r="I382" s="6" t="str">
        <x:v>Afternoon</x:v>
      </x:c>
      <x:c r="J382" s="6" t="str">
        <x:v>Bull</x:v>
      </x:c>
      <x:c r="K382" s="6" t="str">
        <x:v>Bull</x:v>
      </x:c>
      <x:c r="L382" s="6" t="str">
        <x:v>MID</x:v>
      </x:c>
      <x:c r="M382" s="7" t="str">
        <x:v>2025-04-23 14:00:00-05:00</x:v>
      </x:c>
      <x:c r="N382" s="6" t="str">
        <x:v>75.0</x:v>
      </x:c>
      <x:c r="O382" s="6" t="str">
        <x:v>75-79</x:v>
      </x:c>
      <x:c r="P382" s="6" t="str">
        <x:v>Matching BOS only</x:v>
      </x:c>
      <x:c r="Q382" s="6" t="str">
        <x:v>Bear BOS</x:v>
      </x:c>
      <x:c r="R382" s="6" t="str">
        <x:v>True</x:v>
      </x:c>
      <x:c r="S382" s="6" t="str">
        <x:v>False</x:v>
      </x:c>
      <x:c r="T382" s="6" t="str">
        <x:v>No recent matching sweep</x:v>
      </x:c>
      <x:c r="U382" s="6" t="str">
        <x:v>None</x:v>
      </x:c>
      <x:c r="V382" s="6" t="str">
        <x:v>None</x:v>
      </x:c>
      <x:c r="W382" s="6" t="str">
        <x:v>[]</x:v>
      </x:c>
      <x:c r="X382" s="8" t="str">
        <x:v>0</x:v>
      </x:c>
      <x:c r="Y382" s="8" t="str"/>
      <x:c r="Z382" s="6" t="str">
        <x:v>None</x:v>
      </x:c>
      <x:c r="AA382" s="6" t="str">
        <x:v>17392.5</x:v>
      </x:c>
      <x:c r="AB382" s="9" t="str">
        <x:v>0.511453668760378</x:v>
      </x:c>
      <x:c r="AC382" s="9" t="str">
        <x:v>0.9335270847276803</x:v>
      </x:c>
      <x:c r="AD382" s="9" t="str">
        <x:v>1.6038789806757485</x:v>
      </x:c>
      <x:c r="AE382" s="6" t="str">
        <x:v>With trade</x:v>
      </x:c>
      <x:c r="AF382" s="7" t="str">
        <x:v>2025-04-23 14:00:00-05:00</x:v>
      </x:c>
      <x:c r="AG382" s="6" t="str">
        <x:v>Short</x:v>
      </x:c>
      <x:c r="AH382" s="6" t="str">
        <x:v>17392.5</x:v>
      </x:c>
      <x:c r="AI382" s="8" t="str">
        <x:v>0</x:v>
      </x:c>
      <x:c r="AJ382" s="6" t="str">
        <x:v>True</x:v>
      </x:c>
      <x:c r="AK382" s="6" t="str">
        <x:v>Same-bar Setup+BOS</x:v>
      </x:c>
      <x:c r="AL382" s="9" t="str">
        <x:v>0.9384926543272957</x:v>
      </x:c>
      <x:c r="AM382" s="9" t="str">
        <x:v>0.511453668760378</x:v>
      </x:c>
      <x:c r="AN382" s="9" t="str">
        <x:v>0.9335270847276803</x:v>
      </x:c>
      <x:c r="AO382" s="9" t="str">
        <x:v>1.6038789806757485</x:v>
      </x:c>
      <x:c r="AP382" s="10" t="str">
        <x:v>0.5820433436532507</x:v>
      </x:c>
      <x:c r="AQ382" s="6" t="str">
        <x:v>0.30959752321981426</x:v>
      </x:c>
      <x:c r="AR382" s="6" t="str">
        <x:v>0.10835913312693499</x:v>
      </x:c>
      <x:c r="AS382" s="6" t="str">
        <x:v>With trade</x:v>
      </x:c>
      <x:c r="AT382" s="6" t="str">
        <x:v>1.5730687932359724</x:v>
      </x:c>
      <x:c r="AU382" s="7" t="str">
        <x:v>2025-04-23 14:05:00-05:00</x:v>
      </x:c>
      <x:c r="AV382" s="8" t="str">
        <x:v>1</x:v>
      </x:c>
      <x:c r="AW382" s="6" t="str">
        <x:v>Immediate retest (1 bar)</x:v>
      </x:c>
      <x:c r="AX382" s="6" t="str">
        <x:v>17405.25</x:v>
      </x:c>
      <x:c r="AY382" s="6" t="str">
        <x:v>12.75</x:v>
      </x:c>
      <x:c r="AZ382" s="9" t="str">
        <x:v>0.2572947057964538</x:v>
      </x:c>
      <x:c r="BA382" s="9" t="str">
        <x:v>0.26233970002775686</x:v>
      </x:c>
      <x:c r="BB382" s="9" t="str">
        <x:v>0.7920640943145735</x:v>
      </x:c>
      <x:c r="BC382" s="9" t="str">
        <x:v>0.26738469425905986</x:v>
      </x:c>
      <x:c r="BD382" s="6" t="str">
        <x:v>0.6560509554140127</x:v>
      </x:c>
      <x:c r="BE382" s="6" t="str">
        <x:v>0.006369426751592357</x:v>
      </x:c>
      <x:c r="BF382" s="9" t="str">
        <x:v>0.5196344058242106</x:v>
      </x:c>
      <x:c r="BG382" s="9" t="str">
        <x:v>0.005044994231303016</x:v>
      </x:c>
      <x:c r="BH382" s="6" t="str">
        <x:v>Against trade</x:v>
      </x:c>
      <x:c r="BI382" s="6" t="str">
        <x:v>Penetration + same-bar reclaim</x:v>
      </x:c>
      <x:c r="BJ382" s="6" t="str">
        <x:v>False</x:v>
      </x:c>
      <x:c r="BK382" s="10" t="str">
        <x:v>True</x:v>
      </x:c>
      <x:c r="BL382" s="6" t="str">
        <x:v>True</x:v>
      </x:c>
      <x:c r="BM382" s="7" t="str">
        <x:v>2025-04-23 14:10:00-05:00</x:v>
      </x:c>
      <x:c r="BN382" s="8" t="str">
        <x:v>1</x:v>
      </x:c>
      <x:c r="BO382" s="6" t="str">
        <x:v>Immediate confirmation (1 bar)</x:v>
      </x:c>
      <x:c r="BP382" s="9" t="str">
        <x:v>0.15402603888467106</x:v>
      </x:c>
      <x:c r="BQ382" s="9" t="str">
        <x:v>0.7701301944233553</x:v>
      </x:c>
      <x:c r="BR382" s="10" t="str">
        <x:v>0.2</x:v>
      </x:c>
      <x:c r="BS382" s="9" t="str">
        <x:v>0.40046770110014474</x:v>
      </x:c>
      <x:c r="BT382" s="9" t="str">
        <x:v>0.13348923370004825</x:v>
      </x:c>
      <x:c r="BU382" s="9" t="str">
        <x:v>0.4158703049886118</x:v>
      </x:c>
      <x:c r="BV382" s="6" t="str">
        <x:v>With trade</x:v>
      </x:c>
      <x:c r="BW382" s="7" t="str">
        <x:v>2025-04-23 14:10:00-05:00</x:v>
      </x:c>
      <x:c r="BX382" s="6" t="str">
        <x:v>17373.0</x:v>
      </x:c>
      <x:c r="BY382" s="9" t="str">
        <x:v>48.69306549924146</x:v>
      </x:c>
      <x:c r="BZ382" s="9" t="str">
        <x:v>0.41</x:v>
      </x:c>
      <x:c r="CA382" s="6" t="str">
        <x:v>17446.039598248863</x:v>
      </x:c>
      <x:c r="CB382" s="6" t="str">
        <x:v>73.0395982488626</x:v>
      </x:c>
      <x:c r="CC382" s="9" t="str">
        <x:v>1.5000000000000084</x:v>
      </x:c>
      <x:c r="CD382" s="6" t="str">
        <x:v>17226.920803502275</x:v>
      </x:c>
      <x:c r="CE382" s="6" t="str">
        <x:v>146.0791964977252</x:v>
      </x:c>
      <x:c r="CF382" s="6" t="str">
        <x:v>Fixed 2.00R target</x:v>
      </x:c>
      <x:c r="CG382" s="9" t="str">
        <x:v>0.009926122505900968</x:v>
      </x:c>
      <x:c r="CH382" s="9" t="str">
        <x:v>0.41758170542066375</x:v>
      </x:c>
      <x:c r="CI382" s="9" t="str">
        <x:v>0.4076555829147628</x:v>
      </x:c>
      <x:c r="CJ382" s="6" t="str">
        <x:v>Win</x:v>
      </x:c>
      <x:c r="CK382" s="9" t="str">
        <x:v>1.352006341320994</x:v>
      </x:c>
      <x:c r="CL382" s="9" t="str">
        <x:v>0.42785010801297274</x:v>
      </x:c>
      <x:c r="CM382" s="7" t="str">
        <x:v>2025-04-23 15:10:00-05:00</x:v>
      </x:c>
      <x:c r="CN382" s="6" t="str">
        <x:v>17342.5</x:v>
      </x:c>
      <x:c r="CO382" s="6" t="str">
        <x:v>TIME</x:v>
      </x:c>
      <x:c r="CP382" s="6" t="str">
        <x:v>F::Short::Same-bar Setup+BOS::Penetration + same-bar reclaim</x:v>
      </x:c>
    </x:row>
    <x:row r="383" ht="18" customHeight="1">
      <x:c r="A383" s="6" t="str">
        <x:v>A0382</x:v>
      </x:c>
      <x:c r="B383" s="6" t="str">
        <x:v>2025-04-25</x:v>
      </x:c>
      <x:c r="C383" s="6" t="str">
        <x:v>2025</x:v>
      </x:c>
      <x:c r="D383" s="6" t="str">
        <x:v>2025-Q2</x:v>
      </x:c>
      <x:c r="E383" s="6" t="str">
        <x:v>Second 50%</x:v>
      </x:c>
      <x:c r="F383" s="6" t="str">
        <x:v>Long</x:v>
      </x:c>
      <x:c r="G383" s="6" t="str">
        <x:v>Long</x:v>
      </x:c>
      <x:c r="H383" s="6" t="str">
        <x:v>Afternoon</x:v>
      </x:c>
      <x:c r="I383" s="6" t="str">
        <x:v>Afternoon</x:v>
      </x:c>
      <x:c r="J383" s="6" t="str">
        <x:v>Bull</x:v>
      </x:c>
      <x:c r="K383" s="6" t="str">
        <x:v>Bull</x:v>
      </x:c>
      <x:c r="L383" s="6" t="str">
        <x:v>MID</x:v>
      </x:c>
      <x:c r="M383" s="7" t="str">
        <x:v>2025-04-25 14:50:00-05:00</x:v>
      </x:c>
      <x:c r="N383" s="6" t="str">
        <x:v>75.0</x:v>
      </x:c>
      <x:c r="O383" s="6" t="str">
        <x:v>75-79</x:v>
      </x:c>
      <x:c r="P383" s="6" t="str">
        <x:v>Matching BOS only</x:v>
      </x:c>
      <x:c r="Q383" s="6" t="str">
        <x:v>Bull BOS</x:v>
      </x:c>
      <x:c r="R383" s="6" t="str">
        <x:v>True</x:v>
      </x:c>
      <x:c r="S383" s="6" t="str">
        <x:v>False</x:v>
      </x:c>
      <x:c r="T383" s="6" t="str">
        <x:v>No recent matching sweep</x:v>
      </x:c>
      <x:c r="U383" s="6" t="str">
        <x:v>None</x:v>
      </x:c>
      <x:c r="V383" s="6" t="str">
        <x:v>None</x:v>
      </x:c>
      <x:c r="W383" s="6" t="str">
        <x:v>[]</x:v>
      </x:c>
      <x:c r="X383" s="8" t="str">
        <x:v>0</x:v>
      </x:c>
      <x:c r="Y383" s="8" t="str"/>
      <x:c r="Z383" s="6" t="str">
        <x:v>None</x:v>
      </x:c>
      <x:c r="AA383" s="6" t="str">
        <x:v>18073.0</x:v>
      </x:c>
      <x:c r="AB383" s="9" t="str">
        <x:v>0.050044643894293216</x:v>
      </x:c>
      <x:c r="AC383" s="9" t="str">
        <x:v>1.594279369775341</x:v>
      </x:c>
      <x:c r="AD383" s="9" t="str">
        <x:v>1.8588010589308908</x:v>
      </x:c>
      <x:c r="AE383" s="6" t="str">
        <x:v>With trade</x:v>
      </x:c>
      <x:c r="AF383" s="7" t="str">
        <x:v>2025-04-25 14:50:00-05:00</x:v>
      </x:c>
      <x:c r="AG383" s="6" t="str">
        <x:v>Long</x:v>
      </x:c>
      <x:c r="AH383" s="6" t="str">
        <x:v>18073.0</x:v>
      </x:c>
      <x:c r="AI383" s="8" t="str">
        <x:v>0</x:v>
      </x:c>
      <x:c r="AJ383" s="6" t="str">
        <x:v>True</x:v>
      </x:c>
      <x:c r="AK383" s="6" t="str">
        <x:v>Same-bar Setup+BOS</x:v>
      </x:c>
      <x:c r="AL383" s="9" t="str">
        <x:v>1.5799809000912572</x:v>
      </x:c>
      <x:c r="AM383" s="9" t="str">
        <x:v>0.050044643894293216</x:v>
      </x:c>
      <x:c r="AN383" s="9" t="str">
        <x:v>1.594279369775341</x:v>
      </x:c>
      <x:c r="AO383" s="9" t="str">
        <x:v>1.8588010589308908</x:v>
      </x:c>
      <x:c r="AP383" s="10" t="str">
        <x:v>0.8576923076923076</x:v>
      </x:c>
      <x:c r="AQ383" s="6" t="str">
        <x:v>0.1423076923076923</x:v>
      </x:c>
      <x:c r="AR383" s="6" t="str">
        <x:v>0.0</x:v>
      </x:c>
      <x:c r="AS383" s="6" t="str">
        <x:v>With trade</x:v>
      </x:c>
      <x:c r="AT383" s="6" t="str">
        <x:v>2.221922973336924</x:v>
      </x:c>
      <x:c r="AU383" s="7" t="str">
        <x:v>2025-04-25 14:55:00-05:00</x:v>
      </x:c>
      <x:c r="AV383" s="8" t="str">
        <x:v>1</x:v>
      </x:c>
      <x:c r="AW383" s="6" t="str">
        <x:v>Immediate retest (1 bar)</x:v>
      </x:c>
      <x:c r="AX383" s="6" t="str">
        <x:v>18058.5</x:v>
      </x:c>
      <x:c r="AY383" s="6" t="str">
        <x:v>14.5</x:v>
      </x:c>
      <x:c r="AZ383" s="9" t="str">
        <x:v>0.41654346232849504</x:v>
      </x:c>
      <x:c r="BA383" s="9" t="str">
        <x:v>0.04309070299949949</x:v>
      </x:c>
      <x:c r="BB383" s="9" t="str">
        <x:v>0.9408136821557388</x:v>
      </x:c>
      <x:c r="BC383" s="9" t="str">
        <x:v>0.007181783833249915</x:v>
      </x:c>
      <x:c r="BD383" s="6" t="str">
        <x:v>0.5114503816793893</x:v>
      </x:c>
      <x:c r="BE383" s="6" t="str">
        <x:v>0.48091603053435117</x:v>
      </x:c>
      <x:c r="BF383" s="9" t="str">
        <x:v>0.45245238149474465</x:v>
      </x:c>
      <x:c r="BG383" s="9" t="str">
        <x:v>0.4811795168277443</x:v>
      </x:c>
      <x:c r="BH383" s="6" t="str">
        <x:v>With trade</x:v>
      </x:c>
      <x:c r="BI383" s="6" t="str">
        <x:v>Penetration + same-bar reclaim</x:v>
      </x:c>
      <x:c r="BJ383" s="6" t="str">
        <x:v>False</x:v>
      </x:c>
      <x:c r="BK383" s="10" t="str">
        <x:v>True</x:v>
      </x:c>
      <x:c r="BL383" s="6" t="str">
        <x:v>True</x:v>
      </x:c>
      <x:c r="BM383" s="7" t="str">
        <x:v>2025-04-25 15:00:00-05:00</x:v>
      </x:c>
      <x:c r="BN383" s="8" t="str">
        <x:v>1</x:v>
      </x:c>
      <x:c r="BO383" s="6" t="str">
        <x:v>Immediate confirmation (1 bar)</x:v>
      </x:c>
      <x:c r="BP383" s="9" t="str">
        <x:v>0.122293659326959</x:v>
      </x:c>
      <x:c r="BQ383" s="9" t="str">
        <x:v>0.978349274615672</x:v>
      </x:c>
      <x:c r="BR383" s="10" t="str">
        <x:v>0.125</x:v>
      </x:c>
      <x:c r="BS383" s="9" t="str">
        <x:v>0.16545612732470924</x:v>
      </x:c>
      <x:c r="BT383" s="9" t="str">
        <x:v>0.122293659326959</x:v>
      </x:c>
      <x:c r="BU383" s="9" t="str">
        <x:v>0.028774978665166824</x:v>
      </x:c>
      <x:c r="BV383" s="6" t="str">
        <x:v>With trade</x:v>
      </x:c>
      <x:c r="BW383" s="7" t="str">
        <x:v>2025-04-25 15:00:00-05:00</x:v>
      </x:c>
      <x:c r="BX383" s="6" t="str">
        <x:v>18078.75</x:v>
      </x:c>
      <x:c r="BY383" s="9" t="str">
        <x:v>34.75241499346573</x:v>
      </x:c>
      <x:c r="BZ383" s="9" t="str">
        <x:v>0.52</x:v>
      </x:c>
      <x:c r="CA383" s="6" t="str">
        <x:v>18026.6213775098</x:v>
      </x:c>
      <x:c r="CB383" s="6" t="str">
        <x:v>52.12862249019963</x:v>
      </x:c>
      <x:c r="CC383" s="9" t="str">
        <x:v>1.50000000000003</x:v>
      </x:c>
      <x:c r="CD383" s="6" t="str">
        <x:v>18183.007244980396</x:v>
      </x:c>
      <x:c r="CE383" s="6" t="str">
        <x:v>104.25724498039563</x:v>
      </x:c>
      <x:c r="CF383" s="6" t="str">
        <x:v>Fixed 2.00R target</x:v>
      </x:c>
      <x:c r="CG383" s="9" t="str">
        <x:v>0.013907906354830354</x:v>
      </x:c>
      <x:c r="CH383" s="9" t="str">
        <x:v>-1.0</x:v>
      </x:c>
      <x:c r="CI383" s="9" t="str">
        <x:v>-1.0139079063548304</x:v>
      </x:c>
      <x:c r="CJ383" s="6" t="str">
        <x:v>Loss</x:v>
      </x:c>
      <x:c r="CK383" s="9" t="str">
        <x:v>1.0502867212785683</x:v>
      </x:c>
      <x:c r="CL383" s="9" t="str">
        <x:v>1.2469157421572041</x:v>
      </x:c>
      <x:c r="CM383" s="7" t="str">
        <x:v>2025-04-27 17:00:00-05:00</x:v>
      </x:c>
      <x:c r="CN383" s="6" t="str">
        <x:v>18026.6213775098</x:v>
      </x:c>
      <x:c r="CO383" s="6" t="str">
        <x:v>STOP</x:v>
      </x:c>
      <x:c r="CP383" s="6" t="str">
        <x:v>F::Long::Same-bar Setup+BOS::Penetration + same-bar reclaim</x:v>
      </x:c>
    </x:row>
    <x:row r="384" ht="18" customHeight="1">
      <x:c r="A384" s="6" t="str">
        <x:v>A0383</x:v>
      </x:c>
      <x:c r="B384" s="6" t="str">
        <x:v>2025-04-27</x:v>
      </x:c>
      <x:c r="C384" s="6" t="str">
        <x:v>2025</x:v>
      </x:c>
      <x:c r="D384" s="6" t="str">
        <x:v>2025-Q2</x:v>
      </x:c>
      <x:c r="E384" s="6" t="str">
        <x:v>Second 50%</x:v>
      </x:c>
      <x:c r="F384" s="6" t="str">
        <x:v>Short</x:v>
      </x:c>
      <x:c r="G384" s="6" t="str">
        <x:v>Short</x:v>
      </x:c>
      <x:c r="H384" s="6" t="str">
        <x:v>Overnight</x:v>
      </x:c>
      <x:c r="I384" s="6" t="str">
        <x:v>Overnight</x:v>
      </x:c>
      <x:c r="J384" s="6" t="str">
        <x:v>Bull</x:v>
      </x:c>
      <x:c r="K384" s="6" t="str">
        <x:v>Bull</x:v>
      </x:c>
      <x:c r="L384" s="6" t="str">
        <x:v>LOW</x:v>
      </x:c>
      <x:c r="M384" s="7" t="str">
        <x:v>2025-04-27 18:05:00-05:00</x:v>
      </x:c>
      <x:c r="N384" s="6" t="str">
        <x:v>75.0</x:v>
      </x:c>
      <x:c r="O384" s="6" t="str">
        <x:v>75-79</x:v>
      </x:c>
      <x:c r="P384" s="6" t="str">
        <x:v>Matching BOS only</x:v>
      </x:c>
      <x:c r="Q384" s="6" t="str">
        <x:v>Bear CHoCH</x:v>
      </x:c>
      <x:c r="R384" s="6" t="str">
        <x:v>True</x:v>
      </x:c>
      <x:c r="S384" s="6" t="str">
        <x:v>False</x:v>
      </x:c>
      <x:c r="T384" s="6" t="str">
        <x:v>Recent BSL</x:v>
      </x:c>
      <x:c r="U384" s="6" t="str">
        <x:v>BSL</x:v>
      </x:c>
      <x:c r="V384" s="6" t="str">
        <x:v>Swing high / buy-side</x:v>
      </x:c>
      <x:c r="W384" s="6" t="str">
        <x:v>[18107.5]</x:v>
      </x:c>
      <x:c r="X384" s="8" t="str">
        <x:v>1</x:v>
      </x:c>
      <x:c r="Y384" s="8" t="str">
        <x:v>18.0</x:v>
      </x:c>
      <x:c r="Z384" s="6" t="str">
        <x:v>Both CRT sweeps</x:v>
      </x:c>
      <x:c r="AA384" s="6" t="str">
        <x:v>17999.5</x:v>
      </x:c>
      <x:c r="AB384" s="9" t="str">
        <x:v>0.17126160805473004</x:v>
      </x:c>
      <x:c r="AC384" s="9" t="str">
        <x:v>0.3123005793939195</x:v>
      </x:c>
      <x:c r="AD384" s="9" t="str">
        <x:v>0.8865306769891909</x:v>
      </x:c>
      <x:c r="AE384" s="6" t="str">
        <x:v>With trade</x:v>
      </x:c>
      <x:c r="AF384" s="7" t="str">
        <x:v>2025-04-27 18:05:00-05:00</x:v>
      </x:c>
      <x:c r="AG384" s="6" t="str">
        <x:v>Short</x:v>
      </x:c>
      <x:c r="AH384" s="6" t="str">
        <x:v>17999.5</x:v>
      </x:c>
      <x:c r="AI384" s="8" t="str">
        <x:v>0</x:v>
      </x:c>
      <x:c r="AJ384" s="6" t="str">
        <x:v>True</x:v>
      </x:c>
      <x:c r="AK384" s="6" t="str">
        <x:v>Same-bar Setup+BOS</x:v>
      </x:c>
      <x:c r="AL384" s="9" t="str">
        <x:v>0.29215215491689245</x:v>
      </x:c>
      <x:c r="AM384" s="9" t="str">
        <x:v>0.17126160805473004</x:v>
      </x:c>
      <x:c r="AN384" s="9" t="str">
        <x:v>0.3123005793939195</x:v>
      </x:c>
      <x:c r="AO384" s="9" t="str">
        <x:v>0.8865306769891909</x:v>
      </x:c>
      <x:c r="AP384" s="10" t="str">
        <x:v>0.3522727272727273</x:v>
      </x:c>
      <x:c r="AQ384" s="6" t="str">
        <x:v>0.125</x:v>
      </x:c>
      <x:c r="AR384" s="6" t="str">
        <x:v>0.5227272727272727</x:v>
      </x:c>
      <x:c r="AS384" s="6" t="str">
        <x:v>With trade</x:v>
      </x:c>
      <x:c r="AT384" s="6" t="str">
        <x:v>0.6682665682111869</x:v>
      </x:c>
      <x:c r="AU384" s="7" t="str">
        <x:v>2025-04-27 18:10:00-05:00</x:v>
      </x:c>
      <x:c r="AV384" s="8" t="str">
        <x:v>1</x:v>
      </x:c>
      <x:c r="AW384" s="6" t="str">
        <x:v>Immediate retest (1 bar)</x:v>
      </x:c>
      <x:c r="AX384" s="6" t="str">
        <x:v>18012.75</x:v>
      </x:c>
      <x:c r="AY384" s="6" t="str">
        <x:v>13.25</x:v>
      </x:c>
      <x:c r="AZ384" s="9" t="str">
        <x:v>0.5414384762369513</x:v>
      </x:c>
      <x:c r="BA384" s="9" t="str">
        <x:v>-0.04086328122543029</x:v>
      </x:c>
      <x:c r="BB384" s="9" t="str">
        <x:v>0.8172656245086057</x:v>
      </x:c>
      <x:c r="BC384" s="9" t="str">
        <x:v>0.3166904294970847</x:v>
      </x:c>
      <x:c r="BD384" s="6" t="str">
        <x:v>0.6125</x:v>
      </x:c>
      <x:c r="BE384" s="6" t="str">
        <x:v>0.0</x:v>
      </x:c>
      <x:c r="BF384" s="9" t="str">
        <x:v>0.500575195011521</x:v>
      </x:c>
      <x:c r="BG384" s="9" t="str">
        <x:v>0.0</x:v>
      </x:c>
      <x:c r="BH384" s="6" t="str">
        <x:v>Against trade</x:v>
      </x:c>
      <x:c r="BI384" s="6" t="str">
        <x:v>Penetration without same-bar reclaim</x:v>
      </x:c>
      <x:c r="BJ384" s="6" t="str">
        <x:v>False</x:v>
      </x:c>
      <x:c r="BK384" s="10" t="str">
        <x:v>True</x:v>
      </x:c>
      <x:c r="BL384" s="6" t="str">
        <x:v>False</x:v>
      </x:c>
      <x:c r="BM384" s="7" t="str">
        <x:v>2025-04-27 18:15:00-05:00</x:v>
      </x:c>
      <x:c r="BN384" s="8" t="str">
        <x:v>1</x:v>
      </x:c>
      <x:c r="BO384" s="6" t="str">
        <x:v>Immediate confirmation (1 bar)</x:v>
      </x:c>
      <x:c r="BP384" s="9" t="str">
        <x:v>0.4736909936206042</x:v>
      </x:c>
      <x:c r="BQ384" s="9" t="str">
        <x:v>0.8958938357607079</x:v>
      </x:c>
      <x:c r="BR384" s="10" t="str">
        <x:v>0.5287356321839081</x:v>
      </x:c>
      <x:c r="BS384" s="9" t="str">
        <x:v>0.30892890888300273</x:v>
      </x:c>
      <x:c r="BT384" s="9" t="str">
        <x:v>0.3501194300674031</x:v>
      </x:c>
      <x:c r="BU384" s="9" t="str">
        <x:v>0.27803601799470246</x:v>
      </x:c>
      <x:c r="BV384" s="6" t="str">
        <x:v>With trade</x:v>
      </x:c>
      <x:c r="BW384" s="7" t="str">
        <x:v>2025-04-27 18:15:00-05:00</x:v>
      </x:c>
      <x:c r="BX384" s="6" t="str">
        <x:v>17992.0</x:v>
      </x:c>
      <x:c r="BY384" s="9" t="str">
        <x:v>24.277430128238315</x:v>
      </x:c>
      <x:c r="BZ384" s="9" t="str">
        <x:v>0.01</x:v>
      </x:c>
      <x:c r="CA384" s="6" t="str">
        <x:v>18028.416145192357</x:v>
      </x:c>
      <x:c r="CB384" s="6" t="str">
        <x:v>36.41614519235736</x:v>
      </x:c>
      <x:c r="CC384" s="9" t="str">
        <x:v>1.4999999999999956</x:v>
      </x:c>
      <x:c r="CD384" s="6" t="str">
        <x:v>17919.167709615285</x:v>
      </x:c>
      <x:c r="CE384" s="6" t="str">
        <x:v>72.83229038471472</x:v>
      </x:c>
      <x:c r="CF384" s="6" t="str">
        <x:v>Fixed 2.00R target</x:v>
      </x:c>
      <x:c r="CG384" s="9" t="str">
        <x:v>0.01990875190579357</x:v>
      </x:c>
      <x:c r="CH384" s="9" t="str">
        <x:v>0.39130995125180346</x:v>
      </x:c>
      <x:c r="CI384" s="9" t="str">
        <x:v>0.3714011993460099</x:v>
      </x:c>
      <x:c r="CJ384" s="6" t="str">
        <x:v>Win</x:v>
      </x:c>
      <x:c r="CK384" s="9" t="str">
        <x:v>0.5217466016690728</x:v>
      </x:c>
      <x:c r="CL384" s="9" t="str">
        <x:v>0.7551595550473423</x:v>
      </x:c>
      <x:c r="CM384" s="7" t="str">
        <x:v>2025-04-27 19:15:00-05:00</x:v>
      </x:c>
      <x:c r="CN384" s="6" t="str">
        <x:v>17977.75</x:v>
      </x:c>
      <x:c r="CO384" s="6" t="str">
        <x:v>TIME</x:v>
      </x:c>
      <x:c r="CP384" s="6" t="str">
        <x:v>F::Short::Same-bar Setup+BOS::Penetration without same-bar reclaim</x:v>
      </x:c>
    </x:row>
    <x:row r="385" ht="18" customHeight="1">
      <x:c r="A385" s="6" t="str">
        <x:v>A0384</x:v>
      </x:c>
      <x:c r="B385" s="6" t="str">
        <x:v>2025-04-28</x:v>
      </x:c>
      <x:c r="C385" s="6" t="str">
        <x:v>2025</x:v>
      </x:c>
      <x:c r="D385" s="6" t="str">
        <x:v>2025-Q2</x:v>
      </x:c>
      <x:c r="E385" s="6" t="str">
        <x:v>Second 50%</x:v>
      </x:c>
      <x:c r="F385" s="6" t="str">
        <x:v>Short</x:v>
      </x:c>
      <x:c r="G385" s="6" t="str">
        <x:v>Short</x:v>
      </x:c>
      <x:c r="H385" s="6" t="str">
        <x:v>Opening</x:v>
      </x:c>
      <x:c r="I385" s="6" t="str">
        <x:v>Opening</x:v>
      </x:c>
      <x:c r="J385" s="6" t="str">
        <x:v>Bull</x:v>
      </x:c>
      <x:c r="K385" s="6" t="str">
        <x:v>Bull</x:v>
      </x:c>
      <x:c r="L385" s="6" t="str">
        <x:v>HIGH</x:v>
      </x:c>
      <x:c r="M385" s="7" t="str">
        <x:v>2025-04-28 10:05:00-05:00</x:v>
      </x:c>
      <x:c r="N385" s="6" t="str">
        <x:v>75.0</x:v>
      </x:c>
      <x:c r="O385" s="6" t="str">
        <x:v>75-79</x:v>
      </x:c>
      <x:c r="P385" s="6" t="str">
        <x:v>Matching BOS only</x:v>
      </x:c>
      <x:c r="Q385" s="6" t="str">
        <x:v>Bear BOS</x:v>
      </x:c>
      <x:c r="R385" s="6" t="str">
        <x:v>True</x:v>
      </x:c>
      <x:c r="S385" s="6" t="str">
        <x:v>False</x:v>
      </x:c>
      <x:c r="T385" s="6" t="str">
        <x:v>No recent matching sweep</x:v>
      </x:c>
      <x:c r="U385" s="6" t="str">
        <x:v>None</x:v>
      </x:c>
      <x:c r="V385" s="6" t="str">
        <x:v>None</x:v>
      </x:c>
      <x:c r="W385" s="6" t="str">
        <x:v>[]</x:v>
      </x:c>
      <x:c r="X385" s="8" t="str">
        <x:v>0</x:v>
      </x:c>
      <x:c r="Y385" s="8" t="str"/>
      <x:c r="Z385" s="6" t="str">
        <x:v>None</x:v>
      </x:c>
      <x:c r="AA385" s="6" t="str">
        <x:v>17990.75</x:v>
      </x:c>
      <x:c r="AB385" s="9" t="str">
        <x:v>0.603355131627741</x:v>
      </x:c>
      <x:c r="AC385" s="9" t="str">
        <x:v>1.206710263255482</x:v>
      </x:c>
      <x:c r="AD385" s="9" t="str">
        <x:v>1.5547997622714864</x:v>
      </x:c>
      <x:c r="AE385" s="6" t="str">
        <x:v>With trade</x:v>
      </x:c>
      <x:c r="AF385" s="7" t="str">
        <x:v>2025-04-28 10:05:00-05:00</x:v>
      </x:c>
      <x:c r="AG385" s="6" t="str">
        <x:v>Short</x:v>
      </x:c>
      <x:c r="AH385" s="6" t="str">
        <x:v>17990.75</x:v>
      </x:c>
      <x:c r="AI385" s="8" t="str">
        <x:v>0</x:v>
      </x:c>
      <x:c r="AJ385" s="6" t="str">
        <x:v>True</x:v>
      </x:c>
      <x:c r="AK385" s="6" t="str">
        <x:v>Same-bar Setup+BOS</x:v>
      </x:c>
      <x:c r="AL385" s="9" t="str">
        <x:v>1.1893057883046818</x:v>
      </x:c>
      <x:c r="AM385" s="9" t="str">
        <x:v>0.603355131627741</x:v>
      </x:c>
      <x:c r="AN385" s="9" t="str">
        <x:v>1.206710263255482</x:v>
      </x:c>
      <x:c r="AO385" s="9" t="str">
        <x:v>1.5547997622714864</x:v>
      </x:c>
      <x:c r="AP385" s="10" t="str">
        <x:v>0.7761194029850746</x:v>
      </x:c>
      <x:c r="AQ385" s="6" t="str">
        <x:v>0.1044776119402985</x:v>
      </x:c>
      <x:c r="AR385" s="6" t="str">
        <x:v>0.11940298507462686</x:v>
      </x:c>
      <x:c r="AS385" s="6" t="str">
        <x:v>With trade</x:v>
      </x:c>
      <x:c r="AT385" s="6" t="str">
        <x:v>0.9069591152862497</x:v>
      </x:c>
      <x:c r="AU385" s="7" t="str">
        <x:v>2025-04-28 10:10:00-05:00</x:v>
      </x:c>
      <x:c r="AV385" s="8" t="str">
        <x:v>1</x:v>
      </x:c>
      <x:c r="AW385" s="6" t="str">
        <x:v>Immediate retest (1 bar)</x:v>
      </x:c>
      <x:c r="AX385" s="6" t="str">
        <x:v>18005.75</x:v>
      </x:c>
      <x:c r="AY385" s="6" t="str">
        <x:v>15.0</x:v>
      </x:c>
      <x:c r="AZ385" s="9" t="str">
        <x:v>0.33805496606621255</x:v>
      </x:c>
      <x:c r="BA385" s="9" t="str">
        <x:v>0.1183192381231744</x:v>
      </x:c>
      <x:c r="BB385" s="9" t="str">
        <x:v>1.3747568620025978</x:v>
      </x:c>
      <x:c r="BC385" s="9" t="str">
        <x:v>0.4676427030582607</x:v>
      </x:c>
      <x:c r="BD385" s="6" t="str">
        <x:v>0.3319672131147541</x:v>
      </x:c>
      <x:c r="BE385" s="6" t="str">
        <x:v>0.32786885245901637</x:v>
      </x:c>
      <x:c r="BF385" s="9" t="str">
        <x:v>0.45637420418938696</x:v>
      </x:c>
      <x:c r="BG385" s="9" t="str">
        <x:v>0.4507399547549501</x:v>
      </x:c>
      <x:c r="BH385" s="6" t="str">
        <x:v>Against trade</x:v>
      </x:c>
      <x:c r="BI385" s="6" t="str">
        <x:v>Penetration + same-bar reclaim</x:v>
      </x:c>
      <x:c r="BJ385" s="6" t="str">
        <x:v>False</x:v>
      </x:c>
      <x:c r="BK385" s="10" t="str">
        <x:v>True</x:v>
      </x:c>
      <x:c r="BL385" s="6" t="str">
        <x:v>True</x:v>
      </x:c>
      <x:c r="BM385" s="7" t="str">
        <x:v>2025-04-28 10:15:00-05:00</x:v>
      </x:c>
      <x:c r="BN385" s="8" t="str">
        <x:v>1</x:v>
      </x:c>
      <x:c r="BO385" s="6" t="str">
        <x:v>Immediate confirmation (1 bar)</x:v>
      </x:c>
      <x:c r="BP385" s="9" t="str">
        <x:v>0.8967428095561892</x:v>
      </x:c>
      <x:c r="BQ385" s="9" t="str">
        <x:v>0.9869810797002082</x:v>
      </x:c>
      <x:c r="BR385" s="10" t="str">
        <x:v>0.9085714285714286</x:v>
      </x:c>
      <x:c r="BS385" s="9" t="str">
        <x:v>1.0264603228882165</x:v>
      </x:c>
      <x:c r="BT385" s="9" t="str">
        <x:v>0.9080225933241916</x:v>
      </x:c>
      <x:c r="BU385" s="9" t="str">
        <x:v>0.03383935130400714</x:v>
      </x:c>
      <x:c r="BV385" s="6" t="str">
        <x:v>With trade</x:v>
      </x:c>
      <x:c r="BW385" s="7" t="str">
        <x:v>2025-04-28 10:15:00-05:00</x:v>
      </x:c>
      <x:c r="BX385" s="6" t="str">
        <x:v>17945.25</x:v>
      </x:c>
      <x:c r="BY385" s="9" t="str">
        <x:v>44.32709086306791</x:v>
      </x:c>
      <x:c r="BZ385" s="9" t="str">
        <x:v>0.99</x:v>
      </x:c>
      <x:c r="CA385" s="6" t="str">
        <x:v>18011.740636294602</x:v>
      </x:c>
      <x:c r="CB385" s="6" t="str">
        <x:v>66.49063629460215</x:v>
      </x:c>
      <x:c r="CC385" s="9" t="str">
        <x:v>1.5000000000000067</x:v>
      </x:c>
      <x:c r="CD385" s="6" t="str">
        <x:v>17812.268727410796</x:v>
      </x:c>
      <x:c r="CE385" s="6" t="str">
        <x:v>132.9812725892043</x:v>
      </x:c>
      <x:c r="CF385" s="6" t="str">
        <x:v>Fixed 2.00R target</x:v>
      </x:c>
      <x:c r="CG385" s="9" t="str">
        <x:v>0.010903790975735586</x:v>
      </x:c>
      <x:c r="CH385" s="9" t="str">
        <x:v>1.3310144846242806</x:v>
      </x:c>
      <x:c r="CI385" s="9" t="str">
        <x:v>1.320110693648545</x:v>
      </x:c>
      <x:c r="CJ385" s="6" t="str">
        <x:v>Win</x:v>
      </x:c>
      <x:c r="CK385" s="9" t="str">
        <x:v>1.8574043937977172</x:v>
      </x:c>
      <x:c r="CL385" s="9" t="str">
        <x:v>0.05263899091734421</x:v>
      </x:c>
      <x:c r="CM385" s="7" t="str">
        <x:v>2025-04-28 11:15:00-05:00</x:v>
      </x:c>
      <x:c r="CN385" s="6" t="str">
        <x:v>17856.75</x:v>
      </x:c>
      <x:c r="CO385" s="6" t="str">
        <x:v>TIME</x:v>
      </x:c>
      <x:c r="CP385" s="6" t="str">
        <x:v>F::Short::Same-bar Setup+BOS::Penetration + same-bar reclaim</x:v>
      </x:c>
    </x:row>
    <x:row r="386" ht="18" customHeight="1">
      <x:c r="A386" s="6" t="str">
        <x:v>A0385</x:v>
      </x:c>
      <x:c r="B386" s="6" t="str">
        <x:v>2025-04-29</x:v>
      </x:c>
      <x:c r="C386" s="6" t="str">
        <x:v>2025</x:v>
      </x:c>
      <x:c r="D386" s="6" t="str">
        <x:v>2025-Q2</x:v>
      </x:c>
      <x:c r="E386" s="6" t="str">
        <x:v>Second 50%</x:v>
      </x:c>
      <x:c r="F386" s="6" t="str">
        <x:v>Short</x:v>
      </x:c>
      <x:c r="G386" s="6" t="str">
        <x:v>Short</x:v>
      </x:c>
      <x:c r="H386" s="6" t="str">
        <x:v>Afternoon</x:v>
      </x:c>
      <x:c r="I386" s="6" t="str">
        <x:v>Afternoon</x:v>
      </x:c>
      <x:c r="J386" s="6" t="str">
        <x:v>Bull</x:v>
      </x:c>
      <x:c r="K386" s="6" t="str">
        <x:v>Bull</x:v>
      </x:c>
      <x:c r="L386" s="6" t="str">
        <x:v>LOW</x:v>
      </x:c>
      <x:c r="M386" s="7" t="str">
        <x:v>2025-04-29 15:25:00-05:00</x:v>
      </x:c>
      <x:c r="N386" s="6" t="str">
        <x:v>75.0</x:v>
      </x:c>
      <x:c r="O386" s="6" t="str">
        <x:v>75-79</x:v>
      </x:c>
      <x:c r="P386" s="6" t="str">
        <x:v>Matching BOS only</x:v>
      </x:c>
      <x:c r="Q386" s="6" t="str">
        <x:v>Bear BOS</x:v>
      </x:c>
      <x:c r="R386" s="6" t="str">
        <x:v>True</x:v>
      </x:c>
      <x:c r="S386" s="6" t="str">
        <x:v>False</x:v>
      </x:c>
      <x:c r="T386" s="6" t="str">
        <x:v>No recent matching sweep</x:v>
      </x:c>
      <x:c r="U386" s="6" t="str">
        <x:v>None</x:v>
      </x:c>
      <x:c r="V386" s="6" t="str">
        <x:v>None</x:v>
      </x:c>
      <x:c r="W386" s="6" t="str">
        <x:v>[]</x:v>
      </x:c>
      <x:c r="X386" s="8" t="str">
        <x:v>0</x:v>
      </x:c>
      <x:c r="Y386" s="8" t="str"/>
      <x:c r="Z386" s="6" t="str">
        <x:v>Sweep above CRT reference</x:v>
      </x:c>
      <x:c r="AA386" s="6" t="str">
        <x:v>18159.5</x:v>
      </x:c>
      <x:c r="AB386" s="9" t="str">
        <x:v>0.055673251364188714</x:v>
      </x:c>
      <x:c r="AC386" s="9" t="str">
        <x:v>0.9835607741006672</x:v>
      </x:c>
      <x:c r="AD386" s="9" t="str">
        <x:v>1.1413016529658686</x:v>
      </x:c>
      <x:c r="AE386" s="6" t="str">
        <x:v>With trade</x:v>
      </x:c>
      <x:c r="AF386" s="7" t="str">
        <x:v>2025-04-29 15:25:00-05:00</x:v>
      </x:c>
      <x:c r="AG386" s="6" t="str">
        <x:v>Short</x:v>
      </x:c>
      <x:c r="AH386" s="6" t="str">
        <x:v>18159.5</x:v>
      </x:c>
      <x:c r="AI386" s="8" t="str">
        <x:v>0</x:v>
      </x:c>
      <x:c r="AJ386" s="6" t="str">
        <x:v>True</x:v>
      </x:c>
      <x:c r="AK386" s="6" t="str">
        <x:v>Same-bar Setup+BOS</x:v>
      </x:c>
      <x:c r="AL386" s="9" t="str">
        <x:v>0.9835607741006672</x:v>
      </x:c>
      <x:c r="AM386" s="9" t="str">
        <x:v>0.055673251364188714</x:v>
      </x:c>
      <x:c r="AN386" s="9" t="str">
        <x:v>0.9835607741006672</x:v>
      </x:c>
      <x:c r="AO386" s="9" t="str">
        <x:v>1.1413016529658686</x:v>
      </x:c>
      <x:c r="AP386" s="10" t="str">
        <x:v>0.8617886178861789</x:v>
      </x:c>
      <x:c r="AQ386" s="6" t="str">
        <x:v>0.0975609756097561</x:v>
      </x:c>
      <x:c r="AR386" s="6" t="str">
        <x:v>0.04065040650406504</x:v>
      </x:c>
      <x:c r="AS386" s="6" t="str">
        <x:v>With trade</x:v>
      </x:c>
      <x:c r="AT386" s="6" t="str">
        <x:v>0.3198389622008499</x:v>
      </x:c>
      <x:c r="AU386" s="7" t="str">
        <x:v>2025-04-29 15:30:00-05:00</x:v>
      </x:c>
      <x:c r="AV386" s="8" t="str">
        <x:v>1</x:v>
      </x:c>
      <x:c r="AW386" s="6" t="str">
        <x:v>Immediate retest (1 bar)</x:v>
      </x:c>
      <x:c r="AX386" s="6" t="str">
        <x:v>18157.25</x:v>
      </x:c>
      <x:c r="AY386" s="6" t="str">
        <x:v>0.0</x:v>
      </x:c>
      <x:c r="AZ386" s="9" t="str">
        <x:v>0.0</x:v>
      </x:c>
      <x:c r="BA386" s="9" t="str">
        <x:v>0.8650519688043091</x:v>
      </x:c>
      <x:c r="BB386" s="9" t="str">
        <x:v>1.6065250849222883</x:v>
      </x:c>
      <x:c r="BC386" s="9" t="str">
        <x:v>0.7856084206488113</x:v>
      </x:c>
      <x:c r="BD386" s="6" t="str">
        <x:v>0.0</x:v>
      </x:c>
      <x:c r="BE386" s="6" t="str">
        <x:v>0.510989010989011</x:v>
      </x:c>
      <x:c r="BF386" s="9" t="str">
        <x:v>0.0</x:v>
      </x:c>
      <x:c r="BG386" s="9" t="str">
        <x:v>0.8209166642734771</x:v>
      </x:c>
      <x:c r="BH386" s="6" t="str">
        <x:v>With trade</x:v>
      </x:c>
      <x:c r="BI386" s="6" t="str">
        <x:v>Tolerance-only shallow touch</x:v>
      </x:c>
      <x:c r="BJ386" s="6" t="str">
        <x:v>True</x:v>
      </x:c>
      <x:c r="BK386" s="10" t="str">
        <x:v>False</x:v>
      </x:c>
      <x:c r="BL386" s="6" t="str">
        <x:v>True</x:v>
      </x:c>
      <x:c r="BM386" s="7" t="str">
        <x:v>2025-04-29 15:40:00-05:00</x:v>
      </x:c>
      <x:c r="BN386" s="8" t="str">
        <x:v>2</x:v>
      </x:c>
      <x:c r="BO386" s="6" t="str">
        <x:v>Delayed confirmation (2+ bars)</x:v>
      </x:c>
      <x:c r="BP386" s="9" t="str">
        <x:v>0.32887943838764594</x:v>
      </x:c>
      <x:c r="BQ386" s="9" t="str">
        <x:v>0.7856564361482653</x:v>
      </x:c>
      <x:c r="BR386" s="10" t="str">
        <x:v>0.4186046511627907</x:v>
      </x:c>
      <x:c r="BS386" s="9" t="str">
        <x:v>0.9044184555660264</x:v>
      </x:c>
      <x:c r="BT386" s="9" t="str">
        <x:v>0.009135539955212388</x:v>
      </x:c>
      <x:c r="BU386" s="9" t="str">
        <x:v>0.20098187901467254</x:v>
      </x:c>
      <x:c r="BV386" s="6" t="str">
        <x:v>With trade</x:v>
      </x:c>
      <x:c r="BW386" s="7" t="str">
        <x:v>2025-04-29 15:40:00-05:00</x:v>
      </x:c>
      <x:c r="BX386" s="6" t="str">
        <x:v>18134.75</x:v>
      </x:c>
      <x:c r="BY386" s="9" t="str">
        <x:v>27.365651206786044</x:v>
      </x:c>
      <x:c r="BZ386" s="9" t="str">
        <x:v>0.1</x:v>
      </x:c>
      <x:c r="CA386" s="6" t="str">
        <x:v>18175.798476810178</x:v>
      </x:c>
      <x:c r="CB386" s="6" t="str">
        <x:v>41.04847681017782</x:v>
      </x:c>
      <x:c r="CC386" s="9" t="str">
        <x:v>1.4999999999999543</x:v>
      </x:c>
      <x:c r="CD386" s="6" t="str">
        <x:v>18052.65304637964</x:v>
      </x:c>
      <x:c r="CE386" s="6" t="str">
        <x:v>82.09695362035927</x:v>
      </x:c>
      <x:c r="CF386" s="6" t="str">
        <x:v>Fixed 2.00R target</x:v>
      </x:c>
      <x:c r="CG386" s="9" t="str">
        <x:v>0.017662043913411155</x:v>
      </x:c>
      <x:c r="CH386" s="9" t="str">
        <x:v>0.24361439880566366</x:v>
      </x:c>
      <x:c r="CI386" s="9" t="str">
        <x:v>0.22595235489225252</x:v>
      </x:c>
      <x:c r="CJ386" s="6" t="str">
        <x:v>Win</x:v>
      </x:c>
      <x:c r="CK386" s="9" t="str">
        <x:v>0.4445962778203497</x:v>
      </x:c>
      <x:c r="CL386" s="9" t="str">
        <x:v>0.8161082359989982</x:v>
      </x:c>
      <x:c r="CM386" s="7" t="str">
        <x:v>2025-04-29 17:40:00-05:00</x:v>
      </x:c>
      <x:c r="CN386" s="6" t="str">
        <x:v>18124.75</x:v>
      </x:c>
      <x:c r="CO386" s="6" t="str">
        <x:v>TIME</x:v>
      </x:c>
      <x:c r="CP386" s="6" t="str">
        <x:v>F::Short::Same-bar Setup+BOS::Tolerance-only shallow touch</x:v>
      </x:c>
    </x:row>
    <x:row r="387" ht="18" customHeight="1">
      <x:c r="A387" s="6" t="str">
        <x:v>A0386</x:v>
      </x:c>
      <x:c r="B387" s="6" t="str">
        <x:v>2025-04-30</x:v>
      </x:c>
      <x:c r="C387" s="6" t="str">
        <x:v>2025</x:v>
      </x:c>
      <x:c r="D387" s="6" t="str">
        <x:v>2025-Q2</x:v>
      </x:c>
      <x:c r="E387" s="6" t="str">
        <x:v>Second 50%</x:v>
      </x:c>
      <x:c r="F387" s="6" t="str">
        <x:v>Long</x:v>
      </x:c>
      <x:c r="G387" s="6" t="str">
        <x:v>Long</x:v>
      </x:c>
      <x:c r="H387" s="6" t="str">
        <x:v>Overnight</x:v>
      </x:c>
      <x:c r="I387" s="6" t="str">
        <x:v>Overnight</x:v>
      </x:c>
      <x:c r="J387" s="6" t="str">
        <x:v>Bull</x:v>
      </x:c>
      <x:c r="K387" s="6" t="str">
        <x:v>Bull</x:v>
      </x:c>
      <x:c r="L387" s="6" t="str">
        <x:v>LOW</x:v>
      </x:c>
      <x:c r="M387" s="7" t="str">
        <x:v>2025-04-30 22:35:00-05:00</x:v>
      </x:c>
      <x:c r="N387" s="6" t="str">
        <x:v>90.0</x:v>
      </x:c>
      <x:c r="O387" s="6" t="str">
        <x:v>90-94</x:v>
      </x:c>
      <x:c r="P387" s="6" t="str">
        <x:v>Matching BOS only</x:v>
      </x:c>
      <x:c r="Q387" s="6" t="str">
        <x:v>Bull BOS</x:v>
      </x:c>
      <x:c r="R387" s="6" t="str">
        <x:v>True</x:v>
      </x:c>
      <x:c r="S387" s="6" t="str">
        <x:v>False</x:v>
      </x:c>
      <x:c r="T387" s="6" t="str">
        <x:v>Recent SSL</x:v>
      </x:c>
      <x:c r="U387" s="6" t="str">
        <x:v>SSL</x:v>
      </x:c>
      <x:c r="V387" s="6" t="str">
        <x:v>Swing low / sell-side</x:v>
      </x:c>
      <x:c r="W387" s="6" t="str">
        <x:v>[18455.25]</x:v>
      </x:c>
      <x:c r="X387" s="8" t="str">
        <x:v>1</x:v>
      </x:c>
      <x:c r="Y387" s="8" t="str">
        <x:v>8.0</x:v>
      </x:c>
      <x:c r="Z387" s="6" t="str">
        <x:v>None</x:v>
      </x:c>
      <x:c r="AA387" s="6" t="str">
        <x:v>18495.75</x:v>
      </x:c>
      <x:c r="AB387" s="9" t="str">
        <x:v>0.4310723894771726</x:v>
      </x:c>
      <x:c r="AC387" s="9" t="str">
        <x:v>1.2557326128248072</x:v>
      </x:c>
      <x:c r="AD387" s="9" t="str">
        <x:v>1.818000946925467</x:v>
      </x:c>
      <x:c r="AE387" s="6" t="str">
        <x:v>With trade</x:v>
      </x:c>
      <x:c r="AF387" s="7" t="str">
        <x:v>2025-04-30 22:35:00-05:00</x:v>
      </x:c>
      <x:c r="AG387" s="6" t="str">
        <x:v>Long</x:v>
      </x:c>
      <x:c r="AH387" s="6" t="str">
        <x:v>18495.75</x:v>
      </x:c>
      <x:c r="AI387" s="8" t="str">
        <x:v>0</x:v>
      </x:c>
      <x:c r="AJ387" s="6" t="str">
        <x:v>True</x:v>
      </x:c>
      <x:c r="AK387" s="6" t="str">
        <x:v>Same-bar Setup+BOS</x:v>
      </x:c>
      <x:c r="AL387" s="9" t="str">
        <x:v>1.2369903350214517</x:v>
      </x:c>
      <x:c r="AM387" s="9" t="str">
        <x:v>0.4310723894771726</x:v>
      </x:c>
      <x:c r="AN387" s="9" t="str">
        <x:v>1.2557326128248072</x:v>
      </x:c>
      <x:c r="AO387" s="9" t="str">
        <x:v>1.818000946925467</x:v>
      </x:c>
      <x:c r="AP387" s="10" t="str">
        <x:v>0.6907216494845361</x:v>
      </x:c>
      <x:c r="AQ387" s="6" t="str">
        <x:v>0.24742268041237114</x:v>
      </x:c>
      <x:c r="AR387" s="6" t="str">
        <x:v>0.061855670103092786</x:v>
      </x:c>
      <x:c r="AS387" s="6" t="str">
        <x:v>With trade</x:v>
      </x:c>
      <x:c r="AT387" s="6" t="str">
        <x:v>2.7560627674750355</x:v>
      </x:c>
      <x:c r="AU387" s="7" t="str">
        <x:v>2025-04-30 23:05:00-05:00</x:v>
      </x:c>
      <x:c r="AV387" s="8" t="str">
        <x:v>6</x:v>
      </x:c>
      <x:c r="AW387" s="6" t="str">
        <x:v>Delayed retest (2+ bars)</x:v>
      </x:c>
      <x:c r="AX387" s="6" t="str">
        <x:v>18496.5</x:v>
      </x:c>
      <x:c r="AY387" s="6" t="str">
        <x:v>0.0</x:v>
      </x:c>
      <x:c r="AZ387" s="9" t="str">
        <x:v>0.0</x:v>
      </x:c>
      <x:c r="BA387" s="9" t="str">
        <x:v>0.31544151488466776</x:v>
      </x:c>
      <x:c r="BB387" s="9" t="str">
        <x:v>1.2827954938643156</x:v>
      </x:c>
      <x:c r="BC387" s="9" t="str">
        <x:v>0.8622068073514253</x:v>
      </x:c>
      <x:c r="BD387" s="6" t="str">
        <x:v>0.13114754098360656</x:v>
      </x:c>
      <x:c r="BE387" s="6" t="str">
        <x:v>0.19672131147540983</x:v>
      </x:c>
      <x:c r="BF387" s="9" t="str">
        <x:v>0.25235321190773424</x:v>
      </x:c>
      <x:c r="BG387" s="9" t="str">
        <x:v>0.16823547460515614</x:v>
      </x:c>
      <x:c r="BH387" s="6" t="str">
        <x:v>Against trade</x:v>
      </x:c>
      <x:c r="BI387" s="6" t="str">
        <x:v>Tolerance-only shallow touch</x:v>
      </x:c>
      <x:c r="BJ387" s="6" t="str">
        <x:v>True</x:v>
      </x:c>
      <x:c r="BK387" s="10" t="str">
        <x:v>False</x:v>
      </x:c>
      <x:c r="BL387" s="6" t="str">
        <x:v>True</x:v>
      </x:c>
      <x:c r="BM387" s="7" t="str">
        <x:v>2025-04-30 23:10:00-05:00</x:v>
      </x:c>
      <x:c r="BN387" s="8" t="str">
        <x:v>1</x:v>
      </x:c>
      <x:c r="BO387" s="6" t="str">
        <x:v>Immediate confirmation (1 bar)</x:v>
      </x:c>
      <x:c r="BP387" s="9" t="str">
        <x:v>0.02166575099274814</x:v>
      </x:c>
      <x:c r="BQ387" s="9" t="str">
        <x:v>0.606641027796948</x:v>
      </x:c>
      <x:c r="BR387" s="10" t="str">
        <x:v>0.03571428571428571</x:v>
      </x:c>
      <x:c r="BS387" s="9" t="str">
        <x:v>0.2599890119129777</x:v>
      </x:c>
      <x:c r="BT387" s="9" t="str">
        <x:v>-0.06499725297824442</x:v>
      </x:c>
      <x:c r="BU387" s="9" t="str">
        <x:v>0.23832326092022957</x:v>
      </x:c>
      <x:c r="BV387" s="6" t="str">
        <x:v>With trade</x:v>
      </x:c>
      <x:c r="BW387" s="7" t="str">
        <x:v>2025-04-30 23:10:00-05:00</x:v>
      </x:c>
      <x:c r="BX387" s="6" t="str">
        <x:v>18498.75</x:v>
      </x:c>
      <x:c r="BY387" s="9" t="str">
        <x:v>11.538949196068893</x:v>
      </x:c>
      <x:c r="BZ387" s="9" t="str">
        <x:v>0.0</x:v>
      </x:c>
      <x:c r="CA387" s="6" t="str">
        <x:v>18481.441576205896</x:v>
      </x:c>
      <x:c r="CB387" s="6" t="str">
        <x:v>17.308423794103874</x:v>
      </x:c>
      <x:c r="CC387" s="9" t="str">
        <x:v>1.5000000000000462</x:v>
      </x:c>
      <x:c r="CD387" s="6" t="str">
        <x:v>18533.366847588208</x:v>
      </x:c>
      <x:c r="CE387" s="6" t="str">
        <x:v>34.61684758820775</x:v>
      </x:c>
      <x:c r="CF387" s="6" t="str">
        <x:v>Fixed 2.00R target</x:v>
      </x:c>
      <x:c r="CG387" s="9" t="str">
        <x:v>0.04188711858597845</x:v>
      </x:c>
      <x:c r="CH387" s="9" t="str">
        <x:v>-1.0</x:v>
      </x:c>
      <x:c r="CI387" s="9" t="str">
        <x:v>-1.0418871185859784</x:v>
      </x:c>
      <x:c r="CJ387" s="6" t="str">
        <x:v>Loss</x:v>
      </x:c>
      <x:c r="CK387" s="9" t="str">
        <x:v>0.23110134392263973</x:v>
      </x:c>
      <x:c r="CL387" s="9" t="str">
        <x:v>1.1555067196131985</x:v>
      </x:c>
      <x:c r="CM387" s="7" t="str">
        <x:v>2025-04-30 23:25:00-05:00</x:v>
      </x:c>
      <x:c r="CN387" s="6" t="str">
        <x:v>18481.441576205896</x:v>
      </x:c>
      <x:c r="CO387" s="6" t="str">
        <x:v>STOP</x:v>
      </x:c>
      <x:c r="CP387" s="6" t="str">
        <x:v>F::Long::Same-bar Setup+BOS::Tolerance-only shallow touch</x:v>
      </x:c>
    </x:row>
    <x:row r="388" ht="18" customHeight="1">
      <x:c r="A388" s="6" t="str">
        <x:v>A0387</x:v>
      </x:c>
      <x:c r="B388" s="6" t="str">
        <x:v>2025-05-01</x:v>
      </x:c>
      <x:c r="C388" s="6" t="str">
        <x:v>2025</x:v>
      </x:c>
      <x:c r="D388" s="6" t="str">
        <x:v>2025-Q2</x:v>
      </x:c>
      <x:c r="E388" s="6" t="str">
        <x:v>Second 50%</x:v>
      </x:c>
      <x:c r="F388" s="6" t="str">
        <x:v>Short</x:v>
      </x:c>
      <x:c r="G388" s="6" t="str">
        <x:v>Short</x:v>
      </x:c>
      <x:c r="H388" s="6" t="str">
        <x:v>Overnight</x:v>
      </x:c>
      <x:c r="I388" s="6" t="str">
        <x:v>Overnight</x:v>
      </x:c>
      <x:c r="J388" s="6" t="str">
        <x:v>Bull</x:v>
      </x:c>
      <x:c r="K388" s="6" t="str">
        <x:v>Bull</x:v>
      </x:c>
      <x:c r="L388" s="6" t="str">
        <x:v>MID</x:v>
      </x:c>
      <x:c r="M388" s="7" t="str">
        <x:v>2025-05-01 00:35:00-05:00</x:v>
      </x:c>
      <x:c r="N388" s="6" t="str">
        <x:v>75.0</x:v>
      </x:c>
      <x:c r="O388" s="6" t="str">
        <x:v>75-79</x:v>
      </x:c>
      <x:c r="P388" s="6" t="str">
        <x:v>Matching liquidity sweep only</x:v>
      </x:c>
      <x:c r="Q388" s="6" t="str">
        <x:v>Recent bear structure</x:v>
      </x:c>
      <x:c r="R388" s="6" t="str">
        <x:v>False</x:v>
      </x:c>
      <x:c r="S388" s="6" t="str">
        <x:v>True</x:v>
      </x:c>
      <x:c r="T388" s="6" t="str">
        <x:v>Recent BSL</x:v>
      </x:c>
      <x:c r="U388" s="6" t="str">
        <x:v>BSL</x:v>
      </x:c>
      <x:c r="V388" s="6" t="str">
        <x:v>Swing high / buy-side</x:v>
      </x:c>
      <x:c r="W388" s="6" t="str">
        <x:v>[18511.75]</x:v>
      </x:c>
      <x:c r="X388" s="8" t="str">
        <x:v>1</x:v>
      </x:c>
      <x:c r="Y388" s="8" t="str">
        <x:v>0.0</x:v>
      </x:c>
      <x:c r="Z388" s="6" t="str">
        <x:v>Sweep above CRT reference</x:v>
      </x:c>
      <x:c r="AA388" s="6" t="str">
        <x:v>18478.75</x:v>
      </x:c>
      <x:c r="AB388" s="9" t="str">
        <x:v>-1.9054580098290588</x:v>
      </x:c>
      <x:c r="AC388" s="9" t="str">
        <x:v>0.2887057590650089</x:v>
      </x:c>
      <x:c r="AD388" s="9" t="str">
        <x:v>1.328046491699041</x:v>
      </x:c>
      <x:c r="AE388" s="6" t="str">
        <x:v>With trade</x:v>
      </x:c>
      <x:c r="AF388" s="7" t="str">
        <x:v>2025-05-01 00:55:00-05:00</x:v>
      </x:c>
      <x:c r="AG388" s="6" t="str">
        <x:v>Short</x:v>
      </x:c>
      <x:c r="AH388" s="6" t="str">
        <x:v>18469.75</x:v>
      </x:c>
      <x:c r="AI388" s="8" t="str">
        <x:v>4</x:v>
      </x:c>
      <x:c r="AJ388" s="6" t="str">
        <x:v>False</x:v>
      </x:c>
      <x:c r="AK388" s="6" t="str">
        <x:v>Delayed BOS</x:v>
      </x:c>
      <x:c r="AL388" s="9" t="str">
        <x:v>0.5684206863481757</x:v>
      </x:c>
      <x:c r="AM388" s="9" t="str">
        <x:v>0.2940106998352633</x:v>
      </x:c>
      <x:c r="AN388" s="9" t="str">
        <x:v>0.5684206863481757</x:v>
      </x:c>
      <x:c r="AO388" s="9" t="str">
        <x:v>0.862431386183439</x:v>
      </x:c>
      <x:c r="AP388" s="10" t="str">
        <x:v>0.6590909090909091</x:v>
      </x:c>
      <x:c r="AQ388" s="6" t="str">
        <x:v>0.045454545454545456</x:v>
      </x:c>
      <x:c r="AR388" s="6" t="str">
        <x:v>0.29545454545454547</x:v>
      </x:c>
      <x:c r="AS388" s="6" t="str">
        <x:v>With trade</x:v>
      </x:c>
      <x:c r="AT388" s="6" t="str">
        <x:v>2.088897018474483</x:v>
      </x:c>
      <x:c r="AU388" s="7" t="str">
        <x:v>2025-05-01 01:00:00-05:00</x:v>
      </x:c>
      <x:c r="AV388" s="8" t="str">
        <x:v>1</x:v>
      </x:c>
      <x:c r="AW388" s="6" t="str">
        <x:v>Immediate retest (1 bar)</x:v>
      </x:c>
      <x:c r="AX388" s="6" t="str">
        <x:v>18483.75</x:v>
      </x:c>
      <x:c r="AY388" s="6" t="str">
        <x:v>14.0</x:v>
      </x:c>
      <x:c r="AZ388" s="9" t="str">
        <x:v>1.0326099702102616</x:v>
      </x:c>
      <x:c r="BA388" s="9" t="str">
        <x:v>-0.09219731876877336</x:v>
      </x:c>
      <x:c r="BB388" s="9" t="str">
        <x:v>1.7701885203604486</x:v>
      </x:c>
      <x:c r="BC388" s="9" t="str">
        <x:v>0.3134708838138294</x:v>
      </x:c>
      <x:c r="BD388" s="6" t="str">
        <x:v>0.53125</x:v>
      </x:c>
      <x:c r="BE388" s="6" t="str">
        <x:v>0.2916666666666667</x:v>
      </x:c>
      <x:c r="BF388" s="9" t="str">
        <x:v>0.9404126514414882</x:v>
      </x:c>
      <x:c r="BG388" s="9" t="str">
        <x:v>0.5163049851051308</x:v>
      </x:c>
      <x:c r="BH388" s="6" t="str">
        <x:v>Against trade</x:v>
      </x:c>
      <x:c r="BI388" s="6" t="str">
        <x:v>Penetration without same-bar reclaim</x:v>
      </x:c>
      <x:c r="BJ388" s="6" t="str">
        <x:v>False</x:v>
      </x:c>
      <x:c r="BK388" s="10" t="str">
        <x:v>True</x:v>
      </x:c>
      <x:c r="BL388" s="6" t="str">
        <x:v>False</x:v>
      </x:c>
      <x:c r="BM388" s="7" t="str">
        <x:v>2025-05-01 01:05:00-05:00</x:v>
      </x:c>
      <x:c r="BN388" s="8" t="str">
        <x:v>1</x:v>
      </x:c>
      <x:c r="BO388" s="6" t="str">
        <x:v>Immediate confirmation (1 bar)</x:v>
      </x:c>
      <x:c r="BP388" s="9" t="str">
        <x:v>0.12945673705510724</x:v>
      </x:c>
      <x:c r="BQ388" s="9" t="str">
        <x:v>0.9616786181236537</x:v>
      </x:c>
      <x:c r="BR388" s="10" t="str">
        <x:v>0.1346153846153846</x:v>
      </x:c>
      <x:c r="BS388" s="9" t="str">
        <x:v>0.0554814587379031</x:v>
      </x:c>
      <x:c r="BT388" s="9" t="str">
        <x:v>0.14795055663440826</x:v>
      </x:c>
      <x:c r="BU388" s="9" t="str">
        <x:v>0.4623454894825258</x:v>
      </x:c>
      <x:c r="BV388" s="6" t="str">
        <x:v>With trade</x:v>
      </x:c>
      <x:c r="BW388" s="7" t="str">
        <x:v>2025-05-01 01:05:00-05:00</x:v>
      </x:c>
      <x:c r="BX388" s="6" t="str">
        <x:v>18469.0</x:v>
      </x:c>
      <x:c r="BY388" s="9" t="str">
        <x:v>13.51802957350191</x:v>
      </x:c>
      <x:c r="BZ388" s="9" t="str">
        <x:v>0.43</x:v>
      </x:c>
      <x:c r="CA388" s="6" t="str">
        <x:v>18489.277044360253</x:v>
      </x:c>
      <x:c r="CB388" s="6" t="str">
        <x:v>20.277044360253058</x:v>
      </x:c>
      <x:c r="CC388" s="9" t="str">
        <x:v>1.5000000000000144</x:v>
      </x:c>
      <x:c r="CD388" s="6" t="str">
        <x:v>18428.445911279494</x:v>
      </x:c>
      <x:c r="CE388" s="6" t="str">
        <x:v>40.554088720506115</x:v>
      </x:c>
      <x:c r="CF388" s="6" t="str">
        <x:v>Fixed 2.00R target</x:v>
      </x:c>
      <x:c r="CG388" s="9" t="str">
        <x:v>0.035754717853314986</x:v>
      </x:c>
      <x:c r="CH388" s="9" t="str">
        <x:v>-1.0</x:v>
      </x:c>
      <x:c r="CI388" s="9" t="str">
        <x:v>-1.035754717853315</x:v>
      </x:c>
      <x:c r="CJ388" s="6" t="str">
        <x:v>Loss</x:v>
      </x:c>
      <x:c r="CK388" s="9" t="str">
        <x:v>0.17260898274014133</x:v>
      </x:c>
      <x:c r="CL388" s="9" t="str">
        <x:v>1.146616813916653</x:v>
      </x:c>
      <x:c r="CM388" s="7" t="str">
        <x:v>2025-05-01 01:30:00-05:00</x:v>
      </x:c>
      <x:c r="CN388" s="6" t="str">
        <x:v>18489.277044360253</x:v>
      </x:c>
      <x:c r="CO388" s="6" t="str">
        <x:v>STOP</x:v>
      </x:c>
      <x:c r="CP388" s="6" t="str">
        <x:v>F::Short::Delayed BOS::Penetration without same-bar reclaim</x:v>
      </x:c>
    </x:row>
    <x:row r="389" ht="18" customHeight="1">
      <x:c r="A389" s="6" t="str">
        <x:v>A0388</x:v>
      </x:c>
      <x:c r="B389" s="6" t="str">
        <x:v>2025-05-01</x:v>
      </x:c>
      <x:c r="C389" s="6" t="str">
        <x:v>2025</x:v>
      </x:c>
      <x:c r="D389" s="6" t="str">
        <x:v>2025-Q2</x:v>
      </x:c>
      <x:c r="E389" s="6" t="str">
        <x:v>Second 50%</x:v>
      </x:c>
      <x:c r="F389" s="6" t="str">
        <x:v>Long</x:v>
      </x:c>
      <x:c r="G389" s="6" t="str">
        <x:v>Long</x:v>
      </x:c>
      <x:c r="H389" s="6" t="str">
        <x:v>Overnight</x:v>
      </x:c>
      <x:c r="I389" s="6" t="str">
        <x:v>Overnight</x:v>
      </x:c>
      <x:c r="J389" s="6" t="str">
        <x:v>Bull</x:v>
      </x:c>
      <x:c r="K389" s="6" t="str">
        <x:v>Bull</x:v>
      </x:c>
      <x:c r="L389" s="6" t="str">
        <x:v>MID</x:v>
      </x:c>
      <x:c r="M389" s="7" t="str">
        <x:v>2025-05-01 02:25:00-05:00</x:v>
      </x:c>
      <x:c r="N389" s="6" t="str">
        <x:v>75.0</x:v>
      </x:c>
      <x:c r="O389" s="6" t="str">
        <x:v>75-79</x:v>
      </x:c>
      <x:c r="P389" s="6" t="str">
        <x:v>Matching BOS only</x:v>
      </x:c>
      <x:c r="Q389" s="6" t="str">
        <x:v>Bull CHoCH</x:v>
      </x:c>
      <x:c r="R389" s="6" t="str">
        <x:v>True</x:v>
      </x:c>
      <x:c r="S389" s="6" t="str">
        <x:v>False</x:v>
      </x:c>
      <x:c r="T389" s="6" t="str">
        <x:v>Recent SSL</x:v>
      </x:c>
      <x:c r="U389" s="6" t="str">
        <x:v>SSL</x:v>
      </x:c>
      <x:c r="V389" s="6" t="str">
        <x:v>Swing low / sell-side</x:v>
      </x:c>
      <x:c r="W389" s="6" t="str">
        <x:v>[18451.5]</x:v>
      </x:c>
      <x:c r="X389" s="8" t="str">
        <x:v>1</x:v>
      </x:c>
      <x:c r="Y389" s="8" t="str">
        <x:v>5.0</x:v>
      </x:c>
      <x:c r="Z389" s="6" t="str">
        <x:v>None</x:v>
      </x:c>
      <x:c r="AA389" s="6" t="str">
        <x:v>18493.0</x:v>
      </x:c>
      <x:c r="AB389" s="9" t="str">
        <x:v>0.4216883566145012</x:v>
      </x:c>
      <x:c r="AC389" s="9" t="str">
        <x:v>0.674701370583202</x:v>
      </x:c>
      <x:c r="AD389" s="9" t="str">
        <x:v>1.028919590139383</x:v>
      </x:c>
      <x:c r="AE389" s="6" t="str">
        <x:v>With trade</x:v>
      </x:c>
      <x:c r="AF389" s="7" t="str">
        <x:v>2025-05-01 02:25:00-05:00</x:v>
      </x:c>
      <x:c r="AG389" s="6" t="str">
        <x:v>Long</x:v>
      </x:c>
      <x:c r="AH389" s="6" t="str">
        <x:v>18493.0</x:v>
      </x:c>
      <x:c r="AI389" s="8" t="str">
        <x:v>0</x:v>
      </x:c>
      <x:c r="AJ389" s="6" t="str">
        <x:v>True</x:v>
      </x:c>
      <x:c r="AK389" s="6" t="str">
        <x:v>Same-bar Setup+BOS</x:v>
      </x:c>
      <x:c r="AL389" s="9" t="str">
        <x:v>0.6578338363186219</x:v>
      </x:c>
      <x:c r="AM389" s="9" t="str">
        <x:v>0.4216883566145012</x:v>
      </x:c>
      <x:c r="AN389" s="9" t="str">
        <x:v>0.674701370583202</x:v>
      </x:c>
      <x:c r="AO389" s="9" t="str">
        <x:v>1.028919590139383</x:v>
      </x:c>
      <x:c r="AP389" s="10" t="str">
        <x:v>0.6557377049180327</x:v>
      </x:c>
      <x:c r="AQ389" s="6" t="str">
        <x:v>0.22950819672131148</x:v>
      </x:c>
      <x:c r="AR389" s="6" t="str">
        <x:v>0.11475409836065574</x:v>
      </x:c>
      <x:c r="AS389" s="6" t="str">
        <x:v>With trade</x:v>
      </x:c>
      <x:c r="AT389" s="6" t="str">
        <x:v>1.1695108077360636</x:v>
      </x:c>
      <x:c r="AU389" s="7" t="str">
        <x:v>2025-05-01 02:30:00-05:00</x:v>
      </x:c>
      <x:c r="AV389" s="8" t="str">
        <x:v>1</x:v>
      </x:c>
      <x:c r="AW389" s="6" t="str">
        <x:v>Immediate retest (1 bar)</x:v>
      </x:c>
      <x:c r="AX389" s="6" t="str">
        <x:v>18493.0</x:v>
      </x:c>
      <x:c r="AY389" s="6" t="str">
        <x:v>0.0</x:v>
      </x:c>
      <x:c r="AZ389" s="9" t="str">
        <x:v>0.0</x:v>
      </x:c>
      <x:c r="BA389" s="9" t="str">
        <x:v>0.2759601694680977</x:v>
      </x:c>
      <x:c r="BB389" s="9" t="str">
        <x:v>0.7071479342620004</x:v>
      </x:c>
      <x:c r="BC389" s="9" t="str">
        <x:v>0.18972261650931718</x:v>
      </x:c>
      <x:c r="BD389" s="6" t="str">
        <x:v>0.34146341463414637</x:v>
      </x:c>
      <x:c r="BE389" s="6" t="str">
        <x:v>0.3902439024390244</x:v>
      </x:c>
      <x:c r="BF389" s="9" t="str">
        <x:v>0.2759601694680977</x:v>
      </x:c>
      <x:c r="BG389" s="9" t="str">
        <x:v>0.2414651482845855</x:v>
      </x:c>
      <x:c r="BH389" s="6" t="str">
        <x:v>Against trade</x:v>
      </x:c>
      <x:c r="BI389" s="6" t="str">
        <x:v>Exact BOS touch</x:v>
      </x:c>
      <x:c r="BJ389" s="6" t="str">
        <x:v>True</x:v>
      </x:c>
      <x:c r="BK389" s="10" t="str">
        <x:v>False</x:v>
      </x:c>
      <x:c r="BL389" s="6" t="str">
        <x:v>True</x:v>
      </x:c>
      <x:c r="BM389" s="7" t="str">
        <x:v>2025-05-01 02:35:00-05:00</x:v>
      </x:c>
      <x:c r="BN389" s="8" t="str">
        <x:v>1</x:v>
      </x:c>
      <x:c r="BO389" s="6" t="str">
        <x:v>Immediate confirmation (1 bar)</x:v>
      </x:c>
      <x:c r="BP389" s="9" t="str">
        <x:v>1.0272314632570478</x:v>
      </x:c>
      <x:c r="BQ389" s="9" t="str">
        <x:v>1.0957135608075177</x:v>
      </x:c>
      <x:c r="BR389" s="10" t="str">
        <x:v>0.9375</x:v>
      </x:c>
      <x:c r="BS389" s="9" t="str">
        <x:v>1.3525214266217798</x:v>
      </x:c>
      <x:c r="BT389" s="9" t="str">
        <x:v>1.0785930364199003</x:v>
      </x:c>
      <x:c r="BU389" s="9" t="str">
        <x:v>0.05136157316285239</x:v>
      </x:c>
      <x:c r="BV389" s="6" t="str">
        <x:v>With trade</x:v>
      </x:c>
      <x:c r="BW389" s="7" t="str">
        <x:v>2025-05-01 02:35:00-05:00</x:v>
      </x:c>
      <x:c r="BX389" s="6" t="str">
        <x:v>18512.75</x:v>
      </x:c>
      <x:c r="BY389" s="9" t="str">
        <x:v>14.602356466418412</x:v>
      </x:c>
      <x:c r="BZ389" s="9" t="str">
        <x:v>0.63</x:v>
      </x:c>
      <x:c r="CA389" s="6" t="str">
        <x:v>18490.846465300372</x:v>
      </x:c>
      <x:c r="CB389" s="6" t="str">
        <x:v>21.903534699627926</x:v>
      </x:c>
      <x:c r="CC389" s="9" t="str">
        <x:v>1.500000000000021</x:v>
      </x:c>
      <x:c r="CD389" s="6" t="str">
        <x:v>18556.557069399256</x:v>
      </x:c>
      <x:c r="CE389" s="6" t="str">
        <x:v>43.80706939925585</x:v>
      </x:c>
      <x:c r="CF389" s="6" t="str">
        <x:v>Fixed 2.00R target</x:v>
      </x:c>
      <x:c r="CG389" s="9" t="str">
        <x:v>0.03309968048272663</x:v>
      </x:c>
      <x:c r="CH389" s="9" t="str">
        <x:v>-1.0</x:v>
      </x:c>
      <x:c r="CI389" s="9" t="str">
        <x:v>-1.0330996804827266</x:v>
      </x:c>
      <x:c r="CJ389" s="6" t="str">
        <x:v>Loss</x:v>
      </x:c>
      <x:c r="CK389" s="9" t="str">
        <x:v>0.37665153652757893</x:v>
      </x:c>
      <x:c r="CL389" s="9" t="str">
        <x:v>1.2669188046836746</x:v>
      </x:c>
      <x:c r="CM389" s="7" t="str">
        <x:v>2025-05-01 03:00:00-05:00</x:v>
      </x:c>
      <x:c r="CN389" s="6" t="str">
        <x:v>18490.846465300372</x:v>
      </x:c>
      <x:c r="CO389" s="6" t="str">
        <x:v>STOP</x:v>
      </x:c>
      <x:c r="CP389" s="6" t="str">
        <x:v>F::Long::Same-bar Setup+BOS::Exact BOS touch</x:v>
      </x:c>
    </x:row>
    <x:row r="390" ht="18" customHeight="1">
      <x:c r="A390" s="6" t="str">
        <x:v>A0389</x:v>
      </x:c>
      <x:c r="B390" s="6" t="str">
        <x:v>2025-05-01</x:v>
      </x:c>
      <x:c r="C390" s="6" t="str">
        <x:v>2025</x:v>
      </x:c>
      <x:c r="D390" s="6" t="str">
        <x:v>2025-Q2</x:v>
      </x:c>
      <x:c r="E390" s="6" t="str">
        <x:v>Second 50%</x:v>
      </x:c>
      <x:c r="F390" s="6" t="str">
        <x:v>Short</x:v>
      </x:c>
      <x:c r="G390" s="6" t="str">
        <x:v>Short</x:v>
      </x:c>
      <x:c r="H390" s="6" t="str">
        <x:v>Premarket</x:v>
      </x:c>
      <x:c r="I390" s="6" t="str">
        <x:v>Premarket</x:v>
      </x:c>
      <x:c r="J390" s="6" t="str">
        <x:v>Bull</x:v>
      </x:c>
      <x:c r="K390" s="6" t="str">
        <x:v>Bull</x:v>
      </x:c>
      <x:c r="L390" s="6" t="str">
        <x:v>HIGH</x:v>
      </x:c>
      <x:c r="M390" s="7" t="str">
        <x:v>2025-05-01 07:30:00-05:00</x:v>
      </x:c>
      <x:c r="N390" s="6" t="str">
        <x:v>90.0</x:v>
      </x:c>
      <x:c r="O390" s="6" t="str">
        <x:v>90-94</x:v>
      </x:c>
      <x:c r="P390" s="6" t="str">
        <x:v>Matching BOS only</x:v>
      </x:c>
      <x:c r="Q390" s="6" t="str">
        <x:v>Bear CHoCH</x:v>
      </x:c>
      <x:c r="R390" s="6" t="str">
        <x:v>True</x:v>
      </x:c>
      <x:c r="S390" s="6" t="str">
        <x:v>False</x:v>
      </x:c>
      <x:c r="T390" s="6" t="str">
        <x:v>Recent BSL</x:v>
      </x:c>
      <x:c r="U390" s="6" t="str">
        <x:v>BSL</x:v>
      </x:c>
      <x:c r="V390" s="6" t="str">
        <x:v>Swing high / buy-side</x:v>
      </x:c>
      <x:c r="W390" s="6" t="str">
        <x:v>[18572.0]</x:v>
      </x:c>
      <x:c r="X390" s="8" t="str">
        <x:v>1</x:v>
      </x:c>
      <x:c r="Y390" s="8" t="str">
        <x:v>4.0</x:v>
      </x:c>
      <x:c r="Z390" s="6" t="str">
        <x:v>None</x:v>
      </x:c>
      <x:c r="AA390" s="6" t="str">
        <x:v>18525.0</x:v>
      </x:c>
      <x:c r="AB390" s="9" t="str">
        <x:v>0.05096860474275475</x:v>
      </x:c>
      <x:c r="AC390" s="9" t="str">
        <x:v>0.5861389545416796</x:v>
      </x:c>
      <x:c r="AD390" s="9" t="str">
        <x:v>2.3827822717237845</x:v>
      </x:c>
      <x:c r="AE390" s="6" t="str">
        <x:v>With trade</x:v>
      </x:c>
      <x:c r="AF390" s="7" t="str">
        <x:v>2025-05-01 07:30:00-05:00</x:v>
      </x:c>
      <x:c r="AG390" s="6" t="str">
        <x:v>Short</x:v>
      </x:c>
      <x:c r="AH390" s="6" t="str">
        <x:v>18525.0</x:v>
      </x:c>
      <x:c r="AI390" s="8" t="str">
        <x:v>0</x:v>
      </x:c>
      <x:c r="AJ390" s="6" t="str">
        <x:v>True</x:v>
      </x:c>
      <x:c r="AK390" s="6" t="str">
        <x:v>Same-bar Setup+BOS</x:v>
      </x:c>
      <x:c r="AL390" s="9" t="str">
        <x:v>0.7390447687699438</x:v>
      </x:c>
      <x:c r="AM390" s="9" t="str">
        <x:v>0.05096860474275475</x:v>
      </x:c>
      <x:c r="AN390" s="9" t="str">
        <x:v>0.5861389545416796</x:v>
      </x:c>
      <x:c r="AO390" s="9" t="str">
        <x:v>2.3827822717237845</x:v>
      </x:c>
      <x:c r="AP390" s="10" t="str">
        <x:v>0.24598930481283424</x:v>
      </x:c>
      <x:c r="AQ390" s="6" t="str">
        <x:v>0.11229946524064172</x:v>
      </x:c>
      <x:c r="AR390" s="6" t="str">
        <x:v>0.6417112299465241</x:v>
      </x:c>
      <x:c r="AS390" s="6" t="str">
        <x:v>With trade</x:v>
      </x:c>
      <x:c r="AT390" s="6" t="str">
        <x:v>4.862972353012194</x:v>
      </x:c>
      <x:c r="AU390" s="7" t="str">
        <x:v>2025-05-01 07:35:00-05:00</x:v>
      </x:c>
      <x:c r="AV390" s="8" t="str">
        <x:v>1</x:v>
      </x:c>
      <x:c r="AW390" s="6" t="str">
        <x:v>Immediate retest (1 bar)</x:v>
      </x:c>
      <x:c r="AX390" s="6" t="str">
        <x:v>18535.75</x:v>
      </x:c>
      <x:c r="AY390" s="6" t="str">
        <x:v>10.75</x:v>
      </x:c>
      <x:c r="AZ390" s="9" t="str">
        <x:v>0.533103847891288</x:v>
      </x:c>
      <x:c r="BA390" s="9" t="str">
        <x:v>0.7810591259802592</x:v>
      </x:c>
      <x:c r="BB390" s="9" t="str">
        <x:v>1.3513562655848927</x:v>
      </x:c>
      <x:c r="BC390" s="9" t="str">
        <x:v>0.6198881952224279</x:v>
      </x:c>
      <x:c r="BD390" s="6" t="str">
        <x:v>0.5137614678899083</x:v>
      </x:c>
      <x:c r="BE390" s="6" t="str">
        <x:v>0.027522935779816515</x:v>
      </x:c>
      <x:c r="BF390" s="9" t="str">
        <x:v>0.6942747786491192</x:v>
      </x:c>
      <x:c r="BG390" s="9" t="str">
        <x:v>0.03719329171334568</x:v>
      </x:c>
      <x:c r="BH390" s="6" t="str">
        <x:v>With trade</x:v>
      </x:c>
      <x:c r="BI390" s="6" t="str">
        <x:v>Penetration + same-bar reclaim</x:v>
      </x:c>
      <x:c r="BJ390" s="6" t="str">
        <x:v>False</x:v>
      </x:c>
      <x:c r="BK390" s="10" t="str">
        <x:v>True</x:v>
      </x:c>
      <x:c r="BL390" s="6" t="str">
        <x:v>True</x:v>
      </x:c>
      <x:c r="BM390" s="7" t="str">
        <x:v>2025-05-01 07:45:00-05:00</x:v>
      </x:c>
      <x:c r="BN390" s="8" t="str">
        <x:v>2</x:v>
      </x:c>
      <x:c r="BO390" s="6" t="str">
        <x:v>Delayed confirmation (2+ bars)</x:v>
      </x:c>
      <x:c r="BP390" s="9" t="str">
        <x:v>0.03773466139400718</x:v>
      </x:c>
      <x:c r="BQ390" s="9" t="str">
        <x:v>0.8301625506681578</x:v>
      </x:c>
      <x:c r="BR390" s="10" t="str">
        <x:v>0.045454545454545456</x:v>
      </x:c>
      <x:c r="BS390" s="9" t="str">
        <x:v>0.08804754325268341</x:v>
      </x:c>
      <x:c r="BT390" s="9" t="str">
        <x:v>-0.7043803460214673</x:v>
      </x:c>
      <x:c r="BU390" s="9" t="str">
        <x:v>0.3270337320813955</x:v>
      </x:c>
      <x:c r="BV390" s="6" t="str">
        <x:v>With trade</x:v>
      </x:c>
      <x:c r="BW390" s="7" t="str">
        <x:v>2025-05-01 07:45:00-05:00</x:v>
      </x:c>
      <x:c r="BX390" s="6" t="str">
        <x:v>18523.25</x:v>
      </x:c>
      <x:c r="BY390" s="9" t="str">
        <x:v>19.875625546731715</x:v>
      </x:c>
      <x:c r="BZ390" s="9" t="str">
        <x:v>0.98</x:v>
      </x:c>
      <x:c r="CA390" s="6" t="str">
        <x:v>18553.063438320096</x:v>
      </x:c>
      <x:c r="CB390" s="6" t="str">
        <x:v>29.813438320095884</x:v>
      </x:c>
      <x:c r="CC390" s="9" t="str">
        <x:v>1.499999999999915</x:v>
      </x:c>
      <x:c r="CD390" s="6" t="str">
        <x:v>18463.623123359805</x:v>
      </x:c>
      <x:c r="CE390" s="6" t="str">
        <x:v>59.626876640195405</x:v>
      </x:c>
      <x:c r="CF390" s="6" t="str">
        <x:v>Fixed 2.00R target</x:v>
      </x:c>
      <x:c r="CG390" s="9" t="str">
        <x:v>0.024317892898361556</x:v>
      </x:c>
      <x:c r="CH390" s="9" t="str">
        <x:v>2.0</x:v>
      </x:c>
      <x:c r="CI390" s="9" t="str">
        <x:v>1.9756821071016384</x:v>
      </x:c>
      <x:c r="CJ390" s="6" t="str">
        <x:v>Win</x:v>
      </x:c>
      <x:c r="CK390" s="9" t="str">
        <x:v>2.19699584116232</x:v>
      </x:c>
      <x:c r="CL390" s="9" t="str">
        <x:v>0.4360449761085521</x:v>
      </x:c>
      <x:c r="CM390" s="7" t="str">
        <x:v>2025-05-01 08:30:00-05:00</x:v>
      </x:c>
      <x:c r="CN390" s="6" t="str">
        <x:v>18463.623123359805</x:v>
      </x:c>
      <x:c r="CO390" s="6" t="str">
        <x:v>TARGET</x:v>
      </x:c>
      <x:c r="CP390" s="6" t="str">
        <x:v>F::Short::Same-bar Setup+BOS::Penetration + same-bar reclaim</x:v>
      </x:c>
    </x:row>
    <x:row r="391" ht="18" customHeight="1">
      <x:c r="A391" s="6" t="str">
        <x:v>A0390</x:v>
      </x:c>
      <x:c r="B391" s="6" t="str">
        <x:v>2025-05-01</x:v>
      </x:c>
      <x:c r="C391" s="6" t="str">
        <x:v>2025</x:v>
      </x:c>
      <x:c r="D391" s="6" t="str">
        <x:v>2025-Q2</x:v>
      </x:c>
      <x:c r="E391" s="6" t="str">
        <x:v>Second 50%</x:v>
      </x:c>
      <x:c r="F391" s="6" t="str">
        <x:v>Long</x:v>
      </x:c>
      <x:c r="G391" s="6" t="str">
        <x:v>Long</x:v>
      </x:c>
      <x:c r="H391" s="6" t="str">
        <x:v>Opening</x:v>
      </x:c>
      <x:c r="I391" s="6" t="str">
        <x:v>Premarket</x:v>
      </x:c>
      <x:c r="J391" s="6" t="str">
        <x:v>Bull</x:v>
      </x:c>
      <x:c r="K391" s="6" t="str">
        <x:v>Bull</x:v>
      </x:c>
      <x:c r="L391" s="6" t="str">
        <x:v>HIGH</x:v>
      </x:c>
      <x:c r="M391" s="7" t="str">
        <x:v>2025-05-01 09:25:00-05:00</x:v>
      </x:c>
      <x:c r="N391" s="6" t="str">
        <x:v>75.0</x:v>
      </x:c>
      <x:c r="O391" s="6" t="str">
        <x:v>75-79</x:v>
      </x:c>
      <x:c r="P391" s="6" t="str">
        <x:v>Matching BOS only</x:v>
      </x:c>
      <x:c r="Q391" s="6" t="str">
        <x:v>Bull CHoCH</x:v>
      </x:c>
      <x:c r="R391" s="6" t="str">
        <x:v>True</x:v>
      </x:c>
      <x:c r="S391" s="6" t="str">
        <x:v>False</x:v>
      </x:c>
      <x:c r="T391" s="6" t="str">
        <x:v>Recent SSL</x:v>
      </x:c>
      <x:c r="U391" s="6" t="str">
        <x:v>SSL</x:v>
      </x:c>
      <x:c r="V391" s="6" t="str">
        <x:v>Swing low / sell-side</x:v>
      </x:c>
      <x:c r="W391" s="6" t="str">
        <x:v>[18412.5]</x:v>
      </x:c>
      <x:c r="X391" s="8" t="str">
        <x:v>1</x:v>
      </x:c>
      <x:c r="Y391" s="8" t="str">
        <x:v>6.0</x:v>
      </x:c>
      <x:c r="Z391" s="6" t="str">
        <x:v>None</x:v>
      </x:c>
      <x:c r="AA391" s="6" t="str">
        <x:v>18540.75</x:v>
      </x:c>
      <x:c r="AB391" s="9" t="str">
        <x:v>0.08298944894108023</x:v>
      </x:c>
      <x:c r="AC391" s="9" t="str">
        <x:v>0.5038645114279872</x:v>
      </x:c>
      <x:c r="AD391" s="9" t="str">
        <x:v>0.9069561205703769</x:v>
      </x:c>
      <x:c r="AE391" s="6" t="str">
        <x:v>With trade</x:v>
      </x:c>
      <x:c r="AF391" s="7" t="str">
        <x:v>2025-05-01 09:25:00-05:00</x:v>
      </x:c>
      <x:c r="AG391" s="6" t="str">
        <x:v>Long</x:v>
      </x:c>
      <x:c r="AH391" s="6" t="str">
        <x:v>18540.75</x:v>
      </x:c>
      <x:c r="AI391" s="8" t="str">
        <x:v>0</x:v>
      </x:c>
      <x:c r="AJ391" s="6" t="str">
        <x:v>True</x:v>
      </x:c>
      <x:c r="AK391" s="6" t="str">
        <x:v>Same-bar Setup+BOS</x:v>
      </x:c>
      <x:c r="AL391" s="9" t="str">
        <x:v>0.5097923292094929</x:v>
      </x:c>
      <x:c r="AM391" s="9" t="str">
        <x:v>0.08298944894108023</x:v>
      </x:c>
      <x:c r="AN391" s="9" t="str">
        <x:v>0.5038645114279872</x:v>
      </x:c>
      <x:c r="AO391" s="9" t="str">
        <x:v>0.9069561205703769</x:v>
      </x:c>
      <x:c r="AP391" s="10" t="str">
        <x:v>0.5555555555555556</x:v>
      </x:c>
      <x:c r="AQ391" s="6" t="str">
        <x:v>0.1503267973856209</x:v>
      </x:c>
      <x:c r="AR391" s="6" t="str">
        <x:v>0.29411764705882354</x:v>
      </x:c>
      <x:c r="AS391" s="6" t="str">
        <x:v>With trade</x:v>
      </x:c>
      <x:c r="AT391" s="6" t="str">
        <x:v>0.9951894419584765</x:v>
      </x:c>
      <x:c r="AU391" s="7" t="str">
        <x:v>2025-05-01 09:30:00-05:00</x:v>
      </x:c>
      <x:c r="AV391" s="8" t="str">
        <x:v>1</x:v>
      </x:c>
      <x:c r="AW391" s="6" t="str">
        <x:v>Immediate retest (1 bar)</x:v>
      </x:c>
      <x:c r="AX391" s="6" t="str">
        <x:v>18520.0</x:v>
      </x:c>
      <x:c r="AY391" s="6" t="str">
        <x:v>20.75</x:v>
      </x:c>
      <x:c r="AZ391" s="9" t="str">
        <x:v>0.5030194440272434</x:v>
      </x:c>
      <x:c r="BA391" s="9" t="str">
        <x:v>0.11514902935563404</x:v>
      </x:c>
      <x:c r="BB391" s="9" t="str">
        <x:v>0.709075601821536</x:v>
      </x:c>
      <x:c r="BC391" s="9" t="str">
        <x:v>0.04848380183395117</x:v>
      </x:c>
      <x:c r="BD391" s="6" t="str">
        <x:v>0.1282051282051282</x:v>
      </x:c>
      <x:c r="BE391" s="6" t="str">
        <x:v>0.8034188034188035</x:v>
      </x:c>
      <x:c r="BF391" s="9" t="str">
        <x:v>0.5696846715489263</x:v>
      </x:c>
      <x:c r="BG391" s="9" t="str">
        <x:v>0.09090712843865845</x:v>
      </x:c>
      <x:c r="BH391" s="6" t="str">
        <x:v>With trade</x:v>
      </x:c>
      <x:c r="BI391" s="6" t="str">
        <x:v>Penetration + same-bar reclaim</x:v>
      </x:c>
      <x:c r="BJ391" s="6" t="str">
        <x:v>False</x:v>
      </x:c>
      <x:c r="BK391" s="10" t="str">
        <x:v>True</x:v>
      </x:c>
      <x:c r="BL391" s="6" t="str">
        <x:v>True</x:v>
      </x:c>
      <x:c r="BM391" s="7" t="str">
        <x:v>2025-05-01 09:35:00-05:00</x:v>
      </x:c>
      <x:c r="BN391" s="8" t="str">
        <x:v>1</x:v>
      </x:c>
      <x:c r="BO391" s="6" t="str">
        <x:v>Immediate confirmation (1 bar)</x:v>
      </x:c>
      <x:c r="BP391" s="9" t="str">
        <x:v>0.6649103315911328</x:v>
      </x:c>
      <x:c r="BQ391" s="9" t="str">
        <x:v>0.9150142177859626</x:v>
      </x:c>
      <x:c r="BR391" s="10" t="str">
        <x:v>0.7266666666666667</x:v>
      </x:c>
      <x:c r="BS391" s="9" t="str">
        <x:v>0.780812132510688</x:v>
      </x:c>
      <x:c r="BT391" s="9" t="str">
        <x:v>0.6649103315911328</x:v>
      </x:c>
      <x:c r="BU391" s="9" t="str">
        <x:v>0.18910293834243228</x:v>
      </x:c>
      <x:c r="BV391" s="6" t="str">
        <x:v>With trade</x:v>
      </x:c>
      <x:c r="BW391" s="7" t="str">
        <x:v>2025-05-01 09:35:00-05:00</x:v>
      </x:c>
      <x:c r="BX391" s="6" t="str">
        <x:v>18572.75</x:v>
      </x:c>
      <x:c r="BY391" s="9" t="str">
        <x:v>40.982969740883185</x:v>
      </x:c>
      <x:c r="BZ391" s="9" t="str">
        <x:v>0.94</x:v>
      </x:c>
      <x:c r="CA391" s="6" t="str">
        <x:v>18511.275545388675</x:v>
      </x:c>
      <x:c r="CB391" s="6" t="str">
        <x:v>61.4744546113252</x:v>
      </x:c>
      <x:c r="CC391" s="9" t="str">
        <x:v>1.5000000000000102</x:v>
      </x:c>
      <x:c r="CD391" s="6" t="str">
        <x:v>18695.69890922265</x:v>
      </x:c>
      <x:c r="CE391" s="6" t="str">
        <x:v>122.9489092226504</x:v>
      </x:c>
      <x:c r="CF391" s="6" t="str">
        <x:v>Fixed 2.00R target</x:v>
      </x:c>
      <x:c r="CG391" s="9" t="str">
        <x:v>0.01179351658479677</x:v>
      </x:c>
      <x:c r="CH391" s="9" t="str">
        <x:v>0.5042745022464861</x:v>
      </x:c>
      <x:c r="CI391" s="9" t="str">
        <x:v>0.4924809856616893</x:v>
      </x:c>
      <x:c r="CJ391" s="6" t="str">
        <x:v>Win</x:v>
      </x:c>
      <x:c r="CK391" s="9" t="str">
        <x:v>1.5860246441623242</x:v>
      </x:c>
      <x:c r="CL391" s="9" t="str">
        <x:v>0.2196034122686295</x:v>
      </x:c>
      <x:c r="CM391" s="7" t="str">
        <x:v>2025-05-01 10:35:00-05:00</x:v>
      </x:c>
      <x:c r="CN391" s="6" t="str">
        <x:v>18603.75</x:v>
      </x:c>
      <x:c r="CO391" s="6" t="str">
        <x:v>TIME</x:v>
      </x:c>
      <x:c r="CP391" s="6" t="str">
        <x:v>F::Long::Same-bar Setup+BOS::Penetration + same-bar reclaim</x:v>
      </x:c>
    </x:row>
    <x:row r="392" ht="18" customHeight="1">
      <x:c r="A392" s="6" t="str">
        <x:v>A0391</x:v>
      </x:c>
      <x:c r="B392" s="6" t="str">
        <x:v>2025-05-02</x:v>
      </x:c>
      <x:c r="C392" s="6" t="str">
        <x:v>2025</x:v>
      </x:c>
      <x:c r="D392" s="6" t="str">
        <x:v>2025-Q2</x:v>
      </x:c>
      <x:c r="E392" s="6" t="str">
        <x:v>Second 50%</x:v>
      </x:c>
      <x:c r="F392" s="6" t="str">
        <x:v>Short</x:v>
      </x:c>
      <x:c r="G392" s="6" t="str">
        <x:v>Short</x:v>
      </x:c>
      <x:c r="H392" s="6" t="str">
        <x:v>Premarket</x:v>
      </x:c>
      <x:c r="I392" s="6" t="str">
        <x:v>Premarket</x:v>
      </x:c>
      <x:c r="J392" s="6" t="str">
        <x:v>Bull</x:v>
      </x:c>
      <x:c r="K392" s="6" t="str">
        <x:v>Bull</x:v>
      </x:c>
      <x:c r="L392" s="6" t="str">
        <x:v>MID</x:v>
      </x:c>
      <x:c r="M392" s="7" t="str">
        <x:v>2025-05-02 06:30:00-05:00</x:v>
      </x:c>
      <x:c r="N392" s="6" t="str">
        <x:v>90.0</x:v>
      </x:c>
      <x:c r="O392" s="6" t="str">
        <x:v>90-94</x:v>
      </x:c>
      <x:c r="P392" s="6" t="str">
        <x:v>Matching BOS only</x:v>
      </x:c>
      <x:c r="Q392" s="6" t="str">
        <x:v>Bear CHoCH</x:v>
      </x:c>
      <x:c r="R392" s="6" t="str">
        <x:v>True</x:v>
      </x:c>
      <x:c r="S392" s="6" t="str">
        <x:v>False</x:v>
      </x:c>
      <x:c r="T392" s="6" t="str">
        <x:v>Recent BSL</x:v>
      </x:c>
      <x:c r="U392" s="6" t="str">
        <x:v>BSL</x:v>
      </x:c>
      <x:c r="V392" s="6" t="str">
        <x:v>Swing high / buy-side</x:v>
      </x:c>
      <x:c r="W392" s="6" t="str">
        <x:v>[18500.5]</x:v>
      </x:c>
      <x:c r="X392" s="8" t="str">
        <x:v>1</x:v>
      </x:c>
      <x:c r="Y392" s="8" t="str">
        <x:v>3.0</x:v>
      </x:c>
      <x:c r="Z392" s="6" t="str">
        <x:v>None</x:v>
      </x:c>
      <x:c r="AA392" s="6" t="str">
        <x:v>18470.0</x:v>
      </x:c>
      <x:c r="AB392" s="9" t="str">
        <x:v>0.664950216169824</x:v>
      </x:c>
      <x:c r="AC392" s="9" t="str">
        <x:v>1.0893865243633285</x:v>
      </x:c>
      <x:c r="AD392" s="9" t="str">
        <x:v>1.4855270786772663</x:v>
      </x:c>
      <x:c r="AE392" s="6" t="str">
        <x:v>With trade</x:v>
      </x:c>
      <x:c r="AF392" s="7" t="str">
        <x:v>2025-05-02 06:30:00-05:00</x:v>
      </x:c>
      <x:c r="AG392" s="6" t="str">
        <x:v>Short</x:v>
      </x:c>
      <x:c r="AH392" s="6" t="str">
        <x:v>18470.0</x:v>
      </x:c>
      <x:c r="AI392" s="8" t="str">
        <x:v>0</x:v>
      </x:c>
      <x:c r="AJ392" s="6" t="str">
        <x:v>True</x:v>
      </x:c>
      <x:c r="AK392" s="6" t="str">
        <x:v>Same-bar Setup+BOS</x:v>
      </x:c>
      <x:c r="AL392" s="9" t="str">
        <x:v>1.0469428935439782</x:v>
      </x:c>
      <x:c r="AM392" s="9" t="str">
        <x:v>0.664950216169824</x:v>
      </x:c>
      <x:c r="AN392" s="9" t="str">
        <x:v>1.0893865243633285</x:v>
      </x:c>
      <x:c r="AO392" s="9" t="str">
        <x:v>1.4855270786772663</x:v>
      </x:c>
      <x:c r="AP392" s="10" t="str">
        <x:v>0.7333333333333333</x:v>
      </x:c>
      <x:c r="AQ392" s="6" t="str">
        <x:v>0.13333333333333333</x:v>
      </x:c>
      <x:c r="AR392" s="6" t="str">
        <x:v>0.13333333333333333</x:v>
      </x:c>
      <x:c r="AS392" s="6" t="str">
        <x:v>With trade</x:v>
      </x:c>
      <x:c r="AT392" s="6" t="str">
        <x:v>1.7845117845117844</x:v>
      </x:c>
      <x:c r="AU392" s="7" t="str">
        <x:v>2025-05-02 06:40:00-05:00</x:v>
      </x:c>
      <x:c r="AV392" s="8" t="str">
        <x:v>2</x:v>
      </x:c>
      <x:c r="AW392" s="6" t="str">
        <x:v>Delayed retest (2+ bars)</x:v>
      </x:c>
      <x:c r="AX392" s="6" t="str">
        <x:v>18471.0</x:v>
      </x:c>
      <x:c r="AY392" s="6" t="str">
        <x:v>1.0</x:v>
      </x:c>
      <x:c r="AZ392" s="9" t="str">
        <x:v>0.057769159214118904</x:v>
      </x:c>
      <x:c r="BA392" s="9" t="str">
        <x:v>0.10109602862470808</x:v>
      </x:c>
      <x:c r="BB392" s="9" t="str">
        <x:v>0.7654413595870755</x:v>
      </x:c>
      <x:c r="BC392" s="9" t="str">
        <x:v>0.5343647227305999</x:v>
      </x:c>
      <x:c r="BD392" s="6" t="str">
        <x:v>0.20754716981132076</x:v>
      </x:c>
      <x:c r="BE392" s="6" t="str">
        <x:v>0.09433962264150944</x:v>
      </x:c>
      <x:c r="BF392" s="9" t="str">
        <x:v>0.15886518783882697</x:v>
      </x:c>
      <x:c r="BG392" s="9" t="str">
        <x:v>0.07221144901764863</x:v>
      </x:c>
      <x:c r="BH392" s="6" t="str">
        <x:v>Against trade</x:v>
      </x:c>
      <x:c r="BI392" s="6" t="str">
        <x:v>Penetration + same-bar reclaim</x:v>
      </x:c>
      <x:c r="BJ392" s="6" t="str">
        <x:v>False</x:v>
      </x:c>
      <x:c r="BK392" s="10" t="str">
        <x:v>True</x:v>
      </x:c>
      <x:c r="BL392" s="6" t="str">
        <x:v>True</x:v>
      </x:c>
      <x:c r="BM392" s="7" t="str">
        <x:v>2025-05-02 06:45:00-05:00</x:v>
      </x:c>
      <x:c r="BN392" s="8" t="str">
        <x:v>1</x:v>
      </x:c>
      <x:c r="BO392" s="6" t="str">
        <x:v>Immediate confirmation (1 bar)</x:v>
      </x:c>
      <x:c r="BP392" s="9" t="str">
        <x:v>0.3645323478904394</x:v>
      </x:c>
      <x:c r="BQ392" s="9" t="str">
        <x:v>0.8748776349370546</x:v>
      </x:c>
      <x:c r="BR392" s="10" t="str">
        <x:v>0.4166666666666667</x:v>
      </x:c>
      <x:c r="BS392" s="9" t="str">
        <x:v>0.40827622963729215</x:v>
      </x:c>
      <x:c r="BT392" s="9" t="str">
        <x:v>0.3062071722279691</x:v>
      </x:c>
      <x:c r="BU392" s="9" t="str">
        <x:v>0.20413811481864608</x:v>
      </x:c>
      <x:c r="BV392" s="6" t="str">
        <x:v>With trade</x:v>
      </x:c>
      <x:c r="BW392" s="7" t="str">
        <x:v>2025-05-02 06:45:00-05:00</x:v>
      </x:c>
      <x:c r="BX392" s="6" t="str">
        <x:v>18463.0</x:v>
      </x:c>
      <x:c r="BY392" s="9" t="str">
        <x:v>17.14525483449947</x:v>
      </x:c>
      <x:c r="BZ392" s="9" t="str">
        <x:v>0.5</x:v>
      </x:c>
      <x:c r="CA392" s="6" t="str">
        <x:v>18488.71788225175</x:v>
      </x:c>
      <x:c r="CB392" s="6" t="str">
        <x:v>25.71788225174896</x:v>
      </x:c>
      <x:c r="CC392" s="9" t="str">
        <x:v>1.4999999999999856</x:v>
      </x:c>
      <x:c r="CD392" s="6" t="str">
        <x:v>18411.564235496502</x:v>
      </x:c>
      <x:c r="CE392" s="6" t="str">
        <x:v>51.43576450349792</x:v>
      </x:c>
      <x:c r="CF392" s="6" t="str">
        <x:v>Fixed 2.00R target</x:v>
      </x:c>
      <x:c r="CG392" s="9" t="str">
        <x:v>0.028190501570194253</x:v>
      </x:c>
      <x:c r="CH392" s="9" t="str">
        <x:v>-1.0</x:v>
      </x:c>
      <x:c r="CI392" s="9" t="str">
        <x:v>-1.0281905015701942</x:v>
      </x:c>
      <x:c r="CJ392" s="6" t="str">
        <x:v>Loss</x:v>
      </x:c>
      <x:c r="CK392" s="9" t="str">
        <x:v>0.34995105397482523</x:v>
      </x:c>
      <x:c r="CL392" s="9" t="str">
        <x:v>1.030411436703652</x:v>
      </x:c>
      <x:c r="CM392" s="7" t="str">
        <x:v>2025-05-02 07:25:00-05:00</x:v>
      </x:c>
      <x:c r="CN392" s="6" t="str">
        <x:v>18488.71788225175</x:v>
      </x:c>
      <x:c r="CO392" s="6" t="str">
        <x:v>STOP</x:v>
      </x:c>
      <x:c r="CP392" s="6" t="str">
        <x:v>F::Short::Same-bar Setup+BOS::Penetration + same-bar reclaim</x:v>
      </x:c>
    </x:row>
    <x:row r="393" ht="18" customHeight="1">
      <x:c r="A393" s="6" t="str">
        <x:v>A0392</x:v>
      </x:c>
      <x:c r="B393" s="6" t="str">
        <x:v>2025-05-02</x:v>
      </x:c>
      <x:c r="C393" s="6" t="str">
        <x:v>2025</x:v>
      </x:c>
      <x:c r="D393" s="6" t="str">
        <x:v>2025-Q2</x:v>
      </x:c>
      <x:c r="E393" s="6" t="str">
        <x:v>Second 50%</x:v>
      </x:c>
      <x:c r="F393" s="6" t="str">
        <x:v>Long</x:v>
      </x:c>
      <x:c r="G393" s="6" t="str">
        <x:v>Long</x:v>
      </x:c>
      <x:c r="H393" s="6" t="str">
        <x:v>Morning</x:v>
      </x:c>
      <x:c r="I393" s="6" t="str">
        <x:v>Morning</x:v>
      </x:c>
      <x:c r="J393" s="6" t="str">
        <x:v>Bull</x:v>
      </x:c>
      <x:c r="K393" s="6" t="str">
        <x:v>Bull</x:v>
      </x:c>
      <x:c r="L393" s="6" t="str">
        <x:v>HIGH</x:v>
      </x:c>
      <x:c r="M393" s="7" t="str">
        <x:v>2025-05-02 10:55:00-05:00</x:v>
      </x:c>
      <x:c r="N393" s="6" t="str">
        <x:v>75.0</x:v>
      </x:c>
      <x:c r="O393" s="6" t="str">
        <x:v>75-79</x:v>
      </x:c>
      <x:c r="P393" s="6" t="str">
        <x:v>Matching BOS only</x:v>
      </x:c>
      <x:c r="Q393" s="6" t="str">
        <x:v>Bull BOS</x:v>
      </x:c>
      <x:c r="R393" s="6" t="str">
        <x:v>True</x:v>
      </x:c>
      <x:c r="S393" s="6" t="str">
        <x:v>False</x:v>
      </x:c>
      <x:c r="T393" s="6" t="str">
        <x:v>No recent matching sweep</x:v>
      </x:c>
      <x:c r="U393" s="6" t="str">
        <x:v>None</x:v>
      </x:c>
      <x:c r="V393" s="6" t="str">
        <x:v>None</x:v>
      </x:c>
      <x:c r="W393" s="6" t="str">
        <x:v>[]</x:v>
      </x:c>
      <x:c r="X393" s="8" t="str">
        <x:v>0</x:v>
      </x:c>
      <x:c r="Y393" s="8" t="str"/>
      <x:c r="Z393" s="6" t="str">
        <x:v>None</x:v>
      </x:c>
      <x:c r="AA393" s="6" t="str">
        <x:v>18739.5</x:v>
      </x:c>
      <x:c r="AB393" s="9" t="str">
        <x:v>0.08903022808548214</x:v>
      </x:c>
      <x:c r="AC393" s="9" t="str">
        <x:v>0.7608037672759383</x:v>
      </x:c>
      <x:c r="AD393" s="9" t="str">
        <x:v>1.0764563941244658</x:v>
      </x:c>
      <x:c r="AE393" s="6" t="str">
        <x:v>With trade</x:v>
      </x:c>
      <x:c r="AF393" s="7" t="str">
        <x:v>2025-05-02 10:55:00-05:00</x:v>
      </x:c>
      <x:c r="AG393" s="6" t="str">
        <x:v>Long</x:v>
      </x:c>
      <x:c r="AH393" s="6" t="str">
        <x:v>18739.5</x:v>
      </x:c>
      <x:c r="AI393" s="8" t="str">
        <x:v>0</x:v>
      </x:c>
      <x:c r="AJ393" s="6" t="str">
        <x:v>True</x:v>
      </x:c>
      <x:c r="AK393" s="6" t="str">
        <x:v>Same-bar Setup+BOS</x:v>
      </x:c>
      <x:c r="AL393" s="9" t="str">
        <x:v>0.7769910814732988</x:v>
      </x:c>
      <x:c r="AM393" s="9" t="str">
        <x:v>0.08903022808548214</x:v>
      </x:c>
      <x:c r="AN393" s="9" t="str">
        <x:v>0.7608037672759383</x:v>
      </x:c>
      <x:c r="AO393" s="9" t="str">
        <x:v>1.0764563941244658</x:v>
      </x:c>
      <x:c r="AP393" s="10" t="str">
        <x:v>0.706766917293233</x:v>
      </x:c>
      <x:c r="AQ393" s="6" t="str">
        <x:v>0.2781954887218045</x:v>
      </x:c>
      <x:c r="AR393" s="6" t="str">
        <x:v>0.015037593984962405</x:v>
      </x:c>
      <x:c r="AS393" s="6" t="str">
        <x:v>With trade</x:v>
      </x:c>
      <x:c r="AT393" s="6" t="str">
        <x:v>0.7852094758862441</x:v>
      </x:c>
      <x:c r="AU393" s="7" t="str">
        <x:v>2025-05-02 11:00:00-05:00</x:v>
      </x:c>
      <x:c r="AV393" s="8" t="str">
        <x:v>1</x:v>
      </x:c>
      <x:c r="AW393" s="6" t="str">
        <x:v>Immediate retest (1 bar)</x:v>
      </x:c>
      <x:c r="AX393" s="6" t="str">
        <x:v>18736.5</x:v>
      </x:c>
      <x:c r="AY393" s="6" t="str">
        <x:v>3.0</x:v>
      </x:c>
      <x:c r="AZ393" s="9" t="str">
        <x:v>0.09016764536947526</x:v>
      </x:c>
      <x:c r="BA393" s="9" t="str">
        <x:v>1.4577102668065167</x:v>
      </x:c>
      <x:c r="BB393" s="9" t="str">
        <x:v>1.9310904049962618</x:v>
      </x:c>
      <x:c r="BC393" s="9" t="str">
        <x:v>1.3975985032268665</x:v>
      </x:c>
      <x:c r="BD393" s="6" t="str">
        <x:v>0.19844357976653695</x:v>
      </x:c>
      <x:c r="BE393" s="6" t="str">
        <x:v>0.07782101167315175</x:v>
      </x:c>
      <x:c r="BF393" s="9" t="str">
        <x:v>0.15027940894912545</x:v>
      </x:c>
      <x:c r="BG393" s="9" t="str">
        <x:v>0.38321249282026987</x:v>
      </x:c>
      <x:c r="BH393" s="6" t="str">
        <x:v>With trade</x:v>
      </x:c>
      <x:c r="BI393" s="6" t="str">
        <x:v>Penetration + same-bar reclaim</x:v>
      </x:c>
      <x:c r="BJ393" s="6" t="str">
        <x:v>False</x:v>
      </x:c>
      <x:c r="BK393" s="10" t="str">
        <x:v>True</x:v>
      </x:c>
      <x:c r="BL393" s="6" t="str">
        <x:v>True</x:v>
      </x:c>
      <x:c r="BM393" s="7" t="str">
        <x:v>2025-05-02 11:10:00-05:00</x:v>
      </x:c>
      <x:c r="BN393" s="8" t="str">
        <x:v>2</x:v>
      </x:c>
      <x:c r="BO393" s="6" t="str">
        <x:v>Delayed confirmation (2+ bars)</x:v>
      </x:c>
      <x:c r="BP393" s="9" t="str">
        <x:v>0.7615155231321059</x:v>
      </x:c>
      <x:c r="BQ393" s="9" t="str">
        <x:v>1.2644031327476477</x:v>
      </x:c>
      <x:c r="BR393" s="10" t="str">
        <x:v>0.6022727272727273</x:v>
      </x:c>
      <x:c r="BS393" s="9" t="str">
        <x:v>1.6307926768961136</x:v>
      </x:c>
      <x:c r="BT393" s="9" t="str">
        <x:v>0.23707558739018392</x:v>
      </x:c>
      <x:c r="BU393" s="9" t="str">
        <x:v>0.35202132673087916</x:v>
      </x:c>
      <x:c r="BV393" s="6" t="str">
        <x:v>With trade</x:v>
      </x:c>
      <x:c r="BW393" s="7" t="str">
        <x:v>2025-05-02 11:10:00-05:00</x:v>
      </x:c>
      <x:c r="BX393" s="6" t="str">
        <x:v>18796.25</x:v>
      </x:c>
      <x:c r="BY393" s="9" t="str">
        <x:v>34.79902798436171</x:v>
      </x:c>
      <x:c r="BZ393" s="9" t="str">
        <x:v>0.83</x:v>
      </x:c>
      <x:c r="CA393" s="6" t="str">
        <x:v>18744.051458023456</x:v>
      </x:c>
      <x:c r="CB393" s="6" t="str">
        <x:v>52.19854197654422</x:v>
      </x:c>
      <x:c r="CC393" s="9" t="str">
        <x:v>1.5000000000000477</x:v>
      </x:c>
      <x:c r="CD393" s="6" t="str">
        <x:v>18900.647083953085</x:v>
      </x:c>
      <x:c r="CE393" s="6" t="str">
        <x:v>104.3970839530848</x:v>
      </x:c>
      <x:c r="CF393" s="6" t="str">
        <x:v>Fixed 2.00R target</x:v>
      </x:c>
      <x:c r="CG393" s="9" t="str">
        <x:v>0.013889276837000234</x:v>
      </x:c>
      <x:c r="CH393" s="9" t="str">
        <x:v>-0.6800956244324469</x:v>
      </x:c>
      <x:c r="CI393" s="9" t="str">
        <x:v>-0.6939849012694471</x:v>
      </x:c>
      <x:c r="CJ393" s="6" t="str">
        <x:v>Loss</x:v>
      </x:c>
      <x:c r="CK393" s="9" t="str">
        <x:v>0.2729961309341425</x:v>
      </x:c>
      <x:c r="CL393" s="9" t="str">
        <x:v>0.9099871031138084</x:v>
      </x:c>
      <x:c r="CM393" s="7" t="str">
        <x:v>2025-05-02 12:10:00-05:00</x:v>
      </x:c>
      <x:c r="CN393" s="6" t="str">
        <x:v>18760.75</x:v>
      </x:c>
      <x:c r="CO393" s="6" t="str">
        <x:v>TIME</x:v>
      </x:c>
      <x:c r="CP393" s="6" t="str">
        <x:v>F::Long::Same-bar Setup+BOS::Penetration + same-bar reclaim</x:v>
      </x:c>
    </x:row>
    <x:row r="394" ht="18" customHeight="1">
      <x:c r="A394" s="6" t="str">
        <x:v>A0393</x:v>
      </x:c>
      <x:c r="B394" s="6" t="str">
        <x:v>2025-05-07</x:v>
      </x:c>
      <x:c r="C394" s="6" t="str">
        <x:v>2025</x:v>
      </x:c>
      <x:c r="D394" s="6" t="str">
        <x:v>2025-Q2</x:v>
      </x:c>
      <x:c r="E394" s="6" t="str">
        <x:v>Second 50%</x:v>
      </x:c>
      <x:c r="F394" s="6" t="str">
        <x:v>Long</x:v>
      </x:c>
      <x:c r="G394" s="6" t="str">
        <x:v>Long</x:v>
      </x:c>
      <x:c r="H394" s="6" t="str">
        <x:v>Premarket</x:v>
      </x:c>
      <x:c r="I394" s="6" t="str">
        <x:v>Premarket</x:v>
      </x:c>
      <x:c r="J394" s="6" t="str">
        <x:v>Bull</x:v>
      </x:c>
      <x:c r="K394" s="6" t="str">
        <x:v>Bull</x:v>
      </x:c>
      <x:c r="L394" s="6" t="str">
        <x:v>MID</x:v>
      </x:c>
      <x:c r="M394" s="7" t="str">
        <x:v>2025-05-07 06:00:00-05:00</x:v>
      </x:c>
      <x:c r="N394" s="6" t="str">
        <x:v>90.0</x:v>
      </x:c>
      <x:c r="O394" s="6" t="str">
        <x:v>90-94</x:v>
      </x:c>
      <x:c r="P394" s="6" t="str">
        <x:v>Matching BOS only</x:v>
      </x:c>
      <x:c r="Q394" s="6" t="str">
        <x:v>Bull BOS</x:v>
      </x:c>
      <x:c r="R394" s="6" t="str">
        <x:v>True</x:v>
      </x:c>
      <x:c r="S394" s="6" t="str">
        <x:v>False</x:v>
      </x:c>
      <x:c r="T394" s="6" t="str">
        <x:v>Recent SSL</x:v>
      </x:c>
      <x:c r="U394" s="6" t="str">
        <x:v>SSL</x:v>
      </x:c>
      <x:c r="V394" s="6" t="str">
        <x:v>Swing low / sell-side</x:v>
      </x:c>
      <x:c r="W394" s="6" t="str">
        <x:v>[18514.0]</x:v>
      </x:c>
      <x:c r="X394" s="8" t="str">
        <x:v>1</x:v>
      </x:c>
      <x:c r="Y394" s="8" t="str">
        <x:v>12.0</x:v>
      </x:c>
      <x:c r="Z394" s="6" t="str">
        <x:v>None</x:v>
      </x:c>
      <x:c r="AA394" s="6" t="str">
        <x:v>18547.0</x:v>
      </x:c>
      <x:c r="AB394" s="9" t="str">
        <x:v>0.43466197540611223</x:v>
      </x:c>
      <x:c r="AC394" s="9" t="str">
        <x:v>0.7566338090402694</x:v>
      </x:c>
      <x:c r="AD394" s="9" t="str">
        <x:v>1.6098591681707861</x:v>
      </x:c>
      <x:c r="AE394" s="6" t="str">
        <x:v>With trade</x:v>
      </x:c>
      <x:c r="AF394" s="7" t="str">
        <x:v>2025-05-07 06:00:00-05:00</x:v>
      </x:c>
      <x:c r="AG394" s="6" t="str">
        <x:v>Long</x:v>
      </x:c>
      <x:c r="AH394" s="6" t="str">
        <x:v>18547.0</x:v>
      </x:c>
      <x:c r="AI394" s="8" t="str">
        <x:v>0</x:v>
      </x:c>
      <x:c r="AJ394" s="6" t="str">
        <x:v>True</x:v>
      </x:c>
      <x:c r="AK394" s="6" t="str">
        <x:v>Same-bar Setup+BOS</x:v>
      </x:c>
      <x:c r="AL394" s="9" t="str">
        <x:v>0.8371267674488088</x:v>
      </x:c>
      <x:c r="AM394" s="9" t="str">
        <x:v>0.43466197540611223</x:v>
      </x:c>
      <x:c r="AN394" s="9" t="str">
        <x:v>0.7566338090402694</x:v>
      </x:c>
      <x:c r="AO394" s="9" t="str">
        <x:v>1.6098591681707861</x:v>
      </x:c>
      <x:c r="AP394" s="10" t="str">
        <x:v>0.47</x:v>
      </x:c>
      <x:c r="AQ394" s="6" t="str">
        <x:v>0.27</x:v>
      </x:c>
      <x:c r="AR394" s="6" t="str">
        <x:v>0.26</x:v>
      </x:c>
      <x:c r="AS394" s="6" t="str">
        <x:v>With trade</x:v>
      </x:c>
      <x:c r="AT394" s="6" t="str">
        <x:v>1.4642060433989048</x:v>
      </x:c>
      <x:c r="AU394" s="7" t="str">
        <x:v>2025-05-07 06:05:00-05:00</x:v>
      </x:c>
      <x:c r="AV394" s="8" t="str">
        <x:v>1</x:v>
      </x:c>
      <x:c r="AW394" s="6" t="str">
        <x:v>Immediate retest (1 bar)</x:v>
      </x:c>
      <x:c r="AX394" s="6" t="str">
        <x:v>18548.5</x:v>
      </x:c>
      <x:c r="AY394" s="6" t="str">
        <x:v>0.0</x:v>
      </x:c>
      <x:c r="AZ394" s="9" t="str">
        <x:v>0.0</x:v>
      </x:c>
      <x:c r="BA394" s="9" t="str">
        <x:v>0.5490039154971255</x:v>
      </x:c>
      <x:c r="BB394" s="9" t="str">
        <x:v>0.5656403977849171</x:v>
      </x:c>
      <x:c r="BC394" s="9" t="str">
        <x:v>0.03327296457558336</x:v>
      </x:c>
      <x:c r="BD394" s="6" t="str">
        <x:v>0.20588235294117646</x:v>
      </x:c>
      <x:c r="BE394" s="6" t="str">
        <x:v>0.7352941176470589</x:v>
      </x:c>
      <x:c r="BF394" s="9" t="str">
        <x:v>0.4159120571947921</x:v>
      </x:c>
      <x:c r="BG394" s="9" t="str">
        <x:v>0.11645537601454177</x:v>
      </x:c>
      <x:c r="BH394" s="6" t="str">
        <x:v>With trade</x:v>
      </x:c>
      <x:c r="BI394" s="6" t="str">
        <x:v>Tolerance-only shallow touch</x:v>
      </x:c>
      <x:c r="BJ394" s="6" t="str">
        <x:v>True</x:v>
      </x:c>
      <x:c r="BK394" s="10" t="str">
        <x:v>False</x:v>
      </x:c>
      <x:c r="BL394" s="6" t="str">
        <x:v>True</x:v>
      </x:c>
      <x:c r="BM394" s="7" t="str">
        <x:v>2025-05-07 06:10:00-05:00</x:v>
      </x:c>
      <x:c r="BN394" s="8" t="str">
        <x:v>1</x:v>
      </x:c>
      <x:c r="BO394" s="6" t="str">
        <x:v>Immediate confirmation (1 bar)</x:v>
      </x:c>
      <x:c r="BP394" s="9" t="str">
        <x:v>0.3359669978545394</x:v>
      </x:c>
      <x:c r="BQ394" s="9" t="str">
        <x:v>0.8735141944218024</x:v>
      </x:c>
      <x:c r="BR394" s="10" t="str">
        <x:v>0.38461538461538464</x:v>
      </x:c>
      <x:c r="BS394" s="9" t="str">
        <x:v>0.8567158445290755</x:v>
      </x:c>
      <x:c r="BT394" s="9" t="str">
        <x:v>0.30237029806908544</x:v>
      </x:c>
      <x:c r="BU394" s="9" t="str">
        <x:v>0.05039504967818091</x:v>
      </x:c>
      <x:c r="BV394" s="6" t="str">
        <x:v>With trade</x:v>
      </x:c>
      <x:c r="BW394" s="7" t="str">
        <x:v>2025-05-07 06:10:00-05:00</x:v>
      </x:c>
      <x:c r="BX394" s="6" t="str">
        <x:v>18559.75</x:v>
      </x:c>
      <x:c r="BY394" s="9" t="str">
        <x:v>14.882414141655678</x:v>
      </x:c>
      <x:c r="BZ394" s="9" t="str">
        <x:v>0.57</x:v>
      </x:c>
      <x:c r="CA394" s="6" t="str">
        <x:v>18537.426378787517</x:v>
      </x:c>
      <x:c r="CB394" s="6" t="str">
        <x:v>22.323621212482976</x:v>
      </x:c>
      <x:c r="CC394" s="9" t="str">
        <x:v>1.4999999999999636</x:v>
      </x:c>
      <x:c r="CD394" s="6" t="str">
        <x:v>18604.397242424966</x:v>
      </x:c>
      <x:c r="CE394" s="6" t="str">
        <x:v>44.64724242496595</x:v>
      </x:c>
      <x:c r="CF394" s="6" t="str">
        <x:v>Fixed 2.00R target</x:v>
      </x:c>
      <x:c r="CG394" s="9" t="str">
        <x:v>0.03247680979260626</x:v>
      </x:c>
      <x:c r="CH394" s="9" t="str">
        <x:v>-1.0</x:v>
      </x:c>
      <x:c r="CI394" s="9" t="str">
        <x:v>-1.0324768097926063</x:v>
      </x:c>
      <x:c r="CJ394" s="6" t="str">
        <x:v>Loss</x:v>
      </x:c>
      <x:c r="CK394" s="9" t="str">
        <x:v>0.6719339957090951</x:v>
      </x:c>
      <x:c r="CL394" s="9" t="str">
        <x:v>1.1198899928484918</x:v>
      </x:c>
      <x:c r="CM394" s="7" t="str">
        <x:v>2025-05-07 06:35:00-05:00</x:v>
      </x:c>
      <x:c r="CN394" s="6" t="str">
        <x:v>18537.426378787517</x:v>
      </x:c>
      <x:c r="CO394" s="6" t="str">
        <x:v>STOP</x:v>
      </x:c>
      <x:c r="CP394" s="6" t="str">
        <x:v>F::Long::Same-bar Setup+BOS::Tolerance-only shallow touch</x:v>
      </x:c>
    </x:row>
    <x:row r="395" ht="18" customHeight="1">
      <x:c r="A395" s="6" t="str">
        <x:v>A0394</x:v>
      </x:c>
      <x:c r="B395" s="6" t="str">
        <x:v>2025-05-07</x:v>
      </x:c>
      <x:c r="C395" s="6" t="str">
        <x:v>2025</x:v>
      </x:c>
      <x:c r="D395" s="6" t="str">
        <x:v>2025-Q2</x:v>
      </x:c>
      <x:c r="E395" s="6" t="str">
        <x:v>Second 50%</x:v>
      </x:c>
      <x:c r="F395" s="6" t="str">
        <x:v>Long</x:v>
      </x:c>
      <x:c r="G395" s="6" t="str">
        <x:v>Long</x:v>
      </x:c>
      <x:c r="H395" s="6" t="str">
        <x:v>Afternoon</x:v>
      </x:c>
      <x:c r="I395" s="6" t="str">
        <x:v>Afternoon</x:v>
      </x:c>
      <x:c r="J395" s="6" t="str">
        <x:v>Bear</x:v>
      </x:c>
      <x:c r="K395" s="6" t="str">
        <x:v>Bear</x:v>
      </x:c>
      <x:c r="L395" s="6" t="str">
        <x:v>HIGH</x:v>
      </x:c>
      <x:c r="M395" s="7" t="str">
        <x:v>2025-05-07 14:40:00-05:00</x:v>
      </x:c>
      <x:c r="N395" s="6" t="str">
        <x:v>75.0</x:v>
      </x:c>
      <x:c r="O395" s="6" t="str">
        <x:v>75-79</x:v>
      </x:c>
      <x:c r="P395" s="6" t="str">
        <x:v>Matching BOS only</x:v>
      </x:c>
      <x:c r="Q395" s="6" t="str">
        <x:v>Bull CHoCH</x:v>
      </x:c>
      <x:c r="R395" s="6" t="str">
        <x:v>True</x:v>
      </x:c>
      <x:c r="S395" s="6" t="str">
        <x:v>False</x:v>
      </x:c>
      <x:c r="T395" s="6" t="str">
        <x:v>No recent matching sweep</x:v>
      </x:c>
      <x:c r="U395" s="6" t="str">
        <x:v>None</x:v>
      </x:c>
      <x:c r="V395" s="6" t="str">
        <x:v>None</x:v>
      </x:c>
      <x:c r="W395" s="6" t="str">
        <x:v>[]</x:v>
      </x:c>
      <x:c r="X395" s="8" t="str">
        <x:v>0</x:v>
      </x:c>
      <x:c r="Y395" s="8" t="str"/>
      <x:c r="Z395" s="6" t="str">
        <x:v>None</x:v>
      </x:c>
      <x:c r="AA395" s="6" t="str">
        <x:v>18447.5</x:v>
      </x:c>
      <x:c r="AB395" s="9" t="str">
        <x:v>1.1826548114911506</x:v>
      </x:c>
      <x:c r="AC395" s="9" t="str">
        <x:v>2.387210638009915</x:v>
      </x:c>
      <x:c r="AD395" s="9" t="str">
        <x:v>3.55526477281599</x:v>
      </x:c>
      <x:c r="AE395" s="6" t="str">
        <x:v>With trade</x:v>
      </x:c>
      <x:c r="AF395" s="7" t="str">
        <x:v>2025-05-07 14:40:00-05:00</x:v>
      </x:c>
      <x:c r="AG395" s="6" t="str">
        <x:v>Long</x:v>
      </x:c>
      <x:c r="AH395" s="6" t="str">
        <x:v>18447.5</x:v>
      </x:c>
      <x:c r="AI395" s="8" t="str">
        <x:v>0</x:v>
      </x:c>
      <x:c r="AJ395" s="6" t="str">
        <x:v>True</x:v>
      </x:c>
      <x:c r="AK395" s="6" t="str">
        <x:v>Same-bar Setup+BOS</x:v>
      </x:c>
      <x:c r="AL395" s="9" t="str">
        <x:v>2.387210638009915</x:v>
      </x:c>
      <x:c r="AM395" s="9" t="str">
        <x:v>1.1826548114911506</x:v>
      </x:c>
      <x:c r="AN395" s="9" t="str">
        <x:v>2.387210638009915</x:v>
      </x:c>
      <x:c r="AO395" s="9" t="str">
        <x:v>3.55526477281599</x:v>
      </x:c>
      <x:c r="AP395" s="10" t="str">
        <x:v>0.6714579055441479</x:v>
      </x:c>
      <x:c r="AQ395" s="6" t="str">
        <x:v>0.28542094455852157</x:v>
      </x:c>
      <x:c r="AR395" s="6" t="str">
        <x:v>0.043121149897330596</x:v>
      </x:c>
      <x:c r="AS395" s="6" t="str">
        <x:v>With trade</x:v>
      </x:c>
      <x:c r="AT395" s="6" t="str">
        <x:v>2.9233935513377545</x:v>
      </x:c>
      <x:c r="AU395" s="7" t="str">
        <x:v>2025-05-07 14:45:00-05:00</x:v>
      </x:c>
      <x:c r="AV395" s="8" t="str">
        <x:v>1</x:v>
      </x:c>
      <x:c r="AW395" s="6" t="str">
        <x:v>Immediate retest (1 bar)</x:v>
      </x:c>
      <x:c r="AX395" s="6" t="str">
        <x:v>18449.5</x:v>
      </x:c>
      <x:c r="AY395" s="6" t="str">
        <x:v>0.0</x:v>
      </x:c>
      <x:c r="AZ395" s="9" t="str">
        <x:v>0.0</x:v>
      </x:c>
      <x:c r="BA395" s="9" t="str">
        <x:v>0.15492519107401803</x:v>
      </x:c>
      <x:c r="BB395" s="9" t="str">
        <x:v>1.738604922052869</x:v>
      </x:c>
      <x:c r="BC395" s="9" t="str">
        <x:v>0.9639789666827788</x:v>
      </x:c>
      <x:c r="BD395" s="6" t="str">
        <x:v>0.3722772277227723</x:v>
      </x:c>
      <x:c r="BE395" s="6" t="str">
        <x:v>0.07326732673267326</x:v>
      </x:c>
      <x:c r="BF395" s="9" t="str">
        <x:v>0.12738293488308147</x:v>
      </x:c>
      <x:c r="BG395" s="9" t="str">
        <x:v>0.6472430204870087</x:v>
      </x:c>
      <x:c r="BH395" s="6" t="str">
        <x:v>Against trade</x:v>
      </x:c>
      <x:c r="BI395" s="6" t="str">
        <x:v>Tolerance-only shallow touch</x:v>
      </x:c>
      <x:c r="BJ395" s="6" t="str">
        <x:v>True</x:v>
      </x:c>
      <x:c r="BK395" s="10" t="str">
        <x:v>False</x:v>
      </x:c>
      <x:c r="BL395" s="6" t="str">
        <x:v>True</x:v>
      </x:c>
      <x:c r="BM395" s="7" t="str">
        <x:v>2025-05-07 14:55:00-05:00</x:v>
      </x:c>
      <x:c r="BN395" s="8" t="str">
        <x:v>2</x:v>
      </x:c>
      <x:c r="BO395" s="6" t="str">
        <x:v>Delayed confirmation (2+ bars)</x:v>
      </x:c>
      <x:c r="BP395" s="9" t="str">
        <x:v>0.64141582753667</x:v>
      </x:c>
      <x:c r="BQ395" s="9" t="str">
        <x:v>1.0890706238383043</x:v>
      </x:c>
      <x:c r="BR395" s="10" t="str">
        <x:v>0.588957055214724</x:v>
      </x:c>
      <x:c r="BS395" s="9" t="str">
        <x:v>0.6180308754910623</x:v>
      </x:c>
      <x:c r="BT395" s="9" t="str">
        <x:v>0.4676990409121552</x:v>
      </x:c>
      <x:c r="BU395" s="9" t="str">
        <x:v>0.10690263792277833</x:v>
      </x:c>
      <x:c r="BV395" s="6" t="str">
        <x:v>With trade</x:v>
      </x:c>
      <x:c r="BW395" s="7" t="str">
        <x:v>2025-05-07 14:55:00-05:00</x:v>
      </x:c>
      <x:c r="BX395" s="6" t="str">
        <x:v>18493.75</x:v>
      </x:c>
      <x:c r="BY395" s="9" t="str">
        <x:v>74.83444894763814</x:v>
      </x:c>
      <x:c r="BZ395" s="9" t="str">
        <x:v>1.0</x:v>
      </x:c>
      <x:c r="CA395" s="6" t="str">
        <x:v>18381.49832657854</x:v>
      </x:c>
      <x:c r="CB395" s="6" t="str">
        <x:v>112.25167342145869</x:v>
      </x:c>
      <x:c r="CC395" s="9" t="str">
        <x:v>1.5000000000000198</x:v>
      </x:c>
      <x:c r="CD395" s="6" t="str">
        <x:v>18718.253346842914</x:v>
      </x:c>
      <x:c r="CE395" s="6" t="str">
        <x:v>224.50334684291374</x:v>
      </x:c>
      <x:c r="CF395" s="6" t="str">
        <x:v>Fixed 2.00R target</x:v>
      </x:c>
      <x:c r="CG395" s="9" t="str">
        <x:v>0.006458701041167772</x:v>
      </x:c>
      <x:c r="CH395" s="9" t="str">
        <x:v>0.0734955635719101</x:v>
      </x:c>
      <x:c r="CI395" s="9" t="str">
        <x:v>0.06703686253074233</x:v>
      </x:c>
      <x:c r="CJ395" s="6" t="str">
        <x:v>Win</x:v>
      </x:c>
      <x:c r="CK395" s="9" t="str">
        <x:v>0.4409733814314548</x:v>
      </x:c>
      <x:c r="CL395" s="9" t="str">
        <x:v>0.30066366915781007</x:v>
      </x:c>
      <x:c r="CM395" s="7" t="str">
        <x:v>2025-05-07 15:55:00-05:00</x:v>
      </x:c>
      <x:c r="CN395" s="6" t="str">
        <x:v>18502.0</x:v>
      </x:c>
      <x:c r="CO395" s="6" t="str">
        <x:v>TIME</x:v>
      </x:c>
      <x:c r="CP395" s="6" t="str">
        <x:v>F::Long::Same-bar Setup+BOS::Tolerance-only shallow touch</x:v>
      </x:c>
    </x:row>
    <x:row r="396" ht="18" customHeight="1">
      <x:c r="A396" s="6" t="str">
        <x:v>A0395</x:v>
      </x:c>
      <x:c r="B396" s="6" t="str">
        <x:v>2025-05-09</x:v>
      </x:c>
      <x:c r="C396" s="6" t="str">
        <x:v>2025</x:v>
      </x:c>
      <x:c r="D396" s="6" t="str">
        <x:v>2025-Q2</x:v>
      </x:c>
      <x:c r="E396" s="6" t="str">
        <x:v>Second 50%</x:v>
      </x:c>
      <x:c r="F396" s="6" t="str">
        <x:v>Short</x:v>
      </x:c>
      <x:c r="G396" s="6" t="str">
        <x:v>Short</x:v>
      </x:c>
      <x:c r="H396" s="6" t="str">
        <x:v>Overnight</x:v>
      </x:c>
      <x:c r="I396" s="6" t="str">
        <x:v>Overnight</x:v>
      </x:c>
      <x:c r="J396" s="6" t="str">
        <x:v>Bull</x:v>
      </x:c>
      <x:c r="K396" s="6" t="str">
        <x:v>Bull</x:v>
      </x:c>
      <x:c r="L396" s="6" t="str">
        <x:v>LOW</x:v>
      </x:c>
      <x:c r="M396" s="7" t="str">
        <x:v>2025-05-09 00:15:00-05:00</x:v>
      </x:c>
      <x:c r="N396" s="6" t="str">
        <x:v>90.0</x:v>
      </x:c>
      <x:c r="O396" s="6" t="str">
        <x:v>90-94</x:v>
      </x:c>
      <x:c r="P396" s="6" t="str">
        <x:v>Matching BOS only</x:v>
      </x:c>
      <x:c r="Q396" s="6" t="str">
        <x:v>Bear CHoCH</x:v>
      </x:c>
      <x:c r="R396" s="6" t="str">
        <x:v>True</x:v>
      </x:c>
      <x:c r="S396" s="6" t="str">
        <x:v>False</x:v>
      </x:c>
      <x:c r="T396" s="6" t="str">
        <x:v>Recent BSL</x:v>
      </x:c>
      <x:c r="U396" s="6" t="str">
        <x:v>BSL</x:v>
      </x:c>
      <x:c r="V396" s="6" t="str">
        <x:v>Swing high / buy-side</x:v>
      </x:c>
      <x:c r="W396" s="6" t="str">
        <x:v>[18736.5]</x:v>
      </x:c>
      <x:c r="X396" s="8" t="str">
        <x:v>1</x:v>
      </x:c>
      <x:c r="Y396" s="8" t="str">
        <x:v>6.0</x:v>
      </x:c>
      <x:c r="Z396" s="6" t="str">
        <x:v>Sweep above CRT reference</x:v>
      </x:c>
      <x:c r="AA396" s="6" t="str">
        <x:v>18714.75</x:v>
      </x:c>
      <x:c r="AB396" s="9" t="str">
        <x:v>0.08710197940785905</x:v>
      </x:c>
      <x:c r="AC396" s="9" t="str">
        <x:v>0.5226118764471542</x:v>
      </x:c>
      <x:c r="AD396" s="9" t="str">
        <x:v>1.9597945366768286</x:v>
      </x:c>
      <x:c r="AE396" s="6" t="str">
        <x:v>With trade</x:v>
      </x:c>
      <x:c r="AF396" s="7" t="str">
        <x:v>2025-05-09 00:15:00-05:00</x:v>
      </x:c>
      <x:c r="AG396" s="6" t="str">
        <x:v>Short</x:v>
      </x:c>
      <x:c r="AH396" s="6" t="str">
        <x:v>18714.75</x:v>
      </x:c>
      <x:c r="AI396" s="8" t="str">
        <x:v>0</x:v>
      </x:c>
      <x:c r="AJ396" s="6" t="str">
        <x:v>True</x:v>
      </x:c>
      <x:c r="AK396" s="6" t="str">
        <x:v>Same-bar Setup+BOS</x:v>
      </x:c>
      <x:c r="AL396" s="9" t="str">
        <x:v>0.5661628661510838</x:v>
      </x:c>
      <x:c r="AM396" s="9" t="str">
        <x:v>0.08710197940785905</x:v>
      </x:c>
      <x:c r="AN396" s="9" t="str">
        <x:v>0.5226118764471542</x:v>
      </x:c>
      <x:c r="AO396" s="9" t="str">
        <x:v>1.9597945366768286</x:v>
      </x:c>
      <x:c r="AP396" s="10" t="str">
        <x:v>0.26666666666666666</x:v>
      </x:c>
      <x:c r="AQ396" s="6" t="str">
        <x:v>0.5888888888888889</x:v>
      </x:c>
      <x:c r="AR396" s="6" t="str">
        <x:v>0.14444444444444443</x:v>
      </x:c>
      <x:c r="AS396" s="6" t="str">
        <x:v>With trade</x:v>
      </x:c>
      <x:c r="AT396" s="6" t="str">
        <x:v>2.082555486413607</x:v>
      </x:c>
      <x:c r="AU396" s="7" t="str">
        <x:v>2025-05-09 00:20:00-05:00</x:v>
      </x:c>
      <x:c r="AV396" s="8" t="str">
        <x:v>1</x:v>
      </x:c>
      <x:c r="AW396" s="6" t="str">
        <x:v>Immediate retest (1 bar)</x:v>
      </x:c>
      <x:c r="AX396" s="6" t="str">
        <x:v>18717.5</x:v>
      </x:c>
      <x:c r="AY396" s="6" t="str">
        <x:v>2.75</x:v>
      </x:c>
      <x:c r="AZ396" s="9" t="str">
        <x:v>0.2402491009623107</x:v>
      </x:c>
      <x:c r="BA396" s="9" t="str">
        <x:v>0.08736330944084025</x:v>
      </x:c>
      <x:c r="BB396" s="9" t="str">
        <x:v>0.9609964038492428</x:v>
      </x:c>
      <x:c r="BC396" s="9" t="str">
        <x:v>0.021840827360210063</x:v>
      </x:c>
      <x:c r="BD396" s="6" t="str">
        <x:v>0.3181818181818182</x:v>
      </x:c>
      <x:c r="BE396" s="6" t="str">
        <x:v>0.6590909090909091</x:v>
      </x:c>
      <x:c r="BF396" s="9" t="str">
        <x:v>0.3057715830429409</x:v>
      </x:c>
      <x:c r="BG396" s="9" t="str">
        <x:v>0.6333839934460918</x:v>
      </x:c>
      <x:c r="BH396" s="6" t="str">
        <x:v>With trade</x:v>
      </x:c>
      <x:c r="BI396" s="6" t="str">
        <x:v>Penetration + same-bar reclaim</x:v>
      </x:c>
      <x:c r="BJ396" s="6" t="str">
        <x:v>False</x:v>
      </x:c>
      <x:c r="BK396" s="10" t="str">
        <x:v>True</x:v>
      </x:c>
      <x:c r="BL396" s="6" t="str">
        <x:v>True</x:v>
      </x:c>
      <x:c r="BM396" s="7" t="str">
        <x:v>2025-05-09 00:25:00-05:00</x:v>
      </x:c>
      <x:c r="BN396" s="8" t="str">
        <x:v>1</x:v>
      </x:c>
      <x:c r="BO396" s="6" t="str">
        <x:v>Immediate confirmation (1 bar)</x:v>
      </x:c>
      <x:c r="BP396" s="9" t="str">
        <x:v>0.4758847365732478</x:v>
      </x:c>
      <x:c r="BQ396" s="9" t="str">
        <x:v>1.1031873438743471</x:v>
      </x:c>
      <x:c r="BR396" s="10" t="str">
        <x:v>0.43137254901960786</x:v>
      </x:c>
      <x:c r="BS396" s="9" t="str">
        <x:v>0.5840403585217132</x:v>
      </x:c>
      <x:c r="BT396" s="9" t="str">
        <x:v>0.4975158609629409</x:v>
      </x:c>
      <x:c r="BU396" s="9" t="str">
        <x:v>0.0</x:v>
      </x:c>
      <x:c r="BV396" s="6" t="str">
        <x:v>With trade</x:v>
      </x:c>
      <x:c r="BW396" s="7" t="str">
        <x:v>2025-05-09 00:25:00-05:00</x:v>
      </x:c>
      <x:c r="BX396" s="6" t="str">
        <x:v>18708.0</x:v>
      </x:c>
      <x:c r="BY396" s="9" t="str">
        <x:v>11.557420478757978</x:v>
      </x:c>
      <x:c r="BZ396" s="9" t="str">
        <x:v>0.11</x:v>
      </x:c>
      <x:c r="CA396" s="6" t="str">
        <x:v>18725.336130718137</x:v>
      </x:c>
      <x:c r="CB396" s="6" t="str">
        <x:v>17.3361307181367</x:v>
      </x:c>
      <x:c r="CC396" s="9" t="str">
        <x:v>1.4999999999999771</x:v>
      </x:c>
      <x:c r="CD396" s="6" t="str">
        <x:v>18673.327738563727</x:v>
      </x:c>
      <x:c r="CE396" s="6" t="str">
        <x:v>34.6722614362734</x:v>
      </x:c>
      <x:c r="CF396" s="6" t="str">
        <x:v>Fixed 2.00R target</x:v>
      </x:c>
      <x:c r="CG396" s="9" t="str">
        <x:v>0.041820173820073935</x:v>
      </x:c>
      <x:c r="CH396" s="9" t="str">
        <x:v>-1.0</x:v>
      </x:c>
      <x:c r="CI396" s="9" t="str">
        <x:v>-1.0418201738200739</x:v>
      </x:c>
      <x:c r="CJ396" s="6" t="str">
        <x:v>Loss</x:v>
      </x:c>
      <x:c r="CK396" s="9" t="str">
        <x:v>0.0</x:v>
      </x:c>
      <x:c r="CL396" s="9" t="str">
        <x:v>1.6295447040235707</x:v>
      </x:c>
      <x:c r="CM396" s="7" t="str">
        <x:v>2025-05-09 00:30:00-05:00</x:v>
      </x:c>
      <x:c r="CN396" s="6" t="str">
        <x:v>18725.336130718137</x:v>
      </x:c>
      <x:c r="CO396" s="6" t="str">
        <x:v>STOP</x:v>
      </x:c>
      <x:c r="CP396" s="6" t="str">
        <x:v>F::Short::Same-bar Setup+BOS::Penetration + same-bar reclaim</x:v>
      </x:c>
    </x:row>
    <x:row r="397" ht="18" customHeight="1">
      <x:c r="A397" s="6" t="str">
        <x:v>A0396</x:v>
      </x:c>
      <x:c r="B397" s="6" t="str">
        <x:v>2025-05-09</x:v>
      </x:c>
      <x:c r="C397" s="6" t="str">
        <x:v>2025</x:v>
      </x:c>
      <x:c r="D397" s="6" t="str">
        <x:v>2025-Q2</x:v>
      </x:c>
      <x:c r="E397" s="6" t="str">
        <x:v>Second 50%</x:v>
      </x:c>
      <x:c r="F397" s="6" t="str">
        <x:v>Long</x:v>
      </x:c>
      <x:c r="G397" s="6" t="str">
        <x:v>Long</x:v>
      </x:c>
      <x:c r="H397" s="6" t="str">
        <x:v>Premarket</x:v>
      </x:c>
      <x:c r="I397" s="6" t="str">
        <x:v>Premarket</x:v>
      </x:c>
      <x:c r="J397" s="6" t="str">
        <x:v>Bull</x:v>
      </x:c>
      <x:c r="K397" s="6" t="str">
        <x:v>Bull</x:v>
      </x:c>
      <x:c r="L397" s="6" t="str">
        <x:v>HIGH</x:v>
      </x:c>
      <x:c r="M397" s="7" t="str">
        <x:v>2025-05-09 07:35:00-05:00</x:v>
      </x:c>
      <x:c r="N397" s="6" t="str">
        <x:v>75.0</x:v>
      </x:c>
      <x:c r="O397" s="6" t="str">
        <x:v>75-79</x:v>
      </x:c>
      <x:c r="P397" s="6" t="str">
        <x:v>Matching BOS only</x:v>
      </x:c>
      <x:c r="Q397" s="6" t="str">
        <x:v>Bull CHoCH</x:v>
      </x:c>
      <x:c r="R397" s="6" t="str">
        <x:v>True</x:v>
      </x:c>
      <x:c r="S397" s="6" t="str">
        <x:v>False</x:v>
      </x:c>
      <x:c r="T397" s="6" t="str">
        <x:v>Recent SSL</x:v>
      </x:c>
      <x:c r="U397" s="6" t="str">
        <x:v>SSL</x:v>
      </x:c>
      <x:c r="V397" s="6" t="str">
        <x:v>Swing low / sell-side</x:v>
      </x:c>
      <x:c r="W397" s="6" t="str">
        <x:v>[18700.75,18712.25,18709.5,18716.5]</x:v>
      </x:c>
      <x:c r="X397" s="8" t="str">
        <x:v>4</x:v>
      </x:c>
      <x:c r="Y397" s="8" t="str">
        <x:v>14.0</x:v>
      </x:c>
      <x:c r="Z397" s="6" t="str">
        <x:v>None</x:v>
      </x:c>
      <x:c r="AA397" s="6" t="str">
        <x:v>18778.75</x:v>
      </x:c>
      <x:c r="AB397" s="9" t="str">
        <x:v>0.16965310675334935</x:v>
      </x:c>
      <x:c r="AC397" s="9" t="str">
        <x:v>0.41847766332492836</x:v>
      </x:c>
      <x:c r="AD397" s="9" t="str">
        <x:v>0.746473669714737</x:v>
      </x:c>
      <x:c r="AE397" s="6" t="str">
        <x:v>With trade</x:v>
      </x:c>
      <x:c r="AF397" s="7" t="str">
        <x:v>2025-05-09 07:35:00-05:00</x:v>
      </x:c>
      <x:c r="AG397" s="6" t="str">
        <x:v>Long</x:v>
      </x:c>
      <x:c r="AH397" s="6" t="str">
        <x:v>18778.75</x:v>
      </x:c>
      <x:c r="AI397" s="8" t="str">
        <x:v>0</x:v>
      </x:c>
      <x:c r="AJ397" s="6" t="str">
        <x:v>True</x:v>
      </x:c>
      <x:c r="AK397" s="6" t="str">
        <x:v>Same-bar Setup+BOS</x:v>
      </x:c>
      <x:c r="AL397" s="9" t="str">
        <x:v>0.45240828467559824</x:v>
      </x:c>
      <x:c r="AM397" s="9" t="str">
        <x:v>0.16965310675334935</x:v>
      </x:c>
      <x:c r="AN397" s="9" t="str">
        <x:v>0.41847766332492836</x:v>
      </x:c>
      <x:c r="AO397" s="9" t="str">
        <x:v>0.746473669714737</x:v>
      </x:c>
      <x:c r="AP397" s="10" t="str">
        <x:v>0.5606060606060606</x:v>
      </x:c>
      <x:c r="AQ397" s="6" t="str">
        <x:v>0.09090909090909091</x:v>
      </x:c>
      <x:c r="AR397" s="6" t="str">
        <x:v>0.3484848484848485</x:v>
      </x:c>
      <x:c r="AS397" s="6" t="str">
        <x:v>With trade</x:v>
      </x:c>
      <x:c r="AT397" s="6" t="str">
        <x:v>1.2697242294646807</x:v>
      </x:c>
      <x:c r="AU397" s="7" t="str">
        <x:v>2025-05-09 07:40:00-05:00</x:v>
      </x:c>
      <x:c r="AV397" s="8" t="str">
        <x:v>1</x:v>
      </x:c>
      <x:c r="AW397" s="6" t="str">
        <x:v>Immediate retest (1 bar)</x:v>
      </x:c>
      <x:c r="AX397" s="6" t="str">
        <x:v>18772.25</x:v>
      </x:c>
      <x:c r="AY397" s="6" t="str">
        <x:v>6.5</x:v>
      </x:c>
      <x:c r="AZ397" s="9" t="str">
        <x:v>0.28833870234260733</x:v>
      </x:c>
      <x:c r="BA397" s="9" t="str">
        <x:v>-0.08871960072080225</x:v>
      </x:c>
      <x:c r="BB397" s="9" t="str">
        <x:v>1.2531643601813318</x:v>
      </x:c>
      <x:c r="BC397" s="9" t="str">
        <x:v>0.2661588021624068</x:v>
      </x:c>
      <x:c r="BD397" s="6" t="str">
        <x:v>0.6283185840707964</x:v>
      </x:c>
      <x:c r="BE397" s="6" t="str">
        <x:v>0.1592920353982301</x:v>
      </x:c>
      <x:c r="BF397" s="9" t="str">
        <x:v>0.19961910162180507</x:v>
      </x:c>
      <x:c r="BG397" s="9" t="str">
        <x:v>0.78738645639712</x:v>
      </x:c>
      <x:c r="BH397" s="6" t="str">
        <x:v>Against trade</x:v>
      </x:c>
      <x:c r="BI397" s="6" t="str">
        <x:v>Penetration without same-bar reclaim</x:v>
      </x:c>
      <x:c r="BJ397" s="6" t="str">
        <x:v>False</x:v>
      </x:c>
      <x:c r="BK397" s="10" t="str">
        <x:v>True</x:v>
      </x:c>
      <x:c r="BL397" s="6" t="str">
        <x:v>False</x:v>
      </x:c>
      <x:c r="BM397" s="7" t="str">
        <x:v>2025-05-09 07:45:00-05:00</x:v>
      </x:c>
      <x:c r="BN397" s="8" t="str">
        <x:v>1</x:v>
      </x:c>
      <x:c r="BO397" s="6" t="str">
        <x:v>Immediate confirmation (1 bar)</x:v>
      </x:c>
      <x:c r="BP397" s="9" t="str">
        <x:v>0.11529916977003779</x:v>
      </x:c>
      <x:c r="BQ397" s="9" t="str">
        <x:v>0.48425651303415873</x:v>
      </x:c>
      <x:c r="BR397" s="10" t="str">
        <x:v>0.23809523809523808</x:v>
      </x:c>
      <x:c r="BS397" s="9" t="str">
        <x:v>0.08070941883902646</x:v>
      </x:c>
      <x:c r="BT397" s="9" t="str">
        <x:v>0.17294875465505669</x:v>
      </x:c>
      <x:c r="BU397" s="9" t="str">
        <x:v>0.20753850558606804</x:v>
      </x:c>
      <x:c r="BV397" s="6" t="str">
        <x:v>With trade</x:v>
      </x:c>
      <x:c r="BW397" s="7" t="str">
        <x:v>2025-05-09 07:45:00-05:00</x:v>
      </x:c>
      <x:c r="BX397" s="6" t="str">
        <x:v>18780.5</x:v>
      </x:c>
      <x:c r="BY397" s="9" t="str">
        <x:v>21.682723344723183</x:v>
      </x:c>
      <x:c r="BZ397" s="9" t="str">
        <x:v>0.85</x:v>
      </x:c>
      <x:c r="CA397" s="6" t="str">
        <x:v>18747.975914982915</x:v>
      </x:c>
      <x:c r="CB397" s="6" t="str">
        <x:v>32.52408501708487</x:v>
      </x:c>
      <x:c r="CC397" s="9" t="str">
        <x:v>1.5000000000000044</x:v>
      </x:c>
      <x:c r="CD397" s="6" t="str">
        <x:v>18845.54817003417</x:v>
      </x:c>
      <x:c r="CE397" s="6" t="str">
        <x:v>65.04817003416974</x:v>
      </x:c>
      <x:c r="CF397" s="6" t="str">
        <x:v>Fixed 2.00R target</x:v>
      </x:c>
      <x:c r="CG397" s="9" t="str">
        <x:v>0.02229117282220724</x:v>
      </x:c>
      <x:c r="CH397" s="9" t="str">
        <x:v>0.14604561504204788</x:v>
      </x:c>
      <x:c r="CI397" s="9" t="str">
        <x:v>0.12375444221984064</x:v>
      </x:c>
      <x:c r="CJ397" s="6" t="str">
        <x:v>Win</x:v>
      </x:c>
      <x:c r="CK397" s="9" t="str">
        <x:v>1.3451569806504369</x:v>
      </x:c>
      <x:c r="CL397" s="9" t="str">
        <x:v>0.4919431243521598</x:v>
      </x:c>
      <x:c r="CM397" s="7" t="str">
        <x:v>2025-05-09 08:45:00-05:00</x:v>
      </x:c>
      <x:c r="CN397" s="6" t="str">
        <x:v>18785.25</x:v>
      </x:c>
      <x:c r="CO397" s="6" t="str">
        <x:v>TIME</x:v>
      </x:c>
      <x:c r="CP397" s="6" t="str">
        <x:v>F::Long::Same-bar Setup+BOS::Penetration without same-bar reclaim</x:v>
      </x:c>
    </x:row>
    <x:row r="398" ht="18" customHeight="1">
      <x:c r="A398" s="6" t="str">
        <x:v>A0397</x:v>
      </x:c>
      <x:c r="B398" s="6" t="str">
        <x:v>2025-05-13</x:v>
      </x:c>
      <x:c r="C398" s="6" t="str">
        <x:v>2025</x:v>
      </x:c>
      <x:c r="D398" s="6" t="str">
        <x:v>2025-Q2</x:v>
      </x:c>
      <x:c r="E398" s="6" t="str">
        <x:v>Second 50%</x:v>
      </x:c>
      <x:c r="F398" s="6" t="str">
        <x:v>Long</x:v>
      </x:c>
      <x:c r="G398" s="6" t="str">
        <x:v>Long</x:v>
      </x:c>
      <x:c r="H398" s="6" t="str">
        <x:v>Midday</x:v>
      </x:c>
      <x:c r="I398" s="6" t="str">
        <x:v>Morning</x:v>
      </x:c>
      <x:c r="J398" s="6" t="str">
        <x:v>Bull</x:v>
      </x:c>
      <x:c r="K398" s="6" t="str">
        <x:v>Bull</x:v>
      </x:c>
      <x:c r="L398" s="6" t="str">
        <x:v>MID</x:v>
      </x:c>
      <x:c r="M398" s="7" t="str">
        <x:v>2025-05-13 11:35:00-05:00</x:v>
      </x:c>
      <x:c r="N398" s="6" t="str">
        <x:v>75.0</x:v>
      </x:c>
      <x:c r="O398" s="6" t="str">
        <x:v>75-79</x:v>
      </x:c>
      <x:c r="P398" s="6" t="str">
        <x:v>Matching BOS only</x:v>
      </x:c>
      <x:c r="Q398" s="6" t="str">
        <x:v>Bull BOS</x:v>
      </x:c>
      <x:c r="R398" s="6" t="str">
        <x:v>True</x:v>
      </x:c>
      <x:c r="S398" s="6" t="str">
        <x:v>False</x:v>
      </x:c>
      <x:c r="T398" s="6" t="str">
        <x:v>No recent matching sweep</x:v>
      </x:c>
      <x:c r="U398" s="6" t="str">
        <x:v>None</x:v>
      </x:c>
      <x:c r="V398" s="6" t="str">
        <x:v>None</x:v>
      </x:c>
      <x:c r="W398" s="6" t="str">
        <x:v>[]</x:v>
      </x:c>
      <x:c r="X398" s="8" t="str">
        <x:v>0</x:v>
      </x:c>
      <x:c r="Y398" s="8" t="str"/>
      <x:c r="Z398" s="6" t="str">
        <x:v>None</x:v>
      </x:c>
      <x:c r="AA398" s="6" t="str">
        <x:v>19849.25</x:v>
      </x:c>
      <x:c r="AB398" s="9" t="str">
        <x:v>0.671755479355469</x:v>
      </x:c>
      <x:c r="AC398" s="9" t="str">
        <x:v>0.921264657401786</x:v>
      </x:c>
      <x:c r="AD398" s="9" t="str">
        <x:v>1.1323878080563619</x:v>
      </x:c>
      <x:c r="AE398" s="6" t="str">
        <x:v>With trade</x:v>
      </x:c>
      <x:c r="AF398" s="7" t="str">
        <x:v>2025-05-13 11:35:00-05:00</x:v>
      </x:c>
      <x:c r="AG398" s="6" t="str">
        <x:v>Long</x:v>
      </x:c>
      <x:c r="AH398" s="6" t="str">
        <x:v>19849.25</x:v>
      </x:c>
      <x:c r="AI398" s="8" t="str">
        <x:v>0</x:v>
      </x:c>
      <x:c r="AJ398" s="6" t="str">
        <x:v>True</x:v>
      </x:c>
      <x:c r="AK398" s="6" t="str">
        <x:v>Same-bar Setup+BOS</x:v>
      </x:c>
      <x:c r="AL398" s="9" t="str">
        <x:v>0.9116681505538506</x:v>
      </x:c>
      <x:c r="AM398" s="9" t="str">
        <x:v>0.671755479355469</x:v>
      </x:c>
      <x:c r="AN398" s="9" t="str">
        <x:v>0.921264657401786</x:v>
      </x:c>
      <x:c r="AO398" s="9" t="str">
        <x:v>1.1323878080563619</x:v>
      </x:c>
      <x:c r="AP398" s="10" t="str">
        <x:v>0.8135593220338984</x:v>
      </x:c>
      <x:c r="AQ398" s="6" t="str">
        <x:v>0.17796610169491525</x:v>
      </x:c>
      <x:c r="AR398" s="6" t="str">
        <x:v>0.00847457627118644</x:v>
      </x:c>
      <x:c r="AS398" s="6" t="str">
        <x:v>With trade</x:v>
      </x:c>
      <x:c r="AT398" s="6" t="str">
        <x:v>1.1039614795360035</x:v>
      </x:c>
      <x:c r="AU398" s="7" t="str">
        <x:v>2025-05-13 12:10:00-05:00</x:v>
      </x:c>
      <x:c r="AV398" s="8" t="str">
        <x:v>7</x:v>
      </x:c>
      <x:c r="AW398" s="6" t="str">
        <x:v>Delayed retest (2+ bars)</x:v>
      </x:c>
      <x:c r="AX398" s="6" t="str">
        <x:v>19846.5</x:v>
      </x:c>
      <x:c r="AY398" s="6" t="str">
        <x:v>2.75</x:v>
      </x:c>
      <x:c r="AZ398" s="9" t="str">
        <x:v>0.12772281374142364</x:v>
      </x:c>
      <x:c r="BA398" s="9" t="str">
        <x:v>0.09288931908467174</x:v>
      </x:c>
      <x:c r="BB398" s="9" t="str">
        <x:v>0.7663368824485418</x:v>
      </x:c>
      <x:c r="BC398" s="9" t="str">
        <x:v>0.40639077099543885</x:v>
      </x:c>
      <x:c r="BD398" s="6" t="str">
        <x:v>0.18181818181818182</x:v>
      </x:c>
      <x:c r="BE398" s="6" t="str">
        <x:v>0.2878787878787879</x:v>
      </x:c>
      <x:c r="BF398" s="9" t="str">
        <x:v>0.22061213282609538</x:v>
      </x:c>
      <x:c r="BG398" s="9" t="str">
        <x:v>0.1393339786270076</x:v>
      </x:c>
      <x:c r="BH398" s="6" t="str">
        <x:v>Against trade</x:v>
      </x:c>
      <x:c r="BI398" s="6" t="str">
        <x:v>Penetration + same-bar reclaim</x:v>
      </x:c>
      <x:c r="BJ398" s="6" t="str">
        <x:v>False</x:v>
      </x:c>
      <x:c r="BK398" s="10" t="str">
        <x:v>True</x:v>
      </x:c>
      <x:c r="BL398" s="6" t="str">
        <x:v>True</x:v>
      </x:c>
      <x:c r="BM398" s="7" t="str">
        <x:v>2025-05-13 12:15:00-05:00</x:v>
      </x:c>
      <x:c r="BN398" s="8" t="str">
        <x:v>1</x:v>
      </x:c>
      <x:c r="BO398" s="6" t="str">
        <x:v>Immediate confirmation (1 bar)</x:v>
      </x:c>
      <x:c r="BP398" s="9" t="str">
        <x:v>0.6334257763981542</x:v>
      </x:c>
      <x:c r="BQ398" s="9" t="str">
        <x:v>1.105615900622233</x:v>
      </x:c>
      <x:c r="BR398" s="10" t="str">
        <x:v>0.5729166666666666</x:v>
      </x:c>
      <x:c r="BS398" s="9" t="str">
        <x:v>0.7485940993796368</x:v>
      </x:c>
      <x:c r="BT398" s="9" t="str">
        <x:v>0.6564594409944507</x:v>
      </x:c>
      <x:c r="BU398" s="9" t="str">
        <x:v>0.1151683229814826</x:v>
      </x:c>
      <x:c r="BV398" s="6" t="str">
        <x:v>With trade</x:v>
      </x:c>
      <x:c r="BW398" s="7" t="str">
        <x:v>2025-05-13 12:15:00-05:00</x:v>
      </x:c>
      <x:c r="BX398" s="6" t="str">
        <x:v>19865.5</x:v>
      </x:c>
      <x:c r="BY398" s="9" t="str">
        <x:v>21.707357850491267</x:v>
      </x:c>
      <x:c r="BZ398" s="9" t="str">
        <x:v>0.48</x:v>
      </x:c>
      <x:c r="CA398" s="6" t="str">
        <x:v>19832.938963224264</x:v>
      </x:c>
      <x:c r="CB398" s="6" t="str">
        <x:v>32.561036775736284</x:v>
      </x:c>
      <x:c r="CC398" s="9" t="str">
        <x:v>1.4999999999999716</x:v>
      </x:c>
      <x:c r="CD398" s="6" t="str">
        <x:v>19930.622073551473</x:v>
      </x:c>
      <x:c r="CE398" s="6" t="str">
        <x:v>65.12207355147257</x:v>
      </x:c>
      <x:c r="CF398" s="6" t="str">
        <x:v>Fixed 2.00R target</x:v>
      </x:c>
      <x:c r="CG398" s="9" t="str">
        <x:v>0.02226587577642039</x:v>
      </x:c>
      <x:c r="CH398" s="9" t="str">
        <x:v>-1.0</x:v>
      </x:c>
      <x:c r="CI398" s="9" t="str">
        <x:v>-1.0222658757764205</x:v>
      </x:c>
      <x:c r="CJ398" s="6" t="str">
        <x:v>Loss</x:v>
      </x:c>
      <x:c r="CK398" s="9" t="str">
        <x:v>0.7831445962740965</x:v>
      </x:c>
      <x:c r="CL398" s="9" t="str">
        <x:v>1.4127314285728798</x:v>
      </x:c>
      <x:c r="CM398" s="7" t="str">
        <x:v>2025-05-13 13:00:00-05:00</x:v>
      </x:c>
      <x:c r="CN398" s="6" t="str">
        <x:v>19832.938963224264</x:v>
      </x:c>
      <x:c r="CO398" s="6" t="str">
        <x:v>STOP</x:v>
      </x:c>
      <x:c r="CP398" s="6" t="str">
        <x:v>F::Long::Same-bar Setup+BOS::Penetration + same-bar reclaim</x:v>
      </x:c>
    </x:row>
    <x:row r="399" ht="18" customHeight="1">
      <x:c r="A399" s="6" t="str">
        <x:v>A0398</x:v>
      </x:c>
      <x:c r="B399" s="6" t="str">
        <x:v>2025-05-13</x:v>
      </x:c>
      <x:c r="C399" s="6" t="str">
        <x:v>2025</x:v>
      </x:c>
      <x:c r="D399" s="6" t="str">
        <x:v>2025-Q2</x:v>
      </x:c>
      <x:c r="E399" s="6" t="str">
        <x:v>Second 50%</x:v>
      </x:c>
      <x:c r="F399" s="6" t="str">
        <x:v>Short</x:v>
      </x:c>
      <x:c r="G399" s="6" t="str">
        <x:v>Short</x:v>
      </x:c>
      <x:c r="H399" s="6" t="str">
        <x:v>Midday</x:v>
      </x:c>
      <x:c r="I399" s="6" t="str">
        <x:v>Midday</x:v>
      </x:c>
      <x:c r="J399" s="6" t="str">
        <x:v>Bull</x:v>
      </x:c>
      <x:c r="K399" s="6" t="str">
        <x:v>Bull</x:v>
      </x:c>
      <x:c r="L399" s="6" t="str">
        <x:v>MID</x:v>
      </x:c>
      <x:c r="M399" s="7" t="str">
        <x:v>2025-05-13 12:55:00-05:00</x:v>
      </x:c>
      <x:c r="N399" s="6" t="str">
        <x:v>85.0</x:v>
      </x:c>
      <x:c r="O399" s="6" t="str">
        <x:v>85-89</x:v>
      </x:c>
      <x:c r="P399" s="6" t="str">
        <x:v>Matching BOS only</x:v>
      </x:c>
      <x:c r="Q399" s="6" t="str">
        <x:v>Bear CHoCH</x:v>
      </x:c>
      <x:c r="R399" s="6" t="str">
        <x:v>True</x:v>
      </x:c>
      <x:c r="S399" s="6" t="str">
        <x:v>False</x:v>
      </x:c>
      <x:c r="T399" s="6" t="str">
        <x:v>Recent BSL</x:v>
      </x:c>
      <x:c r="U399" s="6" t="str">
        <x:v>BSL</x:v>
      </x:c>
      <x:c r="V399" s="6" t="str">
        <x:v>Swing high / buy-side</x:v>
      </x:c>
      <x:c r="W399" s="6" t="str">
        <x:v>[19849.25]</x:v>
      </x:c>
      <x:c r="X399" s="8" t="str">
        <x:v>1</x:v>
      </x:c>
      <x:c r="Y399" s="8" t="str">
        <x:v>18.0</x:v>
      </x:c>
      <x:c r="Z399" s="6" t="str">
        <x:v>None</x:v>
      </x:c>
      <x:c r="AA399" s="6" t="str">
        <x:v>19846.5</x:v>
      </x:c>
      <x:c r="AB399" s="9" t="str">
        <x:v>0.284806685418424</x:v>
      </x:c>
      <x:c r="AC399" s="9" t="str">
        <x:v>0.6721437775874808</x:v>
      </x:c>
      <x:c r="AD399" s="9" t="str">
        <x:v>1.0936576720067483</x:v>
      </x:c>
      <x:c r="AE399" s="6" t="str">
        <x:v>With trade</x:v>
      </x:c>
      <x:c r="AF399" s="7" t="str">
        <x:v>2025-05-13 12:55:00-05:00</x:v>
      </x:c>
      <x:c r="AG399" s="6" t="str">
        <x:v>Short</x:v>
      </x:c>
      <x:c r="AH399" s="6" t="str">
        <x:v>19846.5</x:v>
      </x:c>
      <x:c r="AI399" s="8" t="str">
        <x:v>0</x:v>
      </x:c>
      <x:c r="AJ399" s="6" t="str">
        <x:v>True</x:v>
      </x:c>
      <x:c r="AK399" s="6" t="str">
        <x:v>Same-bar Setup+BOS</x:v>
      </x:c>
      <x:c r="AL399" s="9" t="str">
        <x:v>0.6721437775874808</x:v>
      </x:c>
      <x:c r="AM399" s="9" t="str">
        <x:v>0.284806685418424</x:v>
      </x:c>
      <x:c r="AN399" s="9" t="str">
        <x:v>0.6721437775874808</x:v>
      </x:c>
      <x:c r="AO399" s="9" t="str">
        <x:v>1.0936576720067483</x:v>
      </x:c>
      <x:c r="AP399" s="10" t="str">
        <x:v>0.6145833333333334</x:v>
      </x:c>
      <x:c r="AQ399" s="6" t="str">
        <x:v>0.3125</x:v>
      </x:c>
      <x:c r="AR399" s="6" t="str">
        <x:v>0.07291666666666667</x:v>
      </x:c>
      <x:c r="AS399" s="6" t="str">
        <x:v>With trade</x:v>
      </x:c>
      <x:c r="AT399" s="6" t="str">
        <x:v>1.239541989092259</x:v>
      </x:c>
      <x:c r="AU399" s="7" t="str">
        <x:v>2025-05-13 13:00:00-05:00</x:v>
      </x:c>
      <x:c r="AV399" s="8" t="str">
        <x:v>1</x:v>
      </x:c>
      <x:c r="AW399" s="6" t="str">
        <x:v>Immediate retest (1 bar)</x:v>
      </x:c>
      <x:c r="AX399" s="6" t="str">
        <x:v>19848.5</x:v>
      </x:c>
      <x:c r="AY399" s="6" t="str">
        <x:v>2.0</x:v>
      </x:c>
      <x:c r="AZ399" s="9" t="str">
        <x:v>0.0890921817956029</x:v>
      </x:c>
      <x:c r="BA399" s="9" t="str">
        <x:v>0.3006861135601598</x:v>
      </x:c>
      <x:c r="BB399" s="9" t="str">
        <x:v>1.291836636036242</x:v>
      </x:c>
      <x:c r="BC399" s="9" t="str">
        <x:v>0.05568261362225181</x:v>
      </x:c>
      <x:c r="BD399" s="6" t="str">
        <x:v>0.25862068965517243</x:v>
      </x:c>
      <x:c r="BE399" s="6" t="str">
        <x:v>0.6982758620689655</x:v>
      </x:c>
      <x:c r="BF399" s="9" t="str">
        <x:v>0.33409568173351084</x:v>
      </x:c>
      <x:c r="BG399" s="9" t="str">
        <x:v>0.9020583406804793</x:v>
      </x:c>
      <x:c r="BH399" s="6" t="str">
        <x:v>With trade</x:v>
      </x:c>
      <x:c r="BI399" s="6" t="str">
        <x:v>Penetration + same-bar reclaim</x:v>
      </x:c>
      <x:c r="BJ399" s="6" t="str">
        <x:v>False</x:v>
      </x:c>
      <x:c r="BK399" s="10" t="str">
        <x:v>True</x:v>
      </x:c>
      <x:c r="BL399" s="6" t="str">
        <x:v>True</x:v>
      </x:c>
      <x:c r="BM399" s="7" t="str">
        <x:v>2025-05-13 13:05:00-05:00</x:v>
      </x:c>
      <x:c r="BN399" s="8" t="str">
        <x:v>1</x:v>
      </x:c>
      <x:c r="BO399" s="6" t="str">
        <x:v>Immediate confirmation (1 bar)</x:v>
      </x:c>
      <x:c r="BP399" s="9" t="str">
        <x:v>0.18059706087618976</x:v>
      </x:c>
      <x:c r="BQ399" s="9" t="str">
        <x:v>0.8239740902476158</x:v>
      </x:c>
      <x:c r="BR399" s="10" t="str">
        <x:v>0.2191780821917808</x:v>
      </x:c>
      <x:c r="BS399" s="9" t="str">
        <x:v>0.4627799684952363</x:v>
      </x:c>
      <x:c r="BT399" s="9" t="str">
        <x:v>0.15802242826666604</x:v>
      </x:c>
      <x:c r="BU399" s="9" t="str">
        <x:v>0.564365815238093</x:v>
      </x:c>
      <x:c r="BV399" s="6" t="str">
        <x:v>With trade</x:v>
      </x:c>
      <x:c r="BW399" s="7" t="str">
        <x:v>2025-05-13 13:05:00-05:00</x:v>
      </x:c>
      <x:c r="BX399" s="6" t="str">
        <x:v>19836.25</x:v>
      </x:c>
      <x:c r="BY399" s="9" t="str">
        <x:v>22.14875469508467</x:v>
      </x:c>
      <x:c r="BZ399" s="9" t="str">
        <x:v>0.48</x:v>
      </x:c>
      <x:c r="CA399" s="6" t="str">
        <x:v>19869.473132042625</x:v>
      </x:c>
      <x:c r="CB399" s="6" t="str">
        <x:v>33.223132042625366</x:v>
      </x:c>
      <x:c r="CC399" s="9" t="str">
        <x:v>1.499999999999926</x:v>
      </x:c>
      <x:c r="CD399" s="6" t="str">
        <x:v>19769.803735914746</x:v>
      </x:c>
      <x:c r="CE399" s="6" t="str">
        <x:v>66.44626408525437</x:v>
      </x:c>
      <x:c r="CF399" s="6" t="str">
        <x:v>Fixed 2.00R target</x:v>
      </x:c>
      <x:c r="CG399" s="9" t="str">
        <x:v>0.021822144855874005</x:v>
      </x:c>
      <x:c r="CH399" s="9" t="str">
        <x:v>-1.0</x:v>
      </x:c>
      <x:c r="CI399" s="9" t="str">
        <x:v>-1.021822144855874</x:v>
      </x:c>
      <x:c r="CJ399" s="6" t="str">
        <x:v>Loss</x:v>
      </x:c>
      <x:c r="CK399" s="9" t="str">
        <x:v>0.3837687543619222</x:v>
      </x:c>
      <x:c r="CL399" s="9" t="str">
        <x:v>1.188930650768308</x:v>
      </x:c>
      <x:c r="CM399" s="7" t="str">
        <x:v>2025-05-13 13:55:00-05:00</x:v>
      </x:c>
      <x:c r="CN399" s="6" t="str">
        <x:v>19869.473132042625</x:v>
      </x:c>
      <x:c r="CO399" s="6" t="str">
        <x:v>STOP</x:v>
      </x:c>
      <x:c r="CP399" s="6" t="str">
        <x:v>F::Short::Same-bar Setup+BOS::Penetration + same-bar reclaim</x:v>
      </x:c>
    </x:row>
    <x:row r="400" ht="18" customHeight="1">
      <x:c r="A400" s="6" t="str">
        <x:v>A0399</x:v>
      </x:c>
      <x:c r="B400" s="6" t="str">
        <x:v>2025-05-14</x:v>
      </x:c>
      <x:c r="C400" s="6" t="str">
        <x:v>2025</x:v>
      </x:c>
      <x:c r="D400" s="6" t="str">
        <x:v>2025-Q2</x:v>
      </x:c>
      <x:c r="E400" s="6" t="str">
        <x:v>Second 50%</x:v>
      </x:c>
      <x:c r="F400" s="6" t="str">
        <x:v>Short</x:v>
      </x:c>
      <x:c r="G400" s="6" t="str">
        <x:v>Short</x:v>
      </x:c>
      <x:c r="H400" s="6" t="str">
        <x:v>Overnight</x:v>
      </x:c>
      <x:c r="I400" s="6" t="str">
        <x:v>Overnight</x:v>
      </x:c>
      <x:c r="J400" s="6" t="str">
        <x:v>Bull</x:v>
      </x:c>
      <x:c r="K400" s="6" t="str">
        <x:v>Bull</x:v>
      </x:c>
      <x:c r="L400" s="6" t="str">
        <x:v>HIGH</x:v>
      </x:c>
      <x:c r="M400" s="7" t="str">
        <x:v>2025-05-14 03:05:00-05:00</x:v>
      </x:c>
      <x:c r="N400" s="6" t="str">
        <x:v>90.0</x:v>
      </x:c>
      <x:c r="O400" s="6" t="str">
        <x:v>90-94</x:v>
      </x:c>
      <x:c r="P400" s="6" t="str">
        <x:v>Matching BOS only</x:v>
      </x:c>
      <x:c r="Q400" s="6" t="str">
        <x:v>Bear BOS</x:v>
      </x:c>
      <x:c r="R400" s="6" t="str">
        <x:v>True</x:v>
      </x:c>
      <x:c r="S400" s="6" t="str">
        <x:v>False</x:v>
      </x:c>
      <x:c r="T400" s="6" t="str">
        <x:v>Recent BSL</x:v>
      </x:c>
      <x:c r="U400" s="6" t="str">
        <x:v>BSL</x:v>
      </x:c>
      <x:c r="V400" s="6" t="str">
        <x:v>Swing high / buy-side</x:v>
      </x:c>
      <x:c r="W400" s="6" t="str">
        <x:v>[19869.75]</x:v>
      </x:c>
      <x:c r="X400" s="8" t="str">
        <x:v>1</x:v>
      </x:c>
      <x:c r="Y400" s="8" t="str">
        <x:v>19.0</x:v>
      </x:c>
      <x:c r="Z400" s="6" t="str">
        <x:v>None</x:v>
      </x:c>
      <x:c r="AA400" s="6" t="str">
        <x:v>19825.5</x:v>
      </x:c>
      <x:c r="AB400" s="9" t="str">
        <x:v>1.3321003104195162</x:v>
      </x:c>
      <x:c r="AC400" s="9" t="str">
        <x:v>1.8649404345873226</x:v>
      </x:c>
      <x:c r="AD400" s="9" t="str">
        <x:v>2.1940475701027324</x:v>
      </x:c>
      <x:c r="AE400" s="6" t="str">
        <x:v>With trade</x:v>
      </x:c>
      <x:c r="AF400" s="7" t="str">
        <x:v>2025-05-14 03:05:00-05:00</x:v>
      </x:c>
      <x:c r="AG400" s="6" t="str">
        <x:v>Short</x:v>
      </x:c>
      <x:c r="AH400" s="6" t="str">
        <x:v>19825.5</x:v>
      </x:c>
      <x:c r="AI400" s="8" t="str">
        <x:v>0</x:v>
      </x:c>
      <x:c r="AJ400" s="6" t="str">
        <x:v>True</x:v>
      </x:c>
      <x:c r="AK400" s="6" t="str">
        <x:v>Same-bar Setup+BOS</x:v>
      </x:c>
      <x:c r="AL400" s="9" t="str">
        <x:v>1.7709098244400625</x:v>
      </x:c>
      <x:c r="AM400" s="9" t="str">
        <x:v>1.3321003104195162</x:v>
      </x:c>
      <x:c r="AN400" s="9" t="str">
        <x:v>1.8649404345873226</x:v>
      </x:c>
      <x:c r="AO400" s="9" t="str">
        <x:v>2.1940475701027324</x:v>
      </x:c>
      <x:c r="AP400" s="10" t="str">
        <x:v>0.85</x:v>
      </x:c>
      <x:c r="AQ400" s="6" t="str">
        <x:v>0.1357142857142857</x:v>
      </x:c>
      <x:c r="AR400" s="6" t="str">
        <x:v>0.014285714285714285</x:v>
      </x:c>
      <x:c r="AS400" s="6" t="str">
        <x:v>With trade</x:v>
      </x:c>
      <x:c r="AT400" s="6" t="str">
        <x:v>1.5943713673906394</x:v>
      </x:c>
      <x:c r="AU400" s="7" t="str">
        <x:v>2025-05-14 03:10:00-05:00</x:v>
      </x:c>
      <x:c r="AV400" s="8" t="str">
        <x:v>1</x:v>
      </x:c>
      <x:c r="AW400" s="6" t="str">
        <x:v>Immediate retest (1 bar)</x:v>
      </x:c>
      <x:c r="AX400" s="6" t="str">
        <x:v>19829.0</x:v>
      </x:c>
      <x:c r="AY400" s="6" t="str">
        <x:v>3.5</x:v>
      </x:c>
      <x:c r="AZ400" s="9" t="str">
        <x:v>0.2086178078838885</x:v>
      </x:c>
      <x:c r="BA400" s="9" t="str">
        <x:v>0.044703815975118966</x:v>
      </x:c>
      <x:c r="BB400" s="9" t="str">
        <x:v>1.6391399190876954</x:v>
      </x:c>
      <x:c r="BC400" s="9" t="str">
        <x:v>1.1921017593365058</x:v>
      </x:c>
      <x:c r="BD400" s="6" t="str">
        <x:v>0.15454545454545454</x:v>
      </x:c>
      <x:c r="BE400" s="6" t="str">
        <x:v>0.11818181818181818</x:v>
      </x:c>
      <x:c r="BF400" s="9" t="str">
        <x:v>0.25332162385900747</x:v>
      </x:c>
      <x:c r="BG400" s="9" t="str">
        <x:v>0.19371653589218218</x:v>
      </x:c>
      <x:c r="BH400" s="6" t="str">
        <x:v>Against trade</x:v>
      </x:c>
      <x:c r="BI400" s="6" t="str">
        <x:v>Penetration + same-bar reclaim</x:v>
      </x:c>
      <x:c r="BJ400" s="6" t="str">
        <x:v>False</x:v>
      </x:c>
      <x:c r="BK400" s="10" t="str">
        <x:v>True</x:v>
      </x:c>
      <x:c r="BL400" s="6" t="str">
        <x:v>True</x:v>
      </x:c>
      <x:c r="BM400" s="7" t="str">
        <x:v>2025-05-14 03:15:00-05:00</x:v>
      </x:c>
      <x:c r="BN400" s="8" t="str">
        <x:v>1</x:v>
      </x:c>
      <x:c r="BO400" s="6" t="str">
        <x:v>Immediate confirmation (1 bar)</x:v>
      </x:c>
      <x:c r="BP400" s="9" t="str">
        <x:v>0.2855889010856453</x:v>
      </x:c>
      <x:c r="BQ400" s="9" t="str">
        <x:v>0.8868286928448985</x:v>
      </x:c>
      <x:c r="BR400" s="10" t="str">
        <x:v>0.3220338983050847</x:v>
      </x:c>
      <x:c r="BS400" s="9" t="str">
        <x:v>0.27055790629166393</x:v>
      </x:c>
      <x:c r="BT400" s="9" t="str">
        <x:v>0.22546492190971995</x:v>
      </x:c>
      <x:c r="BU400" s="9" t="str">
        <x:v>0.030061989587962662</x:v>
      </x:c>
      <x:c r="BV400" s="6" t="str">
        <x:v>With trade</x:v>
      </x:c>
      <x:c r="BW400" s="7" t="str">
        <x:v>2025-05-14 03:15:00-05:00</x:v>
      </x:c>
      <x:c r="BX400" s="6" t="str">
        <x:v>19821.0</x:v>
      </x:c>
      <x:c r="BY400" s="9" t="str">
        <x:v>16.632299021226746</x:v>
      </x:c>
      <x:c r="BZ400" s="9" t="str">
        <x:v>0.99</x:v>
      </x:c>
      <x:c r="CA400" s="6" t="str">
        <x:v>19845.94844853184</x:v>
      </x:c>
      <x:c r="CB400" s="6" t="str">
        <x:v>24.94844853183895</x:v>
      </x:c>
      <x:c r="CC400" s="9" t="str">
        <x:v>1.4999999999999296</x:v>
      </x:c>
      <x:c r="CD400" s="6" t="str">
        <x:v>19771.10310293632</x:v>
      </x:c>
      <x:c r="CE400" s="6" t="str">
        <x:v>49.896897063681536</x:v>
      </x:c>
      <x:c r="CF400" s="6" t="str">
        <x:v>Fixed 2.00R target</x:v>
      </x:c>
      <x:c r="CG400" s="9" t="str">
        <x:v>0.02905992326836527</x:v>
      </x:c>
      <x:c r="CH400" s="9" t="str">
        <x:v>0.7214877501111038</x:v>
      </x:c>
      <x:c r="CI400" s="9" t="str">
        <x:v>0.6924278268427385</x:v>
      </x:c>
      <x:c r="CJ400" s="6" t="str">
        <x:v>Win</x:v>
      </x:c>
      <x:c r="CK400" s="9" t="str">
        <x:v>1.5331614689861677</x:v>
      </x:c>
      <x:c r="CL400" s="9" t="str">
        <x:v>0.8818183612469461</x:v>
      </x:c>
      <x:c r="CM400" s="7" t="str">
        <x:v>2025-05-14 04:15:00-05:00</x:v>
      </x:c>
      <x:c r="CN400" s="6" t="str">
        <x:v>19803.0</x:v>
      </x:c>
      <x:c r="CO400" s="6" t="str">
        <x:v>TIME</x:v>
      </x:c>
      <x:c r="CP400" s="6" t="str">
        <x:v>F::Short::Same-bar Setup+BOS::Penetration + same-bar reclaim</x:v>
      </x:c>
    </x:row>
    <x:row r="401" ht="18" customHeight="1">
      <x:c r="A401" s="6" t="str">
        <x:v>A0400</x:v>
      </x:c>
      <x:c r="B401" s="6" t="str">
        <x:v>2025-05-14</x:v>
      </x:c>
      <x:c r="C401" s="6" t="str">
        <x:v>2025</x:v>
      </x:c>
      <x:c r="D401" s="6" t="str">
        <x:v>2025-Q2</x:v>
      </x:c>
      <x:c r="E401" s="6" t="str">
        <x:v>Second 50%</x:v>
      </x:c>
      <x:c r="F401" s="6" t="str">
        <x:v>Short</x:v>
      </x:c>
      <x:c r="G401" s="6" t="str">
        <x:v>Short</x:v>
      </x:c>
      <x:c r="H401" s="6" t="str">
        <x:v>Premarket</x:v>
      </x:c>
      <x:c r="I401" s="6" t="str">
        <x:v>Premarket</x:v>
      </x:c>
      <x:c r="J401" s="6" t="str">
        <x:v>Bull</x:v>
      </x:c>
      <x:c r="K401" s="6" t="str">
        <x:v>Bull</x:v>
      </x:c>
      <x:c r="L401" s="6" t="str">
        <x:v>HIGH</x:v>
      </x:c>
      <x:c r="M401" s="7" t="str">
        <x:v>2025-05-14 07:40:00-05:00</x:v>
      </x:c>
      <x:c r="N401" s="6" t="str">
        <x:v>90.0</x:v>
      </x:c>
      <x:c r="O401" s="6" t="str">
        <x:v>90-94</x:v>
      </x:c>
      <x:c r="P401" s="6" t="str">
        <x:v>Matching BOS only</x:v>
      </x:c>
      <x:c r="Q401" s="6" t="str">
        <x:v>Bear CHoCH</x:v>
      </x:c>
      <x:c r="R401" s="6" t="str">
        <x:v>True</x:v>
      </x:c>
      <x:c r="S401" s="6" t="str">
        <x:v>False</x:v>
      </x:c>
      <x:c r="T401" s="6" t="str">
        <x:v>Recent BSL</x:v>
      </x:c>
      <x:c r="U401" s="6" t="str">
        <x:v>BSL</x:v>
      </x:c>
      <x:c r="V401" s="6" t="str">
        <x:v>Swing high / buy-side</x:v>
      </x:c>
      <x:c r="W401" s="6" t="str">
        <x:v>[19918.5]</x:v>
      </x:c>
      <x:c r="X401" s="8" t="str">
        <x:v>1</x:v>
      </x:c>
      <x:c r="Y401" s="8" t="str">
        <x:v>14.0</x:v>
      </x:c>
      <x:c r="Z401" s="6" t="str">
        <x:v>None</x:v>
      </x:c>
      <x:c r="AA401" s="6" t="str">
        <x:v>19877.5</x:v>
      </x:c>
      <x:c r="AB401" s="9" t="str">
        <x:v>0.5895705524886603</x:v>
      </x:c>
      <x:c r="AC401" s="9" t="str">
        <x:v>1.2446489441427273</x:v>
      </x:c>
      <x:c r="AD401" s="9" t="str">
        <x:v>1.5394342203870575</x:v>
      </x:c>
      <x:c r="AE401" s="6" t="str">
        <x:v>With trade</x:v>
      </x:c>
      <x:c r="AF401" s="7" t="str">
        <x:v>2025-05-14 07:40:00-05:00</x:v>
      </x:c>
      <x:c r="AG401" s="6" t="str">
        <x:v>Short</x:v>
      </x:c>
      <x:c r="AH401" s="6" t="str">
        <x:v>19877.5</x:v>
      </x:c>
      <x:c r="AI401" s="8" t="str">
        <x:v>0</x:v>
      </x:c>
      <x:c r="AJ401" s="6" t="str">
        <x:v>True</x:v>
      </x:c>
      <x:c r="AK401" s="6" t="str">
        <x:v>Same-bar Setup+BOS</x:v>
      </x:c>
      <x:c r="AL401" s="9" t="str">
        <x:v>1.2282719843513756</x:v>
      </x:c>
      <x:c r="AM401" s="9" t="str">
        <x:v>0.5895705524886603</x:v>
      </x:c>
      <x:c r="AN401" s="9" t="str">
        <x:v>1.2446489441427273</x:v>
      </x:c>
      <x:c r="AO401" s="9" t="str">
        <x:v>1.5394342203870575</x:v>
      </x:c>
      <x:c r="AP401" s="10" t="str">
        <x:v>0.8085106382978723</x:v>
      </x:c>
      <x:c r="AQ401" s="6" t="str">
        <x:v>0.0</x:v>
      </x:c>
      <x:c r="AR401" s="6" t="str">
        <x:v>0.19148936170212766</x:v>
      </x:c>
      <x:c r="AS401" s="6" t="str">
        <x:v>With trade</x:v>
      </x:c>
      <x:c r="AT401" s="6" t="str">
        <x:v>1.8493819128171765</x:v>
      </x:c>
      <x:c r="AU401" s="7" t="str">
        <x:v>2025-05-14 07:50:00-05:00</x:v>
      </x:c>
      <x:c r="AV401" s="8" t="str">
        <x:v>2</x:v>
      </x:c>
      <x:c r="AW401" s="6" t="str">
        <x:v>Delayed retest (2+ bars)</x:v>
      </x:c>
      <x:c r="AX401" s="6" t="str">
        <x:v>19877.0</x:v>
      </x:c>
      <x:c r="AY401" s="6" t="str">
        <x:v>0.0</x:v>
      </x:c>
      <x:c r="AZ401" s="9" t="str">
        <x:v>0.0</x:v>
      </x:c>
      <x:c r="BA401" s="9" t="str">
        <x:v>0.5731301889447658</x:v>
      </x:c>
      <x:c r="BB401" s="9" t="str">
        <x:v>0.7922682023648232</x:v>
      </x:c>
      <x:c r="BC401" s="9" t="str">
        <x:v>0.10114062157848806</x:v>
      </x:c>
      <x:c r="BD401" s="6" t="str">
        <x:v>0.6808510638297872</x:v>
      </x:c>
      <x:c r="BE401" s="6" t="str">
        <x:v>0.19148936170212766</x:v>
      </x:c>
      <x:c r="BF401" s="9" t="str">
        <x:v>0.539416648418603</x:v>
      </x:c>
      <x:c r="BG401" s="9" t="str">
        <x:v>0.1517109323677321</x:v>
      </x:c>
      <x:c r="BH401" s="6" t="str">
        <x:v>Against trade</x:v>
      </x:c>
      <x:c r="BI401" s="6" t="str">
        <x:v>Tolerance-only shallow touch</x:v>
      </x:c>
      <x:c r="BJ401" s="6" t="str">
        <x:v>True</x:v>
      </x:c>
      <x:c r="BK401" s="10" t="str">
        <x:v>False</x:v>
      </x:c>
      <x:c r="BL401" s="6" t="str">
        <x:v>True</x:v>
      </x:c>
      <x:c r="BM401" s="7" t="str">
        <x:v>2025-05-14 07:55:00-05:00</x:v>
      </x:c>
      <x:c r="BN401" s="8" t="str">
        <x:v>1</x:v>
      </x:c>
      <x:c r="BO401" s="6" t="str">
        <x:v>Immediate confirmation (1 bar)</x:v>
      </x:c>
      <x:c r="BP401" s="9" t="str">
        <x:v>0.033524764262412965</x:v>
      </x:c>
      <x:c r="BQ401" s="9" t="str">
        <x:v>1.0727924563972149</x:v>
      </x:c>
      <x:c r="BR401" s="10" t="str">
        <x:v>0.03125</x:v>
      </x:c>
      <x:c r="BS401" s="9" t="str">
        <x:v>0.5866833745922269</x:v>
      </x:c>
      <x:c r="BT401" s="9" t="str">
        <x:v>0.016762382131206482</x:v>
      </x:c>
      <x:c r="BU401" s="9" t="str">
        <x:v>0.5866833745922269</x:v>
      </x:c>
      <x:c r="BV401" s="6" t="str">
        <x:v>With trade</x:v>
      </x:c>
      <x:c r="BW401" s="7" t="str">
        <x:v>2025-05-14 07:55:00-05:00</x:v>
      </x:c>
      <x:c r="BX401" s="6" t="str">
        <x:v>19868.75</x:v>
      </x:c>
      <x:c r="BY401" s="9" t="str">
        <x:v>14.914347975314062</x:v>
      </x:c>
      <x:c r="BZ401" s="9" t="str">
        <x:v>0.7</x:v>
      </x:c>
      <x:c r="CA401" s="6" t="str">
        <x:v>19891.12152196297</x:v>
      </x:c>
      <x:c r="CB401" s="6" t="str">
        <x:v>22.37152196297029</x:v>
      </x:c>
      <x:c r="CC401" s="9" t="str">
        <x:v>1.4999999999999463</x:v>
      </x:c>
      <x:c r="CD401" s="6" t="str">
        <x:v>19824.00695607406</x:v>
      </x:c>
      <x:c r="CE401" s="6" t="str">
        <x:v>44.74304392594058</x:v>
      </x:c>
      <x:c r="CF401" s="6" t="str">
        <x:v>Fixed 2.00R target</x:v>
      </x:c>
      <x:c r="CG401" s="9" t="str">
        <x:v>0.032407272120333695</x:v>
      </x:c>
      <x:c r="CH401" s="9" t="str">
        <x:v>-1.0</x:v>
      </x:c>
      <x:c r="CI401" s="9" t="str">
        <x:v>-1.0324072721203337</x:v>
      </x:c>
      <x:c r="CJ401" s="6" t="str">
        <x:v>Loss</x:v>
      </x:c>
      <x:c r="CK401" s="9" t="str">
        <x:v>0.5587460710402361</x:v>
      </x:c>
      <x:c r="CL401" s="9" t="str">
        <x:v>3.1848526049293455</x:v>
      </x:c>
      <x:c r="CM401" s="7" t="str">
        <x:v>2025-05-14 08:30:00-05:00</x:v>
      </x:c>
      <x:c r="CN401" s="6" t="str">
        <x:v>19891.12152196297</x:v>
      </x:c>
      <x:c r="CO401" s="6" t="str">
        <x:v>STOP</x:v>
      </x:c>
      <x:c r="CP401" s="6" t="str">
        <x:v>F::Short::Same-bar Setup+BOS::Tolerance-only shallow touch</x:v>
      </x:c>
    </x:row>
    <x:row r="402" ht="18" customHeight="1">
      <x:c r="A402" s="6" t="str">
        <x:v>A0401</x:v>
      </x:c>
      <x:c r="B402" s="6" t="str">
        <x:v>2025-05-14</x:v>
      </x:c>
      <x:c r="C402" s="6" t="str">
        <x:v>2025</x:v>
      </x:c>
      <x:c r="D402" s="6" t="str">
        <x:v>2025-Q2</x:v>
      </x:c>
      <x:c r="E402" s="6" t="str">
        <x:v>Second 50%</x:v>
      </x:c>
      <x:c r="F402" s="6" t="str">
        <x:v>Short</x:v>
      </x:c>
      <x:c r="G402" s="6" t="str">
        <x:v>Short</x:v>
      </x:c>
      <x:c r="H402" s="6" t="str">
        <x:v>Overnight</x:v>
      </x:c>
      <x:c r="I402" s="6" t="str">
        <x:v>Overnight</x:v>
      </x:c>
      <x:c r="J402" s="6" t="str">
        <x:v>Bull</x:v>
      </x:c>
      <x:c r="K402" s="6" t="str">
        <x:v>Bull</x:v>
      </x:c>
      <x:c r="L402" s="6" t="str">
        <x:v>LOW</x:v>
      </x:c>
      <x:c r="M402" s="7" t="str">
        <x:v>2025-05-14 18:20:00-05:00</x:v>
      </x:c>
      <x:c r="N402" s="6" t="str">
        <x:v>90.0</x:v>
      </x:c>
      <x:c r="O402" s="6" t="str">
        <x:v>90-94</x:v>
      </x:c>
      <x:c r="P402" s="6" t="str">
        <x:v>Matching BOS only</x:v>
      </x:c>
      <x:c r="Q402" s="6" t="str">
        <x:v>Bear CHoCH</x:v>
      </x:c>
      <x:c r="R402" s="6" t="str">
        <x:v>True</x:v>
      </x:c>
      <x:c r="S402" s="6" t="str">
        <x:v>False</x:v>
      </x:c>
      <x:c r="T402" s="6" t="str">
        <x:v>Recent BSL</x:v>
      </x:c>
      <x:c r="U402" s="6" t="str">
        <x:v>BSL</x:v>
      </x:c>
      <x:c r="V402" s="6" t="str">
        <x:v>Swing high / buy-side</x:v>
      </x:c>
      <x:c r="W402" s="6" t="str">
        <x:v>[19955.5]</x:v>
      </x:c>
      <x:c r="X402" s="8" t="str">
        <x:v>1</x:v>
      </x:c>
      <x:c r="Y402" s="8" t="str">
        <x:v>20.0</x:v>
      </x:c>
      <x:c r="Z402" s="6" t="str">
        <x:v>None</x:v>
      </x:c>
      <x:c r="AA402" s="6" t="str">
        <x:v>19906.0</x:v>
      </x:c>
      <x:c r="AB402" s="9" t="str">
        <x:v>0.04124106554175153</x:v>
      </x:c>
      <x:c r="AC402" s="9" t="str">
        <x:v>0.7423391797515276</x:v>
      </x:c>
      <x:c r="AD402" s="9" t="str">
        <x:v>1.1341293023981671</x:v>
      </x:c>
      <x:c r="AE402" s="6" t="str">
        <x:v>With trade</x:v>
      </x:c>
      <x:c r="AF402" s="7" t="str">
        <x:v>2025-05-14 18:20:00-05:00</x:v>
      </x:c>
      <x:c r="AG402" s="6" t="str">
        <x:v>Short</x:v>
      </x:c>
      <x:c r="AH402" s="6" t="str">
        <x:v>19906.0</x:v>
      </x:c>
      <x:c r="AI402" s="8" t="str">
        <x:v>0</x:v>
      </x:c>
      <x:c r="AJ402" s="6" t="str">
        <x:v>True</x:v>
      </x:c>
      <x:c r="AK402" s="6" t="str">
        <x:v>Same-bar Setup+BOS</x:v>
      </x:c>
      <x:c r="AL402" s="9" t="str">
        <x:v>0.7423391797515276</x:v>
      </x:c>
      <x:c r="AM402" s="9" t="str">
        <x:v>0.04124106554175153</x:v>
      </x:c>
      <x:c r="AN402" s="9" t="str">
        <x:v>0.7423391797515276</x:v>
      </x:c>
      <x:c r="AO402" s="9" t="str">
        <x:v>1.1341293023981671</x:v>
      </x:c>
      <x:c r="AP402" s="10" t="str">
        <x:v>0.6545454545454545</x:v>
      </x:c>
      <x:c r="AQ402" s="6" t="str">
        <x:v>0.10909090909090909</x:v>
      </x:c>
      <x:c r="AR402" s="6" t="str">
        <x:v>0.23636363636363636</x:v>
      </x:c>
      <x:c r="AS402" s="6" t="str">
        <x:v>With trade</x:v>
      </x:c>
      <x:c r="AT402" s="6" t="str">
        <x:v>1.5445370776656426</x:v>
      </x:c>
      <x:c r="AU402" s="7" t="str">
        <x:v>2025-05-14 18:25:00-05:00</x:v>
      </x:c>
      <x:c r="AV402" s="8" t="str">
        <x:v>1</x:v>
      </x:c>
      <x:c r="AW402" s="6" t="str">
        <x:v>Immediate retest (1 bar)</x:v>
      </x:c>
      <x:c r="AX402" s="6" t="str">
        <x:v>19909.75</x:v>
      </x:c>
      <x:c r="AY402" s="6" t="str">
        <x:v>3.75</x:v>
      </x:c>
      <x:c r="AZ402" s="9" t="str">
        <x:v>0.31748931671041386</x:v>
      </x:c>
      <x:c r="BA402" s="9" t="str">
        <x:v>-0.021165954447360923</x:v>
      </x:c>
      <x:c r="BB402" s="9" t="str">
        <x:v>0.6561445878681886</x:v>
      </x:c>
      <x:c r="BC402" s="9" t="str">
        <x:v>0.0846638177894437</x:v>
      </x:c>
      <x:c r="BD402" s="6" t="str">
        <x:v>0.45161290322580644</x:v>
      </x:c>
      <x:c r="BE402" s="6" t="str">
        <x:v>0.41935483870967744</x:v>
      </x:c>
      <x:c r="BF402" s="9" t="str">
        <x:v>0.29632336226305295</x:v>
      </x:c>
      <x:c r="BG402" s="9" t="str">
        <x:v>0.27515740781569203</x:v>
      </x:c>
      <x:c r="BH402" s="6" t="str">
        <x:v>Against trade</x:v>
      </x:c>
      <x:c r="BI402" s="6" t="str">
        <x:v>Penetration without same-bar reclaim</x:v>
      </x:c>
      <x:c r="BJ402" s="6" t="str">
        <x:v>False</x:v>
      </x:c>
      <x:c r="BK402" s="10" t="str">
        <x:v>True</x:v>
      </x:c>
      <x:c r="BL402" s="6" t="str">
        <x:v>False</x:v>
      </x:c>
      <x:c r="BM402" s="7" t="str">
        <x:v>2025-05-14 18:30:00-05:00</x:v>
      </x:c>
      <x:c r="BN402" s="8" t="str">
        <x:v>1</x:v>
      </x:c>
      <x:c r="BO402" s="6" t="str">
        <x:v>Immediate confirmation (1 bar)</x:v>
      </x:c>
      <x:c r="BP402" s="9" t="str">
        <x:v>0.15501573298968163</x:v>
      </x:c>
      <x:c r="BQ402" s="9" t="str">
        <x:v>0.3986118848306099</x:v>
      </x:c>
      <x:c r="BR402" s="10" t="str">
        <x:v>0.3888888888888889</x:v>
      </x:c>
      <x:c r="BS402" s="9" t="str">
        <x:v>0.15501573298968163</x:v>
      </x:c>
      <x:c r="BT402" s="9" t="str">
        <x:v>0.17716083770249327</x:v>
      </x:c>
      <x:c r="BU402" s="9" t="str">
        <x:v>0.15501573298968163</x:v>
      </x:c>
      <x:c r="BV402" s="6" t="str">
        <x:v>With trade</x:v>
      </x:c>
      <x:c r="BW402" s="7" t="str">
        <x:v>2025-05-14 18:30:00-05:00</x:v>
      </x:c>
      <x:c r="BX402" s="6" t="str">
        <x:v>19904.25</x:v>
      </x:c>
      <x:c r="BY402" s="9" t="str">
        <x:v>11.28917669354559</x:v>
      </x:c>
      <x:c r="BZ402" s="9" t="str">
        <x:v>0.0</x:v>
      </x:c>
      <x:c r="CA402" s="6" t="str">
        <x:v>19921.183765040318</x:v>
      </x:c>
      <x:c r="CB402" s="6" t="str">
        <x:v>16.933765040317667</x:v>
      </x:c>
      <x:c r="CC402" s="9" t="str">
        <x:v>1.4999999999999363</x:v>
      </x:c>
      <x:c r="CD402" s="6" t="str">
        <x:v>19870.382469919365</x:v>
      </x:c>
      <x:c r="CE402" s="6" t="str">
        <x:v>33.86753008063533</x:v>
      </x:c>
      <x:c r="CF402" s="6" t="str">
        <x:v>Fixed 2.00R target</x:v>
      </x:c>
      <x:c r="CG402" s="9" t="str">
        <x:v>0.04281386911143769</x:v>
      </x:c>
      <x:c r="CH402" s="9" t="str">
        <x:v>-1.0</x:v>
      </x:c>
      <x:c r="CI402" s="9" t="str">
        <x:v>-1.0428138691114377</x:v>
      </x:c>
      <x:c r="CJ402" s="6" t="str">
        <x:v>Loss</x:v>
      </x:c>
      <x:c r="CK402" s="9" t="str">
        <x:v>0.10334382199312546</x:v>
      </x:c>
      <x:c r="CL402" s="9" t="str">
        <x:v>1.10725523564063</x:v>
      </x:c>
      <x:c r="CM402" s="7" t="str">
        <x:v>2025-05-14 18:50:00-05:00</x:v>
      </x:c>
      <x:c r="CN402" s="6" t="str">
        <x:v>19921.183765040318</x:v>
      </x:c>
      <x:c r="CO402" s="6" t="str">
        <x:v>STOP</x:v>
      </x:c>
      <x:c r="CP402" s="6" t="str">
        <x:v>F::Short::Same-bar Setup+BOS::Penetration without same-bar reclaim</x:v>
      </x:c>
    </x:row>
    <x:row r="403" ht="18" customHeight="1">
      <x:c r="A403" s="6" t="str">
        <x:v>A0402</x:v>
      </x:c>
      <x:c r="B403" s="6" t="str">
        <x:v>2025-05-15</x:v>
      </x:c>
      <x:c r="C403" s="6" t="str">
        <x:v>2025</x:v>
      </x:c>
      <x:c r="D403" s="6" t="str">
        <x:v>2025-Q2</x:v>
      </x:c>
      <x:c r="E403" s="6" t="str">
        <x:v>Second 50%</x:v>
      </x:c>
      <x:c r="F403" s="6" t="str">
        <x:v>Long</x:v>
      </x:c>
      <x:c r="G403" s="6" t="str">
        <x:v>Long</x:v>
      </x:c>
      <x:c r="H403" s="6" t="str">
        <x:v>Morning</x:v>
      </x:c>
      <x:c r="I403" s="6" t="str">
        <x:v>Morning</x:v>
      </x:c>
      <x:c r="J403" s="6" t="str">
        <x:v>Bull</x:v>
      </x:c>
      <x:c r="K403" s="6" t="str">
        <x:v>Bull</x:v>
      </x:c>
      <x:c r="L403" s="6" t="str">
        <x:v>MID</x:v>
      </x:c>
      <x:c r="M403" s="7" t="str">
        <x:v>2025-05-15 11:35:00-05:00</x:v>
      </x:c>
      <x:c r="N403" s="6" t="str">
        <x:v>75.0</x:v>
      </x:c>
      <x:c r="O403" s="6" t="str">
        <x:v>75-79</x:v>
      </x:c>
      <x:c r="P403" s="6" t="str">
        <x:v>Matching BOS only</x:v>
      </x:c>
      <x:c r="Q403" s="6" t="str">
        <x:v>Bull BOS</x:v>
      </x:c>
      <x:c r="R403" s="6" t="str">
        <x:v>True</x:v>
      </x:c>
      <x:c r="S403" s="6" t="str">
        <x:v>False</x:v>
      </x:c>
      <x:c r="T403" s="6" t="str">
        <x:v>No recent matching sweep</x:v>
      </x:c>
      <x:c r="U403" s="6" t="str">
        <x:v>None</x:v>
      </x:c>
      <x:c r="V403" s="6" t="str">
        <x:v>None</x:v>
      </x:c>
      <x:c r="W403" s="6" t="str">
        <x:v>[]</x:v>
      </x:c>
      <x:c r="X403" s="8" t="str">
        <x:v>0</x:v>
      </x:c>
      <x:c r="Y403" s="8" t="str"/>
      <x:c r="Z403" s="6" t="str">
        <x:v>None</x:v>
      </x:c>
      <x:c r="AA403" s="6" t="str">
        <x:v>20006.75</x:v>
      </x:c>
      <x:c r="AB403" s="9" t="str">
        <x:v>0.12448280921326023</x:v>
      </x:c>
      <x:c r="AC403" s="9" t="str">
        <x:v>1.1011940815019174</x:v>
      </x:c>
      <x:c r="AD403" s="9" t="str">
        <x:v>1.4746425091416981</x:v>
      </x:c>
      <x:c r="AE403" s="6" t="str">
        <x:v>With trade</x:v>
      </x:c>
      <x:c r="AF403" s="7" t="str">
        <x:v>2025-05-15 11:35:00-05:00</x:v>
      </x:c>
      <x:c r="AG403" s="6" t="str">
        <x:v>Long</x:v>
      </x:c>
      <x:c r="AH403" s="6" t="str">
        <x:v>20006.75</x:v>
      </x:c>
      <x:c r="AI403" s="8" t="str">
        <x:v>0</x:v>
      </x:c>
      <x:c r="AJ403" s="6" t="str">
        <x:v>True</x:v>
      </x:c>
      <x:c r="AK403" s="6" t="str">
        <x:v>Same-bar Setup+BOS</x:v>
      </x:c>
      <x:c r="AL403" s="9" t="str">
        <x:v>1.091618480793205</x:v>
      </x:c>
      <x:c r="AM403" s="9" t="str">
        <x:v>0.12448280921326023</x:v>
      </x:c>
      <x:c r="AN403" s="9" t="str">
        <x:v>1.1011940815019174</x:v>
      </x:c>
      <x:c r="AO403" s="9" t="str">
        <x:v>1.4746425091416981</x:v>
      </x:c>
      <x:c r="AP403" s="10" t="str">
        <x:v>0.7467532467532467</x:v>
      </x:c>
      <x:c r="AQ403" s="6" t="str">
        <x:v>0.16883116883116883</x:v>
      </x:c>
      <x:c r="AR403" s="6" t="str">
        <x:v>0.08441558441558442</x:v>
      </x:c>
      <x:c r="AS403" s="6" t="str">
        <x:v>With trade</x:v>
      </x:c>
      <x:c r="AT403" s="6" t="str">
        <x:v>0.9997257117779362</x:v>
      </x:c>
      <x:c r="AU403" s="7" t="str">
        <x:v>2025-05-15 11:40:00-05:00</x:v>
      </x:c>
      <x:c r="AV403" s="8" t="str">
        <x:v>1</x:v>
      </x:c>
      <x:c r="AW403" s="6" t="str">
        <x:v>Immediate retest (1 bar)</x:v>
      </x:c>
      <x:c r="AX403" s="6" t="str">
        <x:v>20002.5</x:v>
      </x:c>
      <x:c r="AY403" s="6" t="str">
        <x:v>4.25</x:v>
      </x:c>
      <x:c r="AZ403" s="9" t="str">
        <x:v>0.1677690104828523</x:v>
      </x:c>
      <x:c r="BA403" s="9" t="str">
        <x:v>0.3454067862882253</x:v>
      </x:c>
      <x:c r="BB403" s="9" t="str">
        <x:v>0.6019946846737642</x:v>
      </x:c>
      <x:c r="BC403" s="9" t="str">
        <x:v>0.21711283709545592</x:v>
      </x:c>
      <x:c r="BD403" s="6" t="str">
        <x:v>0.14754098360655737</x:v>
      </x:c>
      <x:c r="BE403" s="6" t="str">
        <x:v>0.4918032786885246</x:v>
      </x:c>
      <x:c r="BF403" s="9" t="str">
        <x:v>0.2960629596756217</x:v>
      </x:c>
      <x:c r="BG403" s="9" t="str">
        <x:v>0.08881888790268651</x:v>
      </x:c>
      <x:c r="BH403" s="6" t="str">
        <x:v>With trade</x:v>
      </x:c>
      <x:c r="BI403" s="6" t="str">
        <x:v>Penetration + same-bar reclaim</x:v>
      </x:c>
      <x:c r="BJ403" s="6" t="str">
        <x:v>False</x:v>
      </x:c>
      <x:c r="BK403" s="10" t="str">
        <x:v>True</x:v>
      </x:c>
      <x:c r="BL403" s="6" t="str">
        <x:v>True</x:v>
      </x:c>
      <x:c r="BM403" s="7" t="str">
        <x:v>2025-05-15 11:45:00-05:00</x:v>
      </x:c>
      <x:c r="BN403" s="8" t="str">
        <x:v>1</x:v>
      </x:c>
      <x:c r="BO403" s="6" t="str">
        <x:v>Immediate confirmation (1 bar)</x:v>
      </x:c>
      <x:c r="BP403" s="9" t="str">
        <x:v>0.7998358174586463</x:v>
      </x:c>
      <x:c r="BQ403" s="9" t="str">
        <x:v>0.8298296606133455</x:v>
      </x:c>
      <x:c r="BR403" s="10" t="str">
        <x:v>0.963855421686747</x:v>
      </x:c>
      <x:c r="BS403" s="9" t="str">
        <x:v>1.149763987596804</x:v>
      </x:c>
      <x:c r="BT403" s="9" t="str">
        <x:v>0.7998358174586463</x:v>
      </x:c>
      <x:c r="BU403" s="9" t="str">
        <x:v>0.0</x:v>
      </x:c>
      <x:c r="BV403" s="6" t="str">
        <x:v>With trade</x:v>
      </x:c>
      <x:c r="BW403" s="7" t="str">
        <x:v>2025-05-15 11:45:00-05:00</x:v>
      </x:c>
      <x:c r="BX403" s="6" t="str">
        <x:v>20035.5</x:v>
      </x:c>
      <x:c r="BY403" s="9" t="str">
        <x:v>25.00513175759856</x:v>
      </x:c>
      <x:c r="BZ403" s="9" t="str">
        <x:v>0.62</x:v>
      </x:c>
      <x:c r="CA403" s="6" t="str">
        <x:v>19997.992302363604</x:v>
      </x:c>
      <x:c r="CB403" s="6" t="str">
        <x:v>37.50769763639619</x:v>
      </x:c>
      <x:c r="CC403" s="9" t="str">
        <x:v>1.499999999999934</x:v>
      </x:c>
      <x:c r="CD403" s="6" t="str">
        <x:v>20110.515395272796</x:v>
      </x:c>
      <x:c r="CE403" s="6" t="str">
        <x:v>75.01539527279601</x:v>
      </x:c>
      <x:c r="CF403" s="6" t="str">
        <x:v>Fixed 2.00R target</x:v>
      </x:c>
      <x:c r="CG403" s="9" t="str">
        <x:v>0.019329365588584804</x:v>
      </x:c>
      <x:c r="CH403" s="9" t="str">
        <x:v>-0.09331417870350874</x:v>
      </x:c>
      <x:c r="CI403" s="9" t="str">
        <x:v>-0.11264354429209354</x:v>
      </x:c>
      <x:c r="CJ403" s="6" t="str">
        <x:v>Loss</x:v>
      </x:c>
      <x:c r="CK403" s="9" t="str">
        <x:v>1.0331212642174636</x:v>
      </x:c>
      <x:c r="CL403" s="9" t="str">
        <x:v>0.37325671481405137</x:v>
      </x:c>
      <x:c r="CM403" s="7" t="str">
        <x:v>2025-05-15 12:45:00-05:00</x:v>
      </x:c>
      <x:c r="CN403" s="6" t="str">
        <x:v>20032.0</x:v>
      </x:c>
      <x:c r="CO403" s="6" t="str">
        <x:v>TIME</x:v>
      </x:c>
      <x:c r="CP403" s="6" t="str">
        <x:v>F::Long::Same-bar Setup+BOS::Penetration + same-bar reclaim</x:v>
      </x:c>
    </x:row>
    <x:row r="404" ht="18" customHeight="1">
      <x:c r="A404" s="6" t="str">
        <x:v>A0403</x:v>
      </x:c>
      <x:c r="B404" s="6" t="str">
        <x:v>2025-05-16</x:v>
      </x:c>
      <x:c r="C404" s="6" t="str">
        <x:v>2025</x:v>
      </x:c>
      <x:c r="D404" s="6" t="str">
        <x:v>2025-Q2</x:v>
      </x:c>
      <x:c r="E404" s="6" t="str">
        <x:v>Second 50%</x:v>
      </x:c>
      <x:c r="F404" s="6" t="str">
        <x:v>Short</x:v>
      </x:c>
      <x:c r="G404" s="6" t="str">
        <x:v>Short</x:v>
      </x:c>
      <x:c r="H404" s="6" t="str">
        <x:v>Overnight</x:v>
      </x:c>
      <x:c r="I404" s="6" t="str">
        <x:v>Overnight</x:v>
      </x:c>
      <x:c r="J404" s="6" t="str">
        <x:v>Bull</x:v>
      </x:c>
      <x:c r="K404" s="6" t="str">
        <x:v>Bull</x:v>
      </x:c>
      <x:c r="L404" s="6" t="str">
        <x:v>LOW</x:v>
      </x:c>
      <x:c r="M404" s="7" t="str">
        <x:v>2025-05-15 23:50:00-05:00</x:v>
      </x:c>
      <x:c r="N404" s="6" t="str">
        <x:v>90.0</x:v>
      </x:c>
      <x:c r="O404" s="6" t="str">
        <x:v>90-94</x:v>
      </x:c>
      <x:c r="P404" s="6" t="str">
        <x:v>Matching BOS only</x:v>
      </x:c>
      <x:c r="Q404" s="6" t="str">
        <x:v>Bear CHoCH</x:v>
      </x:c>
      <x:c r="R404" s="6" t="str">
        <x:v>True</x:v>
      </x:c>
      <x:c r="S404" s="6" t="str">
        <x:v>False</x:v>
      </x:c>
      <x:c r="T404" s="6" t="str">
        <x:v>Recent BSL</x:v>
      </x:c>
      <x:c r="U404" s="6" t="str">
        <x:v>BSL</x:v>
      </x:c>
      <x:c r="V404" s="6" t="str">
        <x:v>Swing high / buy-side</x:v>
      </x:c>
      <x:c r="W404" s="6" t="str">
        <x:v>[19960.75]</x:v>
      </x:c>
      <x:c r="X404" s="8" t="str">
        <x:v>1</x:v>
      </x:c>
      <x:c r="Y404" s="8" t="str">
        <x:v>10.0</x:v>
      </x:c>
      <x:c r="Z404" s="6" t="str">
        <x:v>Sweep above CRT reference</x:v>
      </x:c>
      <x:c r="AA404" s="6" t="str">
        <x:v>19947.75</x:v>
      </x:c>
      <x:c r="AB404" s="9" t="str">
        <x:v>0.2771540023499574</x:v>
      </x:c>
      <x:c r="AC404" s="9" t="str">
        <x:v>1.601334235799754</x:v>
      </x:c>
      <x:c r="AD404" s="9" t="str">
        <x:v>2.525180910299612</x:v>
      </x:c>
      <x:c r="AE404" s="6" t="str">
        <x:v>With trade</x:v>
      </x:c>
      <x:c r="AF404" s="7" t="str">
        <x:v>2025-05-15 23:50:00-05:00</x:v>
      </x:c>
      <x:c r="AG404" s="6" t="str">
        <x:v>Short</x:v>
      </x:c>
      <x:c r="AH404" s="6" t="str">
        <x:v>19947.75</x:v>
      </x:c>
      <x:c r="AI404" s="8" t="str">
        <x:v>0</x:v>
      </x:c>
      <x:c r="AJ404" s="6" t="str">
        <x:v>True</x:v>
      </x:c>
      <x:c r="AK404" s="6" t="str">
        <x:v>Same-bar Setup+BOS</x:v>
      </x:c>
      <x:c r="AL404" s="9" t="str">
        <x:v>1.5089495683497682</x:v>
      </x:c>
      <x:c r="AM404" s="9" t="str">
        <x:v>0.2771540023499574</x:v>
      </x:c>
      <x:c r="AN404" s="9" t="str">
        <x:v>1.601334235799754</x:v>
      </x:c>
      <x:c r="AO404" s="9" t="str">
        <x:v>2.525180910299612</x:v>
      </x:c>
      <x:c r="AP404" s="10" t="str">
        <x:v>0.6341463414634146</x:v>
      </x:c>
      <x:c r="AQ404" s="6" t="str">
        <x:v>0.21951219512195122</x:v>
      </x:c>
      <x:c r="AR404" s="6" t="str">
        <x:v>0.14634146341463414</x:v>
      </x:c>
      <x:c r="AS404" s="6" t="str">
        <x:v>With trade</x:v>
      </x:c>
      <x:c r="AT404" s="6" t="str">
        <x:v>3.4670116429495472</x:v>
      </x:c>
      <x:c r="AU404" s="7" t="str">
        <x:v>2025-05-15 23:55:00-05:00</x:v>
      </x:c>
      <x:c r="AV404" s="8" t="str">
        <x:v>1</x:v>
      </x:c>
      <x:c r="AW404" s="6" t="str">
        <x:v>Immediate retest (1 bar)</x:v>
      </x:c>
      <x:c r="AX404" s="6" t="str">
        <x:v>19948.25</x:v>
      </x:c>
      <x:c r="AY404" s="6" t="str">
        <x:v>0.5</x:v>
      </x:c>
      <x:c r="AZ404" s="9" t="str">
        <x:v>0.06375982992233041</x:v>
      </x:c>
      <x:c r="BA404" s="9" t="str">
        <x:v>0.09563974488349561</x:v>
      </x:c>
      <x:c r="BB404" s="9" t="str">
        <x:v>0.5419585543398084</x:v>
      </x:c>
      <x:c r="BC404" s="9" t="str">
        <x:v>0.28691923465048685</x:v>
      </x:c>
      <x:c r="BD404" s="6" t="str">
        <x:v>0.29411764705882354</x:v>
      </x:c>
      <x:c r="BE404" s="6" t="str">
        <x:v>0.17647058823529413</x:v>
      </x:c>
      <x:c r="BF404" s="9" t="str">
        <x:v>0.15939957480582603</x:v>
      </x:c>
      <x:c r="BG404" s="9" t="str">
        <x:v>0.09563974488349561</x:v>
      </x:c>
      <x:c r="BH404" s="6" t="str">
        <x:v>Against trade</x:v>
      </x:c>
      <x:c r="BI404" s="6" t="str">
        <x:v>Penetration + same-bar reclaim</x:v>
      </x:c>
      <x:c r="BJ404" s="6" t="str">
        <x:v>False</x:v>
      </x:c>
      <x:c r="BK404" s="10" t="str">
        <x:v>True</x:v>
      </x:c>
      <x:c r="BL404" s="6" t="str">
        <x:v>True</x:v>
      </x:c>
      <x:c r="BM404" s="7" t="str">
        <x:v>2025-05-16 00:05:00-05:00</x:v>
      </x:c>
      <x:c r="BN404" s="8" t="str">
        <x:v>2</x:v>
      </x:c>
      <x:c r="BO404" s="6" t="str">
        <x:v>Delayed confirmation (2+ bars)</x:v>
      </x:c>
      <x:c r="BP404" s="9" t="str">
        <x:v>0.3610094173113815</x:v>
      </x:c>
      <x:c r="BQ404" s="9" t="str">
        <x:v>0.6891997966853647</x:v>
      </x:c>
      <x:c r="BR404" s="10" t="str">
        <x:v>0.5238095238095238</x:v>
      </x:c>
      <x:c r="BS404" s="9" t="str">
        <x:v>0.1969142276243899</x:v>
      </x:c>
      <x:c r="BT404" s="9" t="str">
        <x:v>0.09845711381219495</x:v>
      </x:c>
      <x:c r="BU404" s="9" t="str">
        <x:v>0.06563807587479663</x:v>
      </x:c>
      <x:c r="BV404" s="6" t="str">
        <x:v>With trade</x:v>
      </x:c>
      <x:c r="BW404" s="7" t="str">
        <x:v>2025-05-16 00:05:00-05:00</x:v>
      </x:c>
      <x:c r="BX404" s="6" t="str">
        <x:v>19946.25</x:v>
      </x:c>
      <x:c r="BY404" s="9" t="str">
        <x:v>7.617529815373326</x:v>
      </x:c>
      <x:c r="BZ404" s="9" t="str">
        <x:v>0.02</x:v>
      </x:c>
      <x:c r="CA404" s="6" t="str">
        <x:v>19957.67629472306</x:v>
      </x:c>
      <x:c r="CB404" s="6" t="str">
        <x:v>11.426294723059982</x:v>
      </x:c>
      <x:c r="CC404" s="9" t="str">
        <x:v>1.4999999999999991</x:v>
      </x:c>
      <x:c r="CD404" s="6" t="str">
        <x:v>19923.39741055388</x:v>
      </x:c>
      <x:c r="CE404" s="6" t="str">
        <x:v>22.852589446119964</x:v>
      </x:c>
      <x:c r="CF404" s="6" t="str">
        <x:v>Fixed 2.00R target</x:v>
      </x:c>
      <x:c r="CG404" s="9" t="str">
        <x:v>0.06345014001230345</x:v>
      </x:c>
      <x:c r="CH404" s="9" t="str">
        <x:v>0.612622041498102</x:v>
      </x:c>
      <x:c r="CI404" s="9" t="str">
        <x:v>0.5491719014857985</x:v>
      </x:c>
      <x:c r="CJ404" s="6" t="str">
        <x:v>Win</x:v>
      </x:c>
      <x:c r="CK404" s="9" t="str">
        <x:v>1.5534344623701881</x:v>
      </x:c>
      <x:c r="CL404" s="9" t="str">
        <x:v>0.24067294487425447</x:v>
      </x:c>
      <x:c r="CM404" s="7" t="str">
        <x:v>2025-05-16 01:05:00-05:00</x:v>
      </x:c>
      <x:c r="CN404" s="6" t="str">
        <x:v>19939.25</x:v>
      </x:c>
      <x:c r="CO404" s="6" t="str">
        <x:v>TIME</x:v>
      </x:c>
      <x:c r="CP404" s="6" t="str">
        <x:v>F::Short::Same-bar Setup+BOS::Penetration + same-bar reclaim</x:v>
      </x:c>
    </x:row>
    <x:row r="405" ht="18" customHeight="1">
      <x:c r="A405" s="6" t="str">
        <x:v>A0404</x:v>
      </x:c>
      <x:c r="B405" s="6" t="str">
        <x:v>2025-05-19</x:v>
      </x:c>
      <x:c r="C405" s="6" t="str">
        <x:v>2025</x:v>
      </x:c>
      <x:c r="D405" s="6" t="str">
        <x:v>2025-Q2</x:v>
      </x:c>
      <x:c r="E405" s="6" t="str">
        <x:v>Second 50%</x:v>
      </x:c>
      <x:c r="F405" s="6" t="str">
        <x:v>Short</x:v>
      </x:c>
      <x:c r="G405" s="6" t="str">
        <x:v>Short</x:v>
      </x:c>
      <x:c r="H405" s="6" t="str">
        <x:v>Overnight</x:v>
      </x:c>
      <x:c r="I405" s="6" t="str">
        <x:v>Overnight</x:v>
      </x:c>
      <x:c r="J405" s="6" t="str">
        <x:v>Bull</x:v>
      </x:c>
      <x:c r="K405" s="6" t="str">
        <x:v>Bull</x:v>
      </x:c>
      <x:c r="L405" s="6" t="str">
        <x:v>LOW</x:v>
      </x:c>
      <x:c r="M405" s="7" t="str">
        <x:v>2025-05-19 20:00:00-05:00</x:v>
      </x:c>
      <x:c r="N405" s="6" t="str">
        <x:v>90.0</x:v>
      </x:c>
      <x:c r="O405" s="6" t="str">
        <x:v>90-94</x:v>
      </x:c>
      <x:c r="P405" s="6" t="str">
        <x:v>Matching BOS only</x:v>
      </x:c>
      <x:c r="Q405" s="6" t="str">
        <x:v>Bear CHoCH</x:v>
      </x:c>
      <x:c r="R405" s="6" t="str">
        <x:v>True</x:v>
      </x:c>
      <x:c r="S405" s="6" t="str">
        <x:v>False</x:v>
      </x:c>
      <x:c r="T405" s="6" t="str">
        <x:v>Recent BSL</x:v>
      </x:c>
      <x:c r="U405" s="6" t="str">
        <x:v>BSL</x:v>
      </x:c>
      <x:c r="V405" s="6" t="str">
        <x:v>Swing high / buy-side</x:v>
      </x:c>
      <x:c r="W405" s="6" t="str">
        <x:v>[20106.5]</x:v>
      </x:c>
      <x:c r="X405" s="8" t="str">
        <x:v>1</x:v>
      </x:c>
      <x:c r="Y405" s="8" t="str">
        <x:v>10.0</x:v>
      </x:c>
      <x:c r="Z405" s="6" t="str">
        <x:v>None</x:v>
      </x:c>
      <x:c r="AA405" s="6" t="str">
        <x:v>20037.5</x:v>
      </x:c>
      <x:c r="AB405" s="9" t="str">
        <x:v>0.017037497475710716</x:v>
      </x:c>
      <x:c r="AC405" s="9" t="str">
        <x:v>1.3970747930082787</x:v>
      </x:c>
      <x:c r="AD405" s="9" t="str">
        <x:v>1.9763497071824432</x:v>
      </x:c>
      <x:c r="AE405" s="6" t="str">
        <x:v>With trade</x:v>
      </x:c>
      <x:c r="AF405" s="7" t="str">
        <x:v>2025-05-19 20:00:00-05:00</x:v>
      </x:c>
      <x:c r="AG405" s="6" t="str">
        <x:v>Short</x:v>
      </x:c>
      <x:c r="AH405" s="6" t="str">
        <x:v>20037.5</x:v>
      </x:c>
      <x:c r="AI405" s="8" t="str">
        <x:v>0</x:v>
      </x:c>
      <x:c r="AJ405" s="6" t="str">
        <x:v>True</x:v>
      </x:c>
      <x:c r="AK405" s="6" t="str">
        <x:v>Same-bar Setup+BOS</x:v>
      </x:c>
      <x:c r="AL405" s="9" t="str">
        <x:v>1.448187285435411</x:v>
      </x:c>
      <x:c r="AM405" s="9" t="str">
        <x:v>0.017037497475710716</x:v>
      </x:c>
      <x:c r="AN405" s="9" t="str">
        <x:v>1.3970747930082787</x:v>
      </x:c>
      <x:c r="AO405" s="9" t="str">
        <x:v>1.9763497071824432</x:v>
      </x:c>
      <x:c r="AP405" s="10" t="str">
        <x:v>0.7068965517241379</x:v>
      </x:c>
      <x:c r="AQ405" s="6" t="str">
        <x:v>0.02586206896551724</x:v>
      </x:c>
      <x:c r="AR405" s="6" t="str">
        <x:v>0.2672413793103448</x:v>
      </x:c>
      <x:c r="AS405" s="6" t="str">
        <x:v>With trade</x:v>
      </x:c>
      <x:c r="AT405" s="6" t="str">
        <x:v>2.8688057717865956</x:v>
      </x:c>
      <x:c r="AU405" s="7" t="str">
        <x:v>2025-05-19 20:05:00-05:00</x:v>
      </x:c>
      <x:c r="AV405" s="8" t="str">
        <x:v>1</x:v>
      </x:c>
      <x:c r="AW405" s="6" t="str">
        <x:v>Immediate retest (1 bar)</x:v>
      </x:c>
      <x:c r="AX405" s="6" t="str">
        <x:v>20037.25</x:v>
      </x:c>
      <x:c r="AY405" s="6" t="str">
        <x:v>0.0</x:v>
      </x:c>
      <x:c r="AZ405" s="9" t="str">
        <x:v>0.0</x:v>
      </x:c>
      <x:c r="BA405" s="9" t="str">
        <x:v>0.9355754745491659</x:v>
      </x:c>
      <x:c r="BB405" s="9" t="str">
        <x:v>1.0206277904172718</x:v>
      </x:c>
      <x:c r="BC405" s="9" t="str">
        <x:v>0.9015545482019235</x:v>
      </x:c>
      <x:c r="BD405" s="6" t="str">
        <x:v>0.016666666666666666</x:v>
      </x:c>
      <x:c r="BE405" s="6" t="str">
        <x:v>0.1</x:v>
      </x:c>
      <x:c r="BF405" s="9" t="str">
        <x:v>0.017010463173621197</x:v>
      </x:c>
      <x:c r="BG405" s="9" t="str">
        <x:v>0.10206277904172718</x:v>
      </x:c>
      <x:c r="BH405" s="6" t="str">
        <x:v>With trade</x:v>
      </x:c>
      <x:c r="BI405" s="6" t="str">
        <x:v>Tolerance-only shallow touch</x:v>
      </x:c>
      <x:c r="BJ405" s="6" t="str">
        <x:v>True</x:v>
      </x:c>
      <x:c r="BK405" s="10" t="str">
        <x:v>False</x:v>
      </x:c>
      <x:c r="BL405" s="6" t="str">
        <x:v>True</x:v>
      </x:c>
      <x:c r="BM405" s="7" t="str">
        <x:v>2025-05-19 20:15:00-05:00</x:v>
      </x:c>
      <x:c r="BN405" s="8" t="str">
        <x:v>2</x:v>
      </x:c>
      <x:c r="BO405" s="6" t="str">
        <x:v>Delayed confirmation (2+ bars)</x:v>
      </x:c>
      <x:c r="BP405" s="9" t="str">
        <x:v>0.2789027757890653</x:v>
      </x:c>
      <x:c r="BQ405" s="9" t="str">
        <x:v>1.0633168326958116</x:v>
      </x:c>
      <x:c r="BR405" s="10" t="str">
        <x:v>0.26229508196721313</x:v>
      </x:c>
      <x:c r="BS405" s="9" t="str">
        <x:v>1.255062491050794</x:v>
      </x:c>
      <x:c r="BT405" s="9" t="str">
        <x:v>0.2963341992758819</x:v>
      </x:c>
      <x:c r="BU405" s="9" t="str">
        <x:v>0.0871571174340829</x:v>
      </x:c>
      <x:c r="BV405" s="6" t="str">
        <x:v>With trade</x:v>
      </x:c>
      <x:c r="BW405" s="7" t="str">
        <x:v>2025-05-19 20:15:00-05:00</x:v>
      </x:c>
      <x:c r="BX405" s="6" t="str">
        <x:v>20019.5</x:v>
      </x:c>
      <x:c r="BY405" s="9" t="str">
        <x:v>14.34191534552961</x:v>
      </x:c>
      <x:c r="BZ405" s="9" t="str">
        <x:v>0.33</x:v>
      </x:c>
      <x:c r="CA405" s="6" t="str">
        <x:v>20041.012873018295</x:v>
      </x:c>
      <x:c r="CB405" s="6" t="str">
        <x:v>21.512873018295068</x:v>
      </x:c>
      <x:c r="CC405" s="9" t="str">
        <x:v>1.5000000000000455</x:v>
      </x:c>
      <x:c r="CD405" s="6" t="str">
        <x:v>19976.47425396341</x:v>
      </x:c>
      <x:c r="CE405" s="6" t="str">
        <x:v>43.025746036590135</x:v>
      </x:c>
      <x:c r="CF405" s="6" t="str">
        <x:v>Fixed 2.00R target</x:v>
      </x:c>
      <x:c r="CG405" s="9" t="str">
        <x:v>0.03370075207451104</x:v>
      </x:c>
      <x:c r="CH405" s="9" t="str">
        <x:v>1.1272320521474724</x:v>
      </x:c>
      <x:c r="CI405" s="9" t="str">
        <x:v>1.0935313000729614</x:v>
      </x:c>
      <x:c r="CJ405" s="6" t="str">
        <x:v>Win</x:v>
      </x:c>
      <x:c r="CK405" s="9" t="str">
        <x:v>1.8012470936376588</x:v>
      </x:c>
      <x:c r="CL405" s="9" t="str">
        <x:v>0.0</x:v>
      </x:c>
      <x:c r="CM405" s="7" t="str">
        <x:v>2025-05-19 21:15:00-05:00</x:v>
      </x:c>
      <x:c r="CN405" s="6" t="str">
        <x:v>19995.25</x:v>
      </x:c>
      <x:c r="CO405" s="6" t="str">
        <x:v>TIME</x:v>
      </x:c>
      <x:c r="CP405" s="6" t="str">
        <x:v>F::Short::Same-bar Setup+BOS::Tolerance-only shallow touch</x:v>
      </x:c>
    </x:row>
    <x:row r="406" ht="18" customHeight="1">
      <x:c r="A406" s="6" t="str">
        <x:v>A0405</x:v>
      </x:c>
      <x:c r="B406" s="6" t="str">
        <x:v>2025-05-20</x:v>
      </x:c>
      <x:c r="C406" s="6" t="str">
        <x:v>2025</x:v>
      </x:c>
      <x:c r="D406" s="6" t="str">
        <x:v>2025-Q2</x:v>
      </x:c>
      <x:c r="E406" s="6" t="str">
        <x:v>Second 50%</x:v>
      </x:c>
      <x:c r="F406" s="6" t="str">
        <x:v>Long</x:v>
      </x:c>
      <x:c r="G406" s="6" t="str">
        <x:v>Long</x:v>
      </x:c>
      <x:c r="H406" s="6" t="str">
        <x:v>Overnight</x:v>
      </x:c>
      <x:c r="I406" s="6" t="str">
        <x:v>Overnight</x:v>
      </x:c>
      <x:c r="J406" s="6" t="str">
        <x:v>Bull</x:v>
      </x:c>
      <x:c r="K406" s="6" t="str">
        <x:v>Bull</x:v>
      </x:c>
      <x:c r="L406" s="6" t="str">
        <x:v>LOW</x:v>
      </x:c>
      <x:c r="M406" s="7" t="str">
        <x:v>2025-05-20 00:00:00-05:00</x:v>
      </x:c>
      <x:c r="N406" s="6" t="str">
        <x:v>90.0</x:v>
      </x:c>
      <x:c r="O406" s="6" t="str">
        <x:v>90-94</x:v>
      </x:c>
      <x:c r="P406" s="6" t="str">
        <x:v>Matching BOS only</x:v>
      </x:c>
      <x:c r="Q406" s="6" t="str">
        <x:v>Bull CHoCH</x:v>
      </x:c>
      <x:c r="R406" s="6" t="str">
        <x:v>True</x:v>
      </x:c>
      <x:c r="S406" s="6" t="str">
        <x:v>False</x:v>
      </x:c>
      <x:c r="T406" s="6" t="str">
        <x:v>Recent SSL</x:v>
      </x:c>
      <x:c r="U406" s="6" t="str">
        <x:v>SSL</x:v>
      </x:c>
      <x:c r="V406" s="6" t="str">
        <x:v>Swing low / sell-side</x:v>
      </x:c>
      <x:c r="W406" s="6" t="str">
        <x:v>[19979.0]</x:v>
      </x:c>
      <x:c r="X406" s="8" t="str">
        <x:v>1</x:v>
      </x:c>
      <x:c r="Y406" s="8" t="str">
        <x:v>17.0</x:v>
      </x:c>
      <x:c r="Z406" s="6" t="str">
        <x:v>None</x:v>
      </x:c>
      <x:c r="AA406" s="6" t="str">
        <x:v>19999.25</x:v>
      </x:c>
      <x:c r="AB406" s="9" t="str">
        <x:v>0.09700431244544064</x:v>
      </x:c>
      <x:c r="AC406" s="9" t="str">
        <x:v>0.9215409682316861</x:v>
      </x:c>
      <x:c r="AD406" s="9" t="str">
        <x:v>1.1398006712339275</x:v>
      </x:c>
      <x:c r="AE406" s="6" t="str">
        <x:v>With trade</x:v>
      </x:c>
      <x:c r="AF406" s="7" t="str">
        <x:v>2025-05-20 00:00:00-05:00</x:v>
      </x:c>
      <x:c r="AG406" s="6" t="str">
        <x:v>Long</x:v>
      </x:c>
      <x:c r="AH406" s="6" t="str">
        <x:v>19999.25</x:v>
      </x:c>
      <x:c r="AI406" s="8" t="str">
        <x:v>0</x:v>
      </x:c>
      <x:c r="AJ406" s="6" t="str">
        <x:v>True</x:v>
      </x:c>
      <x:c r="AK406" s="6" t="str">
        <x:v>Same-bar Setup+BOS</x:v>
      </x:c>
      <x:c r="AL406" s="9" t="str">
        <x:v>0.8002855776748853</x:v>
      </x:c>
      <x:c r="AM406" s="9" t="str">
        <x:v>0.09700431244544064</x:v>
      </x:c>
      <x:c r="AN406" s="9" t="str">
        <x:v>0.9215409682316861</x:v>
      </x:c>
      <x:c r="AO406" s="9" t="str">
        <x:v>1.1398006712339275</x:v>
      </x:c>
      <x:c r="AP406" s="10" t="str">
        <x:v>0.8085106382978723</x:v>
      </x:c>
      <x:c r="AQ406" s="6" t="str">
        <x:v>0.1702127659574468</x:v>
      </x:c>
      <x:c r="AR406" s="6" t="str">
        <x:v>0.02127659574468085</x:v>
      </x:c>
      <x:c r="AS406" s="6" t="str">
        <x:v>With trade</x:v>
      </x:c>
      <x:c r="AT406" s="6" t="str">
        <x:v>1.205246366536689</x:v>
      </x:c>
      <x:c r="AU406" s="7" t="str">
        <x:v>2025-05-20 00:05:00-05:00</x:v>
      </x:c>
      <x:c r="AV406" s="8" t="str">
        <x:v>1</x:v>
      </x:c>
      <x:c r="AW406" s="6" t="str">
        <x:v>Immediate retest (1 bar)</x:v>
      </x:c>
      <x:c r="AX406" s="6" t="str">
        <x:v>19996.75</x:v>
      </x:c>
      <x:c r="AY406" s="6" t="str">
        <x:v>2.5</x:v>
      </x:c>
      <x:c r="AZ406" s="9" t="str">
        <x:v>0.23970195786296514</x:v>
      </x:c>
      <x:c r="BA406" s="9" t="str">
        <x:v>0.791016460947785</x:v>
      </x:c>
      <x:c r="BB406" s="9" t="str">
        <x:v>1.1505693977422327</x:v>
      </x:c>
      <x:c r="BC406" s="9" t="str">
        <x:v>0.6471952862300059</x:v>
      </x:c>
      <x:c r="BD406" s="6" t="str">
        <x:v>0.10416666666666667</x:v>
      </x:c>
      <x:c r="BE406" s="6" t="str">
        <x:v>0.3333333333333333</x:v>
      </x:c>
      <x:c r="BF406" s="9" t="str">
        <x:v>0.3835231325807442</x:v>
      </x:c>
      <x:c r="BG406" s="9" t="str">
        <x:v>0.11985097893148257</x:v>
      </x:c>
      <x:c r="BH406" s="6" t="str">
        <x:v>With trade</x:v>
      </x:c>
      <x:c r="BI406" s="6" t="str">
        <x:v>Penetration + same-bar reclaim</x:v>
      </x:c>
      <x:c r="BJ406" s="6" t="str">
        <x:v>False</x:v>
      </x:c>
      <x:c r="BK406" s="10" t="str">
        <x:v>True</x:v>
      </x:c>
      <x:c r="BL406" s="6" t="str">
        <x:v>True</x:v>
      </x:c>
      <x:c r="BM406" s="7" t="str">
        <x:v>2025-05-20 00:10:00-05:00</x:v>
      </x:c>
      <x:c r="BN406" s="8" t="str">
        <x:v>1</x:v>
      </x:c>
      <x:c r="BO406" s="6" t="str">
        <x:v>Immediate confirmation (1 bar)</x:v>
      </x:c>
      <x:c r="BP406" s="9" t="str">
        <x:v>0.3859805205775881</x:v>
      </x:c>
      <x:c r="BQ406" s="9" t="str">
        <x:v>0.9167037363717717</x:v>
      </x:c>
      <x:c r="BR406" s="10" t="str">
        <x:v>0.42105263157894735</x:v>
      </x:c>
      <x:c r="BS406" s="9" t="str">
        <x:v>1.1820653442688636</x:v>
      </x:c>
      <x:c r="BT406" s="9" t="str">
        <x:v>0.3859805205775881</x:v>
      </x:c>
      <x:c r="BU406" s="9" t="str">
        <x:v>0.28948539043319105</x:v>
      </x:c>
      <x:c r="BV406" s="6" t="str">
        <x:v>With trade</x:v>
      </x:c>
      <x:c r="BW406" s="7" t="str">
        <x:v>2025-05-20 00:10:00-05:00</x:v>
      </x:c>
      <x:c r="BX406" s="6" t="str">
        <x:v>20011.5</x:v>
      </x:c>
      <x:c r="BY406" s="9" t="str">
        <x:v>10.363217278463507</x:v>
      </x:c>
      <x:c r="BZ406" s="9" t="str">
        <x:v>0.07</x:v>
      </x:c>
      <x:c r="CA406" s="6" t="str">
        <x:v>19995.955174082304</x:v>
      </x:c>
      <x:c r="CB406" s="6" t="str">
        <x:v>15.544825917695562</x:v>
      </x:c>
      <x:c r="CC406" s="9" t="str">
        <x:v>1.500000000000029</x:v>
      </x:c>
      <x:c r="CD406" s="6" t="str">
        <x:v>20042.58965183539</x:v>
      </x:c>
      <x:c r="CE406" s="6" t="str">
        <x:v>31.089651835391123</x:v>
      </x:c>
      <x:c r="CF406" s="6" t="str">
        <x:v>Fixed 2.00R target</x:v>
      </x:c>
      <x:c r="CG406" s="9" t="str">
        <x:v>0.04663931290312432</x:v>
      </x:c>
      <x:c r="CH406" s="9" t="str">
        <x:v>-1.0</x:v>
      </x:c>
      <x:c r="CI406" s="9" t="str">
        <x:v>-1.0466393129031244</x:v>
      </x:c>
      <x:c r="CJ406" s="6" t="str">
        <x:v>Loss</x:v>
      </x:c>
      <x:c r="CK406" s="9" t="str">
        <x:v>1.286601735258602</x:v>
      </x:c>
      <x:c r="CL406" s="9" t="str">
        <x:v>1.6404172124547176</x:v>
      </x:c>
      <x:c r="CM406" s="7" t="str">
        <x:v>2025-05-20 00:45:00-05:00</x:v>
      </x:c>
      <x:c r="CN406" s="6" t="str">
        <x:v>19995.955174082304</x:v>
      </x:c>
      <x:c r="CO406" s="6" t="str">
        <x:v>STOP</x:v>
      </x:c>
      <x:c r="CP406" s="6" t="str">
        <x:v>F::Long::Same-bar Setup+BOS::Penetration + same-bar reclaim</x:v>
      </x:c>
    </x:row>
    <x:row r="407" ht="18" customHeight="1">
      <x:c r="A407" s="6" t="str">
        <x:v>A0406</x:v>
      </x:c>
      <x:c r="B407" s="6" t="str">
        <x:v>2025-05-20</x:v>
      </x:c>
      <x:c r="C407" s="6" t="str">
        <x:v>2025</x:v>
      </x:c>
      <x:c r="D407" s="6" t="str">
        <x:v>2025-Q2</x:v>
      </x:c>
      <x:c r="E407" s="6" t="str">
        <x:v>Second 50%</x:v>
      </x:c>
      <x:c r="F407" s="6" t="str">
        <x:v>Long</x:v>
      </x:c>
      <x:c r="G407" s="6" t="str">
        <x:v>Long</x:v>
      </x:c>
      <x:c r="H407" s="6" t="str">
        <x:v>Midday</x:v>
      </x:c>
      <x:c r="I407" s="6" t="str">
        <x:v>Morning</x:v>
      </x:c>
      <x:c r="J407" s="6" t="str">
        <x:v>Bull</x:v>
      </x:c>
      <x:c r="K407" s="6" t="str">
        <x:v>Bull</x:v>
      </x:c>
      <x:c r="L407" s="6" t="str">
        <x:v>MID</x:v>
      </x:c>
      <x:c r="M407" s="7" t="str">
        <x:v>2025-05-20 11:35:00-05:00</x:v>
      </x:c>
      <x:c r="N407" s="6" t="str">
        <x:v>75.0</x:v>
      </x:c>
      <x:c r="O407" s="6" t="str">
        <x:v>75-79</x:v>
      </x:c>
      <x:c r="P407" s="6" t="str">
        <x:v>Matching BOS only</x:v>
      </x:c>
      <x:c r="Q407" s="6" t="str">
        <x:v>Bull CHoCH</x:v>
      </x:c>
      <x:c r="R407" s="6" t="str">
        <x:v>True</x:v>
      </x:c>
      <x:c r="S407" s="6" t="str">
        <x:v>False</x:v>
      </x:c>
      <x:c r="T407" s="6" t="str">
        <x:v>No recent matching sweep</x:v>
      </x:c>
      <x:c r="U407" s="6" t="str">
        <x:v>None</x:v>
      </x:c>
      <x:c r="V407" s="6" t="str">
        <x:v>None</x:v>
      </x:c>
      <x:c r="W407" s="6" t="str">
        <x:v>[]</x:v>
      </x:c>
      <x:c r="X407" s="8" t="str">
        <x:v>0</x:v>
      </x:c>
      <x:c r="Y407" s="8" t="str"/>
      <x:c r="Z407" s="6" t="str">
        <x:v>None</x:v>
      </x:c>
      <x:c r="AA407" s="6" t="str">
        <x:v>19990.25</x:v>
      </x:c>
      <x:c r="AB407" s="9" t="str">
        <x:v>0.5253554865101124</x:v>
      </x:c>
      <x:c r="AC407" s="9" t="str">
        <x:v>0.798540339495371</x:v>
      </x:c>
      <x:c r="AD407" s="9" t="str">
        <x:v>1.0507109730202249</x:v>
      </x:c>
      <x:c r="AE407" s="6" t="str">
        <x:v>With trade</x:v>
      </x:c>
      <x:c r="AF407" s="7" t="str">
        <x:v>2025-05-20 11:35:00-05:00</x:v>
      </x:c>
      <x:c r="AG407" s="6" t="str">
        <x:v>Long</x:v>
      </x:c>
      <x:c r="AH407" s="6" t="str">
        <x:v>19990.25</x:v>
      </x:c>
      <x:c r="AI407" s="8" t="str">
        <x:v>0</x:v>
      </x:c>
      <x:c r="AJ407" s="6" t="str">
        <x:v>True</x:v>
      </x:c>
      <x:c r="AK407" s="6" t="str">
        <x:v>Same-bar Setup+BOS</x:v>
      </x:c>
      <x:c r="AL407" s="9" t="str">
        <x:v>0.7775261200349665</x:v>
      </x:c>
      <x:c r="AM407" s="9" t="str">
        <x:v>0.5253554865101124</x:v>
      </x:c>
      <x:c r="AN407" s="9" t="str">
        <x:v>0.798540339495371</x:v>
      </x:c>
      <x:c r="AO407" s="9" t="str">
        <x:v>1.0507109730202249</x:v>
      </x:c>
      <x:c r="AP407" s="10" t="str">
        <x:v>0.76</x:v>
      </x:c>
      <x:c r="AQ407" s="6" t="str">
        <x:v>0.21</x:v>
      </x:c>
      <x:c r="AR407" s="6" t="str">
        <x:v>0.03</x:v>
      </x:c>
      <x:c r="AS407" s="6" t="str">
        <x:v>With trade</x:v>
      </x:c>
      <x:c r="AT407" s="6" t="str">
        <x:v>1.0601464090219614</x:v>
      </x:c>
      <x:c r="AU407" s="7" t="str">
        <x:v>2025-05-20 12:20:00-05:00</x:v>
      </x:c>
      <x:c r="AV407" s="8" t="str">
        <x:v>9</x:v>
      </x:c>
      <x:c r="AW407" s="6" t="str">
        <x:v>Delayed retest (2+ bars)</x:v>
      </x:c>
      <x:c r="AX407" s="6" t="str">
        <x:v>19988.25</x:v>
      </x:c>
      <x:c r="AY407" s="6" t="str">
        <x:v>2.0</x:v>
      </x:c>
      <x:c r="AZ407" s="9" t="str">
        <x:v>0.1046856909804066</x:v>
      </x:c>
      <x:c r="BA407" s="9" t="str">
        <x:v>0.1570285364706099</x:v>
      </x:c>
      <x:c r="BB407" s="9" t="str">
        <x:v>0.7066284141177446</x:v>
      </x:c>
      <x:c r="BC407" s="9" t="str">
        <x:v>0.4318284752941772</x:v>
      </x:c>
      <x:c r="BD407" s="6" t="str">
        <x:v>0.018518518518518517</x:v>
      </x:c>
      <x:c r="BE407" s="6" t="str">
        <x:v>0.37037037037037035</x:v>
      </x:c>
      <x:c r="BF407" s="9" t="str">
        <x:v>0.2617142274510165</x:v>
      </x:c>
      <x:c r="BG407" s="9" t="str">
        <x:v>0.013085711372550825</x:v>
      </x:c>
      <x:c r="BH407" s="6" t="str">
        <x:v>Against trade</x:v>
      </x:c>
      <x:c r="BI407" s="6" t="str">
        <x:v>Penetration + same-bar reclaim</x:v>
      </x:c>
      <x:c r="BJ407" s="6" t="str">
        <x:v>False</x:v>
      </x:c>
      <x:c r="BK407" s="10" t="str">
        <x:v>True</x:v>
      </x:c>
      <x:c r="BL407" s="6" t="str">
        <x:v>True</x:v>
      </x:c>
      <x:c r="BM407" s="7" t="str">
        <x:v>2025-05-20 12:25:00-05:00</x:v>
      </x:c>
      <x:c r="BN407" s="8" t="str">
        <x:v>1</x:v>
      </x:c>
      <x:c r="BO407" s="6" t="str">
        <x:v>Immediate confirmation (1 bar)</x:v>
      </x:c>
      <x:c r="BP407" s="9" t="str">
        <x:v>0.2665524291946829</x:v>
      </x:c>
      <x:c r="BQ407" s="9" t="str">
        <x:v>0.7596744232048462</x:v>
      </x:c>
      <x:c r="BR407" s="10" t="str">
        <x:v>0.3508771929824561</x:v>
      </x:c>
      <x:c r="BS407" s="9" t="str">
        <x:v>0.4264838867114926</x:v>
      </x:c>
      <x:c r="BT407" s="9" t="str">
        <x:v>0.2665524291946829</x:v>
      </x:c>
      <x:c r="BU407" s="9" t="str">
        <x:v>0.05331048583893658</x:v>
      </x:c>
      <x:c r="BV407" s="6" t="str">
        <x:v>With trade</x:v>
      </x:c>
      <x:c r="BW407" s="7" t="str">
        <x:v>2025-05-20 12:25:00-05:00</x:v>
      </x:c>
      <x:c r="BX407" s="6" t="str">
        <x:v>19998.25</x:v>
      </x:c>
      <x:c r="BY407" s="9" t="str">
        <x:v>18.758035764694274</x:v>
      </x:c>
      <x:c r="BZ407" s="9" t="str">
        <x:v>0.55</x:v>
      </x:c>
      <x:c r="CA407" s="6" t="str">
        <x:v>19970.112946352958</x:v>
      </x:c>
      <x:c r="CB407" s="6" t="str">
        <x:v>28.137053647042194</x:v>
      </x:c>
      <x:c r="CC407" s="9" t="str">
        <x:v>1.5000000000000417</x:v>
      </x:c>
      <x:c r="CD407" s="6" t="str">
        <x:v>20054.524107294084</x:v>
      </x:c>
      <x:c r="CE407" s="6" t="str">
        <x:v>56.27410729408439</x:v>
      </x:c>
      <x:c r="CF407" s="6" t="str">
        <x:v>Fixed 2.00R target</x:v>
      </x:c>
      <x:c r="CG407" s="9" t="str">
        <x:v>0.025766734822151964</x:v>
      </x:c>
      <x:c r="CH407" s="9" t="str">
        <x:v>-1.0</x:v>
      </x:c>
      <x:c r="CI407" s="9" t="str">
        <x:v>-1.025766734822152</x:v>
      </x:c>
      <x:c r="CJ407" s="6" t="str">
        <x:v>Loss</x:v>
      </x:c>
      <x:c r="CK407" s="9" t="str">
        <x:v>0.0888508097315585</x:v>
      </x:c>
      <x:c r="CL407" s="9" t="str">
        <x:v>1.128405283590793</x:v>
      </x:c>
      <x:c r="CM407" s="7" t="str">
        <x:v>2025-05-20 12:30:00-05:00</x:v>
      </x:c>
      <x:c r="CN407" s="6" t="str">
        <x:v>19970.112946352958</x:v>
      </x:c>
      <x:c r="CO407" s="6" t="str">
        <x:v>STOP</x:v>
      </x:c>
      <x:c r="CP407" s="6" t="str">
        <x:v>F::Long::Same-bar Setup+BOS::Penetration + same-bar reclaim</x:v>
      </x:c>
    </x:row>
    <x:row r="408" ht="18" customHeight="1">
      <x:c r="A408" s="6" t="str">
        <x:v>A0407</x:v>
      </x:c>
      <x:c r="B408" s="6" t="str">
        <x:v>2025-05-21</x:v>
      </x:c>
      <x:c r="C408" s="6" t="str">
        <x:v>2025</x:v>
      </x:c>
      <x:c r="D408" s="6" t="str">
        <x:v>2025-Q2</x:v>
      </x:c>
      <x:c r="E408" s="6" t="str">
        <x:v>Second 50%</x:v>
      </x:c>
      <x:c r="F408" s="6" t="str">
        <x:v>Short</x:v>
      </x:c>
      <x:c r="G408" s="6" t="str">
        <x:v>Short</x:v>
      </x:c>
      <x:c r="H408" s="6" t="str">
        <x:v>Premarket</x:v>
      </x:c>
      <x:c r="I408" s="6" t="str">
        <x:v>Premarket</x:v>
      </x:c>
      <x:c r="J408" s="6" t="str">
        <x:v>Bear</x:v>
      </x:c>
      <x:c r="K408" s="6" t="str">
        <x:v>Bear</x:v>
      </x:c>
      <x:c r="L408" s="6" t="str">
        <x:v>HIGH</x:v>
      </x:c>
      <x:c r="M408" s="7" t="str">
        <x:v>2025-05-21 08:10:00-05:00</x:v>
      </x:c>
      <x:c r="N408" s="6" t="str">
        <x:v>90.0</x:v>
      </x:c>
      <x:c r="O408" s="6" t="str">
        <x:v>90-94</x:v>
      </x:c>
      <x:c r="P408" s="6" t="str">
        <x:v>Matching BOS only</x:v>
      </x:c>
      <x:c r="Q408" s="6" t="str">
        <x:v>Bear CHoCH</x:v>
      </x:c>
      <x:c r="R408" s="6" t="str">
        <x:v>True</x:v>
      </x:c>
      <x:c r="S408" s="6" t="str">
        <x:v>False</x:v>
      </x:c>
      <x:c r="T408" s="6" t="str">
        <x:v>Recent BSL</x:v>
      </x:c>
      <x:c r="U408" s="6" t="str">
        <x:v>BSL</x:v>
      </x:c>
      <x:c r="V408" s="6" t="str">
        <x:v>Swing high / buy-side</x:v>
      </x:c>
      <x:c r="W408" s="6" t="str">
        <x:v>[19893.25]</x:v>
      </x:c>
      <x:c r="X408" s="8" t="str">
        <x:v>1</x:v>
      </x:c>
      <x:c r="Y408" s="8" t="str">
        <x:v>18.0</x:v>
      </x:c>
      <x:c r="Z408" s="6" t="str">
        <x:v>None</x:v>
      </x:c>
      <x:c r="AA408" s="6" t="str">
        <x:v>19828.5</x:v>
      </x:c>
      <x:c r="AB408" s="9" t="str">
        <x:v>0.09629189553025881</x:v>
      </x:c>
      <x:c r="AC408" s="9" t="str">
        <x:v>0.797847134393573</x:v>
      </x:c>
      <x:c r="AD408" s="9" t="str">
        <x:v>1.1279907762116033</x:v>
      </x:c>
      <x:c r="AE408" s="6" t="str">
        <x:v>With trade</x:v>
      </x:c>
      <x:c r="AF408" s="7" t="str">
        <x:v>2025-05-21 08:10:00-05:00</x:v>
      </x:c>
      <x:c r="AG408" s="6" t="str">
        <x:v>Short</x:v>
      </x:c>
      <x:c r="AH408" s="6" t="str">
        <x:v>19828.5</x:v>
      </x:c>
      <x:c r="AI408" s="8" t="str">
        <x:v>0</x:v>
      </x:c>
      <x:c r="AJ408" s="6" t="str">
        <x:v>True</x:v>
      </x:c>
      <x:c r="AK408" s="6" t="str">
        <x:v>Same-bar Setup+BOS</x:v>
      </x:c>
      <x:c r="AL408" s="9" t="str">
        <x:v>0.797847134393573</x:v>
      </x:c>
      <x:c r="AM408" s="9" t="str">
        <x:v>0.09629189553025881</x:v>
      </x:c>
      <x:c r="AN408" s="9" t="str">
        <x:v>0.797847134393573</x:v>
      </x:c>
      <x:c r="AO408" s="9" t="str">
        <x:v>1.1279907762116033</x:v>
      </x:c>
      <x:c r="AP408" s="10" t="str">
        <x:v>0.7073170731707317</x:v>
      </x:c>
      <x:c r="AQ408" s="6" t="str">
        <x:v>0.08536585365853659</x:v>
      </x:c>
      <x:c r="AR408" s="6" t="str">
        <x:v>0.2073170731707317</x:v>
      </x:c>
      <x:c r="AS408" s="6" t="str">
        <x:v>With trade</x:v>
      </x:c>
      <x:c r="AT408" s="6" t="str">
        <x:v>1.3667259228275646</x:v>
      </x:c>
      <x:c r="AU408" s="7" t="str">
        <x:v>2025-05-21 08:15:00-05:00</x:v>
      </x:c>
      <x:c r="AV408" s="8" t="str">
        <x:v>1</x:v>
      </x:c>
      <x:c r="AW408" s="6" t="str">
        <x:v>Immediate retest (1 bar)</x:v>
      </x:c>
      <x:c r="AX408" s="6" t="str">
        <x:v>19833.25</x:v>
      </x:c>
      <x:c r="AY408" s="6" t="str">
        <x:v>4.75</x:v>
      </x:c>
      <x:c r="AZ408" s="9" t="str">
        <x:v>0.2641396148437035</x:v>
      </x:c>
      <x:c r="BA408" s="9" t="str">
        <x:v>0.3614542097861206</x:v>
      </x:c>
      <x:c r="BB408" s="9" t="str">
        <x:v>0.8619292694899798</x:v>
      </x:c>
      <x:c r="BC408" s="9" t="str">
        <x:v>0.2780416998354774</x:v>
      </x:c>
      <x:c r="BD408" s="6" t="str">
        <x:v>0.4032258064516129</x:v>
      </x:c>
      <x:c r="BE408" s="6" t="str">
        <x:v>0.27419354838709675</x:v>
      </x:c>
      <x:c r="BF408" s="9" t="str">
        <x:v>0.3475521247943467</x:v>
      </x:c>
      <x:c r="BG408" s="9" t="str">
        <x:v>0.23633544486015576</x:v>
      </x:c>
      <x:c r="BH408" s="6" t="str">
        <x:v>With trade</x:v>
      </x:c>
      <x:c r="BI408" s="6" t="str">
        <x:v>Penetration + same-bar reclaim</x:v>
      </x:c>
      <x:c r="BJ408" s="6" t="str">
        <x:v>False</x:v>
      </x:c>
      <x:c r="BK408" s="10" t="str">
        <x:v>True</x:v>
      </x:c>
      <x:c r="BL408" s="6" t="str">
        <x:v>True</x:v>
      </x:c>
      <x:c r="BM408" s="7" t="str">
        <x:v>2025-05-21 08:20:00-05:00</x:v>
      </x:c>
      <x:c r="BN408" s="8" t="str">
        <x:v>1</x:v>
      </x:c>
      <x:c r="BO408" s="6" t="str">
        <x:v>Immediate confirmation (1 bar)</x:v>
      </x:c>
      <x:c r="BP408" s="9" t="str">
        <x:v>0.4121360745997757</x:v>
      </x:c>
      <x:c r="BQ408" s="9" t="str">
        <x:v>0.7105794389651304</x:v>
      </x:c>
      <x:c r="BR408" s="10" t="str">
        <x:v>0.58</x:v>
      </x:c>
      <x:c r="BS408" s="9" t="str">
        <x:v>0.7958489716409461</x:v>
      </x:c>
      <x:c r="BT408" s="9" t="str">
        <x:v>0.42634766337907826</x:v>
      </x:c>
      <x:c r="BU408" s="9" t="str">
        <x:v>0.21317383168953913</x:v>
      </x:c>
      <x:c r="BV408" s="6" t="str">
        <x:v>With trade</x:v>
      </x:c>
      <x:c r="BW408" s="7" t="str">
        <x:v>2025-05-21 08:20:00-05:00</x:v>
      </x:c>
      <x:c r="BX408" s="6" t="str">
        <x:v>19814.5</x:v>
      </x:c>
      <x:c r="BY408" s="9" t="str">
        <x:v>17.591277364012498</x:v>
      </x:c>
      <x:c r="BZ408" s="9" t="str">
        <x:v>0.9</x:v>
      </x:c>
      <x:c r="CA408" s="6" t="str">
        <x:v>19840.88691604602</x:v>
      </x:c>
      <x:c r="CB408" s="6" t="str">
        <x:v>26.386916046019905</x:v>
      </x:c>
      <x:c r="CC408" s="9" t="str">
        <x:v>1.500000000000066</x:v>
      </x:c>
      <x:c r="CD408" s="6" t="str">
        <x:v>19761.726167907964</x:v>
      </x:c>
      <x:c r="CE408" s="6" t="str">
        <x:v>52.77383209203617</x:v>
      </x:c>
      <x:c r="CF408" s="6" t="str">
        <x:v>Fixed 2.00R target</x:v>
      </x:c>
      <x:c r="CG408" s="9" t="str">
        <x:v>0.027475738306650507</x:v>
      </x:c>
      <x:c r="CH408" s="9" t="str">
        <x:v>-1.0</x:v>
      </x:c>
      <x:c r="CI408" s="9" t="str">
        <x:v>-1.0274757383066504</x:v>
      </x:c>
      <x:c r="CJ408" s="6" t="str">
        <x:v>Loss</x:v>
      </x:c>
      <x:c r="CK408" s="9" t="str">
        <x:v>0.2842317755860397</x:v>
      </x:c>
      <x:c r="CL408" s="9" t="str">
        <x:v>2.8517921483799316</x:v>
      </x:c>
      <x:c r="CM408" s="7" t="str">
        <x:v>2025-05-21 08:30:00-05:00</x:v>
      </x:c>
      <x:c r="CN408" s="6" t="str">
        <x:v>19840.88691604602</x:v>
      </x:c>
      <x:c r="CO408" s="6" t="str">
        <x:v>STOP</x:v>
      </x:c>
      <x:c r="CP408" s="6" t="str">
        <x:v>F::Short::Same-bar Setup+BOS::Penetration + same-bar reclaim</x:v>
      </x:c>
    </x:row>
    <x:row r="409" ht="18" customHeight="1">
      <x:c r="A409" s="6" t="str">
        <x:v>A0408</x:v>
      </x:c>
      <x:c r="B409" s="6" t="str">
        <x:v>2025-05-22</x:v>
      </x:c>
      <x:c r="C409" s="6" t="str">
        <x:v>2025</x:v>
      </x:c>
      <x:c r="D409" s="6" t="str">
        <x:v>2025-Q2</x:v>
      </x:c>
      <x:c r="E409" s="6" t="str">
        <x:v>Second 50%</x:v>
      </x:c>
      <x:c r="F409" s="6" t="str">
        <x:v>Long</x:v>
      </x:c>
      <x:c r="G409" s="6" t="str">
        <x:v>Long</x:v>
      </x:c>
      <x:c r="H409" s="6" t="str">
        <x:v>Overnight</x:v>
      </x:c>
      <x:c r="I409" s="6" t="str">
        <x:v>Overnight</x:v>
      </x:c>
      <x:c r="J409" s="6" t="str">
        <x:v>Bear</x:v>
      </x:c>
      <x:c r="K409" s="6" t="str">
        <x:v>Bear</x:v>
      </x:c>
      <x:c r="L409" s="6" t="str">
        <x:v>LOW</x:v>
      </x:c>
      <x:c r="M409" s="7" t="str">
        <x:v>2025-05-22 00:25:00-05:00</x:v>
      </x:c>
      <x:c r="N409" s="6" t="str">
        <x:v>90.0</x:v>
      </x:c>
      <x:c r="O409" s="6" t="str">
        <x:v>90-94</x:v>
      </x:c>
      <x:c r="P409" s="6" t="str">
        <x:v>Matching BOS only</x:v>
      </x:c>
      <x:c r="Q409" s="6" t="str">
        <x:v>Bull CHoCH</x:v>
      </x:c>
      <x:c r="R409" s="6" t="str">
        <x:v>True</x:v>
      </x:c>
      <x:c r="S409" s="6" t="str">
        <x:v>False</x:v>
      </x:c>
      <x:c r="T409" s="6" t="str">
        <x:v>Recent SSL</x:v>
      </x:c>
      <x:c r="U409" s="6" t="str">
        <x:v>SSL</x:v>
      </x:c>
      <x:c r="V409" s="6" t="str">
        <x:v>Swing low / sell-side</x:v>
      </x:c>
      <x:c r="W409" s="6" t="str">
        <x:v>[19704.0]</x:v>
      </x:c>
      <x:c r="X409" s="8" t="str">
        <x:v>1</x:v>
      </x:c>
      <x:c r="Y409" s="8" t="str">
        <x:v>5.0</x:v>
      </x:c>
      <x:c r="Z409" s="6" t="str">
        <x:v>None</x:v>
      </x:c>
      <x:c r="AA409" s="6" t="str">
        <x:v>19717.5</x:v>
      </x:c>
      <x:c r="AB409" s="9" t="str">
        <x:v>2.3996356388849622</x:v>
      </x:c>
      <x:c r="AC409" s="9" t="str">
        <x:v>3.2795020398094485</x:v>
      </x:c>
      <x:c r="AD409" s="9" t="str">
        <x:v>3.572790840117611</x:v>
      </x:c>
      <x:c r="AE409" s="6" t="str">
        <x:v>With trade</x:v>
      </x:c>
      <x:c r="AF409" s="7" t="str">
        <x:v>2025-05-22 00:25:00-05:00</x:v>
      </x:c>
      <x:c r="AG409" s="6" t="str">
        <x:v>Long</x:v>
      </x:c>
      <x:c r="AH409" s="6" t="str">
        <x:v>19717.5</x:v>
      </x:c>
      <x:c r="AI409" s="8" t="str">
        <x:v>0</x:v>
      </x:c>
      <x:c r="AJ409" s="6" t="str">
        <x:v>True</x:v>
      </x:c>
      <x:c r="AK409" s="6" t="str">
        <x:v>Same-bar Setup+BOS</x:v>
      </x:c>
      <x:c r="AL409" s="9" t="str">
        <x:v>3.146188948760284</x:v>
      </x:c>
      <x:c r="AM409" s="9" t="str">
        <x:v>2.3996356388849622</x:v>
      </x:c>
      <x:c r="AN409" s="9" t="str">
        <x:v>3.2795020398094485</x:v>
      </x:c>
      <x:c r="AO409" s="9" t="str">
        <x:v>3.572790840117611</x:v>
      </x:c>
      <x:c r="AP409" s="10" t="str">
        <x:v>0.917910447761194</x:v>
      </x:c>
      <x:c r="AQ409" s="6" t="str">
        <x:v>0.08208955223880597</x:v>
      </x:c>
      <x:c r="AR409" s="6" t="str">
        <x:v>0.0</x:v>
      </x:c>
      <x:c r="AS409" s="6" t="str">
        <x:v>With trade</x:v>
      </x:c>
      <x:c r="AT409" s="6" t="str">
        <x:v>3.7842147222960403</x:v>
      </x:c>
      <x:c r="AU409" s="7" t="str">
        <x:v>2025-05-22 01:05:00-05:00</x:v>
      </x:c>
      <x:c r="AV409" s="8" t="str">
        <x:v>8</x:v>
      </x:c>
      <x:c r="AW409" s="6" t="str">
        <x:v>Delayed retest (2+ bars)</x:v>
      </x:c>
      <x:c r="AX409" s="6" t="str">
        <x:v>19715.0</x:v>
      </x:c>
      <x:c r="AY409" s="6" t="str">
        <x:v>2.5</x:v>
      </x:c>
      <x:c r="AZ409" s="9" t="str">
        <x:v>0.24096603718608142</x:v>
      </x:c>
      <x:c r="BA409" s="9" t="str">
        <x:v>0.24096603718608142</x:v>
      </x:c>
      <x:c r="BB409" s="9" t="str">
        <x:v>1.4457962231164887</x:v>
      </x:c>
      <x:c r="BC409" s="9" t="str">
        <x:v>0.843381130151285</x:v>
      </x:c>
      <x:c r="BD409" s="6" t="str">
        <x:v>0.08333333333333333</x:v>
      </x:c>
      <x:c r="BE409" s="6" t="str">
        <x:v>0.3333333333333333</x:v>
      </x:c>
      <x:c r="BF409" s="9" t="str">
        <x:v>0.48193207437216284</x:v>
      </x:c>
      <x:c r="BG409" s="9" t="str">
        <x:v>0.12048301859304071</x:v>
      </x:c>
      <x:c r="BH409" s="6" t="str">
        <x:v>Against trade</x:v>
      </x:c>
      <x:c r="BI409" s="6" t="str">
        <x:v>Penetration + same-bar reclaim</x:v>
      </x:c>
      <x:c r="BJ409" s="6" t="str">
        <x:v>False</x:v>
      </x:c>
      <x:c r="BK409" s="10" t="str">
        <x:v>True</x:v>
      </x:c>
      <x:c r="BL409" s="6" t="str">
        <x:v>True</x:v>
      </x:c>
      <x:c r="BM409" s="7" t="str">
        <x:v>2025-05-22 01:10:00-05:00</x:v>
      </x:c>
      <x:c r="BN409" s="8" t="str">
        <x:v>1</x:v>
      </x:c>
      <x:c r="BO409" s="6" t="str">
        <x:v>Immediate confirmation (1 bar)</x:v>
      </x:c>
      <x:c r="BP409" s="9" t="str">
        <x:v>0.2621298390502794</x:v>
      </x:c>
      <x:c r="BQ409" s="9" t="str">
        <x:v>1.1438392976739467</x:v>
      </x:c>
      <x:c r="BR409" s="10" t="str">
        <x:v>0.22916666666666666</x:v>
      </x:c>
      <x:c r="BS409" s="9" t="str">
        <x:v>0.5480896634687661</x:v>
      </x:c>
      <x:c r="BT409" s="9" t="str">
        <x:v>0.3097898097866939</x:v>
      </x:c>
      <x:c r="BU409" s="9" t="str">
        <x:v>0.4765997073641445</x:v>
      </x:c>
      <x:c r="BV409" s="6" t="str">
        <x:v>With trade</x:v>
      </x:c>
      <x:c r="BW409" s="7" t="str">
        <x:v>2025-05-22 01:10:00-05:00</x:v>
      </x:c>
      <x:c r="BX409" s="6" t="str">
        <x:v>19723.25</x:v>
      </x:c>
      <x:c r="BY409" s="9" t="str">
        <x:v>10.490984200667514</x:v>
      </x:c>
      <x:c r="BZ409" s="9" t="str">
        <x:v>0.29</x:v>
      </x:c>
      <x:c r="CA409" s="6" t="str">
        <x:v>19707.513523699</x:v>
      </x:c>
      <x:c r="CB409" s="6" t="str">
        <x:v>15.736476301000948</x:v>
      </x:c>
      <x:c r="CC409" s="9" t="str">
        <x:v>1.4999999999999694</x:v>
      </x:c>
      <x:c r="CD409" s="6" t="str">
        <x:v>19754.722952602002</x:v>
      </x:c>
      <x:c r="CE409" s="6" t="str">
        <x:v>31.472952602001897</x:v>
      </x:c>
      <x:c r="CF409" s="6" t="str">
        <x:v>Fixed 2.00R target</x:v>
      </x:c>
      <x:c r="CG409" s="9" t="str">
        <x:v>0.04607130504520157</x:v>
      </x:c>
      <x:c r="CH409" s="9" t="str">
        <x:v>2.0</x:v>
      </x:c>
      <x:c r="CI409" s="9" t="str">
        <x:v>1.9539286949547985</x:v>
      </x:c>
      <x:c r="CJ409" s="6" t="str">
        <x:v>Win</x:v>
      </x:c>
      <x:c r="CK409" s="9" t="str">
        <x:v>2.780164959624233</x:v>
      </x:c>
      <x:c r="CL409" s="9" t="str">
        <x:v>0.9214261009040315</x:v>
      </x:c>
      <x:c r="CM409" s="7" t="str">
        <x:v>2025-05-22 02:00:00-05:00</x:v>
      </x:c>
      <x:c r="CN409" s="6" t="str">
        <x:v>19754.722952602002</x:v>
      </x:c>
      <x:c r="CO409" s="6" t="str">
        <x:v>TARGET</x:v>
      </x:c>
      <x:c r="CP409" s="6" t="str">
        <x:v>F::Long::Same-bar Setup+BOS::Penetration + same-bar reclaim</x:v>
      </x:c>
    </x:row>
    <x:row r="410" ht="18" customHeight="1">
      <x:c r="A410" s="6" t="str">
        <x:v>A0409</x:v>
      </x:c>
      <x:c r="B410" s="6" t="str">
        <x:v>2025-05-22</x:v>
      </x:c>
      <x:c r="C410" s="6" t="str">
        <x:v>2025</x:v>
      </x:c>
      <x:c r="D410" s="6" t="str">
        <x:v>2025-Q2</x:v>
      </x:c>
      <x:c r="E410" s="6" t="str">
        <x:v>Second 50%</x:v>
      </x:c>
      <x:c r="F410" s="6" t="str">
        <x:v>Short</x:v>
      </x:c>
      <x:c r="G410" s="6" t="str">
        <x:v>Short</x:v>
      </x:c>
      <x:c r="H410" s="6" t="str">
        <x:v>Premarket</x:v>
      </x:c>
      <x:c r="I410" s="6" t="str">
        <x:v>Premarket</x:v>
      </x:c>
      <x:c r="J410" s="6" t="str">
        <x:v>Bear</x:v>
      </x:c>
      <x:c r="K410" s="6" t="str">
        <x:v>Bear</x:v>
      </x:c>
      <x:c r="L410" s="6" t="str">
        <x:v>HIGH</x:v>
      </x:c>
      <x:c r="M410" s="7" t="str">
        <x:v>2025-05-22 06:25:00-05:00</x:v>
      </x:c>
      <x:c r="N410" s="6" t="str">
        <x:v>75.0</x:v>
      </x:c>
      <x:c r="O410" s="6" t="str">
        <x:v>75-79</x:v>
      </x:c>
      <x:c r="P410" s="6" t="str">
        <x:v>Matching BOS only</x:v>
      </x:c>
      <x:c r="Q410" s="6" t="str">
        <x:v>Bear CHoCH</x:v>
      </x:c>
      <x:c r="R410" s="6" t="str">
        <x:v>True</x:v>
      </x:c>
      <x:c r="S410" s="6" t="str">
        <x:v>False</x:v>
      </x:c>
      <x:c r="T410" s="6" t="str">
        <x:v>Recent BSL</x:v>
      </x:c>
      <x:c r="U410" s="6" t="str">
        <x:v>BSL</x:v>
      </x:c>
      <x:c r="V410" s="6" t="str">
        <x:v>Swing high / buy-side</x:v>
      </x:c>
      <x:c r="W410" s="6" t="str">
        <x:v>[19767.5]</x:v>
      </x:c>
      <x:c r="X410" s="8" t="str">
        <x:v>1</x:v>
      </x:c>
      <x:c r="Y410" s="8" t="str">
        <x:v>5.0</x:v>
      </x:c>
      <x:c r="Z410" s="6" t="str">
        <x:v>None</x:v>
      </x:c>
      <x:c r="AA410" s="6" t="str">
        <x:v>19728.5</x:v>
      </x:c>
      <x:c r="AB410" s="9" t="str">
        <x:v>0.1414890117931839</x:v>
      </x:c>
      <x:c r="AC410" s="9" t="str">
        <x:v>1.1061868194739832</x:v>
      </x:c>
      <x:c r="AD410" s="9" t="str">
        <x:v>1.2219505563956792</x:v>
      </x:c>
      <x:c r="AE410" s="6" t="str">
        <x:v>With trade</x:v>
      </x:c>
      <x:c r="AF410" s="7" t="str">
        <x:v>2025-05-22 06:25:00-05:00</x:v>
      </x:c>
      <x:c r="AG410" s="6" t="str">
        <x:v>Short</x:v>
      </x:c>
      <x:c r="AH410" s="6" t="str">
        <x:v>19728.5</x:v>
      </x:c>
      <x:c r="AI410" s="8" t="str">
        <x:v>0</x:v>
      </x:c>
      <x:c r="AJ410" s="6" t="str">
        <x:v>True</x:v>
      </x:c>
      <x:c r="AK410" s="6" t="str">
        <x:v>Same-bar Setup+BOS</x:v>
      </x:c>
      <x:c r="AL410" s="9" t="str">
        <x:v>1.1319120943454712</x:v>
      </x:c>
      <x:c r="AM410" s="9" t="str">
        <x:v>0.1414890117931839</x:v>
      </x:c>
      <x:c r="AN410" s="9" t="str">
        <x:v>1.1061868194739832</x:v>
      </x:c>
      <x:c r="AO410" s="9" t="str">
        <x:v>1.2219505563956792</x:v>
      </x:c>
      <x:c r="AP410" s="10" t="str">
        <x:v>0.9052631578947369</x:v>
      </x:c>
      <x:c r="AQ410" s="6" t="str">
        <x:v>0.0</x:v>
      </x:c>
      <x:c r="AR410" s="6" t="str">
        <x:v>0.09473684210526316</x:v>
      </x:c>
      <x:c r="AS410" s="6" t="str">
        <x:v>With trade</x:v>
      </x:c>
      <x:c r="AT410" s="6" t="str">
        <x:v>1.2618245951579283</x:v>
      </x:c>
      <x:c r="AU410" s="7" t="str">
        <x:v>2025-05-22 06:30:00-05:00</x:v>
      </x:c>
      <x:c r="AV410" s="8" t="str">
        <x:v>1</x:v>
      </x:c>
      <x:c r="AW410" s="6" t="str">
        <x:v>Immediate retest (1 bar)</x:v>
      </x:c>
      <x:c r="AX410" s="6" t="str">
        <x:v>19740.75</x:v>
      </x:c>
      <x:c r="AY410" s="6" t="str">
        <x:v>12.25</x:v>
      </x:c>
      <x:c r="AZ410" s="9" t="str">
        <x:v>0.6243860860450008</x:v>
      </x:c>
      <x:c r="BA410" s="9" t="str">
        <x:v>0.20388117095346964</x:v>
      </x:c>
      <x:c r="BB410" s="9" t="str">
        <x:v>1.121346440244083</x:v>
      </x:c>
      <x:c r="BC410" s="9" t="str">
        <x:v>0.05097029273836741</x:v>
      </x:c>
      <x:c r="BD410" s="6" t="str">
        <x:v>0.6931818181818182</x:v>
      </x:c>
      <x:c r="BE410" s="6" t="str">
        <x:v>0.26136363636363635</x:v>
      </x:c>
      <x:c r="BF410" s="9" t="str">
        <x:v>0.777296964260103</x:v>
      </x:c>
      <x:c r="BG410" s="9" t="str">
        <x:v>0.2930791832456126</x:v>
      </x:c>
      <x:c r="BH410" s="6" t="str">
        <x:v>With trade</x:v>
      </x:c>
      <x:c r="BI410" s="6" t="str">
        <x:v>Penetration + same-bar reclaim</x:v>
      </x:c>
      <x:c r="BJ410" s="6" t="str">
        <x:v>False</x:v>
      </x:c>
      <x:c r="BK410" s="10" t="str">
        <x:v>True</x:v>
      </x:c>
      <x:c r="BL410" s="6" t="str">
        <x:v>True</x:v>
      </x:c>
      <x:c r="BM410" s="7" t="str">
        <x:v>2025-05-22 06:35:00-05:00</x:v>
      </x:c>
      <x:c r="BN410" s="8" t="str">
        <x:v>1</x:v>
      </x:c>
      <x:c r="BO410" s="6" t="str">
        <x:v>Immediate confirmation (1 bar)</x:v>
      </x:c>
      <x:c r="BP410" s="9" t="str">
        <x:v>0.5964455618460202</x:v>
      </x:c>
      <x:c r="BQ410" s="9" t="str">
        <x:v>1.0532974815578653</x:v>
      </x:c>
      <x:c r="BR410" s="10" t="str">
        <x:v>0.5662650602409639</x:v>
      </x:c>
      <x:c r="BS410" s="9" t="str">
        <x:v>0.8121811905988359</x:v>
      </x:c>
      <x:c r="BT410" s="9" t="str">
        <x:v>0.609135892949127</x:v>
      </x:c>
      <x:c r="BU410" s="9" t="str">
        <x:v>0.20304529764970897</x:v>
      </x:c>
      <x:c r="BV410" s="6" t="str">
        <x:v>With trade</x:v>
      </x:c>
      <x:c r="BW410" s="7" t="str">
        <x:v>2025-05-22 06:35:00-05:00</x:v>
      </x:c>
      <x:c r="BX410" s="6" t="str">
        <x:v>19712.5</x:v>
      </x:c>
      <x:c r="BY410" s="9" t="str">
        <x:v>19.70003760885291</x:v>
      </x:c>
      <x:c r="BZ410" s="9" t="str">
        <x:v>1.0</x:v>
      </x:c>
      <x:c r="CA410" s="6" t="str">
        <x:v>19742.050056413278</x:v>
      </x:c>
      <x:c r="CB410" s="6" t="str">
        <x:v>29.55005641327807</x:v>
      </x:c>
      <x:c r="CC410" s="9" t="str">
        <x:v>1.4999999999999343</x:v>
      </x:c>
      <x:c r="CD410" s="6" t="str">
        <x:v>19653.39988717344</x:v>
      </x:c>
      <x:c r="CE410" s="6" t="str">
        <x:v>59.10011282655978</x:v>
      </x:c>
      <x:c r="CF410" s="6" t="str">
        <x:v>Fixed 2.00R target</x:v>
      </x:c>
      <x:c r="CG410" s="9" t="str">
        <x:v>0.02453464013267424</x:v>
      </x:c>
      <x:c r="CH410" s="9" t="str">
        <x:v>2.0</x:v>
      </x:c>
      <x:c r="CI410" s="9" t="str">
        <x:v>1.9754653598673257</x:v>
      </x:c>
      <x:c r="CJ410" s="6" t="str">
        <x:v>Win</x:v>
      </x:c>
      <x:c r="CK410" s="9" t="str">
        <x:v>3.1387418928352218</x:v>
      </x:c>
      <x:c r="CL410" s="9" t="str">
        <x:v>0.3891701538286259</x:v>
      </x:c>
      <x:c r="CM410" s="7" t="str">
        <x:v>2025-05-22 06:55:00-05:00</x:v>
      </x:c>
      <x:c r="CN410" s="6" t="str">
        <x:v>19653.39988717344</x:v>
      </x:c>
      <x:c r="CO410" s="6" t="str">
        <x:v>TARGET</x:v>
      </x:c>
      <x:c r="CP410" s="6" t="str">
        <x:v>F::Short::Same-bar Setup+BOS::Penetration + same-bar reclaim</x:v>
      </x:c>
    </x:row>
    <x:row r="411" ht="18" customHeight="1">
      <x:c r="A411" s="6" t="str">
        <x:v>A0410</x:v>
      </x:c>
      <x:c r="B411" s="6" t="str">
        <x:v>2025-05-23</x:v>
      </x:c>
      <x:c r="C411" s="6" t="str">
        <x:v>2025</x:v>
      </x:c>
      <x:c r="D411" s="6" t="str">
        <x:v>2025-Q2</x:v>
      </x:c>
      <x:c r="E411" s="6" t="str">
        <x:v>Second 50%</x:v>
      </x:c>
      <x:c r="F411" s="6" t="str">
        <x:v>Long</x:v>
      </x:c>
      <x:c r="G411" s="6" t="str">
        <x:v>Long</x:v>
      </x:c>
      <x:c r="H411" s="6" t="str">
        <x:v>Premarket</x:v>
      </x:c>
      <x:c r="I411" s="6" t="str">
        <x:v>Premarket</x:v>
      </x:c>
      <x:c r="J411" s="6" t="str">
        <x:v>Bear</x:v>
      </x:c>
      <x:c r="K411" s="6" t="str">
        <x:v>Bear</x:v>
      </x:c>
      <x:c r="L411" s="6" t="str">
        <x:v>HIGH</x:v>
      </x:c>
      <x:c r="M411" s="7" t="str">
        <x:v>2025-05-23 08:25:00-05:00</x:v>
      </x:c>
      <x:c r="N411" s="6" t="str">
        <x:v>90.0</x:v>
      </x:c>
      <x:c r="O411" s="6" t="str">
        <x:v>90-94</x:v>
      </x:c>
      <x:c r="P411" s="6" t="str">
        <x:v>Matching BOS only</x:v>
      </x:c>
      <x:c r="Q411" s="6" t="str">
        <x:v>Bull CHoCH</x:v>
      </x:c>
      <x:c r="R411" s="6" t="str">
        <x:v>True</x:v>
      </x:c>
      <x:c r="S411" s="6" t="str">
        <x:v>False</x:v>
      </x:c>
      <x:c r="T411" s="6" t="str">
        <x:v>Recent SSL</x:v>
      </x:c>
      <x:c r="U411" s="6" t="str">
        <x:v>SSL</x:v>
      </x:c>
      <x:c r="V411" s="6" t="str">
        <x:v>Swing low / sell-side</x:v>
      </x:c>
      <x:c r="W411" s="6" t="str">
        <x:v>[19298.25,19301.25]</x:v>
      </x:c>
      <x:c r="X411" s="8" t="str">
        <x:v>2</x:v>
      </x:c>
      <x:c r="Y411" s="8" t="str">
        <x:v>15.0</x:v>
      </x:c>
      <x:c r="Z411" s="6" t="str">
        <x:v>None</x:v>
      </x:c>
      <x:c r="AA411" s="6" t="str">
        <x:v>19383.0</x:v>
      </x:c>
      <x:c r="AB411" s="9" t="str">
        <x:v>0.24998971409562074</x:v>
      </x:c>
      <x:c r="AC411" s="9" t="str">
        <x:v>1.2336448934718676</x:v>
      </x:c>
      <x:c r="AD411" s="9" t="str">
        <x:v>1.2771213654884972</x:v>
      </x:c>
      <x:c r="AE411" s="6" t="str">
        <x:v>With trade</x:v>
      </x:c>
      <x:c r="AF411" s="7" t="str">
        <x:v>2025-05-23 08:25:00-05:00</x:v>
      </x:c>
      <x:c r="AG411" s="6" t="str">
        <x:v>Long</x:v>
      </x:c>
      <x:c r="AH411" s="6" t="str">
        <x:v>19383.0</x:v>
      </x:c>
      <x:c r="AI411" s="8" t="str">
        <x:v>0</x:v>
      </x:c>
      <x:c r="AJ411" s="6" t="str">
        <x:v>True</x:v>
      </x:c>
      <x:c r="AK411" s="6" t="str">
        <x:v>Same-bar Setup+BOS</x:v>
      </x:c>
      <x:c r="AL411" s="9" t="str">
        <x:v>1.260817688482261</x:v>
      </x:c>
      <x:c r="AM411" s="9" t="str">
        <x:v>0.24998971409562074</x:v>
      </x:c>
      <x:c r="AN411" s="9" t="str">
        <x:v>1.2336448934718676</x:v>
      </x:c>
      <x:c r="AO411" s="9" t="str">
        <x:v>1.2771213654884972</x:v>
      </x:c>
      <x:c r="AP411" s="10" t="str">
        <x:v>0.9659574468085106</x:v>
      </x:c>
      <x:c r="AQ411" s="6" t="str">
        <x:v>0.01702127659574468</x:v>
      </x:c>
      <x:c r="AR411" s="6" t="str">
        <x:v>0.01702127659574468</x:v>
      </x:c>
      <x:c r="AS411" s="6" t="str">
        <x:v>With trade</x:v>
      </x:c>
      <x:c r="AT411" s="6" t="str">
        <x:v>1.3041397136253607</x:v>
      </x:c>
      <x:c r="AU411" s="7" t="str">
        <x:v>2025-05-23 08:30:00-05:00</x:v>
      </x:c>
      <x:c r="AV411" s="8" t="str">
        <x:v>1</x:v>
      </x:c>
      <x:c r="AW411" s="6" t="str">
        <x:v>Immediate retest (1 bar)</x:v>
      </x:c>
      <x:c r="AX411" s="6" t="str">
        <x:v>19367.0</x:v>
      </x:c>
      <x:c r="AY411" s="6" t="str">
        <x:v>16.0</x:v>
      </x:c>
      <x:c r="AZ411" s="9" t="str">
        <x:v>0.3204465170914142</x:v>
      </x:c>
      <x:c r="BA411" s="9" t="str">
        <x:v>1.4119674659340438</x:v>
      </x:c>
      <x:c r="BB411" s="9" t="str">
        <x:v>2.022818639139552</x:v>
      </x:c>
      <x:c r="BC411" s="9" t="str">
        <x:v>1.2016744390928031</x:v>
      </x:c>
      <x:c r="BD411" s="6" t="str">
        <x:v>0.14356435643564355</x:v>
      </x:c>
      <x:c r="BE411" s="6" t="str">
        <x:v>0.2623762376237624</x:v>
      </x:c>
      <x:c r="BF411" s="9" t="str">
        <x:v>0.5307395439326548</x:v>
      </x:c>
      <x:c r="BG411" s="9" t="str">
        <x:v>0.2904046561140941</x:v>
      </x:c>
      <x:c r="BH411" s="6" t="str">
        <x:v>With trade</x:v>
      </x:c>
      <x:c r="BI411" s="6" t="str">
        <x:v>Penetration + same-bar reclaim</x:v>
      </x:c>
      <x:c r="BJ411" s="6" t="str">
        <x:v>False</x:v>
      </x:c>
      <x:c r="BK411" s="10" t="str">
        <x:v>True</x:v>
      </x:c>
      <x:c r="BL411" s="6" t="str">
        <x:v>True</x:v>
      </x:c>
      <x:c r="BM411" s="7" t="str">
        <x:v>2025-05-23 08:35:00-05:00</x:v>
      </x:c>
      <x:c r="BN411" s="8" t="str">
        <x:v>1</x:v>
      </x:c>
      <x:c r="BO411" s="6" t="str">
        <x:v>Immediate confirmation (1 bar)</x:v>
      </x:c>
      <x:c r="BP411" s="9" t="str">
        <x:v>0.21004672760280935</x:v>
      </x:c>
      <x:c r="BQ411" s="9" t="str">
        <x:v>1.0152258500802451</x:v>
      </x:c>
      <x:c r="BR411" s="10" t="str">
        <x:v>0.20689655172413793</x:v>
      </x:c>
      <x:c r="BS411" s="9" t="str">
        <x:v>1.6003560198309283</x:v>
      </x:c>
      <x:c r="BT411" s="9" t="str">
        <x:v>0.19004227735492274</x:v>
      </x:c>
      <x:c r="BU411" s="9" t="str">
        <x:v>0.10002225123943302</x:v>
      </x:c>
      <x:c r="BV411" s="6" t="str">
        <x:v>With trade</x:v>
      </x:c>
      <x:c r="BW411" s="7" t="str">
        <x:v>2025-05-23 08:35:00-05:00</x:v>
      </x:c>
      <x:c r="BX411" s="6" t="str">
        <x:v>19463.0</x:v>
      </x:c>
      <x:c r="BY411" s="9" t="str">
        <x:v>49.988876855321045</x:v>
      </x:c>
      <x:c r="BZ411" s="9" t="str">
        <x:v>0.91</x:v>
      </x:c>
      <x:c r="CA411" s="6" t="str">
        <x:v>19388.01668471702</x:v>
      </x:c>
      <x:c r="CB411" s="6" t="str">
        <x:v>74.9833152829815</x:v>
      </x:c>
      <x:c r="CC411" s="9" t="str">
        <x:v>1.4999999999999984</x:v>
      </x:c>
      <x:c r="CD411" s="6" t="str">
        <x:v>19612.966630565963</x:v>
      </x:c>
      <x:c r="CE411" s="6" t="str">
        <x:v>149.966630565963</x:v>
      </x:c>
      <x:c r="CF411" s="6" t="str">
        <x:v>Fixed 2.00R target</x:v>
      </x:c>
      <x:c r="CG411" s="9" t="str">
        <x:v>0.009668817619811868</x:v>
      </x:c>
      <x:c r="CH411" s="9" t="str">
        <x:v>0.6801513084281445</x:v>
      </x:c>
      <x:c r="CI411" s="9" t="str">
        <x:v>0.6704824908083327</x:v>
      </x:c>
      <x:c r="CJ411" s="6" t="str">
        <x:v>Win</x:v>
      </x:c>
      <x:c r="CK411" s="9" t="str">
        <x:v>1.0102247375182745</x:v>
      </x:c>
      <x:c r="CL411" s="9" t="str">
        <x:v>0.9868862122290735</x:v>
      </x:c>
      <x:c r="CM411" s="7" t="str">
        <x:v>2025-05-23 09:35:00-05:00</x:v>
      </x:c>
      <x:c r="CN411" s="6" t="str">
        <x:v>19514.0</x:v>
      </x:c>
      <x:c r="CO411" s="6" t="str">
        <x:v>TIME</x:v>
      </x:c>
      <x:c r="CP411" s="6" t="str">
        <x:v>F::Long::Same-bar Setup+BOS::Penetration + same-bar reclaim</x:v>
      </x:c>
    </x:row>
    <x:row r="412" ht="18" customHeight="1">
      <x:c r="A412" s="6" t="str">
        <x:v>A0411</x:v>
      </x:c>
      <x:c r="B412" s="6" t="str">
        <x:v>2025-05-26</x:v>
      </x:c>
      <x:c r="C412" s="6" t="str">
        <x:v>2025</x:v>
      </x:c>
      <x:c r="D412" s="6" t="str">
        <x:v>2025-Q2</x:v>
      </x:c>
      <x:c r="E412" s="6" t="str">
        <x:v>Second 50%</x:v>
      </x:c>
      <x:c r="F412" s="6" t="str">
        <x:v>Short</x:v>
      </x:c>
      <x:c r="G412" s="6" t="str">
        <x:v>Short</x:v>
      </x:c>
      <x:c r="H412" s="6" t="str">
        <x:v>Opening</x:v>
      </x:c>
      <x:c r="I412" s="6" t="str">
        <x:v>Opening</x:v>
      </x:c>
      <x:c r="J412" s="6" t="str">
        <x:v>Bull</x:v>
      </x:c>
      <x:c r="K412" s="6" t="str">
        <x:v>Bull</x:v>
      </x:c>
      <x:c r="L412" s="6" t="str">
        <x:v>MID</x:v>
      </x:c>
      <x:c r="M412" s="7" t="str">
        <x:v>2025-05-26 09:30:00-05:00</x:v>
      </x:c>
      <x:c r="N412" s="6" t="str">
        <x:v>75.0</x:v>
      </x:c>
      <x:c r="O412" s="6" t="str">
        <x:v>75-79</x:v>
      </x:c>
      <x:c r="P412" s="6" t="str">
        <x:v>Matching BOS only</x:v>
      </x:c>
      <x:c r="Q412" s="6" t="str">
        <x:v>Bear CHoCH</x:v>
      </x:c>
      <x:c r="R412" s="6" t="str">
        <x:v>True</x:v>
      </x:c>
      <x:c r="S412" s="6" t="str">
        <x:v>False</x:v>
      </x:c>
      <x:c r="T412" s="6" t="str">
        <x:v>No recent matching sweep</x:v>
      </x:c>
      <x:c r="U412" s="6" t="str">
        <x:v>None</x:v>
      </x:c>
      <x:c r="V412" s="6" t="str">
        <x:v>None</x:v>
      </x:c>
      <x:c r="W412" s="6" t="str">
        <x:v>[]</x:v>
      </x:c>
      <x:c r="X412" s="8" t="str">
        <x:v>0</x:v>
      </x:c>
      <x:c r="Y412" s="8" t="str"/>
      <x:c r="Z412" s="6" t="str">
        <x:v>None</x:v>
      </x:c>
      <x:c r="AA412" s="6" t="str">
        <x:v>19793.0</x:v>
      </x:c>
      <x:c r="AB412" s="9" t="str">
        <x:v>0.05304355474393556</x:v>
      </x:c>
      <x:c r="AC412" s="9" t="str">
        <x:v>1.4675383479155506</x:v>
      </x:c>
      <x:c r="AD412" s="9" t="str">
        <x:v>1.9626115255256158</x:v>
      </x:c>
      <x:c r="AE412" s="6" t="str">
        <x:v>With trade</x:v>
      </x:c>
      <x:c r="AF412" s="7" t="str">
        <x:v>2025-05-26 09:30:00-05:00</x:v>
      </x:c>
      <x:c r="AG412" s="6" t="str">
        <x:v>Short</x:v>
      </x:c>
      <x:c r="AH412" s="6" t="str">
        <x:v>19793.0</x:v>
      </x:c>
      <x:c r="AI412" s="8" t="str">
        <x:v>0</x:v>
      </x:c>
      <x:c r="AJ412" s="6" t="str">
        <x:v>True</x:v>
      </x:c>
      <x:c r="AK412" s="6" t="str">
        <x:v>Same-bar Setup+BOS</x:v>
      </x:c>
      <x:c r="AL412" s="9" t="str">
        <x:v>1.3437700535130341</x:v>
      </x:c>
      <x:c r="AM412" s="9" t="str">
        <x:v>0.05304355474393556</x:v>
      </x:c>
      <x:c r="AN412" s="9" t="str">
        <x:v>1.4675383479155506</x:v>
      </x:c>
      <x:c r="AO412" s="9" t="str">
        <x:v>1.9626115255256158</x:v>
      </x:c>
      <x:c r="AP412" s="10" t="str">
        <x:v>0.7477477477477478</x:v>
      </x:c>
      <x:c r="AQ412" s="6" t="str">
        <x:v>0.0</x:v>
      </x:c>
      <x:c r="AR412" s="6" t="str">
        <x:v>0.25225225225225223</x:v>
      </x:c>
      <x:c r="AS412" s="6" t="str">
        <x:v>With trade</x:v>
      </x:c>
      <x:c r="AT412" s="6" t="str">
        <x:v>2.0924614743856726</x:v>
      </x:c>
      <x:c r="AU412" s="7" t="str">
        <x:v>2025-05-26 09:35:00-05:00</x:v>
      </x:c>
      <x:c r="AV412" s="8" t="str">
        <x:v>1</x:v>
      </x:c>
      <x:c r="AW412" s="6" t="str">
        <x:v>Immediate retest (1 bar)</x:v>
      </x:c>
      <x:c r="AX412" s="6" t="str">
        <x:v>19792.0</x:v>
      </x:c>
      <x:c r="AY412" s="6" t="str">
        <x:v>0.0</x:v>
      </x:c>
      <x:c r="AZ412" s="9" t="str">
        <x:v>0.0</x:v>
      </x:c>
      <x:c r="BA412" s="9" t="str">
        <x:v>0.8944624041207584</x:v>
      </x:c>
      <x:c r="BB412" s="9" t="str">
        <x:v>1.0873856677546474</x:v>
      </x:c>
      <x:c r="BC412" s="9" t="str">
        <x:v>0.8243084900720714</x:v>
      </x:c>
      <x:c r="BD412" s="6" t="str">
        <x:v>0.0</x:v>
      </x:c>
      <x:c r="BE412" s="6" t="str">
        <x:v>0.24193548387096775</x:v>
      </x:c>
      <x:c r="BF412" s="9" t="str">
        <x:v>0.0</x:v>
      </x:c>
      <x:c r="BG412" s="9" t="str">
        <x:v>0.263077177682576</x:v>
      </x:c>
      <x:c r="BH412" s="6" t="str">
        <x:v>With trade</x:v>
      </x:c>
      <x:c r="BI412" s="6" t="str">
        <x:v>Tolerance-only shallow touch</x:v>
      </x:c>
      <x:c r="BJ412" s="6" t="str">
        <x:v>True</x:v>
      </x:c>
      <x:c r="BK412" s="10" t="str">
        <x:v>False</x:v>
      </x:c>
      <x:c r="BL412" s="6" t="str">
        <x:v>True</x:v>
      </x:c>
      <x:c r="BM412" s="7" t="str">
        <x:v>2025-05-26 09:45:00-05:00</x:v>
      </x:c>
      <x:c r="BN412" s="8" t="str">
        <x:v>2</x:v>
      </x:c>
      <x:c r="BO412" s="6" t="str">
        <x:v>Delayed confirmation (2+ bars)</x:v>
      </x:c>
      <x:c r="BP412" s="9" t="str">
        <x:v>0.36029558841438386</x:v>
      </x:c>
      <x:c r="BQ412" s="9" t="str">
        <x:v>0.5764729414630142</x:v>
      </x:c>
      <x:c r="BR412" s="10" t="str">
        <x:v>0.625</x:v>
      </x:c>
      <x:c r="BS412" s="9" t="str">
        <x:v>0.7926502945116446</x:v>
      </x:c>
      <x:c r="BT412" s="9" t="str">
        <x:v>-0.12610345594503436</x:v>
      </x:c>
      <x:c r="BU412" s="9" t="str">
        <x:v>0.018014779420719194</x:v>
      </x:c>
      <x:c r="BV412" s="6" t="str">
        <x:v>With trade</x:v>
      </x:c>
      <x:c r="BW412" s="7" t="str">
        <x:v>2025-05-26 09:45:00-05:00</x:v>
      </x:c>
      <x:c r="BX412" s="6" t="str">
        <x:v>19782.0</x:v>
      </x:c>
      <x:c r="BY412" s="9" t="str">
        <x:v>13.877494370675974</x:v>
      </x:c>
      <x:c r="BZ412" s="9" t="str">
        <x:v>0.66</x:v>
      </x:c>
      <x:c r="CA412" s="6" t="str">
        <x:v>19802.816241556015</x:v>
      </x:c>
      <x:c r="CB412" s="6" t="str">
        <x:v>20.816241556014575</x:v>
      </x:c>
      <x:c r="CC412" s="9" t="str">
        <x:v>1.5000000000000442</x:v>
      </x:c>
      <x:c r="CD412" s="6" t="str">
        <x:v>19740.36751688797</x:v>
      </x:c>
      <x:c r="CE412" s="6" t="str">
        <x:v>41.63248311202915</x:v>
      </x:c>
      <x:c r="CF412" s="6" t="str">
        <x:v>Fixed 2.00R target</x:v>
      </x:c>
      <x:c r="CG412" s="9" t="str">
        <x:v>0.03482857354672275</x:v>
      </x:c>
      <x:c r="CH412" s="9" t="str">
        <x:v>-1.0</x:v>
      </x:c>
      <x:c r="CI412" s="9" t="str">
        <x:v>-1.0348285735467226</x:v>
      </x:c>
      <x:c r="CJ412" s="6" t="str">
        <x:v>Loss</x:v>
      </x:c>
      <x:c r="CK412" s="9" t="str">
        <x:v>1.0568670593488283</x:v>
      </x:c>
      <x:c r="CL412" s="9" t="str">
        <x:v>1.3210838241860352</x:v>
      </x:c>
      <x:c r="CM412" s="7" t="str">
        <x:v>2025-05-26 10:30:00-05:00</x:v>
      </x:c>
      <x:c r="CN412" s="6" t="str">
        <x:v>19802.816241556015</x:v>
      </x:c>
      <x:c r="CO412" s="6" t="str">
        <x:v>STOP</x:v>
      </x:c>
      <x:c r="CP412" s="6" t="str">
        <x:v>F::Short::Same-bar Setup+BOS::Tolerance-only shallow touch</x:v>
      </x:c>
    </x:row>
    <x:row r="413" ht="18" customHeight="1">
      <x:c r="A413" s="6" t="str">
        <x:v>A0412</x:v>
      </x:c>
      <x:c r="B413" s="6" t="str">
        <x:v>2025-05-28</x:v>
      </x:c>
      <x:c r="C413" s="6" t="str">
        <x:v>2025</x:v>
      </x:c>
      <x:c r="D413" s="6" t="str">
        <x:v>2025-Q2</x:v>
      </x:c>
      <x:c r="E413" s="6" t="str">
        <x:v>Second 50%</x:v>
      </x:c>
      <x:c r="F413" s="6" t="str">
        <x:v>Long</x:v>
      </x:c>
      <x:c r="G413" s="6" t="str">
        <x:v>Long</x:v>
      </x:c>
      <x:c r="H413" s="6" t="str">
        <x:v>Premarket</x:v>
      </x:c>
      <x:c r="I413" s="6" t="str">
        <x:v>Premarket</x:v>
      </x:c>
      <x:c r="J413" s="6" t="str">
        <x:v>Bull</x:v>
      </x:c>
      <x:c r="K413" s="6" t="str">
        <x:v>Bull</x:v>
      </x:c>
      <x:c r="L413" s="6" t="str">
        <x:v>HIGH</x:v>
      </x:c>
      <x:c r="M413" s="7" t="str">
        <x:v>2025-05-28 05:05:00-05:00</x:v>
      </x:c>
      <x:c r="N413" s="6" t="str">
        <x:v>75.0</x:v>
      </x:c>
      <x:c r="O413" s="6" t="str">
        <x:v>75-79</x:v>
      </x:c>
      <x:c r="P413" s="6" t="str">
        <x:v>Matching BOS only</x:v>
      </x:c>
      <x:c r="Q413" s="6" t="str">
        <x:v>Bull CHoCH</x:v>
      </x:c>
      <x:c r="R413" s="6" t="str">
        <x:v>True</x:v>
      </x:c>
      <x:c r="S413" s="6" t="str">
        <x:v>False</x:v>
      </x:c>
      <x:c r="T413" s="6" t="str">
        <x:v>Recent SSL</x:v>
      </x:c>
      <x:c r="U413" s="6" t="str">
        <x:v>SSL</x:v>
      </x:c>
      <x:c r="V413" s="6" t="str">
        <x:v>Swing low / sell-side</x:v>
      </x:c>
      <x:c r="W413" s="6" t="str">
        <x:v>[19962.0]</x:v>
      </x:c>
      <x:c r="X413" s="8" t="str">
        <x:v>1</x:v>
      </x:c>
      <x:c r="Y413" s="8" t="str">
        <x:v>15.0</x:v>
      </x:c>
      <x:c r="Z413" s="6" t="str">
        <x:v>None</x:v>
      </x:c>
      <x:c r="AA413" s="6" t="str">
        <x:v>19985.0</x:v>
      </x:c>
      <x:c r="AB413" s="9" t="str">
        <x:v>0.3625211164439736</x:v>
      </x:c>
      <x:c r="AC413" s="9" t="str">
        <x:v>0.7890165475545309</x:v>
      </x:c>
      <x:c r="AD413" s="9" t="str">
        <x:v>1.215511978665088</x:v>
      </x:c>
      <x:c r="AE413" s="6" t="str">
        <x:v>With trade</x:v>
      </x:c>
      <x:c r="AF413" s="7" t="str">
        <x:v>2025-05-28 05:05:00-05:00</x:v>
      </x:c>
      <x:c r="AG413" s="6" t="str">
        <x:v>Long</x:v>
      </x:c>
      <x:c r="AH413" s="6" t="str">
        <x:v>19985.0</x:v>
      </x:c>
      <x:c r="AI413" s="8" t="str">
        <x:v>0</x:v>
      </x:c>
      <x:c r="AJ413" s="6" t="str">
        <x:v>True</x:v>
      </x:c>
      <x:c r="AK413" s="6" t="str">
        <x:v>Same-bar Setup+BOS</x:v>
      </x:c>
      <x:c r="AL413" s="9" t="str">
        <x:v>0.7250422328879472</x:v>
      </x:c>
      <x:c r="AM413" s="9" t="str">
        <x:v>0.3625211164439736</x:v>
      </x:c>
      <x:c r="AN413" s="9" t="str">
        <x:v>0.7890165475545309</x:v>
      </x:c>
      <x:c r="AO413" s="9" t="str">
        <x:v>1.215511978665088</x:v>
      </x:c>
      <x:c r="AP413" s="10" t="str">
        <x:v>0.6491228070175439</x:v>
      </x:c>
      <x:c r="AQ413" s="6" t="str">
        <x:v>0.17543859649122806</x:v>
      </x:c>
      <x:c r="AR413" s="6" t="str">
        <x:v>0.17543859649122806</x:v>
      </x:c>
      <x:c r="AS413" s="6" t="str">
        <x:v>With trade</x:v>
      </x:c>
      <x:c r="AT413" s="6" t="str">
        <x:v>2.000800320128051</x:v>
      </x:c>
      <x:c r="AU413" s="7" t="str">
        <x:v>2025-05-28 05:10:00-05:00</x:v>
      </x:c>
      <x:c r="AV413" s="8" t="str">
        <x:v>1</x:v>
      </x:c>
      <x:c r="AW413" s="6" t="str">
        <x:v>Immediate retest (1 bar)</x:v>
      </x:c>
      <x:c r="AX413" s="6" t="str">
        <x:v>19985.5</x:v>
      </x:c>
      <x:c r="AY413" s="6" t="str">
        <x:v>0.0</x:v>
      </x:c>
      <x:c r="AZ413" s="9" t="str">
        <x:v>0.0</x:v>
      </x:c>
      <x:c r="BA413" s="9" t="str">
        <x:v>0.8391999704095569</x:v>
      </x:c>
      <x:c r="BB413" s="9" t="str">
        <x:v>0.8822358663279957</x:v>
      </x:c>
      <x:c r="BC413" s="9" t="str">
        <x:v>0.5164307510212658</x:v>
      </x:c>
      <x:c r="BD413" s="6" t="str">
        <x:v>0.0975609756097561</x:v>
      </x:c>
      <x:c r="BE413" s="6" t="str">
        <x:v>0.3170731707317073</x:v>
      </x:c>
      <x:c r="BF413" s="9" t="str">
        <x:v>0.2797333234698523</x:v>
      </x:c>
      <x:c r="BG413" s="9" t="str">
        <x:v>0.08607179183687763</x:v>
      </x:c>
      <x:c r="BH413" s="6" t="str">
        <x:v>With trade</x:v>
      </x:c>
      <x:c r="BI413" s="6" t="str">
        <x:v>Tolerance-only shallow touch</x:v>
      </x:c>
      <x:c r="BJ413" s="6" t="str">
        <x:v>True</x:v>
      </x:c>
      <x:c r="BK413" s="10" t="str">
        <x:v>False</x:v>
      </x:c>
      <x:c r="BL413" s="6" t="str">
        <x:v>True</x:v>
      </x:c>
      <x:c r="BM413" s="7" t="str">
        <x:v>2025-05-28 05:20:00-05:00</x:v>
      </x:c>
      <x:c r="BN413" s="8" t="str">
        <x:v>2</x:v>
      </x:c>
      <x:c r="BO413" s="6" t="str">
        <x:v>Delayed confirmation (2+ bars)</x:v>
      </x:c>
      <x:c r="BP413" s="9" t="str">
        <x:v>0.2258088251757843</x:v>
      </x:c>
      <x:c r="BQ413" s="9" t="str">
        <x:v>0.7451691230800882</x:v>
      </x:c>
      <x:c r="BR413" s="10" t="str">
        <x:v>0.30303030303030304</x:v>
      </x:c>
      <x:c r="BS413" s="9" t="str">
        <x:v>0.9709779482558725</x:v>
      </x:c>
      <x:c r="BT413" s="9" t="str">
        <x:v>0.09032353007031371</x:v>
      </x:c>
      <x:c r="BU413" s="9" t="str">
        <x:v>0.09032353007031371</x:v>
      </x:c>
      <x:c r="BV413" s="6" t="str">
        <x:v>With trade</x:v>
      </x:c>
      <x:c r="BW413" s="7" t="str">
        <x:v>2025-05-28 05:20:00-05:00</x:v>
      </x:c>
      <x:c r="BX413" s="6" t="str">
        <x:v>19995.75</x:v>
      </x:c>
      <x:c r="BY413" s="9" t="str">
        <x:v>11.071312195410597</x:v>
      </x:c>
      <x:c r="BZ413" s="9" t="str">
        <x:v>0.73</x:v>
      </x:c>
      <x:c r="CA413" s="6" t="str">
        <x:v>19979.143031706884</x:v>
      </x:c>
      <x:c r="CB413" s="6" t="str">
        <x:v>16.606968293115642</x:v>
      </x:c>
      <x:c r="CC413" s="9" t="str">
        <x:v>1.4999999999999771</x:v>
      </x:c>
      <x:c r="CD413" s="6" t="str">
        <x:v>20028.96393658623</x:v>
      </x:c>
      <x:c r="CE413" s="6" t="str">
        <x:v>33.213936586231284</x:v>
      </x:c>
      <x:c r="CF413" s="6" t="str">
        <x:v>Fixed 2.00R target</x:v>
      </x:c>
      <x:c r="CG413" s="9" t="str">
        <x:v>0.04365637286731896</x:v>
      </x:c>
      <x:c r="CH413" s="9" t="str">
        <x:v>2.0</x:v>
      </x:c>
      <x:c r="CI413" s="9" t="str">
        <x:v>1.956343627132681</x:v>
      </x:c>
      <x:c r="CJ413" s="6" t="str">
        <x:v>Win</x:v>
      </x:c>
      <x:c r="CK413" s="9" t="str">
        <x:v>2.288196095114649</x:v>
      </x:c>
      <x:c r="CL413" s="9" t="str">
        <x:v>0.12043137342708679</x:v>
      </x:c>
      <x:c r="CM413" s="7" t="str">
        <x:v>2025-05-28 05:30:00-05:00</x:v>
      </x:c>
      <x:c r="CN413" s="6" t="str">
        <x:v>20028.96393658623</x:v>
      </x:c>
      <x:c r="CO413" s="6" t="str">
        <x:v>TARGET</x:v>
      </x:c>
      <x:c r="CP413" s="6" t="str">
        <x:v>F::Long::Same-bar Setup+BOS::Tolerance-only shallow touch</x:v>
      </x:c>
    </x:row>
    <x:row r="414" ht="18" customHeight="1">
      <x:c r="A414" s="6" t="str">
        <x:v>A0413</x:v>
      </x:c>
      <x:c r="B414" s="6" t="str">
        <x:v>2025-05-29</x:v>
      </x:c>
      <x:c r="C414" s="6" t="str">
        <x:v>2025</x:v>
      </x:c>
      <x:c r="D414" s="6" t="str">
        <x:v>2025-Q2</x:v>
      </x:c>
      <x:c r="E414" s="6" t="str">
        <x:v>Second 50%</x:v>
      </x:c>
      <x:c r="F414" s="6" t="str">
        <x:v>Long</x:v>
      </x:c>
      <x:c r="G414" s="6" t="str">
        <x:v>Long</x:v>
      </x:c>
      <x:c r="H414" s="6" t="str">
        <x:v>Overnight</x:v>
      </x:c>
      <x:c r="I414" s="6" t="str">
        <x:v>Overnight</x:v>
      </x:c>
      <x:c r="J414" s="6" t="str">
        <x:v>Bear</x:v>
      </x:c>
      <x:c r="K414" s="6" t="str">
        <x:v>Bear</x:v>
      </x:c>
      <x:c r="L414" s="6" t="str">
        <x:v>LOW</x:v>
      </x:c>
      <x:c r="M414" s="7" t="str">
        <x:v>2025-05-29 21:35:00-05:00</x:v>
      </x:c>
      <x:c r="N414" s="6" t="str">
        <x:v>75.0</x:v>
      </x:c>
      <x:c r="O414" s="6" t="str">
        <x:v>75-79</x:v>
      </x:c>
      <x:c r="P414" s="6" t="str">
        <x:v>Matching BOS only</x:v>
      </x:c>
      <x:c r="Q414" s="6" t="str">
        <x:v>Bull CHoCH</x:v>
      </x:c>
      <x:c r="R414" s="6" t="str">
        <x:v>True</x:v>
      </x:c>
      <x:c r="S414" s="6" t="str">
        <x:v>False</x:v>
      </x:c>
      <x:c r="T414" s="6" t="str">
        <x:v>Recent SSL</x:v>
      </x:c>
      <x:c r="U414" s="6" t="str">
        <x:v>SSL</x:v>
      </x:c>
      <x:c r="V414" s="6" t="str">
        <x:v>Swing low / sell-side</x:v>
      </x:c>
      <x:c r="W414" s="6" t="str">
        <x:v>[19845.5]</x:v>
      </x:c>
      <x:c r="X414" s="8" t="str">
        <x:v>1</x:v>
      </x:c>
      <x:c r="Y414" s="8" t="str">
        <x:v>18.0</x:v>
      </x:c>
      <x:c r="Z414" s="6" t="str">
        <x:v>None</x:v>
      </x:c>
      <x:c r="AA414" s="6" t="str">
        <x:v>19898.0</x:v>
      </x:c>
      <x:c r="AB414" s="9" t="str">
        <x:v>0.015932256013415393</x:v>
      </x:c>
      <x:c r="AC414" s="9" t="str">
        <x:v>0.4301709123622156</x:v>
      </x:c>
      <x:c r="AD414" s="9" t="str">
        <x:v>0.5416967044561233</x:v>
      </x:c>
      <x:c r="AE414" s="6" t="str">
        <x:v>With trade</x:v>
      </x:c>
      <x:c r="AF414" s="7" t="str">
        <x:v>2025-05-29 21:35:00-05:00</x:v>
      </x:c>
      <x:c r="AG414" s="6" t="str">
        <x:v>Long</x:v>
      </x:c>
      <x:c r="AH414" s="6" t="str">
        <x:v>19898.0</x:v>
      </x:c>
      <x:c r="AI414" s="8" t="str">
        <x:v>0</x:v>
      </x:c>
      <x:c r="AJ414" s="6" t="str">
        <x:v>True</x:v>
      </x:c>
      <x:c r="AK414" s="6" t="str">
        <x:v>Same-bar Setup+BOS</x:v>
      </x:c>
      <x:c r="AL414" s="9" t="str">
        <x:v>0.47796768040246174</x:v>
      </x:c>
      <x:c r="AM414" s="9" t="str">
        <x:v>0.015932256013415393</x:v>
      </x:c>
      <x:c r="AN414" s="9" t="str">
        <x:v>0.4301709123622156</x:v>
      </x:c>
      <x:c r="AO414" s="9" t="str">
        <x:v>0.5416967044561233</x:v>
      </x:c>
      <x:c r="AP414" s="10" t="str">
        <x:v>0.7941176470588235</x:v>
      </x:c>
      <x:c r="AQ414" s="6" t="str">
        <x:v>0.11764705882352941</x:v>
      </x:c>
      <x:c r="AR414" s="6" t="str">
        <x:v>0.08823529411764706</x:v>
      </x:c>
      <x:c r="AS414" s="6" t="str">
        <x:v>With trade</x:v>
      </x:c>
      <x:c r="AT414" s="6" t="str">
        <x:v>0.5013064937578632</x:v>
      </x:c>
      <x:c r="AU414" s="7" t="str">
        <x:v>2025-05-29 21:40:00-05:00</x:v>
      </x:c>
      <x:c r="AV414" s="8" t="str">
        <x:v>1</x:v>
      </x:c>
      <x:c r="AW414" s="6" t="str">
        <x:v>Immediate retest (1 bar)</x:v>
      </x:c>
      <x:c r="AX414" s="6" t="str">
        <x:v>19897.5</x:v>
      </x:c>
      <x:c r="AY414" s="6" t="str">
        <x:v>0.5</x:v>
      </x:c>
      <x:c r="AZ414" s="9" t="str">
        <x:v>0.033216492275984486</x:v>
      </x:c>
      <x:c r="BA414" s="9" t="str">
        <x:v>0.2657319382078759</x:v>
      </x:c>
      <x:c r="BB414" s="9" t="str">
        <x:v>0.4484226457257905</x:v>
      </x:c>
      <x:c r="BC414" s="9" t="str">
        <x:v>0.29894843048386033</x:v>
      </x:c>
      <x:c r="BD414" s="6" t="str">
        <x:v>0.3333333333333333</x:v>
      </x:c>
      <x:c r="BE414" s="6" t="str">
        <x:v>0.0</x:v>
      </x:c>
      <x:c r="BF414" s="9" t="str">
        <x:v>0.0</x:v>
      </x:c>
      <x:c r="BG414" s="9" t="str">
        <x:v>0.14947421524193016</x:v>
      </x:c>
      <x:c r="BH414" s="6" t="str">
        <x:v>With trade</x:v>
      </x:c>
      <x:c r="BI414" s="6" t="str">
        <x:v>Penetration + same-bar reclaim</x:v>
      </x:c>
      <x:c r="BJ414" s="6" t="str">
        <x:v>False</x:v>
      </x:c>
      <x:c r="BK414" s="10" t="str">
        <x:v>True</x:v>
      </x:c>
      <x:c r="BL414" s="6" t="str">
        <x:v>True</x:v>
      </x:c>
      <x:c r="BM414" s="7" t="str">
        <x:v>2025-05-29 21:55:00-05:00</x:v>
      </x:c>
      <x:c r="BN414" s="8" t="str">
        <x:v>3</x:v>
      </x:c>
      <x:c r="BO414" s="6" t="str">
        <x:v>Delayed confirmation (2+ bars)</x:v>
      </x:c>
      <x:c r="BP414" s="9" t="str">
        <x:v>0.4598220169271555</x:v>
      </x:c>
      <x:c r="BQ414" s="9" t="str">
        <x:v>0.7781603363382632</x:v>
      </x:c>
      <x:c r="BR414" s="10" t="str">
        <x:v>0.5909090909090909</x:v>
      </x:c>
      <x:c r="BS414" s="9" t="str">
        <x:v>0.37139470597962565</x:v>
      </x:c>
      <x:c r="BT414" s="9" t="str">
        <x:v>0.08842731094752991</x:v>
      </x:c>
      <x:c r="BU414" s="9" t="str">
        <x:v>0.035370924379011966</x:v>
      </x:c>
      <x:c r="BV414" s="6" t="str">
        <x:v>With trade</x:v>
      </x:c>
      <x:c r="BW414" s="7" t="str">
        <x:v>2025-05-29 21:55:00-05:00</x:v>
      </x:c>
      <x:c r="BX414" s="6" t="str">
        <x:v>19903.25</x:v>
      </x:c>
      <x:c r="BY414" s="9" t="str">
        <x:v>14.13590424277079</x:v>
      </x:c>
      <x:c r="BZ414" s="9" t="str">
        <x:v>0.0</x:v>
      </x:c>
      <x:c r="CA414" s="6" t="str">
        <x:v>19882.046143635846</x:v>
      </x:c>
      <x:c r="CB414" s="6" t="str">
        <x:v>21.20385636415449</x:v>
      </x:c>
      <x:c r="CC414" s="9" t="str">
        <x:v>1.49999999999988</x:v>
      </x:c>
      <x:c r="CD414" s="6" t="str">
        <x:v>19945.657712728313</x:v>
      </x:c>
      <x:c r="CE414" s="6" t="str">
        <x:v>42.40771272831262</x:v>
      </x:c>
      <x:c r="CF414" s="6" t="str">
        <x:v>Fixed 2.00R target</x:v>
      </x:c>
      <x:c r="CG414" s="9" t="str">
        <x:v>0.034191893566380964</x:v>
      </x:c>
      <x:c r="CH414" s="9" t="str">
        <x:v>-1.0</x:v>
      </x:c>
      <x:c r="CI414" s="9" t="str">
        <x:v>-1.034191893566381</x:v>
      </x:c>
      <x:c r="CJ414" s="6" t="str">
        <x:v>Loss</x:v>
      </x:c>
      <x:c r="CK414" s="9" t="str">
        <x:v>0.2947577031584566</x:v>
      </x:c>
      <x:c r="CL414" s="9" t="str">
        <x:v>1.072918039496782</x:v>
      </x:c>
      <x:c r="CM414" s="7" t="str">
        <x:v>2025-05-29 22:20:00-05:00</x:v>
      </x:c>
      <x:c r="CN414" s="6" t="str">
        <x:v>19882.046143635846</x:v>
      </x:c>
      <x:c r="CO414" s="6" t="str">
        <x:v>STOP</x:v>
      </x:c>
      <x:c r="CP414" s="6" t="str">
        <x:v>F::Long::Same-bar Setup+BOS::Penetration + same-bar reclaim</x:v>
      </x:c>
    </x:row>
    <x:row r="415" ht="18" customHeight="1">
      <x:c r="A415" s="6" t="str">
        <x:v>A0414</x:v>
      </x:c>
      <x:c r="B415" s="6" t="str">
        <x:v>2025-05-30</x:v>
      </x:c>
      <x:c r="C415" s="6" t="str">
        <x:v>2025</x:v>
      </x:c>
      <x:c r="D415" s="6" t="str">
        <x:v>2025-Q2</x:v>
      </x:c>
      <x:c r="E415" s="6" t="str">
        <x:v>Second 50%</x:v>
      </x:c>
      <x:c r="F415" s="6" t="str">
        <x:v>Long</x:v>
      </x:c>
      <x:c r="G415" s="6" t="str">
        <x:v>Long</x:v>
      </x:c>
      <x:c r="H415" s="6" t="str">
        <x:v>Premarket</x:v>
      </x:c>
      <x:c r="I415" s="6" t="str">
        <x:v>Premarket</x:v>
      </x:c>
      <x:c r="J415" s="6" t="str">
        <x:v>Bear</x:v>
      </x:c>
      <x:c r="K415" s="6" t="str">
        <x:v>Bear</x:v>
      </x:c>
      <x:c r="L415" s="6" t="str">
        <x:v>MID</x:v>
      </x:c>
      <x:c r="M415" s="7" t="str">
        <x:v>2025-05-30 06:00:00-05:00</x:v>
      </x:c>
      <x:c r="N415" s="6" t="str">
        <x:v>75.0</x:v>
      </x:c>
      <x:c r="O415" s="6" t="str">
        <x:v>75-79</x:v>
      </x:c>
      <x:c r="P415" s="6" t="str">
        <x:v>Matching BOS only</x:v>
      </x:c>
      <x:c r="Q415" s="6" t="str">
        <x:v>Bull CHoCH</x:v>
      </x:c>
      <x:c r="R415" s="6" t="str">
        <x:v>True</x:v>
      </x:c>
      <x:c r="S415" s="6" t="str">
        <x:v>False</x:v>
      </x:c>
      <x:c r="T415" s="6" t="str">
        <x:v>Recent SSL</x:v>
      </x:c>
      <x:c r="U415" s="6" t="str">
        <x:v>SSL</x:v>
      </x:c>
      <x:c r="V415" s="6" t="str">
        <x:v>Swing low / sell-side</x:v>
      </x:c>
      <x:c r="W415" s="6" t="str">
        <x:v>[19897.25]</x:v>
      </x:c>
      <x:c r="X415" s="8" t="str">
        <x:v>1</x:v>
      </x:c>
      <x:c r="Y415" s="8" t="str">
        <x:v>12.0</x:v>
      </x:c>
      <x:c r="Z415" s="6" t="str">
        <x:v>None</x:v>
      </x:c>
      <x:c r="AA415" s="6" t="str">
        <x:v>19934.5</x:v>
      </x:c>
      <x:c r="AB415" s="9" t="str">
        <x:v>0.12276862708178841</x:v>
      </x:c>
      <x:c r="AC415" s="9" t="str">
        <x:v>0.5261512589219504</x:v>
      </x:c>
      <x:c r="AD415" s="9" t="str">
        <x:v>1.1049176437360957</x:v>
      </x:c>
      <x:c r="AE415" s="6" t="str">
        <x:v>With trade</x:v>
      </x:c>
      <x:c r="AF415" s="7" t="str">
        <x:v>2025-05-30 06:00:00-05:00</x:v>
      </x:c>
      <x:c r="AG415" s="6" t="str">
        <x:v>Long</x:v>
      </x:c>
      <x:c r="AH415" s="6" t="str">
        <x:v>19934.5</x:v>
      </x:c>
      <x:c r="AI415" s="8" t="str">
        <x:v>0</x:v>
      </x:c>
      <x:c r="AJ415" s="6" t="str">
        <x:v>True</x:v>
      </x:c>
      <x:c r="AK415" s="6" t="str">
        <x:v>Same-bar Setup+BOS</x:v>
      </x:c>
      <x:c r="AL415" s="9" t="str">
        <x:v>0.508612883624552</x:v>
      </x:c>
      <x:c r="AM415" s="9" t="str">
        <x:v>0.12276862708178841</x:v>
      </x:c>
      <x:c r="AN415" s="9" t="str">
        <x:v>0.5261512589219504</x:v>
      </x:c>
      <x:c r="AO415" s="9" t="str">
        <x:v>1.1049176437360957</x:v>
      </x:c>
      <x:c r="AP415" s="10" t="str">
        <x:v>0.47619047619047616</x:v>
      </x:c>
      <x:c r="AQ415" s="6" t="str">
        <x:v>0.031746031746031744</x:v>
      </x:c>
      <x:c r="AR415" s="6" t="str">
        <x:v>0.49206349206349204</x:v>
      </x:c>
      <x:c r="AS415" s="6" t="str">
        <x:v>With trade</x:v>
      </x:c>
      <x:c r="AT415" s="6" t="str">
        <x:v>1.6461603733559609</x:v>
      </x:c>
      <x:c r="AU415" s="7" t="str">
        <x:v>2025-05-30 06:05:00-05:00</x:v>
      </x:c>
      <x:c r="AV415" s="8" t="str">
        <x:v>1</x:v>
      </x:c>
      <x:c r="AW415" s="6" t="str">
        <x:v>Immediate retest (1 bar)</x:v>
      </x:c>
      <x:c r="AX415" s="6" t="str">
        <x:v>19933.0</x:v>
      </x:c>
      <x:c r="AY415" s="6" t="str">
        <x:v>1.5</x:v>
      </x:c>
      <x:c r="AZ415" s="9" t="str">
        <x:v>0.10316473609729727</x:v>
      </x:c>
      <x:c r="BA415" s="9" t="str">
        <x:v>1.0832297290216213</x:v>
      </x:c>
      <x:c r="BB415" s="9" t="str">
        <x:v>1.2551709558504502</x:v>
      </x:c>
      <x:c r="BC415" s="9" t="str">
        <x:v>1.0316473609729728</x:v>
      </x:c>
      <x:c r="BD415" s="6" t="str">
        <x:v>0.0547945205479452</x:v>
      </x:c>
      <x:c r="BE415" s="6" t="str">
        <x:v>0.1232876712328767</x:v>
      </x:c>
      <x:c r="BF415" s="9" t="str">
        <x:v>0.15474710414594592</x:v>
      </x:c>
      <x:c r="BG415" s="9" t="str">
        <x:v>0.06877649073153151</x:v>
      </x:c>
      <x:c r="BH415" s="6" t="str">
        <x:v>With trade</x:v>
      </x:c>
      <x:c r="BI415" s="6" t="str">
        <x:v>Penetration + same-bar reclaim</x:v>
      </x:c>
      <x:c r="BJ415" s="6" t="str">
        <x:v>False</x:v>
      </x:c>
      <x:c r="BK415" s="10" t="str">
        <x:v>True</x:v>
      </x:c>
      <x:c r="BL415" s="6" t="str">
        <x:v>True</x:v>
      </x:c>
      <x:c r="BM415" s="7" t="str">
        <x:v>2025-05-30 06:10:00-05:00</x:v>
      </x:c>
      <x:c r="BN415" s="8" t="str">
        <x:v>1</x:v>
      </x:c>
      <x:c r="BO415" s="6" t="str">
        <x:v>Immediate confirmation (1 bar)</x:v>
      </x:c>
      <x:c r="BP415" s="9" t="str">
        <x:v>0.22247422200996547</x:v>
      </x:c>
      <x:c r="BQ415" s="9" t="str">
        <x:v>1.0610309049706046</x:v>
      </x:c>
      <x:c r="BR415" s="10" t="str">
        <x:v>0.20967741935483872</x:v>
      </x:c>
      <x:c r="BS415" s="9" t="str">
        <x:v>1.3006185286736442</x:v>
      </x:c>
      <x:c r="BT415" s="9" t="str">
        <x:v>0.22247422200996547</x:v>
      </x:c>
      <x:c r="BU415" s="9" t="str">
        <x:v>0.01711340169307427</x:v>
      </x:c>
      <x:c r="BV415" s="6" t="str">
        <x:v>With trade</x:v>
      </x:c>
      <x:c r="BW415" s="7" t="str">
        <x:v>2025-05-30 06:10:00-05:00</x:v>
      </x:c>
      <x:c r="BX415" s="6" t="str">
        <x:v>19953.5</x:v>
      </x:c>
      <x:c r="BY415" s="9" t="str">
        <x:v>14.608434049740918</x:v>
      </x:c>
      <x:c r="BZ415" s="9" t="str">
        <x:v>0.56</x:v>
      </x:c>
      <x:c r="CA415" s="6" t="str">
        <x:v>19931.58734892539</x:v>
      </x:c>
      <x:c r="CB415" s="6" t="str">
        <x:v>21.91265107461004</x:v>
      </x:c>
      <x:c r="CC415" s="9" t="str">
        <x:v>1.4999999999999085</x:v>
      </x:c>
      <x:c r="CD415" s="6" t="str">
        <x:v>19997.325302149224</x:v>
      </x:c>
      <x:c r="CE415" s="6" t="str">
        <x:v>43.82530214922372</x:v>
      </x:c>
      <x:c r="CF415" s="6" t="str">
        <x:v>Fixed 2.00R target</x:v>
      </x:c>
      <x:c r="CG415" s="9" t="str">
        <x:v>0.033085909939945604</x:v>
      </x:c>
      <x:c r="CH415" s="9" t="str">
        <x:v>-1.0</x:v>
      </x:c>
      <x:c r="CI415" s="9" t="str">
        <x:v>-1.0330859099399456</x:v>
      </x:c>
      <x:c r="CJ415" s="6" t="str">
        <x:v>Loss</x:v>
      </x:c>
      <x:c r="CK415" s="9" t="str">
        <x:v>0.2509965581651046</x:v>
      </x:c>
      <x:c r="CL415" s="9" t="str">
        <x:v>1.0838487738947697</x:v>
      </x:c>
      <x:c r="CM415" s="7" t="str">
        <x:v>2025-05-30 06:45:00-05:00</x:v>
      </x:c>
      <x:c r="CN415" s="6" t="str">
        <x:v>19931.58734892539</x:v>
      </x:c>
      <x:c r="CO415" s="6" t="str">
        <x:v>STOP</x:v>
      </x:c>
      <x:c r="CP415" s="6" t="str">
        <x:v>F::Long::Same-bar Setup+BOS::Penetration + same-bar reclaim</x:v>
      </x:c>
    </x:row>
    <x:row r="416" ht="18" customHeight="1">
      <x:c r="A416" s="6" t="str">
        <x:v>A0415</x:v>
      </x:c>
      <x:c r="B416" s="6" t="str">
        <x:v>2025-05-30</x:v>
      </x:c>
      <x:c r="C416" s="6" t="str">
        <x:v>2025</x:v>
      </x:c>
      <x:c r="D416" s="6" t="str">
        <x:v>2025-Q2</x:v>
      </x:c>
      <x:c r="E416" s="6" t="str">
        <x:v>Second 50%</x:v>
      </x:c>
      <x:c r="F416" s="6" t="str">
        <x:v>Short</x:v>
      </x:c>
      <x:c r="G416" s="6" t="str">
        <x:v>Short</x:v>
      </x:c>
      <x:c r="H416" s="6" t="str">
        <x:v>Morning</x:v>
      </x:c>
      <x:c r="I416" s="6" t="str">
        <x:v>Morning</x:v>
      </x:c>
      <x:c r="J416" s="6" t="str">
        <x:v>Bear</x:v>
      </x:c>
      <x:c r="K416" s="6" t="str">
        <x:v>Bear</x:v>
      </x:c>
      <x:c r="L416" s="6" t="str">
        <x:v>HIGH</x:v>
      </x:c>
      <x:c r="M416" s="7" t="str">
        <x:v>2025-05-30 11:15:00-05:00</x:v>
      </x:c>
      <x:c r="N416" s="6" t="str">
        <x:v>75.0</x:v>
      </x:c>
      <x:c r="O416" s="6" t="str">
        <x:v>75-79</x:v>
      </x:c>
      <x:c r="P416" s="6" t="str">
        <x:v>Matching BOS only</x:v>
      </x:c>
      <x:c r="Q416" s="6" t="str">
        <x:v>Bear CHoCH</x:v>
      </x:c>
      <x:c r="R416" s="6" t="str">
        <x:v>True</x:v>
      </x:c>
      <x:c r="S416" s="6" t="str">
        <x:v>False</x:v>
      </x:c>
      <x:c r="T416" s="6" t="str">
        <x:v>No recent matching sweep</x:v>
      </x:c>
      <x:c r="U416" s="6" t="str">
        <x:v>None</x:v>
      </x:c>
      <x:c r="V416" s="6" t="str">
        <x:v>None</x:v>
      </x:c>
      <x:c r="W416" s="6" t="str">
        <x:v>[]</x:v>
      </x:c>
      <x:c r="X416" s="8" t="str">
        <x:v>0</x:v>
      </x:c>
      <x:c r="Y416" s="8" t="str"/>
      <x:c r="Z416" s="6" t="str">
        <x:v>None</x:v>
      </x:c>
      <x:c r="AA416" s="6" t="str">
        <x:v>19832.75</x:v>
      </x:c>
      <x:c r="AB416" s="9" t="str">
        <x:v>0.22960519533496437</x:v>
      </x:c>
      <x:c r="AC416" s="9" t="str">
        <x:v>1.2245610417864767</x:v>
      </x:c>
      <x:c r="AD416" s="9" t="str">
        <x:v>1.690729165648374</x:v>
      </x:c>
      <x:c r="AE416" s="6" t="str">
        <x:v>With trade</x:v>
      </x:c>
      <x:c r="AF416" s="7" t="str">
        <x:v>2025-05-30 11:15:00-05:00</x:v>
      </x:c>
      <x:c r="AG416" s="6" t="str">
        <x:v>Short</x:v>
      </x:c>
      <x:c r="AH416" s="6" t="str">
        <x:v>19832.75</x:v>
      </x:c>
      <x:c r="AI416" s="8" t="str">
        <x:v>0</x:v>
      </x:c>
      <x:c r="AJ416" s="6" t="str">
        <x:v>True</x:v>
      </x:c>
      <x:c r="AK416" s="6" t="str">
        <x:v>Same-bar Setup+BOS</x:v>
      </x:c>
      <x:c r="AL416" s="9" t="str">
        <x:v>1.2245610417864767</x:v>
      </x:c>
      <x:c r="AM416" s="9" t="str">
        <x:v>0.22960519533496437</x:v>
      </x:c>
      <x:c r="AN416" s="9" t="str">
        <x:v>1.2245610417864767</x:v>
      </x:c>
      <x:c r="AO416" s="9" t="str">
        <x:v>1.690729165648374</x:v>
      </x:c>
      <x:c r="AP416" s="10" t="str">
        <x:v>0.7242798353909465</x:v>
      </x:c>
      <x:c r="AQ416" s="6" t="str">
        <x:v>0.07818930041152264</x:v>
      </x:c>
      <x:c r="AR416" s="6" t="str">
        <x:v>0.19753086419753085</x:v>
      </x:c>
      <x:c r="AS416" s="6" t="str">
        <x:v>With trade</x:v>
      </x:c>
      <x:c r="AT416" s="6" t="str">
        <x:v>1.1634953338989213</x:v>
      </x:c>
      <x:c r="AU416" s="7" t="str">
        <x:v>2025-05-30 11:20:00-05:00</x:v>
      </x:c>
      <x:c r="AV416" s="8" t="str">
        <x:v>1</x:v>
      </x:c>
      <x:c r="AW416" s="6" t="str">
        <x:v>Immediate retest (1 bar)</x:v>
      </x:c>
      <x:c r="AX416" s="6" t="str">
        <x:v>19831.75</x:v>
      </x:c>
      <x:c r="AY416" s="6" t="str">
        <x:v>0.0</x:v>
      </x:c>
      <x:c r="AZ416" s="9" t="str">
        <x:v>0.0</x:v>
      </x:c>
      <x:c r="BA416" s="9" t="str">
        <x:v>0.9043641645976606</x:v>
      </x:c>
      <x:c r="BB416" s="9" t="str">
        <x:v>1.1989676424590197</x:v>
      </x:c>
      <x:c r="BC416" s="9" t="str">
        <x:v>0.671421879777051</x:v>
      </x:c>
      <x:c r="BD416" s="6" t="str">
        <x:v>0.17142857142857143</x:v>
      </x:c>
      <x:c r="BE416" s="6" t="str">
        <x:v>0.26857142857142857</x:v>
      </x:c>
      <x:c r="BF416" s="9" t="str">
        <x:v>0.20553731013583193</x:v>
      </x:c>
      <x:c r="BG416" s="9" t="str">
        <x:v>0.3220084525461367</x:v>
      </x:c>
      <x:c r="BH416" s="6" t="str">
        <x:v>With trade</x:v>
      </x:c>
      <x:c r="BI416" s="6" t="str">
        <x:v>Tolerance-only shallow touch</x:v>
      </x:c>
      <x:c r="BJ416" s="6" t="str">
        <x:v>True</x:v>
      </x:c>
      <x:c r="BK416" s="10" t="str">
        <x:v>False</x:v>
      </x:c>
      <x:c r="BL416" s="6" t="str">
        <x:v>True</x:v>
      </x:c>
      <x:c r="BM416" s="7" t="str">
        <x:v>2025-05-30 11:25:00-05:00</x:v>
      </x:c>
      <x:c r="BN416" s="8" t="str">
        <x:v>1</x:v>
      </x:c>
      <x:c r="BO416" s="6" t="str">
        <x:v>Immediate confirmation (1 bar)</x:v>
      </x:c>
      <x:c r="BP416" s="9" t="str">
        <x:v>1.9337805981985414</x:v>
      </x:c>
      <x:c r="BQ416" s="9" t="str">
        <x:v>2.4975473556670815</x:v>
      </x:c>
      <x:c r="BR416" s="10" t="str">
        <x:v>0.7742718446601942</x:v>
      </x:c>
      <x:c r="BS416" s="9" t="str">
        <x:v>2.733965673315179</x:v>
      </x:c>
      <x:c r="BT416" s="9" t="str">
        <x:v>1.9337805981985414</x:v>
      </x:c>
      <x:c r="BU416" s="9" t="str">
        <x:v>0.16367421991022138</x:v>
      </x:c>
      <x:c r="BV416" s="6" t="str">
        <x:v>With trade</x:v>
      </x:c>
      <x:c r="BW416" s="7" t="str">
        <x:v>2025-05-30 11:25:00-05:00</x:v>
      </x:c>
      <x:c r="BX416" s="6" t="str">
        <x:v>19720.0</x:v>
      </x:c>
      <x:c r="BY416" s="9" t="str">
        <x:v>41.240459271487666</x:v>
      </x:c>
      <x:c r="BZ416" s="9" t="str">
        <x:v>1.0</x:v>
      </x:c>
      <x:c r="CA416" s="6" t="str">
        <x:v>19781.860688907233</x:v>
      </x:c>
      <x:c r="CB416" s="6" t="str">
        <x:v>61.86068890723254</x:v>
      </x:c>
      <x:c r="CC416" s="9" t="str">
        <x:v>1.5000000000000253</x:v>
      </x:c>
      <x:c r="CD416" s="6" t="str">
        <x:v>19596.27862218554</x:v>
      </x:c>
      <x:c r="CE416" s="6" t="str">
        <x:v>123.72137781446145</x:v>
      </x:c>
      <x:c r="CF416" s="6" t="str">
        <x:v>Fixed 2.00R target</x:v>
      </x:c>
      <x:c r="CG416" s="9" t="str">
        <x:v>0.011719882413324296</x:v>
      </x:c>
      <x:c r="CH416" s="9" t="str">
        <x:v>0.008082677526430685</x:v>
      </x:c>
      <x:c r="CI416" s="9" t="str">
        <x:v>-0.0036372048868936104</x:v>
      </x:c>
      <x:c r="CJ416" s="6" t="str">
        <x:v>Loss</x:v>
      </x:c>
      <x:c r="CK416" s="9" t="str">
        <x:v>1.681196925497554</x:v>
      </x:c>
      <x:c r="CL416" s="9" t="str">
        <x:v>0.250563003319347</x:v>
      </x:c>
      <x:c r="CM416" s="7" t="str">
        <x:v>2025-05-30 12:25:00-05:00</x:v>
      </x:c>
      <x:c r="CN416" s="6" t="str">
        <x:v>19719.5</x:v>
      </x:c>
      <x:c r="CO416" s="6" t="str">
        <x:v>TIME</x:v>
      </x:c>
      <x:c r="CP416" s="6" t="str">
        <x:v>F::Short::Same-bar Setup+BOS::Tolerance-only shallow touch</x:v>
      </x:c>
    </x:row>
    <x:row r="417" ht="18" customHeight="1">
      <x:c r="A417" s="6" t="str">
        <x:v>A0416</x:v>
      </x:c>
      <x:c r="B417" s="6" t="str">
        <x:v>2025-06-02</x:v>
      </x:c>
      <x:c r="C417" s="6" t="str">
        <x:v>2025</x:v>
      </x:c>
      <x:c r="D417" s="6" t="str">
        <x:v>2025-Q2</x:v>
      </x:c>
      <x:c r="E417" s="6" t="str">
        <x:v>Second 50%</x:v>
      </x:c>
      <x:c r="F417" s="6" t="str">
        <x:v>Long</x:v>
      </x:c>
      <x:c r="G417" s="6" t="str">
        <x:v>Long</x:v>
      </x:c>
      <x:c r="H417" s="6" t="str">
        <x:v>Overnight</x:v>
      </x:c>
      <x:c r="I417" s="6" t="str">
        <x:v>Overnight</x:v>
      </x:c>
      <x:c r="J417" s="6" t="str">
        <x:v>Bear</x:v>
      </x:c>
      <x:c r="K417" s="6" t="str">
        <x:v>Bear</x:v>
      </x:c>
      <x:c r="L417" s="6" t="str">
        <x:v>HIGH</x:v>
      </x:c>
      <x:c r="M417" s="7" t="str">
        <x:v>2025-06-02 02:00:00-05:00</x:v>
      </x:c>
      <x:c r="N417" s="6" t="str">
        <x:v>90.0</x:v>
      </x:c>
      <x:c r="O417" s="6" t="str">
        <x:v>90-94</x:v>
      </x:c>
      <x:c r="P417" s="6" t="str">
        <x:v>Matching BOS only</x:v>
      </x:c>
      <x:c r="Q417" s="6" t="str">
        <x:v>Bull CHoCH</x:v>
      </x:c>
      <x:c r="R417" s="6" t="str">
        <x:v>True</x:v>
      </x:c>
      <x:c r="S417" s="6" t="str">
        <x:v>False</x:v>
      </x:c>
      <x:c r="T417" s="6" t="str">
        <x:v>Recent SSL</x:v>
      </x:c>
      <x:c r="U417" s="6" t="str">
        <x:v>SSL</x:v>
      </x:c>
      <x:c r="V417" s="6" t="str">
        <x:v>Swing low / sell-side</x:v>
      </x:c>
      <x:c r="W417" s="6" t="str">
        <x:v>[19757.75]</x:v>
      </x:c>
      <x:c r="X417" s="8" t="str">
        <x:v>1</x:v>
      </x:c>
      <x:c r="Y417" s="8" t="str">
        <x:v>11.0</x:v>
      </x:c>
      <x:c r="Z417" s="6" t="str">
        <x:v>Sweep below CRT reference</x:v>
      </x:c>
      <x:c r="AA417" s="6" t="str">
        <x:v>19795.5</x:v>
      </x:c>
      <x:c r="AB417" s="9" t="str">
        <x:v>0.8457483837355952</x:v>
      </x:c>
      <x:c r="AC417" s="9" t="str">
        <x:v>2.2758320144157835</x:v>
      </x:c>
      <x:c r="AD417" s="9" t="str">
        <x:v>2.660263097931963</x:v>
      </x:c>
      <x:c r="AE417" s="6" t="str">
        <x:v>With trade</x:v>
      </x:c>
      <x:c r="AF417" s="7" t="str">
        <x:v>2025-06-02 02:00:00-05:00</x:v>
      </x:c>
      <x:c r="AG417" s="6" t="str">
        <x:v>Long</x:v>
      </x:c>
      <x:c r="AH417" s="6" t="str">
        <x:v>19795.5</x:v>
      </x:c>
      <x:c r="AI417" s="8" t="str">
        <x:v>0</x:v>
      </x:c>
      <x:c r="AJ417" s="6" t="str">
        <x:v>True</x:v>
      </x:c>
      <x:c r="AK417" s="6" t="str">
        <x:v>Same-bar Setup+BOS</x:v>
      </x:c>
      <x:c r="AL417" s="9" t="str">
        <x:v>2.229700284393842</x:v>
      </x:c>
      <x:c r="AM417" s="9" t="str">
        <x:v>0.8457483837355952</x:v>
      </x:c>
      <x:c r="AN417" s="9" t="str">
        <x:v>2.2758320144157835</x:v>
      </x:c>
      <x:c r="AO417" s="9" t="str">
        <x:v>2.660263097931963</x:v>
      </x:c>
      <x:c r="AP417" s="10" t="str">
        <x:v>0.8554913294797688</x:v>
      </x:c>
      <x:c r="AQ417" s="6" t="str">
        <x:v>0.0</x:v>
      </x:c>
      <x:c r="AR417" s="6" t="str">
        <x:v>0.14450867052023122</x:v>
      </x:c>
      <x:c r="AS417" s="6" t="str">
        <x:v>With trade</x:v>
      </x:c>
      <x:c r="AT417" s="6" t="str">
        <x:v>2.8827917562270833</x:v>
      </x:c>
      <x:c r="AU417" s="7" t="str">
        <x:v>2025-06-02 02:05:00-05:00</x:v>
      </x:c>
      <x:c r="AV417" s="8" t="str">
        <x:v>1</x:v>
      </x:c>
      <x:c r="AW417" s="6" t="str">
        <x:v>Immediate retest (1 bar)</x:v>
      </x:c>
      <x:c r="AX417" s="6" t="str">
        <x:v>19796.0</x:v>
      </x:c>
      <x:c r="AY417" s="6" t="str">
        <x:v>0.0</x:v>
      </x:c>
      <x:c r="AZ417" s="9" t="str">
        <x:v>0.0</x:v>
      </x:c>
      <x:c r="BA417" s="9" t="str">
        <x:v>0.32579602976109584</x:v>
      </x:c>
      <x:c r="BB417" s="9" t="str">
        <x:v>0.8843035093515459</x:v>
      </x:c>
      <x:c r="BC417" s="9" t="str">
        <x:v>0.4809369963139986</x:v>
      </x:c>
      <x:c r="BD417" s="6" t="str">
        <x:v>0.12280701754385964</x:v>
      </x:c>
      <x:c r="BE417" s="6" t="str">
        <x:v>0.3333333333333333</x:v>
      </x:c>
      <x:c r="BF417" s="9" t="str">
        <x:v>0.2947678364505153</x:v>
      </x:c>
      <x:c r="BG417" s="9" t="str">
        <x:v>0.10859867658703196</x:v>
      </x:c>
      <x:c r="BH417" s="6" t="str">
        <x:v>Against trade</x:v>
      </x:c>
      <x:c r="BI417" s="6" t="str">
        <x:v>Tolerance-only shallow touch</x:v>
      </x:c>
      <x:c r="BJ417" s="6" t="str">
        <x:v>True</x:v>
      </x:c>
      <x:c r="BK417" s="10" t="str">
        <x:v>False</x:v>
      </x:c>
      <x:c r="BL417" s="6" t="str">
        <x:v>True</x:v>
      </x:c>
      <x:c r="BM417" s="7" t="str">
        <x:v>2025-06-02 02:10:00-05:00</x:v>
      </x:c>
      <x:c r="BN417" s="8" t="str">
        <x:v>1</x:v>
      </x:c>
      <x:c r="BO417" s="6" t="str">
        <x:v>Immediate confirmation (1 bar)</x:v>
      </x:c>
      <x:c r="BP417" s="9" t="str">
        <x:v>0.4541653243564038</x:v>
      </x:c>
      <x:c r="BQ417" s="9" t="str">
        <x:v>0.8770089022054693</x:v>
      </x:c>
      <x:c r="BR417" s="10" t="str">
        <x:v>0.5178571428571429</x:v>
      </x:c>
      <x:c r="BS417" s="9" t="str">
        <x:v>0.8143654091907929</x:v>
      </x:c>
      <x:c r="BT417" s="9" t="str">
        <x:v>0.48548707086374193</x:v>
      </x:c>
      <x:c r="BU417" s="9" t="str">
        <x:v>0.20359135229769823</x:v>
      </x:c>
      <x:c r="BV417" s="6" t="str">
        <x:v>With trade</x:v>
      </x:c>
      <x:c r="BW417" s="7" t="str">
        <x:v>2025-06-02 02:10:00-05:00</x:v>
      </x:c>
      <x:c r="BX417" s="6" t="str">
        <x:v>19808.5</x:v>
      </x:c>
      <x:c r="BY417" s="9" t="str">
        <x:v>15.963349932701163</x:v>
      </x:c>
      <x:c r="BZ417" s="9" t="str">
        <x:v>0.76</x:v>
      </x:c>
      <x:c r="CA417" s="6" t="str">
        <x:v>19784.55497510095</x:v>
      </x:c>
      <x:c r="CB417" s="6" t="str">
        <x:v>23.945024899050622</x:v>
      </x:c>
      <x:c r="CC417" s="9" t="str">
        <x:v>1.4999999999999296</x:v>
      </x:c>
      <x:c r="CD417" s="6" t="str">
        <x:v>19856.390049798105</x:v>
      </x:c>
      <x:c r="CE417" s="6" t="str">
        <x:v>47.89004979810488</x:v>
      </x:c>
      <x:c r="CF417" s="6" t="str">
        <x:v>Fixed 2.00R target</x:v>
      </x:c>
      <x:c r="CG417" s="9" t="str">
        <x:v>0.030277688290428338</x:v>
      </x:c>
      <x:c r="CH417" s="9" t="str">
        <x:v>-1.0</x:v>
      </x:c>
      <x:c r="CI417" s="9" t="str">
        <x:v>-1.0302776882904283</x:v>
      </x:c>
      <x:c r="CJ417" s="6" t="str">
        <x:v>Loss</x:v>
      </x:c>
      <x:c r="CK417" s="9" t="str">
        <x:v>0.06264349301467932</x:v>
      </x:c>
      <x:c r="CL417" s="9" t="str">
        <x:v>1.2633104424626995</x:v>
      </x:c>
      <x:c r="CM417" s="7" t="str">
        <x:v>2025-06-02 02:20:00-05:00</x:v>
      </x:c>
      <x:c r="CN417" s="6" t="str">
        <x:v>19784.55497510095</x:v>
      </x:c>
      <x:c r="CO417" s="6" t="str">
        <x:v>STOP</x:v>
      </x:c>
      <x:c r="CP417" s="6" t="str">
        <x:v>F::Long::Same-bar Setup+BOS::Tolerance-only shallow touch</x:v>
      </x:c>
    </x:row>
    <x:row r="418" ht="18" customHeight="1">
      <x:c r="A418" s="6" t="str">
        <x:v>A0417</x:v>
      </x:c>
      <x:c r="B418" s="6" t="str">
        <x:v>2025-06-02</x:v>
      </x:c>
      <x:c r="C418" s="6" t="str">
        <x:v>2025</x:v>
      </x:c>
      <x:c r="D418" s="6" t="str">
        <x:v>2025-Q2</x:v>
      </x:c>
      <x:c r="E418" s="6" t="str">
        <x:v>Second 50%</x:v>
      </x:c>
      <x:c r="F418" s="6" t="str">
        <x:v>Long</x:v>
      </x:c>
      <x:c r="G418" s="6" t="str">
        <x:v>Long</x:v>
      </x:c>
      <x:c r="H418" s="6" t="str">
        <x:v>Premarket</x:v>
      </x:c>
      <x:c r="I418" s="6" t="str">
        <x:v>Premarket</x:v>
      </x:c>
      <x:c r="J418" s="6" t="str">
        <x:v>Bear</x:v>
      </x:c>
      <x:c r="K418" s="6" t="str">
        <x:v>Bear</x:v>
      </x:c>
      <x:c r="L418" s="6" t="str">
        <x:v>MID</x:v>
      </x:c>
      <x:c r="M418" s="7" t="str">
        <x:v>2025-06-02 05:50:00-05:00</x:v>
      </x:c>
      <x:c r="N418" s="6" t="str">
        <x:v>75.0</x:v>
      </x:c>
      <x:c r="O418" s="6" t="str">
        <x:v>75-79</x:v>
      </x:c>
      <x:c r="P418" s="6" t="str">
        <x:v>Matching BOS only</x:v>
      </x:c>
      <x:c r="Q418" s="6" t="str">
        <x:v>Bull CHoCH</x:v>
      </x:c>
      <x:c r="R418" s="6" t="str">
        <x:v>True</x:v>
      </x:c>
      <x:c r="S418" s="6" t="str">
        <x:v>False</x:v>
      </x:c>
      <x:c r="T418" s="6" t="str">
        <x:v>Recent SSL</x:v>
      </x:c>
      <x:c r="U418" s="6" t="str">
        <x:v>SSL</x:v>
      </x:c>
      <x:c r="V418" s="6" t="str">
        <x:v>Swing low / sell-side</x:v>
      </x:c>
      <x:c r="W418" s="6" t="str">
        <x:v>[19751.0]</x:v>
      </x:c>
      <x:c r="X418" s="8" t="str">
        <x:v>1</x:v>
      </x:c>
      <x:c r="Y418" s="8" t="str">
        <x:v>13.0</x:v>
      </x:c>
      <x:c r="Z418" s="6" t="str">
        <x:v>None</x:v>
      </x:c>
      <x:c r="AA418" s="6" t="str">
        <x:v>19794.25</x:v>
      </x:c>
      <x:c r="AB418" s="9" t="str">
        <x:v>0.1649688875881131</x:v>
      </x:c>
      <x:c r="AC418" s="9" t="str">
        <x:v>0.5848896923578555</x:v>
      </x:c>
      <x:c r="AD418" s="9" t="str">
        <x:v>0.8548387811384042</x:v>
      </x:c>
      <x:c r="AE418" s="6" t="str">
        <x:v>With trade</x:v>
      </x:c>
      <x:c r="AF418" s="7" t="str">
        <x:v>2025-06-02 05:50:00-05:00</x:v>
      </x:c>
      <x:c r="AG418" s="6" t="str">
        <x:v>Long</x:v>
      </x:c>
      <x:c r="AH418" s="6" t="str">
        <x:v>19794.25</x:v>
      </x:c>
      <x:c r="AI418" s="8" t="str">
        <x:v>0</x:v>
      </x:c>
      <x:c r="AJ418" s="6" t="str">
        <x:v>True</x:v>
      </x:c>
      <x:c r="AK418" s="6" t="str">
        <x:v>Same-bar Setup+BOS</x:v>
      </x:c>
      <x:c r="AL418" s="9" t="str">
        <x:v>0.5698925207589361</x:v>
      </x:c>
      <x:c r="AM418" s="9" t="str">
        <x:v>0.1649688875881131</x:v>
      </x:c>
      <x:c r="AN418" s="9" t="str">
        <x:v>0.5848896923578555</x:v>
      </x:c>
      <x:c r="AO418" s="9" t="str">
        <x:v>0.8548387811384042</x:v>
      </x:c>
      <x:c r="AP418" s="10" t="str">
        <x:v>0.6842105263157895</x:v>
      </x:c>
      <x:c r="AQ418" s="6" t="str">
        <x:v>0.07017543859649122</x:v>
      </x:c>
      <x:c r="AR418" s="6" t="str">
        <x:v>0.24561403508771928</x:v>
      </x:c>
      <x:c r="AS418" s="6" t="str">
        <x:v>With trade</x:v>
      </x:c>
      <x:c r="AT418" s="6" t="str">
        <x:v>1.138099902056807</x:v>
      </x:c>
      <x:c r="AU418" s="7" t="str">
        <x:v>2025-06-02 05:55:00-05:00</x:v>
      </x:c>
      <x:c r="AV418" s="8" t="str">
        <x:v>1</x:v>
      </x:c>
      <x:c r="AW418" s="6" t="str">
        <x:v>Immediate retest (1 bar)</x:v>
      </x:c>
      <x:c r="AX418" s="6" t="str">
        <x:v>19786.5</x:v>
      </x:c>
      <x:c r="AY418" s="6" t="str">
        <x:v>7.75</x:v>
      </x:c>
      <x:c r="AZ418" s="9" t="str">
        <x:v>0.4775369920696311</x:v>
      </x:c>
      <x:c r="BA418" s="9" t="str">
        <x:v>0.030808838198040717</x:v>
      </x:c>
      <x:c r="BB418" s="9" t="str">
        <x:v>0.6161767639608143</x:v>
      </x:c>
      <x:c r="BC418" s="9" t="str">
        <x:v>0.1078309336931425</x:v>
      </x:c>
      <x:c r="BD418" s="6" t="str">
        <x:v>0.0</x:v>
      </x:c>
      <x:c r="BE418" s="6" t="str">
        <x:v>0.825</x:v>
      </x:c>
      <x:c r="BF418" s="9" t="str">
        <x:v>0.5083458302676719</x:v>
      </x:c>
      <x:c r="BG418" s="9" t="str">
        <x:v>0.0</x:v>
      </x:c>
      <x:c r="BH418" s="6" t="str">
        <x:v>Against trade</x:v>
      </x:c>
      <x:c r="BI418" s="6" t="str">
        <x:v>Penetration + same-bar reclaim</x:v>
      </x:c>
      <x:c r="BJ418" s="6" t="str">
        <x:v>False</x:v>
      </x:c>
      <x:c r="BK418" s="10" t="str">
        <x:v>True</x:v>
      </x:c>
      <x:c r="BL418" s="6" t="str">
        <x:v>True</x:v>
      </x:c>
      <x:c r="BM418" s="7" t="str">
        <x:v>2025-06-02 06:00:00-05:00</x:v>
      </x:c>
      <x:c r="BN418" s="8" t="str">
        <x:v>1</x:v>
      </x:c>
      <x:c r="BO418" s="6" t="str">
        <x:v>Immediate confirmation (1 bar)</x:v>
      </x:c>
      <x:c r="BP418" s="9" t="str">
        <x:v>0.43991113046336383</x:v>
      </x:c>
      <x:c r="BQ418" s="9" t="str">
        <x:v>1.1983785967795084</x:v>
      </x:c>
      <x:c r="BR418" s="10" t="str">
        <x:v>0.3670886075949367</x:v>
      </x:c>
      <x:c r="BS418" s="9" t="str">
        <x:v>0.4702498291160096</x:v>
      </x:c>
      <x:c r="BT418" s="9" t="str">
        <x:v>0.43991113046336383</x:v>
      </x:c>
      <x:c r="BU418" s="9" t="str">
        <x:v>0.6977900690108529</x:v>
      </x:c>
      <x:c r="BV418" s="6" t="str">
        <x:v>With trade</x:v>
      </x:c>
      <x:c r="BW418" s="7" t="str">
        <x:v>2025-06-02 06:00:00-05:00</x:v>
      </x:c>
      <x:c r="BX418" s="6" t="str">
        <x:v>19802.0</x:v>
      </x:c>
      <x:c r="BY418" s="9" t="str">
        <x:v>16.48060141684409</x:v>
      </x:c>
      <x:c r="BZ418" s="9" t="str">
        <x:v>0.57</x:v>
      </x:c>
      <x:c r="CA418" s="6" t="str">
        <x:v>19777.279097874733</x:v>
      </x:c>
      <x:c r="CB418" s="6" t="str">
        <x:v>24.720902125267457</x:v>
      </x:c>
      <x:c r="CC418" s="9" t="str">
        <x:v>1.5000000000000802</x:v>
      </x:c>
      <x:c r="CD418" s="6" t="str">
        <x:v>19851.44180425053</x:v>
      </x:c>
      <x:c r="CE418" s="6" t="str">
        <x:v>49.44180425053128</x:v>
      </x:c>
      <x:c r="CF418" s="6" t="str">
        <x:v>Fixed 2.00R target</x:v>
      </x:c>
      <x:c r="CG418" s="9" t="str">
        <x:v>0.029327408697556023</x:v>
      </x:c>
      <x:c r="CH418" s="9" t="str">
        <x:v>0.4651933793405687</x:v>
      </x:c>
      <x:c r="CI418" s="9" t="str">
        <x:v>0.4358659706430127</x:v>
      </x:c>
      <x:c r="CJ418" s="6" t="str">
        <x:v>Win</x:v>
      </x:c>
      <x:c r="CK418" s="9" t="str">
        <x:v>1.3753543389198686</x:v>
      </x:c>
      <x:c r="CL418" s="9" t="str">
        <x:v>0.17191929236498357</x:v>
      </x:c>
      <x:c r="CM418" s="7" t="str">
        <x:v>2025-06-02 07:00:00-05:00</x:v>
      </x:c>
      <x:c r="CN418" s="6" t="str">
        <x:v>19813.5</x:v>
      </x:c>
      <x:c r="CO418" s="6" t="str">
        <x:v>TIME</x:v>
      </x:c>
      <x:c r="CP418" s="6" t="str">
        <x:v>F::Long::Same-bar Setup+BOS::Penetration + same-bar reclaim</x:v>
      </x:c>
    </x:row>
    <x:row r="419" ht="18" customHeight="1">
      <x:c r="A419" s="6" t="str">
        <x:v>A0418</x:v>
      </x:c>
      <x:c r="B419" s="6" t="str">
        <x:v>2025-06-03</x:v>
      </x:c>
      <x:c r="C419" s="6" t="str">
        <x:v>2025</x:v>
      </x:c>
      <x:c r="D419" s="6" t="str">
        <x:v>2025-Q2</x:v>
      </x:c>
      <x:c r="E419" s="6" t="str">
        <x:v>Second 50%</x:v>
      </x:c>
      <x:c r="F419" s="6" t="str">
        <x:v>Long</x:v>
      </x:c>
      <x:c r="G419" s="6" t="str">
        <x:v>Long</x:v>
      </x:c>
      <x:c r="H419" s="6" t="str">
        <x:v>Overnight</x:v>
      </x:c>
      <x:c r="I419" s="6" t="str">
        <x:v>Overnight</x:v>
      </x:c>
      <x:c r="J419" s="6" t="str">
        <x:v>Bull</x:v>
      </x:c>
      <x:c r="K419" s="6" t="str">
        <x:v>Bull</x:v>
      </x:c>
      <x:c r="L419" s="6" t="str">
        <x:v>MID</x:v>
      </x:c>
      <x:c r="M419" s="7" t="str">
        <x:v>2025-06-03 01:45:00-05:00</x:v>
      </x:c>
      <x:c r="N419" s="6" t="str">
        <x:v>75.0</x:v>
      </x:c>
      <x:c r="O419" s="6" t="str">
        <x:v>75-79</x:v>
      </x:c>
      <x:c r="P419" s="6" t="str">
        <x:v>Matching BOS only</x:v>
      </x:c>
      <x:c r="Q419" s="6" t="str">
        <x:v>Bull CHoCH</x:v>
      </x:c>
      <x:c r="R419" s="6" t="str">
        <x:v>True</x:v>
      </x:c>
      <x:c r="S419" s="6" t="str">
        <x:v>False</x:v>
      </x:c>
      <x:c r="T419" s="6" t="str">
        <x:v>Recent SSL</x:v>
      </x:c>
      <x:c r="U419" s="6" t="str">
        <x:v>SSL</x:v>
      </x:c>
      <x:c r="V419" s="6" t="str">
        <x:v>Swing low / sell-side</x:v>
      </x:c>
      <x:c r="W419" s="6" t="str">
        <x:v>[19989.25]</x:v>
      </x:c>
      <x:c r="X419" s="8" t="str">
        <x:v>1</x:v>
      </x:c>
      <x:c r="Y419" s="8" t="str">
        <x:v>7.0</x:v>
      </x:c>
      <x:c r="Z419" s="6" t="str">
        <x:v>None</x:v>
      </x:c>
      <x:c r="AA419" s="6" t="str">
        <x:v>20013.25</x:v>
      </x:c>
      <x:c r="AB419" s="9" t="str">
        <x:v>0.5150791298179519</x:v>
      </x:c>
      <x:c r="AC419" s="9" t="str">
        <x:v>0.8662694456029191</x:v>
      </x:c>
      <x:c r="AD419" s="9" t="str">
        <x:v>0.9599201964789104</x:v>
      </x:c>
      <x:c r="AE419" s="6" t="str">
        <x:v>With trade</x:v>
      </x:c>
      <x:c r="AF419" s="7" t="str">
        <x:v>2025-06-03 01:45:00-05:00</x:v>
      </x:c>
      <x:c r="AG419" s="6" t="str">
        <x:v>Long</x:v>
      </x:c>
      <x:c r="AH419" s="6" t="str">
        <x:v>20013.25</x:v>
      </x:c>
      <x:c r="AI419" s="8" t="str">
        <x:v>0</x:v>
      </x:c>
      <x:c r="AJ419" s="6" t="str">
        <x:v>True</x:v>
      </x:c>
      <x:c r="AK419" s="6" t="str">
        <x:v>Same-bar Setup+BOS</x:v>
      </x:c>
      <x:c r="AL419" s="9" t="str">
        <x:v>0.9833328841979081</x:v>
      </x:c>
      <x:c r="AM419" s="9" t="str">
        <x:v>0.5150791298179519</x:v>
      </x:c>
      <x:c r="AN419" s="9" t="str">
        <x:v>0.8662694456029191</x:v>
      </x:c>
      <x:c r="AO419" s="9" t="str">
        <x:v>0.9599201964789104</x:v>
      </x:c>
      <x:c r="AP419" s="10" t="str">
        <x:v>0.9024390243902439</x:v>
      </x:c>
      <x:c r="AQ419" s="6" t="str">
        <x:v>0.07317073170731707</x:v>
      </x:c>
      <x:c r="AR419" s="6" t="str">
        <x:v>0.024390243902439025</x:v>
      </x:c>
      <x:c r="AS419" s="6" t="str">
        <x:v>With trade</x:v>
      </x:c>
      <x:c r="AT419" s="6" t="str">
        <x:v>1.4530702563156925</x:v>
      </x:c>
      <x:c r="AU419" s="7" t="str">
        <x:v>2025-06-03 01:50:00-05:00</x:v>
      </x:c>
      <x:c r="AV419" s="8" t="str">
        <x:v>1</x:v>
      </x:c>
      <x:c r="AW419" s="6" t="str">
        <x:v>Immediate retest (1 bar)</x:v>
      </x:c>
      <x:c r="AX419" s="6" t="str">
        <x:v>20007.75</x:v>
      </x:c>
      <x:c r="AY419" s="6" t="str">
        <x:v>5.5</x:v>
      </x:c>
      <x:c r="AZ419" s="9" t="str">
        <x:v>0.5047074697410903</x:v>
      </x:c>
      <x:c r="BA419" s="9" t="str">
        <x:v>0.022941248624595012</x:v>
      </x:c>
      <x:c r="BB419" s="9" t="str">
        <x:v>1.2617686743527257</x:v>
      </x:c>
      <x:c r="BC419" s="9" t="str">
        <x:v>0.5276487183656853</x:v>
      </x:c>
      <x:c r="BD419" s="6" t="str">
        <x:v>0.16363636363636364</x:v>
      </x:c>
      <x:c r="BE419" s="6" t="str">
        <x:v>0.41818181818181815</x:v>
      </x:c>
      <x:c r="BF419" s="9" t="str">
        <x:v>0.5276487183656853</x:v>
      </x:c>
      <x:c r="BG419" s="9" t="str">
        <x:v>0.2064712376213551</x:v>
      </x:c>
      <x:c r="BH419" s="6" t="str">
        <x:v>Against trade</x:v>
      </x:c>
      <x:c r="BI419" s="6" t="str">
        <x:v>Penetration + same-bar reclaim</x:v>
      </x:c>
      <x:c r="BJ419" s="6" t="str">
        <x:v>False</x:v>
      </x:c>
      <x:c r="BK419" s="10" t="str">
        <x:v>True</x:v>
      </x:c>
      <x:c r="BL419" s="6" t="str">
        <x:v>True</x:v>
      </x:c>
      <x:c r="BM419" s="7" t="str">
        <x:v>2025-06-03 01:55:00-05:00</x:v>
      </x:c>
      <x:c r="BN419" s="8" t="str">
        <x:v>1</x:v>
      </x:c>
      <x:c r="BO419" s="6" t="str">
        <x:v>Immediate confirmation (1 bar)</x:v>
      </x:c>
      <x:c r="BP419" s="9" t="str">
        <x:v>0.07122689702349083</x:v>
      </x:c>
      <x:c r="BQ419" s="9" t="str">
        <x:v>0.5460728771800963</x:v>
      </x:c>
      <x:c r="BR419" s="10" t="str">
        <x:v>0.13043478260869565</x:v>
      </x:c>
      <x:c r="BS419" s="9" t="str">
        <x:v>0.11871149503915139</x:v>
      </x:c>
      <x:c r="BT419" s="9" t="str">
        <x:v>0.0949691960313211</x:v>
      </x:c>
      <x:c r="BU419" s="9" t="str">
        <x:v>0.35613448511745416</x:v>
      </x:c>
      <x:c r="BV419" s="6" t="str">
        <x:v>With trade</x:v>
      </x:c>
      <x:c r="BW419" s="7" t="str">
        <x:v>2025-06-03 01:55:00-05:00</x:v>
      </x:c>
      <x:c r="BX419" s="6" t="str">
        <x:v>20014.5</x:v>
      </x:c>
      <x:c r="BY419" s="9" t="str">
        <x:v>10.529730078689907</x:v>
      </x:c>
      <x:c r="BZ419" s="9" t="str">
        <x:v>0.35</x:v>
      </x:c>
      <x:c r="CA419" s="6" t="str">
        <x:v>19998.705404881966</x:v>
      </x:c>
      <x:c r="CB419" s="6" t="str">
        <x:v>15.794595118033612</x:v>
      </x:c>
      <x:c r="CC419" s="9" t="str">
        <x:v>1.4999999999998814</x:v>
      </x:c>
      <x:c r="CD419" s="6" t="str">
        <x:v>20046.08919023607</x:v>
      </x:c>
      <x:c r="CE419" s="6" t="str">
        <x:v>31.589190236070863</x:v>
      </x:c>
      <x:c r="CF419" s="6" t="str">
        <x:v>Fixed 2.00R target</x:v>
      </x:c>
      <x:c r="CG419" s="9" t="str">
        <x:v>0.04590177808180883</x:v>
      </x:c>
      <x:c r="CH419" s="9" t="str">
        <x:v>-1.0</x:v>
      </x:c>
      <x:c r="CI419" s="9" t="str">
        <x:v>-1.0459017780818087</x:v>
      </x:c>
      <x:c r="CJ419" s="6" t="str">
        <x:v>Loss</x:v>
      </x:c>
      <x:c r="CK419" s="9" t="str">
        <x:v>0.7280971695735193</x:v>
      </x:c>
      <x:c r="CL419" s="9" t="str">
        <x:v>1.8677275219494627</x:v>
      </x:c>
      <x:c r="CM419" s="7" t="str">
        <x:v>2025-06-03 02:15:00-05:00</x:v>
      </x:c>
      <x:c r="CN419" s="6" t="str">
        <x:v>19998.705404881966</x:v>
      </x:c>
      <x:c r="CO419" s="6" t="str">
        <x:v>STOP</x:v>
      </x:c>
      <x:c r="CP419" s="6" t="str">
        <x:v>F::Long::Same-bar Setup+BOS::Penetration + same-bar reclaim</x:v>
      </x:c>
    </x:row>
    <x:row r="420" ht="18" customHeight="1">
      <x:c r="A420" s="6" t="str">
        <x:v>A0419</x:v>
      </x:c>
      <x:c r="B420" s="6" t="str">
        <x:v>2025-06-04</x:v>
      </x:c>
      <x:c r="C420" s="6" t="str">
        <x:v>2025</x:v>
      </x:c>
      <x:c r="D420" s="6" t="str">
        <x:v>2025-Q2</x:v>
      </x:c>
      <x:c r="E420" s="6" t="str">
        <x:v>Second 50%</x:v>
      </x:c>
      <x:c r="F420" s="6" t="str">
        <x:v>Long</x:v>
      </x:c>
      <x:c r="G420" s="6" t="str">
        <x:v>Long</x:v>
      </x:c>
      <x:c r="H420" s="6" t="str">
        <x:v>Midday</x:v>
      </x:c>
      <x:c r="I420" s="6" t="str">
        <x:v>Midday</x:v>
      </x:c>
      <x:c r="J420" s="6" t="str">
        <x:v>Bull</x:v>
      </x:c>
      <x:c r="K420" s="6" t="str">
        <x:v>Bull</x:v>
      </x:c>
      <x:c r="L420" s="6" t="str">
        <x:v>LOW</x:v>
      </x:c>
      <x:c r="M420" s="7" t="str">
        <x:v>2025-06-04 12:55:00-05:00</x:v>
      </x:c>
      <x:c r="N420" s="6" t="str">
        <x:v>75.0</x:v>
      </x:c>
      <x:c r="O420" s="6" t="str">
        <x:v>75-79</x:v>
      </x:c>
      <x:c r="P420" s="6" t="str">
        <x:v>Matching BOS only</x:v>
      </x:c>
      <x:c r="Q420" s="6" t="str">
        <x:v>Bull BOS</x:v>
      </x:c>
      <x:c r="R420" s="6" t="str">
        <x:v>True</x:v>
      </x:c>
      <x:c r="S420" s="6" t="str">
        <x:v>False</x:v>
      </x:c>
      <x:c r="T420" s="6" t="str">
        <x:v>No recent matching sweep</x:v>
      </x:c>
      <x:c r="U420" s="6" t="str">
        <x:v>None</x:v>
      </x:c>
      <x:c r="V420" s="6" t="str">
        <x:v>None</x:v>
      </x:c>
      <x:c r="W420" s="6" t="str">
        <x:v>[]</x:v>
      </x:c>
      <x:c r="X420" s="8" t="str">
        <x:v>0</x:v>
      </x:c>
      <x:c r="Y420" s="8" t="str"/>
      <x:c r="Z420" s="6" t="str">
        <x:v>None</x:v>
      </x:c>
      <x:c r="AA420" s="6" t="str">
        <x:v>20329.0</x:v>
      </x:c>
      <x:c r="AB420" s="9" t="str">
        <x:v>0.09480100381762138</x:v>
      </x:c>
      <x:c r="AC420" s="9" t="str">
        <x:v>0.3476036806646117</x:v>
      </x:c>
      <x:c r="AD420" s="9" t="str">
        <x:v>0.6794071940262866</x:v>
      </x:c>
      <x:c r="AE420" s="6" t="str">
        <x:v>With trade</x:v>
      </x:c>
      <x:c r="AF420" s="7" t="str">
        <x:v>2025-06-04 12:55:00-05:00</x:v>
      </x:c>
      <x:c r="AG420" s="6" t="str">
        <x:v>Long</x:v>
      </x:c>
      <x:c r="AH420" s="6" t="str">
        <x:v>20329.0</x:v>
      </x:c>
      <x:c r="AI420" s="8" t="str">
        <x:v>0</x:v>
      </x:c>
      <x:c r="AJ420" s="6" t="str">
        <x:v>True</x:v>
      </x:c>
      <x:c r="AK420" s="6" t="str">
        <x:v>Same-bar Setup+BOS</x:v>
      </x:c>
      <x:c r="AL420" s="9" t="str">
        <x:v>0.3476036806646117</x:v>
      </x:c>
      <x:c r="AM420" s="9" t="str">
        <x:v>0.09480100381762138</x:v>
      </x:c>
      <x:c r="AN420" s="9" t="str">
        <x:v>0.3476036806646117</x:v>
      </x:c>
      <x:c r="AO420" s="9" t="str">
        <x:v>0.6794071940262866</x:v>
      </x:c>
      <x:c r="AP420" s="10" t="str">
        <x:v>0.5116279069767442</x:v>
      </x:c>
      <x:c r="AQ420" s="6" t="str">
        <x:v>0.4418604651162791</x:v>
      </x:c>
      <x:c r="AR420" s="6" t="str">
        <x:v>0.046511627906976744</x:v>
      </x:c>
      <x:c r="AS420" s="6" t="str">
        <x:v>With trade</x:v>
      </x:c>
      <x:c r="AT420" s="6" t="str">
        <x:v>0.9016561870710557</x:v>
      </x:c>
      <x:c r="AU420" s="7" t="str">
        <x:v>2025-06-04 13:00:00-05:00</x:v>
      </x:c>
      <x:c r="AV420" s="8" t="str">
        <x:v>1</x:v>
      </x:c>
      <x:c r="AW420" s="6" t="str">
        <x:v>Immediate retest (1 bar)</x:v>
      </x:c>
      <x:c r="AX420" s="6" t="str">
        <x:v>20329.5</x:v>
      </x:c>
      <x:c r="AY420" s="6" t="str">
        <x:v>0.0</x:v>
      </x:c>
      <x:c r="AZ420" s="9" t="str">
        <x:v>0.0</x:v>
      </x:c>
      <x:c r="BA420" s="9" t="str">
        <x:v>0.30442581415660397</x:v>
      </x:c>
      <x:c r="BB420" s="9" t="str">
        <x:v>0.8171429748414107</x:v>
      </x:c>
      <x:c r="BC420" s="9" t="str">
        <x:v>0.22431375779960294</x:v>
      </x:c>
      <x:c r="BD420" s="6" t="str">
        <x:v>0.6666666666666666</x:v>
      </x:c>
      <x:c r="BE420" s="6" t="str">
        <x:v>0.058823529411764705</x:v>
      </x:c>
      <x:c r="BF420" s="9" t="str">
        <x:v>0.04806723381420063</x:v>
      </x:c>
      <x:c r="BG420" s="9" t="str">
        <x:v>0.5447619832276072</x:v>
      </x:c>
      <x:c r="BH420" s="6" t="str">
        <x:v>With trade</x:v>
      </x:c>
      <x:c r="BI420" s="6" t="str">
        <x:v>Tolerance-only shallow touch</x:v>
      </x:c>
      <x:c r="BJ420" s="6" t="str">
        <x:v>True</x:v>
      </x:c>
      <x:c r="BK420" s="10" t="str">
        <x:v>False</x:v>
      </x:c>
      <x:c r="BL420" s="6" t="str">
        <x:v>True</x:v>
      </x:c>
      <x:c r="BM420" s="7" t="str">
        <x:v>2025-06-04 13:10:00-05:00</x:v>
      </x:c>
      <x:c r="BN420" s="8" t="str">
        <x:v>2</x:v>
      </x:c>
      <x:c r="BO420" s="6" t="str">
        <x:v>Delayed confirmation (2+ bars)</x:v>
      </x:c>
      <x:c r="BP420" s="9" t="str">
        <x:v>0.23660589798382672</x:v>
      </x:c>
      <x:c r="BQ420" s="9" t="str">
        <x:v>0.9148761388707967</x:v>
      </x:c>
      <x:c r="BR420" s="10" t="str">
        <x:v>0.25862068965517243</x:v>
      </x:c>
      <x:c r="BS420" s="9" t="str">
        <x:v>0.14196353879029605</x:v>
      </x:c>
      <x:c r="BT420" s="9" t="str">
        <x:v>-0.15773726532255117</x:v>
      </x:c>
      <x:c r="BU420" s="9" t="str">
        <x:v>0.33124825717735745</x:v>
      </x:c>
      <x:c r="BV420" s="6" t="str">
        <x:v>With trade</x:v>
      </x:c>
      <x:c r="BW420" s="7" t="str">
        <x:v>2025-06-04 13:10:00-05:00</x:v>
      </x:c>
      <x:c r="BX420" s="6" t="str">
        <x:v>20331.25</x:v>
      </x:c>
      <x:c r="BY420" s="9" t="str">
        <x:v>15.849139991668054</x:v>
      </x:c>
      <x:c r="BZ420" s="9" t="str">
        <x:v>0.32</x:v>
      </x:c>
      <x:c r="CA420" s="6" t="str">
        <x:v>20307.4762900125</x:v>
      </x:c>
      <x:c r="CB420" s="6" t="str">
        <x:v>23.773709987501206</x:v>
      </x:c>
      <x:c r="CC420" s="9" t="str">
        <x:v>1.499999999999945</x:v>
      </x:c>
      <x:c r="CD420" s="6" t="str">
        <x:v>20378.797419975002</x:v>
      </x:c>
      <x:c r="CE420" s="6" t="str">
        <x:v>47.54741997500241</x:v>
      </x:c>
      <x:c r="CF420" s="6" t="str">
        <x:v>Fixed 2.00R target</x:v>
      </x:c>
      <x:c r="CG420" s="9" t="str">
        <x:v>0.030495871295694345</x:v>
      </x:c>
      <x:c r="CH420" s="9" t="str">
        <x:v>0.24186380682791178</x:v>
      </x:c>
      <x:c r="CI420" s="9" t="str">
        <x:v>0.21136793553221744</x:v>
      </x:c>
      <x:c r="CJ420" s="6" t="str">
        <x:v>Win</x:v>
      </x:c>
      <x:c r="CK420" s="9" t="str">
        <x:v>0.6835281497310801</x:v>
      </x:c>
      <x:c r="CL420" s="9" t="str">
        <x:v>0.6309490612902279</x:v>
      </x:c>
      <x:c r="CM420" s="7" t="str">
        <x:v>2025-06-04 14:10:00-05:00</x:v>
      </x:c>
      <x:c r="CN420" s="6" t="str">
        <x:v>20337.0</x:v>
      </x:c>
      <x:c r="CO420" s="6" t="str">
        <x:v>TIME</x:v>
      </x:c>
      <x:c r="CP420" s="6" t="str">
        <x:v>F::Long::Same-bar Setup+BOS::Tolerance-only shallow touch</x:v>
      </x:c>
    </x:row>
    <x:row r="421" ht="18" customHeight="1">
      <x:c r="A421" s="6" t="str">
        <x:v>A0420</x:v>
      </x:c>
      <x:c r="B421" s="6" t="str">
        <x:v>2025-06-04</x:v>
      </x:c>
      <x:c r="C421" s="6" t="str">
        <x:v>2025</x:v>
      </x:c>
      <x:c r="D421" s="6" t="str">
        <x:v>2025-Q2</x:v>
      </x:c>
      <x:c r="E421" s="6" t="str">
        <x:v>Second 50%</x:v>
      </x:c>
      <x:c r="F421" s="6" t="str">
        <x:v>Short</x:v>
      </x:c>
      <x:c r="G421" s="6" t="str">
        <x:v>Short</x:v>
      </x:c>
      <x:c r="H421" s="6" t="str">
        <x:v>Afternoon</x:v>
      </x:c>
      <x:c r="I421" s="6" t="str">
        <x:v>Afternoon</x:v>
      </x:c>
      <x:c r="J421" s="6" t="str">
        <x:v>Bull</x:v>
      </x:c>
      <x:c r="K421" s="6" t="str">
        <x:v>Bull</x:v>
      </x:c>
      <x:c r="L421" s="6" t="str">
        <x:v>MID</x:v>
      </x:c>
      <x:c r="M421" s="7" t="str">
        <x:v>2025-06-04 14:50:00-05:00</x:v>
      </x:c>
      <x:c r="N421" s="6" t="str">
        <x:v>75.0</x:v>
      </x:c>
      <x:c r="O421" s="6" t="str">
        <x:v>75-79</x:v>
      </x:c>
      <x:c r="P421" s="6" t="str">
        <x:v>Matching BOS only</x:v>
      </x:c>
      <x:c r="Q421" s="6" t="str">
        <x:v>Bear CHoCH</x:v>
      </x:c>
      <x:c r="R421" s="6" t="str">
        <x:v>True</x:v>
      </x:c>
      <x:c r="S421" s="6" t="str">
        <x:v>False</x:v>
      </x:c>
      <x:c r="T421" s="6" t="str">
        <x:v>No recent matching sweep</x:v>
      </x:c>
      <x:c r="U421" s="6" t="str">
        <x:v>None</x:v>
      </x:c>
      <x:c r="V421" s="6" t="str">
        <x:v>None</x:v>
      </x:c>
      <x:c r="W421" s="6" t="str">
        <x:v>[]</x:v>
      </x:c>
      <x:c r="X421" s="8" t="str">
        <x:v>0</x:v>
      </x:c>
      <x:c r="Y421" s="8" t="str"/>
      <x:c r="Z421" s="6" t="str">
        <x:v>None</x:v>
      </x:c>
      <x:c r="AA421" s="6" t="str">
        <x:v>20316.25</x:v>
      </x:c>
      <x:c r="AB421" s="9" t="str">
        <x:v>0.6978611537112942</x:v>
      </x:c>
      <x:c r="AC421" s="9" t="str">
        <x:v>0.8040574162325781</x:v>
      </x:c>
      <x:c r="AD421" s="9" t="str">
        <x:v>1.6839693056946448</x:v>
      </x:c>
      <x:c r="AE421" s="6" t="str">
        <x:v>With trade</x:v>
      </x:c>
      <x:c r="AF421" s="7" t="str">
        <x:v>2025-06-04 14:50:00-05:00</x:v>
      </x:c>
      <x:c r="AG421" s="6" t="str">
        <x:v>Short</x:v>
      </x:c>
      <x:c r="AH421" s="6" t="str">
        <x:v>20316.25</x:v>
      </x:c>
      <x:c r="AI421" s="8" t="str">
        <x:v>0</x:v>
      </x:c>
      <x:c r="AJ421" s="6" t="str">
        <x:v>True</x:v>
      </x:c>
      <x:c r="AK421" s="6" t="str">
        <x:v>Same-bar Setup+BOS</x:v>
      </x:c>
      <x:c r="AL421" s="9" t="str">
        <x:v>0.864740994816169</x:v>
      </x:c>
      <x:c r="AM421" s="9" t="str">
        <x:v>0.6978611537112942</x:v>
      </x:c>
      <x:c r="AN421" s="9" t="str">
        <x:v>0.8040574162325781</x:v>
      </x:c>
      <x:c r="AO421" s="9" t="str">
        <x:v>1.6839693056946448</x:v>
      </x:c>
      <x:c r="AP421" s="10" t="str">
        <x:v>0.4774774774774775</x:v>
      </x:c>
      <x:c r="AQ421" s="6" t="str">
        <x:v>0.09009009009009009</x:v>
      </x:c>
      <x:c r="AR421" s="6" t="str">
        <x:v>0.43243243243243246</x:v>
      </x:c>
      <x:c r="AS421" s="6" t="str">
        <x:v>With trade</x:v>
      </x:c>
      <x:c r="AT421" s="6" t="str">
        <x:v>3.249068930362233</x:v>
      </x:c>
      <x:c r="AU421" s="7" t="str">
        <x:v>2025-06-04 14:55:00-05:00</x:v>
      </x:c>
      <x:c r="AV421" s="8" t="str">
        <x:v>1</x:v>
      </x:c>
      <x:c r="AW421" s="6" t="str">
        <x:v>Immediate retest (1 bar)</x:v>
      </x:c>
      <x:c r="AX421" s="6" t="str">
        <x:v>20321.25</x:v>
      </x:c>
      <x:c r="AY421" s="6" t="str">
        <x:v>5.0</x:v>
      </x:c>
      <x:c r="AZ421" s="9" t="str">
        <x:v>0.28898632457107554</x:v>
      </x:c>
      <x:c r="BA421" s="9" t="str">
        <x:v>0.8380603412561191</x:v>
      </x:c>
      <x:c r="BB421" s="9" t="str">
        <x:v>1.618323417598023</x:v>
      </x:c>
      <x:c r="BC421" s="9" t="str">
        <x:v>0.130043846056984</x:v>
      </x:c>
      <x:c r="BD421" s="6" t="str">
        <x:v>0.6160714285714286</x:v>
      </x:c>
      <x:c r="BE421" s="6" t="str">
        <x:v>0.30357142857142855</x:v>
      </x:c>
      <x:c r="BF421" s="9" t="str">
        <x:v>0.9970028197702105</x:v>
      </x:c>
      <x:c r="BG421" s="9" t="str">
        <x:v>0.4912767517708284</x:v>
      </x:c>
      <x:c r="BH421" s="6" t="str">
        <x:v>With trade</x:v>
      </x:c>
      <x:c r="BI421" s="6" t="str">
        <x:v>Penetration + same-bar reclaim</x:v>
      </x:c>
      <x:c r="BJ421" s="6" t="str">
        <x:v>False</x:v>
      </x:c>
      <x:c r="BK421" s="10" t="str">
        <x:v>True</x:v>
      </x:c>
      <x:c r="BL421" s="6" t="str">
        <x:v>True</x:v>
      </x:c>
      <x:c r="BM421" s="7" t="str">
        <x:v>2025-06-04 15:00:00-05:00</x:v>
      </x:c>
      <x:c r="BN421" s="8" t="str">
        <x:v>1</x:v>
      </x:c>
      <x:c r="BO421" s="6" t="str">
        <x:v>Immediate confirmation (1 bar)</x:v>
      </x:c>
      <x:c r="BP421" s="9" t="str">
        <x:v>0.043672819540823644</x:v>
      </x:c>
      <x:c r="BQ421" s="9" t="str">
        <x:v>0.9025716038436887</x:v>
      </x:c>
      <x:c r="BR421" s="10" t="str">
        <x:v>0.04838709677419355</x:v>
      </x:c>
      <x:c r="BS421" s="9" t="str">
        <x:v>0.858898784302865</x:v>
      </x:c>
      <x:c r="BT421" s="9" t="str">
        <x:v>0.014557606513607883</x:v>
      </x:c>
      <x:c r="BU421" s="9" t="str">
        <x:v>0.029115213027215765</x:v>
      </x:c>
      <x:c r="BV421" s="6" t="str">
        <x:v>With trade</x:v>
      </x:c>
      <x:c r="BW421" s="7" t="str">
        <x:v>2025-06-04 15:00:00-05:00</x:v>
      </x:c>
      <x:c r="BX421" s="6" t="str">
        <x:v>20301.5</x:v>
      </x:c>
      <x:c r="BY421" s="9" t="str">
        <x:v>17.173152727153997</x:v>
      </x:c>
      <x:c r="BZ421" s="9" t="str">
        <x:v>0.38</x:v>
      </x:c>
      <x:c r="CA421" s="6" t="str">
        <x:v>20327.259729090732</x:v>
      </x:c>
      <x:c r="CB421" s="6" t="str">
        <x:v>25.759729090732435</x:v>
      </x:c>
      <x:c r="CC421" s="9" t="str">
        <x:v>1.5000000000000837</x:v>
      </x:c>
      <x:c r="CD421" s="6" t="str">
        <x:v>20249.98054181854</x:v>
      </x:c>
      <x:c r="CE421" s="6" t="str">
        <x:v>51.51945818146123</x:v>
      </x:c>
      <x:c r="CF421" s="6" t="str">
        <x:v>Fixed 2.00R target</x:v>
      </x:c>
      <x:c r="CG421" s="9" t="str">
        <x:v>0.028144705926307</x:v>
      </x:c>
      <x:c r="CH421" s="9" t="str">
        <x:v>0.47554847944452416</x:v>
      </x:c>
      <x:c r="CI421" s="9" t="str">
        <x:v>0.44740377351821714</x:v>
      </x:c>
      <x:c r="CJ421" s="6" t="str">
        <x:v>Win</x:v>
      </x:c>
      <x:c r="CK421" s="9" t="str">
        <x:v>0.9802121719162094</x:v>
      </x:c>
      <x:c r="CL421" s="9" t="str">
        <x:v>0.30085720128121274</x:v>
      </x:c>
      <x:c r="CM421" s="7" t="str">
        <x:v>2025-06-04 17:00:00-05:00</x:v>
      </x:c>
      <x:c r="CN421" s="6" t="str">
        <x:v>20289.25</x:v>
      </x:c>
      <x:c r="CO421" s="6" t="str">
        <x:v>TIME</x:v>
      </x:c>
      <x:c r="CP421" s="6" t="str">
        <x:v>F::Short::Same-bar Setup+BOS::Penetration + same-bar reclaim</x:v>
      </x:c>
    </x:row>
    <x:row r="422" ht="18" customHeight="1">
      <x:c r="A422" s="6" t="str">
        <x:v>A0421</x:v>
      </x:c>
      <x:c r="B422" s="6" t="str">
        <x:v>2025-06-05</x:v>
      </x:c>
      <x:c r="C422" s="6" t="str">
        <x:v>2025</x:v>
      </x:c>
      <x:c r="D422" s="6" t="str">
        <x:v>2025-Q2</x:v>
      </x:c>
      <x:c r="E422" s="6" t="str">
        <x:v>Second 50%</x:v>
      </x:c>
      <x:c r="F422" s="6" t="str">
        <x:v>Long</x:v>
      </x:c>
      <x:c r="G422" s="6" t="str">
        <x:v>Long</x:v>
      </x:c>
      <x:c r="H422" s="6" t="str">
        <x:v>Premarket</x:v>
      </x:c>
      <x:c r="I422" s="6" t="str">
        <x:v>Premarket</x:v>
      </x:c>
      <x:c r="J422" s="6" t="str">
        <x:v>Bull</x:v>
      </x:c>
      <x:c r="K422" s="6" t="str">
        <x:v>Bull</x:v>
      </x:c>
      <x:c r="L422" s="6" t="str">
        <x:v>HIGH</x:v>
      </x:c>
      <x:c r="M422" s="7" t="str">
        <x:v>2025-06-05 07:45:00-05:00</x:v>
      </x:c>
      <x:c r="N422" s="6" t="str">
        <x:v>90.0</x:v>
      </x:c>
      <x:c r="O422" s="6" t="str">
        <x:v>90-94</x:v>
      </x:c>
      <x:c r="P422" s="6" t="str">
        <x:v>Matching BOS only</x:v>
      </x:c>
      <x:c r="Q422" s="6" t="str">
        <x:v>Bull CHoCH</x:v>
      </x:c>
      <x:c r="R422" s="6" t="str">
        <x:v>True</x:v>
      </x:c>
      <x:c r="S422" s="6" t="str">
        <x:v>False</x:v>
      </x:c>
      <x:c r="T422" s="6" t="str">
        <x:v>Recent SSL</x:v>
      </x:c>
      <x:c r="U422" s="6" t="str">
        <x:v>SSL</x:v>
      </x:c>
      <x:c r="V422" s="6" t="str">
        <x:v>Swing low / sell-side</x:v>
      </x:c>
      <x:c r="W422" s="6" t="str">
        <x:v>[20267.5,20290.25]</x:v>
      </x:c>
      <x:c r="X422" s="8" t="str">
        <x:v>2</x:v>
      </x:c>
      <x:c r="Y422" s="8" t="str">
        <x:v>3.0</x:v>
      </x:c>
      <x:c r="Z422" s="6" t="str">
        <x:v>Sweep below CRT reference</x:v>
      </x:c>
      <x:c r="AA422" s="6" t="str">
        <x:v>20326.5</x:v>
      </x:c>
      <x:c r="AB422" s="9" t="str">
        <x:v>2.556463230300867</x:v>
      </x:c>
      <x:c r="AC422" s="9" t="str">
        <x:v>3.2355237758495354</x:v>
      </x:c>
      <x:c r="AD422" s="9" t="str">
        <x:v>5.752042268176951</x:v>
      </x:c>
      <x:c r="AE422" s="6" t="str">
        <x:v>With trade</x:v>
      </x:c>
      <x:c r="AF422" s="7" t="str">
        <x:v>2025-06-05 07:45:00-05:00</x:v>
      </x:c>
      <x:c r="AG422" s="6" t="str">
        <x:v>Long</x:v>
      </x:c>
      <x:c r="AH422" s="6" t="str">
        <x:v>20326.5</x:v>
      </x:c>
      <x:c r="AI422" s="8" t="str">
        <x:v>0</x:v>
      </x:c>
      <x:c r="AJ422" s="6" t="str">
        <x:v>True</x:v>
      </x:c>
      <x:c r="AK422" s="6" t="str">
        <x:v>Same-bar Setup+BOS</x:v>
      </x:c>
      <x:c r="AL422" s="9" t="str">
        <x:v>3.245509960342898</x:v>
      </x:c>
      <x:c r="AM422" s="9" t="str">
        <x:v>2.556463230300867</x:v>
      </x:c>
      <x:c r="AN422" s="9" t="str">
        <x:v>3.2355237758495354</x:v>
      </x:c>
      <x:c r="AO422" s="9" t="str">
        <x:v>5.752042268176951</x:v>
      </x:c>
      <x:c r="AP422" s="10" t="str">
        <x:v>0.5625</x:v>
      </x:c>
      <x:c r="AQ422" s="6" t="str">
        <x:v>0.3611111111111111</x:v>
      </x:c>
      <x:c r="AR422" s="6" t="str">
        <x:v>0.0763888888888889</x:v>
      </x:c>
      <x:c r="AS422" s="6" t="str">
        <x:v>With trade</x:v>
      </x:c>
      <x:c r="AT422" s="6" t="str">
        <x:v>7.048796356538712</x:v>
      </x:c>
      <x:c r="AU422" s="7" t="str">
        <x:v>2025-06-05 07:55:00-05:00</x:v>
      </x:c>
      <x:c r="AV422" s="8" t="str">
        <x:v>2</x:v>
      </x:c>
      <x:c r="AW422" s="6" t="str">
        <x:v>Delayed retest (2+ bars)</x:v>
      </x:c>
      <x:c r="AX422" s="6" t="str">
        <x:v>20324.5</x:v>
      </x:c>
      <x:c r="AY422" s="6" t="str">
        <x:v>2.0</x:v>
      </x:c>
      <x:c r="AZ422" s="9" t="str">
        <x:v>0.06800425570827637</x:v>
      </x:c>
      <x:c r="BA422" s="9" t="str">
        <x:v>0.6630414931556945</x:v>
      </x:c>
      <x:c r="BB422" s="9" t="str">
        <x:v>1.9721234155400145</x:v>
      </x:c>
      <x:c r="BC422" s="9" t="str">
        <x:v>0.39952500228612364</x:v>
      </x:c>
      <x:c r="BD422" s="6" t="str">
        <x:v>0.4267241379310345</x:v>
      </x:c>
      <x:c r="BE422" s="6" t="str">
        <x:v>0.3706896551724138</x:v>
      </x:c>
      <x:c r="BF422" s="9" t="str">
        <x:v>0.7310457488639709</x:v>
      </x:c>
      <x:c r="BG422" s="9" t="str">
        <x:v>0.8415526643899199</x:v>
      </x:c>
      <x:c r="BH422" s="6" t="str">
        <x:v>Against trade</x:v>
      </x:c>
      <x:c r="BI422" s="6" t="str">
        <x:v>Penetration + same-bar reclaim</x:v>
      </x:c>
      <x:c r="BJ422" s="6" t="str">
        <x:v>False</x:v>
      </x:c>
      <x:c r="BK422" s="10" t="str">
        <x:v>True</x:v>
      </x:c>
      <x:c r="BL422" s="6" t="str">
        <x:v>True</x:v>
      </x:c>
      <x:c r="BM422" s="7" t="str">
        <x:v>2025-06-05 08:00:00-05:00</x:v>
      </x:c>
      <x:c r="BN422" s="8" t="str">
        <x:v>1</x:v>
      </x:c>
      <x:c r="BO422" s="6" t="str">
        <x:v>Immediate confirmation (1 bar)</x:v>
      </x:c>
      <x:c r="BP422" s="9" t="str">
        <x:v>0.5403365345815425</x:v>
      </x:c>
      <x:c r="BQ422" s="9" t="str">
        <x:v>0.8834073501888711</x:v>
      </x:c>
      <x:c r="BR422" s="10" t="str">
        <x:v>0.6116504854368932</x:v>
      </x:c>
      <x:c r="BS422" s="9" t="str">
        <x:v>1.1750175434551005</x:v>
      </x:c>
      <x:c r="BT422" s="9" t="str">
        <x:v>0.5060294530208097</x:v>
      </x:c>
      <x:c r="BU422" s="9" t="str">
        <x:v>0.16295863741348107</x:v>
      </x:c>
      <x:c r="BV422" s="6" t="str">
        <x:v>With trade</x:v>
      </x:c>
      <x:c r="BW422" s="7" t="str">
        <x:v>2025-06-05 08:00:00-05:00</x:v>
      </x:c>
      <x:c r="BX422" s="6" t="str">
        <x:v>20360.75</x:v>
      </x:c>
      <x:c r="BY422" s="9" t="str">
        <x:v>29.14850096560176</x:v>
      </x:c>
      <x:c r="BZ422" s="9" t="str">
        <x:v>0.99</x:v>
      </x:c>
      <x:c r="CA422" s="6" t="str">
        <x:v>20317.027248551596</x:v>
      </x:c>
      <x:c r="CB422" s="6" t="str">
        <x:v>43.72275144840387</x:v>
      </x:c>
      <x:c r="CC422" s="9" t="str">
        <x:v>1.5000000000000422</x:v>
      </x:c>
      <x:c r="CD422" s="6" t="str">
        <x:v>20448.195502896804</x:v>
      </x:c>
      <x:c r="CE422" s="6" t="str">
        <x:v>87.4455028968041</x:v>
      </x:c>
      <x:c r="CF422" s="6" t="str">
        <x:v>Fixed 2.00R target</x:v>
      </x:c>
      <x:c r="CG422" s="9" t="str">
        <x:v>0.01658175608768708</x:v>
      </x:c>
      <x:c r="CH422" s="9" t="str">
        <x:v>-1.0</x:v>
      </x:c>
      <x:c r="CI422" s="9" t="str">
        <x:v>-1.016581756087687</x:v>
      </x:c>
      <x:c r="CJ422" s="6" t="str">
        <x:v>Loss</x:v>
      </x:c>
      <x:c r="CK422" s="9" t="str">
        <x:v>0.5546311518984989</x:v>
      </x:c>
      <x:c r="CL422" s="9" t="str">
        <x:v>1.2522084769667141</x:v>
      </x:c>
      <x:c r="CM422" s="7" t="str">
        <x:v>2025-06-05 08:30:00-05:00</x:v>
      </x:c>
      <x:c r="CN422" s="6" t="str">
        <x:v>20317.027248551596</x:v>
      </x:c>
      <x:c r="CO422" s="6" t="str">
        <x:v>STOP</x:v>
      </x:c>
      <x:c r="CP422" s="6" t="str">
        <x:v>F::Long::Same-bar Setup+BOS::Penetration + same-bar reclaim</x:v>
      </x:c>
    </x:row>
    <x:row r="423" ht="18" customHeight="1">
      <x:c r="A423" s="6" t="str">
        <x:v>A0422</x:v>
      </x:c>
      <x:c r="B423" s="6" t="str">
        <x:v>2025-06-06</x:v>
      </x:c>
      <x:c r="C423" s="6" t="str">
        <x:v>2025</x:v>
      </x:c>
      <x:c r="D423" s="6" t="str">
        <x:v>2025-Q2</x:v>
      </x:c>
      <x:c r="E423" s="6" t="str">
        <x:v>Second 50%</x:v>
      </x:c>
      <x:c r="F423" s="6" t="str">
        <x:v>Long</x:v>
      </x:c>
      <x:c r="G423" s="6" t="str">
        <x:v>Long</x:v>
      </x:c>
      <x:c r="H423" s="6" t="str">
        <x:v>Midday</x:v>
      </x:c>
      <x:c r="I423" s="6" t="str">
        <x:v>Midday</x:v>
      </x:c>
      <x:c r="J423" s="6" t="str">
        <x:v>Bull</x:v>
      </x:c>
      <x:c r="K423" s="6" t="str">
        <x:v>Bull</x:v>
      </x:c>
      <x:c r="L423" s="6" t="str">
        <x:v>LOW</x:v>
      </x:c>
      <x:c r="M423" s="7" t="str">
        <x:v>2025-06-06 13:00:00-05:00</x:v>
      </x:c>
      <x:c r="N423" s="6" t="str">
        <x:v>100.0</x:v>
      </x:c>
      <x:c r="O423" s="6" t="str">
        <x:v>95+</x:v>
      </x:c>
      <x:c r="P423" s="6" t="str">
        <x:v>Matching BOS only</x:v>
      </x:c>
      <x:c r="Q423" s="6" t="str">
        <x:v>Bull BOS</x:v>
      </x:c>
      <x:c r="R423" s="6" t="str">
        <x:v>True</x:v>
      </x:c>
      <x:c r="S423" s="6" t="str">
        <x:v>False</x:v>
      </x:c>
      <x:c r="T423" s="6" t="str">
        <x:v>Recent SSL</x:v>
      </x:c>
      <x:c r="U423" s="6" t="str">
        <x:v>SSL</x:v>
      </x:c>
      <x:c r="V423" s="6" t="str">
        <x:v>Swing low / sell-side</x:v>
      </x:c>
      <x:c r="W423" s="6" t="str">
        <x:v>[20281.0]</x:v>
      </x:c>
      <x:c r="X423" s="8" t="str">
        <x:v>1</x:v>
      </x:c>
      <x:c r="Y423" s="8" t="str">
        <x:v>13.0</x:v>
      </x:c>
      <x:c r="Z423" s="6" t="str">
        <x:v>None</x:v>
      </x:c>
      <x:c r="AA423" s="6" t="str">
        <x:v>20379.0</x:v>
      </x:c>
      <x:c r="AB423" s="9" t="str">
        <x:v>0.5361120822952905</x:v>
      </x:c>
      <x:c r="AC423" s="9" t="str">
        <x:v>1.1071879960446216</x:v>
      </x:c>
      <x:c r="AD423" s="9" t="str">
        <x:v>1.375244037192267</x:v>
      </x:c>
      <x:c r="AE423" s="6" t="str">
        <x:v>With trade</x:v>
      </x:c>
      <x:c r="AF423" s="7" t="str">
        <x:v>2025-06-06 13:00:00-05:00</x:v>
      </x:c>
      <x:c r="AG423" s="6" t="str">
        <x:v>Long</x:v>
      </x:c>
      <x:c r="AH423" s="6" t="str">
        <x:v>20379.0</x:v>
      </x:c>
      <x:c r="AI423" s="8" t="str">
        <x:v>0</x:v>
      </x:c>
      <x:c r="AJ423" s="6" t="str">
        <x:v>True</x:v>
      </x:c>
      <x:c r="AK423" s="6" t="str">
        <x:v>Same-bar Setup+BOS</x:v>
      </x:c>
      <x:c r="AL423" s="9" t="str">
        <x:v>1.1421518274986624</x:v>
      </x:c>
      <x:c r="AM423" s="9" t="str">
        <x:v>0.5361120822952905</x:v>
      </x:c>
      <x:c r="AN423" s="9" t="str">
        <x:v>1.1071879960446216</x:v>
      </x:c>
      <x:c r="AO423" s="9" t="str">
        <x:v>1.375244037192267</x:v>
      </x:c>
      <x:c r="AP423" s="10" t="str">
        <x:v>0.8050847457627118</x:v>
      </x:c>
      <x:c r="AQ423" s="6" t="str">
        <x:v>0.1694915254237288</x:v>
      </x:c>
      <x:c r="AR423" s="6" t="str">
        <x:v>0.025423728813559324</x:v>
      </x:c>
      <x:c r="AS423" s="6" t="str">
        <x:v>With trade</x:v>
      </x:c>
      <x:c r="AT423" s="6" t="str">
        <x:v>1.6461332440575829</x:v>
      </x:c>
      <x:c r="AU423" s="7" t="str">
        <x:v>2025-06-06 13:40:00-05:00</x:v>
      </x:c>
      <x:c r="AV423" s="8" t="str">
        <x:v>8</x:v>
      </x:c>
      <x:c r="AW423" s="6" t="str">
        <x:v>Delayed retest (2+ bars)</x:v>
      </x:c>
      <x:c r="AX423" s="6" t="str">
        <x:v>20378.75</x:v>
      </x:c>
      <x:c r="AY423" s="6" t="str">
        <x:v>0.25</x:v>
      </x:c>
      <x:c r="AZ423" s="9" t="str">
        <x:v>0.012487287761851523</x:v>
      </x:c>
      <x:c r="BA423" s="9" t="str">
        <x:v>0.31218219404628805</x:v>
      </x:c>
      <x:c r="BB423" s="9" t="str">
        <x:v>0.9615211576625672</x:v>
      </x:c>
      <x:c r="BC423" s="9" t="str">
        <x:v>0.41208049614110026</x:v>
      </x:c>
      <x:c r="BD423" s="6" t="str">
        <x:v>0.23376623376623376</x:v>
      </x:c>
      <x:c r="BE423" s="6" t="str">
        <x:v>0.33766233766233766</x:v>
      </x:c>
      <x:c r="BF423" s="9" t="str">
        <x:v>0.3246694818081396</x:v>
      </x:c>
      <x:c r="BG423" s="9" t="str">
        <x:v>0.2247711797133274</x:v>
      </x:c>
      <x:c r="BH423" s="6" t="str">
        <x:v>Against trade</x:v>
      </x:c>
      <x:c r="BI423" s="6" t="str">
        <x:v>Penetration + same-bar reclaim</x:v>
      </x:c>
      <x:c r="BJ423" s="6" t="str">
        <x:v>False</x:v>
      </x:c>
      <x:c r="BK423" s="10" t="str">
        <x:v>True</x:v>
      </x:c>
      <x:c r="BL423" s="6" t="str">
        <x:v>True</x:v>
      </x:c>
      <x:c r="BM423" s="7" t="str">
        <x:v>2025-06-06 13:50:00-05:00</x:v>
      </x:c>
      <x:c r="BN423" s="8" t="str">
        <x:v>2</x:v>
      </x:c>
      <x:c r="BO423" s="6" t="str">
        <x:v>Delayed confirmation (2+ bars)</x:v>
      </x:c>
      <x:c r="BP423" s="9" t="str">
        <x:v>0.3832425611783924</x:v>
      </x:c>
      <x:c r="BQ423" s="9" t="str">
        <x:v>1.0219801631423797</x:v>
      </x:c>
      <x:c r="BR423" s="10" t="str">
        <x:v>0.375</x:v>
      </x:c>
      <x:c r="BS423" s="9" t="str">
        <x:v>0.5748638417675886</x:v>
      </x:c>
      <x:c r="BT423" s="9" t="str">
        <x:v>0.25549504078559493</x:v>
      </x:c>
      <x:c r="BU423" s="9" t="str">
        <x:v>0.5876385938068683</x:v>
      </x:c>
      <x:c r="BV423" s="6" t="str">
        <x:v>With trade</x:v>
      </x:c>
      <x:c r="BW423" s="7" t="str">
        <x:v>2025-06-06 13:50:00-05:00</x:v>
      </x:c>
      <x:c r="BX423" s="6" t="str">
        <x:v>20390.25</x:v>
      </x:c>
      <x:c r="BY423" s="9" t="str">
        <x:v>19.569851471973873</x:v>
      </x:c>
      <x:c r="BZ423" s="9" t="str">
        <x:v>0.28</x:v>
      </x:c>
      <x:c r="CA423" s="6" t="str">
        <x:v>20360.895222792038</x:v>
      </x:c>
      <x:c r="CB423" s="6" t="str">
        <x:v>29.354777207961888</x:v>
      </x:c>
      <x:c r="CC423" s="9" t="str">
        <x:v>1.500000000000055</x:v>
      </x:c>
      <x:c r="CD423" s="6" t="str">
        <x:v>20448.95955441592</x:v>
      </x:c>
      <x:c r="CE423" s="6" t="str">
        <x:v>58.70955441592014</x:v>
      </x:c>
      <x:c r="CF423" s="6" t="str">
        <x:v>Fixed 2.00R target</x:v>
      </x:c>
      <x:c r="CG423" s="9" t="str">
        <x:v>0.024697853942606603</x:v>
      </x:c>
      <x:c r="CH423" s="9" t="str">
        <x:v>-1.0</x:v>
      </x:c>
      <x:c r="CI423" s="9" t="str">
        <x:v>-1.0246978539426066</x:v>
      </x:c>
      <x:c r="CJ423" s="6" t="str">
        <x:v>Loss</x:v>
      </x:c>
      <x:c r="CK423" s="9" t="str">
        <x:v>0.1873630299094294</x:v>
      </x:c>
      <x:c r="CL423" s="9" t="str">
        <x:v>1.0390131658613813</x:v>
      </x:c>
      <x:c r="CM423" s="7" t="str">
        <x:v>2025-06-06 14:15:00-05:00</x:v>
      </x:c>
      <x:c r="CN423" s="6" t="str">
        <x:v>20360.895222792038</x:v>
      </x:c>
      <x:c r="CO423" s="6" t="str">
        <x:v>STOP</x:v>
      </x:c>
      <x:c r="CP423" s="6" t="str">
        <x:v>F::Long::Same-bar Setup+BOS::Penetration + same-bar reclaim</x:v>
      </x:c>
    </x:row>
    <x:row r="424" ht="18" customHeight="1">
      <x:c r="A424" s="6" t="str">
        <x:v>A0423</x:v>
      </x:c>
      <x:c r="B424" s="6" t="str">
        <x:v>2025-06-09</x:v>
      </x:c>
      <x:c r="C424" s="6" t="str">
        <x:v>2025</x:v>
      </x:c>
      <x:c r="D424" s="6" t="str">
        <x:v>2025-Q2</x:v>
      </x:c>
      <x:c r="E424" s="6" t="str">
        <x:v>Second 50%</x:v>
      </x:c>
      <x:c r="F424" s="6" t="str">
        <x:v>Short</x:v>
      </x:c>
      <x:c r="G424" s="6" t="str">
        <x:v>Short</x:v>
      </x:c>
      <x:c r="H424" s="6" t="str">
        <x:v>Afternoon</x:v>
      </x:c>
      <x:c r="I424" s="6" t="str">
        <x:v>Afternoon</x:v>
      </x:c>
      <x:c r="J424" s="6" t="str">
        <x:v>Bull</x:v>
      </x:c>
      <x:c r="K424" s="6" t="str">
        <x:v>Bull</x:v>
      </x:c>
      <x:c r="L424" s="6" t="str">
        <x:v>MID</x:v>
      </x:c>
      <x:c r="M424" s="7" t="str">
        <x:v>2025-06-09 14:40:00-05:00</x:v>
      </x:c>
      <x:c r="N424" s="6" t="str">
        <x:v>100.0</x:v>
      </x:c>
      <x:c r="O424" s="6" t="str">
        <x:v>95+</x:v>
      </x:c>
      <x:c r="P424" s="6" t="str">
        <x:v>Matching BOS only</x:v>
      </x:c>
      <x:c r="Q424" s="6" t="str">
        <x:v>Bear BOS</x:v>
      </x:c>
      <x:c r="R424" s="6" t="str">
        <x:v>True</x:v>
      </x:c>
      <x:c r="S424" s="6" t="str">
        <x:v>False</x:v>
      </x:c>
      <x:c r="T424" s="6" t="str">
        <x:v>Recent BSL</x:v>
      </x:c>
      <x:c r="U424" s="6" t="str">
        <x:v>BSL</x:v>
      </x:c>
      <x:c r="V424" s="6" t="str">
        <x:v>Swing high / buy-side</x:v>
      </x:c>
      <x:c r="W424" s="6" t="str">
        <x:v>[20423.0,20419.0]</x:v>
      </x:c>
      <x:c r="X424" s="8" t="str">
        <x:v>2</x:v>
      </x:c>
      <x:c r="Y424" s="8" t="str">
        <x:v>9.0</x:v>
      </x:c>
      <x:c r="Z424" s="6" t="str">
        <x:v>None</x:v>
      </x:c>
      <x:c r="AA424" s="6" t="str">
        <x:v>20386.0</x:v>
      </x:c>
      <x:c r="AB424" s="9" t="str">
        <x:v>0.3438595871665935</x:v>
      </x:c>
      <x:c r="AC424" s="9" t="str">
        <x:v>0.7058170473419549</x:v>
      </x:c>
      <x:c r="AD424" s="9" t="str">
        <x:v>0.9591872694647081</x:v>
      </x:c>
      <x:c r="AE424" s="6" t="str">
        <x:v>With trade</x:v>
      </x:c>
      <x:c r="AF424" s="7" t="str">
        <x:v>2025-06-09 14:40:00-05:00</x:v>
      </x:c>
      <x:c r="AG424" s="6" t="str">
        <x:v>Short</x:v>
      </x:c>
      <x:c r="AH424" s="6" t="str">
        <x:v>20386.0</x:v>
      </x:c>
      <x:c r="AI424" s="8" t="str">
        <x:v>0</x:v>
      </x:c>
      <x:c r="AJ424" s="6" t="str">
        <x:v>True</x:v>
      </x:c>
      <x:c r="AK424" s="6" t="str">
        <x:v>Same-bar Setup+BOS</x:v>
      </x:c>
      <x:c r="AL424" s="9" t="str">
        <x:v>0.6696213013244189</x:v>
      </x:c>
      <x:c r="AM424" s="9" t="str">
        <x:v>0.3438595871665935</x:v>
      </x:c>
      <x:c r="AN424" s="9" t="str">
        <x:v>0.7058170473419549</x:v>
      </x:c>
      <x:c r="AO424" s="9" t="str">
        <x:v>0.9591872694647081</x:v>
      </x:c>
      <x:c r="AP424" s="10" t="str">
        <x:v>0.7358490566037735</x:v>
      </x:c>
      <x:c r="AQ424" s="6" t="str">
        <x:v>0.1509433962264151</x:v>
      </x:c>
      <x:c r="AR424" s="6" t="str">
        <x:v>0.11320754716981132</x:v>
      </x:c>
      <x:c r="AS424" s="6" t="str">
        <x:v>With trade</x:v>
      </x:c>
      <x:c r="AT424" s="6" t="str">
        <x:v>1.7533709912536444</x:v>
      </x:c>
      <x:c r="AU424" s="7" t="str">
        <x:v>2025-06-09 14:50:00-05:00</x:v>
      </x:c>
      <x:c r="AV424" s="8" t="str">
        <x:v>2</x:v>
      </x:c>
      <x:c r="AW424" s="6" t="str">
        <x:v>Delayed retest (2+ bars)</x:v>
      </x:c>
      <x:c r="AX424" s="6" t="str">
        <x:v>20403.5</x:v>
      </x:c>
      <x:c r="AY424" s="6" t="str">
        <x:v>17.5</x:v>
      </x:c>
      <x:c r="AZ424" s="9" t="str">
        <x:v>1.1213626682497246</x:v>
      </x:c>
      <x:c r="BA424" s="9" t="str">
        <x:v>1.1694210683175699</x:v>
      </x:c>
      <x:c r="BB424" s="9" t="str">
        <x:v>2.466997870149394</x:v>
      </x:c>
      <x:c r="BC424" s="9" t="str">
        <x:v>0.6247592008819894</x:v>
      </x:c>
      <x:c r="BD424" s="6" t="str">
        <x:v>0.6753246753246753</x:v>
      </x:c>
      <x:c r="BE424" s="6" t="str">
        <x:v>0.07142857142857142</x:v>
      </x:c>
      <x:c r="BF424" s="9" t="str">
        <x:v>1.6660245356853052</x:v>
      </x:c>
      <x:c r="BG424" s="9" t="str">
        <x:v>0.17621413358209959</x:v>
      </x:c>
      <x:c r="BH424" s="6" t="str">
        <x:v>With trade</x:v>
      </x:c>
      <x:c r="BI424" s="6" t="str">
        <x:v>Penetration + same-bar reclaim</x:v>
      </x:c>
      <x:c r="BJ424" s="6" t="str">
        <x:v>False</x:v>
      </x:c>
      <x:c r="BK424" s="10" t="str">
        <x:v>True</x:v>
      </x:c>
      <x:c r="BL424" s="6" t="str">
        <x:v>True</x:v>
      </x:c>
      <x:c r="BM424" s="7" t="str">
        <x:v>2025-06-09 14:55:00-05:00</x:v>
      </x:c>
      <x:c r="BN424" s="8" t="str">
        <x:v>1</x:v>
      </x:c>
      <x:c r="BO424" s="6" t="str">
        <x:v>Immediate confirmation (1 bar)</x:v>
      </x:c>
      <x:c r="BP424" s="9" t="str">
        <x:v>0.3132616244995292</x:v>
      </x:c>
      <x:c r="BQ424" s="9" t="str">
        <x:v>1.8944869672114384</x:v>
      </x:c>
      <x:c r="BR424" s="10" t="str">
        <x:v>0.16535433070866143</x:v>
      </x:c>
      <x:c r="BS424" s="9" t="str">
        <x:v>1.3574670394979598</x:v>
      </x:c>
      <x:c r="BT424" s="9" t="str">
        <x:v>0.2685099638567393</x:v>
      </x:c>
      <x:c r="BU424" s="9" t="str">
        <x:v>1.2977981586409066</x:v>
      </x:c>
      <x:c r="BV424" s="6" t="str">
        <x:v>With trade</x:v>
      </x:c>
      <x:c r="BW424" s="7" t="str">
        <x:v>2025-06-09 14:55:00-05:00</x:v>
      </x:c>
      <x:c r="BX424" s="6" t="str">
        <x:v>20363.25</x:v>
      </x:c>
      <x:c r="BY424" s="9" t="str">
        <x:v>16.759154615211703</x:v>
      </x:c>
      <x:c r="BZ424" s="9" t="str">
        <x:v>0.5</x:v>
      </x:c>
      <x:c r="CA424" s="6" t="str">
        <x:v>20388.388731922816</x:v>
      </x:c>
      <x:c r="CB424" s="6" t="str">
        <x:v>25.138731922816078</x:v>
      </x:c>
      <x:c r="CC424" s="9" t="str">
        <x:v>1.4999999999999118</x:v>
      </x:c>
      <x:c r="CD424" s="6" t="str">
        <x:v>20312.972536154364</x:v>
      </x:c>
      <x:c r="CE424" s="6" t="str">
        <x:v>50.27746384563579</x:v>
      </x:c>
      <x:c r="CF424" s="6" t="str">
        <x:v>Fixed 2.00R target</x:v>
      </x:c>
      <x:c r="CG424" s="9" t="str">
        <x:v>0.02883995908091073</x:v>
      </x:c>
      <x:c r="CH424" s="9" t="str">
        <x:v>-0.1392273886664574</x:v>
      </x:c>
      <x:c r="CI424" s="9" t="str">
        <x:v>-0.16806734774736812</x:v>
      </x:c>
      <x:c r="CJ424" s="6" t="str">
        <x:v>Loss</x:v>
      </x:c>
      <x:c r="CK424" s="9" t="str">
        <x:v>0.8751435859034981</x:v>
      </x:c>
      <x:c r="CL424" s="9" t="str">
        <x:v>0.24862033690440286</x:v>
      </x:c>
      <x:c r="CM424" s="7" t="str">
        <x:v>2025-06-09 15:55:00-05:00</x:v>
      </x:c>
      <x:c r="CN424" s="6" t="str">
        <x:v>20366.75</x:v>
      </x:c>
      <x:c r="CO424" s="6" t="str">
        <x:v>TIME</x:v>
      </x:c>
      <x:c r="CP424" s="6" t="str">
        <x:v>F::Short::Same-bar Setup+BOS::Penetration + same-bar reclaim</x:v>
      </x:c>
    </x:row>
    <x:row r="425" ht="18" customHeight="1">
      <x:c r="A425" s="6" t="str">
        <x:v>A0424</x:v>
      </x:c>
      <x:c r="B425" s="6" t="str">
        <x:v>2025-06-10</x:v>
      </x:c>
      <x:c r="C425" s="6" t="str">
        <x:v>2025</x:v>
      </x:c>
      <x:c r="D425" s="6" t="str">
        <x:v>2025-Q2</x:v>
      </x:c>
      <x:c r="E425" s="6" t="str">
        <x:v>Second 50%</x:v>
      </x:c>
      <x:c r="F425" s="6" t="str">
        <x:v>Long</x:v>
      </x:c>
      <x:c r="G425" s="6" t="str">
        <x:v>Long</x:v>
      </x:c>
      <x:c r="H425" s="6" t="str">
        <x:v>Afternoon</x:v>
      </x:c>
      <x:c r="I425" s="6" t="str">
        <x:v>Midday</x:v>
      </x:c>
      <x:c r="J425" s="6" t="str">
        <x:v>Bull</x:v>
      </x:c>
      <x:c r="K425" s="6" t="str">
        <x:v>Bull</x:v>
      </x:c>
      <x:c r="L425" s="6" t="str">
        <x:v>HIGH</x:v>
      </x:c>
      <x:c r="M425" s="7" t="str">
        <x:v>2025-06-10 13:55:00-05:00</x:v>
      </x:c>
      <x:c r="N425" s="6" t="str">
        <x:v>75.0</x:v>
      </x:c>
      <x:c r="O425" s="6" t="str">
        <x:v>75-79</x:v>
      </x:c>
      <x:c r="P425" s="6" t="str">
        <x:v>Matching BOS only</x:v>
      </x:c>
      <x:c r="Q425" s="6" t="str">
        <x:v>Bull BOS</x:v>
      </x:c>
      <x:c r="R425" s="6" t="str">
        <x:v>True</x:v>
      </x:c>
      <x:c r="S425" s="6" t="str">
        <x:v>False</x:v>
      </x:c>
      <x:c r="T425" s="6" t="str">
        <x:v>No recent matching sweep</x:v>
      </x:c>
      <x:c r="U425" s="6" t="str">
        <x:v>None</x:v>
      </x:c>
      <x:c r="V425" s="6" t="str">
        <x:v>None</x:v>
      </x:c>
      <x:c r="W425" s="6" t="str">
        <x:v>[]</x:v>
      </x:c>
      <x:c r="X425" s="8" t="str">
        <x:v>0</x:v>
      </x:c>
      <x:c r="Y425" s="8" t="str"/>
      <x:c r="Z425" s="6" t="str">
        <x:v>None</x:v>
      </x:c>
      <x:c r="AA425" s="6" t="str">
        <x:v>20475.5</x:v>
      </x:c>
      <x:c r="AB425" s="9" t="str">
        <x:v>0.8473569197569584</x:v>
      </x:c>
      <x:c r="AC425" s="9" t="str">
        <x:v>1.379981269318475</x:v>
      </x:c>
      <x:c r="AD425" s="9" t="str">
        <x:v>2.348389177612142</x:v>
      </x:c>
      <x:c r="AE425" s="6" t="str">
        <x:v>With trade</x:v>
      </x:c>
      <x:c r="AF425" s="7" t="str">
        <x:v>2025-06-10 13:55:00-05:00</x:v>
      </x:c>
      <x:c r="AG425" s="6" t="str">
        <x:v>Long</x:v>
      </x:c>
      <x:c r="AH425" s="6" t="str">
        <x:v>20475.5</x:v>
      </x:c>
      <x:c r="AI425" s="8" t="str">
        <x:v>0</x:v>
      </x:c>
      <x:c r="AJ425" s="6" t="str">
        <x:v>True</x:v>
      </x:c>
      <x:c r="AK425" s="6" t="str">
        <x:v>Same-bar Setup+BOS</x:v>
      </x:c>
      <x:c r="AL425" s="9" t="str">
        <x:v>1.3920863681721458</x:v>
      </x:c>
      <x:c r="AM425" s="9" t="str">
        <x:v>0.8473569197569584</x:v>
      </x:c>
      <x:c r="AN425" s="9" t="str">
        <x:v>1.379981269318475</x:v>
      </x:c>
      <x:c r="AO425" s="9" t="str">
        <x:v>2.348389177612142</x:v>
      </x:c>
      <x:c r="AP425" s="10" t="str">
        <x:v>0.5876288659793815</x:v>
      </x:c>
      <x:c r="AQ425" s="6" t="str">
        <x:v>0.3865979381443299</x:v>
      </x:c>
      <x:c r="AR425" s="6" t="str">
        <x:v>0.02577319587628866</x:v>
      </x:c>
      <x:c r="AS425" s="6" t="str">
        <x:v>With trade</x:v>
      </x:c>
      <x:c r="AT425" s="6" t="str">
        <x:v>3.9871361093430706</x:v>
      </x:c>
      <x:c r="AU425" s="7" t="str">
        <x:v>2025-06-10 14:40:00-05:00</x:v>
      </x:c>
      <x:c r="AV425" s="8" t="str">
        <x:v>9</x:v>
      </x:c>
      <x:c r="AW425" s="6" t="str">
        <x:v>Delayed retest (2+ bars)</x:v>
      </x:c>
      <x:c r="AX425" s="6" t="str">
        <x:v>20463.0</x:v>
      </x:c>
      <x:c r="AY425" s="6" t="str">
        <x:v>12.5</x:v>
      </x:c>
      <x:c r="AZ425" s="9" t="str">
        <x:v>0.5557032999879653</x:v>
      </x:c>
      <x:c r="BA425" s="9" t="str">
        <x:v>0.27785164999398265</x:v>
      </x:c>
      <x:c r="BB425" s="9" t="str">
        <x:v>1.5115129759672656</x:v>
      </x:c>
      <x:c r="BC425" s="9" t="str">
        <x:v>0.4445626399903722</x:v>
      </x:c>
      <x:c r="BD425" s="6" t="str">
        <x:v>0.15441176470588236</x:v>
      </x:c>
      <x:c r="BE425" s="6" t="str">
        <x:v>0.5514705882352942</x:v>
      </x:c>
      <x:c r="BF425" s="9" t="str">
        <x:v>0.8335549499819479</x:v>
      </x:c>
      <x:c r="BG425" s="9" t="str">
        <x:v>0.23339538599494541</x:v>
      </x:c>
      <x:c r="BH425" s="6" t="str">
        <x:v>Against trade</x:v>
      </x:c>
      <x:c r="BI425" s="6" t="str">
        <x:v>Penetration + same-bar reclaim</x:v>
      </x:c>
      <x:c r="BJ425" s="6" t="str">
        <x:v>False</x:v>
      </x:c>
      <x:c r="BK425" s="10" t="str">
        <x:v>True</x:v>
      </x:c>
      <x:c r="BL425" s="6" t="str">
        <x:v>True</x:v>
      </x:c>
      <x:c r="BM425" s="7" t="str">
        <x:v>2025-06-10 14:50:00-05:00</x:v>
      </x:c>
      <x:c r="BN425" s="8" t="str">
        <x:v>2</x:v>
      </x:c>
      <x:c r="BO425" s="6" t="str">
        <x:v>Delayed confirmation (2+ bars)</x:v>
      </x:c>
      <x:c r="BP425" s="9" t="str">
        <x:v>0.35313471787510403</x:v>
      </x:c>
      <x:c r="BQ425" s="9" t="str">
        <x:v>1.7014672770345922</x:v>
      </x:c>
      <x:c r="BR425" s="10" t="str">
        <x:v>0.20754716981132076</x:v>
      </x:c>
      <x:c r="BS425" s="9" t="str">
        <x:v>0.5136504987274241</x:v>
      </x:c>
      <x:c r="BT425" s="9" t="str">
        <x:v>0.2461241973068907</x:v>
      </x:c>
      <x:c r="BU425" s="9" t="str">
        <x:v>1.0273009974548482</x:v>
      </x:c>
      <x:c r="BV425" s="6" t="str">
        <x:v>With trade</x:v>
      </x:c>
      <x:c r="BW425" s="7" t="str">
        <x:v>2025-06-10 14:50:00-05:00</x:v>
      </x:c>
      <x:c r="BX425" s="6" t="str">
        <x:v>20487.5</x:v>
      </x:c>
      <x:c r="BY425" s="9" t="str">
        <x:v>23.36218893923039</x:v>
      </x:c>
      <x:c r="BZ425" s="9" t="str">
        <x:v>0.85</x:v>
      </x:c>
      <x:c r="CA425" s="6" t="str">
        <x:v>20452.456716591154</x:v>
      </x:c>
      <x:c r="CB425" s="6" t="str">
        <x:v>35.04328340884604</x:v>
      </x:c>
      <x:c r="CC425" s="9" t="str">
        <x:v>1.5000000000000193</x:v>
      </x:c>
      <x:c r="CD425" s="6" t="str">
        <x:v>20557.586566817692</x:v>
      </x:c>
      <x:c r="CE425" s="6" t="str">
        <x:v>70.08656681769207</x:v>
      </x:c>
      <x:c r="CF425" s="6" t="str">
        <x:v>Fixed 2.00R target</x:v>
      </x:c>
      <x:c r="CG425" s="9" t="str">
        <x:v>0.020688700643187646</x:v>
      </x:c>
      <x:c r="CH425" s="9" t="str">
        <x:v>0.25682524936371204</x:v>
      </x:c>
      <x:c r="CI425" s="9" t="str">
        <x:v>0.2361365487205244</x:v>
      </x:c>
      <x:c r="CJ425" s="6" t="str">
        <x:v>Win</x:v>
      </x:c>
      <x:c r="CK425" s="9" t="str">
        <x:v>0.8061459216138634</x:v>
      </x:c>
      <x:c r="CL425" s="9" t="str">
        <x:v>0.199752971727329</x:v>
      </x:c>
      <x:c r="CM425" s="7" t="str">
        <x:v>2025-06-10 15:50:00-05:00</x:v>
      </x:c>
      <x:c r="CN425" s="6" t="str">
        <x:v>20496.5</x:v>
      </x:c>
      <x:c r="CO425" s="6" t="str">
        <x:v>TIME</x:v>
      </x:c>
      <x:c r="CP425" s="6" t="str">
        <x:v>F::Long::Same-bar Setup+BOS::Penetration + same-bar reclaim</x:v>
      </x:c>
    </x:row>
    <x:row r="426" ht="18" customHeight="1">
      <x:c r="A426" s="6" t="str">
        <x:v>A0425</x:v>
      </x:c>
      <x:c r="B426" s="6" t="str">
        <x:v>2025-06-10</x:v>
      </x:c>
      <x:c r="C426" s="6" t="str">
        <x:v>2025</x:v>
      </x:c>
      <x:c r="D426" s="6" t="str">
        <x:v>2025-Q2</x:v>
      </x:c>
      <x:c r="E426" s="6" t="str">
        <x:v>Second 50%</x:v>
      </x:c>
      <x:c r="F426" s="6" t="str">
        <x:v>Short</x:v>
      </x:c>
      <x:c r="G426" s="6" t="str">
        <x:v>Short</x:v>
      </x:c>
      <x:c r="H426" s="6" t="str">
        <x:v>Overnight</x:v>
      </x:c>
      <x:c r="I426" s="6" t="str">
        <x:v>Overnight</x:v>
      </x:c>
      <x:c r="J426" s="6" t="str">
        <x:v>Bull</x:v>
      </x:c>
      <x:c r="K426" s="6" t="str">
        <x:v>Bull</x:v>
      </x:c>
      <x:c r="L426" s="6" t="str">
        <x:v>LOW</x:v>
      </x:c>
      <x:c r="M426" s="7" t="str">
        <x:v>2025-06-10 19:55:00-05:00</x:v>
      </x:c>
      <x:c r="N426" s="6" t="str">
        <x:v>90.0</x:v>
      </x:c>
      <x:c r="O426" s="6" t="str">
        <x:v>90-94</x:v>
      </x:c>
      <x:c r="P426" s="6" t="str">
        <x:v>Matching BOS only</x:v>
      </x:c>
      <x:c r="Q426" s="6" t="str">
        <x:v>Bear BOS</x:v>
      </x:c>
      <x:c r="R426" s="6" t="str">
        <x:v>True</x:v>
      </x:c>
      <x:c r="S426" s="6" t="str">
        <x:v>False</x:v>
      </x:c>
      <x:c r="T426" s="6" t="str">
        <x:v>Recent BSL</x:v>
      </x:c>
      <x:c r="U426" s="6" t="str">
        <x:v>BSL</x:v>
      </x:c>
      <x:c r="V426" s="6" t="str">
        <x:v>Swing high / buy-side</x:v>
      </x:c>
      <x:c r="W426" s="6" t="str">
        <x:v>[20536.75]</x:v>
      </x:c>
      <x:c r="X426" s="8" t="str">
        <x:v>1</x:v>
      </x:c>
      <x:c r="Y426" s="8" t="str">
        <x:v>20.0</x:v>
      </x:c>
      <x:c r="Z426" s="6" t="str">
        <x:v>Both CRT sweeps</x:v>
      </x:c>
      <x:c r="AA426" s="6" t="str">
        <x:v>20461.0</x:v>
      </x:c>
      <x:c r="AB426" s="9" t="str">
        <x:v>0.17066282702966185</x:v>
      </x:c>
      <x:c r="AC426" s="9" t="str">
        <x:v>0.5895624933751955</x:v>
      </x:c>
      <x:c r="AD426" s="9" t="str">
        <x:v>0.8998585425200353</x:v>
      </x:c>
      <x:c r="AE426" s="6" t="str">
        <x:v>With trade</x:v>
      </x:c>
      <x:c r="AF426" s="7" t="str">
        <x:v>2025-06-10 19:55:00-05:00</x:v>
      </x:c>
      <x:c r="AG426" s="6" t="str">
        <x:v>Short</x:v>
      </x:c>
      <x:c r="AH426" s="6" t="str">
        <x:v>20461.0</x:v>
      </x:c>
      <x:c r="AI426" s="8" t="str">
        <x:v>0</x:v>
      </x:c>
      <x:c r="AJ426" s="6" t="str">
        <x:v>True</x:v>
      </x:c>
      <x:c r="AK426" s="6" t="str">
        <x:v>Same-bar Setup+BOS</x:v>
      </x:c>
      <x:c r="AL426" s="9" t="str">
        <x:v>0.5585328884607115</x:v>
      </x:c>
      <x:c r="AM426" s="9" t="str">
        <x:v>0.17066282702966185</x:v>
      </x:c>
      <x:c r="AN426" s="9" t="str">
        <x:v>0.5895624933751955</x:v>
      </x:c>
      <x:c r="AO426" s="9" t="str">
        <x:v>0.8998585425200353</x:v>
      </x:c>
      <x:c r="AP426" s="10" t="str">
        <x:v>0.6551724137931034</x:v>
      </x:c>
      <x:c r="AQ426" s="6" t="str">
        <x:v>0.15517241379310345</x:v>
      </x:c>
      <x:c r="AR426" s="6" t="str">
        <x:v>0.1896551724137931</x:v>
      </x:c>
      <x:c r="AS426" s="6" t="str">
        <x:v>With trade</x:v>
      </x:c>
      <x:c r="AT426" s="6" t="str">
        <x:v>0.9095477386934674</x:v>
      </x:c>
      <x:c r="AU426" s="7" t="str">
        <x:v>2025-06-10 20:00:00-05:00</x:v>
      </x:c>
      <x:c r="AV426" s="8" t="str">
        <x:v>1</x:v>
      </x:c>
      <x:c r="AW426" s="6" t="str">
        <x:v>Immediate retest (1 bar)</x:v>
      </x:c>
      <x:c r="AX426" s="6" t="str">
        <x:v>20468.25</x:v>
      </x:c>
      <x:c r="AY426" s="6" t="str">
        <x:v>7.25</x:v>
      </x:c>
      <x:c r="AZ426" s="9" t="str">
        <x:v>0.46036470971840876</x:v>
      </x:c>
      <x:c r="BA426" s="9" t="str">
        <x:v>0.063498580650815</x:v>
      </x:c>
      <x:c r="BB426" s="9" t="str">
        <x:v>0.698484387158965</x:v>
      </x:c>
      <x:c r="BC426" s="9" t="str">
        <x:v>0.0952478709762225</x:v>
      </x:c>
      <x:c r="BD426" s="6" t="str">
        <x:v>0.75</x:v>
      </x:c>
      <x:c r="BE426" s="6" t="str">
        <x:v>0.11363636363636363</x:v>
      </x:c>
      <x:c r="BF426" s="9" t="str">
        <x:v>0.5238632903692237</x:v>
      </x:c>
      <x:c r="BG426" s="9" t="str">
        <x:v>0.07937322581351876</x:v>
      </x:c>
      <x:c r="BH426" s="6" t="str">
        <x:v>Against trade</x:v>
      </x:c>
      <x:c r="BI426" s="6" t="str">
        <x:v>Penetration + same-bar reclaim</x:v>
      </x:c>
      <x:c r="BJ426" s="6" t="str">
        <x:v>False</x:v>
      </x:c>
      <x:c r="BK426" s="10" t="str">
        <x:v>True</x:v>
      </x:c>
      <x:c r="BL426" s="6" t="str">
        <x:v>True</x:v>
      </x:c>
      <x:c r="BM426" s="7" t="str">
        <x:v>2025-06-10 20:05:00-05:00</x:v>
      </x:c>
      <x:c r="BN426" s="8" t="str">
        <x:v>1</x:v>
      </x:c>
      <x:c r="BO426" s="6" t="str">
        <x:v>Immediate confirmation (1 bar)</x:v>
      </x:c>
      <x:c r="BP426" s="9" t="str">
        <x:v>0.09700710647465129</x:v>
      </x:c>
      <x:c r="BQ426" s="9" t="str">
        <x:v>0.7598890007181017</x:v>
      </x:c>
      <x:c r="BR426" s="10" t="str">
        <x:v>0.1276595744680851</x:v>
      </x:c>
      <x:c r="BS426" s="9" t="str">
        <x:v>0.11317495755375982</x:v>
      </x:c>
      <x:c r="BT426" s="9" t="str">
        <x:v>0.04850355323732564</x:v>
      </x:c>
      <x:c r="BU426" s="9" t="str">
        <x:v>0.19401421294930257</x:v>
      </x:c>
      <x:c r="BV426" s="6" t="str">
        <x:v>With trade</x:v>
      </x:c>
      <x:c r="BW426" s="7" t="str">
        <x:v>2025-06-10 20:05:00-05:00</x:v>
      </x:c>
      <x:c r="BX426" s="6" t="str">
        <x:v>20459.25</x:v>
      </x:c>
      <x:c r="BY426" s="9" t="str">
        <x:v>15.462784681573424</x:v>
      </x:c>
      <x:c r="BZ426" s="9" t="str">
        <x:v>0.11</x:v>
      </x:c>
      <x:c r="CA426" s="6" t="str">
        <x:v>20482.44417702236</x:v>
      </x:c>
      <x:c r="CB426" s="6" t="str">
        <x:v>23.194177022360236</x:v>
      </x:c>
      <x:c r="CC426" s="9" t="str">
        <x:v>1.5000000000000064</x:v>
      </x:c>
      <x:c r="CD426" s="6" t="str">
        <x:v>20412.86164595528</x:v>
      </x:c>
      <x:c r="CE426" s="6" t="str">
        <x:v>46.38835404472047</x:v>
      </x:c>
      <x:c r="CF426" s="6" t="str">
        <x:v>Fixed 2.00R target</x:v>
      </x:c>
      <x:c r="CG426" s="9" t="str">
        <x:v>0.03125784541960972</x:v>
      </x:c>
      <x:c r="CH426" s="9" t="str">
        <x:v>0.4203641280568222</x:v>
      </x:c>
      <x:c r="CI426" s="9" t="str">
        <x:v>0.3891062826372125</x:v>
      </x:c>
      <x:c r="CJ426" s="6" t="str">
        <x:v>Win</x:v>
      </x:c>
      <x:c r="CK426" s="9" t="str">
        <x:v>1.4443280297336907</x:v>
      </x:c>
      <x:c r="CL426" s="9" t="str">
        <x:v>0.01077856738607232</x:v>
      </x:c>
      <x:c r="CM426" s="7" t="str">
        <x:v>2025-06-10 21:05:00-05:00</x:v>
      </x:c>
      <x:c r="CN426" s="6" t="str">
        <x:v>20449.5</x:v>
      </x:c>
      <x:c r="CO426" s="6" t="str">
        <x:v>TIME</x:v>
      </x:c>
      <x:c r="CP426" s="6" t="str">
        <x:v>F::Short::Same-bar Setup+BOS::Penetration + same-bar reclaim</x:v>
      </x:c>
    </x:row>
    <x:row r="427" ht="18" customHeight="1">
      <x:c r="A427" s="6" t="str">
        <x:v>A0426</x:v>
      </x:c>
      <x:c r="B427" s="6" t="str">
        <x:v>2025-06-11</x:v>
      </x:c>
      <x:c r="C427" s="6" t="str">
        <x:v>2025</x:v>
      </x:c>
      <x:c r="D427" s="6" t="str">
        <x:v>2025-Q2</x:v>
      </x:c>
      <x:c r="E427" s="6" t="str">
        <x:v>Second 50%</x:v>
      </x:c>
      <x:c r="F427" s="6" t="str">
        <x:v>Short</x:v>
      </x:c>
      <x:c r="G427" s="6" t="str">
        <x:v>Short</x:v>
      </x:c>
      <x:c r="H427" s="6" t="str">
        <x:v>Morning</x:v>
      </x:c>
      <x:c r="I427" s="6" t="str">
        <x:v>Morning</x:v>
      </x:c>
      <x:c r="J427" s="6" t="str">
        <x:v>Bull</x:v>
      </x:c>
      <x:c r="K427" s="6" t="str">
        <x:v>Bull</x:v>
      </x:c>
      <x:c r="L427" s="6" t="str">
        <x:v>HIGH</x:v>
      </x:c>
      <x:c r="M427" s="7" t="str">
        <x:v>2025-06-11 11:05:00-05:00</x:v>
      </x:c>
      <x:c r="N427" s="6" t="str">
        <x:v>75.0</x:v>
      </x:c>
      <x:c r="O427" s="6" t="str">
        <x:v>75-79</x:v>
      </x:c>
      <x:c r="P427" s="6" t="str">
        <x:v>Matching BOS only</x:v>
      </x:c>
      <x:c r="Q427" s="6" t="str">
        <x:v>Bear BOS</x:v>
      </x:c>
      <x:c r="R427" s="6" t="str">
        <x:v>True</x:v>
      </x:c>
      <x:c r="S427" s="6" t="str">
        <x:v>False</x:v>
      </x:c>
      <x:c r="T427" s="6" t="str">
        <x:v>No recent matching sweep</x:v>
      </x:c>
      <x:c r="U427" s="6" t="str">
        <x:v>None</x:v>
      </x:c>
      <x:c r="V427" s="6" t="str">
        <x:v>None</x:v>
      </x:c>
      <x:c r="W427" s="6" t="str">
        <x:v>[]</x:v>
      </x:c>
      <x:c r="X427" s="8" t="str">
        <x:v>0</x:v>
      </x:c>
      <x:c r="Y427" s="8" t="str"/>
      <x:c r="Z427" s="6" t="str">
        <x:v>None</x:v>
      </x:c>
      <x:c r="AA427" s="6" t="str">
        <x:v>20530.75</x:v>
      </x:c>
      <x:c r="AB427" s="9" t="str">
        <x:v>0.4398346566148244</x:v>
      </x:c>
      <x:c r="AC427" s="9" t="str">
        <x:v>0.6911687461090098</x:v>
      </x:c>
      <x:c r="AD427" s="9" t="str">
        <x:v>1.5169807544470475</x:v>
      </x:c>
      <x:c r="AE427" s="6" t="str">
        <x:v>With trade</x:v>
      </x:c>
      <x:c r="AF427" s="7" t="str">
        <x:v>2025-06-11 11:05:00-05:00</x:v>
      </x:c>
      <x:c r="AG427" s="6" t="str">
        <x:v>Short</x:v>
      </x:c>
      <x:c r="AH427" s="6" t="str">
        <x:v>20530.75</x:v>
      </x:c>
      <x:c r="AI427" s="8" t="str">
        <x:v>0</x:v>
      </x:c>
      <x:c r="AJ427" s="6" t="str">
        <x:v>True</x:v>
      </x:c>
      <x:c r="AK427" s="6" t="str">
        <x:v>Same-bar Setup+BOS</x:v>
      </x:c>
      <x:c r="AL427" s="9" t="str">
        <x:v>0.7091211810728801</x:v>
      </x:c>
      <x:c r="AM427" s="9" t="str">
        <x:v>0.4398346566148244</x:v>
      </x:c>
      <x:c r="AN427" s="9" t="str">
        <x:v>0.6911687461090098</x:v>
      </x:c>
      <x:c r="AO427" s="9" t="str">
        <x:v>1.5169807544470475</x:v>
      </x:c>
      <x:c r="AP427" s="10" t="str">
        <x:v>0.4556213017751479</x:v>
      </x:c>
      <x:c r="AQ427" s="6" t="str">
        <x:v>0.047337278106508875</x:v>
      </x:c>
      <x:c r="AR427" s="6" t="str">
        <x:v>0.4970414201183432</x:v>
      </x:c>
      <x:c r="AS427" s="6" t="str">
        <x:v>With trade</x:v>
      </x:c>
      <x:c r="AT427" s="6" t="str">
        <x:v>1.523112276123281</x:v>
      </x:c>
      <x:c r="AU427" s="7" t="str">
        <x:v>2025-06-11 11:30:00-05:00</x:v>
      </x:c>
      <x:c r="AV427" s="8" t="str">
        <x:v>5</x:v>
      </x:c>
      <x:c r="AW427" s="6" t="str">
        <x:v>Delayed retest (2+ bars)</x:v>
      </x:c>
      <x:c r="AX427" s="6" t="str">
        <x:v>20533.75</x:v>
      </x:c>
      <x:c r="AY427" s="6" t="str">
        <x:v>3.0</x:v>
      </x:c>
      <x:c r="AZ427" s="9" t="str">
        <x:v>0.09984234034761356</x:v>
      </x:c>
      <x:c r="BA427" s="9" t="str">
        <x:v>0.13312312046348473</x:v>
      </x:c>
      <x:c r="BB427" s="9" t="str">
        <x:v>0.5574530669408424</x:v>
      </x:c>
      <x:c r="BC427" s="9" t="str">
        <x:v>0.15808370555038814</x:v>
      </x:c>
      <x:c r="BD427" s="6" t="str">
        <x:v>0.417910447761194</x:v>
      </x:c>
      <x:c r="BE427" s="6" t="str">
        <x:v>0.29850746268656714</x:v>
      </x:c>
      <x:c r="BF427" s="9" t="str">
        <x:v>0.2329654608110983</x:v>
      </x:c>
      <x:c r="BG427" s="9" t="str">
        <x:v>0.16640390057935595</x:v>
      </x:c>
      <x:c r="BH427" s="6" t="str">
        <x:v>Against trade</x:v>
      </x:c>
      <x:c r="BI427" s="6" t="str">
        <x:v>Penetration + same-bar reclaim</x:v>
      </x:c>
      <x:c r="BJ427" s="6" t="str">
        <x:v>False</x:v>
      </x:c>
      <x:c r="BK427" s="10" t="str">
        <x:v>True</x:v>
      </x:c>
      <x:c r="BL427" s="6" t="str">
        <x:v>True</x:v>
      </x:c>
      <x:c r="BM427" s="7" t="str">
        <x:v>2025-06-11 11:35:00-05:00</x:v>
      </x:c>
      <x:c r="BN427" s="8" t="str">
        <x:v>1</x:v>
      </x:c>
      <x:c r="BO427" s="6" t="str">
        <x:v>Immediate confirmation (1 bar)</x:v>
      </x:c>
      <x:c r="BP427" s="9" t="str">
        <x:v>0.512050444494578</x:v>
      </x:c>
      <x:c r="BQ427" s="9" t="str">
        <x:v>0.6656655778429516</x:v>
      </x:c>
      <x:c r="BR427" s="10" t="str">
        <x:v>0.7692307692307693</x:v>
      </x:c>
      <x:c r="BS427" s="9" t="str">
        <x:v>0.6571314037680419</x:v>
      </x:c>
      <x:c r="BT427" s="9" t="str">
        <x:v>0.5205846185694877</x:v>
      </x:c>
      <x:c r="BU427" s="9" t="str">
        <x:v>0.06827339259927707</x:v>
      </x:c>
      <x:c r="BV427" s="6" t="str">
        <x:v>With trade</x:v>
      </x:c>
      <x:c r="BW427" s="7" t="str">
        <x:v>2025-06-11 11:35:00-05:00</x:v>
      </x:c>
      <x:c r="BX427" s="6" t="str">
        <x:v>20511.5</x:v>
      </x:c>
      <x:c r="BY427" s="9" t="str">
        <x:v>29.29398882722546</x:v>
      </x:c>
      <x:c r="BZ427" s="9" t="str">
        <x:v>0.77</x:v>
      </x:c>
      <x:c r="CA427" s="6" t="str">
        <x:v>20555.44098324084</x:v>
      </x:c>
      <x:c r="CB427" s="6" t="str">
        <x:v>43.94098324083825</x:v>
      </x:c>
      <x:c r="CC427" s="9" t="str">
        <x:v>1.5000000000000022</x:v>
      </x:c>
      <x:c r="CD427" s="6" t="str">
        <x:v>20423.618033518324</x:v>
      </x:c>
      <x:c r="CE427" s="6" t="str">
        <x:v>87.8819664816765</x:v>
      </x:c>
      <x:c r="CF427" s="6" t="str">
        <x:v>Fixed 2.00R target</x:v>
      </x:c>
      <x:c r="CG427" s="9" t="str">
        <x:v>0.016499403211491938</x:v>
      </x:c>
      <x:c r="CH427" s="9" t="str">
        <x:v>-1.0</x:v>
      </x:c>
      <x:c r="CI427" s="9" t="str">
        <x:v>-1.016499403211492</x:v>
      </x:c>
      <x:c r="CJ427" s="6" t="str">
        <x:v>Loss</x:v>
      </x:c>
      <x:c r="CK427" s="9" t="str">
        <x:v>0.22757797533092328</x:v>
      </x:c>
      <x:c r="CL427" s="9" t="str">
        <x:v>1.1606476741877088</x:v>
      </x:c>
      <x:c r="CM427" s="7" t="str">
        <x:v>2025-06-11 12:05:00-05:00</x:v>
      </x:c>
      <x:c r="CN427" s="6" t="str">
        <x:v>20555.44098324084</x:v>
      </x:c>
      <x:c r="CO427" s="6" t="str">
        <x:v>STOP</x:v>
      </x:c>
      <x:c r="CP427" s="6" t="str">
        <x:v>F::Short::Same-bar Setup+BOS::Penetration + same-bar reclaim</x:v>
      </x:c>
    </x:row>
    <x:row r="428" ht="18" customHeight="1">
      <x:c r="A428" s="6" t="str">
        <x:v>A0427</x:v>
      </x:c>
      <x:c r="B428" s="6" t="str">
        <x:v>2025-06-12</x:v>
      </x:c>
      <x:c r="C428" s="6" t="str">
        <x:v>2025</x:v>
      </x:c>
      <x:c r="D428" s="6" t="str">
        <x:v>2025-Q2</x:v>
      </x:c>
      <x:c r="E428" s="6" t="str">
        <x:v>Second 50%</x:v>
      </x:c>
      <x:c r="F428" s="6" t="str">
        <x:v>Long</x:v>
      </x:c>
      <x:c r="G428" s="6" t="str">
        <x:v>Long</x:v>
      </x:c>
      <x:c r="H428" s="6" t="str">
        <x:v>Premarket</x:v>
      </x:c>
      <x:c r="I428" s="6" t="str">
        <x:v>Premarket</x:v>
      </x:c>
      <x:c r="J428" s="6" t="str">
        <x:v>Bear</x:v>
      </x:c>
      <x:c r="K428" s="6" t="str">
        <x:v>Bear</x:v>
      </x:c>
      <x:c r="L428" s="6" t="str">
        <x:v>HIGH</x:v>
      </x:c>
      <x:c r="M428" s="7" t="str">
        <x:v>2025-06-12 07:35:00-05:00</x:v>
      </x:c>
      <x:c r="N428" s="6" t="str">
        <x:v>90.0</x:v>
      </x:c>
      <x:c r="O428" s="6" t="str">
        <x:v>90-94</x:v>
      </x:c>
      <x:c r="P428" s="6" t="str">
        <x:v>Matching BOS only</x:v>
      </x:c>
      <x:c r="Q428" s="6" t="str">
        <x:v>Bull CHoCH</x:v>
      </x:c>
      <x:c r="R428" s="6" t="str">
        <x:v>True</x:v>
      </x:c>
      <x:c r="S428" s="6" t="str">
        <x:v>False</x:v>
      </x:c>
      <x:c r="T428" s="6" t="str">
        <x:v>Recent SSL</x:v>
      </x:c>
      <x:c r="U428" s="6" t="str">
        <x:v>SSL</x:v>
      </x:c>
      <x:c r="V428" s="6" t="str">
        <x:v>Swing low / sell-side</x:v>
      </x:c>
      <x:c r="W428" s="6" t="str">
        <x:v>[20276.5]</x:v>
      </x:c>
      <x:c r="X428" s="8" t="str">
        <x:v>1</x:v>
      </x:c>
      <x:c r="Y428" s="8" t="str">
        <x:v>1.0</x:v>
      </x:c>
      <x:c r="Z428" s="6" t="str">
        <x:v>None</x:v>
      </x:c>
      <x:c r="AA428" s="6" t="str">
        <x:v>20370.5</x:v>
      </x:c>
      <x:c r="AB428" s="9" t="str">
        <x:v>0.09315456420157336</x:v>
      </x:c>
      <x:c r="AC428" s="9" t="str">
        <x:v>1.4076689701571086</x:v>
      </x:c>
      <x:c r="AD428" s="9" t="str">
        <x:v>1.6353801270942878</x:v>
      </x:c>
      <x:c r="AE428" s="6" t="str">
        <x:v>With trade</x:v>
      </x:c>
      <x:c r="AF428" s="7" t="str">
        <x:v>2025-06-12 07:35:00-05:00</x:v>
      </x:c>
      <x:c r="AG428" s="6" t="str">
        <x:v>Long</x:v>
      </x:c>
      <x:c r="AH428" s="6" t="str">
        <x:v>20370.5</x:v>
      </x:c>
      <x:c r="AI428" s="8" t="str">
        <x:v>0</x:v>
      </x:c>
      <x:c r="AJ428" s="6" t="str">
        <x:v>True</x:v>
      </x:c>
      <x:c r="AK428" s="6" t="str">
        <x:v>Same-bar Setup+BOS</x:v>
      </x:c>
      <x:c r="AL428" s="9" t="str">
        <x:v>1.3455659273560596</x:v>
      </x:c>
      <x:c r="AM428" s="9" t="str">
        <x:v>0.09315456420157336</x:v>
      </x:c>
      <x:c r="AN428" s="9" t="str">
        <x:v>1.4076689701571086</x:v>
      </x:c>
      <x:c r="AO428" s="9" t="str">
        <x:v>1.6353801270942878</x:v>
      </x:c>
      <x:c r="AP428" s="10" t="str">
        <x:v>0.8607594936708861</x:v>
      </x:c>
      <x:c r="AQ428" s="6" t="str">
        <x:v>0.13291139240506328</x:v>
      </x:c>
      <x:c r="AR428" s="6" t="str">
        <x:v>0.006329113924050633</x:v>
      </x:c>
      <x:c r="AS428" s="6" t="str">
        <x:v>With trade</x:v>
      </x:c>
      <x:c r="AT428" s="6" t="str">
        <x:v>3.3080357142857144</x:v>
      </x:c>
      <x:c r="AU428" s="7" t="str">
        <x:v>2025-06-12 07:40:00-05:00</x:v>
      </x:c>
      <x:c r="AV428" s="8" t="str">
        <x:v>1</x:v>
      </x:c>
      <x:c r="AW428" s="6" t="str">
        <x:v>Immediate retest (1 bar)</x:v>
      </x:c>
      <x:c r="AX428" s="6" t="str">
        <x:v>20372.25</x:v>
      </x:c>
      <x:c r="AY428" s="6" t="str">
        <x:v>0.0</x:v>
      </x:c>
      <x:c r="AZ428" s="9" t="str">
        <x:v>0.0</x:v>
      </x:c>
      <x:c r="BA428" s="9" t="str">
        <x:v>0.5549833250034262</x:v>
      </x:c>
      <x:c r="BB428" s="9" t="str">
        <x:v>0.8481820627410852</x:v>
      </x:c>
      <x:c r="BC428" s="9" t="str">
        <x:v>0.4712122570783807</x:v>
      </x:c>
      <x:c r="BD428" s="6" t="str">
        <x:v>0.43209876543209874</x:v>
      </x:c>
      <x:c r="BE428" s="6" t="str">
        <x:v>0.012345679012345678</x:v>
      </x:c>
      <x:c r="BF428" s="9" t="str">
        <x:v>0.010471383490630683</x:v>
      </x:c>
      <x:c r="BG428" s="9" t="str">
        <x:v>0.36649842217207385</x:v>
      </x:c>
      <x:c r="BH428" s="6" t="str">
        <x:v>With trade</x:v>
      </x:c>
      <x:c r="BI428" s="6" t="str">
        <x:v>Tolerance-only shallow touch</x:v>
      </x:c>
      <x:c r="BJ428" s="6" t="str">
        <x:v>True</x:v>
      </x:c>
      <x:c r="BK428" s="10" t="str">
        <x:v>False</x:v>
      </x:c>
      <x:c r="BL428" s="6" t="str">
        <x:v>True</x:v>
      </x:c>
      <x:c r="BM428" s="7" t="str">
        <x:v>2025-06-12 07:50:00-05:00</x:v>
      </x:c>
      <x:c r="BN428" s="8" t="str">
        <x:v>2</x:v>
      </x:c>
      <x:c r="BO428" s="6" t="str">
        <x:v>Delayed confirmation (2+ bars)</x:v>
      </x:c>
      <x:c r="BP428" s="9" t="str">
        <x:v>0.010733713005876333</x:v>
      </x:c>
      <x:c r="BQ428" s="9" t="str">
        <x:v>0.7191587713937143</x:v>
      </x:c>
      <x:c r="BR428" s="10" t="str">
        <x:v>0.014925373134328358</x:v>
      </x:c>
      <x:c r="BS428" s="9" t="str">
        <x:v>0.27907653815278466</x:v>
      </x:c>
      <x:c r="BT428" s="9" t="str">
        <x:v>-0.289810251158661</x:v>
      </x:c>
      <x:c r="BU428" s="9" t="str">
        <x:v>0.483017085264435</x:v>
      </x:c>
      <x:c r="BV428" s="6" t="str">
        <x:v>With trade</x:v>
      </x:c>
      <x:c r="BW428" s="7" t="str">
        <x:v>2025-06-12 07:50:00-05:00</x:v>
      </x:c>
      <x:c r="BX428" s="6" t="str">
        <x:v>20377.0</x:v>
      </x:c>
      <x:c r="BY428" s="9" t="str">
        <x:v>23.2911015846179</x:v>
      </x:c>
      <x:c r="BZ428" s="9" t="str">
        <x:v>0.97</x:v>
      </x:c>
      <x:c r="CA428" s="6" t="str">
        <x:v>20342.063347623072</x:v>
      </x:c>
      <x:c r="CB428" s="6" t="str">
        <x:v>34.93665237692767</x:v>
      </x:c>
      <x:c r="CC428" s="9" t="str">
        <x:v>1.5000000000000353</x:v>
      </x:c>
      <x:c r="CD428" s="6" t="str">
        <x:v>20446.873304753855</x:v>
      </x:c>
      <x:c r="CE428" s="6" t="str">
        <x:v>69.87330475385534</x:v>
      </x:c>
      <x:c r="CF428" s="6" t="str">
        <x:v>Fixed 2.00R target</x:v>
      </x:c>
      <x:c r="CG428" s="9" t="str">
        <x:v>0.020751845144693755</x:v>
      </x:c>
      <x:c r="CH428" s="9" t="str">
        <x:v>1.28804556070516</x:v>
      </x:c>
      <x:c r="CI428" s="9" t="str">
        <x:v>1.2672937155604662</x:v>
      </x:c>
      <x:c r="CJ428" s="6" t="str">
        <x:v>Win</x:v>
      </x:c>
      <x:c r="CK428" s="9" t="str">
        <x:v>1.7173940809401729</x:v>
      </x:c>
      <x:c r="CL428" s="9" t="str">
        <x:v>0.40072528555270703</x:v>
      </x:c>
      <x:c r="CM428" s="7" t="str">
        <x:v>2025-06-12 08:50:00-05:00</x:v>
      </x:c>
      <x:c r="CN428" s="6" t="str">
        <x:v>20422.0</x:v>
      </x:c>
      <x:c r="CO428" s="6" t="str">
        <x:v>TIME</x:v>
      </x:c>
      <x:c r="CP428" s="6" t="str">
        <x:v>F::Long::Same-bar Setup+BOS::Tolerance-only shallow touch</x:v>
      </x:c>
    </x:row>
    <x:row r="429" ht="18" customHeight="1">
      <x:c r="A429" s="6" t="str">
        <x:v>A0428</x:v>
      </x:c>
      <x:c r="B429" s="6" t="str">
        <x:v>2025-06-13</x:v>
      </x:c>
      <x:c r="C429" s="6" t="str">
        <x:v>2025</x:v>
      </x:c>
      <x:c r="D429" s="6" t="str">
        <x:v>2025-Q2</x:v>
      </x:c>
      <x:c r="E429" s="6" t="str">
        <x:v>Second 50%</x:v>
      </x:c>
      <x:c r="F429" s="6" t="str">
        <x:v>Long</x:v>
      </x:c>
      <x:c r="G429" s="6" t="str">
        <x:v>Long</x:v>
      </x:c>
      <x:c r="H429" s="6" t="str">
        <x:v>Overnight</x:v>
      </x:c>
      <x:c r="I429" s="6" t="str">
        <x:v>Overnight</x:v>
      </x:c>
      <x:c r="J429" s="6" t="str">
        <x:v>Bear</x:v>
      </x:c>
      <x:c r="K429" s="6" t="str">
        <x:v>Bear</x:v>
      </x:c>
      <x:c r="L429" s="6" t="str">
        <x:v>LOW</x:v>
      </x:c>
      <x:c r="M429" s="7" t="str">
        <x:v>2025-06-13 00:55:00-05:00</x:v>
      </x:c>
      <x:c r="N429" s="6" t="str">
        <x:v>75.0</x:v>
      </x:c>
      <x:c r="O429" s="6" t="str">
        <x:v>75-79</x:v>
      </x:c>
      <x:c r="P429" s="6" t="str">
        <x:v>Matching BOS only</x:v>
      </x:c>
      <x:c r="Q429" s="6" t="str">
        <x:v>Bull CHoCH</x:v>
      </x:c>
      <x:c r="R429" s="6" t="str">
        <x:v>True</x:v>
      </x:c>
      <x:c r="S429" s="6" t="str">
        <x:v>False</x:v>
      </x:c>
      <x:c r="T429" s="6" t="str">
        <x:v>Recent SSL</x:v>
      </x:c>
      <x:c r="U429" s="6" t="str">
        <x:v>SSL</x:v>
      </x:c>
      <x:c r="V429" s="6" t="str">
        <x:v>Swing low / sell-side</x:v>
      </x:c>
      <x:c r="W429" s="6" t="str">
        <x:v>[20077.75]</x:v>
      </x:c>
      <x:c r="X429" s="8" t="str">
        <x:v>1</x:v>
      </x:c>
      <x:c r="Y429" s="8" t="str">
        <x:v>20.0</x:v>
      </x:c>
      <x:c r="Z429" s="6" t="str">
        <x:v>None</x:v>
      </x:c>
      <x:c r="AA429" s="6" t="str">
        <x:v>20114.25</x:v>
      </x:c>
      <x:c r="AB429" s="9" t="str">
        <x:v>0.027064130207247114</x:v>
      </x:c>
      <x:c r="AC429" s="9" t="str">
        <x:v>0.2165130416579769</x:v>
      </x:c>
      <x:c r="AD429" s="9" t="str">
        <x:v>0.487154343730448</x:v>
      </x:c>
      <x:c r="AE429" s="6" t="str">
        <x:v>With trade</x:v>
      </x:c>
      <x:c r="AF429" s="7" t="str">
        <x:v>2025-06-13 00:55:00-05:00</x:v>
      </x:c>
      <x:c r="AG429" s="6" t="str">
        <x:v>Long</x:v>
      </x:c>
      <x:c r="AH429" s="6" t="str">
        <x:v>20114.25</x:v>
      </x:c>
      <x:c r="AI429" s="8" t="str">
        <x:v>0</x:v>
      </x:c>
      <x:c r="AJ429" s="6" t="str">
        <x:v>True</x:v>
      </x:c>
      <x:c r="AK429" s="6" t="str">
        <x:v>Same-bar Setup+BOS</x:v>
      </x:c>
      <x:c r="AL429" s="9" t="str">
        <x:v>0.14885271613985912</x:v>
      </x:c>
      <x:c r="AM429" s="9" t="str">
        <x:v>0.027064130207247114</x:v>
      </x:c>
      <x:c r="AN429" s="9" t="str">
        <x:v>0.2165130416579769</x:v>
      </x:c>
      <x:c r="AO429" s="9" t="str">
        <x:v>0.487154343730448</x:v>
      </x:c>
      <x:c r="AP429" s="10" t="str">
        <x:v>0.4444444444444444</x:v>
      </x:c>
      <x:c r="AQ429" s="6" t="str">
        <x:v>0.0</x:v>
      </x:c>
      <x:c r="AR429" s="6" t="str">
        <x:v>0.5555555555555556</x:v>
      </x:c>
      <x:c r="AS429" s="6" t="str">
        <x:v>With trade</x:v>
      </x:c>
      <x:c r="AT429" s="6" t="str">
        <x:v>0.9205350118017309</x:v>
      </x:c>
      <x:c r="AU429" s="7" t="str">
        <x:v>2025-06-13 01:00:00-05:00</x:v>
      </x:c>
      <x:c r="AV429" s="8" t="str">
        <x:v>1</x:v>
      </x:c>
      <x:c r="AW429" s="6" t="str">
        <x:v>Immediate retest (1 bar)</x:v>
      </x:c>
      <x:c r="AX429" s="6" t="str">
        <x:v>20112.75</x:v>
      </x:c>
      <x:c r="AY429" s="6" t="str">
        <x:v>1.5</x:v>
      </x:c>
      <x:c r="AZ429" s="9" t="str">
        <x:v>0.07364020985946715</x:v>
      </x:c>
      <x:c r="BA429" s="9" t="str">
        <x:v>1.4482574605695206</x:v>
      </x:c>
      <x:c r="BB429" s="9" t="str">
        <x:v>2.2092062957840146</x:v>
      </x:c>
      <x:c r="BC429" s="9" t="str">
        <x:v>1.411437355639787</x:v>
      </x:c>
      <x:c r="BD429" s="6" t="str">
        <x:v>0.3111111111111111</x:v>
      </x:c>
      <x:c r="BE429" s="6" t="str">
        <x:v>0.05</x:v>
      </x:c>
      <x:c r="BF429" s="9" t="str">
        <x:v>0.11046031478920072</x:v>
      </x:c>
      <x:c r="BG429" s="9" t="str">
        <x:v>0.6873086253550267</x:v>
      </x:c>
      <x:c r="BH429" s="6" t="str">
        <x:v>With trade</x:v>
      </x:c>
      <x:c r="BI429" s="6" t="str">
        <x:v>Penetration + same-bar reclaim</x:v>
      </x:c>
      <x:c r="BJ429" s="6" t="str">
        <x:v>False</x:v>
      </x:c>
      <x:c r="BK429" s="10" t="str">
        <x:v>True</x:v>
      </x:c>
      <x:c r="BL429" s="6" t="str">
        <x:v>True</x:v>
      </x:c>
      <x:c r="BM429" s="7" t="str">
        <x:v>2025-06-13 01:05:00-05:00</x:v>
      </x:c>
      <x:c r="BN429" s="8" t="str">
        <x:v>1</x:v>
      </x:c>
      <x:c r="BO429" s="6" t="str">
        <x:v>Immediate confirmation (1 bar)</x:v>
      </x:c>
      <x:c r="BP429" s="9" t="str">
        <x:v>0.05057785496346292</x:v>
      </x:c>
      <x:c r="BQ429" s="9" t="str">
        <x:v>0.606934259561555</x:v>
      </x:c>
      <x:c r="BR429" s="10" t="str">
        <x:v>0.08333333333333333</x:v>
      </x:c>
      <x:c r="BS429" s="9" t="str">
        <x:v>1.5552690401264848</x:v>
      </x:c>
      <x:c r="BT429" s="9" t="str">
        <x:v>0.06322231870432865</x:v>
      </x:c>
      <x:c r="BU429" s="9" t="str">
        <x:v>0.26553373855818035</x:v>
      </x:c>
      <x:c r="BV429" s="6" t="str">
        <x:v>With trade</x:v>
      </x:c>
      <x:c r="BW429" s="7" t="str">
        <x:v>2025-06-13 01:05:00-05:00</x:v>
      </x:c>
      <x:c r="BX429" s="6" t="str">
        <x:v>20145.0</x:v>
      </x:c>
      <x:c r="BY429" s="9" t="str">
        <x:v>19.771498825373136</x:v>
      </x:c>
      <x:c r="BZ429" s="9" t="str">
        <x:v>0.32</x:v>
      </x:c>
      <x:c r="CA429" s="6" t="str">
        <x:v>20115.342751761942</x:v>
      </x:c>
      <x:c r="CB429" s="6" t="str">
        <x:v>29.657248238057946</x:v>
      </x:c>
      <x:c r="CC429" s="9" t="str">
        <x:v>1.499999999999911</x:v>
      </x:c>
      <x:c r="CD429" s="6" t="str">
        <x:v>20204.31449647612</x:v>
      </x:c>
      <x:c r="CE429" s="6" t="str">
        <x:v>59.31449647611953</x:v>
      </x:c>
      <x:c r="CF429" s="6" t="str">
        <x:v>Fixed 2.00R target</x:v>
      </x:c>
      <x:c r="CG429" s="9" t="str">
        <x:v>0.024445963232341862</x:v>
      </x:c>
      <x:c r="CH429" s="9" t="str">
        <x:v>-1.0</x:v>
      </x:c>
      <x:c r="CI429" s="9" t="str">
        <x:v>-1.024445963232342</x:v>
      </x:c>
      <x:c r="CJ429" s="6" t="str">
        <x:v>Loss</x:v>
      </x:c>
      <x:c r="CK429" s="9" t="str">
        <x:v>0.042148212469554934</x:v>
      </x:c>
      <x:c r="CL429" s="9" t="str">
        <x:v>1.0705645967266952</x:v>
      </x:c>
      <x:c r="CM429" s="7" t="str">
        <x:v>2025-06-13 01:15:00-05:00</x:v>
      </x:c>
      <x:c r="CN429" s="6" t="str">
        <x:v>20115.342751761942</x:v>
      </x:c>
      <x:c r="CO429" s="6" t="str">
        <x:v>STOP</x:v>
      </x:c>
      <x:c r="CP429" s="6" t="str">
        <x:v>F::Long::Same-bar Setup+BOS::Penetration + same-bar reclaim</x:v>
      </x:c>
    </x:row>
    <x:row r="430" ht="18" customHeight="1">
      <x:c r="A430" s="6" t="str">
        <x:v>A0429</x:v>
      </x:c>
      <x:c r="B430" s="6" t="str">
        <x:v>2025-06-17</x:v>
      </x:c>
      <x:c r="C430" s="6" t="str">
        <x:v>2025</x:v>
      </x:c>
      <x:c r="D430" s="6" t="str">
        <x:v>2025-Q2</x:v>
      </x:c>
      <x:c r="E430" s="6" t="str">
        <x:v>Second 50%</x:v>
      </x:c>
      <x:c r="F430" s="6" t="str">
        <x:v>Short</x:v>
      </x:c>
      <x:c r="G430" s="6" t="str">
        <x:v>Short</x:v>
      </x:c>
      <x:c r="H430" s="6" t="str">
        <x:v>Morning</x:v>
      </x:c>
      <x:c r="I430" s="6" t="str">
        <x:v>Morning</x:v>
      </x:c>
      <x:c r="J430" s="6" t="str">
        <x:v>Bull</x:v>
      </x:c>
      <x:c r="K430" s="6" t="str">
        <x:v>Bull</x:v>
      </x:c>
      <x:c r="L430" s="6" t="str">
        <x:v>HIGH</x:v>
      </x:c>
      <x:c r="M430" s="7" t="str">
        <x:v>2025-06-17 11:45:00-05:00</x:v>
      </x:c>
      <x:c r="N430" s="6" t="str">
        <x:v>85.0</x:v>
      </x:c>
      <x:c r="O430" s="6" t="str">
        <x:v>85-89</x:v>
      </x:c>
      <x:c r="P430" s="6" t="str">
        <x:v>Matching BOS only</x:v>
      </x:c>
      <x:c r="Q430" s="6" t="str">
        <x:v>Bear CHoCH</x:v>
      </x:c>
      <x:c r="R430" s="6" t="str">
        <x:v>True</x:v>
      </x:c>
      <x:c r="S430" s="6" t="str">
        <x:v>False</x:v>
      </x:c>
      <x:c r="T430" s="6" t="str">
        <x:v>Recent BSL</x:v>
      </x:c>
      <x:c r="U430" s="6" t="str">
        <x:v>BSL</x:v>
      </x:c>
      <x:c r="V430" s="6" t="str">
        <x:v>Swing high / buy-side</x:v>
      </x:c>
      <x:c r="W430" s="6" t="str">
        <x:v>[20452.0]</x:v>
      </x:c>
      <x:c r="X430" s="8" t="str">
        <x:v>1</x:v>
      </x:c>
      <x:c r="Y430" s="8" t="str">
        <x:v>19.0</x:v>
      </x:c>
      <x:c r="Z430" s="6" t="str">
        <x:v>None</x:v>
      </x:c>
      <x:c r="AA430" s="6" t="str">
        <x:v>20395.75</x:v>
      </x:c>
      <x:c r="AB430" s="9" t="str">
        <x:v>0.22629663022937832</x:v>
      </x:c>
      <x:c r="AC430" s="9" t="str">
        <x:v>0.47227122830478957</x:v>
      </x:c>
      <x:c r="AD430" s="9" t="str">
        <x:v>1.7808560900659773</x:v>
      </x:c>
      <x:c r="AE430" s="6" t="str">
        <x:v>With trade</x:v>
      </x:c>
      <x:c r="AF430" s="7" t="str">
        <x:v>2025-06-17 11:45:00-05:00</x:v>
      </x:c>
      <x:c r="AG430" s="6" t="str">
        <x:v>Short</x:v>
      </x:c>
      <x:c r="AH430" s="6" t="str">
        <x:v>20395.75</x:v>
      </x:c>
      <x:c r="AI430" s="8" t="str">
        <x:v>0</x:v>
      </x:c>
      <x:c r="AJ430" s="6" t="str">
        <x:v>True</x:v>
      </x:c>
      <x:c r="AK430" s="6" t="str">
        <x:v>Same-bar Setup+BOS</x:v>
      </x:c>
      <x:c r="AL430" s="9" t="str">
        <x:v>0.5411441157659047</x:v>
      </x:c>
      <x:c r="AM430" s="9" t="str">
        <x:v>0.22629663022937832</x:v>
      </x:c>
      <x:c r="AN430" s="9" t="str">
        <x:v>0.47227122830478957</x:v>
      </x:c>
      <x:c r="AO430" s="9" t="str">
        <x:v>1.7808560900659773</x:v>
      </x:c>
      <x:c r="AP430" s="10" t="str">
        <x:v>0.26519337016574585</x:v>
      </x:c>
      <x:c r="AQ430" s="6" t="str">
        <x:v>0.32044198895027626</x:v>
      </x:c>
      <x:c r="AR430" s="6" t="str">
        <x:v>0.4143646408839779</x:v>
      </x:c>
      <x:c r="AS430" s="6" t="str">
        <x:v>With trade</x:v>
      </x:c>
      <x:c r="AT430" s="6" t="str">
        <x:v>2.193176783340718</x:v>
      </x:c>
      <x:c r="AU430" s="7" t="str">
        <x:v>2025-06-17 11:50:00-05:00</x:v>
      </x:c>
      <x:c r="AV430" s="8" t="str">
        <x:v>1</x:v>
      </x:c>
      <x:c r="AW430" s="6" t="str">
        <x:v>Immediate retest (1 bar)</x:v>
      </x:c>
      <x:c r="AX430" s="6" t="str">
        <x:v>20397.5</x:v>
      </x:c>
      <x:c r="AY430" s="6" t="str">
        <x:v>1.75</x:v>
      </x:c>
      <x:c r="AZ430" s="9" t="str">
        <x:v>0.06832722050305923</x:v>
      </x:c>
      <x:c r="BA430" s="9" t="str">
        <x:v>0.7320773625327776</x:v>
      </x:c>
      <x:c r="BB430" s="9" t="str">
        <x:v>1.1029965595493847</x:v>
      </x:c>
      <x:c r="BC430" s="9" t="str">
        <x:v>0.5075736380227257</x:v>
      </x:c>
      <x:c r="BD430" s="6" t="str">
        <x:v>0.26548672566371684</x:v>
      </x:c>
      <x:c r="BE430" s="6" t="str">
        <x:v>0.2743362831858407</x:v>
      </x:c>
      <x:c r="BF430" s="9" t="str">
        <x:v>0.292830945013111</x:v>
      </x:c>
      <x:c r="BG430" s="9" t="str">
        <x:v>0.302591976513548</x:v>
      </x:c>
      <x:c r="BH430" s="6" t="str">
        <x:v>With trade</x:v>
      </x:c>
      <x:c r="BI430" s="6" t="str">
        <x:v>Penetration + same-bar reclaim</x:v>
      </x:c>
      <x:c r="BJ430" s="6" t="str">
        <x:v>False</x:v>
      </x:c>
      <x:c r="BK430" s="10" t="str">
        <x:v>True</x:v>
      </x:c>
      <x:c r="BL430" s="6" t="str">
        <x:v>True</x:v>
      </x:c>
      <x:c r="BM430" s="7" t="str">
        <x:v>2025-06-17 11:55:00-05:00</x:v>
      </x:c>
      <x:c r="BN430" s="8" t="str">
        <x:v>1</x:v>
      </x:c>
      <x:c r="BO430" s="6" t="str">
        <x:v>Immediate confirmation (1 bar)</x:v>
      </x:c>
      <x:c r="BP430" s="9" t="str">
        <x:v>0.6823050166451515</x:v>
      </x:c>
      <x:c r="BQ430" s="9" t="str">
        <x:v>1.114751858180811</x:v>
      </x:c>
      <x:c r="BR430" s="10" t="str">
        <x:v>0.6120689655172413</x:v>
      </x:c>
      <x:c r="BS430" s="9" t="str">
        <x:v>1.5087589804688561</x:v>
      </x:c>
      <x:c r="BT430" s="9" t="str">
        <x:v>0.7880142445760905</x:v>
      </x:c>
      <x:c r="BU430" s="9" t="str">
        <x:v>0.019219859623807085</x:v>
      </x:c>
      <x:c r="BV430" s="6" t="str">
        <x:v>With trade</x:v>
      </x:c>
      <x:c r="BW430" s="7" t="str">
        <x:v>2025-06-17 11:55:00-05:00</x:v>
      </x:c>
      <x:c r="BX430" s="6" t="str">
        <x:v>20356.5</x:v>
      </x:c>
      <x:c r="BY430" s="9" t="str">
        <x:v>26.014758160911043</x:v>
      </x:c>
      <x:c r="BZ430" s="9" t="str">
        <x:v>0.86</x:v>
      </x:c>
      <x:c r="CA430" s="6" t="str">
        <x:v>20395.522137241365</x:v>
      </x:c>
      <x:c r="CB430" s="6" t="str">
        <x:v>39.02213724136527</x:v>
      </x:c>
      <x:c r="CC430" s="9" t="str">
        <x:v>1.4999999999999503</x:v>
      </x:c>
      <x:c r="CD430" s="6" t="str">
        <x:v>20278.455725517266</x:v>
      </x:c>
      <x:c r="CE430" s="6" t="str">
        <x:v>78.04427448273418</x:v>
      </x:c>
      <x:c r="CF430" s="6" t="str">
        <x:v>Fixed 2.00R target</x:v>
      </x:c>
      <x:c r="CG430" s="9" t="str">
        <x:v>0.018579197636347463</x:v>
      </x:c>
      <x:c r="CH430" s="9" t="str">
        <x:v>2.0</x:v>
      </x:c>
      <x:c r="CI430" s="9" t="str">
        <x:v>1.9814208023636526</x:v>
      </x:c>
      <x:c r="CJ430" s="6" t="str">
        <x:v>Win</x:v>
      </x:c>
      <x:c r="CK430" s="9" t="str">
        <x:v>2.3191963946061316</x:v>
      </x:c>
      <x:c r="CL430" s="9" t="str">
        <x:v>0.5253428297174111</x:v>
      </x:c>
      <x:c r="CM430" s="7" t="str">
        <x:v>2025-06-17 12:45:00-05:00</x:v>
      </x:c>
      <x:c r="CN430" s="6" t="str">
        <x:v>20278.455725517266</x:v>
      </x:c>
      <x:c r="CO430" s="6" t="str">
        <x:v>TARGET</x:v>
      </x:c>
      <x:c r="CP430" s="6" t="str">
        <x:v>F::Short::Same-bar Setup+BOS::Penetration + same-bar reclaim</x:v>
      </x:c>
    </x:row>
    <x:row r="431" ht="18" customHeight="1">
      <x:c r="A431" s="6" t="str">
        <x:v>A0430</x:v>
      </x:c>
      <x:c r="B431" s="6" t="str">
        <x:v>2025-06-19</x:v>
      </x:c>
      <x:c r="C431" s="6" t="str">
        <x:v>2025</x:v>
      </x:c>
      <x:c r="D431" s="6" t="str">
        <x:v>2025-Q2</x:v>
      </x:c>
      <x:c r="E431" s="6" t="str">
        <x:v>Second 50%</x:v>
      </x:c>
      <x:c r="F431" s="6" t="str">
        <x:v>Short</x:v>
      </x:c>
      <x:c r="G431" s="6" t="str">
        <x:v>Short</x:v>
      </x:c>
      <x:c r="H431" s="6" t="str">
        <x:v>Premarket</x:v>
      </x:c>
      <x:c r="I431" s="6" t="str">
        <x:v>Premarket</x:v>
      </x:c>
      <x:c r="J431" s="6" t="str">
        <x:v>Bear</x:v>
      </x:c>
      <x:c r="K431" s="6" t="str">
        <x:v>Bear</x:v>
      </x:c>
      <x:c r="L431" s="6" t="str">
        <x:v>MID</x:v>
      </x:c>
      <x:c r="M431" s="7" t="str">
        <x:v>2025-06-19 05:55:00-05:00</x:v>
      </x:c>
      <x:c r="N431" s="6" t="str">
        <x:v>75.0</x:v>
      </x:c>
      <x:c r="O431" s="6" t="str">
        <x:v>75-79</x:v>
      </x:c>
      <x:c r="P431" s="6" t="str">
        <x:v>Matching liquidity sweep only</x:v>
      </x:c>
      <x:c r="Q431" s="6" t="str">
        <x:v>Recent bear structure</x:v>
      </x:c>
      <x:c r="R431" s="6" t="str">
        <x:v>False</x:v>
      </x:c>
      <x:c r="S431" s="6" t="str">
        <x:v>True</x:v>
      </x:c>
      <x:c r="T431" s="6" t="str">
        <x:v>Recent BSL</x:v>
      </x:c>
      <x:c r="U431" s="6" t="str">
        <x:v>BSL</x:v>
      </x:c>
      <x:c r="V431" s="6" t="str">
        <x:v>Swing high / buy-side</x:v>
      </x:c>
      <x:c r="W431" s="6" t="str">
        <x:v>[20170.75]</x:v>
      </x:c>
      <x:c r="X431" s="8" t="str">
        <x:v>1</x:v>
      </x:c>
      <x:c r="Y431" s="8" t="str">
        <x:v>0.0</x:v>
      </x:c>
      <x:c r="Z431" s="6" t="str">
        <x:v>Sweep above CRT reference</x:v>
      </x:c>
      <x:c r="AA431" s="6" t="str">
        <x:v>20132.25</x:v>
      </x:c>
      <x:c r="AB431" s="9" t="str">
        <x:v>-2.702316569518418</x:v>
      </x:c>
      <x:c r="AC431" s="9" t="str">
        <x:v>0.08314820213902825</x:v>
      </x:c>
      <x:c r="AD431" s="9" t="str">
        <x:v>0.9769913751335819</x:v>
      </x:c>
      <x:c r="AE431" s="6" t="str">
        <x:v>With trade</x:v>
      </x:c>
      <x:c r="AF431" s="7" t="str">
        <x:v>2025-06-19 06:10:00-05:00</x:v>
      </x:c>
      <x:c r="AG431" s="6" t="str">
        <x:v>Short</x:v>
      </x:c>
      <x:c r="AH431" s="6" t="str">
        <x:v>20132.25</x:v>
      </x:c>
      <x:c r="AI431" s="8" t="str">
        <x:v>3</x:v>
      </x:c>
      <x:c r="AJ431" s="6" t="str">
        <x:v>False</x:v>
      </x:c>
      <x:c r="AK431" s="6" t="str">
        <x:v>Delayed BOS</x:v>
      </x:c>
      <x:c r="AL431" s="9" t="str">
        <x:v>1.378390075295806</x:v>
      </x:c>
      <x:c r="AM431" s="9" t="str">
        <x:v>1.1133150608158433</x:v>
      </x:c>
      <x:c r="AN431" s="9" t="str">
        <x:v>1.378390075295806</x:v>
      </x:c>
      <x:c r="AO431" s="9" t="str">
        <x:v>1.678808425039764</x:v>
      </x:c>
      <x:c r="AP431" s="10" t="str">
        <x:v>0.8210526315789474</x:v>
      </x:c>
      <x:c r="AQ431" s="6" t="str">
        <x:v>0.11578947368421053</x:v>
      </x:c>
      <x:c r="AR431" s="6" t="str">
        <x:v>0.06315789473684211</x:v>
      </x:c>
      <x:c r="AS431" s="6" t="str">
        <x:v>With trade</x:v>
      </x:c>
      <x:c r="AT431" s="6" t="str">
        <x:v>2.342436974789916</x:v>
      </x:c>
      <x:c r="AU431" s="7" t="str">
        <x:v>2025-06-19 06:20:00-05:00</x:v>
      </x:c>
      <x:c r="AV431" s="8" t="str">
        <x:v>2</x:v>
      </x:c>
      <x:c r="AW431" s="6" t="str">
        <x:v>Delayed retest (2+ bars)</x:v>
      </x:c>
      <x:c r="AX431" s="6" t="str">
        <x:v>20132.75</x:v>
      </x:c>
      <x:c r="AY431" s="6" t="str">
        <x:v>0.5</x:v>
      </x:c>
      <x:c r="AZ431" s="9" t="str">
        <x:v>0.034634082842881685</x:v>
      </x:c>
      <x:c r="BA431" s="9" t="str">
        <x:v>0.1558533727929676</x:v>
      </x:c>
      <x:c r="BB431" s="9" t="str">
        <x:v>0.6753646154361929</x:v>
      </x:c>
      <x:c r="BC431" s="9" t="str">
        <x:v>0.2770726627430535</x:v>
      </x:c>
      <x:c r="BD431" s="6" t="str">
        <x:v>0.28205128205128205</x:v>
      </x:c>
      <x:c r="BE431" s="6" t="str">
        <x:v>0.3076923076923077</x:v>
      </x:c>
      <x:c r="BF431" s="9" t="str">
        <x:v>0.19048745563584926</x:v>
      </x:c>
      <x:c r="BG431" s="9" t="str">
        <x:v>0.20780449705729012</x:v>
      </x:c>
      <x:c r="BH431" s="6" t="str">
        <x:v>Against trade</x:v>
      </x:c>
      <x:c r="BI431" s="6" t="str">
        <x:v>Penetration + same-bar reclaim</x:v>
      </x:c>
      <x:c r="BJ431" s="6" t="str">
        <x:v>False</x:v>
      </x:c>
      <x:c r="BK431" s="10" t="str">
        <x:v>True</x:v>
      </x:c>
      <x:c r="BL431" s="6" t="str">
        <x:v>True</x:v>
      </x:c>
      <x:c r="BM431" s="7" t="str">
        <x:v>2025-06-19 06:25:00-05:00</x:v>
      </x:c>
      <x:c r="BN431" s="8" t="str">
        <x:v>1</x:v>
      </x:c>
      <x:c r="BO431" s="6" t="str">
        <x:v>Immediate confirmation (1 bar)</x:v>
      </x:c>
      <x:c r="BP431" s="9" t="str">
        <x:v>0.07127351501454886</x:v>
      </x:c>
      <x:c r="BQ431" s="9" t="str">
        <x:v>0.6236432563773026</x:v>
      </x:c>
      <x:c r="BR431" s="10" t="str">
        <x:v>0.11428571428571428</x:v>
      </x:c>
      <x:c r="BS431" s="9" t="str">
        <x:v>0.17818378753637215</x:v>
      </x:c>
      <x:c r="BT431" s="9" t="str">
        <x:v>0.017818378753637214</x:v>
      </x:c>
      <x:c r="BU431" s="9" t="str">
        <x:v>0.3207308175654699</x:v>
      </x:c>
      <x:c r="BV431" s="6" t="str">
        <x:v>With trade</x:v>
      </x:c>
      <x:c r="BW431" s="7" t="str">
        <x:v>2025-06-19 06:25:00-05:00</x:v>
      </x:c>
      <x:c r="BX431" s="6" t="str">
        <x:v>20129.75</x:v>
      </x:c>
      <x:c r="BY431" s="9" t="str">
        <x:v>14.030457173269381</x:v>
      </x:c>
      <x:c r="BZ431" s="9" t="str">
        <x:v>0.62</x:v>
      </x:c>
      <x:c r="CA431" s="6" t="str">
        <x:v>20150.795685759906</x:v>
      </x:c>
      <x:c r="CB431" s="6" t="str">
        <x:v>21.04568575990561</x:v>
      </x:c>
      <x:c r="CC431" s="9" t="str">
        <x:v>1.5000000000001095</x:v>
      </x:c>
      <x:c r="CD431" s="6" t="str">
        <x:v>20087.658628480192</x:v>
      </x:c>
      <x:c r="CE431" s="6" t="str">
        <x:v>42.09137151980758</x:v>
      </x:c>
      <x:c r="CF431" s="6" t="str">
        <x:v>Fixed 2.00R target</x:v>
      </x:c>
      <x:c r="CG431" s="9" t="str">
        <x:v>0.03444886559036277</x:v>
      </x:c>
      <x:c r="CH431" s="9" t="str">
        <x:v>0.2613362217200125</x:v>
      </x:c>
      <x:c r="CI431" s="9" t="str">
        <x:v>0.22688735612964972</x:v>
      </x:c>
      <x:c r="CJ431" s="6" t="str">
        <x:v>Win</x:v>
      </x:c>
      <x:c r="CK431" s="9" t="str">
        <x:v>0.9384346143581581</x:v>
      </x:c>
      <x:c r="CL431" s="9" t="str">
        <x:v>0.7483719076527083</x:v>
      </x:c>
      <x:c r="CM431" s="7" t="str">
        <x:v>2025-06-19 07:25:00-05:00</x:v>
      </x:c>
      <x:c r="CN431" s="6" t="str">
        <x:v>20124.25</x:v>
      </x:c>
      <x:c r="CO431" s="6" t="str">
        <x:v>TIME</x:v>
      </x:c>
      <x:c r="CP431" s="6" t="str">
        <x:v>F::Short::Delayed BOS::Penetration + same-bar reclaim</x:v>
      </x:c>
    </x:row>
    <x:row r="432" ht="18" customHeight="1">
      <x:c r="A432" s="6" t="str">
        <x:v>A0431</x:v>
      </x:c>
      <x:c r="B432" s="6" t="str">
        <x:v>2025-06-24</x:v>
      </x:c>
      <x:c r="C432" s="6" t="str">
        <x:v>2025</x:v>
      </x:c>
      <x:c r="D432" s="6" t="str">
        <x:v>2025-Q2</x:v>
      </x:c>
      <x:c r="E432" s="6" t="str">
        <x:v>Second 50%</x:v>
      </x:c>
      <x:c r="F432" s="6" t="str">
        <x:v>Short</x:v>
      </x:c>
      <x:c r="G432" s="6" t="str">
        <x:v>Short</x:v>
      </x:c>
      <x:c r="H432" s="6" t="str">
        <x:v>Afternoon</x:v>
      </x:c>
      <x:c r="I432" s="6" t="str">
        <x:v>Afternoon</x:v>
      </x:c>
      <x:c r="J432" s="6" t="str">
        <x:v>Bull</x:v>
      </x:c>
      <x:c r="K432" s="6" t="str">
        <x:v>Bull</x:v>
      </x:c>
      <x:c r="L432" s="6" t="str">
        <x:v>LOW</x:v>
      </x:c>
      <x:c r="M432" s="7" t="str">
        <x:v>2025-06-24 14:55:00-05:00</x:v>
      </x:c>
      <x:c r="N432" s="6" t="str">
        <x:v>75.0</x:v>
      </x:c>
      <x:c r="O432" s="6" t="str">
        <x:v>75-79</x:v>
      </x:c>
      <x:c r="P432" s="6" t="str">
        <x:v>Matching BOS only</x:v>
      </x:c>
      <x:c r="Q432" s="6" t="str">
        <x:v>Bear CHoCH</x:v>
      </x:c>
      <x:c r="R432" s="6" t="str">
        <x:v>True</x:v>
      </x:c>
      <x:c r="S432" s="6" t="str">
        <x:v>False</x:v>
      </x:c>
      <x:c r="T432" s="6" t="str">
        <x:v>No recent matching sweep</x:v>
      </x:c>
      <x:c r="U432" s="6" t="str">
        <x:v>None</x:v>
      </x:c>
      <x:c r="V432" s="6" t="str">
        <x:v>None</x:v>
      </x:c>
      <x:c r="W432" s="6" t="str">
        <x:v>[]</x:v>
      </x:c>
      <x:c r="X432" s="8" t="str">
        <x:v>0</x:v>
      </x:c>
      <x:c r="Y432" s="8" t="str"/>
      <x:c r="Z432" s="6" t="str">
        <x:v>None</x:v>
      </x:c>
      <x:c r="AA432" s="6" t="str">
        <x:v>20728.0</x:v>
      </x:c>
      <x:c r="AB432" s="9" t="str">
        <x:v>0.18269483001107323</x:v>
      </x:c>
      <x:c r="AC432" s="9" t="str">
        <x:v>0.9500131160575808</x:v>
      </x:c>
      <x:c r="AD432" s="9" t="str">
        <x:v>1.2788638100775125</x:v>
      </x:c>
      <x:c r="AE432" s="6" t="str">
        <x:v>With trade</x:v>
      </x:c>
      <x:c r="AF432" s="7" t="str">
        <x:v>2025-06-24 14:55:00-05:00</x:v>
      </x:c>
      <x:c r="AG432" s="6" t="str">
        <x:v>Short</x:v>
      </x:c>
      <x:c r="AH432" s="6" t="str">
        <x:v>20728.0</x:v>
      </x:c>
      <x:c r="AI432" s="8" t="str">
        <x:v>0</x:v>
      </x:c>
      <x:c r="AJ432" s="6" t="str">
        <x:v>True</x:v>
      </x:c>
      <x:c r="AK432" s="6" t="str">
        <x:v>Same-bar Setup+BOS</x:v>
      </x:c>
      <x:c r="AL432" s="9" t="str">
        <x:v>0.9682825990586881</x:v>
      </x:c>
      <x:c r="AM432" s="9" t="str">
        <x:v>0.18269483001107323</x:v>
      </x:c>
      <x:c r="AN432" s="9" t="str">
        <x:v>0.9500131160575808</x:v>
      </x:c>
      <x:c r="AO432" s="9" t="str">
        <x:v>1.2788638100775125</x:v>
      </x:c>
      <x:c r="AP432" s="10" t="str">
        <x:v>0.7428571428571429</x:v>
      </x:c>
      <x:c r="AQ432" s="6" t="str">
        <x:v>0.24285714285714285</x:v>
      </x:c>
      <x:c r="AR432" s="6" t="str">
        <x:v>0.014285714285714285</x:v>
      </x:c>
      <x:c r="AS432" s="6" t="str">
        <x:v>With trade</x:v>
      </x:c>
      <x:c r="AT432" s="6" t="str">
        <x:v>5.373483566723064</x:v>
      </x:c>
      <x:c r="AU432" s="7" t="str">
        <x:v>2025-06-24 15:00:00-05:00</x:v>
      </x:c>
      <x:c r="AV432" s="8" t="str">
        <x:v>1</x:v>
      </x:c>
      <x:c r="AW432" s="6" t="str">
        <x:v>Immediate retest (1 bar)</x:v>
      </x:c>
      <x:c r="AX432" s="6" t="str">
        <x:v>20729.75</x:v>
      </x:c>
      <x:c r="AY432" s="6" t="str">
        <x:v>1.75</x:v>
      </x:c>
      <x:c r="AZ432" s="9" t="str">
        <x:v>0.12817676914907003</x:v>
      </x:c>
      <x:c r="BA432" s="9" t="str">
        <x:v>0.5676399776601673</x:v>
      </x:c>
      <x:c r="BB432" s="9" t="str">
        <x:v>0.9704812521286731</x:v>
      </x:c>
      <x:c r="BC432" s="9" t="str">
        <x:v>0.4028412744685058</x:v>
      </x:c>
      <x:c r="BD432" s="6" t="str">
        <x:v>0.3018867924528302</x:v>
      </x:c>
      <x:c r="BE432" s="6" t="str">
        <x:v>0.2830188679245283</x:v>
      </x:c>
      <x:c r="BF432" s="9" t="str">
        <x:v>0.2929754723407315</x:v>
      </x:c>
      <x:c r="BG432" s="9" t="str">
        <x:v>0.2746645053194358</x:v>
      </x:c>
      <x:c r="BH432" s="6" t="str">
        <x:v>With trade</x:v>
      </x:c>
      <x:c r="BI432" s="6" t="str">
        <x:v>Penetration + same-bar reclaim</x:v>
      </x:c>
      <x:c r="BJ432" s="6" t="str">
        <x:v>False</x:v>
      </x:c>
      <x:c r="BK432" s="10" t="str">
        <x:v>True</x:v>
      </x:c>
      <x:c r="BL432" s="6" t="str">
        <x:v>True</x:v>
      </x:c>
      <x:c r="BM432" s="7" t="str">
        <x:v>2025-06-24 15:15:00-05:00</x:v>
      </x:c>
      <x:c r="BN432" s="8" t="str">
        <x:v>3</x:v>
      </x:c>
      <x:c r="BO432" s="6" t="str">
        <x:v>Delayed confirmation (2+ bars)</x:v>
      </x:c>
      <x:c r="BP432" s="9" t="str">
        <x:v>0.23819489199272</x:v>
      </x:c>
      <x:c r="BQ432" s="9" t="str">
        <x:v>0.5954872299818</x:v>
      </x:c>
      <x:c r="BR432" s="10" t="str">
        <x:v>0.4</x:v>
      </x:c>
      <x:c r="BS432" s="9" t="str">
        <x:v>0.5160889326508934</x:v>
      </x:c>
      <x:c r="BT432" s="9" t="str">
        <x:v>-0.09924787166363333</x:v>
      </x:c>
      <x:c r="BU432" s="9" t="str">
        <x:v>0.0</x:v>
      </x:c>
      <x:c r="BV432" s="6" t="str">
        <x:v>With trade</x:v>
      </x:c>
      <x:c r="BW432" s="7" t="str">
        <x:v>2025-06-24 15:15:00-05:00</x:v>
      </x:c>
      <x:c r="BX432" s="6" t="str">
        <x:v>20721.5</x:v>
      </x:c>
      <x:c r="BY432" s="9" t="str">
        <x:v>12.594728522103193</x:v>
      </x:c>
      <x:c r="BZ432" s="9" t="str">
        <x:v>0.01</x:v>
      </x:c>
      <x:c r="CA432" s="6" t="str">
        <x:v>20740.392092783153</x:v>
      </x:c>
      <x:c r="CB432" s="6" t="str">
        <x:v>18.892092783153203</x:v>
      </x:c>
      <x:c r="CC432" s="9" t="str">
        <x:v>1.499999999999874</x:v>
      </x:c>
      <x:c r="CD432" s="6" t="str">
        <x:v>20683.71581443369</x:v>
      </x:c>
      <x:c r="CE432" s="6" t="str">
        <x:v>37.78418556631004</x:v>
      </x:c>
      <x:c r="CF432" s="6" t="str">
        <x:v>Fixed 2.00R target</x:v>
      </x:c>
      <x:c r="CG432" s="9" t="str">
        <x:v>0.038375843709941446</x:v>
      </x:c>
      <x:c r="CH432" s="9" t="str">
        <x:v>0.5160889326508934</x:v>
      </x:c>
      <x:c r="CI432" s="9" t="str">
        <x:v>0.47771308894095194</x:v>
      </x:c>
      <x:c r="CJ432" s="6" t="str">
        <x:v>Win</x:v>
      </x:c>
      <x:c r="CK432" s="9" t="str">
        <x:v>0.8998473697503512</x:v>
      </x:c>
      <x:c r="CL432" s="9" t="str">
        <x:v>0.9263134688606556</x:v>
      </x:c>
      <x:c r="CM432" s="7" t="str">
        <x:v>2025-06-24 17:15:00-05:00</x:v>
      </x:c>
      <x:c r="CN432" s="6" t="str">
        <x:v>20711.75</x:v>
      </x:c>
      <x:c r="CO432" s="6" t="str">
        <x:v>TIME</x:v>
      </x:c>
      <x:c r="CP432" s="6" t="str">
        <x:v>F::Short::Same-bar Setup+BOS::Penetration + same-bar reclaim</x:v>
      </x:c>
    </x:row>
    <x:row r="433" ht="18" customHeight="1">
      <x:c r="A433" s="6" t="str">
        <x:v>A0432</x:v>
      </x:c>
      <x:c r="B433" s="6" t="str">
        <x:v>2025-06-26</x:v>
      </x:c>
      <x:c r="C433" s="6" t="str">
        <x:v>2025</x:v>
      </x:c>
      <x:c r="D433" s="6" t="str">
        <x:v>2025-Q2</x:v>
      </x:c>
      <x:c r="E433" s="6" t="str">
        <x:v>Second 50%</x:v>
      </x:c>
      <x:c r="F433" s="6" t="str">
        <x:v>Short</x:v>
      </x:c>
      <x:c r="G433" s="6" t="str">
        <x:v>Short</x:v>
      </x:c>
      <x:c r="H433" s="6" t="str">
        <x:v>Premarket</x:v>
      </x:c>
      <x:c r="I433" s="6" t="str">
        <x:v>Premarket</x:v>
      </x:c>
      <x:c r="J433" s="6" t="str">
        <x:v>Bull</x:v>
      </x:c>
      <x:c r="K433" s="6" t="str">
        <x:v>Bull</x:v>
      </x:c>
      <x:c r="L433" s="6" t="str">
        <x:v>HIGH</x:v>
      </x:c>
      <x:c r="M433" s="7" t="str">
        <x:v>2025-06-26 07:30:00-05:00</x:v>
      </x:c>
      <x:c r="N433" s="6" t="str">
        <x:v>90.0</x:v>
      </x:c>
      <x:c r="O433" s="6" t="str">
        <x:v>90-94</x:v>
      </x:c>
      <x:c r="P433" s="6" t="str">
        <x:v>Matching BOS only</x:v>
      </x:c>
      <x:c r="Q433" s="6" t="str">
        <x:v>Bear CHoCH</x:v>
      </x:c>
      <x:c r="R433" s="6" t="str">
        <x:v>True</x:v>
      </x:c>
      <x:c r="S433" s="6" t="str">
        <x:v>False</x:v>
      </x:c>
      <x:c r="T433" s="6" t="str">
        <x:v>Recent BSL</x:v>
      </x:c>
      <x:c r="U433" s="6" t="str">
        <x:v>BSL</x:v>
      </x:c>
      <x:c r="V433" s="6" t="str">
        <x:v>Swing high / buy-side</x:v>
      </x:c>
      <x:c r="W433" s="6" t="str">
        <x:v>[20901.25]</x:v>
      </x:c>
      <x:c r="X433" s="8" t="str">
        <x:v>1</x:v>
      </x:c>
      <x:c r="Y433" s="8" t="str">
        <x:v>5.0</x:v>
      </x:c>
      <x:c r="Z433" s="6" t="str">
        <x:v>Sweep above CRT reference</x:v>
      </x:c>
      <x:c r="AA433" s="6" t="str">
        <x:v>20876.25</x:v>
      </x:c>
      <x:c r="AB433" s="9" t="str">
        <x:v>1.7491607445220765</x:v>
      </x:c>
      <x:c r="AC433" s="9" t="str">
        <x:v>3.2925378720415557</x:v>
      </x:c>
      <x:c r="AD433" s="9" t="str">
        <x:v>4.9593851697625935</x:v>
      </x:c>
      <x:c r="AE433" s="6" t="str">
        <x:v>With trade</x:v>
      </x:c>
      <x:c r="AF433" s="7" t="str">
        <x:v>2025-06-26 07:30:00-05:00</x:v>
      </x:c>
      <x:c r="AG433" s="6" t="str">
        <x:v>Short</x:v>
      </x:c>
      <x:c r="AH433" s="6" t="str">
        <x:v>20876.25</x:v>
      </x:c>
      <x:c r="AI433" s="8" t="str">
        <x:v>0</x:v>
      </x:c>
      <x:c r="AJ433" s="6" t="str">
        <x:v>True</x:v>
      </x:c>
      <x:c r="AK433" s="6" t="str">
        <x:v>Same-bar Setup+BOS</x:v>
      </x:c>
      <x:c r="AL433" s="9" t="str">
        <x:v>3.189646063540257</x:v>
      </x:c>
      <x:c r="AM433" s="9" t="str">
        <x:v>1.7491607445220765</x:v>
      </x:c>
      <x:c r="AN433" s="9" t="str">
        <x:v>3.2925378720415557</x:v>
      </x:c>
      <x:c r="AO433" s="9" t="str">
        <x:v>4.9593851697625935</x:v>
      </x:c>
      <x:c r="AP433" s="10" t="str">
        <x:v>0.6639004149377593</x:v>
      </x:c>
      <x:c r="AQ433" s="6" t="str">
        <x:v>0.08713692946058091</x:v>
      </x:c>
      <x:c r="AR433" s="6" t="str">
        <x:v>0.24896265560165975</x:v>
      </x:c>
      <x:c r="AS433" s="6" t="str">
        <x:v>With trade</x:v>
      </x:c>
      <x:c r="AT433" s="6" t="str">
        <x:v>6.132761514077942</x:v>
      </x:c>
      <x:c r="AU433" s="7" t="str">
        <x:v>2025-06-26 07:40:00-05:00</x:v>
      </x:c>
      <x:c r="AV433" s="8" t="str">
        <x:v>2</x:v>
      </x:c>
      <x:c r="AW433" s="6" t="str">
        <x:v>Delayed retest (2+ bars)</x:v>
      </x:c>
      <x:c r="AX433" s="6" t="str">
        <x:v>20875.25</x:v>
      </x:c>
      <x:c r="AY433" s="6" t="str">
        <x:v>0.0</x:v>
      </x:c>
      <x:c r="AZ433" s="9" t="str">
        <x:v>0.0</x:v>
      </x:c>
      <x:c r="BA433" s="9" t="str">
        <x:v>0.1205596188127981</x:v>
      </x:c>
      <x:c r="BB433" s="9" t="str">
        <x:v>1.205596188127981</x:v>
      </x:c>
      <x:c r="BC433" s="9" t="str">
        <x:v>0.8037307920853207</x:v>
      </x:c>
      <x:c r="BD433" s="6" t="str">
        <x:v>0.03333333333333333</x:v>
      </x:c>
      <x:c r="BE433" s="6" t="str">
        <x:v>0.3</x:v>
      </x:c>
      <x:c r="BF433" s="9" t="str">
        <x:v>0.04018653960426603</x:v>
      </x:c>
      <x:c r="BG433" s="9" t="str">
        <x:v>0.3616788564383943</x:v>
      </x:c>
      <x:c r="BH433" s="6" t="str">
        <x:v>Against trade</x:v>
      </x:c>
      <x:c r="BI433" s="6" t="str">
        <x:v>Tolerance-only shallow touch</x:v>
      </x:c>
      <x:c r="BJ433" s="6" t="str">
        <x:v>True</x:v>
      </x:c>
      <x:c r="BK433" s="10" t="str">
        <x:v>False</x:v>
      </x:c>
      <x:c r="BL433" s="6" t="str">
        <x:v>True</x:v>
      </x:c>
      <x:c r="BM433" s="7" t="str">
        <x:v>2025-06-26 07:45:00-05:00</x:v>
      </x:c>
      <x:c r="BN433" s="8" t="str">
        <x:v>1</x:v>
      </x:c>
      <x:c r="BO433" s="6" t="str">
        <x:v>Immediate confirmation (1 bar)</x:v>
      </x:c>
      <x:c r="BP433" s="9" t="str">
        <x:v>0.31683939034106284</x:v>
      </x:c>
      <x:c r="BQ433" s="9" t="str">
        <x:v>1.1881477137789858</x:v>
      </x:c>
      <x:c r="BR433" s="10" t="str">
        <x:v>0.26666666666666666</x:v>
      </x:c>
      <x:c r="BS433" s="9" t="str">
        <x:v>0.415851699822645</x:v>
      </x:c>
      <x:c r="BT433" s="9" t="str">
        <x:v>0.29703692844474644</x:v>
      </x:c>
      <x:c r="BU433" s="9" t="str">
        <x:v>0.7128886282673914</x:v>
      </x:c>
      <x:c r="BV433" s="6" t="str">
        <x:v>With trade</x:v>
      </x:c>
      <x:c r="BW433" s="7" t="str">
        <x:v>2025-06-26 07:45:00-05:00</x:v>
      </x:c>
      <x:c r="BX433" s="6" t="str">
        <x:v>20871.0</x:v>
      </x:c>
      <x:c r="BY433" s="9" t="str">
        <x:v>12.624692894700328</x:v>
      </x:c>
      <x:c r="BZ433" s="9" t="str">
        <x:v>1.0</x:v>
      </x:c>
      <x:c r="CA433" s="6" t="str">
        <x:v>20889.93703934205</x:v>
      </x:c>
      <x:c r="CB433" s="6" t="str">
        <x:v>18.93703934205041</x:v>
      </x:c>
      <x:c r="CC433" s="9" t="str">
        <x:v>1.4999999999999936</x:v>
      </x:c>
      <x:c r="CD433" s="6" t="str">
        <x:v>20833.1259213159</x:v>
      </x:c>
      <x:c r="CE433" s="6" t="str">
        <x:v>37.87407868410082</x:v>
      </x:c>
      <x:c r="CF433" s="6" t="str">
        <x:v>Fixed 2.00R target</x:v>
      </x:c>
      <x:c r="CG433" s="9" t="str">
        <x:v>0.03828475966621193</x:v>
      </x:c>
      <x:c r="CH433" s="9" t="str">
        <x:v>2.0</x:v>
      </x:c>
      <x:c r="CI433" s="9" t="str">
        <x:v>1.961715240333788</x:v>
      </x:c>
      <x:c r="CJ433" s="6" t="str">
        <x:v>Win</x:v>
      </x:c>
      <x:c r="CK433" s="9" t="str">
        <x:v>2.7855463067485227</x:v>
      </x:c>
      <x:c r="CL433" s="9" t="str">
        <x:v>0.8185017583810825</x:v>
      </x:c>
      <x:c r="CM433" s="7" t="str">
        <x:v>2025-06-26 08:35:00-05:00</x:v>
      </x:c>
      <x:c r="CN433" s="6" t="str">
        <x:v>20833.1259213159</x:v>
      </x:c>
      <x:c r="CO433" s="6" t="str">
        <x:v>TARGET</x:v>
      </x:c>
      <x:c r="CP433" s="6" t="str">
        <x:v>F::Short::Same-bar Setup+BOS::Tolerance-only shallow touch</x:v>
      </x:c>
    </x:row>
    <x:row r="434" ht="18" customHeight="1">
      <x:c r="A434" s="6" t="str">
        <x:v>A0433</x:v>
      </x:c>
      <x:c r="B434" s="6" t="str">
        <x:v>2025-06-26</x:v>
      </x:c>
      <x:c r="C434" s="6" t="str">
        <x:v>2025</x:v>
      </x:c>
      <x:c r="D434" s="6" t="str">
        <x:v>2025-Q2</x:v>
      </x:c>
      <x:c r="E434" s="6" t="str">
        <x:v>Second 50%</x:v>
      </x:c>
      <x:c r="F434" s="6" t="str">
        <x:v>Long</x:v>
      </x:c>
      <x:c r="G434" s="6" t="str">
        <x:v>Long</x:v>
      </x:c>
      <x:c r="H434" s="6" t="str">
        <x:v>Overnight</x:v>
      </x:c>
      <x:c r="I434" s="6" t="str">
        <x:v>Overnight</x:v>
      </x:c>
      <x:c r="J434" s="6" t="str">
        <x:v>Bull</x:v>
      </x:c>
      <x:c r="K434" s="6" t="str">
        <x:v>Bull</x:v>
      </x:c>
      <x:c r="L434" s="6" t="str">
        <x:v>LOW</x:v>
      </x:c>
      <x:c r="M434" s="7" t="str">
        <x:v>2025-06-26 22:00:00-05:00</x:v>
      </x:c>
      <x:c r="N434" s="6" t="str">
        <x:v>90.0</x:v>
      </x:c>
      <x:c r="O434" s="6" t="str">
        <x:v>90-94</x:v>
      </x:c>
      <x:c r="P434" s="6" t="str">
        <x:v>Matching BOS only</x:v>
      </x:c>
      <x:c r="Q434" s="6" t="str">
        <x:v>Bull BOS</x:v>
      </x:c>
      <x:c r="R434" s="6" t="str">
        <x:v>True</x:v>
      </x:c>
      <x:c r="S434" s="6" t="str">
        <x:v>False</x:v>
      </x:c>
      <x:c r="T434" s="6" t="str">
        <x:v>Recent SSL</x:v>
      </x:c>
      <x:c r="U434" s="6" t="str">
        <x:v>SSL</x:v>
      </x:c>
      <x:c r="V434" s="6" t="str">
        <x:v>Swing low / sell-side</x:v>
      </x:c>
      <x:c r="W434" s="6" t="str">
        <x:v>[20983.75]</x:v>
      </x:c>
      <x:c r="X434" s="8" t="str">
        <x:v>1</x:v>
      </x:c>
      <x:c r="Y434" s="8" t="str">
        <x:v>18.0</x:v>
      </x:c>
      <x:c r="Z434" s="6" t="str">
        <x:v>None</x:v>
      </x:c>
      <x:c r="AA434" s="6" t="str">
        <x:v>21016.25</x:v>
      </x:c>
      <x:c r="AB434" s="9" t="str">
        <x:v>0.9691207057938798</x:v>
      </x:c>
      <x:c r="AC434" s="9" t="str">
        <x:v>1.0729550671289383</x:v>
      </x:c>
      <x:c r="AD434" s="9" t="str">
        <x:v>1.4190696049124667</x:v>
      </x:c>
      <x:c r="AE434" s="6" t="str">
        <x:v>With trade</x:v>
      </x:c>
      <x:c r="AF434" s="7" t="str">
        <x:v>2025-06-26 22:00:00-05:00</x:v>
      </x:c>
      <x:c r="AG434" s="6" t="str">
        <x:v>Long</x:v>
      </x:c>
      <x:c r="AH434" s="6" t="str">
        <x:v>21016.25</x:v>
      </x:c>
      <x:c r="AI434" s="8" t="str">
        <x:v>0</x:v>
      </x:c>
      <x:c r="AJ434" s="6" t="str">
        <x:v>True</x:v>
      </x:c>
      <x:c r="AK434" s="6" t="str">
        <x:v>Same-bar Setup+BOS</x:v>
      </x:c>
      <x:c r="AL434" s="9" t="str">
        <x:v>1.1075665209072911</x:v>
      </x:c>
      <x:c r="AM434" s="9" t="str">
        <x:v>0.9691207057938798</x:v>
      </x:c>
      <x:c r="AN434" s="9" t="str">
        <x:v>1.0729550671289383</x:v>
      </x:c>
      <x:c r="AO434" s="9" t="str">
        <x:v>1.4190696049124667</x:v>
      </x:c>
      <x:c r="AP434" s="10" t="str">
        <x:v>0.7560975609756098</x:v>
      </x:c>
      <x:c r="AQ434" s="6" t="str">
        <x:v>0.14634146341463414</x:v>
      </x:c>
      <x:c r="AR434" s="6" t="str">
        <x:v>0.0975609756097561</x:v>
      </x:c>
      <x:c r="AS434" s="6" t="str">
        <x:v>With trade</x:v>
      </x:c>
      <x:c r="AT434" s="6" t="str">
        <x:v>2.5352112676056335</x:v>
      </x:c>
      <x:c r="AU434" s="7" t="str">
        <x:v>2025-06-26 22:10:00-05:00</x:v>
      </x:c>
      <x:c r="AV434" s="8" t="str">
        <x:v>2</x:v>
      </x:c>
      <x:c r="AW434" s="6" t="str">
        <x:v>Delayed retest (2+ bars)</x:v>
      </x:c>
      <x:c r="AX434" s="6" t="str">
        <x:v>21016.75</x:v>
      </x:c>
      <x:c r="AY434" s="6" t="str">
        <x:v>0.0</x:v>
      </x:c>
      <x:c r="AZ434" s="9" t="str">
        <x:v>0.0</x:v>
      </x:c>
      <x:c r="BA434" s="9" t="str">
        <x:v>0.21243631456105505</x:v>
      </x:c>
      <x:c r="BB434" s="9" t="str">
        <x:v>1.0267755203784328</x:v>
      </x:c>
      <x:c r="BC434" s="9" t="str">
        <x:v>0.8497452582442202</x:v>
      </x:c>
      <x:c r="BD434" s="6" t="str">
        <x:v>0.034482758620689655</x:v>
      </x:c>
      <x:c r="BE434" s="6" t="str">
        <x:v>0.13793103448275862</x:v>
      </x:c>
      <x:c r="BF434" s="9" t="str">
        <x:v>0.14162420970737002</x:v>
      </x:c>
      <x:c r="BG434" s="9" t="str">
        <x:v>0.035406052426842506</x:v>
      </x:c>
      <x:c r="BH434" s="6" t="str">
        <x:v>Against trade</x:v>
      </x:c>
      <x:c r="BI434" s="6" t="str">
        <x:v>Tolerance-only shallow touch</x:v>
      </x:c>
      <x:c r="BJ434" s="6" t="str">
        <x:v>True</x:v>
      </x:c>
      <x:c r="BK434" s="10" t="str">
        <x:v>False</x:v>
      </x:c>
      <x:c r="BL434" s="6" t="str">
        <x:v>True</x:v>
      </x:c>
      <x:c r="BM434" s="7" t="str">
        <x:v>2025-06-26 22:15:00-05:00</x:v>
      </x:c>
      <x:c r="BN434" s="8" t="str">
        <x:v>1</x:v>
      </x:c>
      <x:c r="BO434" s="6" t="str">
        <x:v>Immediate confirmation (1 bar)</x:v>
      </x:c>
      <x:c r="BP434" s="9" t="str">
        <x:v>0.6508787878347956</x:v>
      </x:c>
      <x:c r="BQ434" s="9" t="str">
        <x:v>0.7231986531497728</x:v>
      </x:c>
      <x:c r="BR434" s="10" t="str">
        <x:v>0.9</x:v>
      </x:c>
      <x:c r="BS434" s="9" t="str">
        <x:v>0.7955185184647502</x:v>
      </x:c>
      <x:c r="BT434" s="9" t="str">
        <x:v>0.5785589225198183</x:v>
      </x:c>
      <x:c r="BU434" s="9" t="str">
        <x:v>0.07231986531497729</x:v>
      </x:c>
      <x:c r="BV434" s="6" t="str">
        <x:v>With trade</x:v>
      </x:c>
      <x:c r="BW434" s="7" t="str">
        <x:v>2025-06-26 22:15:00-05:00</x:v>
      </x:c>
      <x:c r="BX434" s="6" t="str">
        <x:v>21021.75</x:v>
      </x:c>
      <x:c r="BY434" s="9" t="str">
        <x:v>6.9137296899314205</x:v>
      </x:c>
      <x:c r="BZ434" s="9" t="str">
        <x:v>0.0</x:v>
      </x:c>
      <x:c r="CA434" s="6" t="str">
        <x:v>21011.379405465104</x:v>
      </x:c>
      <x:c r="CB434" s="6" t="str">
        <x:v>10.370594534895645</x:v>
      </x:c>
      <x:c r="CC434" s="9" t="str">
        <x:v>1.499999999999785</x:v>
      </x:c>
      <x:c r="CD434" s="6" t="str">
        <x:v>21042.491189069795</x:v>
      </x:c>
      <x:c r="CE434" s="6" t="str">
        <x:v>20.741189069794927</x:v>
      </x:c>
      <x:c r="CF434" s="6" t="str">
        <x:v>Fixed 2.00R target</x:v>
      </x:c>
      <x:c r="CG434" s="9" t="str">
        <x:v>0.0699092031378214</x:v>
      </x:c>
      <x:c r="CH434" s="9" t="str">
        <x:v>-1.0</x:v>
      </x:c>
      <x:c r="CI434" s="9" t="str">
        <x:v>-1.0699092031378215</x:v>
      </x:c>
      <x:c r="CJ434" s="6" t="str">
        <x:v>Loss</x:v>
      </x:c>
      <x:c r="CK434" s="9" t="str">
        <x:v>0.6026655442915637</x:v>
      </x:c>
      <x:c r="CL434" s="9" t="str">
        <x:v>1.1089046014964772</x:v>
      </x:c>
      <x:c r="CM434" s="7" t="str">
        <x:v>2025-06-26 22:55:00-05:00</x:v>
      </x:c>
      <x:c r="CN434" s="6" t="str">
        <x:v>21011.379405465104</x:v>
      </x:c>
      <x:c r="CO434" s="6" t="str">
        <x:v>STOP</x:v>
      </x:c>
      <x:c r="CP434" s="6" t="str">
        <x:v>F::Long::Same-bar Setup+BOS::Tolerance-only shallow touch</x:v>
      </x:c>
    </x:row>
    <x:row r="435" ht="18" customHeight="1">
      <x:c r="A435" s="6" t="str">
        <x:v>A0434</x:v>
      </x:c>
      <x:c r="B435" s="6" t="str">
        <x:v>2025-06-27</x:v>
      </x:c>
      <x:c r="C435" s="6" t="str">
        <x:v>2025</x:v>
      </x:c>
      <x:c r="D435" s="6" t="str">
        <x:v>2025-Q2</x:v>
      </x:c>
      <x:c r="E435" s="6" t="str">
        <x:v>Second 50%</x:v>
      </x:c>
      <x:c r="F435" s="6" t="str">
        <x:v>Long</x:v>
      </x:c>
      <x:c r="G435" s="6" t="str">
        <x:v>Long</x:v>
      </x:c>
      <x:c r="H435" s="6" t="str">
        <x:v>Premarket</x:v>
      </x:c>
      <x:c r="I435" s="6" t="str">
        <x:v>Premarket</x:v>
      </x:c>
      <x:c r="J435" s="6" t="str">
        <x:v>Bull</x:v>
      </x:c>
      <x:c r="K435" s="6" t="str">
        <x:v>Bull</x:v>
      </x:c>
      <x:c r="L435" s="6" t="str">
        <x:v>MID</x:v>
      </x:c>
      <x:c r="M435" s="7" t="str">
        <x:v>2025-06-27 06:05:00-05:00</x:v>
      </x:c>
      <x:c r="N435" s="6" t="str">
        <x:v>75.0</x:v>
      </x:c>
      <x:c r="O435" s="6" t="str">
        <x:v>75-79</x:v>
      </x:c>
      <x:c r="P435" s="6" t="str">
        <x:v>Matching BOS only</x:v>
      </x:c>
      <x:c r="Q435" s="6" t="str">
        <x:v>Bull BOS</x:v>
      </x:c>
      <x:c r="R435" s="6" t="str">
        <x:v>True</x:v>
      </x:c>
      <x:c r="S435" s="6" t="str">
        <x:v>False</x:v>
      </x:c>
      <x:c r="T435" s="6" t="str">
        <x:v>Recent SSL</x:v>
      </x:c>
      <x:c r="U435" s="6" t="str">
        <x:v>SSL</x:v>
      </x:c>
      <x:c r="V435" s="6" t="str">
        <x:v>Swing low / sell-side</x:v>
      </x:c>
      <x:c r="W435" s="6" t="str">
        <x:v>[21049.75]</x:v>
      </x:c>
      <x:c r="X435" s="8" t="str">
        <x:v>1</x:v>
      </x:c>
      <x:c r="Y435" s="8" t="str">
        <x:v>11.0</x:v>
      </x:c>
      <x:c r="Z435" s="6" t="str">
        <x:v>None</x:v>
      </x:c>
      <x:c r="AA435" s="6" t="str">
        <x:v>21069.0</x:v>
      </x:c>
      <x:c r="AB435" s="9" t="str">
        <x:v>0.12030117635010701</x:v>
      </x:c>
      <x:c r="AC435" s="9" t="str">
        <x:v>0.12030117635010701</x:v>
      </x:c>
      <x:c r="AD435" s="9" t="str">
        <x:v>0.8120329403632223</x:v>
      </x:c>
      <x:c r="AE435" s="6" t="str">
        <x:v>With trade</x:v>
      </x:c>
      <x:c r="AF435" s="7" t="str">
        <x:v>2025-06-27 06:05:00-05:00</x:v>
      </x:c>
      <x:c r="AG435" s="6" t="str">
        <x:v>Long</x:v>
      </x:c>
      <x:c r="AH435" s="6" t="str">
        <x:v>21069.0</x:v>
      </x:c>
      <x:c r="AI435" s="8" t="str">
        <x:v>0</x:v>
      </x:c>
      <x:c r="AJ435" s="6" t="str">
        <x:v>True</x:v>
      </x:c>
      <x:c r="AK435" s="6" t="str">
        <x:v>Same-bar Setup+BOS</x:v>
      </x:c>
      <x:c r="AL435" s="9" t="str">
        <x:v>0.12030117635010701</x:v>
      </x:c>
      <x:c r="AM435" s="9" t="str">
        <x:v>0.12030117635010701</x:v>
      </x:c>
      <x:c r="AN435" s="9" t="str">
        <x:v>0.12030117635010701</x:v>
      </x:c>
      <x:c r="AO435" s="9" t="str">
        <x:v>0.8120329403632223</x:v>
      </x:c>
      <x:c r="AP435" s="10" t="str">
        <x:v>0.14814814814814814</x:v>
      </x:c>
      <x:c r="AQ435" s="6" t="str">
        <x:v>0.2962962962962963</x:v>
      </x:c>
      <x:c r="AR435" s="6" t="str">
        <x:v>0.5555555555555556</x:v>
      </x:c>
      <x:c r="AS435" s="6" t="str">
        <x:v>With trade</x:v>
      </x:c>
      <x:c r="AT435" s="6" t="str">
        <x:v>0.8959030766778256</x:v>
      </x:c>
      <x:c r="AU435" s="7" t="str">
        <x:v>2025-06-27 06:10:00-05:00</x:v>
      </x:c>
      <x:c r="AV435" s="8" t="str">
        <x:v>1</x:v>
      </x:c>
      <x:c r="AW435" s="6" t="str">
        <x:v>Immediate retest (1 bar)</x:v>
      </x:c>
      <x:c r="AX435" s="6" t="str">
        <x:v>21069.5</x:v>
      </x:c>
      <x:c r="AY435" s="6" t="str">
        <x:v>0.0</x:v>
      </x:c>
      <x:c r="AZ435" s="9" t="str">
        <x:v>0.0</x:v>
      </x:c>
      <x:c r="BA435" s="9" t="str">
        <x:v>0.833601852988472</x:v>
      </x:c>
      <x:c r="BB435" s="9" t="str">
        <x:v>1.1313168004843548</x:v>
      </x:c>
      <x:c r="BC435" s="9" t="str">
        <x:v>0.6549728844909423</x:v>
      </x:c>
      <x:c r="BD435" s="6" t="str">
        <x:v>0.3157894736842105</x:v>
      </x:c>
      <x:c r="BE435" s="6" t="str">
        <x:v>0.10526315789473684</x:v>
      </x:c>
      <x:c r="BF435" s="9" t="str">
        <x:v>0.11908597899835315</x:v>
      </x:c>
      <x:c r="BG435" s="9" t="str">
        <x:v>0.3572579369950594</x:v>
      </x:c>
      <x:c r="BH435" s="6" t="str">
        <x:v>With trade</x:v>
      </x:c>
      <x:c r="BI435" s="6" t="str">
        <x:v>Tolerance-only shallow touch</x:v>
      </x:c>
      <x:c r="BJ435" s="6" t="str">
        <x:v>True</x:v>
      </x:c>
      <x:c r="BK435" s="10" t="str">
        <x:v>False</x:v>
      </x:c>
      <x:c r="BL435" s="6" t="str">
        <x:v>True</x:v>
      </x:c>
      <x:c r="BM435" s="7" t="str">
        <x:v>2025-06-27 06:15:00-05:00</x:v>
      </x:c>
      <x:c r="BN435" s="8" t="str">
        <x:v>1</x:v>
      </x:c>
      <x:c r="BO435" s="6" t="str">
        <x:v>Immediate confirmation (1 bar)</x:v>
      </x:c>
      <x:c r="BP435" s="9" t="str">
        <x:v>0.06051969584637748</x:v>
      </x:c>
      <x:c r="BQ435" s="9" t="str">
        <x:v>0.7867560460029073</x:v>
      </x:c>
      <x:c r="BR435" s="10" t="str">
        <x:v>0.07692307692307693</x:v>
      </x:c>
      <x:c r="BS435" s="9" t="str">
        <x:v>0.9077954376956622</x:v>
      </x:c>
      <x:c r="BT435" s="9" t="str">
        <x:v>0.06051969584637748</x:v>
      </x:c>
      <x:c r="BU435" s="9" t="str">
        <x:v>0.4538977188478311</x:v>
      </x:c>
      <x:c r="BV435" s="6" t="str">
        <x:v>With trade</x:v>
      </x:c>
      <x:c r="BW435" s="7" t="str">
        <x:v>2025-06-27 06:15:00-05:00</x:v>
      </x:c>
      <x:c r="BX435" s="6" t="str">
        <x:v>21076.5</x:v>
      </x:c>
      <x:c r="BY435" s="9" t="str">
        <x:v>8.261773179911453</x:v>
      </x:c>
      <x:c r="BZ435" s="9" t="str">
        <x:v>0.56</x:v>
      </x:c>
      <x:c r="CA435" s="6" t="str">
        <x:v>21064.107340230134</x:v>
      </x:c>
      <x:c r="CB435" s="6" t="str">
        <x:v>12.392659769866441</x:v>
      </x:c>
      <x:c r="CC435" s="9" t="str">
        <x:v>1.4999999999999107</x:v>
      </x:c>
      <x:c r="CD435" s="6" t="str">
        <x:v>21101.285319539733</x:v>
      </x:c>
      <x:c r="CE435" s="6" t="str">
        <x:v>24.785319539732882</x:v>
      </x:c>
      <x:c r="CF435" s="6" t="str">
        <x:v>Fixed 2.00R target</x:v>
      </x:c>
      <x:c r="CG435" s="9" t="str">
        <x:v>0.05850237265150172</x:v>
      </x:c>
      <x:c r="CH435" s="9" t="str">
        <x:v>2.0</x:v>
      </x:c>
      <x:c r="CI435" s="9" t="str">
        <x:v>1.9414976273484983</x:v>
      </x:c>
      <x:c r="CJ435" s="6" t="str">
        <x:v>Win</x:v>
      </x:c>
      <x:c r="CK435" s="9" t="str">
        <x:v>2.5418272255480057</x:v>
      </x:c>
      <x:c r="CL435" s="9" t="str">
        <x:v>0.06051969584638108</x:v>
      </x:c>
      <x:c r="CM435" s="7" t="str">
        <x:v>2025-06-27 07:00:00-05:00</x:v>
      </x:c>
      <x:c r="CN435" s="6" t="str">
        <x:v>21101.285319539733</x:v>
      </x:c>
      <x:c r="CO435" s="6" t="str">
        <x:v>TARGET</x:v>
      </x:c>
      <x:c r="CP435" s="6" t="str">
        <x:v>F::Long::Same-bar Setup+BOS::Tolerance-only shallow touch</x:v>
      </x:c>
    </x:row>
    <x:row r="436" ht="18" customHeight="1">
      <x:c r="A436" s="6" t="str">
        <x:v>A0435</x:v>
      </x:c>
      <x:c r="B436" s="6" t="str">
        <x:v>2025-07-01</x:v>
      </x:c>
      <x:c r="C436" s="6" t="str">
        <x:v>2025</x:v>
      </x:c>
      <x:c r="D436" s="6" t="str">
        <x:v>2025-Q3</x:v>
      </x:c>
      <x:c r="E436" s="6" t="str">
        <x:v>Second 50%</x:v>
      </x:c>
      <x:c r="F436" s="6" t="str">
        <x:v>Long</x:v>
      </x:c>
      <x:c r="G436" s="6" t="str">
        <x:v>Long</x:v>
      </x:c>
      <x:c r="H436" s="6" t="str">
        <x:v>Overnight</x:v>
      </x:c>
      <x:c r="I436" s="6" t="str">
        <x:v>Overnight</x:v>
      </x:c>
      <x:c r="J436" s="6" t="str">
        <x:v>Bear</x:v>
      </x:c>
      <x:c r="K436" s="6" t="str">
        <x:v>Bear</x:v>
      </x:c>
      <x:c r="L436" s="6" t="str">
        <x:v>LOW</x:v>
      </x:c>
      <x:c r="M436" s="7" t="str">
        <x:v>2025-07-01 21:35:00-05:00</x:v>
      </x:c>
      <x:c r="N436" s="6" t="str">
        <x:v>75.0</x:v>
      </x:c>
      <x:c r="O436" s="6" t="str">
        <x:v>75-79</x:v>
      </x:c>
      <x:c r="P436" s="6" t="str">
        <x:v>Matching BOS only</x:v>
      </x:c>
      <x:c r="Q436" s="6" t="str">
        <x:v>Bull CHoCH</x:v>
      </x:c>
      <x:c r="R436" s="6" t="str">
        <x:v>True</x:v>
      </x:c>
      <x:c r="S436" s="6" t="str">
        <x:v>False</x:v>
      </x:c>
      <x:c r="T436" s="6" t="str">
        <x:v>Recent SSL</x:v>
      </x:c>
      <x:c r="U436" s="6" t="str">
        <x:v>SSL</x:v>
      </x:c>
      <x:c r="V436" s="6" t="str">
        <x:v>Swing low / sell-side</x:v>
      </x:c>
      <x:c r="W436" s="6" t="str">
        <x:v>[21003.0]</x:v>
      </x:c>
      <x:c r="X436" s="8" t="str">
        <x:v>1</x:v>
      </x:c>
      <x:c r="Y436" s="8" t="str">
        <x:v>6.0</x:v>
      </x:c>
      <x:c r="Z436" s="6" t="str">
        <x:v>None</x:v>
      </x:c>
      <x:c r="AA436" s="6" t="str">
        <x:v>21036.5</x:v>
      </x:c>
      <x:c r="AB436" s="9" t="str">
        <x:v>0.3005044799978865</x:v>
      </x:c>
      <x:c r="AC436" s="9" t="str">
        <x:v>0.5190531927236222</x:v>
      </x:c>
      <x:c r="AD436" s="9" t="str">
        <x:v>0.9288320290843765</x:v>
      </x:c>
      <x:c r="AE436" s="6" t="str">
        <x:v>With trade</x:v>
      </x:c>
      <x:c r="AF436" s="7" t="str">
        <x:v>2025-07-01 21:35:00-05:00</x:v>
      </x:c>
      <x:c r="AG436" s="6" t="str">
        <x:v>Long</x:v>
      </x:c>
      <x:c r="AH436" s="6" t="str">
        <x:v>21036.5</x:v>
      </x:c>
      <x:c r="AI436" s="8" t="str">
        <x:v>0</x:v>
      </x:c>
      <x:c r="AJ436" s="6" t="str">
        <x:v>True</x:v>
      </x:c>
      <x:c r="AK436" s="6" t="str">
        <x:v>Same-bar Setup+BOS</x:v>
      </x:c>
      <x:c r="AL436" s="9" t="str">
        <x:v>0.6283275490864899</x:v>
      </x:c>
      <x:c r="AM436" s="9" t="str">
        <x:v>0.3005044799978865</x:v>
      </x:c>
      <x:c r="AN436" s="9" t="str">
        <x:v>0.5190531927236222</x:v>
      </x:c>
      <x:c r="AO436" s="9" t="str">
        <x:v>0.9288320290843765</x:v>
      </x:c>
      <x:c r="AP436" s="10" t="str">
        <x:v>0.5588235294117647</x:v>
      </x:c>
      <x:c r="AQ436" s="6" t="str">
        <x:v>0.2647058823529412</x:v>
      </x:c>
      <x:c r="AR436" s="6" t="str">
        <x:v>0.17647058823529413</x:v>
      </x:c>
      <x:c r="AS436" s="6" t="str">
        <x:v>With trade</x:v>
      </x:c>
      <x:c r="AT436" s="6" t="str">
        <x:v>1.360832011281509</x:v>
      </x:c>
      <x:c r="AU436" s="7" t="str">
        <x:v>2025-07-01 21:40:00-05:00</x:v>
      </x:c>
      <x:c r="AV436" s="8" t="str">
        <x:v>1</x:v>
      </x:c>
      <x:c r="AW436" s="6" t="str">
        <x:v>Immediate retest (1 bar)</x:v>
      </x:c>
      <x:c r="AX436" s="6" t="str">
        <x:v>21035.0</x:v>
      </x:c>
      <x:c r="AY436" s="6" t="str">
        <x:v>1.5</x:v>
      </x:c>
      <x:c r="AZ436" s="9" t="str">
        <x:v>0.15416621826178084</x:v>
      </x:c>
      <x:c r="BA436" s="9" t="str">
        <x:v>0.6166648730471234</x:v>
      </x:c>
      <x:c r="BB436" s="9" t="str">
        <x:v>1.7729115100104795</x:v>
      </x:c>
      <x:c r="BC436" s="9" t="str">
        <x:v>0.3854155456544521</x:v>
      </x:c>
      <x:c r="BD436" s="6" t="str">
        <x:v>0.5652173913043478</x:v>
      </x:c>
      <x:c r="BE436" s="6" t="str">
        <x:v>0.21739130434782608</x:v>
      </x:c>
      <x:c r="BF436" s="9" t="str">
        <x:v>0.3854155456544521</x:v>
      </x:c>
      <x:c r="BG436" s="9" t="str">
        <x:v>1.0020804187015755</x:v>
      </x:c>
      <x:c r="BH436" s="6" t="str">
        <x:v>With trade</x:v>
      </x:c>
      <x:c r="BI436" s="6" t="str">
        <x:v>Penetration + same-bar reclaim</x:v>
      </x:c>
      <x:c r="BJ436" s="6" t="str">
        <x:v>False</x:v>
      </x:c>
      <x:c r="BK436" s="10" t="str">
        <x:v>True</x:v>
      </x:c>
      <x:c r="BL436" s="6" t="str">
        <x:v>True</x:v>
      </x:c>
      <x:c r="BM436" s="7" t="str">
        <x:v>2025-07-01 21:45:00-05:00</x:v>
      </x:c>
      <x:c r="BN436" s="8" t="str">
        <x:v>1</x:v>
      </x:c>
      <x:c r="BO436" s="6" t="str">
        <x:v>Immediate confirmation (1 bar)</x:v>
      </x:c>
      <x:c r="BP436" s="9" t="str">
        <x:v>0.5234159299105443</x:v>
      </x:c>
      <x:c r="BQ436" s="9" t="str">
        <x:v>0.6542699123881803</x:v>
      </x:c>
      <x:c r="BR436" s="10" t="str">
        <x:v>0.8</x:v>
      </x:c>
      <x:c r="BS436" s="9" t="str">
        <x:v>1.2561982317853064</x:v>
      </x:c>
      <x:c r="BT436" s="9" t="str">
        <x:v>0.6280991158926532</x:v>
      </x:c>
      <x:c r="BU436" s="9" t="str">
        <x:v>0.0</x:v>
      </x:c>
      <x:c r="BV436" s="6" t="str">
        <x:v>With trade</x:v>
      </x:c>
      <x:c r="BW436" s="7" t="str">
        <x:v>2025-07-01 21:45:00-05:00</x:v>
      </x:c>
      <x:c r="BX436" s="6" t="str">
        <x:v>21048.5</x:v>
      </x:c>
      <x:c r="BY436" s="9" t="str">
        <x:v>9.55263245590278</x:v>
      </x:c>
      <x:c r="BZ436" s="9" t="str">
        <x:v>0.33</x:v>
      </x:c>
      <x:c r="CA436" s="6" t="str">
        <x:v>21034.171051316145</x:v>
      </x:c>
      <x:c r="CB436" s="6" t="str">
        <x:v>14.328948683854833</x:v>
      </x:c>
      <x:c r="CC436" s="9" t="str">
        <x:v>1.5000000000000695</x:v>
      </x:c>
      <x:c r="CD436" s="6" t="str">
        <x:v>21077.15789736771</x:v>
      </x:c>
      <x:c r="CE436" s="6" t="str">
        <x:v>28.657897367709666</x:v>
      </x:c>
      <x:c r="CF436" s="6" t="str">
        <x:v>Fixed 2.00R target</x:v>
      </x:c>
      <x:c r="CG436" s="9" t="str">
        <x:v>0.050596873224683606</x:v>
      </x:c>
      <x:c r="CH436" s="9" t="str">
        <x:v>0.4885215345831747</x:v>
      </x:c>
      <x:c r="CI436" s="9" t="str">
        <x:v>0.4379246613584911</x:v>
      </x:c>
      <x:c r="CJ436" s="6" t="str">
        <x:v>Win</x:v>
      </x:c>
      <x:c r="CK436" s="9" t="str">
        <x:v>1.22130383645788</x:v>
      </x:c>
      <x:c r="CL436" s="9" t="str">
        <x:v>0.24426076729157603</x:v>
      </x:c>
      <x:c r="CM436" s="7" t="str">
        <x:v>2025-07-01 22:45:00-05:00</x:v>
      </x:c>
      <x:c r="CN436" s="6" t="str">
        <x:v>21055.5</x:v>
      </x:c>
      <x:c r="CO436" s="6" t="str">
        <x:v>TIME</x:v>
      </x:c>
      <x:c r="CP436" s="6" t="str">
        <x:v>F::Long::Same-bar Setup+BOS::Penetration + same-bar reclaim</x:v>
      </x:c>
    </x:row>
    <x:row r="437" ht="18" customHeight="1">
      <x:c r="A437" s="6" t="str">
        <x:v>A0436</x:v>
      </x:c>
      <x:c r="B437" s="6" t="str">
        <x:v>2025-07-02</x:v>
      </x:c>
      <x:c r="C437" s="6" t="str">
        <x:v>2025</x:v>
      </x:c>
      <x:c r="D437" s="6" t="str">
        <x:v>2025-Q3</x:v>
      </x:c>
      <x:c r="E437" s="6" t="str">
        <x:v>Second 50%</x:v>
      </x:c>
      <x:c r="F437" s="6" t="str">
        <x:v>Long</x:v>
      </x:c>
      <x:c r="G437" s="6" t="str">
        <x:v>Long</x:v>
      </x:c>
      <x:c r="H437" s="6" t="str">
        <x:v>Premarket</x:v>
      </x:c>
      <x:c r="I437" s="6" t="str">
        <x:v>Premarket</x:v>
      </x:c>
      <x:c r="J437" s="6" t="str">
        <x:v>Bear</x:v>
      </x:c>
      <x:c r="K437" s="6" t="str">
        <x:v>Bear</x:v>
      </x:c>
      <x:c r="L437" s="6" t="str">
        <x:v>HIGH</x:v>
      </x:c>
      <x:c r="M437" s="7" t="str">
        <x:v>2025-07-02 08:35:00-05:00</x:v>
      </x:c>
      <x:c r="N437" s="6" t="str">
        <x:v>90.0</x:v>
      </x:c>
      <x:c r="O437" s="6" t="str">
        <x:v>90-94</x:v>
      </x:c>
      <x:c r="P437" s="6" t="str">
        <x:v>Matching BOS only</x:v>
      </x:c>
      <x:c r="Q437" s="6" t="str">
        <x:v>Bull CHoCH</x:v>
      </x:c>
      <x:c r="R437" s="6" t="str">
        <x:v>True</x:v>
      </x:c>
      <x:c r="S437" s="6" t="str">
        <x:v>False</x:v>
      </x:c>
      <x:c r="T437" s="6" t="str">
        <x:v>Recent SSL</x:v>
      </x:c>
      <x:c r="U437" s="6" t="str">
        <x:v>SSL</x:v>
      </x:c>
      <x:c r="V437" s="6" t="str">
        <x:v>Swing low / sell-side</x:v>
      </x:c>
      <x:c r="W437" s="6" t="str">
        <x:v>[20914.5]</x:v>
      </x:c>
      <x:c r="X437" s="8" t="str">
        <x:v>1</x:v>
      </x:c>
      <x:c r="Y437" s="8" t="str">
        <x:v>11.0</x:v>
      </x:c>
      <x:c r="Z437" s="6" t="str">
        <x:v>None</x:v>
      </x:c>
      <x:c r="AA437" s="6" t="str">
        <x:v>21005.75</x:v>
      </x:c>
      <x:c r="AB437" s="9" t="str">
        <x:v>0.7295298176035186</x:v>
      </x:c>
      <x:c r="AC437" s="9" t="str">
        <x:v>1.438509499499896</x:v>
      </x:c>
      <x:c r="AD437" s="9" t="str">
        <x:v>1.9214376886177182</x:v>
      </x:c>
      <x:c r="AE437" s="6" t="str">
        <x:v>With trade</x:v>
      </x:c>
      <x:c r="AF437" s="7" t="str">
        <x:v>2025-07-02 08:35:00-05:00</x:v>
      </x:c>
      <x:c r="AG437" s="6" t="str">
        <x:v>Long</x:v>
      </x:c>
      <x:c r="AH437" s="6" t="str">
        <x:v>21005.75</x:v>
      </x:c>
      <x:c r="AI437" s="8" t="str">
        <x:v>0</x:v>
      </x:c>
      <x:c r="AJ437" s="6" t="str">
        <x:v>True</x:v>
      </x:c>
      <x:c r="AK437" s="6" t="str">
        <x:v>Same-bar Setup+BOS</x:v>
      </x:c>
      <x:c r="AL437" s="9" t="str">
        <x:v>1.4590596352070373</x:v>
      </x:c>
      <x:c r="AM437" s="9" t="str">
        <x:v>0.7295298176035186</x:v>
      </x:c>
      <x:c r="AN437" s="9" t="str">
        <x:v>1.438509499499896</x:v>
      </x:c>
      <x:c r="AO437" s="9" t="str">
        <x:v>1.9214376886177182</x:v>
      </x:c>
      <x:c r="AP437" s="10" t="str">
        <x:v>0.7486631016042781</x:v>
      </x:c>
      <x:c r="AQ437" s="6" t="str">
        <x:v>0.10160427807486631</x:v>
      </x:c>
      <x:c r="AR437" s="6" t="str">
        <x:v>0.1497326203208556</x:v>
      </x:c>
      <x:c r="AS437" s="6" t="str">
        <x:v>With trade</x:v>
      </x:c>
      <x:c r="AT437" s="6" t="str">
        <x:v>3.3509148922315553</x:v>
      </x:c>
      <x:c r="AU437" s="7" t="str">
        <x:v>2025-07-02 08:40:00-05:00</x:v>
      </x:c>
      <x:c r="AV437" s="8" t="str">
        <x:v>1</x:v>
      </x:c>
      <x:c r="AW437" s="6" t="str">
        <x:v>Immediate retest (1 bar)</x:v>
      </x:c>
      <x:c r="AX437" s="6" t="str">
        <x:v>20999.0</x:v>
      </x:c>
      <x:c r="AY437" s="6" t="str">
        <x:v>6.75</x:v>
      </x:c>
      <x:c r="AZ437" s="9" t="str">
        <x:v>0.2772890461359992</x:v>
      </x:c>
      <x:c r="BA437" s="9" t="str">
        <x:v>0.3080989401511102</x:v>
      </x:c>
      <x:c r="BB437" s="9" t="str">
        <x:v>0.9961865731552564</x:v>
      </x:c>
      <x:c r="BC437" s="9" t="str">
        <x:v>0.40052862219644325</x:v>
      </x:c>
      <x:c r="BD437" s="6" t="str">
        <x:v>0.010309278350515464</x:v>
      </x:c>
      <x:c r="BE437" s="6" t="str">
        <x:v>0.5876288659793815</x:v>
      </x:c>
      <x:c r="BF437" s="9" t="str">
        <x:v>0.5853879862871094</x:v>
      </x:c>
      <x:c r="BG437" s="9" t="str">
        <x:v>0.010269964671703673</x:v>
      </x:c>
      <x:c r="BH437" s="6" t="str">
        <x:v>Against trade</x:v>
      </x:c>
      <x:c r="BI437" s="6" t="str">
        <x:v>Penetration + same-bar reclaim</x:v>
      </x:c>
      <x:c r="BJ437" s="6" t="str">
        <x:v>False</x:v>
      </x:c>
      <x:c r="BK437" s="10" t="str">
        <x:v>True</x:v>
      </x:c>
      <x:c r="BL437" s="6" t="str">
        <x:v>True</x:v>
      </x:c>
      <x:c r="BM437" s="7" t="str">
        <x:v>2025-07-02 08:45:00-05:00</x:v>
      </x:c>
      <x:c r="BN437" s="8" t="str">
        <x:v>1</x:v>
      </x:c>
      <x:c r="BO437" s="6" t="str">
        <x:v>Immediate confirmation (1 bar)</x:v>
      </x:c>
      <x:c r="BP437" s="9" t="str">
        <x:v>0.6486900449639362</x:v>
      </x:c>
      <x:c r="BQ437" s="9" t="str">
        <x:v>1.3672390178470655</x:v>
      </x:c>
      <x:c r="BR437" s="10" t="str">
        <x:v>0.4744525547445255</x:v>
      </x:c>
      <x:c r="BS437" s="9" t="str">
        <x:v>0.9680451440231048</x:v>
      </x:c>
      <x:c r="BT437" s="9" t="str">
        <x:v>0.6686497386551342</x:v>
      </x:c>
      <x:c r="BU437" s="9" t="str">
        <x:v>0.019959693691198037</x:v>
      </x:c>
      <x:c r="BV437" s="6" t="str">
        <x:v>With trade</x:v>
      </x:c>
      <x:c r="BW437" s="7" t="str">
        <x:v>2025-07-02 08:45:00-05:00</x:v>
      </x:c>
      <x:c r="BX437" s="6" t="str">
        <x:v>21030.0</x:v>
      </x:c>
      <x:c r="BY437" s="9" t="str">
        <x:v>25.050484628453663</x:v>
      </x:c>
      <x:c r="BZ437" s="9" t="str">
        <x:v>1.0</x:v>
      </x:c>
      <x:c r="CA437" s="6" t="str">
        <x:v>20992.42427305732</x:v>
      </x:c>
      <x:c r="CB437" s="6" t="str">
        <x:v>37.575726942679466</x:v>
      </x:c>
      <x:c r="CC437" s="9" t="str">
        <x:v>1.499999999999959</x:v>
      </x:c>
      <x:c r="CD437" s="6" t="str">
        <x:v>21105.151453885363</x:v>
      </x:c>
      <x:c r="CE437" s="6" t="str">
        <x:v>75.15145388536257</x:v>
      </x:c>
      <x:c r="CF437" s="6" t="str">
        <x:v>Fixed 2.00R target</x:v>
      </x:c>
      <x:c r="CG437" s="9" t="str">
        <x:v>0.01929437056815863</x:v>
      </x:c>
      <x:c r="CH437" s="9" t="str">
        <x:v>2.0</x:v>
      </x:c>
      <x:c r="CI437" s="9" t="str">
        <x:v>1.9807056294318415</x:v>
      </x:c>
      <x:c r="CJ437" s="6" t="str">
        <x:v>Win</x:v>
      </x:c>
      <x:c r="CK437" s="9" t="str">
        <x:v>2.3485906243310333</x:v>
      </x:c>
      <x:c r="CL437" s="9" t="str">
        <x:v>0.1929437056815863</x:v>
      </x:c>
      <x:c r="CM437" s="7" t="str">
        <x:v>2025-07-02 09:25:00-05:00</x:v>
      </x:c>
      <x:c r="CN437" s="6" t="str">
        <x:v>21105.151453885363</x:v>
      </x:c>
      <x:c r="CO437" s="6" t="str">
        <x:v>TARGET</x:v>
      </x:c>
      <x:c r="CP437" s="6" t="str">
        <x:v>F::Long::Same-bar Setup+BOS::Penetration + same-bar reclaim</x:v>
      </x:c>
    </x:row>
    <x:row r="438" ht="18" customHeight="1">
      <x:c r="A438" s="6" t="str">
        <x:v>A0437</x:v>
      </x:c>
      <x:c r="B438" s="6" t="str">
        <x:v>2025-07-07</x:v>
      </x:c>
      <x:c r="C438" s="6" t="str">
        <x:v>2025</x:v>
      </x:c>
      <x:c r="D438" s="6" t="str">
        <x:v>2025-Q3</x:v>
      </x:c>
      <x:c r="E438" s="6" t="str">
        <x:v>Second 50%</x:v>
      </x:c>
      <x:c r="F438" s="6" t="str">
        <x:v>Short</x:v>
      </x:c>
      <x:c r="G438" s="6" t="str">
        <x:v>Short</x:v>
      </x:c>
      <x:c r="H438" s="6" t="str">
        <x:v>Premarket</x:v>
      </x:c>
      <x:c r="I438" s="6" t="str">
        <x:v>Premarket</x:v>
      </x:c>
      <x:c r="J438" s="6" t="str">
        <x:v>Neutral</x:v>
      </x:c>
      <x:c r="K438" s="6" t="str">
        <x:v>Bull</x:v>
      </x:c>
      <x:c r="L438" s="6" t="str">
        <x:v>HIGH</x:v>
      </x:c>
      <x:c r="M438" s="7" t="str">
        <x:v>2025-07-07 07:50:00-05:00</x:v>
      </x:c>
      <x:c r="N438" s="6" t="str">
        <x:v>75.0</x:v>
      </x:c>
      <x:c r="O438" s="6" t="str">
        <x:v>75-79</x:v>
      </x:c>
      <x:c r="P438" s="6" t="str">
        <x:v>Matching BOS only</x:v>
      </x:c>
      <x:c r="Q438" s="6" t="str">
        <x:v>Bear CHoCH</x:v>
      </x:c>
      <x:c r="R438" s="6" t="str">
        <x:v>True</x:v>
      </x:c>
      <x:c r="S438" s="6" t="str">
        <x:v>False</x:v>
      </x:c>
      <x:c r="T438" s="6" t="str">
        <x:v>Recent BSL</x:v>
      </x:c>
      <x:c r="U438" s="6" t="str">
        <x:v>BSL</x:v>
      </x:c>
      <x:c r="V438" s="6" t="str">
        <x:v>Swing high / buy-side</x:v>
      </x:c>
      <x:c r="W438" s="6" t="str">
        <x:v>[21310.25,21310.0]</x:v>
      </x:c>
      <x:c r="X438" s="8" t="str">
        <x:v>2</x:v>
      </x:c>
      <x:c r="Y438" s="8" t="str">
        <x:v>9.0</x:v>
      </x:c>
      <x:c r="Z438" s="6" t="str">
        <x:v>None</x:v>
      </x:c>
      <x:c r="AA438" s="6" t="str">
        <x:v>21274.25</x:v>
      </x:c>
      <x:c r="AB438" s="9" t="str">
        <x:v>0.10135548211487087</x:v>
      </x:c>
      <x:c r="AC438" s="9" t="str">
        <x:v>1.0135548211487087</x:v>
      </x:c>
      <x:c r="AD438" s="9" t="str">
        <x:v>1.4595189424541406</x:v>
      </x:c>
      <x:c r="AE438" s="6" t="str">
        <x:v>With trade</x:v>
      </x:c>
      <x:c r="AF438" s="7" t="str">
        <x:v>2025-07-07 07:50:00-05:00</x:v>
      </x:c>
      <x:c r="AG438" s="6" t="str">
        <x:v>Short</x:v>
      </x:c>
      <x:c r="AH438" s="6" t="str">
        <x:v>21274.25</x:v>
      </x:c>
      <x:c r="AI438" s="8" t="str">
        <x:v>0</x:v>
      </x:c>
      <x:c r="AJ438" s="6" t="str">
        <x:v>True</x:v>
      </x:c>
      <x:c r="AK438" s="6" t="str">
        <x:v>Same-bar Setup+BOS</x:v>
      </x:c>
      <x:c r="AL438" s="9" t="str">
        <x:v>0.9730126283027604</x:v>
      </x:c>
      <x:c r="AM438" s="9" t="str">
        <x:v>0.10135548211487087</x:v>
      </x:c>
      <x:c r="AN438" s="9" t="str">
        <x:v>1.0135548211487087</x:v>
      </x:c>
      <x:c r="AO438" s="9" t="str">
        <x:v>1.4595189424541406</x:v>
      </x:c>
      <x:c r="AP438" s="10" t="str">
        <x:v>0.6944444444444444</x:v>
      </x:c>
      <x:c r="AQ438" s="6" t="str">
        <x:v>0.2638888888888889</x:v>
      </x:c>
      <x:c r="AR438" s="6" t="str">
        <x:v>0.041666666666666664</x:v>
      </x:c>
      <x:c r="AS438" s="6" t="str">
        <x:v>With trade</x:v>
      </x:c>
      <x:c r="AT438" s="6" t="str">
        <x:v>3.00990099009901</x:v>
      </x:c>
      <x:c r="AU438" s="7" t="str">
        <x:v>2025-07-07 07:55:00-05:00</x:v>
      </x:c>
      <x:c r="AV438" s="8" t="str">
        <x:v>1</x:v>
      </x:c>
      <x:c r="AW438" s="6" t="str">
        <x:v>Immediate retest (1 bar)</x:v>
      </x:c>
      <x:c r="AX438" s="6" t="str">
        <x:v>21275.25</x:v>
      </x:c>
      <x:c r="AY438" s="6" t="str">
        <x:v>1.0</x:v>
      </x:c>
      <x:c r="AZ438" s="9" t="str">
        <x:v>0.08042427300611914</x:v>
      </x:c>
      <x:c r="BA438" s="9" t="str">
        <x:v>0.18095461426376805</x:v>
      </x:c>
      <x:c r="BB438" s="9" t="str">
        <x:v>1.105833753834138</x:v>
      </x:c>
      <x:c r="BC438" s="9" t="str">
        <x:v>0.020106068251529784</x:v>
      </x:c>
      <x:c r="BD438" s="6" t="str">
        <x:v>0.21818181818181817</x:v>
      </x:c>
      <x:c r="BE438" s="6" t="str">
        <x:v>0.7636363636363637</x:v>
      </x:c>
      <x:c r="BF438" s="9" t="str">
        <x:v>0.2412728190183574</x:v>
      </x:c>
      <x:c r="BG438" s="9" t="str">
        <x:v>0.844454866564251</x:v>
      </x:c>
      <x:c r="BH438" s="6" t="str">
        <x:v>With trade</x:v>
      </x:c>
      <x:c r="BI438" s="6" t="str">
        <x:v>Penetration + same-bar reclaim</x:v>
      </x:c>
      <x:c r="BJ438" s="6" t="str">
        <x:v>False</x:v>
      </x:c>
      <x:c r="BK438" s="10" t="str">
        <x:v>True</x:v>
      </x:c>
      <x:c r="BL438" s="6" t="str">
        <x:v>True</x:v>
      </x:c>
      <x:c r="BM438" s="7" t="str">
        <x:v>2025-07-07 08:00:00-05:00</x:v>
      </x:c>
      <x:c r="BN438" s="8" t="str">
        <x:v>1</x:v>
      </x:c>
      <x:c r="BO438" s="6" t="str">
        <x:v>Immediate confirmation (1 bar)</x:v>
      </x:c>
      <x:c r="BP438" s="9" t="str">
        <x:v>0.429225838269392</x:v>
      </x:c>
      <x:c r="BQ438" s="9" t="str">
        <x:v>1.3852288416875833</x:v>
      </x:c>
      <x:c r="BR438" s="10" t="str">
        <x:v>0.30985915492957744</x:v>
      </x:c>
      <x:c r="BS438" s="9" t="str">
        <x:v>0.643838757404088</x:v>
      </x:c>
      <x:c r="BT438" s="9" t="str">
        <x:v>0.4682463690211549</x:v>
      </x:c>
      <x:c r="BU438" s="9" t="str">
        <x:v>0.2731437152623404</x:v>
      </x:c>
      <x:c r="BV438" s="6" t="str">
        <x:v>With trade</x:v>
      </x:c>
      <x:c r="BW438" s="7" t="str">
        <x:v>2025-07-07 08:00:00-05:00</x:v>
      </x:c>
      <x:c r="BX438" s="6" t="str">
        <x:v>21266.0</x:v>
      </x:c>
      <x:c r="BY438" s="9" t="str">
        <x:v>12.813767274998188</x:v>
      </x:c>
      <x:c r="BZ438" s="9" t="str">
        <x:v>1.0</x:v>
      </x:c>
      <x:c r="CA438" s="6" t="str">
        <x:v>21285.2206509125</x:v>
      </x:c>
      <x:c r="CB438" s="6" t="str">
        <x:v>19.220650912498968</x:v>
      </x:c>
      <x:c r="CC438" s="9" t="str">
        <x:v>1.5000000000001315</x:v>
      </x:c>
      <x:c r="CD438" s="6" t="str">
        <x:v>21227.558698175006</x:v>
      </x:c>
      <x:c r="CE438" s="6" t="str">
        <x:v>38.4413018249943</x:v>
      </x:c>
      <x:c r="CF438" s="6" t="str">
        <x:v>Fixed 2.00R target</x:v>
      </x:c>
      <x:c r="CG438" s="9" t="str">
        <x:v>0.0377198463933675</x:v>
      </x:c>
      <x:c r="CH438" s="9" t="str">
        <x:v>-1.0</x:v>
      </x:c>
      <x:c r="CI438" s="9" t="str">
        <x:v>-1.0377198463933675</x:v>
      </x:c>
      <x:c r="CJ438" s="6" t="str">
        <x:v>Loss</x:v>
      </x:c>
      <x:c r="CK438" s="9" t="str">
        <x:v>2.367245532273409</x:v>
      </x:c>
      <x:c r="CL438" s="9" t="str">
        <x:v>1.5478143864864595</x:v>
      </x:c>
      <x:c r="CM438" s="7" t="str">
        <x:v>2025-07-07 08:30:00-05:00</x:v>
      </x:c>
      <x:c r="CN438" s="6" t="str">
        <x:v>21285.2206509125</x:v>
      </x:c>
      <x:c r="CO438" s="6" t="str">
        <x:v>STOP</x:v>
      </x:c>
      <x:c r="CP438" s="6" t="str">
        <x:v>F::Short::Same-bar Setup+BOS::Penetration + same-bar reclaim</x:v>
      </x:c>
    </x:row>
    <x:row r="439" ht="18" customHeight="1">
      <x:c r="A439" s="6" t="str">
        <x:v>A0438</x:v>
      </x:c>
      <x:c r="B439" s="6" t="str">
        <x:v>2025-07-09</x:v>
      </x:c>
      <x:c r="C439" s="6" t="str">
        <x:v>2025</x:v>
      </x:c>
      <x:c r="D439" s="6" t="str">
        <x:v>2025-Q3</x:v>
      </x:c>
      <x:c r="E439" s="6" t="str">
        <x:v>Second 50%</x:v>
      </x:c>
      <x:c r="F439" s="6" t="str">
        <x:v>Long</x:v>
      </x:c>
      <x:c r="G439" s="6" t="str">
        <x:v>Long</x:v>
      </x:c>
      <x:c r="H439" s="6" t="str">
        <x:v>Midday</x:v>
      </x:c>
      <x:c r="I439" s="6" t="str">
        <x:v>Midday</x:v>
      </x:c>
      <x:c r="J439" s="6" t="str">
        <x:v>Bull</x:v>
      </x:c>
      <x:c r="K439" s="6" t="str">
        <x:v>Bull</x:v>
      </x:c>
      <x:c r="L439" s="6" t="str">
        <x:v>MID</x:v>
      </x:c>
      <x:c r="M439" s="7" t="str">
        <x:v>2025-07-09 13:05:00-05:00</x:v>
      </x:c>
      <x:c r="N439" s="6" t="str">
        <x:v>75.0</x:v>
      </x:c>
      <x:c r="O439" s="6" t="str">
        <x:v>75-79</x:v>
      </x:c>
      <x:c r="P439" s="6" t="str">
        <x:v>Matching BOS only</x:v>
      </x:c>
      <x:c r="Q439" s="6" t="str">
        <x:v>Bull BOS</x:v>
      </x:c>
      <x:c r="R439" s="6" t="str">
        <x:v>True</x:v>
      </x:c>
      <x:c r="S439" s="6" t="str">
        <x:v>False</x:v>
      </x:c>
      <x:c r="T439" s="6" t="str">
        <x:v>No recent matching sweep</x:v>
      </x:c>
      <x:c r="U439" s="6" t="str">
        <x:v>None</x:v>
      </x:c>
      <x:c r="V439" s="6" t="str">
        <x:v>None</x:v>
      </x:c>
      <x:c r="W439" s="6" t="str">
        <x:v>[]</x:v>
      </x:c>
      <x:c r="X439" s="8" t="str">
        <x:v>0</x:v>
      </x:c>
      <x:c r="Y439" s="8" t="str"/>
      <x:c r="Z439" s="6" t="str">
        <x:v>None</x:v>
      </x:c>
      <x:c r="AA439" s="6" t="str">
        <x:v>21320.5</x:v>
      </x:c>
      <x:c r="AB439" s="9" t="str">
        <x:v>0.40874444424770295</x:v>
      </x:c>
      <x:c r="AC439" s="9" t="str">
        <x:v>0.6890263488746993</x:v>
      </x:c>
      <x:c r="AD439" s="9" t="str">
        <x:v>1.1678412692791513</x:v>
      </x:c>
      <x:c r="AE439" s="6" t="str">
        <x:v>With trade</x:v>
      </x:c>
      <x:c r="AF439" s="7" t="str">
        <x:v>2025-07-09 13:05:00-05:00</x:v>
      </x:c>
      <x:c r="AG439" s="6" t="str">
        <x:v>Long</x:v>
      </x:c>
      <x:c r="AH439" s="6" t="str">
        <x:v>21320.5</x:v>
      </x:c>
      <x:c r="AI439" s="8" t="str">
        <x:v>0</x:v>
      </x:c>
      <x:c r="AJ439" s="6" t="str">
        <x:v>True</x:v>
      </x:c>
      <x:c r="AK439" s="6" t="str">
        <x:v>Same-bar Setup+BOS</x:v>
      </x:c>
      <x:c r="AL439" s="9" t="str">
        <x:v>0.7123831742602823</x:v>
      </x:c>
      <x:c r="AM439" s="9" t="str">
        <x:v>0.40874444424770295</x:v>
      </x:c>
      <x:c r="AN439" s="9" t="str">
        <x:v>0.6890263488746993</x:v>
      </x:c>
      <x:c r="AO439" s="9" t="str">
        <x:v>1.1678412692791513</x:v>
      </x:c>
      <x:c r="AP439" s="10" t="str">
        <x:v>0.59</x:v>
      </x:c>
      <x:c r="AQ439" s="6" t="str">
        <x:v>0.39</x:v>
      </x:c>
      <x:c r="AR439" s="6" t="str">
        <x:v>0.02</x:v>
      </x:c>
      <x:c r="AS439" s="6" t="str">
        <x:v>With trade</x:v>
      </x:c>
      <x:c r="AT439" s="6" t="str">
        <x:v>1.9858770662814957</x:v>
      </x:c>
      <x:c r="AU439" s="7" t="str">
        <x:v>2025-07-09 13:15:00-05:00</x:v>
      </x:c>
      <x:c r="AV439" s="8" t="str">
        <x:v>2</x:v>
      </x:c>
      <x:c r="AW439" s="6" t="str">
        <x:v>Delayed retest (2+ bars)</x:v>
      </x:c>
      <x:c r="AX439" s="6" t="str">
        <x:v>21320.75</x:v>
      </x:c>
      <x:c r="AY439" s="6" t="str">
        <x:v>0.0</x:v>
      </x:c>
      <x:c r="AZ439" s="9" t="str">
        <x:v>0.0</x:v>
      </x:c>
      <x:c r="BA439" s="9" t="str">
        <x:v>0.4750034089498278</x:v>
      </x:c>
      <x:c r="BB439" s="9" t="str">
        <x:v>0.8431310508859443</x:v>
      </x:c>
      <x:c r="BC439" s="9" t="str">
        <x:v>0.2612518749224053</x:v>
      </x:c>
      <x:c r="BD439" s="6" t="str">
        <x:v>0.14084507042253522</x:v>
      </x:c>
      <x:c r="BE439" s="6" t="str">
        <x:v>0.5492957746478874</x:v>
      </x:c>
      <x:c r="BF439" s="9" t="str">
        <x:v>0.4631283237260821</x:v>
      </x:c>
      <x:c r="BG439" s="9" t="str">
        <x:v>0.11875085223745695</x:v>
      </x:c>
      <x:c r="BH439" s="6" t="str">
        <x:v>Against trade</x:v>
      </x:c>
      <x:c r="BI439" s="6" t="str">
        <x:v>Tolerance-only shallow touch</x:v>
      </x:c>
      <x:c r="BJ439" s="6" t="str">
        <x:v>True</x:v>
      </x:c>
      <x:c r="BK439" s="10" t="str">
        <x:v>False</x:v>
      </x:c>
      <x:c r="BL439" s="6" t="str">
        <x:v>True</x:v>
      </x:c>
      <x:c r="BM439" s="7" t="str">
        <x:v>2025-07-09 13:20:00-05:00</x:v>
      </x:c>
      <x:c r="BN439" s="8" t="str">
        <x:v>1</x:v>
      </x:c>
      <x:c r="BO439" s="6" t="str">
        <x:v>Immediate confirmation (1 bar)</x:v>
      </x:c>
      <x:c r="BP439" s="9" t="str">
        <x:v>0.4275792028445169</x:v>
      </x:c>
      <x:c r="BQ439" s="9" t="str">
        <x:v>0.9976848066372062</x:v>
      </x:c>
      <x:c r="BR439" s="10" t="str">
        <x:v>0.42857142857142855</x:v>
      </x:c>
      <x:c r="BS439" s="9" t="str">
        <x:v>0.8789128058470626</x:v>
      </x:c>
      <x:c r="BT439" s="9" t="str">
        <x:v>0.4038248026864882</x:v>
      </x:c>
      <x:c r="BU439" s="9" t="str">
        <x:v>0.4038248026864882</x:v>
      </x:c>
      <x:c r="BV439" s="6" t="str">
        <x:v>With trade</x:v>
      </x:c>
      <x:c r="BW439" s="7" t="str">
        <x:v>2025-07-09 13:20:00-05:00</x:v>
      </x:c>
      <x:c r="BX439" s="6" t="str">
        <x:v>21339.0</x:v>
      </x:c>
      <x:c r="BY439" s="9" t="str">
        <x:v>21.048731884353884</x:v>
      </x:c>
      <x:c r="BZ439" s="9" t="str">
        <x:v>0.57</x:v>
      </x:c>
      <x:c r="CA439" s="6" t="str">
        <x:v>21307.42690217347</x:v>
      </x:c>
      <x:c r="CB439" s="6" t="str">
        <x:v>31.57309782653101</x:v>
      </x:c>
      <x:c r="CC439" s="9" t="str">
        <x:v>1.5000000000000089</x:v>
      </x:c>
      <x:c r="CD439" s="6" t="str">
        <x:v>21402.146195653062</x:v>
      </x:c>
      <x:c r="CE439" s="6" t="str">
        <x:v>63.14619565306202</x:v>
      </x:c>
      <x:c r="CF439" s="6" t="str">
        <x:v>Fixed 2.00R target</x:v>
      </x:c>
      <x:c r="CG439" s="9" t="str">
        <x:v>0.022962586819427627</x:v>
      </x:c>
      <x:c r="CH439" s="9" t="str">
        <x:v>0.6888776045828328</x:v>
      </x:c>
      <x:c r="CI439" s="9" t="str">
        <x:v>0.6659150177634051</x:v>
      </x:c>
      <x:c r="CJ439" s="6" t="str">
        <x:v>Win</x:v>
      </x:c>
      <x:c r="CK439" s="9" t="str">
        <x:v>0.9897666732511907</x:v>
      </x:c>
      <x:c r="CL439" s="9" t="str">
        <x:v>0.34839786898441916</x:v>
      </x:c>
      <x:c r="CM439" s="7" t="str">
        <x:v>2025-07-09 14:20:00-05:00</x:v>
      </x:c>
      <x:c r="CN439" s="6" t="str">
        <x:v>21360.75</x:v>
      </x:c>
      <x:c r="CO439" s="6" t="str">
        <x:v>TIME</x:v>
      </x:c>
      <x:c r="CP439" s="6" t="str">
        <x:v>F::Long::Same-bar Setup+BOS::Tolerance-only shallow touch</x:v>
      </x:c>
    </x:row>
    <x:row r="440" ht="18" customHeight="1">
      <x:c r="A440" s="6" t="str">
        <x:v>A0439</x:v>
      </x:c>
      <x:c r="B440" s="6" t="str">
        <x:v>2025-07-14</x:v>
      </x:c>
      <x:c r="C440" s="6" t="str">
        <x:v>2025</x:v>
      </x:c>
      <x:c r="D440" s="6" t="str">
        <x:v>2025-Q3</x:v>
      </x:c>
      <x:c r="E440" s="6" t="str">
        <x:v>Second 50%</x:v>
      </x:c>
      <x:c r="F440" s="6" t="str">
        <x:v>Short</x:v>
      </x:c>
      <x:c r="G440" s="6" t="str">
        <x:v>Short</x:v>
      </x:c>
      <x:c r="H440" s="6" t="str">
        <x:v>Afternoon</x:v>
      </x:c>
      <x:c r="I440" s="6" t="str">
        <x:v>Afternoon</x:v>
      </x:c>
      <x:c r="J440" s="6" t="str">
        <x:v>Bull</x:v>
      </x:c>
      <x:c r="K440" s="6" t="str">
        <x:v>Bull</x:v>
      </x:c>
      <x:c r="L440" s="6" t="str">
        <x:v>LOW</x:v>
      </x:c>
      <x:c r="M440" s="7" t="str">
        <x:v>2025-07-14 14:30:00-05:00</x:v>
      </x:c>
      <x:c r="N440" s="6" t="str">
        <x:v>75.0</x:v>
      </x:c>
      <x:c r="O440" s="6" t="str">
        <x:v>75-79</x:v>
      </x:c>
      <x:c r="P440" s="6" t="str">
        <x:v>Matching BOS only</x:v>
      </x:c>
      <x:c r="Q440" s="6" t="str">
        <x:v>Bear CHoCH</x:v>
      </x:c>
      <x:c r="R440" s="6" t="str">
        <x:v>True</x:v>
      </x:c>
      <x:c r="S440" s="6" t="str">
        <x:v>False</x:v>
      </x:c>
      <x:c r="T440" s="6" t="str">
        <x:v>No recent matching sweep</x:v>
      </x:c>
      <x:c r="U440" s="6" t="str">
        <x:v>None</x:v>
      </x:c>
      <x:c r="V440" s="6" t="str">
        <x:v>None</x:v>
      </x:c>
      <x:c r="W440" s="6" t="str">
        <x:v>[]</x:v>
      </x:c>
      <x:c r="X440" s="8" t="str">
        <x:v>0</x:v>
      </x:c>
      <x:c r="Y440" s="8" t="str"/>
      <x:c r="Z440" s="6" t="str">
        <x:v>None</x:v>
      </x:c>
      <x:c r="AA440" s="6" t="str">
        <x:v>21355.75</x:v>
      </x:c>
      <x:c r="AB440" s="9" t="str">
        <x:v>0.1302873787560926</x:v>
      </x:c>
      <x:c r="AC440" s="9" t="str">
        <x:v>0.6731514569064784</x:v>
      </x:c>
      <x:c r="AD440" s="9" t="str">
        <x:v>1.1943009719308488</x:v>
      </x:c>
      <x:c r="AE440" s="6" t="str">
        <x:v>With trade</x:v>
      </x:c>
      <x:c r="AF440" s="7" t="str">
        <x:v>2025-07-14 14:30:00-05:00</x:v>
      </x:c>
      <x:c r="AG440" s="6" t="str">
        <x:v>Short</x:v>
      </x:c>
      <x:c r="AH440" s="6" t="str">
        <x:v>21355.75</x:v>
      </x:c>
      <x:c r="AI440" s="8" t="str">
        <x:v>0</x:v>
      </x:c>
      <x:c r="AJ440" s="6" t="str">
        <x:v>True</x:v>
      </x:c>
      <x:c r="AK440" s="6" t="str">
        <x:v>Same-bar Setup+BOS</x:v>
      </x:c>
      <x:c r="AL440" s="9" t="str">
        <x:v>0.6948660200324939</x:v>
      </x:c>
      <x:c r="AM440" s="9" t="str">
        <x:v>0.1302873787560926</x:v>
      </x:c>
      <x:c r="AN440" s="9" t="str">
        <x:v>0.6731514569064784</x:v>
      </x:c>
      <x:c r="AO440" s="9" t="str">
        <x:v>1.1943009719308488</x:v>
      </x:c>
      <x:c r="AP440" s="10" t="str">
        <x:v>0.5636363636363636</x:v>
      </x:c>
      <x:c r="AQ440" s="6" t="str">
        <x:v>0.0</x:v>
      </x:c>
      <x:c r="AR440" s="6" t="str">
        <x:v>0.43636363636363634</x:v>
      </x:c>
      <x:c r="AS440" s="6" t="str">
        <x:v>With trade</x:v>
      </x:c>
      <x:c r="AT440" s="6" t="str">
        <x:v>1.7985905668999689</x:v>
      </x:c>
      <x:c r="AU440" s="7" t="str">
        <x:v>2025-07-14 14:35:00-05:00</x:v>
      </x:c>
      <x:c r="AV440" s="8" t="str">
        <x:v>1</x:v>
      </x:c>
      <x:c r="AW440" s="6" t="str">
        <x:v>Immediate retest (1 bar)</x:v>
      </x:c>
      <x:c r="AX440" s="6" t="str">
        <x:v>21355.5</x:v>
      </x:c>
      <x:c r="AY440" s="6" t="str">
        <x:v>0.0</x:v>
      </x:c>
      <x:c r="AZ440" s="9" t="str">
        <x:v>0.0</x:v>
      </x:c>
      <x:c r="BA440" s="9" t="str">
        <x:v>0.48836443036606536</x:v>
      </x:c>
      <x:c r="BB440" s="9" t="str">
        <x:v>0.7103482623506405</x:v>
      </x:c>
      <x:c r="BC440" s="9" t="str">
        <x:v>0.33297574797686275</x:v>
      </x:c>
      <x:c r="BD440" s="6" t="str">
        <x:v>0.1875</x:v>
      </x:c>
      <x:c r="BE440" s="6" t="str">
        <x:v>0.34375</x:v>
      </x:c>
      <x:c r="BF440" s="9" t="str">
        <x:v>0.1331902991907451</x:v>
      </x:c>
      <x:c r="BG440" s="9" t="str">
        <x:v>0.24418221518303268</x:v>
      </x:c>
      <x:c r="BH440" s="6" t="str">
        <x:v>With trade</x:v>
      </x:c>
      <x:c r="BI440" s="6" t="str">
        <x:v>Tolerance-only shallow touch</x:v>
      </x:c>
      <x:c r="BJ440" s="6" t="str">
        <x:v>True</x:v>
      </x:c>
      <x:c r="BK440" s="10" t="str">
        <x:v>False</x:v>
      </x:c>
      <x:c r="BL440" s="6" t="str">
        <x:v>True</x:v>
      </x:c>
      <x:c r="BM440" s="7" t="str">
        <x:v>2025-07-14 14:40:00-05:00</x:v>
      </x:c>
      <x:c r="BN440" s="8" t="str">
        <x:v>1</x:v>
      </x:c>
      <x:c r="BO440" s="6" t="str">
        <x:v>Immediate confirmation (1 bar)</x:v>
      </x:c>
      <x:c r="BP440" s="9" t="str">
        <x:v>0.24420092718494651</x:v>
      </x:c>
      <x:c r="BQ440" s="9" t="str">
        <x:v>0.9990037930293266</x:v>
      </x:c>
      <x:c r="BR440" s="10" t="str">
        <x:v>0.24444444444444444</x:v>
      </x:c>
      <x:c r="BS440" s="9" t="str">
        <x:v>0.7770029501339207</x:v>
      </x:c>
      <x:c r="BT440" s="9" t="str">
        <x:v>0.2886010957640277</x:v>
      </x:c>
      <x:c r="BU440" s="9" t="str">
        <x:v>0.3330012643431089</x:v>
      </x:c>
      <x:c r="BV440" s="6" t="str">
        <x:v>With trade</x:v>
      </x:c>
      <x:c r="BW440" s="7" t="str">
        <x:v>2025-07-14 14:40:00-05:00</x:v>
      </x:c>
      <x:c r="BX440" s="6" t="str">
        <x:v>21347.0</x:v>
      </x:c>
      <x:c r="BY440" s="9" t="str">
        <x:v>11.261218504372332</x:v>
      </x:c>
      <x:c r="BZ440" s="9" t="str">
        <x:v>0.29</x:v>
      </x:c>
      <x:c r="CA440" s="6" t="str">
        <x:v>21363.891827756557</x:v>
      </x:c>
      <x:c r="CB440" s="6" t="str">
        <x:v>16.891827756557177</x:v>
      </x:c>
      <x:c r="CC440" s="9" t="str">
        <x:v>1.4999999999998828</x:v>
      </x:c>
      <x:c r="CD440" s="6" t="str">
        <x:v>21313.216344486882</x:v>
      </x:c>
      <x:c r="CE440" s="6" t="str">
        <x:v>33.78365551311799</x:v>
      </x:c>
      <x:c r="CF440" s="6" t="str">
        <x:v>Fixed 2.00R target</x:v>
      </x:c>
      <x:c r="CG440" s="9" t="str">
        <x:v>0.042920162959781835</x:v>
      </x:c>
      <x:c r="CH440" s="9" t="str">
        <x:v>-0.19240073050935178</x:v>
      </x:c>
      <x:c r="CI440" s="9" t="str">
        <x:v>-0.2353208934691336</x:v>
      </x:c>
      <x:c r="CJ440" s="6" t="str">
        <x:v>Loss</x:v>
      </x:c>
      <x:c r="CK440" s="9" t="str">
        <x:v>0.6512024724932416</x:v>
      </x:c>
      <x:c r="CL440" s="9" t="str">
        <x:v>0.9620036525468342</x:v>
      </x:c>
      <x:c r="CM440" s="7" t="str">
        <x:v>2025-07-14 15:40:00-05:00</x:v>
      </x:c>
      <x:c r="CN440" s="6" t="str">
        <x:v>21350.25</x:v>
      </x:c>
      <x:c r="CO440" s="6" t="str">
        <x:v>TIME</x:v>
      </x:c>
      <x:c r="CP440" s="6" t="str">
        <x:v>F::Short::Same-bar Setup+BOS::Tolerance-only shallow touch</x:v>
      </x:c>
    </x:row>
    <x:row r="441" ht="18" customHeight="1">
      <x:c r="A441" s="6" t="str">
        <x:v>A0440</x:v>
      </x:c>
      <x:c r="B441" s="6" t="str">
        <x:v>2025-07-21</x:v>
      </x:c>
      <x:c r="C441" s="6" t="str">
        <x:v>2025</x:v>
      </x:c>
      <x:c r="D441" s="6" t="str">
        <x:v>2025-Q3</x:v>
      </x:c>
      <x:c r="E441" s="6" t="str">
        <x:v>Second 50%</x:v>
      </x:c>
      <x:c r="F441" s="6" t="str">
        <x:v>Short</x:v>
      </x:c>
      <x:c r="G441" s="6" t="str">
        <x:v>Short</x:v>
      </x:c>
      <x:c r="H441" s="6" t="str">
        <x:v>Morning</x:v>
      </x:c>
      <x:c r="I441" s="6" t="str">
        <x:v>Morning</x:v>
      </x:c>
      <x:c r="J441" s="6" t="str">
        <x:v>Bull</x:v>
      </x:c>
      <x:c r="K441" s="6" t="str">
        <x:v>Bull</x:v>
      </x:c>
      <x:c r="L441" s="6" t="str">
        <x:v>HIGH</x:v>
      </x:c>
      <x:c r="M441" s="7" t="str">
        <x:v>2025-07-21 11:05:00-05:00</x:v>
      </x:c>
      <x:c r="N441" s="6" t="str">
        <x:v>75.0</x:v>
      </x:c>
      <x:c r="O441" s="6" t="str">
        <x:v>75-79</x:v>
      </x:c>
      <x:c r="P441" s="6" t="str">
        <x:v>Matching BOS only</x:v>
      </x:c>
      <x:c r="Q441" s="6" t="str">
        <x:v>Bear CHoCH</x:v>
      </x:c>
      <x:c r="R441" s="6" t="str">
        <x:v>True</x:v>
      </x:c>
      <x:c r="S441" s="6" t="str">
        <x:v>False</x:v>
      </x:c>
      <x:c r="T441" s="6" t="str">
        <x:v>No recent matching sweep</x:v>
      </x:c>
      <x:c r="U441" s="6" t="str">
        <x:v>None</x:v>
      </x:c>
      <x:c r="V441" s="6" t="str">
        <x:v>None</x:v>
      </x:c>
      <x:c r="W441" s="6" t="str">
        <x:v>[]</x:v>
      </x:c>
      <x:c r="X441" s="8" t="str">
        <x:v>0</x:v>
      </x:c>
      <x:c r="Y441" s="8" t="str"/>
      <x:c r="Z441" s="6" t="str">
        <x:v>Sweep below CRT reference</x:v>
      </x:c>
      <x:c r="AA441" s="6" t="str">
        <x:v>21698.75</x:v>
      </x:c>
      <x:c r="AB441" s="9" t="str">
        <x:v>0.08564831091918788</x:v>
      </x:c>
      <x:c r="AC441" s="9" t="str">
        <x:v>0.5995381764343152</x:v>
      </x:c>
      <x:c r="AD441" s="9" t="str">
        <x:v>1.4217619612585188</x:v>
      </x:c>
      <x:c r="AE441" s="6" t="str">
        <x:v>With trade</x:v>
      </x:c>
      <x:c r="AF441" s="7" t="str">
        <x:v>2025-07-21 11:05:00-05:00</x:v>
      </x:c>
      <x:c r="AG441" s="6" t="str">
        <x:v>Short</x:v>
      </x:c>
      <x:c r="AH441" s="6" t="str">
        <x:v>21698.75</x:v>
      </x:c>
      <x:c r="AI441" s="8" t="str">
        <x:v>0</x:v>
      </x:c>
      <x:c r="AJ441" s="6" t="str">
        <x:v>True</x:v>
      </x:c>
      <x:c r="AK441" s="6" t="str">
        <x:v>Same-bar Setup+BOS</x:v>
      </x:c>
      <x:c r="AL441" s="9" t="str">
        <x:v>0.5824085142504776</x:v>
      </x:c>
      <x:c r="AM441" s="9" t="str">
        <x:v>0.08564831091918788</x:v>
      </x:c>
      <x:c r="AN441" s="9" t="str">
        <x:v>0.5995381764343152</x:v>
      </x:c>
      <x:c r="AO441" s="9" t="str">
        <x:v>1.4217619612585188</x:v>
      </x:c>
      <x:c r="AP441" s="10" t="str">
        <x:v>0.42168674698795183</x:v>
      </x:c>
      <x:c r="AQ441" s="6" t="str">
        <x:v>0.024096385542168676</x:v>
      </x:c>
      <x:c r="AR441" s="6" t="str">
        <x:v>0.5542168674698795</x:v>
      </x:c>
      <x:c r="AS441" s="6" t="str">
        <x:v>With trade</x:v>
      </x:c>
      <x:c r="AT441" s="6" t="str">
        <x:v>1.1795988798053803</x:v>
      </x:c>
      <x:c r="AU441" s="7" t="str">
        <x:v>2025-07-21 11:10:00-05:00</x:v>
      </x:c>
      <x:c r="AV441" s="8" t="str">
        <x:v>1</x:v>
      </x:c>
      <x:c r="AW441" s="6" t="str">
        <x:v>Immediate retest (1 bar)</x:v>
      </x:c>
      <x:c r="AX441" s="6" t="str">
        <x:v>21699.5</x:v>
      </x:c>
      <x:c r="AY441" s="6" t="str">
        <x:v>0.75</x:v>
      </x:c>
      <x:c r="AZ441" s="9" t="str">
        <x:v>0.052244168364536624</x:v>
      </x:c>
      <x:c r="BA441" s="9" t="str">
        <x:v>0.0696588911527155</x:v>
      </x:c>
      <x:c r="BB441" s="9" t="str">
        <x:v>0.7836625254680493</x:v>
      </x:c>
      <x:c r="BC441" s="9" t="str">
        <x:v>0.017414722788178873</x:v>
      </x:c>
      <x:c r="BD441" s="6" t="str">
        <x:v>0.13333333333333333</x:v>
      </x:c>
      <x:c r="BE441" s="6" t="str">
        <x:v>0.8444444444444444</x:v>
      </x:c>
      <x:c r="BF441" s="9" t="str">
        <x:v>0.10448833672907325</x:v>
      </x:c>
      <x:c r="BG441" s="9" t="str">
        <x:v>0.6617594659507972</x:v>
      </x:c>
      <x:c r="BH441" s="6" t="str">
        <x:v>With trade</x:v>
      </x:c>
      <x:c r="BI441" s="6" t="str">
        <x:v>Penetration + same-bar reclaim</x:v>
      </x:c>
      <x:c r="BJ441" s="6" t="str">
        <x:v>False</x:v>
      </x:c>
      <x:c r="BK441" s="10" t="str">
        <x:v>True</x:v>
      </x:c>
      <x:c r="BL441" s="6" t="str">
        <x:v>True</x:v>
      </x:c>
      <x:c r="BM441" s="7" t="str">
        <x:v>2025-07-21 11:15:00-05:00</x:v>
      </x:c>
      <x:c r="BN441" s="8" t="str">
        <x:v>1</x:v>
      </x:c>
      <x:c r="BO441" s="6" t="str">
        <x:v>Immediate confirmation (1 bar)</x:v>
      </x:c>
      <x:c r="BP441" s="9" t="str">
        <x:v>0.12121290085419019</x:v>
      </x:c>
      <x:c r="BQ441" s="9" t="str">
        <x:v>1.0735999789942559</x:v>
      </x:c>
      <x:c r="BR441" s="10" t="str">
        <x:v>0.11290322580645161</x:v>
      </x:c>
      <x:c r="BS441" s="9" t="str">
        <x:v>0.20779354432146888</x:v>
      </x:c>
      <x:c r="BT441" s="9" t="str">
        <x:v>0.13852902954764593</x:v>
      </x:c>
      <x:c r="BU441" s="9" t="str">
        <x:v>0.20779354432146888</x:v>
      </x:c>
      <x:c r="BV441" s="6" t="str">
        <x:v>With trade</x:v>
      </x:c>
      <x:c r="BW441" s="7" t="str">
        <x:v>2025-07-21 11:15:00-05:00</x:v>
      </x:c>
      <x:c r="BX441" s="6" t="str">
        <x:v>21695.75</x:v>
      </x:c>
      <x:c r="BY441" s="9" t="str">
        <x:v>14.437407137917734</x:v>
      </x:c>
      <x:c r="BZ441" s="9" t="str">
        <x:v>0.76</x:v>
      </x:c>
      <x:c r="CA441" s="6" t="str">
        <x:v>21717.406110706877</x:v>
      </x:c>
      <x:c r="CB441" s="6" t="str">
        <x:v>21.65611070687737</x:v>
      </x:c>
      <x:c r="CC441" s="9" t="str">
        <x:v>1.5000000000000533</x:v>
      </x:c>
      <x:c r="CD441" s="6" t="str">
        <x:v>21652.437778586245</x:v>
      </x:c>
      <x:c r="CE441" s="6" t="str">
        <x:v>43.31222141375474</x:v>
      </x:c>
      <x:c r="CF441" s="6" t="str">
        <x:v>Fixed 2.00R target</x:v>
      </x:c>
      <x:c r="CG441" s="9" t="str">
        <x:v>0.033477848807346576</x:v>
      </x:c>
      <x:c r="CH441" s="9" t="str">
        <x:v>-1.0</x:v>
      </x:c>
      <x:c r="CI441" s="9" t="str">
        <x:v>-1.0334778488073466</x:v>
      </x:c>
      <x:c r="CJ441" s="6" t="str">
        <x:v>Loss</x:v>
      </x:c>
      <x:c r="CK441" s="9" t="str">
        <x:v>0.784997834103299</x:v>
      </x:c>
      <x:c r="CL441" s="9" t="str">
        <x:v>1.4891870676371408</x:v>
      </x:c>
      <x:c r="CM441" s="7" t="str">
        <x:v>2025-07-21 11:50:00-05:00</x:v>
      </x:c>
      <x:c r="CN441" s="6" t="str">
        <x:v>21717.406110706877</x:v>
      </x:c>
      <x:c r="CO441" s="6" t="str">
        <x:v>STOP</x:v>
      </x:c>
      <x:c r="CP441" s="6" t="str">
        <x:v>F::Short::Same-bar Setup+BOS::Penetration + same-bar reclaim</x:v>
      </x:c>
    </x:row>
    <x:row r="442" ht="18" customHeight="1">
      <x:c r="A442" s="6" t="str">
        <x:v>A0441</x:v>
      </x:c>
      <x:c r="B442" s="6" t="str">
        <x:v>2025-07-21</x:v>
      </x:c>
      <x:c r="C442" s="6" t="str">
        <x:v>2025</x:v>
      </x:c>
      <x:c r="D442" s="6" t="str">
        <x:v>2025-Q3</x:v>
      </x:c>
      <x:c r="E442" s="6" t="str">
        <x:v>Second 50%</x:v>
      </x:c>
      <x:c r="F442" s="6" t="str">
        <x:v>Long</x:v>
      </x:c>
      <x:c r="G442" s="6" t="str">
        <x:v>Long</x:v>
      </x:c>
      <x:c r="H442" s="6" t="str">
        <x:v>Midday</x:v>
      </x:c>
      <x:c r="I442" s="6" t="str">
        <x:v>Morning</x:v>
      </x:c>
      <x:c r="J442" s="6" t="str">
        <x:v>Bull</x:v>
      </x:c>
      <x:c r="K442" s="6" t="str">
        <x:v>Bull</x:v>
      </x:c>
      <x:c r="L442" s="6" t="str">
        <x:v>MID</x:v>
      </x:c>
      <x:c r="M442" s="7" t="str">
        <x:v>2025-07-21 11:50:00-05:00</x:v>
      </x:c>
      <x:c r="N442" s="6" t="str">
        <x:v>85.0</x:v>
      </x:c>
      <x:c r="O442" s="6" t="str">
        <x:v>85-89</x:v>
      </x:c>
      <x:c r="P442" s="6" t="str">
        <x:v>Matching BOS only</x:v>
      </x:c>
      <x:c r="Q442" s="6" t="str">
        <x:v>Bull CHoCH</x:v>
      </x:c>
      <x:c r="R442" s="6" t="str">
        <x:v>True</x:v>
      </x:c>
      <x:c r="S442" s="6" t="str">
        <x:v>False</x:v>
      </x:c>
      <x:c r="T442" s="6" t="str">
        <x:v>Recent SSL</x:v>
      </x:c>
      <x:c r="U442" s="6" t="str">
        <x:v>SSL</x:v>
      </x:c>
      <x:c r="V442" s="6" t="str">
        <x:v>Swing low / sell-side</x:v>
      </x:c>
      <x:c r="W442" s="6" t="str">
        <x:v>[21698.75]</x:v>
      </x:c>
      <x:c r="X442" s="8" t="str">
        <x:v>1</x:v>
      </x:c>
      <x:c r="Y442" s="8" t="str">
        <x:v>10.0</x:v>
      </x:c>
      <x:c r="Z442" s="6" t="str">
        <x:v>None</x:v>
      </x:c>
      <x:c r="AA442" s="6" t="str">
        <x:v>21724.75</x:v>
      </x:c>
      <x:c r="AB442" s="9" t="str">
        <x:v>0.14057418848748293</x:v>
      </x:c>
      <x:c r="AC442" s="9" t="str">
        <x:v>0.8785886780467683</x:v>
      </x:c>
      <x:c r="AD442" s="9" t="str">
        <x:v>0.9664475458514451</x:v>
      </x:c>
      <x:c r="AE442" s="6" t="str">
        <x:v>With trade</x:v>
      </x:c>
      <x:c r="AF442" s="7" t="str">
        <x:v>2025-07-21 11:50:00-05:00</x:v>
      </x:c>
      <x:c r="AG442" s="6" t="str">
        <x:v>Long</x:v>
      </x:c>
      <x:c r="AH442" s="6" t="str">
        <x:v>21724.75</x:v>
      </x:c>
      <x:c r="AI442" s="8" t="str">
        <x:v>0</x:v>
      </x:c>
      <x:c r="AJ442" s="6" t="str">
        <x:v>True</x:v>
      </x:c>
      <x:c r="AK442" s="6" t="str">
        <x:v>Same-bar Setup+BOS</x:v>
      </x:c>
      <x:c r="AL442" s="9" t="str">
        <x:v>0.8961604516077036</x:v>
      </x:c>
      <x:c r="AM442" s="9" t="str">
        <x:v>0.14057418848748293</x:v>
      </x:c>
      <x:c r="AN442" s="9" t="str">
        <x:v>0.8785886780467683</x:v>
      </x:c>
      <x:c r="AO442" s="9" t="str">
        <x:v>0.9664475458514451</x:v>
      </x:c>
      <x:c r="AP442" s="10" t="str">
        <x:v>0.9090909090909091</x:v>
      </x:c>
      <x:c r="AQ442" s="6" t="str">
        <x:v>0.09090909090909091</x:v>
      </x:c>
      <x:c r="AR442" s="6" t="str">
        <x:v>0.0</x:v>
      </x:c>
      <x:c r="AS442" s="6" t="str">
        <x:v>With trade</x:v>
      </x:c>
      <x:c r="AT442" s="6" t="str">
        <x:v>1.0322640374022127</x:v>
      </x:c>
      <x:c r="AU442" s="7" t="str">
        <x:v>2025-07-21 11:55:00-05:00</x:v>
      </x:c>
      <x:c r="AV442" s="8" t="str">
        <x:v>1</x:v>
      </x:c>
      <x:c r="AW442" s="6" t="str">
        <x:v>Immediate retest (1 bar)</x:v>
      </x:c>
      <x:c r="AX442" s="6" t="str">
        <x:v>21721.0</x:v>
      </x:c>
      <x:c r="AY442" s="6" t="str">
        <x:v>3.75</x:v>
      </x:c>
      <x:c r="AZ442" s="9" t="str">
        <x:v>0.2703318958441369</x:v>
      </x:c>
      <x:c r="BA442" s="9" t="str">
        <x:v>0.03604425277921825</x:v>
      </x:c>
      <x:c r="BB442" s="9" t="str">
        <x:v>0.6668186764155377</x:v>
      </x:c>
      <x:c r="BC442" s="9" t="str">
        <x:v>0.09011063194804562</x:v>
      </x:c>
      <x:c r="BD442" s="6" t="str">
        <x:v>0.40540540540540543</x:v>
      </x:c>
      <x:c r="BE442" s="6" t="str">
        <x:v>0.4594594594594595</x:v>
      </x:c>
      <x:c r="BF442" s="9" t="str">
        <x:v>0.30637614862335516</x:v>
      </x:c>
      <x:c r="BG442" s="9" t="str">
        <x:v>0.2703318958441369</x:v>
      </x:c>
      <x:c r="BH442" s="6" t="str">
        <x:v>Against trade</x:v>
      </x:c>
      <x:c r="BI442" s="6" t="str">
        <x:v>Penetration + same-bar reclaim</x:v>
      </x:c>
      <x:c r="BJ442" s="6" t="str">
        <x:v>False</x:v>
      </x:c>
      <x:c r="BK442" s="10" t="str">
        <x:v>True</x:v>
      </x:c>
      <x:c r="BL442" s="6" t="str">
        <x:v>True</x:v>
      </x:c>
      <x:c r="BM442" s="7" t="str">
        <x:v>2025-07-21 12:00:00-05:00</x:v>
      </x:c>
      <x:c r="BN442" s="8" t="str">
        <x:v>1</x:v>
      </x:c>
      <x:c r="BO442" s="6" t="str">
        <x:v>Immediate confirmation (1 bar)</x:v>
      </x:c>
      <x:c r="BP442" s="9" t="str">
        <x:v>0.5853641774019274</x:v>
      </x:c>
      <x:c r="BQ442" s="9" t="str">
        <x:v>0.8048757439276502</x:v>
      </x:c>
      <x:c r="BR442" s="10" t="str">
        <x:v>0.7272727272727273</x:v>
      </x:c>
      <x:c r="BS442" s="9" t="str">
        <x:v>0.6219494384895479</x:v>
      </x:c>
      <x:c r="BT442" s="9" t="str">
        <x:v>0.5853641774019274</x:v>
      </x:c>
      <x:c r="BU442" s="9" t="str">
        <x:v>0.05487789163143069</x:v>
      </x:c>
      <x:c r="BV442" s="6" t="str">
        <x:v>With trade</x:v>
      </x:c>
      <x:c r="BW442" s="7" t="str">
        <x:v>2025-07-21 12:00:00-05:00</x:v>
      </x:c>
      <x:c r="BX442" s="6" t="str">
        <x:v>21733.25</x:v>
      </x:c>
      <x:c r="BY442" s="9" t="str">
        <x:v>13.666705802714294</x:v>
      </x:c>
      <x:c r="BZ442" s="9" t="str">
        <x:v>0.61</x:v>
      </x:c>
      <x:c r="CA442" s="6" t="str">
        <x:v>21712.74994129593</x:v>
      </x:c>
      <x:c r="CB442" s="6" t="str">
        <x:v>20.500058704070398</x:v>
      </x:c>
      <x:c r="CC442" s="9" t="str">
        <x:v>1.4999999999999236</x:v>
      </x:c>
      <x:c r="CD442" s="6" t="str">
        <x:v>21774.250117408144</x:v>
      </x:c>
      <x:c r="CE442" s="6" t="str">
        <x:v>41.00011740814443</x:v>
      </x:c>
      <x:c r="CF442" s="6" t="str">
        <x:v>Fixed 2.00R target</x:v>
      </x:c>
      <x:c r="CG442" s="9" t="str">
        <x:v>0.035365752384701576</x:v>
      </x:c>
      <x:c r="CH442" s="9" t="str">
        <x:v>-0.12195087029206819</x:v>
      </x:c>
      <x:c r="CI442" s="9" t="str">
        <x:v>-0.15731662267676977</x:v>
      </x:c>
      <x:c r="CJ442" s="6" t="str">
        <x:v>Loss</x:v>
      </x:c>
      <x:c r="CK442" s="9" t="str">
        <x:v>0.49999856819750504</x:v>
      </x:c>
      <x:c r="CL442" s="9" t="str">
        <x:v>0.4512182200806753</x:v>
      </x:c>
      <x:c r="CM442" s="7" t="str">
        <x:v>2025-07-21 13:00:00-05:00</x:v>
      </x:c>
      <x:c r="CN442" s="6" t="str">
        <x:v>21730.75</x:v>
      </x:c>
      <x:c r="CO442" s="6" t="str">
        <x:v>TIME</x:v>
      </x:c>
      <x:c r="CP442" s="6" t="str">
        <x:v>F::Long::Same-bar Setup+BOS::Penetration + same-bar reclaim</x:v>
      </x:c>
    </x:row>
    <x:row r="443" ht="18" customHeight="1">
      <x:c r="A443" s="6" t="str">
        <x:v>A0442</x:v>
      </x:c>
      <x:c r="B443" s="6" t="str">
        <x:v>2025-07-21</x:v>
      </x:c>
      <x:c r="C443" s="6" t="str">
        <x:v>2025</x:v>
      </x:c>
      <x:c r="D443" s="6" t="str">
        <x:v>2025-Q3</x:v>
      </x:c>
      <x:c r="E443" s="6" t="str">
        <x:v>Second 50%</x:v>
      </x:c>
      <x:c r="F443" s="6" t="str">
        <x:v>Short</x:v>
      </x:c>
      <x:c r="G443" s="6" t="str">
        <x:v>Short</x:v>
      </x:c>
      <x:c r="H443" s="6" t="str">
        <x:v>Midday</x:v>
      </x:c>
      <x:c r="I443" s="6" t="str">
        <x:v>Midday</x:v>
      </x:c>
      <x:c r="J443" s="6" t="str">
        <x:v>Bull</x:v>
      </x:c>
      <x:c r="K443" s="6" t="str">
        <x:v>Bull</x:v>
      </x:c>
      <x:c r="L443" s="6" t="str">
        <x:v>MID</x:v>
      </x:c>
      <x:c r="M443" s="7" t="str">
        <x:v>2025-07-21 13:45:00-05:00</x:v>
      </x:c>
      <x:c r="N443" s="6" t="str">
        <x:v>75.0</x:v>
      </x:c>
      <x:c r="O443" s="6" t="str">
        <x:v>75-79</x:v>
      </x:c>
      <x:c r="P443" s="6" t="str">
        <x:v>Matching BOS only</x:v>
      </x:c>
      <x:c r="Q443" s="6" t="str">
        <x:v>Bear CHoCH</x:v>
      </x:c>
      <x:c r="R443" s="6" t="str">
        <x:v>True</x:v>
      </x:c>
      <x:c r="S443" s="6" t="str">
        <x:v>False</x:v>
      </x:c>
      <x:c r="T443" s="6" t="str">
        <x:v>No recent matching sweep</x:v>
      </x:c>
      <x:c r="U443" s="6" t="str">
        <x:v>None</x:v>
      </x:c>
      <x:c r="V443" s="6" t="str">
        <x:v>None</x:v>
      </x:c>
      <x:c r="W443" s="6" t="str">
        <x:v>[]</x:v>
      </x:c>
      <x:c r="X443" s="8" t="str">
        <x:v>0</x:v>
      </x:c>
      <x:c r="Y443" s="8" t="str"/>
      <x:c r="Z443" s="6" t="str">
        <x:v>None</x:v>
      </x:c>
      <x:c r="AA443" s="6" t="str">
        <x:v>21721.0</x:v>
      </x:c>
      <x:c r="AB443" s="9" t="str">
        <x:v>0.6308353460897362</x:v>
      </x:c>
      <x:c r="AC443" s="9" t="str">
        <x:v>0.8249385295019628</x:v>
      </x:c>
      <x:c r="AD443" s="9" t="str">
        <x:v>1.625614161077397</x:v>
      </x:c>
      <x:c r="AE443" s="6" t="str">
        <x:v>With trade</x:v>
      </x:c>
      <x:c r="AF443" s="7" t="str">
        <x:v>2025-07-21 13:45:00-05:00</x:v>
      </x:c>
      <x:c r="AG443" s="6" t="str">
        <x:v>Short</x:v>
      </x:c>
      <x:c r="AH443" s="6" t="str">
        <x:v>21721.0</x:v>
      </x:c>
      <x:c r="AI443" s="8" t="str">
        <x:v>0</x:v>
      </x:c>
      <x:c r="AJ443" s="6" t="str">
        <x:v>True</x:v>
      </x:c>
      <x:c r="AK443" s="6" t="str">
        <x:v>Same-bar Setup+BOS</x:v>
      </x:c>
      <x:c r="AL443" s="9" t="str">
        <x:v>0.7764127336489062</x:v>
      </x:c>
      <x:c r="AM443" s="9" t="str">
        <x:v>0.6308353460897362</x:v>
      </x:c>
      <x:c r="AN443" s="9" t="str">
        <x:v>0.8249385295019628</x:v>
      </x:c>
      <x:c r="AO443" s="9" t="str">
        <x:v>1.625614161077397</x:v>
      </x:c>
      <x:c r="AP443" s="10" t="str">
        <x:v>0.5074626865671642</x:v>
      </x:c>
      <x:c r="AQ443" s="6" t="str">
        <x:v>0.11940298507462686</x:v>
      </x:c>
      <x:c r="AR443" s="6" t="str">
        <x:v>0.373134328358209</x:v>
      </x:c>
      <x:c r="AS443" s="6" t="str">
        <x:v>With trade</x:v>
      </x:c>
      <x:c r="AT443" s="6" t="str">
        <x:v>2.4385463454471212</x:v>
      </x:c>
      <x:c r="AU443" s="7" t="str">
        <x:v>2025-07-21 13:50:00-05:00</x:v>
      </x:c>
      <x:c r="AV443" s="8" t="str">
        <x:v>1</x:v>
      </x:c>
      <x:c r="AW443" s="6" t="str">
        <x:v>Immediate retest (1 bar)</x:v>
      </x:c>
      <x:c r="AX443" s="6" t="str">
        <x:v>21721.0</x:v>
      </x:c>
      <x:c r="AY443" s="6" t="str">
        <x:v>0.0</x:v>
      </x:c>
      <x:c r="AZ443" s="9" t="str">
        <x:v>0.0</x:v>
      </x:c>
      <x:c r="BA443" s="9" t="str">
        <x:v>0.6278053998853875</x:v>
      </x:c>
      <x:c r="BB443" s="9" t="str">
        <x:v>1.0624399074983482</x:v>
      </x:c>
      <x:c r="BC443" s="9" t="str">
        <x:v>0.024146361534053366</x:v>
      </x:c>
      <x:c r="BD443" s="6" t="str">
        <x:v>0.5681818181818182</x:v>
      </x:c>
      <x:c r="BE443" s="6" t="str">
        <x:v>0.4090909090909091</x:v>
      </x:c>
      <x:c r="BF443" s="9" t="str">
        <x:v>0.6036590383513342</x:v>
      </x:c>
      <x:c r="BG443" s="9" t="str">
        <x:v>0.43463450761296063</x:v>
      </x:c>
      <x:c r="BH443" s="6" t="str">
        <x:v>With trade</x:v>
      </x:c>
      <x:c r="BI443" s="6" t="str">
        <x:v>Exact BOS touch</x:v>
      </x:c>
      <x:c r="BJ443" s="6" t="str">
        <x:v>True</x:v>
      </x:c>
      <x:c r="BK443" s="10" t="str">
        <x:v>False</x:v>
      </x:c>
      <x:c r="BL443" s="6" t="str">
        <x:v>True</x:v>
      </x:c>
      <x:c r="BM443" s="7" t="str">
        <x:v>2025-07-21 13:55:00-05:00</x:v>
      </x:c>
      <x:c r="BN443" s="8" t="str">
        <x:v>1</x:v>
      </x:c>
      <x:c r="BO443" s="6" t="str">
        <x:v>Immediate confirmation (1 bar)</x:v>
      </x:c>
      <x:c r="BP443" s="9" t="str">
        <x:v>0.43873134913609063</x:v>
      </x:c>
      <x:c r="BQ443" s="9" t="str">
        <x:v>0.8774626982721813</x:v>
      </x:c>
      <x:c r="BR443" s="10" t="str">
        <x:v>0.5</x:v>
      </x:c>
      <x:c r="BS443" s="9" t="str">
        <x:v>1.0237064813175447</x:v>
      </x:c>
      <x:c r="BT443" s="9" t="str">
        <x:v>0.38998342145430276</x:v>
      </x:c>
      <x:c r="BU443" s="9" t="str">
        <x:v>0.024373963840893922</x:v>
      </x:c>
      <x:c r="BV443" s="6" t="str">
        <x:v>With trade</x:v>
      </x:c>
      <x:c r="BW443" s="7" t="str">
        <x:v>2025-07-21 13:55:00-05:00</x:v>
      </x:c>
      <x:c r="BX443" s="6" t="str">
        <x:v>21710.5</x:v>
      </x:c>
      <x:c r="BY443" s="9" t="str">
        <x:v>10.256846265626985</x:v>
      </x:c>
      <x:c r="BZ443" s="9" t="str">
        <x:v>0.4</x:v>
      </x:c>
      <x:c r="CA443" s="6" t="str">
        <x:v>21725.88526939844</x:v>
      </x:c>
      <x:c r="CB443" s="6" t="str">
        <x:v>15.385269398440869</x:v>
      </x:c>
      <x:c r="CC443" s="9" t="str">
        <x:v>1.5000000000000382</x:v>
      </x:c>
      <x:c r="CD443" s="6" t="str">
        <x:v>21679.72946120312</x:v>
      </x:c>
      <x:c r="CE443" s="6" t="str">
        <x:v>30.770538796881738</x:v>
      </x:c>
      <x:c r="CF443" s="6" t="str">
        <x:v>Fixed 2.00R target</x:v>
      </x:c>
      <x:c r="CG443" s="9" t="str">
        <x:v>0.047122996759060384</x:v>
      </x:c>
      <x:c r="CH443" s="9" t="str">
        <x:v>2.0</x:v>
      </x:c>
      <x:c r="CI443" s="9" t="str">
        <x:v>1.9528770032409397</x:v>
      </x:c>
      <x:c r="CJ443" s="6" t="str">
        <x:v>Win</x:v>
      </x:c>
      <x:c r="CK443" s="9" t="str">
        <x:v>2.404897765634806</x:v>
      </x:c>
      <x:c r="CL443" s="9" t="str">
        <x:v>0.14624378304535982</x:v>
      </x:c>
      <x:c r="CM443" s="7" t="str">
        <x:v>2025-07-21 14:40:00-05:00</x:v>
      </x:c>
      <x:c r="CN443" s="6" t="str">
        <x:v>21679.72946120312</x:v>
      </x:c>
      <x:c r="CO443" s="6" t="str">
        <x:v>TARGET</x:v>
      </x:c>
      <x:c r="CP443" s="6" t="str">
        <x:v>F::Short::Same-bar Setup+BOS::Exact BOS touch</x:v>
      </x:c>
    </x:row>
    <x:row r="444" ht="18" customHeight="1">
      <x:c r="A444" s="6" t="str">
        <x:v>A0443</x:v>
      </x:c>
      <x:c r="B444" s="6" t="str">
        <x:v>2025-07-21</x:v>
      </x:c>
      <x:c r="C444" s="6" t="str">
        <x:v>2025</x:v>
      </x:c>
      <x:c r="D444" s="6" t="str">
        <x:v>2025-Q3</x:v>
      </x:c>
      <x:c r="E444" s="6" t="str">
        <x:v>Second 50%</x:v>
      </x:c>
      <x:c r="F444" s="6" t="str">
        <x:v>Short</x:v>
      </x:c>
      <x:c r="G444" s="6" t="str">
        <x:v>Short</x:v>
      </x:c>
      <x:c r="H444" s="6" t="str">
        <x:v>Afternoon</x:v>
      </x:c>
      <x:c r="I444" s="6" t="str">
        <x:v>Afternoon</x:v>
      </x:c>
      <x:c r="J444" s="6" t="str">
        <x:v>Bull</x:v>
      </x:c>
      <x:c r="K444" s="6" t="str">
        <x:v>Bull</x:v>
      </x:c>
      <x:c r="L444" s="6" t="str">
        <x:v>MID</x:v>
      </x:c>
      <x:c r="M444" s="7" t="str">
        <x:v>2025-07-21 14:40:00-05:00</x:v>
      </x:c>
      <x:c r="N444" s="6" t="str">
        <x:v>75.0</x:v>
      </x:c>
      <x:c r="O444" s="6" t="str">
        <x:v>75-79</x:v>
      </x:c>
      <x:c r="P444" s="6" t="str">
        <x:v>Matching BOS only</x:v>
      </x:c>
      <x:c r="Q444" s="6" t="str">
        <x:v>Bear BOS</x:v>
      </x:c>
      <x:c r="R444" s="6" t="str">
        <x:v>True</x:v>
      </x:c>
      <x:c r="S444" s="6" t="str">
        <x:v>False</x:v>
      </x:c>
      <x:c r="T444" s="6" t="str">
        <x:v>No recent matching sweep</x:v>
      </x:c>
      <x:c r="U444" s="6" t="str">
        <x:v>None</x:v>
      </x:c>
      <x:c r="V444" s="6" t="str">
        <x:v>None</x:v>
      </x:c>
      <x:c r="W444" s="6" t="str">
        <x:v>[]</x:v>
      </x:c>
      <x:c r="X444" s="8" t="str">
        <x:v>0</x:v>
      </x:c>
      <x:c r="Y444" s="8" t="str"/>
      <x:c r="Z444" s="6" t="str">
        <x:v>None</x:v>
      </x:c>
      <x:c r="AA444" s="6" t="str">
        <x:v>21680.0</x:v>
      </x:c>
      <x:c r="AB444" s="9" t="str">
        <x:v>0.23979192535727506</x:v>
      </x:c>
      <x:c r="AC444" s="9" t="str">
        <x:v>1.2788902685721337</x:v>
      </x:c>
      <x:c r="AD444" s="9" t="str">
        <x:v>1.7784567797331234</x:v>
      </x:c>
      <x:c r="AE444" s="6" t="str">
        <x:v>With trade</x:v>
      </x:c>
      <x:c r="AF444" s="7" t="str">
        <x:v>2025-07-21 14:40:00-05:00</x:v>
      </x:c>
      <x:c r="AG444" s="6" t="str">
        <x:v>Short</x:v>
      </x:c>
      <x:c r="AH444" s="6" t="str">
        <x:v>21680.0</x:v>
      </x:c>
      <x:c r="AI444" s="8" t="str">
        <x:v>0</x:v>
      </x:c>
      <x:c r="AJ444" s="6" t="str">
        <x:v>True</x:v>
      </x:c>
      <x:c r="AK444" s="6" t="str">
        <x:v>Same-bar Setup+BOS</x:v>
      </x:c>
      <x:c r="AL444" s="9" t="str">
        <x:v>1.2389249476792545</x:v>
      </x:c>
      <x:c r="AM444" s="9" t="str">
        <x:v>0.23979192535727506</x:v>
      </x:c>
      <x:c r="AN444" s="9" t="str">
        <x:v>1.2788902685721337</x:v>
      </x:c>
      <x:c r="AO444" s="9" t="str">
        <x:v>1.7784567797331234</x:v>
      </x:c>
      <x:c r="AP444" s="10" t="str">
        <x:v>0.7191011235955056</x:v>
      </x:c>
      <x:c r="AQ444" s="6" t="str">
        <x:v>0.12359550561797752</x:v>
      </x:c>
      <x:c r="AR444" s="6" t="str">
        <x:v>0.15730337078651685</x:v>
      </x:c>
      <x:c r="AS444" s="6" t="str">
        <x:v>With trade</x:v>
      </x:c>
      <x:c r="AT444" s="6" t="str">
        <x:v>1.7720602128865655</x:v>
      </x:c>
      <x:c r="AU444" s="7" t="str">
        <x:v>2025-07-21 14:50:00-05:00</x:v>
      </x:c>
      <x:c r="AV444" s="8" t="str">
        <x:v>2</x:v>
      </x:c>
      <x:c r="AW444" s="6" t="str">
        <x:v>Delayed retest (2+ bars)</x:v>
      </x:c>
      <x:c r="AX444" s="6" t="str">
        <x:v>21682.5</x:v>
      </x:c>
      <x:c r="AY444" s="6" t="str">
        <x:v>2.5</x:v>
      </x:c>
      <x:c r="AZ444" s="9" t="str">
        <x:v>0.1846907862669909</x:v>
      </x:c>
      <x:c r="BA444" s="9" t="str">
        <x:v>1.0712065603485472</x:v>
      </x:c>
      <x:c r="BB444" s="9" t="str">
        <x:v>1.6252789191495198</x:v>
      </x:c>
      <x:c r="BC444" s="9" t="str">
        <x:v>0.4432578870407781</x:v>
      </x:c>
      <x:c r="BD444" s="6" t="str">
        <x:v>0.5</x:v>
      </x:c>
      <x:c r="BE444" s="6" t="str">
        <x:v>0.22727272727272727</x:v>
      </x:c>
      <x:c r="BF444" s="9" t="str">
        <x:v>0.8126394595747599</x:v>
      </x:c>
      <x:c r="BG444" s="9" t="str">
        <x:v>0.3693815725339818</x:v>
      </x:c>
      <x:c r="BH444" s="6" t="str">
        <x:v>With trade</x:v>
      </x:c>
      <x:c r="BI444" s="6" t="str">
        <x:v>Penetration + same-bar reclaim</x:v>
      </x:c>
      <x:c r="BJ444" s="6" t="str">
        <x:v>False</x:v>
      </x:c>
      <x:c r="BK444" s="10" t="str">
        <x:v>True</x:v>
      </x:c>
      <x:c r="BL444" s="6" t="str">
        <x:v>True</x:v>
      </x:c>
      <x:c r="BM444" s="7" t="str">
        <x:v>2025-07-21 14:55:00-05:00</x:v>
      </x:c>
      <x:c r="BN444" s="8" t="str">
        <x:v>1</x:v>
      </x:c>
      <x:c r="BO444" s="6" t="str">
        <x:v>Immediate confirmation (1 bar)</x:v>
      </x:c>
      <x:c r="BP444" s="9" t="str">
        <x:v>0.08907221541346465</x:v>
      </x:c>
      <x:c r="BQ444" s="9" t="str">
        <x:v>1.4607843327808203</x:v>
      </x:c>
      <x:c r="BR444" s="10" t="str">
        <x:v>0.06097560975609756</x:v>
      </x:c>
      <x:c r="BS444" s="9" t="str">
        <x:v>1.0866810280442687</x:v>
      </x:c>
      <x:c r="BT444" s="9" t="str">
        <x:v>0.05344332924807879</x:v>
      </x:c>
      <x:c r="BU444" s="9" t="str">
        <x:v>0.21377331699231517</x:v>
      </x:c>
      <x:c r="BV444" s="6" t="str">
        <x:v>With trade</x:v>
      </x:c>
      <x:c r="BW444" s="7" t="str">
        <x:v>2025-07-21 14:55:00-05:00</x:v>
      </x:c>
      <x:c r="BX444" s="6" t="str">
        <x:v>21664.75</x:v>
      </x:c>
      <x:c r="BY444" s="9" t="str">
        <x:v>14.033556863917893</x:v>
      </x:c>
      <x:c r="BZ444" s="9" t="str">
        <x:v>0.64</x:v>
      </x:c>
      <x:c r="CA444" s="6" t="str">
        <x:v>21685.800335295877</x:v>
      </x:c>
      <x:c r="CB444" s="6" t="str">
        <x:v>21.05033529587672</x:v>
      </x:c>
      <x:c r="CC444" s="9" t="str">
        <x:v>1.4999999999999916</x:v>
      </x:c>
      <x:c r="CD444" s="6" t="str">
        <x:v>21622.649329408247</x:v>
      </x:c>
      <x:c r="CE444" s="6" t="str">
        <x:v>42.10067059175344</x:v>
      </x:c>
      <x:c r="CF444" s="6" t="str">
        <x:v>Fixed 2.00R target</x:v>
      </x:c>
      <x:c r="CG444" s="9" t="str">
        <x:v>0.03444125662653986</x:v>
      </x:c>
      <x:c r="CH444" s="9" t="str">
        <x:v>-0.10688665849615758</x:v>
      </x:c>
      <x:c r="CI444" s="9" t="str">
        <x:v>-0.14132791512269743</x:v>
      </x:c>
      <x:c r="CJ444" s="6" t="str">
        <x:v>Loss</x:v>
      </x:c>
      <x:c r="CK444" s="9" t="str">
        <x:v>0.3087836801000125</x:v>
      </x:c>
      <x:c r="CL444" s="9" t="str">
        <x:v>0.4631755201500188</x:v>
      </x:c>
      <x:c r="CM444" s="7" t="str">
        <x:v>2025-07-21 15:55:00-05:00</x:v>
      </x:c>
      <x:c r="CN444" s="6" t="str">
        <x:v>21667.0</x:v>
      </x:c>
      <x:c r="CO444" s="6" t="str">
        <x:v>TIME</x:v>
      </x:c>
      <x:c r="CP444" s="6" t="str">
        <x:v>F::Short::Same-bar Setup+BOS::Penetration + same-bar reclaim</x:v>
      </x:c>
    </x:row>
    <x:row r="445" ht="18" customHeight="1">
      <x:c r="A445" s="6" t="str">
        <x:v>A0444</x:v>
      </x:c>
      <x:c r="B445" s="6" t="str">
        <x:v>2025-07-21</x:v>
      </x:c>
      <x:c r="C445" s="6" t="str">
        <x:v>2025</x:v>
      </x:c>
      <x:c r="D445" s="6" t="str">
        <x:v>2025-Q3</x:v>
      </x:c>
      <x:c r="E445" s="6" t="str">
        <x:v>Second 50%</x:v>
      </x:c>
      <x:c r="F445" s="6" t="str">
        <x:v>Long</x:v>
      </x:c>
      <x:c r="G445" s="6" t="str">
        <x:v>Long</x:v>
      </x:c>
      <x:c r="H445" s="6" t="str">
        <x:v>Overnight</x:v>
      </x:c>
      <x:c r="I445" s="6" t="str">
        <x:v>Overnight</x:v>
      </x:c>
      <x:c r="J445" s="6" t="str">
        <x:v>Bull</x:v>
      </x:c>
      <x:c r="K445" s="6" t="str">
        <x:v>Bull</x:v>
      </x:c>
      <x:c r="L445" s="6" t="str">
        <x:v>LOW</x:v>
      </x:c>
      <x:c r="M445" s="7" t="str">
        <x:v>2025-07-21 20:00:00-05:00</x:v>
      </x:c>
      <x:c r="N445" s="6" t="str">
        <x:v>75.0</x:v>
      </x:c>
      <x:c r="O445" s="6" t="str">
        <x:v>75-79</x:v>
      </x:c>
      <x:c r="P445" s="6" t="str">
        <x:v>Matching liquidity sweep only</x:v>
      </x:c>
      <x:c r="Q445" s="6" t="str">
        <x:v>Recent bull structure</x:v>
      </x:c>
      <x:c r="R445" s="6" t="str">
        <x:v>False</x:v>
      </x:c>
      <x:c r="S445" s="6" t="str">
        <x:v>True</x:v>
      </x:c>
      <x:c r="T445" s="6" t="str">
        <x:v>Recent SSL</x:v>
      </x:c>
      <x:c r="U445" s="6" t="str">
        <x:v>SSL</x:v>
      </x:c>
      <x:c r="V445" s="6" t="str">
        <x:v>Swing low / sell-side</x:v>
      </x:c>
      <x:c r="W445" s="6" t="str">
        <x:v>[21655.5]</x:v>
      </x:c>
      <x:c r="X445" s="8" t="str">
        <x:v>1</x:v>
      </x:c>
      <x:c r="Y445" s="8" t="str">
        <x:v>0.0</x:v>
      </x:c>
      <x:c r="Z445" s="6" t="str">
        <x:v>None</x:v>
      </x:c>
      <x:c r="AA445" s="6" t="str">
        <x:v>21681.25</x:v>
      </x:c>
      <x:c r="AB445" s="9" t="str">
        <x:v>-3.669410538475404</x:v>
      </x:c>
      <x:c r="AC445" s="9" t="str">
        <x:v>0.3156482183634756</x:v>
      </x:c>
      <x:c r="AD445" s="9" t="str">
        <x:v>1.4204169826356403</x:v>
      </x:c>
      <x:c r="AE445" s="6" t="str">
        <x:v>Against trade</x:v>
      </x:c>
      <x:c r="AF445" s="7" t="str">
        <x:v>2025-07-21 20:45:00-05:00</x:v>
      </x:c>
      <x:c r="AG445" s="6" t="str">
        <x:v>Long</x:v>
      </x:c>
      <x:c r="AH445" s="6" t="str">
        <x:v>21681.25</x:v>
      </x:c>
      <x:c r="AI445" s="8" t="str">
        <x:v>9</x:v>
      </x:c>
      <x:c r="AJ445" s="6" t="str">
        <x:v>False</x:v>
      </x:c>
      <x:c r="AK445" s="6" t="str">
        <x:v>Delayed BOS</x:v>
      </x:c>
      <x:c r="AL445" s="9" t="str">
        <x:v>0.8952358361330234</x:v>
      </x:c>
      <x:c r="AM445" s="9" t="str">
        <x:v>0.3357134385498838</x:v>
      </x:c>
      <x:c r="AN445" s="9" t="str">
        <x:v>0.8952358361330234</x:v>
      </x:c>
      <x:c r="AO445" s="9" t="str">
        <x:v>1.4920597268883724</x:v>
      </x:c>
      <x:c r="AP445" s="10" t="str">
        <x:v>0.6</x:v>
      </x:c>
      <x:c r="AQ445" s="6" t="str">
        <x:v>0.35</x:v>
      </x:c>
      <x:c r="AR445" s="6" t="str">
        <x:v>0.05</x:v>
      </x:c>
      <x:c r="AS445" s="6" t="str">
        <x:v>With trade</x:v>
      </x:c>
      <x:c r="AT445" s="6" t="str">
        <x:v>1.4172464002588578</x:v>
      </x:c>
      <x:c r="AU445" s="7" t="str">
        <x:v>2025-07-21 20:50:00-05:00</x:v>
      </x:c>
      <x:c r="AV445" s="8" t="str">
        <x:v>1</x:v>
      </x:c>
      <x:c r="AW445" s="6" t="str">
        <x:v>Immediate retest (1 bar)</x:v>
      </x:c>
      <x:c r="AX445" s="6" t="str">
        <x:v>21681.75</x:v>
      </x:c>
      <x:c r="AY445" s="6" t="str">
        <x:v>0.0</x:v>
      </x:c>
      <x:c r="AZ445" s="9" t="str">
        <x:v>0.0</x:v>
      </x:c>
      <x:c r="BA445" s="9" t="str">
        <x:v>0.1941685537143871</x:v>
      </x:c>
      <x:c r="BB445" s="9" t="str">
        <x:v>0.46600452891452904</x:v>
      </x:c>
      <x:c r="BC445" s="9" t="str">
        <x:v>0.11650113222863226</x:v>
      </x:c>
      <x:c r="BD445" s="6" t="str">
        <x:v>0.5</x:v>
      </x:c>
      <x:c r="BE445" s="6" t="str">
        <x:v>0.25</x:v>
      </x:c>
      <x:c r="BF445" s="9" t="str">
        <x:v>0.11650113222863226</x:v>
      </x:c>
      <x:c r="BG445" s="9" t="str">
        <x:v>0.23300226445726452</x:v>
      </x:c>
      <x:c r="BH445" s="6" t="str">
        <x:v>Against trade</x:v>
      </x:c>
      <x:c r="BI445" s="6" t="str">
        <x:v>Tolerance-only shallow touch</x:v>
      </x:c>
      <x:c r="BJ445" s="6" t="str">
        <x:v>True</x:v>
      </x:c>
      <x:c r="BK445" s="10" t="str">
        <x:v>False</x:v>
      </x:c>
      <x:c r="BL445" s="6" t="str">
        <x:v>True</x:v>
      </x:c>
      <x:c r="BM445" s="7" t="str">
        <x:v>2025-07-21 20:55:00-05:00</x:v>
      </x:c>
      <x:c r="BN445" s="8" t="str">
        <x:v>1</x:v>
      </x:c>
      <x:c r="BO445" s="6" t="str">
        <x:v>Immediate confirmation (1 bar)</x:v>
      </x:c>
      <x:c r="BP445" s="9" t="str">
        <x:v>0.48170565771940366</x:v>
      </x:c>
      <x:c r="BQ445" s="9" t="str">
        <x:v>0.5218477958626873</x:v>
      </x:c>
      <x:c r="BR445" s="10" t="str">
        <x:v>0.9230769230769231</x:v>
      </x:c>
      <x:c r="BS445" s="9" t="str">
        <x:v>0.7225584865791055</x:v>
      </x:c>
      <x:c r="BT445" s="9" t="str">
        <x:v>0.5218477958626873</x:v>
      </x:c>
      <x:c r="BU445" s="9" t="str">
        <x:v>0.0</x:v>
      </x:c>
      <x:c r="BV445" s="6" t="str">
        <x:v>With trade</x:v>
      </x:c>
      <x:c r="BW445" s="7" t="str">
        <x:v>2025-07-21 20:55:00-05:00</x:v>
      </x:c>
      <x:c r="BX445" s="6" t="str">
        <x:v>21685.75</x:v>
      </x:c>
      <x:c r="BY445" s="9" t="str">
        <x:v>6.227869554622332</x:v>
      </x:c>
      <x:c r="BZ445" s="9" t="str">
        <x:v>0.08</x:v>
      </x:c>
      <x:c r="CA445" s="6" t="str">
        <x:v>21676.408195668067</x:v>
      </x:c>
      <x:c r="CB445" s="6" t="str">
        <x:v>9.341804331932508</x:v>
      </x:c>
      <x:c r="CC445" s="9" t="str">
        <x:v>1.499999999999841</x:v>
      </x:c>
      <x:c r="CD445" s="6" t="str">
        <x:v>21704.43360866387</x:v>
      </x:c>
      <x:c r="CE445" s="6" t="str">
        <x:v>18.683608663868654</x:v>
      </x:c>
      <x:c r="CF445" s="6" t="str">
        <x:v>Fixed 2.00R target</x:v>
      </x:c>
      <x:c r="CG445" s="9" t="str">
        <x:v>0.07760813374368992</x:v>
      </x:c>
      <x:c r="CH445" s="9" t="str">
        <x:v>-1.0</x:v>
      </x:c>
      <x:c r="CI445" s="9" t="str">
        <x:v>-1.07760813374369</x:v>
      </x:c>
      <x:c r="CJ445" s="6" t="str">
        <x:v>Loss</x:v>
      </x:c>
      <x:c r="CK445" s="9" t="str">
        <x:v>0.026761425428858596</x:v>
      </x:c>
      <x:c r="CL445" s="9" t="str">
        <x:v>1.3380712714429297</x:v>
      </x:c>
      <x:c r="CM445" s="7" t="str">
        <x:v>2025-07-21 21:05:00-05:00</x:v>
      </x:c>
      <x:c r="CN445" s="6" t="str">
        <x:v>21676.408195668067</x:v>
      </x:c>
      <x:c r="CO445" s="6" t="str">
        <x:v>STOP</x:v>
      </x:c>
      <x:c r="CP445" s="6" t="str">
        <x:v>F::Long::Delayed BOS::Tolerance-only shallow touch</x:v>
      </x:c>
    </x:row>
    <x:row r="446" ht="18" customHeight="1">
      <x:c r="A446" s="6" t="str">
        <x:v>A0445</x:v>
      </x:c>
      <x:c r="B446" s="6" t="str">
        <x:v>2025-07-23</x:v>
      </x:c>
      <x:c r="C446" s="6" t="str">
        <x:v>2025</x:v>
      </x:c>
      <x:c r="D446" s="6" t="str">
        <x:v>2025-Q3</x:v>
      </x:c>
      <x:c r="E446" s="6" t="str">
        <x:v>Second 50%</x:v>
      </x:c>
      <x:c r="F446" s="6" t="str">
        <x:v>Short</x:v>
      </x:c>
      <x:c r="G446" s="6" t="str">
        <x:v>Short</x:v>
      </x:c>
      <x:c r="H446" s="6" t="str">
        <x:v>Premarket</x:v>
      </x:c>
      <x:c r="I446" s="6" t="str">
        <x:v>Premarket</x:v>
      </x:c>
      <x:c r="J446" s="6" t="str">
        <x:v>Bear</x:v>
      </x:c>
      <x:c r="K446" s="6" t="str">
        <x:v>Bear</x:v>
      </x:c>
      <x:c r="L446" s="6" t="str">
        <x:v>HIGH</x:v>
      </x:c>
      <x:c r="M446" s="7" t="str">
        <x:v>2025-07-23 08:30:00-05:00</x:v>
      </x:c>
      <x:c r="N446" s="6" t="str">
        <x:v>90.0</x:v>
      </x:c>
      <x:c r="O446" s="6" t="str">
        <x:v>90-94</x:v>
      </x:c>
      <x:c r="P446" s="6" t="str">
        <x:v>Matching BOS only</x:v>
      </x:c>
      <x:c r="Q446" s="6" t="str">
        <x:v>Bear BOS</x:v>
      </x:c>
      <x:c r="R446" s="6" t="str">
        <x:v>True</x:v>
      </x:c>
      <x:c r="S446" s="6" t="str">
        <x:v>False</x:v>
      </x:c>
      <x:c r="T446" s="6" t="str">
        <x:v>Recent BSL</x:v>
      </x:c>
      <x:c r="U446" s="6" t="str">
        <x:v>BSL</x:v>
      </x:c>
      <x:c r="V446" s="6" t="str">
        <x:v>Swing high / buy-side</x:v>
      </x:c>
      <x:c r="W446" s="6" t="str">
        <x:v>[21588.75]</x:v>
      </x:c>
      <x:c r="X446" s="8" t="str">
        <x:v>1</x:v>
      </x:c>
      <x:c r="Y446" s="8" t="str">
        <x:v>2.0</x:v>
      </x:c>
      <x:c r="Z446" s="6" t="str">
        <x:v>None</x:v>
      </x:c>
      <x:c r="AA446" s="6" t="str">
        <x:v>21550.25</x:v>
      </x:c>
      <x:c r="AB446" s="9" t="str">
        <x:v>0.5844365941541988</x:v>
      </x:c>
      <x:c r="AC446" s="9" t="str">
        <x:v>2.41080095088607</x:v>
      </x:c>
      <x:c r="AD446" s="9" t="str">
        <x:v>4.719325497795155</x:v>
      </x:c>
      <x:c r="AE446" s="6" t="str">
        <x:v>With trade</x:v>
      </x:c>
      <x:c r="AF446" s="7" t="str">
        <x:v>2025-07-23 08:30:00-05:00</x:v>
      </x:c>
      <x:c r="AG446" s="6" t="str">
        <x:v>Short</x:v>
      </x:c>
      <x:c r="AH446" s="6" t="str">
        <x:v>21550.25</x:v>
      </x:c>
      <x:c r="AI446" s="8" t="str">
        <x:v>0</x:v>
      </x:c>
      <x:c r="AJ446" s="6" t="str">
        <x:v>True</x:v>
      </x:c>
      <x:c r="AK446" s="6" t="str">
        <x:v>Same-bar Setup+BOS</x:v>
      </x:c>
      <x:c r="AL446" s="9" t="str">
        <x:v>2.396190036032215</x:v>
      </x:c>
      <x:c r="AM446" s="9" t="str">
        <x:v>0.5844365941541988</x:v>
      </x:c>
      <x:c r="AN446" s="9" t="str">
        <x:v>2.41080095088607</x:v>
      </x:c>
      <x:c r="AO446" s="9" t="str">
        <x:v>4.719325497795155</x:v>
      </x:c>
      <x:c r="AP446" s="10" t="str">
        <x:v>0.5108359133126935</x:v>
      </x:c>
      <x:c r="AQ446" s="6" t="str">
        <x:v>0.02786377708978328</x:v>
      </x:c>
      <x:c r="AR446" s="6" t="str">
        <x:v>0.4613003095975232</x:v>
      </x:c>
      <x:c r="AS446" s="6" t="str">
        <x:v>With trade</x:v>
      </x:c>
      <x:c r="AT446" s="6" t="str">
        <x:v>18.870975893263253</x:v>
      </x:c>
      <x:c r="AU446" s="7" t="str">
        <x:v>2025-07-23 08:35:00-05:00</x:v>
      </x:c>
      <x:c r="AV446" s="8" t="str">
        <x:v>1</x:v>
      </x:c>
      <x:c r="AW446" s="6" t="str">
        <x:v>Immediate retest (1 bar)</x:v>
      </x:c>
      <x:c r="AX446" s="6" t="str">
        <x:v>21558.0</x:v>
      </x:c>
      <x:c r="AY446" s="6" t="str">
        <x:v>7.75</x:v>
      </x:c>
      <x:c r="AZ446" s="9" t="str">
        <x:v>0.4380538416200245</x:v>
      </x:c>
      <x:c r="BA446" s="9" t="str">
        <x:v>0.32500768894388915</x:v>
      </x:c>
      <x:c r="BB446" s="9" t="str">
        <x:v>1.4272076775362088</x:v>
      </x:c>
      <x:c r="BC446" s="9" t="str">
        <x:v>0.2826153816903384</x:v>
      </x:c>
      <x:c r="BD446" s="6" t="str">
        <x:v>0.5346534653465347</x:v>
      </x:c>
      <x:c r="BE446" s="6" t="str">
        <x:v>0.26732673267326734</x:v>
      </x:c>
      <x:c r="BF446" s="9" t="str">
        <x:v>0.7630615305639137</x:v>
      </x:c>
      <x:c r="BG446" s="9" t="str">
        <x:v>0.38153076528195684</x:v>
      </x:c>
      <x:c r="BH446" s="6" t="str">
        <x:v>Against trade</x:v>
      </x:c>
      <x:c r="BI446" s="6" t="str">
        <x:v>Penetration + same-bar reclaim</x:v>
      </x:c>
      <x:c r="BJ446" s="6" t="str">
        <x:v>False</x:v>
      </x:c>
      <x:c r="BK446" s="10" t="str">
        <x:v>True</x:v>
      </x:c>
      <x:c r="BL446" s="6" t="str">
        <x:v>True</x:v>
      </x:c>
      <x:c r="BM446" s="7" t="str">
        <x:v>2025-07-23 08:40:00-05:00</x:v>
      </x:c>
      <x:c r="BN446" s="8" t="str">
        <x:v>1</x:v>
      </x:c>
      <x:c r="BO446" s="6" t="str">
        <x:v>Immediate confirmation (1 bar)</x:v>
      </x:c>
      <x:c r="BP446" s="9" t="str">
        <x:v>1.3960775030871255</x:v>
      </x:c>
      <x:c r="BQ446" s="9" t="str">
        <x:v>1.883387574919424</x:v>
      </x:c>
      <x:c r="BR446" s="10" t="str">
        <x:v>0.7412587412587412</x:v>
      </x:c>
      <x:c r="BS446" s="9" t="str">
        <x:v>1.7121705226540218</x:v>
      </x:c>
      <x:c r="BT446" s="9" t="str">
        <x:v>1.4092480455690795</x:v>
      </x:c>
      <x:c r="BU446" s="9" t="str">
        <x:v>0.42145735942252843</x:v>
      </x:c>
      <x:c r="BV446" s="6" t="str">
        <x:v>With trade</x:v>
      </x:c>
      <x:c r="BW446" s="7" t="str">
        <x:v>2025-07-23 08:40:00-05:00</x:v>
      </x:c>
      <x:c r="BX446" s="6" t="str">
        <x:v>21517.75</x:v>
      </x:c>
      <x:c r="BY446" s="9" t="str">
        <x:v>18.98175419444905</x:v>
      </x:c>
      <x:c r="BZ446" s="9" t="str">
        <x:v>1.0</x:v>
      </x:c>
      <x:c r="CA446" s="6" t="str">
        <x:v>21546.222631291672</x:v>
      </x:c>
      <x:c r="CB446" s="6" t="str">
        <x:v>28.47263129167186</x:v>
      </x:c>
      <x:c r="CC446" s="9" t="str">
        <x:v>1.4999999999999096</x:v>
      </x:c>
      <x:c r="CD446" s="6" t="str">
        <x:v>21460.804737416653</x:v>
      </x:c>
      <x:c r="CE446" s="6" t="str">
        <x:v>56.94526258334736</x:v>
      </x:c>
      <x:c r="CF446" s="6" t="str">
        <x:v>Fixed 2.00R target</x:v>
      </x:c>
      <x:c r="CG446" s="9" t="str">
        <x:v>0.02546304879844596</x:v>
      </x:c>
      <x:c r="CH446" s="9" t="str">
        <x:v>0.842914718845057</x:v>
      </x:c>
      <x:c r="CI446" s="9" t="str">
        <x:v>0.817451670046611</x:v>
      </x:c>
      <x:c r="CJ446" s="6" t="str">
        <x:v>Win</x:v>
      </x:c>
      <x:c r="CK446" s="9" t="str">
        <x:v>1.7911937775458537</x:v>
      </x:c>
      <x:c r="CL446" s="9" t="str">
        <x:v>0.46535916769573654</x:v>
      </x:c>
      <x:c r="CM446" s="7" t="str">
        <x:v>2025-07-23 09:40:00-05:00</x:v>
      </x:c>
      <x:c r="CN446" s="6" t="str">
        <x:v>21493.75</x:v>
      </x:c>
      <x:c r="CO446" s="6" t="str">
        <x:v>TIME</x:v>
      </x:c>
      <x:c r="CP446" s="6" t="str">
        <x:v>F::Short::Same-bar Setup+BOS::Penetration + same-bar reclaim</x:v>
      </x:c>
    </x:row>
    <x:row r="447" ht="18" customHeight="1">
      <x:c r="A447" s="6" t="str">
        <x:v>A0446</x:v>
      </x:c>
      <x:c r="B447" s="6" t="str">
        <x:v>2025-07-23</x:v>
      </x:c>
      <x:c r="C447" s="6" t="str">
        <x:v>2025</x:v>
      </x:c>
      <x:c r="D447" s="6" t="str">
        <x:v>2025-Q3</x:v>
      </x:c>
      <x:c r="E447" s="6" t="str">
        <x:v>Second 50%</x:v>
      </x:c>
      <x:c r="F447" s="6" t="str">
        <x:v>Long</x:v>
      </x:c>
      <x:c r="G447" s="6" t="str">
        <x:v>Long</x:v>
      </x:c>
      <x:c r="H447" s="6" t="str">
        <x:v>Overnight</x:v>
      </x:c>
      <x:c r="I447" s="6" t="str">
        <x:v>Overnight</x:v>
      </x:c>
      <x:c r="J447" s="6" t="str">
        <x:v>Bull</x:v>
      </x:c>
      <x:c r="K447" s="6" t="str">
        <x:v>Bull</x:v>
      </x:c>
      <x:c r="L447" s="6" t="str">
        <x:v>LOW</x:v>
      </x:c>
      <x:c r="M447" s="7" t="str">
        <x:v>2025-07-23 20:15:00-05:00</x:v>
      </x:c>
      <x:c r="N447" s="6" t="str">
        <x:v>90.0</x:v>
      </x:c>
      <x:c r="O447" s="6" t="str">
        <x:v>90-94</x:v>
      </x:c>
      <x:c r="P447" s="6" t="str">
        <x:v>Matching BOS only</x:v>
      </x:c>
      <x:c r="Q447" s="6" t="str">
        <x:v>Bull BOS</x:v>
      </x:c>
      <x:c r="R447" s="6" t="str">
        <x:v>True</x:v>
      </x:c>
      <x:c r="S447" s="6" t="str">
        <x:v>False</x:v>
      </x:c>
      <x:c r="T447" s="6" t="str">
        <x:v>Recent SSL</x:v>
      </x:c>
      <x:c r="U447" s="6" t="str">
        <x:v>SSL</x:v>
      </x:c>
      <x:c r="V447" s="6" t="str">
        <x:v>Swing low / sell-side</x:v>
      </x:c>
      <x:c r="W447" s="6" t="str">
        <x:v>[21703.0]</x:v>
      </x:c>
      <x:c r="X447" s="8" t="str">
        <x:v>1</x:v>
      </x:c>
      <x:c r="Y447" s="8" t="str">
        <x:v>14.0</x:v>
      </x:c>
      <x:c r="Z447" s="6" t="str">
        <x:v>None</x:v>
      </x:c>
      <x:c r="AA447" s="6" t="str">
        <x:v>21727.0</x:v>
      </x:c>
      <x:c r="AB447" s="9" t="str">
        <x:v>0.5493898898560231</x:v>
      </x:c>
      <x:c r="AC447" s="9" t="str">
        <x:v>1.0987797797120462</x:v>
      </x:c>
      <x:c r="AD447" s="9" t="str">
        <x:v>1.5614238974855394</x:v>
      </x:c>
      <x:c r="AE447" s="6" t="str">
        <x:v>With trade</x:v>
      </x:c>
      <x:c r="AF447" s="7" t="str">
        <x:v>2025-07-23 20:15:00-05:00</x:v>
      </x:c>
      <x:c r="AG447" s="6" t="str">
        <x:v>Long</x:v>
      </x:c>
      <x:c r="AH447" s="6" t="str">
        <x:v>21727.0</x:v>
      </x:c>
      <x:c r="AI447" s="8" t="str">
        <x:v>0</x:v>
      </x:c>
      <x:c r="AJ447" s="6" t="str">
        <x:v>True</x:v>
      </x:c>
      <x:c r="AK447" s="6" t="str">
        <x:v>Same-bar Setup+BOS</x:v>
      </x:c>
      <x:c r="AL447" s="9" t="str">
        <x:v>1.0409492649903596</x:v>
      </x:c>
      <x:c r="AM447" s="9" t="str">
        <x:v>0.5493898898560231</x:v>
      </x:c>
      <x:c r="AN447" s="9" t="str">
        <x:v>1.0987797797120462</x:v>
      </x:c>
      <x:c r="AO447" s="9" t="str">
        <x:v>1.5614238974855394</x:v>
      </x:c>
      <x:c r="AP447" s="10" t="str">
        <x:v>0.7037037037037037</x:v>
      </x:c>
      <x:c r="AQ447" s="6" t="str">
        <x:v>0.24074074074074073</x:v>
      </x:c>
      <x:c r="AR447" s="6" t="str">
        <x:v>0.05555555555555555</x:v>
      </x:c>
      <x:c r="AS447" s="6" t="str">
        <x:v>With trade</x:v>
      </x:c>
      <x:c r="AT447" s="6" t="str">
        <x:v>2.54326561324304</x:v>
      </x:c>
      <x:c r="AU447" s="7" t="str">
        <x:v>2025-07-23 20:30:00-05:00</x:v>
      </x:c>
      <x:c r="AV447" s="8" t="str">
        <x:v>3</x:v>
      </x:c>
      <x:c r="AW447" s="6" t="str">
        <x:v>Delayed retest (2+ bars)</x:v>
      </x:c>
      <x:c r="AX447" s="6" t="str">
        <x:v>21726.25</x:v>
      </x:c>
      <x:c r="AY447" s="6" t="str">
        <x:v>0.75</x:v>
      </x:c>
      <x:c r="AZ447" s="9" t="str">
        <x:v>0.08470037852901627</x:v>
      </x:c>
      <x:c r="BA447" s="9" t="str">
        <x:v>0.05646691901934418</x:v>
      </x:c>
      <x:c r="BB447" s="9" t="str">
        <x:v>0.5364357306837697</x:v>
      </x:c>
      <x:c r="BC447" s="9" t="str">
        <x:v>0.08470037852901627</x:v>
      </x:c>
      <x:c r="BD447" s="6" t="str">
        <x:v>0.5789473684210527</x:v>
      </x:c>
      <x:c r="BE447" s="6" t="str">
        <x:v>0.2631578947368421</x:v>
      </x:c>
      <x:c r="BF447" s="9" t="str">
        <x:v>0.14116729754836047</x:v>
      </x:c>
      <x:c r="BG447" s="9" t="str">
        <x:v>0.31056805460639303</x:v>
      </x:c>
      <x:c r="BH447" s="6" t="str">
        <x:v>Against trade</x:v>
      </x:c>
      <x:c r="BI447" s="6" t="str">
        <x:v>Penetration + same-bar reclaim</x:v>
      </x:c>
      <x:c r="BJ447" s="6" t="str">
        <x:v>False</x:v>
      </x:c>
      <x:c r="BK447" s="10" t="str">
        <x:v>True</x:v>
      </x:c>
      <x:c r="BL447" s="6" t="str">
        <x:v>True</x:v>
      </x:c>
      <x:c r="BM447" s="7" t="str">
        <x:v>2025-07-23 20:35:00-05:00</x:v>
      </x:c>
      <x:c r="BN447" s="8" t="str">
        <x:v>1</x:v>
      </x:c>
      <x:c r="BO447" s="6" t="str">
        <x:v>Immediate confirmation (1 bar)</x:v>
      </x:c>
      <x:c r="BP447" s="9" t="str">
        <x:v>0.02889895490602631</x:v>
      </x:c>
      <x:c r="BQ447" s="9" t="str">
        <x:v>0.6935749177446314</x:v>
      </x:c>
      <x:c r="BR447" s="10" t="str">
        <x:v>0.041666666666666664</x:v>
      </x:c>
      <x:c r="BS447" s="9" t="str">
        <x:v>0.11559581962410524</x:v>
      </x:c>
      <x:c r="BT447" s="9" t="str">
        <x:v>0.05779790981205262</x:v>
      </x:c>
      <x:c r="BU447" s="9" t="str">
        <x:v>0.3467874588723157</x:v>
      </x:c>
      <x:c r="BV447" s="6" t="str">
        <x:v>With trade</x:v>
      </x:c>
      <x:c r="BW447" s="7" t="str">
        <x:v>2025-07-23 20:35:00-05:00</x:v>
      </x:c>
      <x:c r="BX447" s="6" t="str">
        <x:v>21728.0</x:v>
      </x:c>
      <x:c r="BY447" s="9" t="str">
        <x:v>8.650831866167845</x:v>
      </x:c>
      <x:c r="BZ447" s="9" t="str">
        <x:v>0.07</x:v>
      </x:c>
      <x:c r="CA447" s="6" t="str">
        <x:v>21715.02375220075</x:v>
      </x:c>
      <x:c r="CB447" s="6" t="str">
        <x:v>12.976247799251723</x:v>
      </x:c>
      <x:c r="CC447" s="9" t="str">
        <x:v>1.499999999999995</x:v>
      </x:c>
      <x:c r="CD447" s="6" t="str">
        <x:v>21753.952495598503</x:v>
      </x:c>
      <x:c r="CE447" s="6" t="str">
        <x:v>25.952495598503447</x:v>
      </x:c>
      <x:c r="CF447" s="6" t="str">
        <x:v>Fixed 2.00R target</x:v>
      </x:c>
      <x:c r="CG447" s="9" t="str">
        <x:v>0.055871312818317725</x:v>
      </x:c>
      <x:c r="CH447" s="9" t="str">
        <x:v>-0.11559581962410524</x:v>
      </x:c>
      <x:c r="CI447" s="9" t="str">
        <x:v>-0.17146713244242295</x:v>
      </x:c>
      <x:c r="CJ447" s="6" t="str">
        <x:v>Loss</x:v>
      </x:c>
      <x:c r="CK447" s="9" t="str">
        <x:v>0.5394471582458263</x:v>
      </x:c>
      <x:c r="CL447" s="9" t="str">
        <x:v>0.5587131281831773</x:v>
      </x:c>
      <x:c r="CM447" s="7" t="str">
        <x:v>2025-07-23 21:35:00-05:00</x:v>
      </x:c>
      <x:c r="CN447" s="6" t="str">
        <x:v>21726.5</x:v>
      </x:c>
      <x:c r="CO447" s="6" t="str">
        <x:v>TIME</x:v>
      </x:c>
      <x:c r="CP447" s="6" t="str">
        <x:v>F::Long::Same-bar Setup+BOS::Penetration + same-bar reclaim</x:v>
      </x:c>
    </x:row>
    <x:row r="448" ht="18" customHeight="1">
      <x:c r="A448" s="6" t="str">
        <x:v>A0447</x:v>
      </x:c>
      <x:c r="B448" s="6" t="str">
        <x:v>2025-07-25</x:v>
      </x:c>
      <x:c r="C448" s="6" t="str">
        <x:v>2025</x:v>
      </x:c>
      <x:c r="D448" s="6" t="str">
        <x:v>2025-Q3</x:v>
      </x:c>
      <x:c r="E448" s="6" t="str">
        <x:v>Second 50%</x:v>
      </x:c>
      <x:c r="F448" s="6" t="str">
        <x:v>Long</x:v>
      </x:c>
      <x:c r="G448" s="6" t="str">
        <x:v>Long</x:v>
      </x:c>
      <x:c r="H448" s="6" t="str">
        <x:v>Morning</x:v>
      </x:c>
      <x:c r="I448" s="6" t="str">
        <x:v>Morning</x:v>
      </x:c>
      <x:c r="J448" s="6" t="str">
        <x:v>Bull</x:v>
      </x:c>
      <x:c r="K448" s="6" t="str">
        <x:v>Bull</x:v>
      </x:c>
      <x:c r="L448" s="6" t="str">
        <x:v>HIGH</x:v>
      </x:c>
      <x:c r="M448" s="7" t="str">
        <x:v>2025-07-25 11:05:00-05:00</x:v>
      </x:c>
      <x:c r="N448" s="6" t="str">
        <x:v>75.0</x:v>
      </x:c>
      <x:c r="O448" s="6" t="str">
        <x:v>75-79</x:v>
      </x:c>
      <x:c r="P448" s="6" t="str">
        <x:v>Matching BOS only</x:v>
      </x:c>
      <x:c r="Q448" s="6" t="str">
        <x:v>Bull BOS</x:v>
      </x:c>
      <x:c r="R448" s="6" t="str">
        <x:v>True</x:v>
      </x:c>
      <x:c r="S448" s="6" t="str">
        <x:v>False</x:v>
      </x:c>
      <x:c r="T448" s="6" t="str">
        <x:v>No recent matching sweep</x:v>
      </x:c>
      <x:c r="U448" s="6" t="str">
        <x:v>None</x:v>
      </x:c>
      <x:c r="V448" s="6" t="str">
        <x:v>None</x:v>
      </x:c>
      <x:c r="W448" s="6" t="str">
        <x:v>[]</x:v>
      </x:c>
      <x:c r="X448" s="8" t="str">
        <x:v>0</x:v>
      </x:c>
      <x:c r="Y448" s="8" t="str"/>
      <x:c r="Z448" s="6" t="str">
        <x:v>None</x:v>
      </x:c>
      <x:c r="AA448" s="6" t="str">
        <x:v>21749.25</x:v>
      </x:c>
      <x:c r="AB448" s="9" t="str">
        <x:v>0.18994047090849775</x:v>
      </x:c>
      <x:c r="AC448" s="9" t="str">
        <x:v>0.7770291991711272</x:v>
      </x:c>
      <x:c r="AD448" s="9" t="str">
        <x:v>1.4849891361937098</x:v>
      </x:c>
      <x:c r="AE448" s="6" t="str">
        <x:v>With trade</x:v>
      </x:c>
      <x:c r="AF448" s="7" t="str">
        <x:v>2025-07-25 11:05:00-05:00</x:v>
      </x:c>
      <x:c r="AG448" s="6" t="str">
        <x:v>Long</x:v>
      </x:c>
      <x:c r="AH448" s="6" t="str">
        <x:v>21749.25</x:v>
      </x:c>
      <x:c r="AI448" s="8" t="str">
        <x:v>0</x:v>
      </x:c>
      <x:c r="AJ448" s="6" t="str">
        <x:v>True</x:v>
      </x:c>
      <x:c r="AK448" s="6" t="str">
        <x:v>Same-bar Setup+BOS</x:v>
      </x:c>
      <x:c r="AL448" s="9" t="str">
        <x:v>0.7770291991711272</x:v>
      </x:c>
      <x:c r="AM448" s="9" t="str">
        <x:v>0.18994047090849775</x:v>
      </x:c>
      <x:c r="AN448" s="9" t="str">
        <x:v>0.7770291991711272</x:v>
      </x:c>
      <x:c r="AO448" s="9" t="str">
        <x:v>1.4849891361937098</x:v>
      </x:c>
      <x:c r="AP448" s="10" t="str">
        <x:v>0.5232558139534884</x:v>
      </x:c>
      <x:c r="AQ448" s="6" t="str">
        <x:v>0.3023255813953488</x:v>
      </x:c>
      <x:c r="AR448" s="6" t="str">
        <x:v>0.1744186046511628</x:v>
      </x:c>
      <x:c r="AS448" s="6" t="str">
        <x:v>With trade</x:v>
      </x:c>
      <x:c r="AT448" s="6" t="str">
        <x:v>1.1438724027559268</x:v>
      </x:c>
      <x:c r="AU448" s="7" t="str">
        <x:v>2025-07-25 11:10:00-05:00</x:v>
      </x:c>
      <x:c r="AV448" s="8" t="str">
        <x:v>1</x:v>
      </x:c>
      <x:c r="AW448" s="6" t="str">
        <x:v>Immediate retest (1 bar)</x:v>
      </x:c>
      <x:c r="AX448" s="6" t="str">
        <x:v>21750.5</x:v>
      </x:c>
      <x:c r="AY448" s="6" t="str">
        <x:v>0.0</x:v>
      </x:c>
      <x:c r="AZ448" s="9" t="str">
        <x:v>0.0</x:v>
      </x:c>
      <x:c r="BA448" s="9" t="str">
        <x:v>0.9504557246323709</x:v>
      </x:c>
      <x:c r="BB448" s="9" t="str">
        <x:v>1.2220145030987626</x:v>
      </x:c>
      <x:c r="BC448" s="9" t="str">
        <x:v>0.7807314880908761</x:v>
      </x:c>
      <x:c r="BD448" s="6" t="str">
        <x:v>0.2916666666666667</x:v>
      </x:c>
      <x:c r="BE448" s="6" t="str">
        <x:v>0.06944444444444445</x:v>
      </x:c>
      <x:c r="BF448" s="9" t="str">
        <x:v>0.0848621182707474</x:v>
      </x:c>
      <x:c r="BG448" s="9" t="str">
        <x:v>0.35642089673713906</x:v>
      </x:c>
      <x:c r="BH448" s="6" t="str">
        <x:v>With trade</x:v>
      </x:c>
      <x:c r="BI448" s="6" t="str">
        <x:v>Tolerance-only shallow touch</x:v>
      </x:c>
      <x:c r="BJ448" s="6" t="str">
        <x:v>True</x:v>
      </x:c>
      <x:c r="BK448" s="10" t="str">
        <x:v>False</x:v>
      </x:c>
      <x:c r="BL448" s="6" t="str">
        <x:v>True</x:v>
      </x:c>
      <x:c r="BM448" s="7" t="str">
        <x:v>2025-07-25 11:20:00-05:00</x:v>
      </x:c>
      <x:c r="BN448" s="8" t="str">
        <x:v>2</x:v>
      </x:c>
      <x:c r="BO448" s="6" t="str">
        <x:v>Delayed confirmation (2+ bars)</x:v>
      </x:c>
      <x:c r="BP448" s="9" t="str">
        <x:v>0.9440641450748211</x:v>
      </x:c>
      <x:c r="BQ448" s="9" t="str">
        <x:v>1.399237929307324</x:v>
      </x:c>
      <x:c r="BR448" s="10" t="str">
        <x:v>0.6746987951807228</x:v>
      </x:c>
      <x:c r="BS448" s="9" t="str">
        <x:v>1.820695136930012</x:v>
      </x:c>
      <x:c r="BT448" s="9" t="str">
        <x:v>0.876630991855191</x:v>
      </x:c>
      <x:c r="BU448" s="9" t="str">
        <x:v>0.4045989193177804</x:v>
      </x:c>
      <x:c r="BV448" s="6" t="str">
        <x:v>With trade</x:v>
      </x:c>
      <x:c r="BW448" s="7" t="str">
        <x:v>2025-07-25 11:20:00-05:00</x:v>
      </x:c>
      <x:c r="BX448" s="6" t="str">
        <x:v>21776.25</x:v>
      </x:c>
      <x:c r="BY448" s="9" t="str">
        <x:v>14.829500805679302</x:v>
      </x:c>
      <x:c r="BZ448" s="9" t="str">
        <x:v>0.73</x:v>
      </x:c>
      <x:c r="CA448" s="6" t="str">
        <x:v>21754.005748791482</x:v>
      </x:c>
      <x:c r="CB448" s="6" t="str">
        <x:v>22.244251208518108</x:v>
      </x:c>
      <x:c r="CC448" s="9" t="str">
        <x:v>1.499999999999943</x:v>
      </x:c>
      <x:c r="CD448" s="6" t="str">
        <x:v>21820.738502417036</x:v>
      </x:c>
      <x:c r="CE448" s="6" t="str">
        <x:v>44.488502417036216</x:v>
      </x:c>
      <x:c r="CF448" s="6" t="str">
        <x:v>Fixed 2.00R target</x:v>
      </x:c>
      <x:c r="CG448" s="9" t="str">
        <x:v>0.03259269072282244</x:v>
      </x:c>
      <x:c r="CH448" s="9" t="str">
        <x:v>-1.0</x:v>
      </x:c>
      <x:c r="CI448" s="9" t="str">
        <x:v>-1.0325926907228224</x:v>
      </x:c>
      <x:c r="CJ448" s="6" t="str">
        <x:v>Loss</x:v>
      </x:c>
      <x:c r="CK448" s="9" t="str">
        <x:v>0.887869850725163</x:v>
      </x:c>
      <x:c r="CL448" s="9" t="str">
        <x:v>1.0901693103840608</x:v>
      </x:c>
      <x:c r="CM448" s="7" t="str">
        <x:v>2025-07-25 12:20:00-05:00</x:v>
      </x:c>
      <x:c r="CN448" s="6" t="str">
        <x:v>21754.005748791482</x:v>
      </x:c>
      <x:c r="CO448" s="6" t="str">
        <x:v>STOP</x:v>
      </x:c>
      <x:c r="CP448" s="6" t="str">
        <x:v>F::Long::Same-bar Setup+BOS::Tolerance-only shallow touch</x:v>
      </x:c>
    </x:row>
    <x:row r="449" ht="18" customHeight="1">
      <x:c r="A449" s="6" t="str">
        <x:v>A0448</x:v>
      </x:c>
      <x:c r="B449" s="6" t="str">
        <x:v>2025-07-25</x:v>
      </x:c>
      <x:c r="C449" s="6" t="str">
        <x:v>2025</x:v>
      </x:c>
      <x:c r="D449" s="6" t="str">
        <x:v>2025-Q3</x:v>
      </x:c>
      <x:c r="E449" s="6" t="str">
        <x:v>Second 50%</x:v>
      </x:c>
      <x:c r="F449" s="6" t="str">
        <x:v>Short</x:v>
      </x:c>
      <x:c r="G449" s="6" t="str">
        <x:v>Short</x:v>
      </x:c>
      <x:c r="H449" s="6" t="str">
        <x:v>Afternoon</x:v>
      </x:c>
      <x:c r="I449" s="6" t="str">
        <x:v>Afternoon</x:v>
      </x:c>
      <x:c r="J449" s="6" t="str">
        <x:v>Bull</x:v>
      </x:c>
      <x:c r="K449" s="6" t="str">
        <x:v>Bull</x:v>
      </x:c>
      <x:c r="L449" s="6" t="str">
        <x:v>MID</x:v>
      </x:c>
      <x:c r="M449" s="7" t="str">
        <x:v>2025-07-25 14:50:00-05:00</x:v>
      </x:c>
      <x:c r="N449" s="6" t="str">
        <x:v>75.0</x:v>
      </x:c>
      <x:c r="O449" s="6" t="str">
        <x:v>75-79</x:v>
      </x:c>
      <x:c r="P449" s="6" t="str">
        <x:v>Matching BOS only</x:v>
      </x:c>
      <x:c r="Q449" s="6" t="str">
        <x:v>Bear CHoCH</x:v>
      </x:c>
      <x:c r="R449" s="6" t="str">
        <x:v>True</x:v>
      </x:c>
      <x:c r="S449" s="6" t="str">
        <x:v>False</x:v>
      </x:c>
      <x:c r="T449" s="6" t="str">
        <x:v>No recent matching sweep</x:v>
      </x:c>
      <x:c r="U449" s="6" t="str">
        <x:v>None</x:v>
      </x:c>
      <x:c r="V449" s="6" t="str">
        <x:v>None</x:v>
      </x:c>
      <x:c r="W449" s="6" t="str">
        <x:v>[]</x:v>
      </x:c>
      <x:c r="X449" s="8" t="str">
        <x:v>0</x:v>
      </x:c>
      <x:c r="Y449" s="8" t="str"/>
      <x:c r="Z449" s="6" t="str">
        <x:v>None</x:v>
      </x:c>
      <x:c r="AA449" s="6" t="str">
        <x:v>21744.0</x:v>
      </x:c>
      <x:c r="AB449" s="9" t="str">
        <x:v>0.13940688700094403</x:v>
      </x:c>
      <x:c r="AC449" s="9" t="str">
        <x:v>1.4870067946767365</x:v>
      </x:c>
      <x:c r="AD449" s="9" t="str">
        <x:v>1.6961171251781524</x:v>
      </x:c>
      <x:c r="AE449" s="6" t="str">
        <x:v>With trade</x:v>
      </x:c>
      <x:c r="AF449" s="7" t="str">
        <x:v>2025-07-25 14:50:00-05:00</x:v>
      </x:c>
      <x:c r="AG449" s="6" t="str">
        <x:v>Short</x:v>
      </x:c>
      <x:c r="AH449" s="6" t="str">
        <x:v>21744.0</x:v>
      </x:c>
      <x:c r="AI449" s="8" t="str">
        <x:v>0</x:v>
      </x:c>
      <x:c r="AJ449" s="6" t="str">
        <x:v>True</x:v>
      </x:c>
      <x:c r="AK449" s="6" t="str">
        <x:v>Same-bar Setup+BOS</x:v>
      </x:c>
      <x:c r="AL449" s="9" t="str">
        <x:v>1.4870067946767365</x:v>
      </x:c>
      <x:c r="AM449" s="9" t="str">
        <x:v>0.13940688700094403</x:v>
      </x:c>
      <x:c r="AN449" s="9" t="str">
        <x:v>1.4870067946767365</x:v>
      </x:c>
      <x:c r="AO449" s="9" t="str">
        <x:v>1.6961171251781524</x:v>
      </x:c>
      <x:c r="AP449" s="10" t="str">
        <x:v>0.8767123287671232</x:v>
      </x:c>
      <x:c r="AQ449" s="6" t="str">
        <x:v>0.0410958904109589</x:v>
      </x:c>
      <x:c r="AR449" s="6" t="str">
        <x:v>0.0821917808219178</x:v>
      </x:c>
      <x:c r="AS449" s="6" t="str">
        <x:v>With trade</x:v>
      </x:c>
      <x:c r="AT449" s="6" t="str">
        <x:v>3.014212478639603</x:v>
      </x:c>
      <x:c r="AU449" s="7" t="str">
        <x:v>2025-07-25 14:55:00-05:00</x:v>
      </x:c>
      <x:c r="AV449" s="8" t="str">
        <x:v>1</x:v>
      </x:c>
      <x:c r="AW449" s="6" t="str">
        <x:v>Immediate retest (1 bar)</x:v>
      </x:c>
      <x:c r="AX449" s="6" t="str">
        <x:v>21747.5</x:v>
      </x:c>
      <x:c r="AY449" s="6" t="str">
        <x:v>3.5</x:v>
      </x:c>
      <x:c r="AZ449" s="9" t="str">
        <x:v>0.3079276054723385</x:v>
      </x:c>
      <x:c r="BA449" s="9" t="str">
        <x:v>0.13196897377385935</x:v>
      </x:c>
      <x:c r="BB449" s="9" t="str">
        <x:v>1.693601830097862</x:v>
      </x:c>
      <x:c r="BC449" s="9" t="str">
        <x:v>0.0</x:v>
      </x:c>
      <x:c r="BD449" s="6" t="str">
        <x:v>0.2597402597402597</x:v>
      </x:c>
      <x:c r="BE449" s="6" t="str">
        <x:v>0.7402597402597403</x:v>
      </x:c>
      <x:c r="BF449" s="9" t="str">
        <x:v>0.4398965792461979</x:v>
      </x:c>
      <x:c r="BG449" s="9" t="str">
        <x:v>1.253705250851664</x:v>
      </x:c>
      <x:c r="BH449" s="6" t="str">
        <x:v>Doji</x:v>
      </x:c>
      <x:c r="BI449" s="6" t="str">
        <x:v>Penetration + same-bar reclaim</x:v>
      </x:c>
      <x:c r="BJ449" s="6" t="str">
        <x:v>False</x:v>
      </x:c>
      <x:c r="BK449" s="10" t="str">
        <x:v>True</x:v>
      </x:c>
      <x:c r="BL449" s="6" t="str">
        <x:v>True</x:v>
      </x:c>
      <x:c r="BM449" s="7" t="str">
        <x:v>2025-07-25 15:00:00-05:00</x:v>
      </x:c>
      <x:c r="BN449" s="8" t="str">
        <x:v>1</x:v>
      </x:c>
      <x:c r="BO449" s="6" t="str">
        <x:v>Immediate confirmation (1 bar)</x:v>
      </x:c>
      <x:c r="BP449" s="9" t="str">
        <x:v>0.0418505090356295</x:v>
      </x:c>
      <x:c r="BQ449" s="9" t="str">
        <x:v>1.6321698523895507</x:v>
      </x:c>
      <x:c r="BR449" s="10" t="str">
        <x:v>0.02564102564102564</x:v>
      </x:c>
      <x:c r="BS449" s="9" t="str">
        <x:v>0.167402036142518</x:v>
      </x:c>
      <x:c r="BT449" s="9" t="str">
        <x:v>0.0418505090356295</x:v>
      </x:c>
      <x:c r="BU449" s="9" t="str">
        <x:v>0.334804072285036</x:v>
      </x:c>
      <x:c r="BV449" s="6" t="str">
        <x:v>With trade</x:v>
      </x:c>
      <x:c r="BW449" s="7" t="str">
        <x:v>2025-07-25 15:00:00-05:00</x:v>
      </x:c>
      <x:c r="BX449" s="6" t="str">
        <x:v>21742.0</x:v>
      </x:c>
      <x:c r="BY449" s="9" t="str">
        <x:v>11.947285983411197</x:v>
      </x:c>
      <x:c r="BZ449" s="9" t="str">
        <x:v>0.51</x:v>
      </x:c>
      <x:c r="CA449" s="6" t="str">
        <x:v>21759.920928975116</x:v>
      </x:c>
      <x:c r="CB449" s="6" t="str">
        <x:v>17.920928975116112</x:v>
      </x:c>
      <x:c r="CC449" s="9" t="str">
        <x:v>1.499999999999943</x:v>
      </x:c>
      <x:c r="CD449" s="6" t="str">
        <x:v>21706.158142049768</x:v>
      </x:c>
      <x:c r="CE449" s="6" t="str">
        <x:v>35.841857950232225</x:v>
      </x:c>
      <x:c r="CF449" s="6" t="str">
        <x:v>Fixed 2.00R target</x:v>
      </x:c>
      <x:c r="CG449" s="9" t="str">
        <x:v>0.040455492067776724</x:v>
      </x:c>
      <x:c r="CH449" s="9" t="str">
        <x:v>-1.0</x:v>
      </x:c>
      <x:c r="CI449" s="9" t="str">
        <x:v>-1.0404554920677767</x:v>
      </x:c>
      <x:c r="CJ449" s="6" t="str">
        <x:v>Loss</x:v>
      </x:c>
      <x:c r="CK449" s="9" t="str">
        <x:v>0.11160135742834959</x:v>
      </x:c>
      <x:c r="CL449" s="9" t="str">
        <x:v>1.3810667981758262</x:v>
      </x:c>
      <x:c r="CM449" s="7" t="str">
        <x:v>2025-07-25 15:30:00-05:00</x:v>
      </x:c>
      <x:c r="CN449" s="6" t="str">
        <x:v>21759.920928975116</x:v>
      </x:c>
      <x:c r="CO449" s="6" t="str">
        <x:v>STOP</x:v>
      </x:c>
      <x:c r="CP449" s="6" t="str">
        <x:v>F::Short::Same-bar Setup+BOS::Penetration + same-bar reclaim</x:v>
      </x:c>
    </x:row>
    <x:row r="450" ht="18" customHeight="1">
      <x:c r="A450" s="6" t="str">
        <x:v>A0449</x:v>
      </x:c>
      <x:c r="B450" s="6" t="str">
        <x:v>2025-07-28</x:v>
      </x:c>
      <x:c r="C450" s="6" t="str">
        <x:v>2025</x:v>
      </x:c>
      <x:c r="D450" s="6" t="str">
        <x:v>2025-Q3</x:v>
      </x:c>
      <x:c r="E450" s="6" t="str">
        <x:v>Second 50%</x:v>
      </x:c>
      <x:c r="F450" s="6" t="str">
        <x:v>Long</x:v>
      </x:c>
      <x:c r="G450" s="6" t="str">
        <x:v>Long</x:v>
      </x:c>
      <x:c r="H450" s="6" t="str">
        <x:v>Overnight</x:v>
      </x:c>
      <x:c r="I450" s="6" t="str">
        <x:v>Overnight</x:v>
      </x:c>
      <x:c r="J450" s="6" t="str">
        <x:v>Bull</x:v>
      </x:c>
      <x:c r="K450" s="6" t="str">
        <x:v>Bull</x:v>
      </x:c>
      <x:c r="L450" s="6" t="str">
        <x:v>LOW</x:v>
      </x:c>
      <x:c r="M450" s="7" t="str">
        <x:v>2025-07-28 19:25:00-05:00</x:v>
      </x:c>
      <x:c r="N450" s="6" t="str">
        <x:v>90.0</x:v>
      </x:c>
      <x:c r="O450" s="6" t="str">
        <x:v>90-94</x:v>
      </x:c>
      <x:c r="P450" s="6" t="str">
        <x:v>Matching BOS only</x:v>
      </x:c>
      <x:c r="Q450" s="6" t="str">
        <x:v>Bull BOS</x:v>
      </x:c>
      <x:c r="R450" s="6" t="str">
        <x:v>True</x:v>
      </x:c>
      <x:c r="S450" s="6" t="str">
        <x:v>False</x:v>
      </x:c>
      <x:c r="T450" s="6" t="str">
        <x:v>Recent SSL</x:v>
      </x:c>
      <x:c r="U450" s="6" t="str">
        <x:v>SSL</x:v>
      </x:c>
      <x:c r="V450" s="6" t="str">
        <x:v>Swing low / sell-side</x:v>
      </x:c>
      <x:c r="W450" s="6" t="str">
        <x:v>[21837.5]</x:v>
      </x:c>
      <x:c r="X450" s="8" t="str">
        <x:v>1</x:v>
      </x:c>
      <x:c r="Y450" s="8" t="str">
        <x:v>3.0</x:v>
      </x:c>
      <x:c r="Z450" s="6" t="str">
        <x:v>None</x:v>
      </x:c>
      <x:c r="AA450" s="6" t="str">
        <x:v>21851.0</x:v>
      </x:c>
      <x:c r="AB450" s="9" t="str">
        <x:v>0.07570411364054144</x:v>
      </x:c>
      <x:c r="AC450" s="9" t="str">
        <x:v>0.7570411364054144</x:v>
      </x:c>
      <x:c r="AD450" s="9" t="str">
        <x:v>1.3248219887094752</x:v>
      </x:c>
      <x:c r="AE450" s="6" t="str">
        <x:v>With trade</x:v>
      </x:c>
      <x:c r="AF450" s="7" t="str">
        <x:v>2025-07-28 19:25:00-05:00</x:v>
      </x:c>
      <x:c r="AG450" s="6" t="str">
        <x:v>Long</x:v>
      </x:c>
      <x:c r="AH450" s="6" t="str">
        <x:v>21851.0</x:v>
      </x:c>
      <x:c r="AI450" s="8" t="str">
        <x:v>0</x:v>
      </x:c>
      <x:c r="AJ450" s="6" t="str">
        <x:v>True</x:v>
      </x:c>
      <x:c r="AK450" s="6" t="str">
        <x:v>Same-bar Setup+BOS</x:v>
      </x:c>
      <x:c r="AL450" s="9" t="str">
        <x:v>0.6056329091243315</x:v>
      </x:c>
      <x:c r="AM450" s="9" t="str">
        <x:v>0.07570411364054144</x:v>
      </x:c>
      <x:c r="AN450" s="9" t="str">
        <x:v>0.7570411364054144</x:v>
      </x:c>
      <x:c r="AO450" s="9" t="str">
        <x:v>1.3248219887094752</x:v>
      </x:c>
      <x:c r="AP450" s="10" t="str">
        <x:v>0.5714285714285714</x:v>
      </x:c>
      <x:c r="AQ450" s="6" t="str">
        <x:v>0.4</x:v>
      </x:c>
      <x:c r="AR450" s="6" t="str">
        <x:v>0.02857142857142857</x:v>
      </x:c>
      <x:c r="AS450" s="6" t="str">
        <x:v>With trade</x:v>
      </x:c>
      <x:c r="AT450" s="6" t="str">
        <x:v>1.7822632596091905</x:v>
      </x:c>
      <x:c r="AU450" s="7" t="str">
        <x:v>2025-07-28 19:30:00-05:00</x:v>
      </x:c>
      <x:c r="AV450" s="8" t="str">
        <x:v>1</x:v>
      </x:c>
      <x:c r="AW450" s="6" t="str">
        <x:v>Immediate retest (1 bar)</x:v>
      </x:c>
      <x:c r="AX450" s="6" t="str">
        <x:v>21851.0</x:v>
      </x:c>
      <x:c r="AY450" s="6" t="str">
        <x:v>0.0</x:v>
      </x:c>
      <x:c r="AZ450" s="9" t="str">
        <x:v>0.0</x:v>
      </x:c>
      <x:c r="BA450" s="9" t="str">
        <x:v>0.5378079433348815</x:v>
      </x:c>
      <x:c r="BB450" s="9" t="str">
        <x:v>0.8067119150023222</x:v>
      </x:c>
      <x:c r="BC450" s="9" t="str">
        <x:v>0.4609782371441841</x:v>
      </x:c>
      <x:c r="BD450" s="6" t="str">
        <x:v>0.3333333333333333</x:v>
      </x:c>
      <x:c r="BE450" s="6" t="str">
        <x:v>0.09523809523809523</x:v>
      </x:c>
      <x:c r="BF450" s="9" t="str">
        <x:v>0.07682970619069734</x:v>
      </x:c>
      <x:c r="BG450" s="9" t="str">
        <x:v>0.26890397166744073</x:v>
      </x:c>
      <x:c r="BH450" s="6" t="str">
        <x:v>With trade</x:v>
      </x:c>
      <x:c r="BI450" s="6" t="str">
        <x:v>Exact BOS touch</x:v>
      </x:c>
      <x:c r="BJ450" s="6" t="str">
        <x:v>True</x:v>
      </x:c>
      <x:c r="BK450" s="10" t="str">
        <x:v>False</x:v>
      </x:c>
      <x:c r="BL450" s="6" t="str">
        <x:v>True</x:v>
      </x:c>
      <x:c r="BM450" s="7" t="str">
        <x:v>2025-07-28 19:40:00-05:00</x:v>
      </x:c>
      <x:c r="BN450" s="8" t="str">
        <x:v>2</x:v>
      </x:c>
      <x:c r="BO450" s="6" t="str">
        <x:v>Delayed confirmation (2+ bars)</x:v>
      </x:c>
      <x:c r="BP450" s="9" t="str">
        <x:v>0.1982866413587045</x:v>
      </x:c>
      <x:c r="BQ450" s="9" t="str">
        <x:v>0.9121185502500407</x:v>
      </x:c>
      <x:c r="BR450" s="10" t="str">
        <x:v>0.21739130434782608</x:v>
      </x:c>
      <x:c r="BS450" s="9" t="str">
        <x:v>0.4758879392608908</x:v>
      </x:c>
      <x:c r="BT450" s="9" t="str">
        <x:v>-0.0793146565434818</x:v>
      </x:c>
      <x:c r="BU450" s="9" t="str">
        <x:v>0.4758879392608908</x:v>
      </x:c>
      <x:c r="BV450" s="6" t="str">
        <x:v>With trade</x:v>
      </x:c>
      <x:c r="BW450" s="7" t="str">
        <x:v>2025-07-28 19:40:00-05:00</x:v>
      </x:c>
      <x:c r="BX450" s="6" t="str">
        <x:v>21854.0</x:v>
      </x:c>
      <x:c r="BY450" s="9" t="str">
        <x:v>6.304005108133961</x:v>
      </x:c>
      <x:c r="BZ450" s="9" t="str">
        <x:v>0.08</x:v>
      </x:c>
      <x:c r="CA450" s="6" t="str">
        <x:v>21844.5439923378</x:v>
      </x:c>
      <x:c r="CB450" s="6" t="str">
        <x:v>9.456007662200136</x:v>
      </x:c>
      <x:c r="CC450" s="9" t="str">
        <x:v>1.499999999999872</x:v>
      </x:c>
      <x:c r="CD450" s="6" t="str">
        <x:v>21872.9120153244</x:v>
      </x:c>
      <x:c r="CE450" s="6" t="str">
        <x:v>18.912015324400272</x:v>
      </x:c>
      <x:c r="CF450" s="6" t="str">
        <x:v>Fixed 2.00R target</x:v>
      </x:c>
      <x:c r="CG450" s="9" t="str">
        <x:v>0.07667083465870561</x:v>
      </x:c>
      <x:c r="CH450" s="9" t="str">
        <x:v>0.29082040732609993</x:v>
      </x:c>
      <x:c r="CI450" s="9" t="str">
        <x:v>0.21414957266739432</x:v>
      </x:c>
      <x:c r="CJ450" s="6" t="str">
        <x:v>Win</x:v>
      </x:c>
      <x:c r="CK450" s="9" t="str">
        <x:v>1.163281629304499</x:v>
      </x:c>
      <x:c r="CL450" s="9" t="str">
        <x:v>0.47588793926093137</x:v>
      </x:c>
      <x:c r="CM450" s="7" t="str">
        <x:v>2025-07-28 20:40:00-05:00</x:v>
      </x:c>
      <x:c r="CN450" s="6" t="str">
        <x:v>21856.75</x:v>
      </x:c>
      <x:c r="CO450" s="6" t="str">
        <x:v>TIME</x:v>
      </x:c>
      <x:c r="CP450" s="6" t="str">
        <x:v>F::Long::Same-bar Setup+BOS::Exact BOS touch</x:v>
      </x:c>
    </x:row>
    <x:row r="451" ht="18" customHeight="1">
      <x:c r="A451" s="6" t="str">
        <x:v>A0450</x:v>
      </x:c>
      <x:c r="B451" s="6" t="str">
        <x:v>2025-07-31</x:v>
      </x:c>
      <x:c r="C451" s="6" t="str">
        <x:v>2025</x:v>
      </x:c>
      <x:c r="D451" s="6" t="str">
        <x:v>2025-Q3</x:v>
      </x:c>
      <x:c r="E451" s="6" t="str">
        <x:v>Second 50%</x:v>
      </x:c>
      <x:c r="F451" s="6" t="str">
        <x:v>Long</x:v>
      </x:c>
      <x:c r="G451" s="6" t="str">
        <x:v>Long</x:v>
      </x:c>
      <x:c r="H451" s="6" t="str">
        <x:v>Overnight</x:v>
      </x:c>
      <x:c r="I451" s="6" t="str">
        <x:v>Overnight</x:v>
      </x:c>
      <x:c r="J451" s="6" t="str">
        <x:v>Bull</x:v>
      </x:c>
      <x:c r="K451" s="6" t="str">
        <x:v>Bull</x:v>
      </x:c>
      <x:c r="L451" s="6" t="str">
        <x:v>HIGH</x:v>
      </x:c>
      <x:c r="M451" s="7" t="str">
        <x:v>2025-07-31 02:25:00-05:00</x:v>
      </x:c>
      <x:c r="N451" s="6" t="str">
        <x:v>90.0</x:v>
      </x:c>
      <x:c r="O451" s="6" t="str">
        <x:v>90-94</x:v>
      </x:c>
      <x:c r="P451" s="6" t="str">
        <x:v>Matching BOS only</x:v>
      </x:c>
      <x:c r="Q451" s="6" t="str">
        <x:v>Bull CHoCH</x:v>
      </x:c>
      <x:c r="R451" s="6" t="str">
        <x:v>True</x:v>
      </x:c>
      <x:c r="S451" s="6" t="str">
        <x:v>False</x:v>
      </x:c>
      <x:c r="T451" s="6" t="str">
        <x:v>Recent SSL</x:v>
      </x:c>
      <x:c r="U451" s="6" t="str">
        <x:v>SSL</x:v>
      </x:c>
      <x:c r="V451" s="6" t="str">
        <x:v>Swing low / sell-side</x:v>
      </x:c>
      <x:c r="W451" s="6" t="str">
        <x:v>[22098.5]</x:v>
      </x:c>
      <x:c r="X451" s="8" t="str">
        <x:v>1</x:v>
      </x:c>
      <x:c r="Y451" s="8" t="str">
        <x:v>11.0</x:v>
      </x:c>
      <x:c r="Z451" s="6" t="str">
        <x:v>None</x:v>
      </x:c>
      <x:c r="AA451" s="6" t="str">
        <x:v>22126.25</x:v>
      </x:c>
      <x:c r="AB451" s="9" t="str">
        <x:v>0.5184515289958131</x:v>
      </x:c>
      <x:c r="AC451" s="9" t="str">
        <x:v>1.3097722837788963</x:v>
      </x:c>
      <x:c r="AD451" s="9" t="str">
        <x:v>1.9919453482470715</x:v>
      </x:c>
      <x:c r="AE451" s="6" t="str">
        <x:v>With trade</x:v>
      </x:c>
      <x:c r="AF451" s="7" t="str">
        <x:v>2025-07-31 02:25:00-05:00</x:v>
      </x:c>
      <x:c r="AG451" s="6" t="str">
        <x:v>Long</x:v>
      </x:c>
      <x:c r="AH451" s="6" t="str">
        <x:v>22126.25</x:v>
      </x:c>
      <x:c r="AI451" s="8" t="str">
        <x:v>0</x:v>
      </x:c>
      <x:c r="AJ451" s="6" t="str">
        <x:v>True</x:v>
      </x:c>
      <x:c r="AK451" s="6" t="str">
        <x:v>Same-bar Setup+BOS</x:v>
      </x:c>
      <x:c r="AL451" s="9" t="str">
        <x:v>1.3097722837788963</x:v>
      </x:c>
      <x:c r="AM451" s="9" t="str">
        <x:v>0.5184515289958131</x:v>
      </x:c>
      <x:c r="AN451" s="9" t="str">
        <x:v>1.3097722837788963</x:v>
      </x:c>
      <x:c r="AO451" s="9" t="str">
        <x:v>1.9919453482470715</x:v>
      </x:c>
      <x:c r="AP451" s="10" t="str">
        <x:v>0.6575342465753424</x:v>
      </x:c>
      <x:c r="AQ451" s="6" t="str">
        <x:v>0.2465753424657534</x:v>
      </x:c>
      <x:c r="AR451" s="6" t="str">
        <x:v>0.0958904109589041</x:v>
      </x:c>
      <x:c r="AS451" s="6" t="str">
        <x:v>With trade</x:v>
      </x:c>
      <x:c r="AT451" s="6" t="str">
        <x:v>2.28334424798079</x:v>
      </x:c>
      <x:c r="AU451" s="7" t="str">
        <x:v>2025-07-31 02:30:00-05:00</x:v>
      </x:c>
      <x:c r="AV451" s="8" t="str">
        <x:v>1</x:v>
      </x:c>
      <x:c r="AW451" s="6" t="str">
        <x:v>Immediate retest (1 bar)</x:v>
      </x:c>
      <x:c r="AX451" s="6" t="str">
        <x:v>22123.5</x:v>
      </x:c>
      <x:c r="AY451" s="6" t="str">
        <x:v>2.75</x:v>
      </x:c>
      <x:c r="AZ451" s="9" t="str">
        <x:v>0.29254280281222395</x:v>
      </x:c>
      <x:c r="BA451" s="9" t="str">
        <x:v>0.47870640460182096</x:v>
      </x:c>
      <x:c r="BB451" s="9" t="str">
        <x:v>1.329740012782836</x:v>
      </x:c>
      <x:c r="BC451" s="9" t="str">
        <x:v>0.10637920102262688</x:v>
      </x:c>
      <x:c r="BD451" s="6" t="str">
        <x:v>0.34</x:v>
      </x:c>
      <x:c r="BE451" s="6" t="str">
        <x:v>0.58</x:v>
      </x:c>
      <x:c r="BF451" s="9" t="str">
        <x:v>0.7712492074140449</x:v>
      </x:c>
      <x:c r="BG451" s="9" t="str">
        <x:v>0.45211160434616426</x:v>
      </x:c>
      <x:c r="BH451" s="6" t="str">
        <x:v>Against trade</x:v>
      </x:c>
      <x:c r="BI451" s="6" t="str">
        <x:v>Penetration + same-bar reclaim</x:v>
      </x:c>
      <x:c r="BJ451" s="6" t="str">
        <x:v>False</x:v>
      </x:c>
      <x:c r="BK451" s="10" t="str">
        <x:v>True</x:v>
      </x:c>
      <x:c r="BL451" s="6" t="str">
        <x:v>True</x:v>
      </x:c>
      <x:c r="BM451" s="7" t="str">
        <x:v>2025-07-31 02:35:00-05:00</x:v>
      </x:c>
      <x:c r="BN451" s="8" t="str">
        <x:v>1</x:v>
      </x:c>
      <x:c r="BO451" s="6" t="str">
        <x:v>Immediate confirmation (1 bar)</x:v>
      </x:c>
      <x:c r="BP451" s="9" t="str">
        <x:v>0.7440908959766516</x:v>
      </x:c>
      <x:c r="BQ451" s="9" t="str">
        <x:v>1.0098376445397415</x:v>
      </x:c>
      <x:c r="BR451" s="10" t="str">
        <x:v>0.7368421052631579</x:v>
      </x:c>
      <x:c r="BS451" s="9" t="str">
        <x:v>1.3021590679591404</x:v>
      </x:c>
      <x:c r="BT451" s="9" t="str">
        <x:v>0.8238149205455786</x:v>
      </x:c>
      <x:c r="BU451" s="9" t="str">
        <x:v>0.07972402456892695</x:v>
      </x:c>
      <x:c r="BV451" s="6" t="str">
        <x:v>With trade</x:v>
      </x:c>
      <x:c r="BW451" s="7" t="str">
        <x:v>2025-07-31 02:35:00-05:00</x:v>
      </x:c>
      <x:c r="BX451" s="6" t="str">
        <x:v>22138.5</x:v>
      </x:c>
      <x:c r="BY451" s="9" t="str">
        <x:v>9.407452823101936</x:v>
      </x:c>
      <x:c r="BZ451" s="9" t="str">
        <x:v>0.68</x:v>
      </x:c>
      <x:c r="CA451" s="6" t="str">
        <x:v>22124.388820765347</x:v>
      </x:c>
      <x:c r="CB451" s="6" t="str">
        <x:v>14.111179234652809</x:v>
      </x:c>
      <x:c r="CC451" s="9" t="str">
        <x:v>1.49999999999999</x:v>
      </x:c>
      <x:c r="CD451" s="6" t="str">
        <x:v>22166.722358469306</x:v>
      </x:c>
      <x:c r="CE451" s="6" t="str">
        <x:v>28.222358469305618</x:v>
      </x:c>
      <x:c r="CF451" s="6" t="str">
        <x:v>Fixed 2.00R target</x:v>
      </x:c>
      <x:c r="CG451" s="9" t="str">
        <x:v>0.051377704722197715</x:v>
      </x:c>
      <x:c r="CH451" s="9" t="str">
        <x:v>-1.0</x:v>
      </x:c>
      <x:c r="CI451" s="9" t="str">
        <x:v>-1.0513777047221977</x:v>
      </x:c>
      <x:c r="CJ451" s="6" t="str">
        <x:v>Loss</x:v>
      </x:c>
      <x:c r="CK451" s="9" t="str">
        <x:v>1.8779436898458477</x:v>
      </x:c>
      <x:c r="CL451" s="9" t="str">
        <x:v>1.0275540944439543</x:v>
      </x:c>
      <x:c r="CM451" s="7" t="str">
        <x:v>2025-07-31 03:00:00-05:00</x:v>
      </x:c>
      <x:c r="CN451" s="6" t="str">
        <x:v>22124.388820765347</x:v>
      </x:c>
      <x:c r="CO451" s="6" t="str">
        <x:v>STOP</x:v>
      </x:c>
      <x:c r="CP451" s="6" t="str">
        <x:v>F::Long::Same-bar Setup+BOS::Penetration + same-bar reclaim</x:v>
      </x:c>
    </x:row>
    <x:row r="452" ht="18" customHeight="1">
      <x:c r="A452" s="6" t="str">
        <x:v>A0451</x:v>
      </x:c>
      <x:c r="B452" s="6" t="str">
        <x:v>2025-07-31</x:v>
      </x:c>
      <x:c r="C452" s="6" t="str">
        <x:v>2025</x:v>
      </x:c>
      <x:c r="D452" s="6" t="str">
        <x:v>2025-Q3</x:v>
      </x:c>
      <x:c r="E452" s="6" t="str">
        <x:v>Second 50%</x:v>
      </x:c>
      <x:c r="F452" s="6" t="str">
        <x:v>Short</x:v>
      </x:c>
      <x:c r="G452" s="6" t="str">
        <x:v>Short</x:v>
      </x:c>
      <x:c r="H452" s="6" t="str">
        <x:v>Premarket</x:v>
      </x:c>
      <x:c r="I452" s="6" t="str">
        <x:v>Premarket</x:v>
      </x:c>
      <x:c r="J452" s="6" t="str">
        <x:v>Bull</x:v>
      </x:c>
      <x:c r="K452" s="6" t="str">
        <x:v>Bull</x:v>
      </x:c>
      <x:c r="L452" s="6" t="str">
        <x:v>HIGH</x:v>
      </x:c>
      <x:c r="M452" s="7" t="str">
        <x:v>2025-07-31 08:25:00-05:00</x:v>
      </x:c>
      <x:c r="N452" s="6" t="str">
        <x:v>90.0</x:v>
      </x:c>
      <x:c r="O452" s="6" t="str">
        <x:v>90-94</x:v>
      </x:c>
      <x:c r="P452" s="6" t="str">
        <x:v>Matching BOS only</x:v>
      </x:c>
      <x:c r="Q452" s="6" t="str">
        <x:v>Bear BOS</x:v>
      </x:c>
      <x:c r="R452" s="6" t="str">
        <x:v>True</x:v>
      </x:c>
      <x:c r="S452" s="6" t="str">
        <x:v>False</x:v>
      </x:c>
      <x:c r="T452" s="6" t="str">
        <x:v>Recent BSL</x:v>
      </x:c>
      <x:c r="U452" s="6" t="str">
        <x:v>BSL</x:v>
      </x:c>
      <x:c r="V452" s="6" t="str">
        <x:v>Swing high / buy-side</x:v>
      </x:c>
      <x:c r="W452" s="6" t="str">
        <x:v>[22127.0,22123.25]</x:v>
      </x:c>
      <x:c r="X452" s="8" t="str">
        <x:v>2</x:v>
      </x:c>
      <x:c r="Y452" s="8" t="str">
        <x:v>11.0</x:v>
      </x:c>
      <x:c r="Z452" s="6" t="str">
        <x:v>None</x:v>
      </x:c>
      <x:c r="AA452" s="6" t="str">
        <x:v>22072.75</x:v>
      </x:c>
      <x:c r="AB452" s="9" t="str">
        <x:v>0.3742342525383607</x:v>
      </x:c>
      <x:c r="AC452" s="9" t="str">
        <x:v>1.7691073756358868</x:v>
      </x:c>
      <x:c r="AD452" s="9" t="str">
        <x:v>2.2113842195448585</x:v>
      </x:c>
      <x:c r="AE452" s="6" t="str">
        <x:v>With trade</x:v>
      </x:c>
      <x:c r="AF452" s="7" t="str">
        <x:v>2025-07-31 08:25:00-05:00</x:v>
      </x:c>
      <x:c r="AG452" s="6" t="str">
        <x:v>Short</x:v>
      </x:c>
      <x:c r="AH452" s="6" t="str">
        <x:v>22072.75</x:v>
      </x:c>
      <x:c r="AI452" s="8" t="str">
        <x:v>0</x:v>
      </x:c>
      <x:c r="AJ452" s="6" t="str">
        <x:v>True</x:v>
      </x:c>
      <x:c r="AK452" s="6" t="str">
        <x:v>Same-bar Setup+BOS</x:v>
      </x:c>
      <x:c r="AL452" s="9" t="str">
        <x:v>1.8031286713211925</x:v>
      </x:c>
      <x:c r="AM452" s="9" t="str">
        <x:v>0.3742342525383607</x:v>
      </x:c>
      <x:c r="AN452" s="9" t="str">
        <x:v>1.7691073756358868</x:v>
      </x:c>
      <x:c r="AO452" s="9" t="str">
        <x:v>2.2113842195448585</x:v>
      </x:c>
      <x:c r="AP452" s="10" t="str">
        <x:v>0.8</x:v>
      </x:c>
      <x:c r="AQ452" s="6" t="str">
        <x:v>0.038461538461538464</x:v>
      </x:c>
      <x:c r="AR452" s="6" t="str">
        <x:v>0.16153846153846155</x:v>
      </x:c>
      <x:c r="AS452" s="6" t="str">
        <x:v>With trade</x:v>
      </x:c>
      <x:c r="AT452" s="6" t="str">
        <x:v>4.236239706867342</x:v>
      </x:c>
      <x:c r="AU452" s="7" t="str">
        <x:v>2025-07-31 08:30:00-05:00</x:v>
      </x:c>
      <x:c r="AV452" s="8" t="str">
        <x:v>1</x:v>
      </x:c>
      <x:c r="AW452" s="6" t="str">
        <x:v>Immediate retest (1 bar)</x:v>
      </x:c>
      <x:c r="AX452" s="6" t="str">
        <x:v>22072.0</x:v>
      </x:c>
      <x:c r="AY452" s="6" t="str">
        <x:v>0.0</x:v>
      </x:c>
      <x:c r="AZ452" s="9" t="str">
        <x:v>0.0</x:v>
      </x:c>
      <x:c r="BA452" s="9" t="str">
        <x:v>3.593071396545605</x:v>
      </x:c>
      <x:c r="BB452" s="9" t="str">
        <x:v>4.754468211590649</x:v>
      </x:c>
      <x:c r="BC452" s="9" t="str">
        <x:v>3.326917959764449</x:v>
      </x:c>
      <x:c r="BD452" s="6" t="str">
        <x:v>0.04834605597964377</x:v>
      </x:c>
      <x:c r="BE452" s="6" t="str">
        <x:v>0.25190839694656486</x:v>
      </x:c>
      <x:c r="BF452" s="9" t="str">
        <x:v>0.2298597863109983</x:v>
      </x:c>
      <x:c r="BG452" s="9" t="str">
        <x:v>1.1976904655152016</x:v>
      </x:c>
      <x:c r="BH452" s="6" t="str">
        <x:v>With trade</x:v>
      </x:c>
      <x:c r="BI452" s="6" t="str">
        <x:v>Tolerance-only shallow touch</x:v>
      </x:c>
      <x:c r="BJ452" s="6" t="str">
        <x:v>True</x:v>
      </x:c>
      <x:c r="BK452" s="10" t="str">
        <x:v>False</x:v>
      </x:c>
      <x:c r="BL452" s="6" t="str">
        <x:v>True</x:v>
      </x:c>
      <x:c r="BM452" s="7" t="str">
        <x:v>2025-07-31 08:35:00-05:00</x:v>
      </x:c>
      <x:c r="BN452" s="8" t="str">
        <x:v>1</x:v>
      </x:c>
      <x:c r="BO452" s="6" t="str">
        <x:v>Immediate confirmation (1 bar)</x:v>
      </x:c>
      <x:c r="BP452" s="9" t="str">
        <x:v>0.860445920407252</x:v>
      </x:c>
      <x:c r="BQ452" s="9" t="str">
        <x:v>1.8341084092891422</x:v>
      </x:c>
      <x:c r="BR452" s="10" t="str">
        <x:v>0.4691358024691358</x:v>
      </x:c>
      <x:c r="BS452" s="9" t="str">
        <x:v>4.234299660951477</x:v>
      </x:c>
      <x:c r="BT452" s="9" t="str">
        <x:v>0.8717675772547158</x:v>
      </x:c>
      <x:c r="BU452" s="9" t="str">
        <x:v>0.09057325477971073</x:v>
      </x:c>
      <x:c r="BV452" s="6" t="str">
        <x:v>With trade</x:v>
      </x:c>
      <x:c r="BW452" s="7" t="str">
        <x:v>2025-07-31 08:35:00-05:00</x:v>
      </x:c>
      <x:c r="BX452" s="6" t="str">
        <x:v>21979.25</x:v>
      </x:c>
      <x:c r="BY452" s="9" t="str">
        <x:v>22.081573692635136</x:v>
      </x:c>
      <x:c r="BZ452" s="9" t="str">
        <x:v>1.0</x:v>
      </x:c>
      <x:c r="CA452" s="6" t="str">
        <x:v>22012.372360538953</x:v>
      </x:c>
      <x:c r="CB452" s="6" t="str">
        <x:v>33.12236053895322</x:v>
      </x:c>
      <x:c r="CC452" s="9" t="str">
        <x:v>1.5000000000000233</x:v>
      </x:c>
      <x:c r="CD452" s="6" t="str">
        <x:v>21913.005278922094</x:v>
      </x:c>
      <x:c r="CE452" s="6" t="str">
        <x:v>66.24472107790643</x:v>
      </x:c>
      <x:c r="CF452" s="6" t="str">
        <x:v>Fixed 2.00R target</x:v>
      </x:c>
      <x:c r="CG452" s="9" t="str">
        <x:v>0.02188853657176309</x:v>
      </x:c>
      <x:c r="CH452" s="9" t="str">
        <x:v>-1.0</x:v>
      </x:c>
      <x:c r="CI452" s="9" t="str">
        <x:v>-1.0218885365717632</x:v>
      </x:c>
      <x:c r="CJ452" s="6" t="str">
        <x:v>Loss</x:v>
      </x:c>
      <x:c r="CK452" s="9" t="str">
        <x:v>1.5095542463284888</x:v>
      </x:c>
      <x:c r="CL452" s="9" t="str">
        <x:v>1.0114013450400874</x:v>
      </x:c>
      <x:c r="CM452" s="7" t="str">
        <x:v>2025-07-31 08:50:00-05:00</x:v>
      </x:c>
      <x:c r="CN452" s="6" t="str">
        <x:v>22012.372360538953</x:v>
      </x:c>
      <x:c r="CO452" s="6" t="str">
        <x:v>STOP</x:v>
      </x:c>
      <x:c r="CP452" s="6" t="str">
        <x:v>F::Short::Same-bar Setup+BOS::Tolerance-only shallow touch</x:v>
      </x:c>
    </x:row>
    <x:row r="453" ht="18" customHeight="1">
      <x:c r="A453" s="6" t="str">
        <x:v>A0452</x:v>
      </x:c>
      <x:c r="B453" s="6" t="str">
        <x:v>2025-07-31</x:v>
      </x:c>
      <x:c r="C453" s="6" t="str">
        <x:v>2025</x:v>
      </x:c>
      <x:c r="D453" s="6" t="str">
        <x:v>2025-Q3</x:v>
      </x:c>
      <x:c r="E453" s="6" t="str">
        <x:v>Second 50%</x:v>
      </x:c>
      <x:c r="F453" s="6" t="str">
        <x:v>Short</x:v>
      </x:c>
      <x:c r="G453" s="6" t="str">
        <x:v>Short</x:v>
      </x:c>
      <x:c r="H453" s="6" t="str">
        <x:v>Overnight</x:v>
      </x:c>
      <x:c r="I453" s="6" t="str">
        <x:v>Overnight</x:v>
      </x:c>
      <x:c r="J453" s="6" t="str">
        <x:v>Bear</x:v>
      </x:c>
      <x:c r="K453" s="6" t="str">
        <x:v>Bear</x:v>
      </x:c>
      <x:c r="L453" s="6" t="str">
        <x:v>LOW</x:v>
      </x:c>
      <x:c r="M453" s="7" t="str">
        <x:v>2025-07-31 22:45:00-05:00</x:v>
      </x:c>
      <x:c r="N453" s="6" t="str">
        <x:v>75.0</x:v>
      </x:c>
      <x:c r="O453" s="6" t="str">
        <x:v>75-79</x:v>
      </x:c>
      <x:c r="P453" s="6" t="str">
        <x:v>Matching BOS only</x:v>
      </x:c>
      <x:c r="Q453" s="6" t="str">
        <x:v>Bear CHoCH</x:v>
      </x:c>
      <x:c r="R453" s="6" t="str">
        <x:v>True</x:v>
      </x:c>
      <x:c r="S453" s="6" t="str">
        <x:v>False</x:v>
      </x:c>
      <x:c r="T453" s="6" t="str">
        <x:v>Recent BSL</x:v>
      </x:c>
      <x:c r="U453" s="6" t="str">
        <x:v>BSL</x:v>
      </x:c>
      <x:c r="V453" s="6" t="str">
        <x:v>Swing high / buy-side</x:v>
      </x:c>
      <x:c r="W453" s="6" t="str">
        <x:v>[21660.0]</x:v>
      </x:c>
      <x:c r="X453" s="8" t="str">
        <x:v>1</x:v>
      </x:c>
      <x:c r="Y453" s="8" t="str">
        <x:v>3.0</x:v>
      </x:c>
      <x:c r="Z453" s="6" t="str">
        <x:v>None</x:v>
      </x:c>
      <x:c r="AA453" s="6" t="str">
        <x:v>21636.5</x:v>
      </x:c>
      <x:c r="AB453" s="9" t="str">
        <x:v>0.22039801476046378</x:v>
      </x:c>
      <x:c r="AC453" s="9" t="str">
        <x:v>0.5387507027478003</x:v>
      </x:c>
      <x:c r="AD453" s="9" t="str">
        <x:v>1.1509674104157552</x:v>
      </x:c>
      <x:c r="AE453" s="6" t="str">
        <x:v>With trade</x:v>
      </x:c>
      <x:c r="AF453" s="7" t="str">
        <x:v>2025-07-31 22:45:00-05:00</x:v>
      </x:c>
      <x:c r="AG453" s="6" t="str">
        <x:v>Short</x:v>
      </x:c>
      <x:c r="AH453" s="6" t="str">
        <x:v>21636.5</x:v>
      </x:c>
      <x:c r="AI453" s="8" t="str">
        <x:v>0</x:v>
      </x:c>
      <x:c r="AJ453" s="6" t="str">
        <x:v>True</x:v>
      </x:c>
      <x:c r="AK453" s="6" t="str">
        <x:v>Same-bar Setup+BOS</x:v>
      </x:c>
      <x:c r="AL453" s="9" t="str">
        <x:v>0.5632393710545186</x:v>
      </x:c>
      <x:c r="AM453" s="9" t="str">
        <x:v>0.22039801476046378</x:v>
      </x:c>
      <x:c r="AN453" s="9" t="str">
        <x:v>0.5387507027478003</x:v>
      </x:c>
      <x:c r="AO453" s="9" t="str">
        <x:v>1.1509674104157552</x:v>
      </x:c>
      <x:c r="AP453" s="10" t="str">
        <x:v>0.46808510638297873</x:v>
      </x:c>
      <x:c r="AQ453" s="6" t="str">
        <x:v>0.40425531914893614</x:v>
      </x:c>
      <x:c r="AR453" s="6" t="str">
        <x:v>0.1276595744680851</x:v>
      </x:c>
      <x:c r="AS453" s="6" t="str">
        <x:v>With trade</x:v>
      </x:c>
      <x:c r="AT453" s="6" t="str">
        <x:v>0.9899787427877316</x:v>
      </x:c>
      <x:c r="AU453" s="7" t="str">
        <x:v>2025-07-31 22:50:00-05:00</x:v>
      </x:c>
      <x:c r="AV453" s="8" t="str">
        <x:v>1</x:v>
      </x:c>
      <x:c r="AW453" s="6" t="str">
        <x:v>Immediate retest (1 bar)</x:v>
      </x:c>
      <x:c r="AX453" s="6" t="str">
        <x:v>21635.75</x:v>
      </x:c>
      <x:c r="AY453" s="6" t="str">
        <x:v>0.0</x:v>
      </x:c>
      <x:c r="AZ453" s="9" t="str">
        <x:v>0.0</x:v>
      </x:c>
      <x:c r="BA453" s="9" t="str">
        <x:v>0.25277247338546344</x:v>
      </x:c>
      <x:c r="BB453" s="9" t="str">
        <x:v>0.5813766887865659</x:v>
      </x:c>
      <x:c r="BC453" s="9" t="str">
        <x:v>0.15166348403127805</x:v>
      </x:c>
      <x:c r="BD453" s="6" t="str">
        <x:v>0.30434782608695654</x:v>
      </x:c>
      <x:c r="BE453" s="6" t="str">
        <x:v>0.43478260869565216</x:v>
      </x:c>
      <x:c r="BF453" s="9" t="str">
        <x:v>0.17694073136982438</x:v>
      </x:c>
      <x:c r="BG453" s="9" t="str">
        <x:v>0.25277247338546344</x:v>
      </x:c>
      <x:c r="BH453" s="6" t="str">
        <x:v>Against trade</x:v>
      </x:c>
      <x:c r="BI453" s="6" t="str">
        <x:v>Tolerance-only shallow touch</x:v>
      </x:c>
      <x:c r="BJ453" s="6" t="str">
        <x:v>True</x:v>
      </x:c>
      <x:c r="BK453" s="10" t="str">
        <x:v>False</x:v>
      </x:c>
      <x:c r="BL453" s="6" t="str">
        <x:v>True</x:v>
      </x:c>
      <x:c r="BM453" s="7" t="str">
        <x:v>2025-07-31 22:55:00-05:00</x:v>
      </x:c>
      <x:c r="BN453" s="8" t="str">
        <x:v>1</x:v>
      </x:c>
      <x:c r="BO453" s="6" t="str">
        <x:v>Immediate confirmation (1 bar)</x:v>
      </x:c>
      <x:c r="BP453" s="9" t="str">
        <x:v>0.8683378230433553</x:v>
      </x:c>
      <x:c r="BQ453" s="9" t="str">
        <x:v>1.2404826043476505</x:v>
      </x:c>
      <x:c r="BR453" s="10" t="str">
        <x:v>0.7</x:v>
      </x:c>
      <x:c r="BS453" s="9" t="str">
        <x:v>1.1908633001737445</x:v>
      </x:c>
      <x:c r="BT453" s="9" t="str">
        <x:v>0.9427667793042144</x:v>
      </x:c>
      <x:c r="BU453" s="9" t="str">
        <x:v>0.14885791252171807</x:v>
      </x:c>
      <x:c r="BV453" s="6" t="str">
        <x:v>With trade</x:v>
      </x:c>
      <x:c r="BW453" s="7" t="str">
        <x:v>2025-07-31 22:55:00-05:00</x:v>
      </x:c>
      <x:c r="BX453" s="6" t="str">
        <x:v>21624.5</x:v>
      </x:c>
      <x:c r="BY453" s="9" t="str">
        <x:v>10.076723330250605</x:v>
      </x:c>
      <x:c r="BZ453" s="9" t="str">
        <x:v>0.03</x:v>
      </x:c>
      <x:c r="CA453" s="6" t="str">
        <x:v>21639.615084995377</x:v>
      </x:c>
      <x:c r="CB453" s="6" t="str">
        <x:v>15.115084995377401</x:v>
      </x:c>
      <x:c r="CC453" s="9" t="str">
        <x:v>1.5000000000001483</x:v>
      </x:c>
      <x:c r="CD453" s="6" t="str">
        <x:v>21594.26983000925</x:v>
      </x:c>
      <x:c r="CE453" s="6" t="str">
        <x:v>30.230169990751165</x:v>
      </x:c>
      <x:c r="CF453" s="6" t="str">
        <x:v>Fixed 2.00R target</x:v>
      </x:c>
      <x:c r="CG453" s="9" t="str">
        <x:v>0.04796532736810441</x:v>
      </x:c>
      <x:c r="CH453" s="9" t="str">
        <x:v>-1.0</x:v>
      </x:c>
      <x:c r="CI453" s="9" t="str">
        <x:v>-1.0479653273681044</x:v>
      </x:c>
      <x:c r="CJ453" s="6" t="str">
        <x:v>Loss</x:v>
      </x:c>
      <x:c r="CK453" s="9" t="str">
        <x:v>0.6119714181447804</x:v>
      </x:c>
      <x:c r="CL453" s="9" t="str">
        <x:v>1.0750849237678575</x:v>
      </x:c>
      <x:c r="CM453" s="7" t="str">
        <x:v>2025-07-31 23:10:00-05:00</x:v>
      </x:c>
      <x:c r="CN453" s="6" t="str">
        <x:v>21639.615084995377</x:v>
      </x:c>
      <x:c r="CO453" s="6" t="str">
        <x:v>STOP</x:v>
      </x:c>
      <x:c r="CP453" s="6" t="str">
        <x:v>F::Short::Same-bar Setup+BOS::Tolerance-only shallow touch</x:v>
      </x:c>
    </x:row>
    <x:row r="454" ht="18" customHeight="1">
      <x:c r="A454" s="6" t="str">
        <x:v>A0453</x:v>
      </x:c>
      <x:c r="B454" s="6" t="str">
        <x:v>2025-08-01</x:v>
      </x:c>
      <x:c r="C454" s="6" t="str">
        <x:v>2025</x:v>
      </x:c>
      <x:c r="D454" s="6" t="str">
        <x:v>2025-Q3</x:v>
      </x:c>
      <x:c r="E454" s="6" t="str">
        <x:v>Second 50%</x:v>
      </x:c>
      <x:c r="F454" s="6" t="str">
        <x:v>Short</x:v>
      </x:c>
      <x:c r="G454" s="6" t="str">
        <x:v>Short</x:v>
      </x:c>
      <x:c r="H454" s="6" t="str">
        <x:v>Overnight</x:v>
      </x:c>
      <x:c r="I454" s="6" t="str">
        <x:v>Overnight</x:v>
      </x:c>
      <x:c r="J454" s="6" t="str">
        <x:v>Bear</x:v>
      </x:c>
      <x:c r="K454" s="6" t="str">
        <x:v>Bear</x:v>
      </x:c>
      <x:c r="L454" s="6" t="str">
        <x:v>LOW</x:v>
      </x:c>
      <x:c r="M454" s="7" t="str">
        <x:v>2025-08-01 00:00:00-05:00</x:v>
      </x:c>
      <x:c r="N454" s="6" t="str">
        <x:v>75.0</x:v>
      </x:c>
      <x:c r="O454" s="6" t="str">
        <x:v>75-79</x:v>
      </x:c>
      <x:c r="P454" s="6" t="str">
        <x:v>Matching liquidity sweep only</x:v>
      </x:c>
      <x:c r="Q454" s="6" t="str">
        <x:v>Recent bear structure</x:v>
      </x:c>
      <x:c r="R454" s="6" t="str">
        <x:v>False</x:v>
      </x:c>
      <x:c r="S454" s="6" t="str">
        <x:v>True</x:v>
      </x:c>
      <x:c r="T454" s="6" t="str">
        <x:v>Recent BSL</x:v>
      </x:c>
      <x:c r="U454" s="6" t="str">
        <x:v>BSL</x:v>
      </x:c>
      <x:c r="V454" s="6" t="str">
        <x:v>Swing high / buy-side</x:v>
      </x:c>
      <x:c r="W454" s="6" t="str">
        <x:v>[21641.5]</x:v>
      </x:c>
      <x:c r="X454" s="8" t="str">
        <x:v>1</x:v>
      </x:c>
      <x:c r="Y454" s="8" t="str">
        <x:v>0.0</x:v>
      </x:c>
      <x:c r="Z454" s="6" t="str">
        <x:v>Sweep above CRT reference</x:v>
      </x:c>
      <x:c r="AA454" s="6" t="str">
        <x:v>21615.25</x:v>
      </x:c>
      <x:c r="AB454" s="9" t="str">
        <x:v>-2.2182493655567472</x:v>
      </x:c>
      <x:c r="AC454" s="9" t="str">
        <x:v>0.1304852567974557</x:v>
      </x:c>
      <x:c r="AD454" s="9" t="str">
        <x:v>0.8872997462226989</x:v>
      </x:c>
      <x:c r="AE454" s="6" t="str">
        <x:v>With trade</x:v>
      </x:c>
      <x:c r="AF454" s="7" t="str">
        <x:v>2025-08-01 00:35:00-05:00</x:v>
      </x:c>
      <x:c r="AG454" s="6" t="str">
        <x:v>Short</x:v>
      </x:c>
      <x:c r="AH454" s="6" t="str">
        <x:v>21626.5</x:v>
      </x:c>
      <x:c r="AI454" s="8" t="str">
        <x:v>7</x:v>
      </x:c>
      <x:c r="AJ454" s="6" t="str">
        <x:v>False</x:v>
      </x:c>
      <x:c r="AK454" s="6" t="str">
        <x:v>Delayed BOS</x:v>
      </x:c>
      <x:c r="AL454" s="9" t="str">
        <x:v>1.0093500227164598</x:v>
      </x:c>
      <x:c r="AM454" s="9" t="str">
        <x:v>0.23905658432758256</x:v>
      </x:c>
      <x:c r="AN454" s="9" t="str">
        <x:v>0.9827881800133951</x:v>
      </x:c>
      <x:c r="AO454" s="9" t="str">
        <x:v>1.3546539778563012</x:v>
      </x:c>
      <x:c r="AP454" s="10" t="str">
        <x:v>0.7254901960784313</x:v>
      </x:c>
      <x:c r="AQ454" s="6" t="str">
        <x:v>0.058823529411764705</x:v>
      </x:c>
      <x:c r="AR454" s="6" t="str">
        <x:v>0.21568627450980393</x:v>
      </x:c>
      <x:c r="AS454" s="6" t="str">
        <x:v>With trade</x:v>
      </x:c>
      <x:c r="AT454" s="6" t="str">
        <x:v>1.2123933542882803</x:v>
      </x:c>
      <x:c r="AU454" s="7" t="str">
        <x:v>2025-08-01 00:40:00-05:00</x:v>
      </x:c>
      <x:c r="AV454" s="8" t="str">
        <x:v>1</x:v>
      </x:c>
      <x:c r="AW454" s="6" t="str">
        <x:v>Immediate retest (1 bar)</x:v>
      </x:c>
      <x:c r="AX454" s="6" t="str">
        <x:v>21633.5</x:v>
      </x:c>
      <x:c r="AY454" s="6" t="str">
        <x:v>7.0</x:v>
      </x:c>
      <x:c r="AZ454" s="9" t="str">
        <x:v>0.7083178324088681</x:v>
      </x:c>
      <x:c r="BA454" s="9" t="str">
        <x:v>0.7083178324088681</x:v>
      </x:c>
      <x:c r="BB454" s="9" t="str">
        <x:v>1.6190121883631272</x:v>
      </x:c>
      <x:c r="BC454" s="9" t="str">
        <x:v>0.5059413088634772</x:v>
      </x:c>
      <x:c r="BD454" s="6" t="str">
        <x:v>0.5625</x:v>
      </x:c>
      <x:c r="BE454" s="6" t="str">
        <x:v>0.125</x:v>
      </x:c>
      <x:c r="BF454" s="9" t="str">
        <x:v>0.910694355954259</x:v>
      </x:c>
      <x:c r="BG454" s="9" t="str">
        <x:v>0.2023765235453909</x:v>
      </x:c>
      <x:c r="BH454" s="6" t="str">
        <x:v>With trade</x:v>
      </x:c>
      <x:c r="BI454" s="6" t="str">
        <x:v>Penetration + same-bar reclaim</x:v>
      </x:c>
      <x:c r="BJ454" s="6" t="str">
        <x:v>False</x:v>
      </x:c>
      <x:c r="BK454" s="10" t="str">
        <x:v>True</x:v>
      </x:c>
      <x:c r="BL454" s="6" t="str">
        <x:v>True</x:v>
      </x:c>
      <x:c r="BM454" s="7" t="str">
        <x:v>2025-08-01 00:45:00-05:00</x:v>
      </x:c>
      <x:c r="BN454" s="8" t="str">
        <x:v>1</x:v>
      </x:c>
      <x:c r="BO454" s="6" t="str">
        <x:v>Immediate confirmation (1 bar)</x:v>
      </x:c>
      <x:c r="BP454" s="9" t="str">
        <x:v>0.22830487664833085</x:v>
      </x:c>
      <x:c r="BQ454" s="9" t="str">
        <x:v>0.9639539236262857</x:v>
      </x:c>
      <x:c r="BR454" s="10" t="str">
        <x:v>0.23684210526315788</x:v>
      </x:c>
      <x:c r="BS454" s="9" t="str">
        <x:v>1.0146883406592482</x:v>
      </x:c>
      <x:c r="BT454" s="9" t="str">
        <x:v>0.30440650219777443</x:v>
      </x:c>
      <x:c r="BU454" s="9" t="str">
        <x:v>0.40587533626369926</x:v>
      </x:c>
      <x:c r="BV454" s="6" t="str">
        <x:v>With trade</x:v>
      </x:c>
      <x:c r="BW454" s="7" t="str">
        <x:v>2025-08-01 00:45:00-05:00</x:v>
      </x:c>
      <x:c r="BX454" s="6" t="str">
        <x:v>21616.5</x:v>
      </x:c>
      <x:c r="BY454" s="9" t="str">
        <x:v>9.85524283594601</x:v>
      </x:c>
      <x:c r="BZ454" s="9" t="str">
        <x:v>0.13</x:v>
      </x:c>
      <x:c r="CA454" s="6" t="str">
        <x:v>21631.28286425392</x:v>
      </x:c>
      <x:c r="CB454" s="6" t="str">
        <x:v>14.782864253920707</x:v>
      </x:c>
      <x:c r="CC454" s="9" t="str">
        <x:v>1.5000000000001716</x:v>
      </x:c>
      <x:c r="CD454" s="6" t="str">
        <x:v>21586.934271492162</x:v>
      </x:c>
      <x:c r="CE454" s="6" t="str">
        <x:v>29.565728507837775</x:v>
      </x:c>
      <x:c r="CF454" s="6" t="str">
        <x:v>Fixed 2.00R target</x:v>
      </x:c>
      <x:c r="CG454" s="9" t="str">
        <x:v>0.04904326979852472</x:v>
      </x:c>
      <x:c r="CH454" s="9" t="str">
        <x:v>2.0</x:v>
      </x:c>
      <x:c r="CI454" s="9" t="str">
        <x:v>1.9509567302014752</x:v>
      </x:c>
      <x:c r="CJ454" s="6" t="str">
        <x:v>Win</x:v>
      </x:c>
      <x:c r="CK454" s="9" t="str">
        <x:v>2.4521634899262357</x:v>
      </x:c>
      <x:c r="CL454" s="9" t="str">
        <x:v>0.4735212256409283</x:v>
      </x:c>
      <x:c r="CM454" s="7" t="str">
        <x:v>2025-08-01 01:25:00-05:00</x:v>
      </x:c>
      <x:c r="CN454" s="6" t="str">
        <x:v>21586.934271492162</x:v>
      </x:c>
      <x:c r="CO454" s="6" t="str">
        <x:v>TARGET</x:v>
      </x:c>
      <x:c r="CP454" s="6" t="str">
        <x:v>F::Short::Delayed BOS::Penetration + same-bar reclaim</x:v>
      </x:c>
    </x:row>
    <x:row r="455" ht="18" customHeight="1">
      <x:c r="A455" s="6" t="str">
        <x:v>A0454</x:v>
      </x:c>
      <x:c r="B455" s="6" t="str">
        <x:v>2025-08-01</x:v>
      </x:c>
      <x:c r="C455" s="6" t="str">
        <x:v>2025</x:v>
      </x:c>
      <x:c r="D455" s="6" t="str">
        <x:v>2025-Q3</x:v>
      </x:c>
      <x:c r="E455" s="6" t="str">
        <x:v>Second 50%</x:v>
      </x:c>
      <x:c r="F455" s="6" t="str">
        <x:v>Short</x:v>
      </x:c>
      <x:c r="G455" s="6" t="str">
        <x:v>Short</x:v>
      </x:c>
      <x:c r="H455" s="6" t="str">
        <x:v>Midday</x:v>
      </x:c>
      <x:c r="I455" s="6" t="str">
        <x:v>Morning</x:v>
      </x:c>
      <x:c r="J455" s="6" t="str">
        <x:v>Bear</x:v>
      </x:c>
      <x:c r="K455" s="6" t="str">
        <x:v>Bear</x:v>
      </x:c>
      <x:c r="L455" s="6" t="str">
        <x:v>MID</x:v>
      </x:c>
      <x:c r="M455" s="7" t="str">
        <x:v>2025-08-01 11:55:00-05:00</x:v>
      </x:c>
      <x:c r="N455" s="6" t="str">
        <x:v>75.0</x:v>
      </x:c>
      <x:c r="O455" s="6" t="str">
        <x:v>75-79</x:v>
      </x:c>
      <x:c r="P455" s="6" t="str">
        <x:v>Matching BOS only</x:v>
      </x:c>
      <x:c r="Q455" s="6" t="str">
        <x:v>Bear CHoCH</x:v>
      </x:c>
      <x:c r="R455" s="6" t="str">
        <x:v>True</x:v>
      </x:c>
      <x:c r="S455" s="6" t="str">
        <x:v>False</x:v>
      </x:c>
      <x:c r="T455" s="6" t="str">
        <x:v>No recent matching sweep</x:v>
      </x:c>
      <x:c r="U455" s="6" t="str">
        <x:v>None</x:v>
      </x:c>
      <x:c r="V455" s="6" t="str">
        <x:v>None</x:v>
      </x:c>
      <x:c r="W455" s="6" t="str">
        <x:v>[]</x:v>
      </x:c>
      <x:c r="X455" s="8" t="str">
        <x:v>0</x:v>
      </x:c>
      <x:c r="Y455" s="8" t="str"/>
      <x:c r="Z455" s="6" t="str">
        <x:v>None</x:v>
      </x:c>
      <x:c r="AA455" s="6" t="str">
        <x:v>21216.0</x:v>
      </x:c>
      <x:c r="AB455" s="9" t="str">
        <x:v>0.45987048321894913</x:v>
      </x:c>
      <x:c r="AC455" s="9" t="str">
        <x:v>1.1902530153902213</x:v>
      </x:c>
      <x:c r="AD455" s="9" t="str">
        <x:v>1.5622070826996655</x:v>
      </x:c>
      <x:c r="AE455" s="6" t="str">
        <x:v>With trade</x:v>
      </x:c>
      <x:c r="AF455" s="7" t="str">
        <x:v>2025-08-01 11:55:00-05:00</x:v>
      </x:c>
      <x:c r="AG455" s="6" t="str">
        <x:v>Short</x:v>
      </x:c>
      <x:c r="AH455" s="6" t="str">
        <x:v>21216.0</x:v>
      </x:c>
      <x:c r="AI455" s="8" t="str">
        <x:v>0</x:v>
      </x:c>
      <x:c r="AJ455" s="6" t="str">
        <x:v>True</x:v>
      </x:c>
      <x:c r="AK455" s="6" t="str">
        <x:v>Same-bar Setup+BOS</x:v>
      </x:c>
      <x:c r="AL455" s="9" t="str">
        <x:v>1.1970158166140294</x:v>
      </x:c>
      <x:c r="AM455" s="9" t="str">
        <x:v>0.45987048321894913</x:v>
      </x:c>
      <x:c r="AN455" s="9" t="str">
        <x:v>1.1902530153902213</x:v>
      </x:c>
      <x:c r="AO455" s="9" t="str">
        <x:v>1.5622070826996655</x:v>
      </x:c>
      <x:c r="AP455" s="10" t="str">
        <x:v>0.7619047619047619</x:v>
      </x:c>
      <x:c r="AQ455" s="6" t="str">
        <x:v>0.12987012987012986</x:v>
      </x:c>
      <x:c r="AR455" s="6" t="str">
        <x:v>0.10822510822510822</x:v>
      </x:c>
      <x:c r="AS455" s="6" t="str">
        <x:v>With trade</x:v>
      </x:c>
      <x:c r="AT455" s="6" t="str">
        <x:v>1.715304583692941</x:v>
      </x:c>
      <x:c r="AU455" s="7" t="str">
        <x:v>2025-08-01 12:00:00-05:00</x:v>
      </x:c>
      <x:c r="AV455" s="8" t="str">
        <x:v>1</x:v>
      </x:c>
      <x:c r="AW455" s="6" t="str">
        <x:v>Immediate retest (1 bar)</x:v>
      </x:c>
      <x:c r="AX455" s="6" t="str">
        <x:v>21219.75</x:v>
      </x:c>
      <x:c r="AY455" s="6" t="str">
        <x:v>3.75</x:v>
      </x:c>
      <x:c r="AZ455" s="9" t="str">
        <x:v>0.10089942883474444</x:v>
      </x:c>
      <x:c r="BA455" s="9" t="str">
        <x:v>0.72647588761016</x:v>
      </x:c>
      <x:c r="BB455" s="9" t="str">
        <x:v>1.069533945648291</x:v>
      </x:c>
      <x:c r="BC455" s="9" t="str">
        <x:v>0.26906514355931854</x:v>
      </x:c>
      <x:c r="BD455" s="6" t="str">
        <x:v>0.5220125786163522</x:v>
      </x:c>
      <x:c r="BE455" s="6" t="str">
        <x:v>0.22641509433962265</x:v>
      </x:c>
      <x:c r="BF455" s="9" t="str">
        <x:v>0.5583101728855859</x:v>
      </x:c>
      <x:c r="BG455" s="9" t="str">
        <x:v>0.24215862920338665</x:v>
      </x:c>
      <x:c r="BH455" s="6" t="str">
        <x:v>With trade</x:v>
      </x:c>
      <x:c r="BI455" s="6" t="str">
        <x:v>Penetration + same-bar reclaim</x:v>
      </x:c>
      <x:c r="BJ455" s="6" t="str">
        <x:v>False</x:v>
      </x:c>
      <x:c r="BK455" s="10" t="str">
        <x:v>True</x:v>
      </x:c>
      <x:c r="BL455" s="6" t="str">
        <x:v>True</x:v>
      </x:c>
      <x:c r="BM455" s="7" t="str">
        <x:v>2025-08-01 12:10:00-05:00</x:v>
      </x:c>
      <x:c r="BN455" s="8" t="str">
        <x:v>2</x:v>
      </x:c>
      <x:c r="BO455" s="6" t="str">
        <x:v>Delayed confirmation (2+ bars)</x:v>
      </x:c>
      <x:c r="BP455" s="9" t="str">
        <x:v>0.6130741768677592</x:v>
      </x:c>
      <x:c r="BQ455" s="9" t="str">
        <x:v>0.7697486887339644</x:v>
      </x:c>
      <x:c r="BR455" s="10" t="str">
        <x:v>0.7964601769911505</x:v>
      </x:c>
      <x:c r="BS455" s="9" t="str">
        <x:v>0.9059873947045776</x:v>
      </x:c>
      <x:c r="BT455" s="9" t="str">
        <x:v>0.17029838246326645</x:v>
      </x:c>
      <x:c r="BU455" s="9" t="str">
        <x:v>0.12261483537355185</x:v>
      </x:c>
      <x:c r="BV455" s="6" t="str">
        <x:v>With trade</x:v>
      </x:c>
      <x:c r="BW455" s="7" t="str">
        <x:v>2025-08-01 12:10:00-05:00</x:v>
      </x:c>
      <x:c r="BX455" s="6" t="str">
        <x:v>21182.75</x:v>
      </x:c>
      <x:c r="BY455" s="9" t="str">
        <x:v>36.700289865337574</x:v>
      </x:c>
      <x:c r="BZ455" s="9" t="str">
        <x:v>0.66</x:v>
      </x:c>
      <x:c r="CA455" s="6" t="str">
        <x:v>21237.800434798006</x:v>
      </x:c>
      <x:c r="CB455" s="6" t="str">
        <x:v>55.05043479800588</x:v>
      </x:c>
      <x:c r="CC455" s="9" t="str">
        <x:v>1.499999999999987</x:v>
      </x:c>
      <x:c r="CD455" s="6" t="str">
        <x:v>21072.64913040399</x:v>
      </x:c>
      <x:c r="CE455" s="6" t="str">
        <x:v>110.10086959601176</x:v>
      </x:c>
      <x:c r="CF455" s="6" t="str">
        <x:v>Fixed 2.00R target</x:v>
      </x:c>
      <x:c r="CG455" s="9" t="str">
        <x:v>0.013169741577159387</x:v>
      </x:c>
      <x:c r="CH455" s="9" t="str">
        <x:v>1.044496745774701</x:v>
      </x:c>
      <x:c r="CI455" s="9" t="str">
        <x:v>1.0313270041975415</x:v>
      </x:c>
      <x:c r="CJ455" s="6" t="str">
        <x:v>Win</x:v>
      </x:c>
      <x:c r="CK455" s="9" t="str">
        <x:v>1.5939928598561879</x:v>
      </x:c>
      <x:c r="CL455" s="9" t="str">
        <x:v>0.3405967649265359</x:v>
      </x:c>
      <x:c r="CM455" s="7" t="str">
        <x:v>2025-08-01 13:10:00-05:00</x:v>
      </x:c>
      <x:c r="CN455" s="6" t="str">
        <x:v>21125.25</x:v>
      </x:c>
      <x:c r="CO455" s="6" t="str">
        <x:v>TIME</x:v>
      </x:c>
      <x:c r="CP455" s="6" t="str">
        <x:v>F::Short::Same-bar Setup+BOS::Penetration + same-bar reclaim</x:v>
      </x:c>
    </x:row>
    <x:row r="456" ht="18" customHeight="1">
      <x:c r="A456" s="6" t="str">
        <x:v>A0455</x:v>
      </x:c>
      <x:c r="B456" s="6" t="str">
        <x:v>2025-08-04</x:v>
      </x:c>
      <x:c r="C456" s="6" t="str">
        <x:v>2025</x:v>
      </x:c>
      <x:c r="D456" s="6" t="str">
        <x:v>2025-Q3</x:v>
      </x:c>
      <x:c r="E456" s="6" t="str">
        <x:v>Second 50%</x:v>
      </x:c>
      <x:c r="F456" s="6" t="str">
        <x:v>Long</x:v>
      </x:c>
      <x:c r="G456" s="6" t="str">
        <x:v>Long</x:v>
      </x:c>
      <x:c r="H456" s="6" t="str">
        <x:v>Overnight</x:v>
      </x:c>
      <x:c r="I456" s="6" t="str">
        <x:v>Overnight</x:v>
      </x:c>
      <x:c r="J456" s="6" t="str">
        <x:v>Bear</x:v>
      </x:c>
      <x:c r="K456" s="6" t="str">
        <x:v>Bear</x:v>
      </x:c>
      <x:c r="L456" s="6" t="str">
        <x:v>MID</x:v>
      </x:c>
      <x:c r="M456" s="7" t="str">
        <x:v>2025-08-04 02:05:00-05:00</x:v>
      </x:c>
      <x:c r="N456" s="6" t="str">
        <x:v>75.0</x:v>
      </x:c>
      <x:c r="O456" s="6" t="str">
        <x:v>75-79</x:v>
      </x:c>
      <x:c r="P456" s="6" t="str">
        <x:v>Matching BOS only</x:v>
      </x:c>
      <x:c r="Q456" s="6" t="str">
        <x:v>Bull CHoCH</x:v>
      </x:c>
      <x:c r="R456" s="6" t="str">
        <x:v>True</x:v>
      </x:c>
      <x:c r="S456" s="6" t="str">
        <x:v>False</x:v>
      </x:c>
      <x:c r="T456" s="6" t="str">
        <x:v>Recent SSL</x:v>
      </x:c>
      <x:c r="U456" s="6" t="str">
        <x:v>SSL</x:v>
      </x:c>
      <x:c r="V456" s="6" t="str">
        <x:v>Swing low / sell-side</x:v>
      </x:c>
      <x:c r="W456" s="6" t="str">
        <x:v>[21268.25,21272.5]</x:v>
      </x:c>
      <x:c r="X456" s="8" t="str">
        <x:v>2</x:v>
      </x:c>
      <x:c r="Y456" s="8" t="str">
        <x:v>6.0</x:v>
      </x:c>
      <x:c r="Z456" s="6" t="str">
        <x:v>None</x:v>
      </x:c>
      <x:c r="AA456" s="6" t="str">
        <x:v>21320.5</x:v>
      </x:c>
      <x:c r="AB456" s="9" t="str">
        <x:v>0.4582127618994452</x:v>
      </x:c>
      <x:c r="AC456" s="9" t="str">
        <x:v>0.8018723333240291</x:v>
      </x:c>
      <x:c r="AD456" s="9" t="str">
        <x:v>1.3582735442019267</x:v>
      </x:c>
      <x:c r="AE456" s="6" t="str">
        <x:v>With trade</x:v>
      </x:c>
      <x:c r="AF456" s="7" t="str">
        <x:v>2025-08-04 02:05:00-05:00</x:v>
      </x:c>
      <x:c r="AG456" s="6" t="str">
        <x:v>Long</x:v>
      </x:c>
      <x:c r="AH456" s="6" t="str">
        <x:v>21320.5</x:v>
      </x:c>
      <x:c r="AI456" s="8" t="str">
        <x:v>0</x:v>
      </x:c>
      <x:c r="AJ456" s="6" t="str">
        <x:v>True</x:v>
      </x:c>
      <x:c r="AK456" s="6" t="str">
        <x:v>Same-bar Setup+BOS</x:v>
      </x:c>
      <x:c r="AL456" s="9" t="str">
        <x:v>0.8018723333240291</x:v>
      </x:c>
      <x:c r="AM456" s="9" t="str">
        <x:v>0.4582127618994452</x:v>
      </x:c>
      <x:c r="AN456" s="9" t="str">
        <x:v>0.8018723333240291</x:v>
      </x:c>
      <x:c r="AO456" s="9" t="str">
        <x:v>1.3582735442019267</x:v>
      </x:c>
      <x:c r="AP456" s="10" t="str">
        <x:v>0.5903614457831325</x:v>
      </x:c>
      <x:c r="AQ456" s="6" t="str">
        <x:v>0.10843373493975904</x:v>
      </x:c>
      <x:c r="AR456" s="6" t="str">
        <x:v>0.30120481927710846</x:v>
      </x:c>
      <x:c r="AS456" s="6" t="str">
        <x:v>With trade</x:v>
      </x:c>
      <x:c r="AT456" s="6" t="str">
        <x:v>1.8185435734182251</x:v>
      </x:c>
      <x:c r="AU456" s="7" t="str">
        <x:v>2025-08-04 02:10:00-05:00</x:v>
      </x:c>
      <x:c r="AV456" s="8" t="str">
        <x:v>1</x:v>
      </x:c>
      <x:c r="AW456" s="6" t="str">
        <x:v>Immediate retest (1 bar)</x:v>
      </x:c>
      <x:c r="AX456" s="6" t="str">
        <x:v>21320.5</x:v>
      </x:c>
      <x:c r="AY456" s="6" t="str">
        <x:v>0.0</x:v>
      </x:c>
      <x:c r="AZ456" s="9" t="str">
        <x:v>0.0</x:v>
      </x:c>
      <x:c r="BA456" s="9" t="str">
        <x:v>0.4534985824349768</x:v>
      </x:c>
      <x:c r="BB456" s="9" t="str">
        <x:v>1.133746456087442</x:v>
      </x:c>
      <x:c r="BC456" s="9" t="str">
        <x:v>0.0</x:v>
      </x:c>
      <x:c r="BD456" s="6" t="str">
        <x:v>0.6</x:v>
      </x:c>
      <x:c r="BE456" s="6" t="str">
        <x:v>0.4</x:v>
      </x:c>
      <x:c r="BF456" s="9" t="str">
        <x:v>0.4534985824349768</x:v>
      </x:c>
      <x:c r="BG456" s="9" t="str">
        <x:v>0.6802478736524652</x:v>
      </x:c>
      <x:c r="BH456" s="6" t="str">
        <x:v>Doji</x:v>
      </x:c>
      <x:c r="BI456" s="6" t="str">
        <x:v>Exact BOS touch</x:v>
      </x:c>
      <x:c r="BJ456" s="6" t="str">
        <x:v>True</x:v>
      </x:c>
      <x:c r="BK456" s="10" t="str">
        <x:v>False</x:v>
      </x:c>
      <x:c r="BL456" s="6" t="str">
        <x:v>True</x:v>
      </x:c>
      <x:c r="BM456" s="7" t="str">
        <x:v>2025-08-04 02:20:00-05:00</x:v>
      </x:c>
      <x:c r="BN456" s="8" t="str">
        <x:v>2</x:v>
      </x:c>
      <x:c r="BO456" s="6" t="str">
        <x:v>Delayed confirmation (2+ bars)</x:v>
      </x:c>
      <x:c r="BP456" s="9" t="str">
        <x:v>0.016355915763236546</x:v>
      </x:c>
      <x:c r="BQ456" s="9" t="str">
        <x:v>1.3084732610589236</x:v>
      </x:c>
      <x:c r="BR456" s="10" t="str">
        <x:v>0.0125</x:v>
      </x:c>
      <x:c r="BS456" s="9" t="str">
        <x:v>0.37618606255444054</x:v>
      </x:c>
      <x:c r="BT456" s="9" t="str">
        <x:v>-0.08177957881618272</x:v>
      </x:c>
      <x:c r="BU456" s="9" t="str">
        <x:v>0.5888129674765156</x:v>
      </x:c>
      <x:c r="BV456" s="6" t="str">
        <x:v>With trade</x:v>
      </x:c>
      <x:c r="BW456" s="7" t="str">
        <x:v>2025-08-04 02:20:00-05:00</x:v>
      </x:c>
      <x:c r="BX456" s="6" t="str">
        <x:v>21326.25</x:v>
      </x:c>
      <x:c r="BY456" s="9" t="str">
        <x:v>15.284989456960217</x:v>
      </x:c>
      <x:c r="BZ456" s="9" t="str">
        <x:v>0.63</x:v>
      </x:c>
      <x:c r="CA456" s="6" t="str">
        <x:v>21303.32251581456</x:v>
      </x:c>
      <x:c r="CB456" s="6" t="str">
        <x:v>22.927484185438516</x:v>
      </x:c>
      <x:c r="CC456" s="9" t="str">
        <x:v>1.4999999999998817</x:v>
      </x:c>
      <x:c r="CD456" s="6" t="str">
        <x:v>21372.10496837088</x:v>
      </x:c>
      <x:c r="CE456" s="6" t="str">
        <x:v>45.85496837088067</x:v>
      </x:c>
      <x:c r="CF456" s="6" t="str">
        <x:v>Fixed 2.00R target</x:v>
      </x:c>
      <x:c r="CG456" s="9" t="str">
        <x:v>0.03162143714225982</x:v>
      </x:c>
      <x:c r="CH456" s="9" t="str">
        <x:v>2.0</x:v>
      </x:c>
      <x:c r="CI456" s="9" t="str">
        <x:v>1.9683785628577402</x:v>
      </x:c>
      <x:c r="CJ456" s="6" t="str">
        <x:v>Win</x:v>
      </x:c>
      <x:c r="CK456" s="9" t="str">
        <x:v>2.0063256669571743</x:v>
      </x:c>
      <x:c r="CL456" s="9" t="str">
        <x:v>0.021807887684317115</x:v>
      </x:c>
      <x:c r="CM456" s="7" t="str">
        <x:v>2025-08-04 03:15:00-05:00</x:v>
      </x:c>
      <x:c r="CN456" s="6" t="str">
        <x:v>21372.10496837088</x:v>
      </x:c>
      <x:c r="CO456" s="6" t="str">
        <x:v>TARGET</x:v>
      </x:c>
      <x:c r="CP456" s="6" t="str">
        <x:v>F::Long::Same-bar Setup+BOS::Exact BOS touch</x:v>
      </x:c>
    </x:row>
    <x:row r="457" ht="18" customHeight="1">
      <x:c r="A457" s="6" t="str">
        <x:v>A0456</x:v>
      </x:c>
      <x:c r="B457" s="6" t="str">
        <x:v>2025-08-05</x:v>
      </x:c>
      <x:c r="C457" s="6" t="str">
        <x:v>2025</x:v>
      </x:c>
      <x:c r="D457" s="6" t="str">
        <x:v>2025-Q3</x:v>
      </x:c>
      <x:c r="E457" s="6" t="str">
        <x:v>Second 50%</x:v>
      </x:c>
      <x:c r="F457" s="6" t="str">
        <x:v>Short</x:v>
      </x:c>
      <x:c r="G457" s="6" t="str">
        <x:v>Short</x:v>
      </x:c>
      <x:c r="H457" s="6" t="str">
        <x:v>Overnight</x:v>
      </x:c>
      <x:c r="I457" s="6" t="str">
        <x:v>Overnight</x:v>
      </x:c>
      <x:c r="J457" s="6" t="str">
        <x:v>Bull</x:v>
      </x:c>
      <x:c r="K457" s="6" t="str">
        <x:v>Bull</x:v>
      </x:c>
      <x:c r="L457" s="6" t="str">
        <x:v>HIGH</x:v>
      </x:c>
      <x:c r="M457" s="7" t="str">
        <x:v>2025-08-05 02:30:00-05:00</x:v>
      </x:c>
      <x:c r="N457" s="6" t="str">
        <x:v>75.0</x:v>
      </x:c>
      <x:c r="O457" s="6" t="str">
        <x:v>75-79</x:v>
      </x:c>
      <x:c r="P457" s="6" t="str">
        <x:v>Matching BOS only</x:v>
      </x:c>
      <x:c r="Q457" s="6" t="str">
        <x:v>Bear CHoCH</x:v>
      </x:c>
      <x:c r="R457" s="6" t="str">
        <x:v>True</x:v>
      </x:c>
      <x:c r="S457" s="6" t="str">
        <x:v>False</x:v>
      </x:c>
      <x:c r="T457" s="6" t="str">
        <x:v>Recent BSL</x:v>
      </x:c>
      <x:c r="U457" s="6" t="str">
        <x:v>BSL</x:v>
      </x:c>
      <x:c r="V457" s="6" t="str">
        <x:v>Swing high / buy-side</x:v>
      </x:c>
      <x:c r="W457" s="6" t="str">
        <x:v>[21707.0]</x:v>
      </x:c>
      <x:c r="X457" s="8" t="str">
        <x:v>1</x:v>
      </x:c>
      <x:c r="Y457" s="8" t="str">
        <x:v>10.0</x:v>
      </x:c>
      <x:c r="Z457" s="6" t="str">
        <x:v>None</x:v>
      </x:c>
      <x:c r="AA457" s="6" t="str">
        <x:v>21676.0</x:v>
      </x:c>
      <x:c r="AB457" s="9" t="str">
        <x:v>0.7543239769895062</x:v>
      </x:c>
      <x:c r="AC457" s="9" t="str">
        <x:v>0.8620845451308642</x:v>
      </x:c>
      <x:c r="AD457" s="9" t="str">
        <x:v>1.4817078119436728</x:v>
      </x:c>
      <x:c r="AE457" s="6" t="str">
        <x:v>With trade</x:v>
      </x:c>
      <x:c r="AF457" s="7" t="str">
        <x:v>2025-08-05 02:30:00-05:00</x:v>
      </x:c>
      <x:c r="AG457" s="6" t="str">
        <x:v>Short</x:v>
      </x:c>
      <x:c r="AH457" s="6" t="str">
        <x:v>21676.0</x:v>
      </x:c>
      <x:c r="AI457" s="8" t="str">
        <x:v>0</x:v>
      </x:c>
      <x:c r="AJ457" s="6" t="str">
        <x:v>True</x:v>
      </x:c>
      <x:c r="AK457" s="6" t="str">
        <x:v>Same-bar Setup+BOS</x:v>
      </x:c>
      <x:c r="AL457" s="9" t="str">
        <x:v>0.7812641190248456</x:v>
      </x:c>
      <x:c r="AM457" s="9" t="str">
        <x:v>0.7543239769895062</x:v>
      </x:c>
      <x:c r="AN457" s="9" t="str">
        <x:v>0.8620845451308642</x:v>
      </x:c>
      <x:c r="AO457" s="9" t="str">
        <x:v>1.4817078119436728</x:v>
      </x:c>
      <x:c r="AP457" s="10" t="str">
        <x:v>0.5818181818181818</x:v>
      </x:c>
      <x:c r="AQ457" s="6" t="str">
        <x:v>0.38181818181818183</x:v>
      </x:c>
      <x:c r="AR457" s="6" t="str">
        <x:v>0.03636363636363636</x:v>
      </x:c>
      <x:c r="AS457" s="6" t="str">
        <x:v>With trade</x:v>
      </x:c>
      <x:c r="AT457" s="6" t="str">
        <x:v>1.8166213703332856</x:v>
      </x:c>
      <x:c r="AU457" s="7" t="str">
        <x:v>2025-08-05 02:45:00-05:00</x:v>
      </x:c>
      <x:c r="AV457" s="8" t="str">
        <x:v>3</x:v>
      </x:c>
      <x:c r="AW457" s="6" t="str">
        <x:v>Delayed retest (2+ bars)</x:v>
      </x:c>
      <x:c r="AX457" s="6" t="str">
        <x:v>21675.75</x:v>
      </x:c>
      <x:c r="AY457" s="6" t="str">
        <x:v>0.0</x:v>
      </x:c>
      <x:c r="AZ457" s="9" t="str">
        <x:v>0.0</x:v>
      </x:c>
      <x:c r="BA457" s="9" t="str">
        <x:v>1.7956768693148337</x:v>
      </x:c>
      <x:c r="BB457" s="9" t="str">
        <x:v>2.2221501257771066</x:v>
      </x:c>
      <x:c r="BC457" s="9" t="str">
        <x:v>1.2345278476539483</x:v>
      </x:c>
      <x:c r="BD457" s="6" t="str">
        <x:v>0.24242424242424243</x:v>
      </x:c>
      <x:c r="BE457" s="6" t="str">
        <x:v>0.20202020202020202</x:v>
      </x:c>
      <x:c r="BF457" s="9" t="str">
        <x:v>0.5387030607944502</x:v>
      </x:c>
      <x:c r="BG457" s="9" t="str">
        <x:v>0.44891921732870843</x:v>
      </x:c>
      <x:c r="BH457" s="6" t="str">
        <x:v>With trade</x:v>
      </x:c>
      <x:c r="BI457" s="6" t="str">
        <x:v>Tolerance-only shallow touch</x:v>
      </x:c>
      <x:c r="BJ457" s="6" t="str">
        <x:v>True</x:v>
      </x:c>
      <x:c r="BK457" s="10" t="str">
        <x:v>False</x:v>
      </x:c>
      <x:c r="BL457" s="6" t="str">
        <x:v>True</x:v>
      </x:c>
      <x:c r="BM457" s="7" t="str">
        <x:v>2025-08-05 02:50:00-05:00</x:v>
      </x:c>
      <x:c r="BN457" s="8" t="str">
        <x:v>1</x:v>
      </x:c>
      <x:c r="BO457" s="6" t="str">
        <x:v>Immediate confirmation (1 bar)</x:v>
      </x:c>
      <x:c r="BP457" s="9" t="str">
        <x:v>0.39303223090360734</x:v>
      </x:c>
      <x:c r="BQ457" s="9" t="str">
        <x:v>1.3537776842235365</x:v>
      </x:c>
      <x:c r="BR457" s="10" t="str">
        <x:v>0.2903225806451613</x:v>
      </x:c>
      <x:c r="BS457" s="9" t="str">
        <x:v>2.1616772699698403</x:v>
      </x:c>
      <x:c r="BT457" s="9" t="str">
        <x:v>0.41486735484269666</x:v>
      </x:c>
      <x:c r="BU457" s="9" t="str">
        <x:v>0.5022078505990538</x:v>
      </x:c>
      <x:c r="BV457" s="6" t="str">
        <x:v>With trade</x:v>
      </x:c>
      <x:c r="BW457" s="7" t="str">
        <x:v>2025-08-05 02:50:00-05:00</x:v>
      </x:c>
      <x:c r="BX457" s="6" t="str">
        <x:v>21651.25</x:v>
      </x:c>
      <x:c r="BY457" s="9" t="str">
        <x:v>11.44944268223041</x:v>
      </x:c>
      <x:c r="BZ457" s="9" t="str">
        <x:v>0.83</x:v>
      </x:c>
      <x:c r="CA457" s="6" t="str">
        <x:v>21668.424164023345</x:v>
      </x:c>
      <x:c r="CB457" s="6" t="str">
        <x:v>17.17416402334493</x:v>
      </x:c>
      <x:c r="CC457" s="9" t="str">
        <x:v>1.49999999999994</x:v>
      </x:c>
      <x:c r="CD457" s="6" t="str">
        <x:v>21616.90167195331</x:v>
      </x:c>
      <x:c r="CE457" s="6" t="str">
        <x:v>34.34832804668986</x:v>
      </x:c>
      <x:c r="CF457" s="6" t="str">
        <x:v>Fixed 2.00R target</x:v>
      </x:c>
      <x:c r="CG457" s="9" t="str">
        <x:v>0.04221457294890766</x:v>
      </x:c>
      <x:c r="CH457" s="9" t="str">
        <x:v>-0.014556749292726198</x:v>
      </x:c>
      <x:c r="CI457" s="9" t="str">
        <x:v>-0.05677132224163386</x:v>
      </x:c>
      <x:c r="CJ457" s="6" t="str">
        <x:v>Loss</x:v>
      </x:c>
      <x:c r="CK457" s="9" t="str">
        <x:v>1.0917561969545084</x:v>
      </x:c>
      <x:c r="CL457" s="9" t="str">
        <x:v>0.6841672167581586</x:v>
      </x:c>
      <x:c r="CM457" s="7" t="str">
        <x:v>2025-08-05 03:50:00-05:00</x:v>
      </x:c>
      <x:c r="CN457" s="6" t="str">
        <x:v>21651.5</x:v>
      </x:c>
      <x:c r="CO457" s="6" t="str">
        <x:v>TIME</x:v>
      </x:c>
      <x:c r="CP457" s="6" t="str">
        <x:v>F::Short::Same-bar Setup+BOS::Tolerance-only shallow touch</x:v>
      </x:c>
    </x:row>
    <x:row r="458" ht="18" customHeight="1">
      <x:c r="A458" s="6" t="str">
        <x:v>A0457</x:v>
      </x:c>
      <x:c r="B458" s="6" t="str">
        <x:v>2025-08-06</x:v>
      </x:c>
      <x:c r="C458" s="6" t="str">
        <x:v>2025</x:v>
      </x:c>
      <x:c r="D458" s="6" t="str">
        <x:v>2025-Q3</x:v>
      </x:c>
      <x:c r="E458" s="6" t="str">
        <x:v>Second 50%</x:v>
      </x:c>
      <x:c r="F458" s="6" t="str">
        <x:v>Short</x:v>
      </x:c>
      <x:c r="G458" s="6" t="str">
        <x:v>Short</x:v>
      </x:c>
      <x:c r="H458" s="6" t="str">
        <x:v>Premarket</x:v>
      </x:c>
      <x:c r="I458" s="6" t="str">
        <x:v>Premarket</x:v>
      </x:c>
      <x:c r="J458" s="6" t="str">
        <x:v>Bear</x:v>
      </x:c>
      <x:c r="K458" s="6" t="str">
        <x:v>Bear</x:v>
      </x:c>
      <x:c r="L458" s="6" t="str">
        <x:v>HIGH</x:v>
      </x:c>
      <x:c r="M458" s="7" t="str">
        <x:v>2025-08-06 04:25:00-05:00</x:v>
      </x:c>
      <x:c r="N458" s="6" t="str">
        <x:v>90.0</x:v>
      </x:c>
      <x:c r="O458" s="6" t="str">
        <x:v>90-94</x:v>
      </x:c>
      <x:c r="P458" s="6" t="str">
        <x:v>Matching BOS only</x:v>
      </x:c>
      <x:c r="Q458" s="6" t="str">
        <x:v>Bear BOS</x:v>
      </x:c>
      <x:c r="R458" s="6" t="str">
        <x:v>True</x:v>
      </x:c>
      <x:c r="S458" s="6" t="str">
        <x:v>False</x:v>
      </x:c>
      <x:c r="T458" s="6" t="str">
        <x:v>Recent BSL</x:v>
      </x:c>
      <x:c r="U458" s="6" t="str">
        <x:v>BSL</x:v>
      </x:c>
      <x:c r="V458" s="6" t="str">
        <x:v>Swing high / buy-side</x:v>
      </x:c>
      <x:c r="W458" s="6" t="str">
        <x:v>[21542.0]</x:v>
      </x:c>
      <x:c r="X458" s="8" t="str">
        <x:v>1</x:v>
      </x:c>
      <x:c r="Y458" s="8" t="str">
        <x:v>18.0</x:v>
      </x:c>
      <x:c r="Z458" s="6" t="str">
        <x:v>None</x:v>
      </x:c>
      <x:c r="AA458" s="6" t="str">
        <x:v>21476.0</x:v>
      </x:c>
      <x:c r="AB458" s="9" t="str">
        <x:v>0.3455883364282732</x:v>
      </x:c>
      <x:c r="AC458" s="9" t="str">
        <x:v>1.0559643613086125</x:v>
      </x:c>
      <x:c r="AD458" s="9" t="str">
        <x:v>1.670343626069987</x:v>
      </x:c>
      <x:c r="AE458" s="6" t="str">
        <x:v>With trade</x:v>
      </x:c>
      <x:c r="AF458" s="7" t="str">
        <x:v>2025-08-06 04:25:00-05:00</x:v>
      </x:c>
      <x:c r="AG458" s="6" t="str">
        <x:v>Short</x:v>
      </x:c>
      <x:c r="AH458" s="6" t="str">
        <x:v>21476.0</x:v>
      </x:c>
      <x:c r="AI458" s="8" t="str">
        <x:v>0</x:v>
      </x:c>
      <x:c r="AJ458" s="6" t="str">
        <x:v>True</x:v>
      </x:c>
      <x:c r="AK458" s="6" t="str">
        <x:v>Same-bar Setup+BOS</x:v>
      </x:c>
      <x:c r="AL458" s="9" t="str">
        <x:v>1.0751637133324055</x:v>
      </x:c>
      <x:c r="AM458" s="9" t="str">
        <x:v>0.3455883364282732</x:v>
      </x:c>
      <x:c r="AN458" s="9" t="str">
        <x:v>1.0559643613086125</x:v>
      </x:c>
      <x:c r="AO458" s="9" t="str">
        <x:v>1.670343626069987</x:v>
      </x:c>
      <x:c r="AP458" s="10" t="str">
        <x:v>0.632183908045977</x:v>
      </x:c>
      <x:c r="AQ458" s="6" t="str">
        <x:v>0.1839080459770115</x:v>
      </x:c>
      <x:c r="AR458" s="6" t="str">
        <x:v>0.1839080459770115</x:v>
      </x:c>
      <x:c r="AS458" s="6" t="str">
        <x:v>With trade</x:v>
      </x:c>
      <x:c r="AT458" s="6" t="str">
        <x:v>1.661171018625791</x:v>
      </x:c>
      <x:c r="AU458" s="7" t="str">
        <x:v>2025-08-06 05:10:00-05:00</x:v>
      </x:c>
      <x:c r="AV458" s="8" t="str">
        <x:v>9</x:v>
      </x:c>
      <x:c r="AW458" s="6" t="str">
        <x:v>Delayed retest (2+ bars)</x:v>
      </x:c>
      <x:c r="AX458" s="6" t="str">
        <x:v>21476.75</x:v>
      </x:c>
      <x:c r="AY458" s="6" t="str">
        <x:v>0.75</x:v>
      </x:c>
      <x:c r="AZ458" s="9" t="str">
        <x:v>0.05271936104920633</x:v>
      </x:c>
      <x:c r="BA458" s="9" t="str">
        <x:v>0.31631616629523795</x:v>
      </x:c>
      <x:c r="BB458" s="9" t="str">
        <x:v>1.827604516372486</x:v>
      </x:c>
      <x:c r="BC458" s="9" t="str">
        <x:v>1.4409958686783064</x:v>
      </x:c>
      <x:c r="BD458" s="6" t="str">
        <x:v>0.20192307692307693</x:v>
      </x:c>
      <x:c r="BE458" s="6" t="str">
        <x:v>0.009615384615384616</x:v>
      </x:c>
      <x:c r="BF458" s="9" t="str">
        <x:v>0.3690355273444443</x:v>
      </x:c>
      <x:c r="BG458" s="9" t="str">
        <x:v>0.017573120349735443</x:v>
      </x:c>
      <x:c r="BH458" s="6" t="str">
        <x:v>Against trade</x:v>
      </x:c>
      <x:c r="BI458" s="6" t="str">
        <x:v>Penetration + same-bar reclaim</x:v>
      </x:c>
      <x:c r="BJ458" s="6" t="str">
        <x:v>False</x:v>
      </x:c>
      <x:c r="BK458" s="10" t="str">
        <x:v>True</x:v>
      </x:c>
      <x:c r="BL458" s="6" t="str">
        <x:v>True</x:v>
      </x:c>
      <x:c r="BM458" s="7" t="str">
        <x:v>2025-08-06 05:15:00-05:00</x:v>
      </x:c>
      <x:c r="BN458" s="8" t="str">
        <x:v>1</x:v>
      </x:c>
      <x:c r="BO458" s="6" t="str">
        <x:v>Immediate confirmation (1 bar)</x:v>
      </x:c>
      <x:c r="BP458" s="9" t="str">
        <x:v>1.3030679524605995</x:v>
      </x:c>
      <x:c r="BQ458" s="9" t="str">
        <x:v>1.7979038837747512</x:v>
      </x:c>
      <x:c r="BR458" s="10" t="str">
        <x:v>0.7247706422018348</x:v>
      </x:c>
      <x:c r="BS458" s="9" t="str">
        <x:v>1.5669804491614805</x:v>
      </x:c>
      <x:c r="BT458" s="9" t="str">
        <x:v>1.2700788903729894</x:v>
      </x:c>
      <x:c r="BU458" s="9" t="str">
        <x:v>0.19793437252566068</x:v>
      </x:c>
      <x:c r="BV458" s="6" t="str">
        <x:v>With trade</x:v>
      </x:c>
      <x:c r="BW458" s="7" t="str">
        <x:v>2025-08-06 05:15:00-05:00</x:v>
      </x:c>
      <x:c r="BX458" s="6" t="str">
        <x:v>21452.25</x:v>
      </x:c>
      <x:c r="BY458" s="9" t="str">
        <x:v>15.156538814960362</x:v>
      </x:c>
      <x:c r="BZ458" s="9" t="str">
        <x:v>0.98</x:v>
      </x:c>
      <x:c r="CA458" s="6" t="str">
        <x:v>21474.98480822244</x:v>
      </x:c>
      <x:c r="CB458" s="6" t="str">
        <x:v>22.734808222441643</x:v>
      </x:c>
      <x:c r="CC458" s="9" t="str">
        <x:v>1.5000000000000726</x:v>
      </x:c>
      <x:c r="CD458" s="6" t="str">
        <x:v>21406.78038355512</x:v>
      </x:c>
      <x:c r="CE458" s="6" t="str">
        <x:v>45.46961644487965</x:v>
      </x:c>
      <x:c r="CF458" s="6" t="str">
        <x:v>Fixed 2.00R target</x:v>
      </x:c>
      <x:c r="CG458" s="9" t="str">
        <x:v>0.031889426684688235</x:v>
      </x:c>
      <x:c r="CH458" s="9" t="str">
        <x:v>-1.0</x:v>
      </x:c>
      <x:c r="CI458" s="9" t="str">
        <x:v>-1.0318894266846883</x:v>
      </x:c>
      <x:c r="CJ458" s="6" t="str">
        <x:v>Loss</x:v>
      </x:c>
      <x:c r="CK458" s="9" t="str">
        <x:v>1.099635402920284</x:v>
      </x:c>
      <x:c r="CL458" s="9" t="str">
        <x:v>1.770412998701657</x:v>
      </x:c>
      <x:c r="CM458" s="7" t="str">
        <x:v>2025-08-06 06:00:00-05:00</x:v>
      </x:c>
      <x:c r="CN458" s="6" t="str">
        <x:v>21474.98480822244</x:v>
      </x:c>
      <x:c r="CO458" s="6" t="str">
        <x:v>STOP</x:v>
      </x:c>
      <x:c r="CP458" s="6" t="str">
        <x:v>F::Short::Same-bar Setup+BOS::Penetration + same-bar reclaim</x:v>
      </x:c>
    </x:row>
    <x:row r="459" ht="18" customHeight="1">
      <x:c r="A459" s="6" t="str">
        <x:v>A0458</x:v>
      </x:c>
      <x:c r="B459" s="6" t="str">
        <x:v>2025-08-06</x:v>
      </x:c>
      <x:c r="C459" s="6" t="str">
        <x:v>2025</x:v>
      </x:c>
      <x:c r="D459" s="6" t="str">
        <x:v>2025-Q3</x:v>
      </x:c>
      <x:c r="E459" s="6" t="str">
        <x:v>Second 50%</x:v>
      </x:c>
      <x:c r="F459" s="6" t="str">
        <x:v>Short</x:v>
      </x:c>
      <x:c r="G459" s="6" t="str">
        <x:v>Short</x:v>
      </x:c>
      <x:c r="H459" s="6" t="str">
        <x:v>Overnight</x:v>
      </x:c>
      <x:c r="I459" s="6" t="str">
        <x:v>Overnight</x:v>
      </x:c>
      <x:c r="J459" s="6" t="str">
        <x:v>Bull</x:v>
      </x:c>
      <x:c r="K459" s="6" t="str">
        <x:v>Bull</x:v>
      </x:c>
      <x:c r="L459" s="6" t="str">
        <x:v>LOW</x:v>
      </x:c>
      <x:c r="M459" s="7" t="str">
        <x:v>2025-08-06 23:25:00-05:00</x:v>
      </x:c>
      <x:c r="N459" s="6" t="str">
        <x:v>90.0</x:v>
      </x:c>
      <x:c r="O459" s="6" t="str">
        <x:v>90-94</x:v>
      </x:c>
      <x:c r="P459" s="6" t="str">
        <x:v>Matching BOS only</x:v>
      </x:c>
      <x:c r="Q459" s="6" t="str">
        <x:v>Bear CHoCH</x:v>
      </x:c>
      <x:c r="R459" s="6" t="str">
        <x:v>True</x:v>
      </x:c>
      <x:c r="S459" s="6" t="str">
        <x:v>False</x:v>
      </x:c>
      <x:c r="T459" s="6" t="str">
        <x:v>Recent BSL</x:v>
      </x:c>
      <x:c r="U459" s="6" t="str">
        <x:v>BSL</x:v>
      </x:c>
      <x:c r="V459" s="6" t="str">
        <x:v>Swing high / buy-side</x:v>
      </x:c>
      <x:c r="W459" s="6" t="str">
        <x:v>[21819.0]</x:v>
      </x:c>
      <x:c r="X459" s="8" t="str">
        <x:v>1</x:v>
      </x:c>
      <x:c r="Y459" s="8" t="str">
        <x:v>3.0</x:v>
      </x:c>
      <x:c r="Z459" s="6" t="str">
        <x:v>None</x:v>
      </x:c>
      <x:c r="AA459" s="6" t="str">
        <x:v>21803.25</x:v>
      </x:c>
      <x:c r="AB459" s="9" t="str">
        <x:v>0.4188483919814632</x:v>
      </x:c>
      <x:c r="AC459" s="9" t="str">
        <x:v>1.7801056659212184</x:v>
      </x:c>
      <x:c r="AD459" s="9" t="str">
        <x:v>1.8499137312514622</x:v>
      </x:c>
      <x:c r="AE459" s="6" t="str">
        <x:v>With trade</x:v>
      </x:c>
      <x:c r="AF459" s="7" t="str">
        <x:v>2025-08-06 23:25:00-05:00</x:v>
      </x:c>
      <x:c r="AG459" s="6" t="str">
        <x:v>Short</x:v>
      </x:c>
      <x:c r="AH459" s="6" t="str">
        <x:v>21803.25</x:v>
      </x:c>
      <x:c r="AI459" s="8" t="str">
        <x:v>0</x:v>
      </x:c>
      <x:c r="AJ459" s="6" t="str">
        <x:v>True</x:v>
      </x:c>
      <x:c r="AK459" s="6" t="str">
        <x:v>Same-bar Setup+BOS</x:v>
      </x:c>
      <x:c r="AL459" s="9" t="str">
        <x:v>1.7801056659212184</x:v>
      </x:c>
      <x:c r="AM459" s="9" t="str">
        <x:v>0.4188483919814632</x:v>
      </x:c>
      <x:c r="AN459" s="9" t="str">
        <x:v>1.7801056659212184</x:v>
      </x:c>
      <x:c r="AO459" s="9" t="str">
        <x:v>1.8499137312514622</x:v>
      </x:c>
      <x:c r="AP459" s="10" t="str">
        <x:v>0.9622641509433962</x:v>
      </x:c>
      <x:c r="AQ459" s="6" t="str">
        <x:v>0.03773584905660377</x:v>
      </x:c>
      <x:c r="AR459" s="6" t="str">
        <x:v>0.0</x:v>
      </x:c>
      <x:c r="AS459" s="6" t="str">
        <x:v>With trade</x:v>
      </x:c>
      <x:c r="AT459" s="6" t="str">
        <x:v>1.8356328734253151</x:v>
      </x:c>
      <x:c r="AU459" s="7" t="str">
        <x:v>2025-08-06 23:30:00-05:00</x:v>
      </x:c>
      <x:c r="AV459" s="8" t="str">
        <x:v>1</x:v>
      </x:c>
      <x:c r="AW459" s="6" t="str">
        <x:v>Immediate retest (1 bar)</x:v>
      </x:c>
      <x:c r="AX459" s="6" t="str">
        <x:v>21806.5</x:v>
      </x:c>
      <x:c r="AY459" s="6" t="str">
        <x:v>3.25</x:v>
      </x:c>
      <x:c r="AZ459" s="9" t="str">
        <x:v>0.45791946506799824</x:v>
      </x:c>
      <x:c r="BA459" s="9" t="str">
        <x:v>-0.03522457423599987</x:v>
      </x:c>
      <x:c r="BB459" s="9" t="str">
        <x:v>0.8806143558999966</x:v>
      </x:c>
      <x:c r="BC459" s="9" t="str">
        <x:v>0.3874703165959985</x:v>
      </x:c>
      <x:c r="BD459" s="6" t="str">
        <x:v>0.48</x:v>
      </x:c>
      <x:c r="BE459" s="6" t="str">
        <x:v>0.08</x:v>
      </x:c>
      <x:c r="BF459" s="9" t="str">
        <x:v>0.42269489083199835</x:v>
      </x:c>
      <x:c r="BG459" s="9" t="str">
        <x:v>0.07044914847199973</x:v>
      </x:c>
      <x:c r="BH459" s="6" t="str">
        <x:v>Against trade</x:v>
      </x:c>
      <x:c r="BI459" s="6" t="str">
        <x:v>Penetration without same-bar reclaim</x:v>
      </x:c>
      <x:c r="BJ459" s="6" t="str">
        <x:v>False</x:v>
      </x:c>
      <x:c r="BK459" s="10" t="str">
        <x:v>True</x:v>
      </x:c>
      <x:c r="BL459" s="6" t="str">
        <x:v>False</x:v>
      </x:c>
      <x:c r="BM459" s="7" t="str">
        <x:v>2025-08-06 23:35:00-05:00</x:v>
      </x:c>
      <x:c r="BN459" s="8" t="str">
        <x:v>1</x:v>
      </x:c>
      <x:c r="BO459" s="6" t="str">
        <x:v>Immediate confirmation (1 bar)</x:v>
      </x:c>
      <x:c r="BP459" s="9" t="str">
        <x:v>0.642418152405925</x:v>
      </x:c>
      <x:c r="BQ459" s="9" t="str">
        <x:v>1.5215166767508752</x:v>
      </x:c>
      <x:c r="BR459" s="10" t="str">
        <x:v>0.4222222222222222</x:v>
      </x:c>
      <x:c r="BS459" s="9" t="str">
        <x:v>0.7100411158170751</x:v>
      </x:c>
      <x:c r="BT459" s="9" t="str">
        <x:v>0.7438525975226501</x:v>
      </x:c>
      <x:c r="BU459" s="9" t="str">
        <x:v>0.27049185364460004</x:v>
      </x:c>
      <x:c r="BV459" s="6" t="str">
        <x:v>With trade</x:v>
      </x:c>
      <x:c r="BW459" s="7" t="str">
        <x:v>2025-08-06 23:35:00-05:00</x:v>
      </x:c>
      <x:c r="BX459" s="6" t="str">
        <x:v>21798.0</x:v>
      </x:c>
      <x:c r="BY459" s="9" t="str">
        <x:v>7.393938017178903</x:v>
      </x:c>
      <x:c r="BZ459" s="9" t="str">
        <x:v>0.1</x:v>
      </x:c>
      <x:c r="CA459" s="6" t="str">
        <x:v>21809.09090702577</x:v>
      </x:c>
      <x:c r="CB459" s="6" t="str">
        <x:v>11.090907025769411</x:v>
      </x:c>
      <x:c r="CC459" s="9" t="str">
        <x:v>1.500000000000143</x:v>
      </x:c>
      <x:c r="CD459" s="6" t="str">
        <x:v>21775.818185948465</x:v>
      </x:c>
      <x:c r="CE459" s="6" t="str">
        <x:v>22.181814051535184</x:v>
      </x:c>
      <x:c r="CF459" s="6" t="str">
        <x:v>Fixed 2.00R target</x:v>
      </x:c>
      <x:c r="CG459" s="9" t="str">
        <x:v>0.06536886463077211</x:v>
      </x:c>
      <x:c r="CH459" s="9" t="str">
        <x:v>2.0</x:v>
      </x:c>
      <x:c r="CI459" s="9" t="str">
        <x:v>1.9346311353692278</x:v>
      </x:c>
      <x:c r="CJ459" s="6" t="str">
        <x:v>Win</x:v>
      </x:c>
      <x:c r="CK459" s="9" t="str">
        <x:v>2.0061479145305925</x:v>
      </x:c>
      <x:c r="CL459" s="9" t="str">
        <x:v>0.24795086584085974</x:v>
      </x:c>
      <x:c r="CM459" s="7" t="str">
        <x:v>2025-08-07 00:00:00-05:00</x:v>
      </x:c>
      <x:c r="CN459" s="6" t="str">
        <x:v>21775.818185948465</x:v>
      </x:c>
      <x:c r="CO459" s="6" t="str">
        <x:v>TARGET</x:v>
      </x:c>
      <x:c r="CP459" s="6" t="str">
        <x:v>F::Short::Same-bar Setup+BOS::Penetration without same-bar reclaim</x:v>
      </x:c>
    </x:row>
    <x:row r="460" ht="18" customHeight="1">
      <x:c r="A460" s="6" t="str">
        <x:v>A0459</x:v>
      </x:c>
      <x:c r="B460" s="6" t="str">
        <x:v>2025-08-07</x:v>
      </x:c>
      <x:c r="C460" s="6" t="str">
        <x:v>2025</x:v>
      </x:c>
      <x:c r="D460" s="6" t="str">
        <x:v>2025-Q3</x:v>
      </x:c>
      <x:c r="E460" s="6" t="str">
        <x:v>Second 50%</x:v>
      </x:c>
      <x:c r="F460" s="6" t="str">
        <x:v>Short</x:v>
      </x:c>
      <x:c r="G460" s="6" t="str">
        <x:v>Short</x:v>
      </x:c>
      <x:c r="H460" s="6" t="str">
        <x:v>Premarket</x:v>
      </x:c>
      <x:c r="I460" s="6" t="str">
        <x:v>Premarket</x:v>
      </x:c>
      <x:c r="J460" s="6" t="str">
        <x:v>Bull</x:v>
      </x:c>
      <x:c r="K460" s="6" t="str">
        <x:v>Bull</x:v>
      </x:c>
      <x:c r="L460" s="6" t="str">
        <x:v>HIGH</x:v>
      </x:c>
      <x:c r="M460" s="7" t="str">
        <x:v>2025-08-07 06:35:00-05:00</x:v>
      </x:c>
      <x:c r="N460" s="6" t="str">
        <x:v>75.0</x:v>
      </x:c>
      <x:c r="O460" s="6" t="str">
        <x:v>75-79</x:v>
      </x:c>
      <x:c r="P460" s="6" t="str">
        <x:v>Matching BOS only</x:v>
      </x:c>
      <x:c r="Q460" s="6" t="str">
        <x:v>Bear CHoCH</x:v>
      </x:c>
      <x:c r="R460" s="6" t="str">
        <x:v>True</x:v>
      </x:c>
      <x:c r="S460" s="6" t="str">
        <x:v>False</x:v>
      </x:c>
      <x:c r="T460" s="6" t="str">
        <x:v>Recent BSL</x:v>
      </x:c>
      <x:c r="U460" s="6" t="str">
        <x:v>BSL</x:v>
      </x:c>
      <x:c r="V460" s="6" t="str">
        <x:v>Swing high / buy-side</x:v>
      </x:c>
      <x:c r="W460" s="6" t="str">
        <x:v>[21946.25]</x:v>
      </x:c>
      <x:c r="X460" s="8" t="str">
        <x:v>1</x:v>
      </x:c>
      <x:c r="Y460" s="8" t="str">
        <x:v>7.0</x:v>
      </x:c>
      <x:c r="Z460" s="6" t="str">
        <x:v>None</x:v>
      </x:c>
      <x:c r="AA460" s="6" t="str">
        <x:v>21916.5</x:v>
      </x:c>
      <x:c r="AB460" s="9" t="str">
        <x:v>0.6532162146996308</x:v>
      </x:c>
      <x:c r="AC460" s="9" t="str">
        <x:v>0.6885251992779892</x:v>
      </x:c>
      <x:c r="AD460" s="9" t="str">
        <x:v>0.9709970759048564</x:v>
      </x:c>
      <x:c r="AE460" s="6" t="str">
        <x:v>With trade</x:v>
      </x:c>
      <x:c r="AF460" s="7" t="str">
        <x:v>2025-08-07 06:35:00-05:00</x:v>
      </x:c>
      <x:c r="AG460" s="6" t="str">
        <x:v>Short</x:v>
      </x:c>
      <x:c r="AH460" s="6" t="str">
        <x:v>21916.5</x:v>
      </x:c>
      <x:c r="AI460" s="8" t="str">
        <x:v>0</x:v>
      </x:c>
      <x:c r="AJ460" s="6" t="str">
        <x:v>True</x:v>
      </x:c>
      <x:c r="AK460" s="6" t="str">
        <x:v>Same-bar Setup+BOS</x:v>
      </x:c>
      <x:c r="AL460" s="9" t="str">
        <x:v>0.6532162146996308</x:v>
      </x:c>
      <x:c r="AM460" s="9" t="str">
        <x:v>0.6532162146996308</x:v>
      </x:c>
      <x:c r="AN460" s="9" t="str">
        <x:v>0.6885251992779892</x:v>
      </x:c>
      <x:c r="AO460" s="9" t="str">
        <x:v>0.9709970759048564</x:v>
      </x:c>
      <x:c r="AP460" s="10" t="str">
        <x:v>0.7090909090909091</x:v>
      </x:c>
      <x:c r="AQ460" s="6" t="str">
        <x:v>0.14545454545454545</x:v>
      </x:c>
      <x:c r="AR460" s="6" t="str">
        <x:v>0.14545454545454545</x:v>
      </x:c>
      <x:c r="AS460" s="6" t="str">
        <x:v>With trade</x:v>
      </x:c>
      <x:c r="AT460" s="6" t="str">
        <x:v>1.2999455634186172</x:v>
      </x:c>
      <x:c r="AU460" s="7" t="str">
        <x:v>2025-08-07 06:40:00-05:00</x:v>
      </x:c>
      <x:c r="AV460" s="8" t="str">
        <x:v>1</x:v>
      </x:c>
      <x:c r="AW460" s="6" t="str">
        <x:v>Immediate retest (1 bar)</x:v>
      </x:c>
      <x:c r="AX460" s="6" t="str">
        <x:v>21925.0</x:v>
      </x:c>
      <x:c r="AY460" s="6" t="str">
        <x:v>8.5</x:v>
      </x:c>
      <x:c r="AZ460" s="9" t="str">
        <x:v>0.5788243966719672</x:v>
      </x:c>
      <x:c r="BA460" s="9" t="str">
        <x:v>0.17024246960940212</x:v>
      </x:c>
      <x:c r="BB460" s="9" t="str">
        <x:v>1.4640852386408583</x:v>
      </x:c>
      <x:c r="BC460" s="9" t="str">
        <x:v>0.4085819270625651</x:v>
      </x:c>
      <x:c r="BD460" s="6" t="str">
        <x:v>0.5116279069767442</x:v>
      </x:c>
      <x:c r="BE460" s="6" t="str">
        <x:v>0.20930232558139536</x:v>
      </x:c>
      <x:c r="BF460" s="9" t="str">
        <x:v>0.7490668662813693</x:v>
      </x:c>
      <x:c r="BG460" s="9" t="str">
        <x:v>0.3064364452969238</x:v>
      </x:c>
      <x:c r="BH460" s="6" t="str">
        <x:v>Against trade</x:v>
      </x:c>
      <x:c r="BI460" s="6" t="str">
        <x:v>Penetration + same-bar reclaim</x:v>
      </x:c>
      <x:c r="BJ460" s="6" t="str">
        <x:v>False</x:v>
      </x:c>
      <x:c r="BK460" s="10" t="str">
        <x:v>True</x:v>
      </x:c>
      <x:c r="BL460" s="6" t="str">
        <x:v>True</x:v>
      </x:c>
      <x:c r="BM460" s="7" t="str">
        <x:v>2025-08-07 06:45:00-05:00</x:v>
      </x:c>
      <x:c r="BN460" s="8" t="str">
        <x:v>1</x:v>
      </x:c>
      <x:c r="BO460" s="6" t="str">
        <x:v>Immediate confirmation (1 bar)</x:v>
      </x:c>
      <x:c r="BP460" s="9" t="str">
        <x:v>0.22760904122097872</x:v>
      </x:c>
      <x:c r="BQ460" s="9" t="str">
        <x:v>0.6303019603042488</x:v>
      </x:c>
      <x:c r="BR460" s="10" t="str">
        <x:v>0.3611111111111111</x:v>
      </x:c>
      <x:c r="BS460" s="9" t="str">
        <x:v>0.3676761435108118</x:v>
      </x:c>
      <x:c r="BT460" s="9" t="str">
        <x:v>0.19259226564852047</x:v>
      </x:c>
      <x:c r="BU460" s="9" t="str">
        <x:v>0.19259226564852047</x:v>
      </x:c>
      <x:c r="BV460" s="6" t="str">
        <x:v>With trade</x:v>
      </x:c>
      <x:c r="BW460" s="7" t="str">
        <x:v>2025-08-07 06:45:00-05:00</x:v>
      </x:c>
      <x:c r="BX460" s="6" t="str">
        <x:v>21911.25</x:v>
      </x:c>
      <x:c r="BY460" s="9" t="str">
        <x:v>14.278870393574012</x:v>
      </x:c>
      <x:c r="BZ460" s="9" t="str">
        <x:v>0.89</x:v>
      </x:c>
      <x:c r="CA460" s="6" t="str">
        <x:v>21932.66830559036</x:v>
      </x:c>
      <x:c r="CB460" s="6" t="str">
        <x:v>21.418305590359523</x:v>
      </x:c>
      <x:c r="CC460" s="9" t="str">
        <x:v>1.4999999999998954</x:v>
      </x:c>
      <x:c r="CD460" s="6" t="str">
        <x:v>21868.413388819277</x:v>
      </x:c>
      <x:c r="CE460" s="6" t="str">
        <x:v>42.836611180722684</x:v>
      </x:c>
      <x:c r="CF460" s="6" t="str">
        <x:v>Fixed 2.00R target</x:v>
      </x:c>
      <x:c r="CG460" s="9" t="str">
        <x:v>0.03384954972004535</x:v>
      </x:c>
      <x:c r="CH460" s="9" t="str">
        <x:v>-1.0</x:v>
      </x:c>
      <x:c r="CI460" s="9" t="str">
        <x:v>-1.0338495497200453</x:v>
      </x:c>
      <x:c r="CJ460" s="6" t="str">
        <x:v>Loss</x:v>
      </x:c>
      <x:c r="CK460" s="9" t="str">
        <x:v>0.7236800284975213</x:v>
      </x:c>
      <x:c r="CL460" s="9" t="str">
        <x:v>1.0621755256979748</x:v>
      </x:c>
      <x:c r="CM460" s="7" t="str">
        <x:v>2025-08-07 07:30:00-05:00</x:v>
      </x:c>
      <x:c r="CN460" s="6" t="str">
        <x:v>21932.66830559036</x:v>
      </x:c>
      <x:c r="CO460" s="6" t="str">
        <x:v>STOP</x:v>
      </x:c>
      <x:c r="CP460" s="6" t="str">
        <x:v>F::Short::Same-bar Setup+BOS::Penetration + same-bar reclaim</x:v>
      </x:c>
    </x:row>
    <x:row r="461" ht="18" customHeight="1">
      <x:c r="A461" s="6" t="str">
        <x:v>A0460</x:v>
      </x:c>
      <x:c r="B461" s="6" t="str">
        <x:v>2025-08-12</x:v>
      </x:c>
      <x:c r="C461" s="6" t="str">
        <x:v>2025</x:v>
      </x:c>
      <x:c r="D461" s="6" t="str">
        <x:v>2025-Q3</x:v>
      </x:c>
      <x:c r="E461" s="6" t="str">
        <x:v>Second 50%</x:v>
      </x:c>
      <x:c r="F461" s="6" t="str">
        <x:v>Long</x:v>
      </x:c>
      <x:c r="G461" s="6" t="str">
        <x:v>Long</x:v>
      </x:c>
      <x:c r="H461" s="6" t="str">
        <x:v>Opening</x:v>
      </x:c>
      <x:c r="I461" s="6" t="str">
        <x:v>Opening</x:v>
      </x:c>
      <x:c r="J461" s="6" t="str">
        <x:v>Bull</x:v>
      </x:c>
      <x:c r="K461" s="6" t="str">
        <x:v>Bull</x:v>
      </x:c>
      <x:c r="L461" s="6" t="str">
        <x:v>HIGH</x:v>
      </x:c>
      <x:c r="M461" s="7" t="str">
        <x:v>2025-08-12 10:05:00-05:00</x:v>
      </x:c>
      <x:c r="N461" s="6" t="str">
        <x:v>75.0</x:v>
      </x:c>
      <x:c r="O461" s="6" t="str">
        <x:v>75-79</x:v>
      </x:c>
      <x:c r="P461" s="6" t="str">
        <x:v>Matching BOS only</x:v>
      </x:c>
      <x:c r="Q461" s="6" t="str">
        <x:v>Bull BOS</x:v>
      </x:c>
      <x:c r="R461" s="6" t="str">
        <x:v>True</x:v>
      </x:c>
      <x:c r="S461" s="6" t="str">
        <x:v>False</x:v>
      </x:c>
      <x:c r="T461" s="6" t="str">
        <x:v>No recent matching sweep</x:v>
      </x:c>
      <x:c r="U461" s="6" t="str">
        <x:v>None</x:v>
      </x:c>
      <x:c r="V461" s="6" t="str">
        <x:v>None</x:v>
      </x:c>
      <x:c r="W461" s="6" t="str">
        <x:v>[]</x:v>
      </x:c>
      <x:c r="X461" s="8" t="str">
        <x:v>0</x:v>
      </x:c>
      <x:c r="Y461" s="8" t="str"/>
      <x:c r="Z461" s="6" t="str">
        <x:v>None</x:v>
      </x:c>
      <x:c r="AA461" s="6" t="str">
        <x:v>22128.25</x:v>
      </x:c>
      <x:c r="AB461" s="9" t="str">
        <x:v>0.05316102840905143</x:v>
      </x:c>
      <x:c r="AC461" s="9" t="str">
        <x:v>0.5923657451294302</x:v>
      </x:c>
      <x:c r="AD461" s="9" t="str">
        <x:v>0.7518488303565846</x:v>
      </x:c>
      <x:c r="AE461" s="6" t="str">
        <x:v>With trade</x:v>
      </x:c>
      <x:c r="AF461" s="7" t="str">
        <x:v>2025-08-12 10:05:00-05:00</x:v>
      </x:c>
      <x:c r="AG461" s="6" t="str">
        <x:v>Long</x:v>
      </x:c>
      <x:c r="AH461" s="6" t="str">
        <x:v>22128.25</x:v>
      </x:c>
      <x:c r="AI461" s="8" t="str">
        <x:v>0</x:v>
      </x:c>
      <x:c r="AJ461" s="6" t="str">
        <x:v>True</x:v>
      </x:c>
      <x:c r="AK461" s="6" t="str">
        <x:v>Same-bar Setup+BOS</x:v>
      </x:c>
      <x:c r="AL461" s="9" t="str">
        <x:v>0.5695824472398368</x:v>
      </x:c>
      <x:c r="AM461" s="9" t="str">
        <x:v>0.05316102840905143</x:v>
      </x:c>
      <x:c r="AN461" s="9" t="str">
        <x:v>0.5923657451294302</x:v>
      </x:c>
      <x:c r="AO461" s="9" t="str">
        <x:v>0.7518488303565846</x:v>
      </x:c>
      <x:c r="AP461" s="10" t="str">
        <x:v>0.7878787878787878</x:v>
      </x:c>
      <x:c r="AQ461" s="6" t="str">
        <x:v>0.20202020202020202</x:v>
      </x:c>
      <x:c r="AR461" s="6" t="str">
        <x:v>0.010101010101010102</x:v>
      </x:c>
      <x:c r="AS461" s="6" t="str">
        <x:v>With trade</x:v>
      </x:c>
      <x:c r="AT461" s="6" t="str">
        <x:v>0.9218600017010729</x:v>
      </x:c>
      <x:c r="AU461" s="7" t="str">
        <x:v>2025-08-12 10:10:00-05:00</x:v>
      </x:c>
      <x:c r="AV461" s="8" t="str">
        <x:v>1</x:v>
      </x:c>
      <x:c r="AW461" s="6" t="str">
        <x:v>Immediate retest (1 bar)</x:v>
      </x:c>
      <x:c r="AX461" s="6" t="str">
        <x:v>22130.0</x:v>
      </x:c>
      <x:c r="AY461" s="6" t="str">
        <x:v>0.0</x:v>
      </x:c>
      <x:c r="AZ461" s="9" t="str">
        <x:v>0.0</x:v>
      </x:c>
      <x:c r="BA461" s="9" t="str">
        <x:v>0.5177228228394715</x:v>
      </x:c>
      <x:c r="BB461" s="9" t="str">
        <x:v>0.7727206311036888</x:v>
      </x:c>
      <x:c r="BC461" s="9" t="str">
        <x:v>0.4559051723511764</x:v>
      </x:c>
      <x:c r="BD461" s="6" t="str">
        <x:v>0.4</x:v>
      </x:c>
      <x:c r="BE461" s="6" t="str">
        <x:v>0.01</x:v>
      </x:c>
      <x:c r="BF461" s="9" t="str">
        <x:v>0.007727206311036888</x:v>
      </x:c>
      <x:c r="BG461" s="9" t="str">
        <x:v>0.30908825244147553</x:v>
      </x:c>
      <x:c r="BH461" s="6" t="str">
        <x:v>With trade</x:v>
      </x:c>
      <x:c r="BI461" s="6" t="str">
        <x:v>Tolerance-only shallow touch</x:v>
      </x:c>
      <x:c r="BJ461" s="6" t="str">
        <x:v>True</x:v>
      </x:c>
      <x:c r="BK461" s="10" t="str">
        <x:v>False</x:v>
      </x:c>
      <x:c r="BL461" s="6" t="str">
        <x:v>True</x:v>
      </x:c>
      <x:c r="BM461" s="7" t="str">
        <x:v>2025-08-12 10:15:00-05:00</x:v>
      </x:c>
      <x:c r="BN461" s="8" t="str">
        <x:v>1</x:v>
      </x:c>
      <x:c r="BO461" s="6" t="str">
        <x:v>Immediate confirmation (1 bar)</x:v>
      </x:c>
      <x:c r="BP461" s="9" t="str">
        <x:v>0.7125003976475999</x:v>
      </x:c>
      <x:c r="BQ461" s="9" t="str">
        <x:v>1.1108877167623867</x:v>
      </x:c>
      <x:c r="BR461" s="10" t="str">
        <x:v>0.6413793103448275</x:v>
      </x:c>
      <x:c r="BS461" s="9" t="str">
        <x:v>1.2258071357378062</x:v>
      </x:c>
      <x:c r="BT461" s="9" t="str">
        <x:v>0.7125003976475999</x:v>
      </x:c>
      <x:c r="BU461" s="9" t="str">
        <x:v>0.0</x:v>
      </x:c>
      <x:c r="BV461" s="6" t="str">
        <x:v>With trade</x:v>
      </x:c>
      <x:c r="BW461" s="7" t="str">
        <x:v>2025-08-12 10:15:00-05:00</x:v>
      </x:c>
      <x:c r="BX461" s="6" t="str">
        <x:v>22168.25</x:v>
      </x:c>
      <x:c r="BY461" s="9" t="str">
        <x:v>32.631560735632554</x:v>
      </x:c>
      <x:c r="BZ461" s="9" t="str">
        <x:v>0.83</x:v>
      </x:c>
      <x:c r="CA461" s="6" t="str">
        <x:v>22119.30265889655</x:v>
      </x:c>
      <x:c r="CB461" s="6" t="str">
        <x:v>48.94734110344871</x:v>
      </x:c>
      <x:c r="CC461" s="9" t="str">
        <x:v>1.4999999999999962</x:v>
      </x:c>
      <x:c r="CD461" s="6" t="str">
        <x:v>22266.144682206897</x:v>
      </x:c>
      <x:c r="CE461" s="6" t="str">
        <x:v>97.89468220689741</x:v>
      </x:c>
      <x:c r="CF461" s="6" t="str">
        <x:v>Fixed 2.00R target</x:v>
      </x:c>
      <x:c r="CG461" s="9" t="str">
        <x:v>0.014811836223498529</x:v>
      </x:c>
      <x:c r="CH461" s="9" t="str">
        <x:v>0.32688190286341495</x:v>
      </x:c>
      <x:c r="CI461" s="9" t="str">
        <x:v>0.31207006663991643</x:v>
      </x:c>
      <x:c r="CJ461" s="6" t="str">
        <x:v>Win</x:v>
      </x:c>
      <x:c r="CK461" s="9" t="str">
        <x:v>0.46478520563391934</x:v>
      </x:c>
      <x:c r="CL461" s="9" t="str">
        <x:v>0.5516132110820142</x:v>
      </x:c>
      <x:c r="CM461" s="7" t="str">
        <x:v>2025-08-12 11:15:00-05:00</x:v>
      </x:c>
      <x:c r="CN461" s="6" t="str">
        <x:v>22184.25</x:v>
      </x:c>
      <x:c r="CO461" s="6" t="str">
        <x:v>TIME</x:v>
      </x:c>
      <x:c r="CP461" s="6" t="str">
        <x:v>F::Long::Same-bar Setup+BOS::Tolerance-only shallow touch</x:v>
      </x:c>
    </x:row>
    <x:row r="462" ht="18" customHeight="1">
      <x:c r="A462" s="6" t="str">
        <x:v>A0461</x:v>
      </x:c>
      <x:c r="B462" s="6" t="str">
        <x:v>2025-08-12</x:v>
      </x:c>
      <x:c r="C462" s="6" t="str">
        <x:v>2025</x:v>
      </x:c>
      <x:c r="D462" s="6" t="str">
        <x:v>2025-Q3</x:v>
      </x:c>
      <x:c r="E462" s="6" t="str">
        <x:v>Second 50%</x:v>
      </x:c>
      <x:c r="F462" s="6" t="str">
        <x:v>Long</x:v>
      </x:c>
      <x:c r="G462" s="6" t="str">
        <x:v>Long</x:v>
      </x:c>
      <x:c r="H462" s="6" t="str">
        <x:v>Midday</x:v>
      </x:c>
      <x:c r="I462" s="6" t="str">
        <x:v>Midday</x:v>
      </x:c>
      <x:c r="J462" s="6" t="str">
        <x:v>Bull</x:v>
      </x:c>
      <x:c r="K462" s="6" t="str">
        <x:v>Bull</x:v>
      </x:c>
      <x:c r="L462" s="6" t="str">
        <x:v>MID</x:v>
      </x:c>
      <x:c r="M462" s="7" t="str">
        <x:v>2025-08-12 12:45:00-05:00</x:v>
      </x:c>
      <x:c r="N462" s="6" t="str">
        <x:v>75.0</x:v>
      </x:c>
      <x:c r="O462" s="6" t="str">
        <x:v>75-79</x:v>
      </x:c>
      <x:c r="P462" s="6" t="str">
        <x:v>Matching BOS only</x:v>
      </x:c>
      <x:c r="Q462" s="6" t="str">
        <x:v>Bull BOS</x:v>
      </x:c>
      <x:c r="R462" s="6" t="str">
        <x:v>True</x:v>
      </x:c>
      <x:c r="S462" s="6" t="str">
        <x:v>False</x:v>
      </x:c>
      <x:c r="T462" s="6" t="str">
        <x:v>No recent matching sweep</x:v>
      </x:c>
      <x:c r="U462" s="6" t="str">
        <x:v>None</x:v>
      </x:c>
      <x:c r="V462" s="6" t="str">
        <x:v>None</x:v>
      </x:c>
      <x:c r="W462" s="6" t="str">
        <x:v>[]</x:v>
      </x:c>
      <x:c r="X462" s="8" t="str">
        <x:v>0</x:v>
      </x:c>
      <x:c r="Y462" s="8" t="str"/>
      <x:c r="Z462" s="6" t="str">
        <x:v>None</x:v>
      </x:c>
      <x:c r="AA462" s="6" t="str">
        <x:v>22230.75</x:v>
      </x:c>
      <x:c r="AB462" s="9" t="str">
        <x:v>0.09627274422498037</x:v>
      </x:c>
      <x:c r="AC462" s="9" t="str">
        <x:v>0.6578637522040326</x:v>
      </x:c>
      <x:c r="AD462" s="9" t="str">
        <x:v>0.8664546980248233</x:v>
      </x:c>
      <x:c r="AE462" s="6" t="str">
        <x:v>With trade</x:v>
      </x:c>
      <x:c r="AF462" s="7" t="str">
        <x:v>2025-08-12 12:45:00-05:00</x:v>
      </x:c>
      <x:c r="AG462" s="6" t="str">
        <x:v>Long</x:v>
      </x:c>
      <x:c r="AH462" s="6" t="str">
        <x:v>22230.75</x:v>
      </x:c>
      <x:c r="AI462" s="8" t="str">
        <x:v>0</x:v>
      </x:c>
      <x:c r="AJ462" s="6" t="str">
        <x:v>True</x:v>
      </x:c>
      <x:c r="AK462" s="6" t="str">
        <x:v>Same-bar Setup+BOS</x:v>
      </x:c>
      <x:c r="AL462" s="9" t="str">
        <x:v>0.6899546669456926</x:v>
      </x:c>
      <x:c r="AM462" s="9" t="str">
        <x:v>0.09627274422498037</x:v>
      </x:c>
      <x:c r="AN462" s="9" t="str">
        <x:v>0.6578637522040326</x:v>
      </x:c>
      <x:c r="AO462" s="9" t="str">
        <x:v>0.8664546980248233</x:v>
      </x:c>
      <x:c r="AP462" s="10" t="str">
        <x:v>0.7592592592592593</x:v>
      </x:c>
      <x:c r="AQ462" s="6" t="str">
        <x:v>0.2037037037037037</x:v>
      </x:c>
      <x:c r="AR462" s="6" t="str">
        <x:v>0.037037037037037035</x:v>
      </x:c>
      <x:c r="AS462" s="6" t="str">
        <x:v>With trade</x:v>
      </x:c>
      <x:c r="AT462" s="6" t="str">
        <x:v>1.029787082150952</x:v>
      </x:c>
      <x:c r="AU462" s="7" t="str">
        <x:v>2025-08-12 12:50:00-05:00</x:v>
      </x:c>
      <x:c r="AV462" s="8" t="str">
        <x:v>1</x:v>
      </x:c>
      <x:c r="AW462" s="6" t="str">
        <x:v>Immediate retest (1 bar)</x:v>
      </x:c>
      <x:c r="AX462" s="6" t="str">
        <x:v>22229.25</x:v>
      </x:c>
      <x:c r="AY462" s="6" t="str">
        <x:v>1.5</x:v>
      </x:c>
      <x:c r="AZ462" s="9" t="str">
        <x:v>0.10105893429868258</x:v>
      </x:c>
      <x:c r="BA462" s="9" t="str">
        <x:v>0.13474524573157678</x:v>
      </x:c>
      <x:c r="BB462" s="9" t="str">
        <x:v>0.35370627004538907</x:v>
      </x:c>
      <x:c r="BC462" s="9" t="str">
        <x:v>0.0</x:v>
      </x:c>
      <x:c r="BD462" s="6" t="str">
        <x:v>0.3333333333333333</x:v>
      </x:c>
      <x:c r="BE462" s="6" t="str">
        <x:v>0.6666666666666666</x:v>
      </x:c>
      <x:c r="BF462" s="9" t="str">
        <x:v>0.23580418003025938</x:v>
      </x:c>
      <x:c r="BG462" s="9" t="str">
        <x:v>0.11790209001512969</x:v>
      </x:c>
      <x:c r="BH462" s="6" t="str">
        <x:v>Doji</x:v>
      </x:c>
      <x:c r="BI462" s="6" t="str">
        <x:v>Penetration + same-bar reclaim</x:v>
      </x:c>
      <x:c r="BJ462" s="6" t="str">
        <x:v>False</x:v>
      </x:c>
      <x:c r="BK462" s="10" t="str">
        <x:v>True</x:v>
      </x:c>
      <x:c r="BL462" s="6" t="str">
        <x:v>True</x:v>
      </x:c>
      <x:c r="BM462" s="7" t="str">
        <x:v>2025-08-12 12:55:00-05:00</x:v>
      </x:c>
      <x:c r="BN462" s="8" t="str">
        <x:v>1</x:v>
      </x:c>
      <x:c r="BO462" s="6" t="str">
        <x:v>Immediate confirmation (1 bar)</x:v>
      </x:c>
      <x:c r="BP462" s="9" t="str">
        <x:v>0.12237351769260785</x:v>
      </x:c>
      <x:c r="BQ462" s="9" t="str">
        <x:v>0.5069760018693753</x:v>
      </x:c>
      <x:c r="BR462" s="10" t="str">
        <x:v>0.2413793103448276</x:v>
      </x:c>
      <x:c r="BS462" s="9" t="str">
        <x:v>0.26222896648415966</x:v>
      </x:c>
      <x:c r="BT462" s="9" t="str">
        <x:v>0.12237351769260785</x:v>
      </x:c>
      <x:c r="BU462" s="9" t="str">
        <x:v>0.27971089758310363</x:v>
      </x:c>
      <x:c r="BV462" s="6" t="str">
        <x:v>With trade</x:v>
      </x:c>
      <x:c r="BW462" s="7" t="str">
        <x:v>2025-08-12 12:55:00-05:00</x:v>
      </x:c>
      <x:c r="BX462" s="6" t="str">
        <x:v>22234.5</x:v>
      </x:c>
      <x:c r="BY462" s="9" t="str">
        <x:v>14.30047965439594</x:v>
      </x:c>
      <x:c r="BZ462" s="9" t="str">
        <x:v>0.35</x:v>
      </x:c>
      <x:c r="CA462" s="6" t="str">
        <x:v>22213.049280518408</x:v>
      </x:c>
      <x:c r="CB462" s="6" t="str">
        <x:v>21.450719481592387</x:v>
      </x:c>
      <x:c r="CC462" s="9" t="str">
        <x:v>1.4999999999998936</x:v>
      </x:c>
      <x:c r="CD462" s="6" t="str">
        <x:v>22277.40143896319</x:v>
      </x:c>
      <x:c r="CE462" s="6" t="str">
        <x:v>42.90143896318841</x:v>
      </x:c>
      <x:c r="CF462" s="6" t="str">
        <x:v>Fixed 2.00R target</x:v>
      </x:c>
      <x:c r="CG462" s="9" t="str">
        <x:v>0.033798400124627426</x:v>
      </x:c>
      <x:c r="CH462" s="9" t="str">
        <x:v>-0.34963862197887957</x:v>
      </x:c>
      <x:c r="CI462" s="9" t="str">
        <x:v>-0.383437022103507</x:v>
      </x:c>
      <x:c r="CJ462" s="6" t="str">
        <x:v>Loss</x:v>
      </x:c>
      <x:c r="CK462" s="9" t="str">
        <x:v>0.8507873134820007</x:v>
      </x:c>
      <x:c r="CL462" s="9" t="str">
        <x:v>0.41956634637468526</x:v>
      </x:c>
      <x:c r="CM462" s="7" t="str">
        <x:v>2025-08-12 13:55:00-05:00</x:v>
      </x:c>
      <x:c r="CN462" s="6" t="str">
        <x:v>22227.0</x:v>
      </x:c>
      <x:c r="CO462" s="6" t="str">
        <x:v>TIME</x:v>
      </x:c>
      <x:c r="CP462" s="6" t="str">
        <x:v>F::Long::Same-bar Setup+BOS::Penetration + same-bar reclaim</x:v>
      </x:c>
    </x:row>
    <x:row r="463" ht="18" customHeight="1">
      <x:c r="A463" s="6" t="str">
        <x:v>A0462</x:v>
      </x:c>
      <x:c r="B463" s="6" t="str">
        <x:v>2025-08-13</x:v>
      </x:c>
      <x:c r="C463" s="6" t="str">
        <x:v>2025</x:v>
      </x:c>
      <x:c r="D463" s="6" t="str">
        <x:v>2025-Q3</x:v>
      </x:c>
      <x:c r="E463" s="6" t="str">
        <x:v>Second 50%</x:v>
      </x:c>
      <x:c r="F463" s="6" t="str">
        <x:v>Long</x:v>
      </x:c>
      <x:c r="G463" s="6" t="str">
        <x:v>Long</x:v>
      </x:c>
      <x:c r="H463" s="6" t="str">
        <x:v>Overnight</x:v>
      </x:c>
      <x:c r="I463" s="6" t="str">
        <x:v>Overnight</x:v>
      </x:c>
      <x:c r="J463" s="6" t="str">
        <x:v>Bull</x:v>
      </x:c>
      <x:c r="K463" s="6" t="str">
        <x:v>Bull</x:v>
      </x:c>
      <x:c r="L463" s="6" t="str">
        <x:v>HIGH</x:v>
      </x:c>
      <x:c r="M463" s="7" t="str">
        <x:v>2025-08-13 02:55:00-05:00</x:v>
      </x:c>
      <x:c r="N463" s="6" t="str">
        <x:v>90.0</x:v>
      </x:c>
      <x:c r="O463" s="6" t="str">
        <x:v>90-94</x:v>
      </x:c>
      <x:c r="P463" s="6" t="str">
        <x:v>Matching BOS only</x:v>
      </x:c>
      <x:c r="Q463" s="6" t="str">
        <x:v>Bull BOS</x:v>
      </x:c>
      <x:c r="R463" s="6" t="str">
        <x:v>True</x:v>
      </x:c>
      <x:c r="S463" s="6" t="str">
        <x:v>False</x:v>
      </x:c>
      <x:c r="T463" s="6" t="str">
        <x:v>Recent SSL</x:v>
      </x:c>
      <x:c r="U463" s="6" t="str">
        <x:v>SSL</x:v>
      </x:c>
      <x:c r="V463" s="6" t="str">
        <x:v>Swing low / sell-side</x:v>
      </x:c>
      <x:c r="W463" s="6" t="str">
        <x:v>[22260.75]</x:v>
      </x:c>
      <x:c r="X463" s="8" t="str">
        <x:v>1</x:v>
      </x:c>
      <x:c r="Y463" s="8" t="str">
        <x:v>20.0</x:v>
      </x:c>
      <x:c r="Z463" s="6" t="str">
        <x:v>None</x:v>
      </x:c>
      <x:c r="AA463" s="6" t="str">
        <x:v>22308.0</x:v>
      </x:c>
      <x:c r="AB463" s="9" t="str">
        <x:v>0.17964988561447687</x:v>
      </x:c>
      <x:c r="AC463" s="9" t="str">
        <x:v>1.0180160184820355</x:v>
      </x:c>
      <x:c r="AD463" s="9" t="str">
        <x:v>1.2276075516989253</x:v>
      </x:c>
      <x:c r="AE463" s="6" t="str">
        <x:v>With trade</x:v>
      </x:c>
      <x:c r="AF463" s="7" t="str">
        <x:v>2025-08-13 02:55:00-05:00</x:v>
      </x:c>
      <x:c r="AG463" s="6" t="str">
        <x:v>Long</x:v>
      </x:c>
      <x:c r="AH463" s="6" t="str">
        <x:v>22308.0</x:v>
      </x:c>
      <x:c r="AI463" s="8" t="str">
        <x:v>0</x:v>
      </x:c>
      <x:c r="AJ463" s="6" t="str">
        <x:v>True</x:v>
      </x:c>
      <x:c r="AK463" s="6" t="str">
        <x:v>Same-bar Setup+BOS</x:v>
      </x:c>
      <x:c r="AL463" s="9" t="str">
        <x:v>1.0778993136868613</x:v>
      </x:c>
      <x:c r="AM463" s="9" t="str">
        <x:v>0.17964988561447687</x:v>
      </x:c>
      <x:c r="AN463" s="9" t="str">
        <x:v>1.0180160184820355</x:v>
      </x:c>
      <x:c r="AO463" s="9" t="str">
        <x:v>1.2276075516989253</x:v>
      </x:c>
      <x:c r="AP463" s="10" t="str">
        <x:v>0.8292682926829268</x:v>
      </x:c>
      <x:c r="AQ463" s="6" t="str">
        <x:v>0.14634146341463414</x:v>
      </x:c>
      <x:c r="AR463" s="6" t="str">
        <x:v>0.024390243902439025</x:v>
      </x:c>
      <x:c r="AS463" s="6" t="str">
        <x:v>With trade</x:v>
      </x:c>
      <x:c r="AT463" s="6" t="str">
        <x:v>1.358215237827978</x:v>
      </x:c>
      <x:c r="AU463" s="7" t="str">
        <x:v>2025-08-13 03:00:00-05:00</x:v>
      </x:c>
      <x:c r="AV463" s="8" t="str">
        <x:v>1</x:v>
      </x:c>
      <x:c r="AW463" s="6" t="str">
        <x:v>Immediate retest (1 bar)</x:v>
      </x:c>
      <x:c r="AX463" s="6" t="str">
        <x:v>22297.0</x:v>
      </x:c>
      <x:c r="AY463" s="6" t="str">
        <x:v>11.0</x:v>
      </x:c>
      <x:c r="AZ463" s="9" t="str">
        <x:v>1.1980290618530747</x:v>
      </x:c>
      <x:c r="BA463" s="9" t="str">
        <x:v>0.8985217963898061</x:v>
      </x:c>
      <x:c r="BB463" s="9" t="str">
        <x:v>2.1782346579146816</x:v>
      </x:c>
      <x:c r="BC463" s="9" t="str">
        <x:v>0.7079262638222714</x:v>
      </x:c>
      <x:c r="BD463" s="6" t="str">
        <x:v>0.0375</x:v>
      </x:c>
      <x:c r="BE463" s="6" t="str">
        <x:v>0.6375</x:v>
      </x:c>
      <x:c r="BF463" s="9" t="str">
        <x:v>1.3886245944206095</x:v>
      </x:c>
      <x:c r="BG463" s="9" t="str">
        <x:v>0.08168379967180055</x:v>
      </x:c>
      <x:c r="BH463" s="6" t="str">
        <x:v>With trade</x:v>
      </x:c>
      <x:c r="BI463" s="6" t="str">
        <x:v>Penetration + same-bar reclaim</x:v>
      </x:c>
      <x:c r="BJ463" s="6" t="str">
        <x:v>False</x:v>
      </x:c>
      <x:c r="BK463" s="10" t="str">
        <x:v>True</x:v>
      </x:c>
      <x:c r="BL463" s="6" t="str">
        <x:v>True</x:v>
      </x:c>
      <x:c r="BM463" s="7" t="str">
        <x:v>2025-08-13 03:05:00-05:00</x:v>
      </x:c>
      <x:c r="BN463" s="8" t="str">
        <x:v>1</x:v>
      </x:c>
      <x:c r="BO463" s="6" t="str">
        <x:v>Immediate confirmation (1 bar)</x:v>
      </x:c>
      <x:c r="BP463" s="9" t="str">
        <x:v>0.08260385360718979</x:v>
      </x:c>
      <x:c r="BQ463" s="9" t="str">
        <x:v>0.8535731539409612</x:v>
      </x:c>
      <x:c r="BR463" s="10" t="str">
        <x:v>0.0967741935483871</x:v>
      </x:c>
      <x:c r="BS463" s="9" t="str">
        <x:v>1.046315479024404</x:v>
      </x:c>
      <x:c r="BT463" s="9" t="str">
        <x:v>0.13767308934531633</x:v>
      </x:c>
      <x:c r="BU463" s="9" t="str">
        <x:v>0.6332962109884551</x:v>
      </x:c>
      <x:c r="BV463" s="6" t="str">
        <x:v>With trade</x:v>
      </x:c>
      <x:c r="BW463" s="7" t="str">
        <x:v>2025-08-13 03:05:00-05:00</x:v>
      </x:c>
      <x:c r="BX463" s="6" t="str">
        <x:v>22317.5</x:v>
      </x:c>
      <x:c r="BY463" s="9" t="str">
        <x:v>9.079479555112673</x:v>
      </x:c>
      <x:c r="BZ463" s="9" t="str">
        <x:v>0.81</x:v>
      </x:c>
      <x:c r="CA463" s="6" t="str">
        <x:v>22303.880780667332</x:v>
      </x:c>
      <x:c r="CB463" s="6" t="str">
        <x:v>13.619219332667853</x:v>
      </x:c>
      <x:c r="CC463" s="9" t="str">
        <x:v>1.4999999999998725</x:v>
      </x:c>
      <x:c r="CD463" s="6" t="str">
        <x:v>22344.73843866534</x:v>
      </x:c>
      <x:c r="CE463" s="6" t="str">
        <x:v>27.238438665339345</x:v>
      </x:c>
      <x:c r="CF463" s="6" t="str">
        <x:v>Fixed 2.00R target</x:v>
      </x:c>
      <x:c r="CG463" s="9" t="str">
        <x:v>0.05323359454686016</x:v>
      </x:c>
      <x:c r="CH463" s="9" t="str">
        <x:v>-0.6057615931193918</x:v>
      </x:c>
      <x:c r="CI463" s="9" t="str">
        <x:v>-0.658995187666252</x:v>
      </x:c>
      <x:c r="CJ463" s="6" t="str">
        <x:v>Loss</x:v>
      </x:c>
      <x:c r="CK463" s="9" t="str">
        <x:v>1.3950873053659907</x:v>
      </x:c>
      <x:c r="CL463" s="9" t="str">
        <x:v>0.8443949479846785</x:v>
      </x:c>
      <x:c r="CM463" s="7" t="str">
        <x:v>2025-08-13 04:05:00-05:00</x:v>
      </x:c>
      <x:c r="CN463" s="6" t="str">
        <x:v>22309.25</x:v>
      </x:c>
      <x:c r="CO463" s="6" t="str">
        <x:v>TIME</x:v>
      </x:c>
      <x:c r="CP463" s="6" t="str">
        <x:v>F::Long::Same-bar Setup+BOS::Penetration + same-bar reclaim</x:v>
      </x:c>
    </x:row>
    <x:row r="464" ht="18" customHeight="1">
      <x:c r="A464" s="6" t="str">
        <x:v>A0463</x:v>
      </x:c>
      <x:c r="B464" s="6" t="str">
        <x:v>2025-08-13</x:v>
      </x:c>
      <x:c r="C464" s="6" t="str">
        <x:v>2025</x:v>
      </x:c>
      <x:c r="D464" s="6" t="str">
        <x:v>2025-Q3</x:v>
      </x:c>
      <x:c r="E464" s="6" t="str">
        <x:v>Second 50%</x:v>
      </x:c>
      <x:c r="F464" s="6" t="str">
        <x:v>Long</x:v>
      </x:c>
      <x:c r="G464" s="6" t="str">
        <x:v>Long</x:v>
      </x:c>
      <x:c r="H464" s="6" t="str">
        <x:v>Premarket</x:v>
      </x:c>
      <x:c r="I464" s="6" t="str">
        <x:v>Premarket</x:v>
      </x:c>
      <x:c r="J464" s="6" t="str">
        <x:v>Bull</x:v>
      </x:c>
      <x:c r="K464" s="6" t="str">
        <x:v>Bull</x:v>
      </x:c>
      <x:c r="L464" s="6" t="str">
        <x:v>HIGH</x:v>
      </x:c>
      <x:c r="M464" s="7" t="str">
        <x:v>2025-08-13 07:30:00-05:00</x:v>
      </x:c>
      <x:c r="N464" s="6" t="str">
        <x:v>90.0</x:v>
      </x:c>
      <x:c r="O464" s="6" t="str">
        <x:v>90-94</x:v>
      </x:c>
      <x:c r="P464" s="6" t="str">
        <x:v>Matching BOS only</x:v>
      </x:c>
      <x:c r="Q464" s="6" t="str">
        <x:v>Bull BOS</x:v>
      </x:c>
      <x:c r="R464" s="6" t="str">
        <x:v>True</x:v>
      </x:c>
      <x:c r="S464" s="6" t="str">
        <x:v>False</x:v>
      </x:c>
      <x:c r="T464" s="6" t="str">
        <x:v>Recent SSL</x:v>
      </x:c>
      <x:c r="U464" s="6" t="str">
        <x:v>SSL</x:v>
      </x:c>
      <x:c r="V464" s="6" t="str">
        <x:v>Swing low / sell-side</x:v>
      </x:c>
      <x:c r="W464" s="6" t="str">
        <x:v>[22304.75,22307.25]</x:v>
      </x:c>
      <x:c r="X464" s="8" t="str">
        <x:v>2</x:v>
      </x:c>
      <x:c r="Y464" s="8" t="str">
        <x:v>12.0</x:v>
      </x:c>
      <x:c r="Z464" s="6" t="str">
        <x:v>None</x:v>
      </x:c>
      <x:c r="AA464" s="6" t="str">
        <x:v>22333.25</x:v>
      </x:c>
      <x:c r="AB464" s="9" t="str">
        <x:v>0.1711260240616867</x:v>
      </x:c>
      <x:c r="AC464" s="9" t="str">
        <x:v>1.0552771483804013</x:v>
      </x:c>
      <x:c r="AD464" s="9" t="str">
        <x:v>1.4260502005140556</x:v>
      </x:c>
      <x:c r="AE464" s="6" t="str">
        <x:v>With trade</x:v>
      </x:c>
      <x:c r="AF464" s="7" t="str">
        <x:v>2025-08-13 07:30:00-05:00</x:v>
      </x:c>
      <x:c r="AG464" s="6" t="str">
        <x:v>Long</x:v>
      </x:c>
      <x:c r="AH464" s="6" t="str">
        <x:v>22333.25</x:v>
      </x:c>
      <x:c r="AI464" s="8" t="str">
        <x:v>0</x:v>
      </x:c>
      <x:c r="AJ464" s="6" t="str">
        <x:v>True</x:v>
      </x:c>
      <x:c r="AK464" s="6" t="str">
        <x:v>Same-bar Setup+BOS</x:v>
      </x:c>
      <x:c r="AL464" s="9" t="str">
        <x:v>1.02675614437012</x:v>
      </x:c>
      <x:c r="AM464" s="9" t="str">
        <x:v>0.1711260240616867</x:v>
      </x:c>
      <x:c r="AN464" s="9" t="str">
        <x:v>1.0552771483804013</x:v>
      </x:c>
      <x:c r="AO464" s="9" t="str">
        <x:v>1.4260502005140556</x:v>
      </x:c>
      <x:c r="AP464" s="10" t="str">
        <x:v>0.74</x:v>
      </x:c>
      <x:c r="AQ464" s="6" t="str">
        <x:v>0.08</x:v>
      </x:c>
      <x:c r="AR464" s="6" t="str">
        <x:v>0.18</x:v>
      </x:c>
      <x:c r="AS464" s="6" t="str">
        <x:v>With trade</x:v>
      </x:c>
      <x:c r="AT464" s="6" t="str">
        <x:v>2.7177347996460623</x:v>
      </x:c>
      <x:c r="AU464" s="7" t="str">
        <x:v>2025-08-13 07:35:00-05:00</x:v>
      </x:c>
      <x:c r="AV464" s="8" t="str">
        <x:v>1</x:v>
      </x:c>
      <x:c r="AW464" s="6" t="str">
        <x:v>Immediate retest (1 bar)</x:v>
      </x:c>
      <x:c r="AX464" s="6" t="str">
        <x:v>22331.25</x:v>
      </x:c>
      <x:c r="AY464" s="6" t="str">
        <x:v>2.0</x:v>
      </x:c>
      <x:c r="AZ464" s="9" t="str">
        <x:v>0.2249879532212169</x:v>
      </x:c>
      <x:c r="BA464" s="9" t="str">
        <x:v>0.3656054239844775</x:v>
      </x:c>
      <x:c r="BB464" s="9" t="str">
        <x:v>1.1811867544113888</x:v>
      </x:c>
      <x:c r="BC464" s="9" t="str">
        <x:v>0.25311144737386904</x:v>
      </x:c>
      <x:c r="BD464" s="6" t="str">
        <x:v>0.5</x:v>
      </x:c>
      <x:c r="BE464" s="6" t="str">
        <x:v>0.2857142857142857</x:v>
      </x:c>
      <x:c r="BF464" s="9" t="str">
        <x:v>0.33748192983182534</x:v>
      </x:c>
      <x:c r="BG464" s="9" t="str">
        <x:v>0.5905933772056944</x:v>
      </x:c>
      <x:c r="BH464" s="6" t="str">
        <x:v>With trade</x:v>
      </x:c>
      <x:c r="BI464" s="6" t="str">
        <x:v>Penetration + same-bar reclaim</x:v>
      </x:c>
      <x:c r="BJ464" s="6" t="str">
        <x:v>False</x:v>
      </x:c>
      <x:c r="BK464" s="10" t="str">
        <x:v>True</x:v>
      </x:c>
      <x:c r="BL464" s="6" t="str">
        <x:v>True</x:v>
      </x:c>
      <x:c r="BM464" s="7" t="str">
        <x:v>2025-08-13 07:40:00-05:00</x:v>
      </x:c>
      <x:c r="BN464" s="8" t="str">
        <x:v>1</x:v>
      </x:c>
      <x:c r="BO464" s="6" t="str">
        <x:v>Immediate confirmation (1 bar)</x:v>
      </x:c>
      <x:c r="BP464" s="9" t="str">
        <x:v>0.9162176990923192</x:v>
      </x:c>
      <x:c r="BQ464" s="9" t="str">
        <x:v>1.1660952533902245</x:v>
      </x:c>
      <x:c r="BR464" s="10" t="str">
        <x:v>0.7857142857142857</x:v>
      </x:c>
      <x:c r="BS464" s="9" t="str">
        <x:v>1.1938594260899917</x:v>
      </x:c>
      <x:c r="BT464" s="9" t="str">
        <x:v>0.8329251809930175</x:v>
      </x:c>
      <x:c r="BU464" s="9" t="str">
        <x:v>0.111056690799069</x:v>
      </x:c>
      <x:c r="BV464" s="6" t="str">
        <x:v>With trade</x:v>
      </x:c>
      <x:c r="BW464" s="7" t="str">
        <x:v>2025-08-13 07:40:00-05:00</x:v>
      </x:c>
      <x:c r="BX464" s="6" t="str">
        <x:v>22344.0</x:v>
      </x:c>
      <x:c r="BY464" s="9" t="str">
        <x:v>9.004410205318157</x:v>
      </x:c>
      <x:c r="BZ464" s="9" t="str">
        <x:v>0.93</x:v>
      </x:c>
      <x:c r="CA464" s="6" t="str">
        <x:v>22330.49338469202</x:v>
      </x:c>
      <x:c r="CB464" s="6" t="str">
        <x:v>13.506615307978791</x:v>
      </x:c>
      <x:c r="CC464" s="9" t="str">
        <x:v>1.5000000000001728</x:v>
      </x:c>
      <x:c r="CD464" s="6" t="str">
        <x:v>22371.013230615954</x:v>
      </x:c>
      <x:c r="CE464" s="6" t="str">
        <x:v>27.013230615953944</x:v>
      </x:c>
      <x:c r="CF464" s="6" t="str">
        <x:v>Fixed 2.00R target</x:v>
      </x:c>
      <x:c r="CG464" s="9" t="str">
        <x:v>0.05367740055287717</x:v>
      </x:c>
      <x:c r="CH464" s="9" t="str">
        <x:v>2.0</x:v>
      </x:c>
      <x:c r="CI464" s="9" t="str">
        <x:v>1.946322599447123</x:v>
      </x:c>
      <x:c r="CJ464" s="6" t="str">
        <x:v>Win</x:v>
      </x:c>
      <x:c r="CK464" s="9" t="str">
        <x:v>3.202134584706121</x:v>
      </x:c>
      <x:c r="CL464" s="9" t="str">
        <x:v>0.4627362116627342</x:v>
      </x:c>
      <x:c r="CM464" s="7" t="str">
        <x:v>2025-08-13 08:30:00-05:00</x:v>
      </x:c>
      <x:c r="CN464" s="6" t="str">
        <x:v>22371.013230615954</x:v>
      </x:c>
      <x:c r="CO464" s="6" t="str">
        <x:v>TARGET</x:v>
      </x:c>
      <x:c r="CP464" s="6" t="str">
        <x:v>F::Long::Same-bar Setup+BOS::Penetration + same-bar reclaim</x:v>
      </x:c>
    </x:row>
    <x:row r="465" ht="18" customHeight="1">
      <x:c r="A465" s="6" t="str">
        <x:v>A0464</x:v>
      </x:c>
      <x:c r="B465" s="6" t="str">
        <x:v>2025-08-14</x:v>
      </x:c>
      <x:c r="C465" s="6" t="str">
        <x:v>2025</x:v>
      </x:c>
      <x:c r="D465" s="6" t="str">
        <x:v>2025-Q3</x:v>
      </x:c>
      <x:c r="E465" s="6" t="str">
        <x:v>Second 50%</x:v>
      </x:c>
      <x:c r="F465" s="6" t="str">
        <x:v>Long</x:v>
      </x:c>
      <x:c r="G465" s="6" t="str">
        <x:v>Long</x:v>
      </x:c>
      <x:c r="H465" s="6" t="str">
        <x:v>Opening</x:v>
      </x:c>
      <x:c r="I465" s="6" t="str">
        <x:v>Opening</x:v>
      </x:c>
      <x:c r="J465" s="6" t="str">
        <x:v>Bull</x:v>
      </x:c>
      <x:c r="K465" s="6" t="str">
        <x:v>Bull</x:v>
      </x:c>
      <x:c r="L465" s="6" t="str">
        <x:v>HIGH</x:v>
      </x:c>
      <x:c r="M465" s="7" t="str">
        <x:v>2025-08-14 09:30:00-05:00</x:v>
      </x:c>
      <x:c r="N465" s="6" t="str">
        <x:v>75.0</x:v>
      </x:c>
      <x:c r="O465" s="6" t="str">
        <x:v>75-79</x:v>
      </x:c>
      <x:c r="P465" s="6" t="str">
        <x:v>Matching BOS only</x:v>
      </x:c>
      <x:c r="Q465" s="6" t="str">
        <x:v>Bull CHoCH</x:v>
      </x:c>
      <x:c r="R465" s="6" t="str">
        <x:v>True</x:v>
      </x:c>
      <x:c r="S465" s="6" t="str">
        <x:v>False</x:v>
      </x:c>
      <x:c r="T465" s="6" t="str">
        <x:v>No recent matching sweep</x:v>
      </x:c>
      <x:c r="U465" s="6" t="str">
        <x:v>None</x:v>
      </x:c>
      <x:c r="V465" s="6" t="str">
        <x:v>None</x:v>
      </x:c>
      <x:c r="W465" s="6" t="str">
        <x:v>[]</x:v>
      </x:c>
      <x:c r="X465" s="8" t="str">
        <x:v>0</x:v>
      </x:c>
      <x:c r="Y465" s="8" t="str"/>
      <x:c r="Z465" s="6" t="str">
        <x:v>None</x:v>
      </x:c>
      <x:c r="AA465" s="6" t="str">
        <x:v>22280.25</x:v>
      </x:c>
      <x:c r="AB465" s="9" t="str">
        <x:v>0.4456929703840551</x:v>
      </x:c>
      <x:c r="AC465" s="9" t="str">
        <x:v>0.7515606951574262</x:v>
      </x:c>
      <x:c r="AD465" s="9" t="str">
        <x:v>1.0224721085281263</x:v>
      </x:c>
      <x:c r="AE465" s="6" t="str">
        <x:v>With trade</x:v>
      </x:c>
      <x:c r="AF465" s="7" t="str">
        <x:v>2025-08-14 09:30:00-05:00</x:v>
      </x:c>
      <x:c r="AG465" s="6" t="str">
        <x:v>Long</x:v>
      </x:c>
      <x:c r="AH465" s="6" t="str">
        <x:v>22280.25</x:v>
      </x:c>
      <x:c r="AI465" s="8" t="str">
        <x:v>0</x:v>
      </x:c>
      <x:c r="AJ465" s="6" t="str">
        <x:v>True</x:v>
      </x:c>
      <x:c r="AK465" s="6" t="str">
        <x:v>Same-bar Setup+BOS</x:v>
      </x:c>
      <x:c r="AL465" s="9" t="str">
        <x:v>0.7428216173067584</x:v>
      </x:c>
      <x:c r="AM465" s="9" t="str">
        <x:v>0.4456929703840551</x:v>
      </x:c>
      <x:c r="AN465" s="9" t="str">
        <x:v>0.7515606951574262</x:v>
      </x:c>
      <x:c r="AO465" s="9" t="str">
        <x:v>1.0224721085281263</x:v>
      </x:c>
      <x:c r="AP465" s="10" t="str">
        <x:v>0.7350427350427351</x:v>
      </x:c>
      <x:c r="AQ465" s="6" t="str">
        <x:v>0.23931623931623933</x:v>
      </x:c>
      <x:c r="AR465" s="6" t="str">
        <x:v>0.02564102564102564</x:v>
      </x:c>
      <x:c r="AS465" s="6" t="str">
        <x:v>With trade</x:v>
      </x:c>
      <x:c r="AT465" s="6" t="str">
        <x:v>1.2501871933332747</x:v>
      </x:c>
      <x:c r="AU465" s="7" t="str">
        <x:v>2025-08-14 09:35:00-05:00</x:v>
      </x:c>
      <x:c r="AV465" s="8" t="str">
        <x:v>1</x:v>
      </x:c>
      <x:c r="AW465" s="6" t="str">
        <x:v>Immediate retest (1 bar)</x:v>
      </x:c>
      <x:c r="AX465" s="6" t="str">
        <x:v>22282.25</x:v>
      </x:c>
      <x:c r="AY465" s="6" t="str">
        <x:v>0.0</x:v>
      </x:c>
      <x:c r="AZ465" s="9" t="str">
        <x:v>0.0</x:v>
      </x:c>
      <x:c r="BA465" s="9" t="str">
        <x:v>0.8602716505290379</x:v>
      </x:c>
      <x:c r="BB465" s="9" t="str">
        <x:v>0.8070589711148706</x:v>
      </x:c>
      <x:c r="BC465" s="9" t="str">
        <x:v>0.4257014353133383</x:v>
      </x:c>
      <x:c r="BD465" s="6" t="str">
        <x:v>0.02197802197802198</x:v>
      </x:c>
      <x:c r="BE465" s="6" t="str">
        <x:v>0.45054945054945056</x:v>
      </x:c>
      <x:c r="BF465" s="9" t="str">
        <x:v>0.36361997599680984</x:v>
      </x:c>
      <x:c r="BG465" s="9" t="str">
        <x:v>0.01773755980472243</x:v>
      </x:c>
      <x:c r="BH465" s="6" t="str">
        <x:v>With trade</x:v>
      </x:c>
      <x:c r="BI465" s="6" t="str">
        <x:v>Tolerance-only shallow touch</x:v>
      </x:c>
      <x:c r="BJ465" s="6" t="str">
        <x:v>True</x:v>
      </x:c>
      <x:c r="BK465" s="10" t="str">
        <x:v>False</x:v>
      </x:c>
      <x:c r="BL465" s="6" t="str">
        <x:v>True</x:v>
      </x:c>
      <x:c r="BM465" s="7" t="str">
        <x:v>2025-08-14 09:45:00-05:00</x:v>
      </x:c>
      <x:c r="BN465" s="8" t="str">
        <x:v>2</x:v>
      </x:c>
      <x:c r="BO465" s="6" t="str">
        <x:v>Delayed confirmation (2+ bars)</x:v>
      </x:c>
      <x:c r="BP465" s="9" t="str">
        <x:v>0.6077207535992833</x:v>
      </x:c>
      <x:c r="BQ465" s="9" t="str">
        <x:v>1.1065959990912322</x:v>
      </x:c>
      <x:c r="BR465" s="10" t="str">
        <x:v>0.5491803278688525</x:v>
      </x:c>
      <x:c r="BS465" s="9" t="str">
        <x:v>1.4059211463864016</x:v>
      </x:c>
      <x:c r="BT465" s="9" t="str">
        <x:v>0.5260866225187826</x:v>
      </x:c>
      <x:c r="BU465" s="9" t="str">
        <x:v>0.18140918017889054</x:v>
      </x:c>
      <x:c r="BV465" s="6" t="str">
        <x:v>With trade</x:v>
      </x:c>
      <x:c r="BW465" s="7" t="str">
        <x:v>2025-08-14 09:45:00-05:00</x:v>
      </x:c>
      <x:c r="BX465" s="6" t="str">
        <x:v>22319.0</x:v>
      </x:c>
      <x:c r="BY465" s="9" t="str">
        <x:v>27.562000969683115</x:v>
      </x:c>
      <x:c r="BZ465" s="9" t="str">
        <x:v>0.94</x:v>
      </x:c>
      <x:c r="CA465" s="6" t="str">
        <x:v>22277.656998545477</x:v>
      </x:c>
      <x:c r="CB465" s="6" t="str">
        <x:v>41.34300145452289</x:v>
      </x:c>
      <x:c r="CC465" s="9" t="str">
        <x:v>1.4999999999999354</x:v>
      </x:c>
      <x:c r="CD465" s="6" t="str">
        <x:v>22401.68600290905</x:v>
      </x:c>
      <x:c r="CE465" s="6" t="str">
        <x:v>82.68600290904942</x:v>
      </x:c>
      <x:c r="CF465" s="6" t="str">
        <x:v>Fixed 2.00R target</x:v>
      </x:c>
      <x:c r="CG465" s="9" t="str">
        <x:v>0.01753622075062684</x:v>
      </x:c>
      <x:c r="CH465" s="9" t="str">
        <x:v>-1.0</x:v>
      </x:c>
      <x:c r="CI465" s="9" t="str">
        <x:v>-1.0175362207506269</x:v>
      </x:c>
      <x:c r="CJ465" s="6" t="str">
        <x:v>Loss</x:v>
      </x:c>
      <x:c r="CK465" s="9" t="str">
        <x:v>0.01209394534525989</x:v>
      </x:c>
      <x:c r="CL465" s="9" t="str">
        <x:v>1.4149916053954072</x:v>
      </x:c>
      <x:c r="CM465" s="7" t="str">
        <x:v>2025-08-14 09:55:00-05:00</x:v>
      </x:c>
      <x:c r="CN465" s="6" t="str">
        <x:v>22277.656998545477</x:v>
      </x:c>
      <x:c r="CO465" s="6" t="str">
        <x:v>STOP</x:v>
      </x:c>
      <x:c r="CP465" s="6" t="str">
        <x:v>F::Long::Same-bar Setup+BOS::Tolerance-only shallow touch</x:v>
      </x:c>
    </x:row>
    <x:row r="466" ht="18" customHeight="1">
      <x:c r="A466" s="6" t="str">
        <x:v>A0465</x:v>
      </x:c>
      <x:c r="B466" s="6" t="str">
        <x:v>2025-08-21</x:v>
      </x:c>
      <x:c r="C466" s="6" t="str">
        <x:v>2025</x:v>
      </x:c>
      <x:c r="D466" s="6" t="str">
        <x:v>2025-Q3</x:v>
      </x:c>
      <x:c r="E466" s="6" t="str">
        <x:v>Second 50%</x:v>
      </x:c>
      <x:c r="F466" s="6" t="str">
        <x:v>Short</x:v>
      </x:c>
      <x:c r="G466" s="6" t="str">
        <x:v>Short</x:v>
      </x:c>
      <x:c r="H466" s="6" t="str">
        <x:v>Overnight</x:v>
      </x:c>
      <x:c r="I466" s="6" t="str">
        <x:v>Overnight</x:v>
      </x:c>
      <x:c r="J466" s="6" t="str">
        <x:v>Bear</x:v>
      </x:c>
      <x:c r="K466" s="6" t="str">
        <x:v>Bear</x:v>
      </x:c>
      <x:c r="L466" s="6" t="str">
        <x:v>LOW</x:v>
      </x:c>
      <x:c r="M466" s="7" t="str">
        <x:v>2025-08-21 19:05:00-05:00</x:v>
      </x:c>
      <x:c r="N466" s="6" t="str">
        <x:v>75.0</x:v>
      </x:c>
      <x:c r="O466" s="6" t="str">
        <x:v>75-79</x:v>
      </x:c>
      <x:c r="P466" s="6" t="str">
        <x:v>Matching BOS only</x:v>
      </x:c>
      <x:c r="Q466" s="6" t="str">
        <x:v>Bear CHoCH</x:v>
      </x:c>
      <x:c r="R466" s="6" t="str">
        <x:v>True</x:v>
      </x:c>
      <x:c r="S466" s="6" t="str">
        <x:v>False</x:v>
      </x:c>
      <x:c r="T466" s="6" t="str">
        <x:v>Recent BSL</x:v>
      </x:c>
      <x:c r="U466" s="6" t="str">
        <x:v>BSL</x:v>
      </x:c>
      <x:c r="V466" s="6" t="str">
        <x:v>Swing high / buy-side</x:v>
      </x:c>
      <x:c r="W466" s="6" t="str">
        <x:v>[21570.25]</x:v>
      </x:c>
      <x:c r="X466" s="8" t="str">
        <x:v>1</x:v>
      </x:c>
      <x:c r="Y466" s="8" t="str">
        <x:v>9.0</x:v>
      </x:c>
      <x:c r="Z466" s="6" t="str">
        <x:v>None</x:v>
      </x:c>
      <x:c r="AA466" s="6" t="str">
        <x:v>21551.0</x:v>
      </x:c>
      <x:c r="AB466" s="9" t="str">
        <x:v>0.11047746719863841</x:v>
      </x:c>
      <x:c r="AC466" s="9" t="str">
        <x:v>0.3756233884753706</x:v>
      </x:c>
      <x:c r="AD466" s="9" t="str">
        <x:v>2.143262863653585</x:v>
      </x:c>
      <x:c r="AE466" s="6" t="str">
        <x:v>With trade</x:v>
      </x:c>
      <x:c r="AF466" s="7" t="str">
        <x:v>2025-08-21 19:05:00-05:00</x:v>
      </x:c>
      <x:c r="AG466" s="6" t="str">
        <x:v>Short</x:v>
      </x:c>
      <x:c r="AH466" s="6" t="str">
        <x:v>21551.0</x:v>
      </x:c>
      <x:c r="AI466" s="8" t="str">
        <x:v>0</x:v>
      </x:c>
      <x:c r="AJ466" s="6" t="str">
        <x:v>True</x:v>
      </x:c>
      <x:c r="AK466" s="6" t="str">
        <x:v>Same-bar Setup+BOS</x:v>
      </x:c>
      <x:c r="AL466" s="9" t="str">
        <x:v>0.3756233884753706</x:v>
      </x:c>
      <x:c r="AM466" s="9" t="str">
        <x:v>0.11047746719863841</x:v>
      </x:c>
      <x:c r="AN466" s="9" t="str">
        <x:v>0.3756233884753706</x:v>
      </x:c>
      <x:c r="AO466" s="9" t="str">
        <x:v>2.143262863653585</x:v>
      </x:c>
      <x:c r="AP466" s="10" t="str">
        <x:v>0.17525773195876287</x:v>
      </x:c>
      <x:c r="AQ466" s="6" t="str">
        <x:v>0.20618556701030927</x:v>
      </x:c>
      <x:c r="AR466" s="6" t="str">
        <x:v>0.6185567010309279</x:v>
      </x:c>
      <x:c r="AS466" s="6" t="str">
        <x:v>With trade</x:v>
      </x:c>
      <x:c r="AT466" s="6" t="str">
        <x:v>3.9591836734693877</x:v>
      </x:c>
      <x:c r="AU466" s="7" t="str">
        <x:v>2025-08-21 19:10:00-05:00</x:v>
      </x:c>
      <x:c r="AV466" s="8" t="str">
        <x:v>1</x:v>
      </x:c>
      <x:c r="AW466" s="6" t="str">
        <x:v>Immediate retest (1 bar)</x:v>
      </x:c>
      <x:c r="AX466" s="6" t="str">
        <x:v>21550.0</x:v>
      </x:c>
      <x:c r="AY466" s="6" t="str">
        <x:v>0.0</x:v>
      </x:c>
      <x:c r="AZ466" s="9" t="str">
        <x:v>0.0</x:v>
      </x:c>
      <x:c r="BA466" s="9" t="str">
        <x:v>2.6329797135680852</x:v>
      </x:c>
      <x:c r="BB466" s="9" t="str">
        <x:v>3.1669406345014735</x:v>
      </x:c>
      <x:c r="BC466" s="9" t="str">
        <x:v>2.559329931370377</x:v>
      </x:c>
      <x:c r="BD466" s="6" t="str">
        <x:v>0.0</x:v>
      </x:c>
      <x:c r="BE466" s="6" t="str">
        <x:v>0.19186046511627908</x:v>
      </x:c>
      <x:c r="BF466" s="9" t="str">
        <x:v>0.0</x:v>
      </x:c>
      <x:c r="BG466" s="9" t="str">
        <x:v>0.6076107031310967</x:v>
      </x:c>
      <x:c r="BH466" s="6" t="str">
        <x:v>With trade</x:v>
      </x:c>
      <x:c r="BI466" s="6" t="str">
        <x:v>Tolerance-only shallow touch</x:v>
      </x:c>
      <x:c r="BJ466" s="6" t="str">
        <x:v>True</x:v>
      </x:c>
      <x:c r="BK466" s="10" t="str">
        <x:v>False</x:v>
      </x:c>
      <x:c r="BL466" s="6" t="str">
        <x:v>True</x:v>
      </x:c>
      <x:c r="BM466" s="7" t="str">
        <x:v>2025-08-21 19:25:00-05:00</x:v>
      </x:c>
      <x:c r="BN466" s="8" t="str">
        <x:v>3</x:v>
      </x:c>
      <x:c r="BO466" s="6" t="str">
        <x:v>Delayed confirmation (2+ bars)</x:v>
      </x:c>
      <x:c r="BP466" s="9" t="str">
        <x:v>0.9357205709744089</x:v>
      </x:c>
      <x:c r="BQ466" s="9" t="str">
        <x:v>1.5822184200112732</x:v>
      </x:c>
      <x:c r="BR466" s="10" t="str">
        <x:v>0.5913978494623656</x:v>
      </x:c>
      <x:c r="BS466" s="9" t="str">
        <x:v>2.092611458724587</x:v>
      </x:c>
      <x:c r="BT466" s="9" t="str">
        <x:v>-0.34026202580887593</x:v>
      </x:c>
      <x:c r="BU466" s="9" t="str">
        <x:v>0.0</x:v>
      </x:c>
      <x:c r="BV466" s="6" t="str">
        <x:v>With trade</x:v>
      </x:c>
      <x:c r="BW466" s="7" t="str">
        <x:v>2025-08-21 19:25:00-05:00</x:v>
      </x:c>
      <x:c r="BX466" s="6" t="str">
        <x:v>21520.25</x:v>
      </x:c>
      <x:c r="BY466" s="9" t="str">
        <x:v>14.69455778414863</x:v>
      </x:c>
      <x:c r="BZ466" s="9" t="str">
        <x:v>0.29</x:v>
      </x:c>
      <x:c r="CA466" s="6" t="str">
        <x:v>21542.291836676224</x:v>
      </x:c>
      <x:c r="CB466" s="6" t="str">
        <x:v>22.041836676224193</x:v>
      </x:c>
      <x:c r="CC466" s="9" t="str">
        <x:v>1.5000000000000848</x:v>
      </x:c>
      <x:c r="CD466" s="6" t="str">
        <x:v>21476.166326647555</x:v>
      </x:c>
      <x:c r="CE466" s="6" t="str">
        <x:v>44.08367335244475</x:v>
      </x:c>
      <x:c r="CF466" s="6" t="str">
        <x:v>Fixed 2.00R target</x:v>
      </x:c>
      <x:c r="CG466" s="9" t="str">
        <x:v>0.032891995828189476</x:v>
      </x:c>
      <x:c r="CH466" s="9" t="str">
        <x:v>-1.0</x:v>
      </x:c>
      <x:c r="CI466" s="9" t="str">
        <x:v>-1.0328919958281895</x:v>
      </x:c>
      <x:c r="CJ466" s="6" t="str">
        <x:v>Loss</x:v>
      </x:c>
      <x:c r="CK466" s="9" t="str">
        <x:v>0.0</x:v>
      </x:c>
      <x:c r="CL466" s="9" t="str">
        <x:v>1.009444009899608</x:v>
      </x:c>
      <x:c r="CM466" s="7" t="str">
        <x:v>2025-08-21 19:40:00-05:00</x:v>
      </x:c>
      <x:c r="CN466" s="6" t="str">
        <x:v>21542.291836676224</x:v>
      </x:c>
      <x:c r="CO466" s="6" t="str">
        <x:v>STOP</x:v>
      </x:c>
      <x:c r="CP466" s="6" t="str">
        <x:v>F::Short::Same-bar Setup+BOS::Tolerance-only shallow touch</x:v>
      </x:c>
    </x:row>
    <x:row r="467" ht="18" customHeight="1">
      <x:c r="A467" s="6" t="str">
        <x:v>A0466</x:v>
      </x:c>
      <x:c r="B467" s="6" t="str">
        <x:v>2025-08-26</x:v>
      </x:c>
      <x:c r="C467" s="6" t="str">
        <x:v>2025</x:v>
      </x:c>
      <x:c r="D467" s="6" t="str">
        <x:v>2025-Q3</x:v>
      </x:c>
      <x:c r="E467" s="6" t="str">
        <x:v>Second 50%</x:v>
      </x:c>
      <x:c r="F467" s="6" t="str">
        <x:v>Long</x:v>
      </x:c>
      <x:c r="G467" s="6" t="str">
        <x:v>Long</x:v>
      </x:c>
      <x:c r="H467" s="6" t="str">
        <x:v>Opening</x:v>
      </x:c>
      <x:c r="I467" s="6" t="str">
        <x:v>Premarket</x:v>
      </x:c>
      <x:c r="J467" s="6" t="str">
        <x:v>Bull</x:v>
      </x:c>
      <x:c r="K467" s="6" t="str">
        <x:v>Bull</x:v>
      </x:c>
      <x:c r="L467" s="6" t="str">
        <x:v>HIGH</x:v>
      </x:c>
      <x:c r="M467" s="7" t="str">
        <x:v>2025-08-26 09:20:00-05:00</x:v>
      </x:c>
      <x:c r="N467" s="6" t="str">
        <x:v>75.0</x:v>
      </x:c>
      <x:c r="O467" s="6" t="str">
        <x:v>75-79</x:v>
      </x:c>
      <x:c r="P467" s="6" t="str">
        <x:v>Matching BOS only</x:v>
      </x:c>
      <x:c r="Q467" s="6" t="str">
        <x:v>Bull BOS</x:v>
      </x:c>
      <x:c r="R467" s="6" t="str">
        <x:v>True</x:v>
      </x:c>
      <x:c r="S467" s="6" t="str">
        <x:v>False</x:v>
      </x:c>
      <x:c r="T467" s="6" t="str">
        <x:v>Recent SSL</x:v>
      </x:c>
      <x:c r="U467" s="6" t="str">
        <x:v>SSL</x:v>
      </x:c>
      <x:c r="V467" s="6" t="str">
        <x:v>Swing low / sell-side</x:v>
      </x:c>
      <x:c r="W467" s="6" t="str">
        <x:v>[21759.5]</x:v>
      </x:c>
      <x:c r="X467" s="8" t="str">
        <x:v>1</x:v>
      </x:c>
      <x:c r="Y467" s="8" t="str">
        <x:v>7.0</x:v>
      </x:c>
      <x:c r="Z467" s="6" t="str">
        <x:v>None</x:v>
      </x:c>
      <x:c r="AA467" s="6" t="str">
        <x:v>21838.5</x:v>
      </x:c>
      <x:c r="AB467" s="9" t="str">
        <x:v>0.8606837063757844</x:v>
      </x:c>
      <x:c r="AC467" s="9" t="str">
        <x:v>1.0540957752242754</x:v>
      </x:c>
      <x:c r="AD467" s="9" t="str">
        <x:v>1.295860861284889</x:v>
      </x:c>
      <x:c r="AE467" s="6" t="str">
        <x:v>With trade</x:v>
      </x:c>
      <x:c r="AF467" s="7" t="str">
        <x:v>2025-08-26 09:20:00-05:00</x:v>
      </x:c>
      <x:c r="AG467" s="6" t="str">
        <x:v>Long</x:v>
      </x:c>
      <x:c r="AH467" s="6" t="str">
        <x:v>21838.5</x:v>
      </x:c>
      <x:c r="AI467" s="8" t="str">
        <x:v>0</x:v>
      </x:c>
      <x:c r="AJ467" s="6" t="str">
        <x:v>True</x:v>
      </x:c>
      <x:c r="AK467" s="6" t="str">
        <x:v>Same-bar Setup+BOS</x:v>
      </x:c>
      <x:c r="AL467" s="9" t="str">
        <x:v>1.0734369821091245</x:v>
      </x:c>
      <x:c r="AM467" s="9" t="str">
        <x:v>0.8606837063757844</x:v>
      </x:c>
      <x:c r="AN467" s="9" t="str">
        <x:v>1.0540957752242754</x:v>
      </x:c>
      <x:c r="AO467" s="9" t="str">
        <x:v>1.295860861284889</x:v>
      </x:c>
      <x:c r="AP467" s="10" t="str">
        <x:v>0.8134328358208955</x:v>
      </x:c>
      <x:c r="AQ467" s="6" t="str">
        <x:v>0.14925373134328357</x:v>
      </x:c>
      <x:c r="AR467" s="6" t="str">
        <x:v>0.03731343283582089</x:v>
      </x:c>
      <x:c r="AS467" s="6" t="str">
        <x:v>With trade</x:v>
      </x:c>
      <x:c r="AT467" s="6" t="str">
        <x:v>1.3606151943735991</x:v>
      </x:c>
      <x:c r="AU467" s="7" t="str">
        <x:v>2025-08-26 09:40:00-05:00</x:v>
      </x:c>
      <x:c r="AV467" s="8" t="str">
        <x:v>4</x:v>
      </x:c>
      <x:c r="AW467" s="6" t="str">
        <x:v>Delayed retest (2+ bars)</x:v>
      </x:c>
      <x:c r="AX467" s="6" t="str">
        <x:v>21834.25</x:v>
      </x:c>
      <x:c r="AY467" s="6" t="str">
        <x:v>4.25</x:v>
      </x:c>
      <x:c r="AZ467" s="9" t="str">
        <x:v>0.17008724703510572</x:v>
      </x:c>
      <x:c r="BA467" s="9" t="str">
        <x:v>1.0905594074603837</x:v>
      </x:c>
      <x:c r="BB467" s="9" t="str">
        <x:v>1.270651786674025</x:v>
      </x:c>
      <x:c r="BC467" s="9" t="str">
        <x:v>0.9304772926038136</x:v>
      </x:c>
      <x:c r="BD467" s="6" t="str">
        <x:v>0.007874015748031496</x:v>
      </x:c>
      <x:c r="BE467" s="6" t="str">
        <x:v>0.25984251968503935</x:v>
      </x:c>
      <x:c r="BF467" s="9" t="str">
        <x:v>0.33016936189167584</x:v>
      </x:c>
      <x:c r="BG467" s="9" t="str">
        <x:v>0.01000513217853563</x:v>
      </x:c>
      <x:c r="BH467" s="6" t="str">
        <x:v>With trade</x:v>
      </x:c>
      <x:c r="BI467" s="6" t="str">
        <x:v>Penetration + same-bar reclaim</x:v>
      </x:c>
      <x:c r="BJ467" s="6" t="str">
        <x:v>False</x:v>
      </x:c>
      <x:c r="BK467" s="10" t="str">
        <x:v>True</x:v>
      </x:c>
      <x:c r="BL467" s="6" t="str">
        <x:v>True</x:v>
      </x:c>
      <x:c r="BM467" s="7" t="str">
        <x:v>2025-08-26 09:50:00-05:00</x:v>
      </x:c>
      <x:c r="BN467" s="8" t="str">
        <x:v>2</x:v>
      </x:c>
      <x:c r="BO467" s="6" t="str">
        <x:v>Delayed confirmation (2+ bars)</x:v>
      </x:c>
      <x:c r="BP467" s="9" t="str">
        <x:v>0.020568432703535987</x:v>
      </x:c>
      <x:c r="BQ467" s="9" t="str">
        <x:v>0.4936423848848637</x:v>
      </x:c>
      <x:c r="BR467" s="10" t="str">
        <x:v>0.041666666666666664</x:v>
      </x:c>
      <x:c r="BS467" s="9" t="str">
        <x:v>0.6993267119202236</x:v>
      </x:c>
      <x:c r="BT467" s="9" t="str">
        <x:v>-0.4216528704224878</x:v>
      </x:c>
      <x:c r="BU467" s="9" t="str">
        <x:v>0.28795805784950385</x:v>
      </x:c>
      <x:c r="BV467" s="6" t="str">
        <x:v>With trade</x:v>
      </x:c>
      <x:c r="BW467" s="7" t="str">
        <x:v>2025-08-26 09:50:00-05:00</x:v>
      </x:c>
      <x:c r="BX467" s="6" t="str">
        <x:v>21855.5</x:v>
      </x:c>
      <x:c r="BY467" s="9" t="str">
        <x:v>24.309095749140056</x:v>
      </x:c>
      <x:c r="BZ467" s="9" t="str">
        <x:v>0.92</x:v>
      </x:c>
      <x:c r="CA467" s="6" t="str">
        <x:v>21819.03635637629</x:v>
      </x:c>
      <x:c r="CB467" s="6" t="str">
        <x:v>36.463643623708776</x:v>
      </x:c>
      <x:c r="CC467" s="9" t="str">
        <x:v>1.4999999999999463</x:v>
      </x:c>
      <x:c r="CD467" s="6" t="str">
        <x:v>21928.42728724742</x:v>
      </x:c>
      <x:c r="CE467" s="6" t="str">
        <x:v>72.92728724742119</x:v>
      </x:c>
      <x:c r="CF467" s="6" t="str">
        <x:v>Fixed 2.00R target</x:v>
      </x:c>
      <x:c r="CG467" s="9" t="str">
        <x:v>0.0198828182800855</x:v>
      </x:c>
      <x:c r="CH467" s="9" t="str">
        <x:v>-1.0</x:v>
      </x:c>
      <x:c r="CI467" s="9" t="str">
        <x:v>-1.0198828182800854</x:v>
      </x:c>
      <x:c r="CJ467" s="6" t="str">
        <x:v>Loss</x:v>
      </x:c>
      <x:c r="CK467" s="9" t="str">
        <x:v>0.39765636560171</x:v>
      </x:c>
      <x:c r="CL467" s="9" t="str">
        <x:v>1.158688375632569</x:v>
      </x:c>
      <x:c r="CM467" s="7" t="str">
        <x:v>2025-08-26 10:30:00-05:00</x:v>
      </x:c>
      <x:c r="CN467" s="6" t="str">
        <x:v>21819.03635637629</x:v>
      </x:c>
      <x:c r="CO467" s="6" t="str">
        <x:v>STOP</x:v>
      </x:c>
      <x:c r="CP467" s="6" t="str">
        <x:v>F::Long::Same-bar Setup+BOS::Penetration + same-bar reclaim</x:v>
      </x:c>
    </x:row>
    <x:row r="468" ht="18" customHeight="1">
      <x:c r="A468" s="6" t="str">
        <x:v>A0467</x:v>
      </x:c>
      <x:c r="B468" s="6" t="str">
        <x:v>2025-08-26</x:v>
      </x:c>
      <x:c r="C468" s="6" t="str">
        <x:v>2025</x:v>
      </x:c>
      <x:c r="D468" s="6" t="str">
        <x:v>2025-Q3</x:v>
      </x:c>
      <x:c r="E468" s="6" t="str">
        <x:v>Second 50%</x:v>
      </x:c>
      <x:c r="F468" s="6" t="str">
        <x:v>Long</x:v>
      </x:c>
      <x:c r="G468" s="6" t="str">
        <x:v>Long</x:v>
      </x:c>
      <x:c r="H468" s="6" t="str">
        <x:v>Afternoon</x:v>
      </x:c>
      <x:c r="I468" s="6" t="str">
        <x:v>Afternoon</x:v>
      </x:c>
      <x:c r="J468" s="6" t="str">
        <x:v>Bull</x:v>
      </x:c>
      <x:c r="K468" s="6" t="str">
        <x:v>Bull</x:v>
      </x:c>
      <x:c r="L468" s="6" t="str">
        <x:v>MID</x:v>
      </x:c>
      <x:c r="M468" s="7" t="str">
        <x:v>2025-08-26 14:20:00-05:00</x:v>
      </x:c>
      <x:c r="N468" s="6" t="str">
        <x:v>75.0</x:v>
      </x:c>
      <x:c r="O468" s="6" t="str">
        <x:v>75-79</x:v>
      </x:c>
      <x:c r="P468" s="6" t="str">
        <x:v>Matching BOS only</x:v>
      </x:c>
      <x:c r="Q468" s="6" t="str">
        <x:v>Bull CHoCH</x:v>
      </x:c>
      <x:c r="R468" s="6" t="str">
        <x:v>True</x:v>
      </x:c>
      <x:c r="S468" s="6" t="str">
        <x:v>False</x:v>
      </x:c>
      <x:c r="T468" s="6" t="str">
        <x:v>No recent matching sweep</x:v>
      </x:c>
      <x:c r="U468" s="6" t="str">
        <x:v>None</x:v>
      </x:c>
      <x:c r="V468" s="6" t="str">
        <x:v>None</x:v>
      </x:c>
      <x:c r="W468" s="6" t="str">
        <x:v>[]</x:v>
      </x:c>
      <x:c r="X468" s="8" t="str">
        <x:v>0</x:v>
      </x:c>
      <x:c r="Y468" s="8" t="str"/>
      <x:c r="Z468" s="6" t="str">
        <x:v>None</x:v>
      </x:c>
      <x:c r="AA468" s="6" t="str">
        <x:v>21876.75</x:v>
      </x:c>
      <x:c r="AB468" s="9" t="str">
        <x:v>0.5091233192714884</x:v>
      </x:c>
      <x:c r="AC468" s="9" t="str">
        <x:v>1.2640303099154193</x:v>
      </x:c>
      <x:c r="AD468" s="9" t="str">
        <x:v>2.457836713724426</x:v>
      </x:c>
      <x:c r="AE468" s="6" t="str">
        <x:v>With trade</x:v>
      </x:c>
      <x:c r="AF468" s="7" t="str">
        <x:v>2025-08-26 14:20:00-05:00</x:v>
      </x:c>
      <x:c r="AG468" s="6" t="str">
        <x:v>Long</x:v>
      </x:c>
      <x:c r="AH468" s="6" t="str">
        <x:v>21876.75</x:v>
      </x:c>
      <x:c r="AI468" s="8" t="str">
        <x:v>0</x:v>
      </x:c>
      <x:c r="AJ468" s="6" t="str">
        <x:v>True</x:v>
      </x:c>
      <x:c r="AK468" s="6" t="str">
        <x:v>Same-bar Setup+BOS</x:v>
      </x:c>
      <x:c r="AL468" s="9" t="str">
        <x:v>1.2815862864420222</x:v>
      </x:c>
      <x:c r="AM468" s="9" t="str">
        <x:v>0.5091233192714884</x:v>
      </x:c>
      <x:c r="AN468" s="9" t="str">
        <x:v>1.2640303099154193</x:v>
      </x:c>
      <x:c r="AO468" s="9" t="str">
        <x:v>2.457836713724426</x:v>
      </x:c>
      <x:c r="AP468" s="10" t="str">
        <x:v>0.5142857142857142</x:v>
      </x:c>
      <x:c r="AQ468" s="6" t="str">
        <x:v>0.4357142857142857</x:v>
      </x:c>
      <x:c r="AR468" s="6" t="str">
        <x:v>0.05</x:v>
      </x:c>
      <x:c r="AS468" s="6" t="str">
        <x:v>With trade</x:v>
      </x:c>
      <x:c r="AT468" s="6" t="str">
        <x:v>2.6521231302513093</x:v>
      </x:c>
      <x:c r="AU468" s="7" t="str">
        <x:v>2025-08-26 14:25:00-05:00</x:v>
      </x:c>
      <x:c r="AV468" s="8" t="str">
        <x:v>1</x:v>
      </x:c>
      <x:c r="AW468" s="6" t="str">
        <x:v>Immediate retest (1 bar)</x:v>
      </x:c>
      <x:c r="AX468" s="6" t="str">
        <x:v>21876.25</x:v>
      </x:c>
      <x:c r="AY468" s="6" t="str">
        <x:v>0.5</x:v>
      </x:c>
      <x:c r="AZ468" s="9" t="str">
        <x:v>0.035376379352603765</x:v>
      </x:c>
      <x:c r="BA468" s="9" t="str">
        <x:v>0.7782803457572829</x:v>
      </x:c>
      <x:c r="BB468" s="9" t="str">
        <x:v>0.902097673491396</x:v>
      </x:c>
      <x:c r="BC468" s="9" t="str">
        <x:v>0.24763465546822638</x:v>
      </x:c>
      <x:c r="BD468" s="6" t="str">
        <x:v>0.09803921568627451</x:v>
      </x:c>
      <x:c r="BE468" s="6" t="str">
        <x:v>0.6274509803921569</x:v>
      </x:c>
      <x:c r="BF468" s="9" t="str">
        <x:v>0.5660220696416602</x:v>
      </x:c>
      <x:c r="BG468" s="9" t="str">
        <x:v>0.08844094838150941</x:v>
      </x:c>
      <x:c r="BH468" s="6" t="str">
        <x:v>With trade</x:v>
      </x:c>
      <x:c r="BI468" s="6" t="str">
        <x:v>Penetration + same-bar reclaim</x:v>
      </x:c>
      <x:c r="BJ468" s="6" t="str">
        <x:v>False</x:v>
      </x:c>
      <x:c r="BK468" s="10" t="str">
        <x:v>True</x:v>
      </x:c>
      <x:c r="BL468" s="6" t="str">
        <x:v>True</x:v>
      </x:c>
      <x:c r="BM468" s="7" t="str">
        <x:v>2025-08-26 14:30:00-05:00</x:v>
      </x:c>
      <x:c r="BN468" s="8" t="str">
        <x:v>1</x:v>
      </x:c>
      <x:c r="BO468" s="6" t="str">
        <x:v>Immediate confirmation (1 bar)</x:v>
      </x:c>
      <x:c r="BP468" s="9" t="str">
        <x:v>0.19494814056506482</x:v>
      </x:c>
      <x:c r="BQ468" s="9" t="str">
        <x:v>0.9747407028253242</x:v>
      </x:c>
      <x:c r="BR468" s="10" t="str">
        <x:v>0.2</x:v>
      </x:c>
      <x:c r="BS468" s="9" t="str">
        <x:v>0.9392955863589487</x:v>
      </x:c>
      <x:c r="BT468" s="9" t="str">
        <x:v>0.1595030240986894</x:v>
      </x:c>
      <x:c r="BU468" s="9" t="str">
        <x:v>0.21267069879825254</x:v>
      </x:c>
      <x:c r="BV468" s="6" t="str">
        <x:v>With trade</x:v>
      </x:c>
      <x:c r="BW468" s="7" t="str">
        <x:v>2025-08-26 14:30:00-05:00</x:v>
      </x:c>
      <x:c r="BX468" s="6" t="str">
        <x:v>21890.0</x:v>
      </x:c>
      <x:c r="BY468" s="9" t="str">
        <x:v>14.106315618240918</x:v>
      </x:c>
      <x:c r="BZ468" s="9" t="str">
        <x:v>0.35</x:v>
      </x:c>
      <x:c r="CA468" s="6" t="str">
        <x:v>21868.84052657264</x:v>
      </x:c>
      <x:c r="CB468" s="6" t="str">
        <x:v>21.159473427360354</x:v>
      </x:c>
      <x:c r="CC468" s="9" t="str">
        <x:v>1.4999999999999274</x:v>
      </x:c>
      <x:c r="CD468" s="6" t="str">
        <x:v>21932.318946854724</x:v>
      </x:c>
      <x:c r="CE468" s="6" t="str">
        <x:v>42.318946854724345</x:v>
      </x:c>
      <x:c r="CF468" s="6" t="str">
        <x:v>Fixed 2.00R target</x:v>
      </x:c>
      <x:c r="CG468" s="9" t="str">
        <x:v>0.03426361258416457</x:v>
      </x:c>
      <x:c r="CH468" s="9" t="str">
        <x:v>-1.0</x:v>
      </x:c>
      <x:c r="CI468" s="9" t="str">
        <x:v>-1.0342636125841647</x:v>
      </x:c>
      <x:c r="CJ468" s="6" t="str">
        <x:v>Loss</x:v>
      </x:c>
      <x:c r="CK468" s="9" t="str">
        <x:v>0.023630077644251426</x:v>
      </x:c>
      <x:c r="CL468" s="9" t="str">
        <x:v>1.0987986104576912</x:v>
      </x:c>
      <x:c r="CM468" s="7" t="str">
        <x:v>2025-08-26 14:35:00-05:00</x:v>
      </x:c>
      <x:c r="CN468" s="6" t="str">
        <x:v>21868.84052657264</x:v>
      </x:c>
      <x:c r="CO468" s="6" t="str">
        <x:v>STOP</x:v>
      </x:c>
      <x:c r="CP468" s="6" t="str">
        <x:v>F::Long::Same-bar Setup+BOS::Penetration + same-bar reclaim</x:v>
      </x:c>
    </x:row>
    <x:row r="469" ht="18" customHeight="1">
      <x:c r="A469" s="6" t="str">
        <x:v>A0468</x:v>
      </x:c>
      <x:c r="B469" s="6" t="str">
        <x:v>2025-08-26</x:v>
      </x:c>
      <x:c r="C469" s="6" t="str">
        <x:v>2025</x:v>
      </x:c>
      <x:c r="D469" s="6" t="str">
        <x:v>2025-Q3</x:v>
      </x:c>
      <x:c r="E469" s="6" t="str">
        <x:v>Second 50%</x:v>
      </x:c>
      <x:c r="F469" s="6" t="str">
        <x:v>Short</x:v>
      </x:c>
      <x:c r="G469" s="6" t="str">
        <x:v>Short</x:v>
      </x:c>
      <x:c r="H469" s="6" t="str">
        <x:v>Overnight</x:v>
      </x:c>
      <x:c r="I469" s="6" t="str">
        <x:v>Overnight</x:v>
      </x:c>
      <x:c r="J469" s="6" t="str">
        <x:v>Bull</x:v>
      </x:c>
      <x:c r="K469" s="6" t="str">
        <x:v>Bull</x:v>
      </x:c>
      <x:c r="L469" s="6" t="str">
        <x:v>LOW</x:v>
      </x:c>
      <x:c r="M469" s="7" t="str">
        <x:v>2025-08-26 19:00:00-05:00</x:v>
      </x:c>
      <x:c r="N469" s="6" t="str">
        <x:v>90.0</x:v>
      </x:c>
      <x:c r="O469" s="6" t="str">
        <x:v>90-94</x:v>
      </x:c>
      <x:c r="P469" s="6" t="str">
        <x:v>Matching BOS only</x:v>
      </x:c>
      <x:c r="Q469" s="6" t="str">
        <x:v>Bear CHoCH</x:v>
      </x:c>
      <x:c r="R469" s="6" t="str">
        <x:v>True</x:v>
      </x:c>
      <x:c r="S469" s="6" t="str">
        <x:v>False</x:v>
      </x:c>
      <x:c r="T469" s="6" t="str">
        <x:v>Recent BSL</x:v>
      </x:c>
      <x:c r="U469" s="6" t="str">
        <x:v>BSL</x:v>
      </x:c>
      <x:c r="V469" s="6" t="str">
        <x:v>Swing high / buy-side</x:v>
      </x:c>
      <x:c r="W469" s="6" t="str">
        <x:v>[21942.75]</x:v>
      </x:c>
      <x:c r="X469" s="8" t="str">
        <x:v>1</x:v>
      </x:c>
      <x:c r="Y469" s="8" t="str">
        <x:v>5.0</x:v>
      </x:c>
      <x:c r="Z469" s="6" t="str">
        <x:v>None</x:v>
      </x:c>
      <x:c r="AA469" s="6" t="str">
        <x:v>21929.5</x:v>
      </x:c>
      <x:c r="AB469" s="9" t="str">
        <x:v>0.7027817072337069</x:v>
      </x:c>
      <x:c r="AC469" s="9" t="str">
        <x:v>1.4055634144674138</x:v>
      </x:c>
      <x:c r="AD469" s="9" t="str">
        <x:v>1.8975106095310088</x:v>
      </x:c>
      <x:c r="AE469" s="6" t="str">
        <x:v>With trade</x:v>
      </x:c>
      <x:c r="AF469" s="7" t="str">
        <x:v>2025-08-26 19:00:00-05:00</x:v>
      </x:c>
      <x:c r="AG469" s="6" t="str">
        <x:v>Short</x:v>
      </x:c>
      <x:c r="AH469" s="6" t="str">
        <x:v>21929.5</x:v>
      </x:c>
      <x:c r="AI469" s="8" t="str">
        <x:v>0</x:v>
      </x:c>
      <x:c r="AJ469" s="6" t="str">
        <x:v>True</x:v>
      </x:c>
      <x:c r="AK469" s="6" t="str">
        <x:v>Same-bar Setup+BOS</x:v>
      </x:c>
      <x:c r="AL469" s="9" t="str">
        <x:v>1.3352852437440432</x:v>
      </x:c>
      <x:c r="AM469" s="9" t="str">
        <x:v>0.7027817072337069</x:v>
      </x:c>
      <x:c r="AN469" s="9" t="str">
        <x:v>1.4055634144674138</x:v>
      </x:c>
      <x:c r="AO469" s="9" t="str">
        <x:v>1.8975106095310088</x:v>
      </x:c>
      <x:c r="AP469" s="10" t="str">
        <x:v>0.7407407407407407</x:v>
      </x:c>
      <x:c r="AQ469" s="6" t="str">
        <x:v>0.18518518518518517</x:v>
      </x:c>
      <x:c r="AR469" s="6" t="str">
        <x:v>0.07407407407407407</x:v>
      </x:c>
      <x:c r="AS469" s="6" t="str">
        <x:v>With trade</x:v>
      </x:c>
      <x:c r="AT469" s="6" t="str">
        <x:v>3.5500650195058516</x:v>
      </x:c>
      <x:c r="AU469" s="7" t="str">
        <x:v>2025-08-26 19:05:00-05:00</x:v>
      </x:c>
      <x:c r="AV469" s="8" t="str">
        <x:v>1</x:v>
      </x:c>
      <x:c r="AW469" s="6" t="str">
        <x:v>Immediate retest (1 bar)</x:v>
      </x:c>
      <x:c r="AX469" s="6" t="str">
        <x:v>21929.75</x:v>
      </x:c>
      <x:c r="AY469" s="6" t="str">
        <x:v>0.25</x:v>
      </x:c>
      <x:c r="AZ469" s="9" t="str">
        <x:v>0.035446770586731825</x:v>
      </x:c>
      <x:c r="BA469" s="9" t="str">
        <x:v>0.5317015588009774</x:v>
      </x:c>
      <x:c r="BB469" s="9" t="str">
        <x:v>0.8861692646682957</x:v>
      </x:c>
      <x:c r="BC469" s="9" t="str">
        <x:v>0.07089354117346365</x:v>
      </x:c>
      <x:c r="BD469" s="6" t="str">
        <x:v>0.64</x:v>
      </x:c>
      <x:c r="BE469" s="6" t="str">
        <x:v>0.28</x:v>
      </x:c>
      <x:c r="BF469" s="9" t="str">
        <x:v>0.5671483293877092</x:v>
      </x:c>
      <x:c r="BG469" s="9" t="str">
        <x:v>0.24812739410712278</x:v>
      </x:c>
      <x:c r="BH469" s="6" t="str">
        <x:v>Against trade</x:v>
      </x:c>
      <x:c r="BI469" s="6" t="str">
        <x:v>Penetration + same-bar reclaim</x:v>
      </x:c>
      <x:c r="BJ469" s="6" t="str">
        <x:v>False</x:v>
      </x:c>
      <x:c r="BK469" s="10" t="str">
        <x:v>True</x:v>
      </x:c>
      <x:c r="BL469" s="6" t="str">
        <x:v>True</x:v>
      </x:c>
      <x:c r="BM469" s="7" t="str">
        <x:v>2025-08-26 19:10:00-05:00</x:v>
      </x:c>
      <x:c r="BN469" s="8" t="str">
        <x:v>1</x:v>
      </x:c>
      <x:c r="BO469" s="6" t="str">
        <x:v>Immediate confirmation (1 bar)</x:v>
      </x:c>
      <x:c r="BP469" s="9" t="str">
        <x:v>0.2514451095313327</x:v>
      </x:c>
      <x:c r="BQ469" s="9" t="str">
        <x:v>0.8261767884600931</x:v>
      </x:c>
      <x:c r="BR469" s="10" t="str">
        <x:v>0.30434782608695654</x:v>
      </x:c>
      <x:c r="BS469" s="9" t="str">
        <x:v>0.7184145986609505</x:v>
      </x:c>
      <x:c r="BT469" s="9" t="str">
        <x:v>0.17960364966523762</x:v>
      </x:c>
      <x:c r="BU469" s="9" t="str">
        <x:v>0.35920729933047524</x:v>
      </x:c>
      <x:c r="BV469" s="6" t="str">
        <x:v>With trade</x:v>
      </x:c>
      <x:c r="BW469" s="7" t="str">
        <x:v>2025-08-26 19:10:00-05:00</x:v>
      </x:c>
      <x:c r="BX469" s="6" t="str">
        <x:v>21924.5</x:v>
      </x:c>
      <x:c r="BY469" s="9" t="str">
        <x:v>6.959769483136166</x:v>
      </x:c>
      <x:c r="BZ469" s="9" t="str">
        <x:v>0.03</x:v>
      </x:c>
      <x:c r="CA469" s="6" t="str">
        <x:v>21934.939654224705</x:v>
      </x:c>
      <x:c r="CB469" s="6" t="str">
        <x:v>10.43965422470501</x:v>
      </x:c>
      <x:c r="CC469" s="9" t="str">
        <x:v>1.5000000000001092</x:v>
      </x:c>
      <x:c r="CD469" s="6" t="str">
        <x:v>21903.62069155059</x:v>
      </x:c>
      <x:c r="CE469" s="6" t="str">
        <x:v>20.87930844941002</x:v>
      </x:c>
      <x:c r="CF469" s="6" t="str">
        <x:v>Fixed 2.00R target</x:v>
      </x:c>
      <x:c r="CG469" s="9" t="str">
        <x:v>0.06944674453722016</x:v>
      </x:c>
      <x:c r="CH469" s="9" t="str">
        <x:v>-0.38315445261917364</x:v>
      </x:c>
      <x:c r="CI469" s="9" t="str">
        <x:v>-0.4526011971563938</x:v>
      </x:c>
      <x:c r="CJ469" s="6" t="str">
        <x:v>Loss</x:v>
      </x:c>
      <x:c r="CK469" s="9" t="str">
        <x:v>1.0057804381252575</x:v>
      </x:c>
      <x:c r="CL469" s="9" t="str">
        <x:v>0.5268373723513253</x:v>
      </x:c>
      <x:c r="CM469" s="7" t="str">
        <x:v>2025-08-26 20:10:00-05:00</x:v>
      </x:c>
      <x:c r="CN469" s="6" t="str">
        <x:v>21928.5</x:v>
      </x:c>
      <x:c r="CO469" s="6" t="str">
        <x:v>TIME</x:v>
      </x:c>
      <x:c r="CP469" s="6" t="str">
        <x:v>F::Short::Same-bar Setup+BOS::Penetration + same-bar reclaim</x:v>
      </x:c>
    </x:row>
    <x:row r="470" ht="18" customHeight="1">
      <x:c r="A470" s="6" t="str">
        <x:v>A0469</x:v>
      </x:c>
      <x:c r="B470" s="6" t="str">
        <x:v>2025-08-27</x:v>
      </x:c>
      <x:c r="C470" s="6" t="str">
        <x:v>2025</x:v>
      </x:c>
      <x:c r="D470" s="6" t="str">
        <x:v>2025-Q3</x:v>
      </x:c>
      <x:c r="E470" s="6" t="str">
        <x:v>Second 50%</x:v>
      </x:c>
      <x:c r="F470" s="6" t="str">
        <x:v>Short</x:v>
      </x:c>
      <x:c r="G470" s="6" t="str">
        <x:v>Short</x:v>
      </x:c>
      <x:c r="H470" s="6" t="str">
        <x:v>Overnight</x:v>
      </x:c>
      <x:c r="I470" s="6" t="str">
        <x:v>Overnight</x:v>
      </x:c>
      <x:c r="J470" s="6" t="str">
        <x:v>Bull</x:v>
      </x:c>
      <x:c r="K470" s="6" t="str">
        <x:v>Bull</x:v>
      </x:c>
      <x:c r="L470" s="6" t="str">
        <x:v>LOW</x:v>
      </x:c>
      <x:c r="M470" s="7" t="str">
        <x:v>2025-08-27 00:05:00-05:00</x:v>
      </x:c>
      <x:c r="N470" s="6" t="str">
        <x:v>90.0</x:v>
      </x:c>
      <x:c r="O470" s="6" t="str">
        <x:v>90-94</x:v>
      </x:c>
      <x:c r="P470" s="6" t="str">
        <x:v>Matching BOS only</x:v>
      </x:c>
      <x:c r="Q470" s="6" t="str">
        <x:v>Bear CHoCH</x:v>
      </x:c>
      <x:c r="R470" s="6" t="str">
        <x:v>True</x:v>
      </x:c>
      <x:c r="S470" s="6" t="str">
        <x:v>False</x:v>
      </x:c>
      <x:c r="T470" s="6" t="str">
        <x:v>Recent BSL</x:v>
      </x:c>
      <x:c r="U470" s="6" t="str">
        <x:v>BSL</x:v>
      </x:c>
      <x:c r="V470" s="6" t="str">
        <x:v>Swing high / buy-side</x:v>
      </x:c>
      <x:c r="W470" s="6" t="str">
        <x:v>[21941.25]</x:v>
      </x:c>
      <x:c r="X470" s="8" t="str">
        <x:v>1</x:v>
      </x:c>
      <x:c r="Y470" s="8" t="str">
        <x:v>6.0</x:v>
      </x:c>
      <x:c r="Z470" s="6" t="str">
        <x:v>None</x:v>
      </x:c>
      <x:c r="AA470" s="6" t="str">
        <x:v>21925.0</x:v>
      </x:c>
      <x:c r="AB470" s="9" t="str">
        <x:v>0.9269259412596704</x:v>
      </x:c>
      <x:c r="AC470" s="9" t="str">
        <x:v>3.171062430625188</x:v>
      </x:c>
      <x:c r="AD470" s="9" t="str">
        <x:v>3.21984800648096</x:v>
      </x:c>
      <x:c r="AE470" s="6" t="str">
        <x:v>With trade</x:v>
      </x:c>
      <x:c r="AF470" s="7" t="str">
        <x:v>2025-08-27 00:05:00-05:00</x:v>
      </x:c>
      <x:c r="AG470" s="6" t="str">
        <x:v>Short</x:v>
      </x:c>
      <x:c r="AH470" s="6" t="str">
        <x:v>21925.0</x:v>
      </x:c>
      <x:c r="AI470" s="8" t="str">
        <x:v>0</x:v>
      </x:c>
      <x:c r="AJ470" s="6" t="str">
        <x:v>True</x:v>
      </x:c>
      <x:c r="AK470" s="6" t="str">
        <x:v>Same-bar Setup+BOS</x:v>
      </x:c>
      <x:c r="AL470" s="9" t="str">
        <x:v>2.9759201272020994</x:v>
      </x:c>
      <x:c r="AM470" s="9" t="str">
        <x:v>0.9269259412596704</x:v>
      </x:c>
      <x:c r="AN470" s="9" t="str">
        <x:v>3.171062430625188</x:v>
      </x:c>
      <x:c r="AO470" s="9" t="str">
        <x:v>3.21984800648096</x:v>
      </x:c>
      <x:c r="AP470" s="10" t="str">
        <x:v>0.9848484848484849</x:v>
      </x:c>
      <x:c r="AQ470" s="6" t="str">
        <x:v>0.0</x:v>
      </x:c>
      <x:c r="AR470" s="6" t="str">
        <x:v>0.015151515151515152</x:v>
      </x:c>
      <x:c r="AS470" s="6" t="str">
        <x:v>With trade</x:v>
      </x:c>
      <x:c r="AT470" s="6" t="str">
        <x:v>3.9134275618374557</x:v>
      </x:c>
      <x:c r="AU470" s="7" t="str">
        <x:v>2025-08-27 00:10:00-05:00</x:v>
      </x:c>
      <x:c r="AV470" s="8" t="str">
        <x:v>1</x:v>
      </x:c>
      <x:c r="AW470" s="6" t="str">
        <x:v>Immediate retest (1 bar)</x:v>
      </x:c>
      <x:c r="AX470" s="6" t="str">
        <x:v>21926.5</x:v>
      </x:c>
      <x:c r="AY470" s="6" t="str">
        <x:v>1.5</x:v>
      </x:c>
      <x:c r="AZ470" s="9" t="str">
        <x:v>0.28049347628200705</x:v>
      </x:c>
      <x:c r="BA470" s="9" t="str">
        <x:v>0.6077358652776819</x:v>
      </x:c>
      <x:c r="BB470" s="9" t="str">
        <x:v>1.5427141195510388</x:v>
      </x:c>
      <x:c r="BC470" s="9" t="str">
        <x:v>0.32724238899567487</x:v>
      </x:c>
      <x:c r="BD470" s="6" t="str">
        <x:v>0.5757575757575758</x:v>
      </x:c>
      <x:c r="BE470" s="6" t="str">
        <x:v>0.21212121212121213</x:v>
      </x:c>
      <x:c r="BF470" s="9" t="str">
        <x:v>0.8882293415596889</x:v>
      </x:c>
      <x:c r="BG470" s="9" t="str">
        <x:v>0.32724238899567487</x:v>
      </x:c>
      <x:c r="BH470" s="6" t="str">
        <x:v>Against trade</x:v>
      </x:c>
      <x:c r="BI470" s="6" t="str">
        <x:v>Penetration + same-bar reclaim</x:v>
      </x:c>
      <x:c r="BJ470" s="6" t="str">
        <x:v>False</x:v>
      </x:c>
      <x:c r="BK470" s="10" t="str">
        <x:v>True</x:v>
      </x:c>
      <x:c r="BL470" s="6" t="str">
        <x:v>True</x:v>
      </x:c>
      <x:c r="BM470" s="7" t="str">
        <x:v>2025-08-27 00:15:00-05:00</x:v>
      </x:c>
      <x:c r="BN470" s="8" t="str">
        <x:v>1</x:v>
      </x:c>
      <x:c r="BO470" s="6" t="str">
        <x:v>Immediate confirmation (1 bar)</x:v>
      </x:c>
      <x:c r="BP470" s="9" t="str">
        <x:v>0.6240421792773994</x:v>
      </x:c>
      <x:c r="BQ470" s="9" t="str">
        <x:v>1.6046798895704555</x:v>
      </x:c>
      <x:c r="BR470" s="10" t="str">
        <x:v>0.3888888888888889</x:v>
      </x:c>
      <x:c r="BS470" s="9" t="str">
        <x:v>1.2480843585547987</x:v>
      </x:c>
      <x:c r="BT470" s="9" t="str">
        <x:v>0.6686166206543565</x:v>
      </x:c>
      <x:c r="BU470" s="9" t="str">
        <x:v>0.5348932965234852</x:v>
      </x:c>
      <x:c r="BV470" s="6" t="str">
        <x:v>With trade</x:v>
      </x:c>
      <x:c r="BW470" s="7" t="str">
        <x:v>2025-08-27 00:15:00-05:00</x:v>
      </x:c>
      <x:c r="BX470" s="6" t="str">
        <x:v>21918.0</x:v>
      </x:c>
      <x:c r="BY470" s="9" t="str">
        <x:v>5.60859524600208</x:v>
      </x:c>
      <x:c r="BZ470" s="9" t="str">
        <x:v>0.24</x:v>
      </x:c>
      <x:c r="CA470" s="6" t="str">
        <x:v>21926.412892869004</x:v>
      </x:c>
      <x:c r="CB470" s="6" t="str">
        <x:v>8.412892869004281</x:v>
      </x:c>
      <x:c r="CC470" s="9" t="str">
        <x:v>1.500000000000207</x:v>
      </x:c>
      <x:c r="CD470" s="6" t="str">
        <x:v>21901.174214261995</x:v>
      </x:c>
      <x:c r="CE470" s="6" t="str">
        <x:v>16.825785738004924</x:v>
      </x:c>
      <x:c r="CF470" s="6" t="str">
        <x:v>Fixed 2.00R target</x:v>
      </x:c>
      <x:c r="CG470" s="9" t="str">
        <x:v>0.08617725332877184</x:v>
      </x:c>
      <x:c r="CH470" s="9" t="str">
        <x:v>-1.0</x:v>
      </x:c>
      <x:c r="CI470" s="9" t="str">
        <x:v>-1.086177253328772</x:v>
      </x:c>
      <x:c r="CJ470" s="6" t="str">
        <x:v>Loss</x:v>
      </x:c>
      <x:c r="CK470" s="9" t="str">
        <x:v>0.7726236505338164</x:v>
      </x:c>
      <x:c r="CL470" s="9" t="str">
        <x:v>1.1589354758007246</x:v>
      </x:c>
      <x:c r="CM470" s="7" t="str">
        <x:v>2025-08-27 01:15:00-05:00</x:v>
      </x:c>
      <x:c r="CN470" s="6" t="str">
        <x:v>21926.412892869004</x:v>
      </x:c>
      <x:c r="CO470" s="6" t="str">
        <x:v>STOP</x:v>
      </x:c>
      <x:c r="CP470" s="6" t="str">
        <x:v>F::Short::Same-bar Setup+BOS::Penetration + same-bar reclaim</x:v>
      </x:c>
    </x:row>
    <x:row r="471" ht="18" customHeight="1">
      <x:c r="A471" s="6" t="str">
        <x:v>A0470</x:v>
      </x:c>
      <x:c r="B471" s="6" t="str">
        <x:v>2025-08-27</x:v>
      </x:c>
      <x:c r="C471" s="6" t="str">
        <x:v>2025</x:v>
      </x:c>
      <x:c r="D471" s="6" t="str">
        <x:v>2025-Q3</x:v>
      </x:c>
      <x:c r="E471" s="6" t="str">
        <x:v>Second 50%</x:v>
      </x:c>
      <x:c r="F471" s="6" t="str">
        <x:v>Short</x:v>
      </x:c>
      <x:c r="G471" s="6" t="str">
        <x:v>Short</x:v>
      </x:c>
      <x:c r="H471" s="6" t="str">
        <x:v>Premarket</x:v>
      </x:c>
      <x:c r="I471" s="6" t="str">
        <x:v>Premarket</x:v>
      </x:c>
      <x:c r="J471" s="6" t="str">
        <x:v>Bull</x:v>
      </x:c>
      <x:c r="K471" s="6" t="str">
        <x:v>Bull</x:v>
      </x:c>
      <x:c r="L471" s="6" t="str">
        <x:v>HIGH</x:v>
      </x:c>
      <x:c r="M471" s="7" t="str">
        <x:v>2025-08-27 07:25:00-05:00</x:v>
      </x:c>
      <x:c r="N471" s="6" t="str">
        <x:v>90.0</x:v>
      </x:c>
      <x:c r="O471" s="6" t="str">
        <x:v>90-94</x:v>
      </x:c>
      <x:c r="P471" s="6" t="str">
        <x:v>Matching BOS only</x:v>
      </x:c>
      <x:c r="Q471" s="6" t="str">
        <x:v>Bear CHoCH</x:v>
      </x:c>
      <x:c r="R471" s="6" t="str">
        <x:v>True</x:v>
      </x:c>
      <x:c r="S471" s="6" t="str">
        <x:v>False</x:v>
      </x:c>
      <x:c r="T471" s="6" t="str">
        <x:v>Recent BSL</x:v>
      </x:c>
      <x:c r="U471" s="6" t="str">
        <x:v>BSL</x:v>
      </x:c>
      <x:c r="V471" s="6" t="str">
        <x:v>Swing high / buy-side</x:v>
      </x:c>
      <x:c r="W471" s="6" t="str">
        <x:v>[21939.25]</x:v>
      </x:c>
      <x:c r="X471" s="8" t="str">
        <x:v>1</x:v>
      </x:c>
      <x:c r="Y471" s="8" t="str">
        <x:v>2.0</x:v>
      </x:c>
      <x:c r="Z471" s="6" t="str">
        <x:v>None</x:v>
      </x:c>
      <x:c r="AA471" s="6" t="str">
        <x:v>21916.75</x:v>
      </x:c>
      <x:c r="AB471" s="9" t="str">
        <x:v>0.20690636340907334</x:v>
      </x:c>
      <x:c r="AC471" s="9" t="str">
        <x:v>2.1035480279922454</x:v>
      </x:c>
      <x:c r="AD471" s="9" t="str">
        <x:v>2.448391967007368</x:v>
      </x:c>
      <x:c r="AE471" s="6" t="str">
        <x:v>With trade</x:v>
      </x:c>
      <x:c r="AF471" s="7" t="str">
        <x:v>2025-08-27 07:25:00-05:00</x:v>
      </x:c>
      <x:c r="AG471" s="6" t="str">
        <x:v>Short</x:v>
      </x:c>
      <x:c r="AH471" s="6" t="str">
        <x:v>21916.75</x:v>
      </x:c>
      <x:c r="AI471" s="8" t="str">
        <x:v>0</x:v>
      </x:c>
      <x:c r="AJ471" s="6" t="str">
        <x:v>True</x:v>
      </x:c>
      <x:c r="AK471" s="6" t="str">
        <x:v>Same-bar Setup+BOS</x:v>
      </x:c>
      <x:c r="AL471" s="9" t="str">
        <x:v>2.069063634090733</x:v>
      </x:c>
      <x:c r="AM471" s="9" t="str">
        <x:v>0.20690636340907334</x:v>
      </x:c>
      <x:c r="AN471" s="9" t="str">
        <x:v>2.1035480279922454</x:v>
      </x:c>
      <x:c r="AO471" s="9" t="str">
        <x:v>2.448391967007368</x:v>
      </x:c>
      <x:c r="AP471" s="10" t="str">
        <x:v>0.8591549295774648</x:v>
      </x:c>
      <x:c r="AQ471" s="6" t="str">
        <x:v>0.0</x:v>
      </x:c>
      <x:c r="AR471" s="6" t="str">
        <x:v>0.14084507042253522</x:v>
      </x:c>
      <x:c r="AS471" s="6" t="str">
        <x:v>With trade</x:v>
      </x:c>
      <x:c r="AT471" s="6" t="str">
        <x:v>3.7872848133628767</x:v>
      </x:c>
      <x:c r="AU471" s="7" t="str">
        <x:v>2025-08-27 07:30:00-05:00</x:v>
      </x:c>
      <x:c r="AV471" s="8" t="str">
        <x:v>1</x:v>
      </x:c>
      <x:c r="AW471" s="6" t="str">
        <x:v>Immediate retest (1 bar)</x:v>
      </x:c>
      <x:c r="AX471" s="6" t="str">
        <x:v>21918.0</x:v>
      </x:c>
      <x:c r="AY471" s="6" t="str">
        <x:v>1.25</x:v>
      </x:c>
      <x:c r="AZ471" s="9" t="str">
        <x:v>0.14989867203448382</x:v>
      </x:c>
      <x:c r="BA471" s="9" t="str">
        <x:v>2.4283584869586377</x:v>
      </x:c>
      <x:c r="BB471" s="9" t="str">
        <x:v>2.6981760966207085</x:v>
      </x:c>
      <x:c r="BC471" s="9" t="str">
        <x:v>2.1885206117034635</x:v>
      </x:c>
      <x:c r="BD471" s="6" t="str">
        <x:v>0.14444444444444443</x:v>
      </x:c>
      <x:c r="BE471" s="6" t="str">
        <x:v>0.044444444444444446</x:v>
      </x:c>
      <x:c r="BF471" s="9" t="str">
        <x:v>0.3897365472896579</x:v>
      </x:c>
      <x:c r="BG471" s="9" t="str">
        <x:v>0.11991893762758704</x:v>
      </x:c>
      <x:c r="BH471" s="6" t="str">
        <x:v>With trade</x:v>
      </x:c>
      <x:c r="BI471" s="6" t="str">
        <x:v>Penetration + same-bar reclaim</x:v>
      </x:c>
      <x:c r="BJ471" s="6" t="str">
        <x:v>False</x:v>
      </x:c>
      <x:c r="BK471" s="10" t="str">
        <x:v>True</x:v>
      </x:c>
      <x:c r="BL471" s="6" t="str">
        <x:v>True</x:v>
      </x:c>
      <x:c r="BM471" s="7" t="str">
        <x:v>2025-08-27 07:40:00-05:00</x:v>
      </x:c>
      <x:c r="BN471" s="8" t="str">
        <x:v>2</x:v>
      </x:c>
      <x:c r="BO471" s="6" t="str">
        <x:v>Delayed confirmation (2+ bars)</x:v>
      </x:c>
      <x:c r="BP471" s="9" t="str">
        <x:v>1.2494673149952769</x:v>
      </x:c>
      <x:c r="BQ471" s="9" t="str">
        <x:v>1.590231128175807</x:v>
      </x:c>
      <x:c r="BR471" s="10" t="str">
        <x:v>0.7857142857142857</x:v>
      </x:c>
      <x:c r="BS471" s="9" t="str">
        <x:v>3.464432100668722</x:v>
      </x:c>
      <x:c r="BT471" s="9" t="str">
        <x:v>1.1642763617001444</x:v>
      </x:c>
      <x:c r="BU471" s="9" t="str">
        <x:v>0.028396984431710837</x:v>
      </x:c>
      <x:c r="BV471" s="6" t="str">
        <x:v>With trade</x:v>
      </x:c>
      <x:c r="BW471" s="7" t="str">
        <x:v>2025-08-27 07:40:00-05:00</x:v>
      </x:c>
      <x:c r="BX471" s="6" t="str">
        <x:v>21886.25</x:v>
      </x:c>
      <x:c r="BY471" s="9" t="str">
        <x:v>8.803751701213233</x:v>
      </x:c>
      <x:c r="BZ471" s="9" t="str">
        <x:v>0.89</x:v>
      </x:c>
      <x:c r="CA471" s="6" t="str">
        <x:v>21899.45562755182</x:v>
      </x:c>
      <x:c r="CB471" s="6" t="str">
        <x:v>13.205627551818907</x:v>
      </x:c>
      <x:c r="CC471" s="9" t="str">
        <x:v>1.4999999999998928</x:v>
      </x:c>
      <x:c r="CD471" s="6" t="str">
        <x:v>21859.83874489636</x:v>
      </x:c>
      <x:c r="CE471" s="6" t="str">
        <x:v>26.41125510364145</x:v>
      </x:c>
      <x:c r="CF471" s="6" t="str">
        <x:v>Fixed 2.00R target</x:v>
      </x:c>
      <x:c r="CG471" s="9" t="str">
        <x:v>0.05490083656797821</x:v>
      </x:c>
      <x:c r="CH471" s="9" t="str">
        <x:v>-1.0</x:v>
      </x:c>
      <x:c r="CI471" s="9" t="str">
        <x:v>-1.0549008365679782</x:v>
      </x:c>
      <x:c r="CJ471" s="6" t="str">
        <x:v>Loss</x:v>
      </x:c>
      <x:c r="CK471" s="9" t="str">
        <x:v>0.0</x:v>
      </x:c>
      <x:c r="CL471" s="9" t="str">
        <x:v>1.0222914395416631</x:v>
      </x:c>
      <x:c r="CM471" s="7" t="str">
        <x:v>2025-08-27 07:50:00-05:00</x:v>
      </x:c>
      <x:c r="CN471" s="6" t="str">
        <x:v>21899.45562755182</x:v>
      </x:c>
      <x:c r="CO471" s="6" t="str">
        <x:v>STOP</x:v>
      </x:c>
      <x:c r="CP471" s="6" t="str">
        <x:v>F::Short::Same-bar Setup+BOS::Penetration + same-bar reclaim</x:v>
      </x:c>
    </x:row>
    <x:row r="472" ht="18" customHeight="1">
      <x:c r="A472" s="6" t="str">
        <x:v>A0471</x:v>
      </x:c>
      <x:c r="B472" s="6" t="str">
        <x:v>2025-08-27</x:v>
      </x:c>
      <x:c r="C472" s="6" t="str">
        <x:v>2025</x:v>
      </x:c>
      <x:c r="D472" s="6" t="str">
        <x:v>2025-Q3</x:v>
      </x:c>
      <x:c r="E472" s="6" t="str">
        <x:v>Second 50%</x:v>
      </x:c>
      <x:c r="F472" s="6" t="str">
        <x:v>Long</x:v>
      </x:c>
      <x:c r="G472" s="6" t="str">
        <x:v>Long</x:v>
      </x:c>
      <x:c r="H472" s="6" t="str">
        <x:v>Morning</x:v>
      </x:c>
      <x:c r="I472" s="6" t="str">
        <x:v>Morning</x:v>
      </x:c>
      <x:c r="J472" s="6" t="str">
        <x:v>Bull</x:v>
      </x:c>
      <x:c r="K472" s="6" t="str">
        <x:v>Bull</x:v>
      </x:c>
      <x:c r="L472" s="6" t="str">
        <x:v>HIGH</x:v>
      </x:c>
      <x:c r="M472" s="7" t="str">
        <x:v>2025-08-27 10:30:00-05:00</x:v>
      </x:c>
      <x:c r="N472" s="6" t="str">
        <x:v>85.0</x:v>
      </x:c>
      <x:c r="O472" s="6" t="str">
        <x:v>85-89</x:v>
      </x:c>
      <x:c r="P472" s="6" t="str">
        <x:v>Matching liquidity sweep only</x:v>
      </x:c>
      <x:c r="Q472" s="6" t="str">
        <x:v>Recent bull structure</x:v>
      </x:c>
      <x:c r="R472" s="6" t="str">
        <x:v>False</x:v>
      </x:c>
      <x:c r="S472" s="6" t="str">
        <x:v>True</x:v>
      </x:c>
      <x:c r="T472" s="6" t="str">
        <x:v>Recent SSL</x:v>
      </x:c>
      <x:c r="U472" s="6" t="str">
        <x:v>SSL</x:v>
      </x:c>
      <x:c r="V472" s="6" t="str">
        <x:v>Swing low / sell-side</x:v>
      </x:c>
      <x:c r="W472" s="6" t="str">
        <x:v>[21903.75]</x:v>
      </x:c>
      <x:c r="X472" s="8" t="str">
        <x:v>1</x:v>
      </x:c>
      <x:c r="Y472" s="8" t="str">
        <x:v>0.0</x:v>
      </x:c>
      <x:c r="Z472" s="6" t="str">
        <x:v>Sweep below CRT reference</x:v>
      </x:c>
      <x:c r="AA472" s="6" t="str">
        <x:v>21936.25</x:v>
      </x:c>
      <x:c r="AB472" s="9" t="str">
        <x:v>-1.291780243642396</x:v>
      </x:c>
      <x:c r="AC472" s="9" t="str">
        <x:v>0.21293080939160372</x:v>
      </x:c>
      <x:c r="AD472" s="9" t="str">
        <x:v>0.9368955613230564</x:v>
      </x:c>
      <x:c r="AE472" s="6" t="str">
        <x:v>With trade</x:v>
      </x:c>
      <x:c r="AF472" s="7" t="str">
        <x:v>2025-08-27 10:45:00-05:00</x:v>
      </x:c>
      <x:c r="AG472" s="6" t="str">
        <x:v>Long</x:v>
      </x:c>
      <x:c r="AH472" s="6" t="str">
        <x:v>21936.25</x:v>
      </x:c>
      <x:c r="AI472" s="8" t="str">
        <x:v>3</x:v>
      </x:c>
      <x:c r="AJ472" s="6" t="str">
        <x:v>False</x:v>
      </x:c>
      <x:c r="AK472" s="6" t="str">
        <x:v>Delayed BOS</x:v>
      </x:c>
      <x:c r="AL472" s="9" t="str">
        <x:v>1.1595508425790502</x:v>
      </x:c>
      <x:c r="AM472" s="9" t="str">
        <x:v>0.33874518996691355</x:v>
      </x:c>
      <x:c r="AN472" s="9" t="str">
        <x:v>1.198636826036771</x:v>
      </x:c>
      <x:c r="AO472" s="9" t="str">
        <x:v>1.4722387102408165</x:v>
      </x:c>
      <x:c r="AP472" s="10" t="str">
        <x:v>0.8141592920353983</x:v>
      </x:c>
      <x:c r="AQ472" s="6" t="str">
        <x:v>0.07964601769911504</x:v>
      </x:c>
      <x:c r="AR472" s="6" t="str">
        <x:v>0.10619469026548672</x:v>
      </x:c>
      <x:c r="AS472" s="6" t="str">
        <x:v>With trade</x:v>
      </x:c>
      <x:c r="AT472" s="6" t="str">
        <x:v>1.5093636216773745</x:v>
      </x:c>
      <x:c r="AU472" s="7" t="str">
        <x:v>2025-08-27 10:50:00-05:00</x:v>
      </x:c>
      <x:c r="AV472" s="8" t="str">
        <x:v>1</x:v>
      </x:c>
      <x:c r="AW472" s="6" t="str">
        <x:v>Immediate retest (1 bar)</x:v>
      </x:c>
      <x:c r="AX472" s="6" t="str">
        <x:v>21935.0</x:v>
      </x:c>
      <x:c r="AY472" s="6" t="str">
        <x:v>1.25</x:v>
      </x:c>
      <x:c r="AZ472" s="9" t="str">
        <x:v>0.06725594752284787</x:v>
      </x:c>
      <x:c r="BA472" s="9" t="str">
        <x:v>0.2959261691005306</x:v>
      </x:c>
      <x:c r="BB472" s="9" t="str">
        <x:v>0.5784011486964916</x:v>
      </x:c>
      <x:c r="BC472" s="9" t="str">
        <x:v>0.04035356851370872</x:v>
      </x:c>
      <x:c r="BD472" s="6" t="str">
        <x:v>0.3023255813953488</x:v>
      </x:c>
      <x:c r="BE472" s="6" t="str">
        <x:v>0.627906976744186</x:v>
      </x:c>
      <x:c r="BF472" s="9" t="str">
        <x:v>0.3631821166233785</x:v>
      </x:c>
      <x:c r="BG472" s="9" t="str">
        <x:v>0.17486546355940447</x:v>
      </x:c>
      <x:c r="BH472" s="6" t="str">
        <x:v>Against trade</x:v>
      </x:c>
      <x:c r="BI472" s="6" t="str">
        <x:v>Penetration + same-bar reclaim</x:v>
      </x:c>
      <x:c r="BJ472" s="6" t="str">
        <x:v>False</x:v>
      </x:c>
      <x:c r="BK472" s="10" t="str">
        <x:v>True</x:v>
      </x:c>
      <x:c r="BL472" s="6" t="str">
        <x:v>True</x:v>
      </x:c>
      <x:c r="BM472" s="7" t="str">
        <x:v>2025-08-27 10:55:00-05:00</x:v>
      </x:c>
      <x:c r="BN472" s="8" t="str">
        <x:v>1</x:v>
      </x:c>
      <x:c r="BO472" s="6" t="str">
        <x:v>Immediate confirmation (1 bar)</x:v>
      </x:c>
      <x:c r="BP472" s="9" t="str">
        <x:v>0.08313067934148784</x:v>
      </x:c>
      <x:c r="BQ472" s="9" t="str">
        <x:v>0.6096249818375774</x:v>
      </x:c>
      <x:c r="BR472" s="10" t="str">
        <x:v>0.13636363636363635</x:v>
      </x:c>
      <x:c r="BS472" s="9" t="str">
        <x:v>0.3879431702602765</x:v>
      </x:c>
      <x:c r="BT472" s="9" t="str">
        <x:v>0.08313067934148784</x:v>
      </x:c>
      <x:c r="BU472" s="9" t="str">
        <x:v>0.11084090578865044</x:v>
      </x:c>
      <x:c r="BV472" s="6" t="str">
        <x:v>With trade</x:v>
      </x:c>
      <x:c r="BW472" s="7" t="str">
        <x:v>2025-08-27 10:55:00-05:00</x:v>
      </x:c>
      <x:c r="BX472" s="6" t="str">
        <x:v>21943.25</x:v>
      </x:c>
      <x:c r="BY472" s="9" t="str">
        <x:v>18.043879971655645</x:v>
      </x:c>
      <x:c r="BZ472" s="9" t="str">
        <x:v>0.78</x:v>
      </x:c>
      <x:c r="CA472" s="6" t="str">
        <x:v>21916.184180042517</x:v>
      </x:c>
      <x:c r="CB472" s="6" t="str">
        <x:v>27.065819957482745</x:v>
      </x:c>
      <x:c r="CC472" s="9" t="str">
        <x:v>1.49999999999996</x:v>
      </x:c>
      <x:c r="CD472" s="6" t="str">
        <x:v>21997.381639914965</x:v>
      </x:c>
      <x:c r="CE472" s="6" t="str">
        <x:v>54.13163991496549</x:v>
      </x:c>
      <x:c r="CF472" s="6" t="str">
        <x:v>Fixed 2.00R target</x:v>
      </x:c>
      <x:c r="CG472" s="9" t="str">
        <x:v>0.026786552232257906</x:v>
      </x:c>
      <x:c r="CH472" s="9" t="str">
        <x:v>-1.0</x:v>
      </x:c>
      <x:c r="CI472" s="9" t="str">
        <x:v>-1.026786552232258</x:v>
      </x:c>
      <x:c r="CJ472" s="6" t="str">
        <x:v>Loss</x:v>
      </x:c>
      <x:c r="CK472" s="9" t="str">
        <x:v>0.0369469685962178</x:v>
      </x:c>
      <x:c r="CL472" s="9" t="str">
        <x:v>1.191539737228024</x:v>
      </x:c>
      <x:c r="CM472" s="7" t="str">
        <x:v>2025-08-27 11:15:00-05:00</x:v>
      </x:c>
      <x:c r="CN472" s="6" t="str">
        <x:v>21916.184180042517</x:v>
      </x:c>
      <x:c r="CO472" s="6" t="str">
        <x:v>STOP</x:v>
      </x:c>
      <x:c r="CP472" s="6" t="str">
        <x:v>F::Long::Delayed BOS::Penetration + same-bar reclaim</x:v>
      </x:c>
    </x:row>
    <x:row r="473" ht="18" customHeight="1">
      <x:c r="A473" s="6" t="str">
        <x:v>A0472</x:v>
      </x:c>
      <x:c r="B473" s="6" t="str">
        <x:v>2025-08-27</x:v>
      </x:c>
      <x:c r="C473" s="6" t="str">
        <x:v>2025</x:v>
      </x:c>
      <x:c r="D473" s="6" t="str">
        <x:v>2025-Q3</x:v>
      </x:c>
      <x:c r="E473" s="6" t="str">
        <x:v>Second 50%</x:v>
      </x:c>
      <x:c r="F473" s="6" t="str">
        <x:v>Short</x:v>
      </x:c>
      <x:c r="G473" s="6" t="str">
        <x:v>Short</x:v>
      </x:c>
      <x:c r="H473" s="6" t="str">
        <x:v>Morning</x:v>
      </x:c>
      <x:c r="I473" s="6" t="str">
        <x:v>Morning</x:v>
      </x:c>
      <x:c r="J473" s="6" t="str">
        <x:v>Bull</x:v>
      </x:c>
      <x:c r="K473" s="6" t="str">
        <x:v>Bull</x:v>
      </x:c>
      <x:c r="L473" s="6" t="str">
        <x:v>HIGH</x:v>
      </x:c>
      <x:c r="M473" s="7" t="str">
        <x:v>2025-08-27 11:20:00-05:00</x:v>
      </x:c>
      <x:c r="N473" s="6" t="str">
        <x:v>100.0</x:v>
      </x:c>
      <x:c r="O473" s="6" t="str">
        <x:v>95+</x:v>
      </x:c>
      <x:c r="P473" s="6" t="str">
        <x:v>Matching BOS only</x:v>
      </x:c>
      <x:c r="Q473" s="6" t="str">
        <x:v>Bear CHoCH</x:v>
      </x:c>
      <x:c r="R473" s="6" t="str">
        <x:v>True</x:v>
      </x:c>
      <x:c r="S473" s="6" t="str">
        <x:v>False</x:v>
      </x:c>
      <x:c r="T473" s="6" t="str">
        <x:v>Recent BSL</x:v>
      </x:c>
      <x:c r="U473" s="6" t="str">
        <x:v>BSL</x:v>
      </x:c>
      <x:c r="V473" s="6" t="str">
        <x:v>Equal high / buy-side | Swing high / buy-side</x:v>
      </x:c>
      <x:c r="W473" s="6" t="str">
        <x:v>[21949.0,21948.5]</x:v>
      </x:c>
      <x:c r="X473" s="8" t="str">
        <x:v>2</x:v>
      </x:c>
      <x:c r="Y473" s="8" t="str">
        <x:v>5.0</x:v>
      </x:c>
      <x:c r="Z473" s="6" t="str">
        <x:v>None</x:v>
      </x:c>
      <x:c r="AA473" s="6" t="str">
        <x:v>21892.25</x:v>
      </x:c>
      <x:c r="AB473" s="9" t="str">
        <x:v>0.3502986774982116</x:v>
      </x:c>
      <x:c r="AC473" s="9" t="str">
        <x:v>1.444982044680123</x:v>
      </x:c>
      <x:c r="AD473" s="9" t="str">
        <x:v>1.7077060528037815</x:v>
      </x:c>
      <x:c r="AE473" s="6" t="str">
        <x:v>With trade</x:v>
      </x:c>
      <x:c r="AF473" s="7" t="str">
        <x:v>2025-08-27 11:20:00-05:00</x:v>
      </x:c>
      <x:c r="AG473" s="6" t="str">
        <x:v>Short</x:v>
      </x:c>
      <x:c r="AH473" s="6" t="str">
        <x:v>21892.25</x:v>
      </x:c>
      <x:c r="AI473" s="8" t="str">
        <x:v>0</x:v>
      </x:c>
      <x:c r="AJ473" s="6" t="str">
        <x:v>True</x:v>
      </x:c>
      <x:c r="AK473" s="6" t="str">
        <x:v>Same-bar Setup+BOS</x:v>
      </x:c>
      <x:c r="AL473" s="9" t="str">
        <x:v>1.444982044680123</x:v>
      </x:c>
      <x:c r="AM473" s="9" t="str">
        <x:v>0.3502986774982116</x:v>
      </x:c>
      <x:c r="AN473" s="9" t="str">
        <x:v>1.444982044680123</x:v>
      </x:c>
      <x:c r="AO473" s="9" t="str">
        <x:v>1.7077060528037815</x:v>
      </x:c>
      <x:c r="AP473" s="10" t="str">
        <x:v>0.8461538461538461</x:v>
      </x:c>
      <x:c r="AQ473" s="6" t="str">
        <x:v>0.042735042735042736</x:v>
      </x:c>
      <x:c r="AR473" s="6" t="str">
        <x:v>0.1111111111111111</x:v>
      </x:c>
      <x:c r="AS473" s="6" t="str">
        <x:v>With trade</x:v>
      </x:c>
      <x:c r="AT473" s="6" t="str">
        <x:v>1.7380933942538528</x:v>
      </x:c>
      <x:c r="AU473" s="7" t="str">
        <x:v>2025-08-27 11:30:00-05:00</x:v>
      </x:c>
      <x:c r="AV473" s="8" t="str">
        <x:v>2</x:v>
      </x:c>
      <x:c r="AW473" s="6" t="str">
        <x:v>Delayed retest (2+ bars)</x:v>
      </x:c>
      <x:c r="AX473" s="6" t="str">
        <x:v>21893.0</x:v>
      </x:c>
      <x:c r="AY473" s="6" t="str">
        <x:v>0.75</x:v>
      </x:c>
      <x:c r="AZ473" s="9" t="str">
        <x:v>0.043472826484639855</x:v>
      </x:c>
      <x:c r="BA473" s="9" t="str">
        <x:v>0.4202373226848519</x:v>
      </x:c>
      <x:c r="BB473" s="9" t="str">
        <x:v>0.7100561659157844</x:v>
      </x:c>
      <x:c r="BC473" s="9" t="str">
        <x:v>0.10143659513082633</x:v>
      </x:c>
      <x:c r="BD473" s="6" t="str">
        <x:v>0.5102040816326531</x:v>
      </x:c>
      <x:c r="BE473" s="6" t="str">
        <x:v>0.3469387755102041</x:v>
      </x:c>
      <x:c r="BF473" s="9" t="str">
        <x:v>0.36227355403866546</x:v>
      </x:c>
      <x:c r="BG473" s="9" t="str">
        <x:v>0.2463460167462925</x:v>
      </x:c>
      <x:c r="BH473" s="6" t="str">
        <x:v>With trade</x:v>
      </x:c>
      <x:c r="BI473" s="6" t="str">
        <x:v>Penetration + same-bar reclaim</x:v>
      </x:c>
      <x:c r="BJ473" s="6" t="str">
        <x:v>False</x:v>
      </x:c>
      <x:c r="BK473" s="10" t="str">
        <x:v>True</x:v>
      </x:c>
      <x:c r="BL473" s="6" t="str">
        <x:v>True</x:v>
      </x:c>
      <x:c r="BM473" s="7" t="str">
        <x:v>2025-08-27 11:35:00-05:00</x:v>
      </x:c>
      <x:c r="BN473" s="8" t="str">
        <x:v>1</x:v>
      </x:c>
      <x:c r="BO473" s="6" t="str">
        <x:v>Immediate confirmation (1 bar)</x:v>
      </x:c>
      <x:c r="BP473" s="9" t="str">
        <x:v>0.0276376120159509</x:v>
      </x:c>
      <x:c r="BQ473" s="9" t="str">
        <x:v>1.6029814969251521</x:v>
      </x:c>
      <x:c r="BR473" s="10" t="str">
        <x:v>0.017241379310344827</x:v>
      </x:c>
      <x:c r="BS473" s="9" t="str">
        <x:v>0.40074537423128803</x:v>
      </x:c>
      <x:c r="BT473" s="9" t="str">
        <x:v>-0.0</x:v>
      </x:c>
      <x:c r="BU473" s="9" t="str">
        <x:v>0.3040137321754599</x:v>
      </x:c>
      <x:c r="BV473" s="6" t="str">
        <x:v>With trade</x:v>
      </x:c>
      <x:c r="BW473" s="7" t="str">
        <x:v>2025-08-27 11:35:00-05:00</x:v>
      </x:c>
      <x:c r="BX473" s="6" t="str">
        <x:v>21885.0</x:v>
      </x:c>
      <x:c r="BY473" s="9" t="str">
        <x:v>18.091288050191444</x:v>
      </x:c>
      <x:c r="BZ473" s="9" t="str">
        <x:v>0.79</x:v>
      </x:c>
      <x:c r="CA473" s="6" t="str">
        <x:v>21912.136932075286</x:v>
      </x:c>
      <x:c r="CB473" s="6" t="str">
        <x:v>27.136932075285586</x:v>
      </x:c>
      <x:c r="CC473" s="9" t="str">
        <x:v>1.4999999999999125</x:v>
      </x:c>
      <x:c r="CD473" s="6" t="str">
        <x:v>21830.726135849425</x:v>
      </x:c>
      <x:c r="CE473" s="6" t="str">
        <x:v>54.27386415057481</x:v>
      </x:c>
      <x:c r="CF473" s="6" t="str">
        <x:v>Fixed 2.00R target</x:v>
      </x:c>
      <x:c r="CG473" s="9" t="str">
        <x:v>0.026716358282087425</x:v>
      </x:c>
      <x:c r="CH473" s="9" t="str">
        <x:v>-1.0</x:v>
      </x:c>
      <x:c r="CI473" s="9" t="str">
        <x:v>-1.0267163582820875</x:v>
      </x:c>
      <x:c r="CJ473" s="6" t="str">
        <x:v>Loss</x:v>
      </x:c>
      <x:c r="CK473" s="9" t="str">
        <x:v>0.23031343346627092</x:v>
      </x:c>
      <x:c r="CL473" s="9" t="str">
        <x:v>1.1423546299927039</x:v>
      </x:c>
      <x:c r="CM473" s="7" t="str">
        <x:v>2025-08-27 11:45:00-05:00</x:v>
      </x:c>
      <x:c r="CN473" s="6" t="str">
        <x:v>21912.136932075286</x:v>
      </x:c>
      <x:c r="CO473" s="6" t="str">
        <x:v>STOP</x:v>
      </x:c>
      <x:c r="CP473" s="6" t="str">
        <x:v>F::Short::Same-bar Setup+BOS::Penetration + same-bar reclaim</x:v>
      </x:c>
    </x:row>
    <x:row r="474" ht="18" customHeight="1">
      <x:c r="A474" s="6" t="str">
        <x:v>A0473</x:v>
      </x:c>
      <x:c r="B474" s="6" t="str">
        <x:v>2025-08-27</x:v>
      </x:c>
      <x:c r="C474" s="6" t="str">
        <x:v>2025</x:v>
      </x:c>
      <x:c r="D474" s="6" t="str">
        <x:v>2025-Q3</x:v>
      </x:c>
      <x:c r="E474" s="6" t="str">
        <x:v>Second 50%</x:v>
      </x:c>
      <x:c r="F474" s="6" t="str">
        <x:v>Long</x:v>
      </x:c>
      <x:c r="G474" s="6" t="str">
        <x:v>Long</x:v>
      </x:c>
      <x:c r="H474" s="6" t="str">
        <x:v>Midday</x:v>
      </x:c>
      <x:c r="I474" s="6" t="str">
        <x:v>Midday</x:v>
      </x:c>
      <x:c r="J474" s="6" t="str">
        <x:v>Bull</x:v>
      </x:c>
      <x:c r="K474" s="6" t="str">
        <x:v>Bull</x:v>
      </x:c>
      <x:c r="L474" s="6" t="str">
        <x:v>MID</x:v>
      </x:c>
      <x:c r="M474" s="7" t="str">
        <x:v>2025-08-27 12:35:00-05:00</x:v>
      </x:c>
      <x:c r="N474" s="6" t="str">
        <x:v>75.0</x:v>
      </x:c>
      <x:c r="O474" s="6" t="str">
        <x:v>75-79</x:v>
      </x:c>
      <x:c r="P474" s="6" t="str">
        <x:v>Matching BOS only</x:v>
      </x:c>
      <x:c r="Q474" s="6" t="str">
        <x:v>Bull CHoCH</x:v>
      </x:c>
      <x:c r="R474" s="6" t="str">
        <x:v>True</x:v>
      </x:c>
      <x:c r="S474" s="6" t="str">
        <x:v>False</x:v>
      </x:c>
      <x:c r="T474" s="6" t="str">
        <x:v>No recent matching sweep</x:v>
      </x:c>
      <x:c r="U474" s="6" t="str">
        <x:v>None</x:v>
      </x:c>
      <x:c r="V474" s="6" t="str">
        <x:v>None</x:v>
      </x:c>
      <x:c r="W474" s="6" t="str">
        <x:v>[]</x:v>
      </x:c>
      <x:c r="X474" s="8" t="str">
        <x:v>0</x:v>
      </x:c>
      <x:c r="Y474" s="8" t="str"/>
      <x:c r="Z474" s="6" t="str">
        <x:v>None</x:v>
      </x:c>
      <x:c r="AA474" s="6" t="str">
        <x:v>21932.0</x:v>
      </x:c>
      <x:c r="AB474" s="9" t="str">
        <x:v>0.13250348074663806</x:v>
      </x:c>
      <x:c r="AC474" s="9" t="str">
        <x:v>0.6459544686398606</x:v>
      </x:c>
      <x:c r="AD474" s="9" t="str">
        <x:v>0.7950208844798284</x:v>
      </x:c>
      <x:c r="AE474" s="6" t="str">
        <x:v>With trade</x:v>
      </x:c>
      <x:c r="AF474" s="7" t="str">
        <x:v>2025-08-27 12:35:00-05:00</x:v>
      </x:c>
      <x:c r="AG474" s="6" t="str">
        <x:v>Long</x:v>
      </x:c>
      <x:c r="AH474" s="6" t="str">
        <x:v>21932.0</x:v>
      </x:c>
      <x:c r="AI474" s="8" t="str">
        <x:v>0</x:v>
      </x:c>
      <x:c r="AJ474" s="6" t="str">
        <x:v>True</x:v>
      </x:c>
      <x:c r="AK474" s="6" t="str">
        <x:v>Same-bar Setup+BOS</x:v>
      </x:c>
      <x:c r="AL474" s="9" t="str">
        <x:v>0.6790803388265201</x:v>
      </x:c>
      <x:c r="AM474" s="9" t="str">
        <x:v>0.13250348074663806</x:v>
      </x:c>
      <x:c r="AN474" s="9" t="str">
        <x:v>0.6459544686398606</x:v>
      </x:c>
      <x:c r="AO474" s="9" t="str">
        <x:v>0.7950208844798284</x:v>
      </x:c>
      <x:c r="AP474" s="10" t="str">
        <x:v>0.8125</x:v>
      </x:c>
      <x:c r="AQ474" s="6" t="str">
        <x:v>0.10416666666666667</x:v>
      </x:c>
      <x:c r="AR474" s="6" t="str">
        <x:v>0.08333333333333333</x:v>
      </x:c>
      <x:c r="AS474" s="6" t="str">
        <x:v>With trade</x:v>
      </x:c>
      <x:c r="AT474" s="6" t="str">
        <x:v>0.5555637905222122</x:v>
      </x:c>
      <x:c r="AU474" s="7" t="str">
        <x:v>2025-08-27 12:40:00-05:00</x:v>
      </x:c>
      <x:c r="AV474" s="8" t="str">
        <x:v>1</x:v>
      </x:c>
      <x:c r="AW474" s="6" t="str">
        <x:v>Immediate retest (1 bar)</x:v>
      </x:c>
      <x:c r="AX474" s="6" t="str">
        <x:v>21932.5</x:v>
      </x:c>
      <x:c r="AY474" s="6" t="str">
        <x:v>0.0</x:v>
      </x:c>
      <x:c r="AZ474" s="9" t="str">
        <x:v>0.0</x:v>
      </x:c>
      <x:c r="BA474" s="9" t="str">
        <x:v>0.31077154845279176</x:v>
      </x:c>
      <x:c r="BB474" s="9" t="str">
        <x:v>0.44889223665403255</x:v>
      </x:c>
      <x:c r="BC474" s="9" t="str">
        <x:v>0.18991594627670608</x:v>
      </x:c>
      <x:c r="BD474" s="6" t="str">
        <x:v>0.38461538461538464</x:v>
      </x:c>
      <x:c r="BE474" s="6" t="str">
        <x:v>0.19230769230769232</x:v>
      </x:c>
      <x:c r="BF474" s="9" t="str">
        <x:v>0.08632543012577548</x:v>
      </x:c>
      <x:c r="BG474" s="9" t="str">
        <x:v>0.17265086025155096</x:v>
      </x:c>
      <x:c r="BH474" s="6" t="str">
        <x:v>With trade</x:v>
      </x:c>
      <x:c r="BI474" s="6" t="str">
        <x:v>Tolerance-only shallow touch</x:v>
      </x:c>
      <x:c r="BJ474" s="6" t="str">
        <x:v>True</x:v>
      </x:c>
      <x:c r="BK474" s="10" t="str">
        <x:v>False</x:v>
      </x:c>
      <x:c r="BL474" s="6" t="str">
        <x:v>True</x:v>
      </x:c>
      <x:c r="BM474" s="7" t="str">
        <x:v>2025-08-27 12:50:00-05:00</x:v>
      </x:c>
      <x:c r="BN474" s="8" t="str">
        <x:v>2</x:v>
      </x:c>
      <x:c r="BO474" s="6" t="str">
        <x:v>Delayed confirmation (2+ bars)</x:v>
      </x:c>
      <x:c r="BP474" s="9" t="str">
        <x:v>0.2566515001027196</x:v>
      </x:c>
      <x:c r="BQ474" s="9" t="str">
        <x:v>0.5866320002347877</x:v>
      </x:c>
      <x:c r="BR474" s="10" t="str">
        <x:v>0.4375</x:v>
      </x:c>
      <x:c r="BS474" s="9" t="str">
        <x:v>0.5866320002347877</x:v>
      </x:c>
      <x:c r="BT474" s="9" t="str">
        <x:v>0.2566515001027196</x:v>
      </x:c>
      <x:c r="BU474" s="9" t="str">
        <x:v>0.2199870000880454</x:v>
      </x:c>
      <x:c r="BV474" s="6" t="str">
        <x:v>With trade</x:v>
      </x:c>
      <x:c r="BW474" s="7" t="str">
        <x:v>2025-08-27 12:50:00-05:00</x:v>
      </x:c>
      <x:c r="BX474" s="6" t="str">
        <x:v>21940.0</x:v>
      </x:c>
      <x:c r="BY474" s="9" t="str">
        <x:v>13.63716946364699</x:v>
      </x:c>
      <x:c r="BZ474" s="9" t="str">
        <x:v>0.48</x:v>
      </x:c>
      <x:c r="CA474" s="6" t="str">
        <x:v>21919.54424580453</x:v>
      </x:c>
      <x:c r="CB474" s="6" t="str">
        <x:v>20.455754195470945</x:v>
      </x:c>
      <x:c r="CC474" s="9" t="str">
        <x:v>1.5000000000000338</x:v>
      </x:c>
      <x:c r="CD474" s="6" t="str">
        <x:v>21980.911508390942</x:v>
      </x:c>
      <x:c r="CE474" s="6" t="str">
        <x:v>40.91150839094189</x:v>
      </x:c>
      <x:c r="CF474" s="6" t="str">
        <x:v>Fixed 2.00R target</x:v>
      </x:c>
      <x:c r="CG474" s="9" t="str">
        <x:v>0.03544235001418429</x:v>
      </x:c>
      <x:c r="CH474" s="9" t="str">
        <x:v>0.40330950016141653</x:v>
      </x:c>
      <x:c r="CI474" s="9" t="str">
        <x:v>0.36786715014723226</x:v>
      </x:c>
      <x:c r="CJ474" s="6" t="str">
        <x:v>Win</x:v>
      </x:c>
      <x:c r="CK474" s="9" t="str">
        <x:v>1.8332250007336701</x:v>
      </x:c>
      <x:c r="CL474" s="9" t="str">
        <x:v>0.32998050013206065</x:v>
      </x:c>
      <x:c r="CM474" s="7" t="str">
        <x:v>2025-08-27 13:50:00-05:00</x:v>
      </x:c>
      <x:c r="CN474" s="6" t="str">
        <x:v>21948.25</x:v>
      </x:c>
      <x:c r="CO474" s="6" t="str">
        <x:v>TIME</x:v>
      </x:c>
      <x:c r="CP474" s="6" t="str">
        <x:v>F::Long::Same-bar Setup+BOS::Tolerance-only shallow touch</x:v>
      </x:c>
    </x:row>
    <x:row r="475" ht="18" customHeight="1">
      <x:c r="A475" s="6" t="str">
        <x:v>A0474</x:v>
      </x:c>
      <x:c r="B475" s="6" t="str">
        <x:v>2025-09-01</x:v>
      </x:c>
      <x:c r="C475" s="6" t="str">
        <x:v>2025</x:v>
      </x:c>
      <x:c r="D475" s="6" t="str">
        <x:v>2025-Q3</x:v>
      </x:c>
      <x:c r="E475" s="6" t="str">
        <x:v>Second 50%</x:v>
      </x:c>
      <x:c r="F475" s="6" t="str">
        <x:v>Short</x:v>
      </x:c>
      <x:c r="G475" s="6" t="str">
        <x:v>Short</x:v>
      </x:c>
      <x:c r="H475" s="6" t="str">
        <x:v>Overnight</x:v>
      </x:c>
      <x:c r="I475" s="6" t="str">
        <x:v>Overnight</x:v>
      </x:c>
      <x:c r="J475" s="6" t="str">
        <x:v>Bear</x:v>
      </x:c>
      <x:c r="K475" s="6" t="str">
        <x:v>Bear</x:v>
      </x:c>
      <x:c r="L475" s="6" t="str">
        <x:v>HIGH</x:v>
      </x:c>
      <x:c r="M475" s="7" t="str">
        <x:v>2025-09-01 01:00:00-05:00</x:v>
      </x:c>
      <x:c r="N475" s="6" t="str">
        <x:v>90.0</x:v>
      </x:c>
      <x:c r="O475" s="6" t="str">
        <x:v>90-94</x:v>
      </x:c>
      <x:c r="P475" s="6" t="str">
        <x:v>Matching BOS only</x:v>
      </x:c>
      <x:c r="Q475" s="6" t="str">
        <x:v>Bear CHoCH</x:v>
      </x:c>
      <x:c r="R475" s="6" t="str">
        <x:v>True</x:v>
      </x:c>
      <x:c r="S475" s="6" t="str">
        <x:v>False</x:v>
      </x:c>
      <x:c r="T475" s="6" t="str">
        <x:v>Recent BSL</x:v>
      </x:c>
      <x:c r="U475" s="6" t="str">
        <x:v>BSL</x:v>
      </x:c>
      <x:c r="V475" s="6" t="str">
        <x:v>Swing high / buy-side</x:v>
      </x:c>
      <x:c r="W475" s="6" t="str">
        <x:v>[21762.25]</x:v>
      </x:c>
      <x:c r="X475" s="8" t="str">
        <x:v>1</x:v>
      </x:c>
      <x:c r="Y475" s="8" t="str">
        <x:v>5.0</x:v>
      </x:c>
      <x:c r="Z475" s="6" t="str">
        <x:v>None</x:v>
      </x:c>
      <x:c r="AA475" s="6" t="str">
        <x:v>21730.0</x:v>
      </x:c>
      <x:c r="AB475" s="9" t="str">
        <x:v>0.0937746169535986</x:v>
      </x:c>
      <x:c r="AC475" s="9" t="str">
        <x:v>1.5566586414297368</x:v>
      </x:c>
      <x:c r="AD475" s="9" t="str">
        <x:v>1.7254529519462143</x:v>
      </x:c>
      <x:c r="AE475" s="6" t="str">
        <x:v>With trade</x:v>
      </x:c>
      <x:c r="AF475" s="7" t="str">
        <x:v>2025-09-01 01:00:00-05:00</x:v>
      </x:c>
      <x:c r="AG475" s="6" t="str">
        <x:v>Short</x:v>
      </x:c>
      <x:c r="AH475" s="6" t="str">
        <x:v>21730.0</x:v>
      </x:c>
      <x:c r="AI475" s="8" t="str">
        <x:v>0</x:v>
      </x:c>
      <x:c r="AJ475" s="6" t="str">
        <x:v>True</x:v>
      </x:c>
      <x:c r="AK475" s="6" t="str">
        <x:v>Same-bar Setup+BOS</x:v>
      </x:c>
      <x:c r="AL475" s="9" t="str">
        <x:v>1.5566586414297368</x:v>
      </x:c>
      <x:c r="AM475" s="9" t="str">
        <x:v>0.0937746169535986</x:v>
      </x:c>
      <x:c r="AN475" s="9" t="str">
        <x:v>1.5566586414297368</x:v>
      </x:c>
      <x:c r="AO475" s="9" t="str">
        <x:v>1.7254529519462143</x:v>
      </x:c>
      <x:c r="AP475" s="10" t="str">
        <x:v>0.9021739130434783</x:v>
      </x:c>
      <x:c r="AQ475" s="6" t="str">
        <x:v>0.043478260869565216</x:v>
      </x:c>
      <x:c r="AR475" s="6" t="str">
        <x:v>0.05434782608695652</x:v>
      </x:c>
      <x:c r="AS475" s="6" t="str">
        <x:v>With trade</x:v>
      </x:c>
      <x:c r="AT475" s="6" t="str">
        <x:v>1.5167597765363128</x:v>
      </x:c>
      <x:c r="AU475" s="7" t="str">
        <x:v>2025-09-01 01:05:00-05:00</x:v>
      </x:c>
      <x:c r="AV475" s="8" t="str">
        <x:v>1</x:v>
      </x:c>
      <x:c r="AW475" s="6" t="str">
        <x:v>Immediate retest (1 bar)</x:v>
      </x:c>
      <x:c r="AX475" s="6" t="str">
        <x:v>21736.75</x:v>
      </x:c>
      <x:c r="AY475" s="6" t="str">
        <x:v>6.75</x:v>
      </x:c>
      <x:c r="AZ475" s="9" t="str">
        <x:v>0.47838937682352983</x:v>
      </x:c>
      <x:c r="BA475" s="9" t="str">
        <x:v>0.8327518781742926</x:v>
      </x:c>
      <x:c r="BB475" s="9" t="str">
        <x:v>1.7186581315511997</x:v>
      </x:c>
      <x:c r="BC475" s="9" t="str">
        <x:v>0.7795975029716782</x:v>
      </x:c>
      <x:c r="BD475" s="6" t="str">
        <x:v>0.30927835051546393</x:v>
      </x:c>
      <x:c r="BE475" s="6" t="str">
        <x:v>0.23711340206185566</x:v>
      </x:c>
      <x:c r="BF475" s="9" t="str">
        <x:v>0.5315437520261442</x:v>
      </x:c>
      <x:c r="BG475" s="9" t="str">
        <x:v>0.40751687655337726</x:v>
      </x:c>
      <x:c r="BH475" s="6" t="str">
        <x:v>With trade</x:v>
      </x:c>
      <x:c r="BI475" s="6" t="str">
        <x:v>Penetration + same-bar reclaim</x:v>
      </x:c>
      <x:c r="BJ475" s="6" t="str">
        <x:v>False</x:v>
      </x:c>
      <x:c r="BK475" s="10" t="str">
        <x:v>True</x:v>
      </x:c>
      <x:c r="BL475" s="6" t="str">
        <x:v>True</x:v>
      </x:c>
      <x:c r="BM475" s="7" t="str">
        <x:v>2025-09-01 01:10:00-05:00</x:v>
      </x:c>
      <x:c r="BN475" s="8" t="str">
        <x:v>1</x:v>
      </x:c>
      <x:c r="BO475" s="6" t="str">
        <x:v>Immediate confirmation (1 bar)</x:v>
      </x:c>
      <x:c r="BP475" s="9" t="str">
        <x:v>0.036759302770932555</x:v>
      </x:c>
      <x:c r="BQ475" s="9" t="str">
        <x:v>0.5146302387930558</x:v>
      </x:c>
      <x:c r="BR475" s="10" t="str">
        <x:v>0.07142857142857142</x:v>
      </x:c>
      <x:c r="BS475" s="9" t="str">
        <x:v>0.8822232665023813</x:v>
      </x:c>
      <x:c r="BT475" s="9" t="str">
        <x:v>0.018379651385466277</x:v>
      </x:c>
      <x:c r="BU475" s="9" t="str">
        <x:v>0.036759302770932555</x:v>
      </x:c>
      <x:c r="BV475" s="6" t="str">
        <x:v>With trade</x:v>
      </x:c>
      <x:c r="BW475" s="7" t="str">
        <x:v>2025-09-01 01:10:00-05:00</x:v>
      </x:c>
      <x:c r="BX475" s="6" t="str">
        <x:v>21718.0</x:v>
      </x:c>
      <x:c r="BY475" s="9" t="str">
        <x:v>13.601999012760801</x:v>
      </x:c>
      <x:c r="BZ475" s="9" t="str">
        <x:v>0.85</x:v>
      </x:c>
      <x:c r="CA475" s="6" t="str">
        <x:v>21738.40299851914</x:v>
      </x:c>
      <x:c r="CB475" s="6" t="str">
        <x:v>20.402998519140965</x:v>
      </x:c>
      <x:c r="CC475" s="9" t="str">
        <x:v>1.4999999999999825</x:v>
      </x:c>
      <x:c r="CD475" s="6" t="str">
        <x:v>21677.194002961718</x:v>
      </x:c>
      <x:c r="CE475" s="6" t="str">
        <x:v>40.80599703828193</x:v>
      </x:c>
      <x:c r="CF475" s="6" t="str">
        <x:v>Fixed 2.00R target</x:v>
      </x:c>
      <x:c r="CG475" s="9" t="str">
        <x:v>0.03553399267856855</x:v>
      </x:c>
      <x:c r="CH475" s="9" t="str">
        <x:v>-1.0</x:v>
      </x:c>
      <x:c r="CI475" s="9" t="str">
        <x:v>-1.0355339926785685</x:v>
      </x:c>
      <x:c r="CJ475" s="6" t="str">
        <x:v>Loss</x:v>
      </x:c>
      <x:c r="CK475" s="9" t="str">
        <x:v>1.347841101600876</x:v>
      </x:c>
      <x:c r="CL475" s="9" t="str">
        <x:v>1.311081798829943</x:v>
      </x:c>
      <x:c r="CM475" s="7" t="str">
        <x:v>2025-09-01 01:35:00-05:00</x:v>
      </x:c>
      <x:c r="CN475" s="6" t="str">
        <x:v>21738.40299851914</x:v>
      </x:c>
      <x:c r="CO475" s="6" t="str">
        <x:v>STOP</x:v>
      </x:c>
      <x:c r="CP475" s="6" t="str">
        <x:v>F::Short::Same-bar Setup+BOS::Penetration + same-bar reclaim</x:v>
      </x:c>
    </x:row>
    <x:row r="476" ht="18" customHeight="1">
      <x:c r="A476" s="6" t="str">
        <x:v>A0475</x:v>
      </x:c>
      <x:c r="B476" s="6" t="str">
        <x:v>2025-09-02</x:v>
      </x:c>
      <x:c r="C476" s="6" t="str">
        <x:v>2025</x:v>
      </x:c>
      <x:c r="D476" s="6" t="str">
        <x:v>2025-Q3</x:v>
      </x:c>
      <x:c r="E476" s="6" t="str">
        <x:v>Second 50%</x:v>
      </x:c>
      <x:c r="F476" s="6" t="str">
        <x:v>Short</x:v>
      </x:c>
      <x:c r="G476" s="6" t="str">
        <x:v>Short</x:v>
      </x:c>
      <x:c r="H476" s="6" t="str">
        <x:v>Overnight</x:v>
      </x:c>
      <x:c r="I476" s="6" t="str">
        <x:v>Overnight</x:v>
      </x:c>
      <x:c r="J476" s="6" t="str">
        <x:v>Bear</x:v>
      </x:c>
      <x:c r="K476" s="6" t="str">
        <x:v>Bear</x:v>
      </x:c>
      <x:c r="L476" s="6" t="str">
        <x:v>HIGH</x:v>
      </x:c>
      <x:c r="M476" s="7" t="str">
        <x:v>2025-09-02 02:10:00-05:00</x:v>
      </x:c>
      <x:c r="N476" s="6" t="str">
        <x:v>90.0</x:v>
      </x:c>
      <x:c r="O476" s="6" t="str">
        <x:v>90-94</x:v>
      </x:c>
      <x:c r="P476" s="6" t="str">
        <x:v>Matching BOS only</x:v>
      </x:c>
      <x:c r="Q476" s="6" t="str">
        <x:v>Bear BOS</x:v>
      </x:c>
      <x:c r="R476" s="6" t="str">
        <x:v>True</x:v>
      </x:c>
      <x:c r="S476" s="6" t="str">
        <x:v>False</x:v>
      </x:c>
      <x:c r="T476" s="6" t="str">
        <x:v>Recent BSL</x:v>
      </x:c>
      <x:c r="U476" s="6" t="str">
        <x:v>BSL</x:v>
      </x:c>
      <x:c r="V476" s="6" t="str">
        <x:v>Swing high / buy-side</x:v>
      </x:c>
      <x:c r="W476" s="6" t="str">
        <x:v>[21771.0]</x:v>
      </x:c>
      <x:c r="X476" s="8" t="str">
        <x:v>1</x:v>
      </x:c>
      <x:c r="Y476" s="8" t="str">
        <x:v>2.0</x:v>
      </x:c>
      <x:c r="Z476" s="6" t="str">
        <x:v>None</x:v>
      </x:c>
      <x:c r="AA476" s="6" t="str">
        <x:v>21724.75</x:v>
      </x:c>
      <x:c r="AB476" s="9" t="str">
        <x:v>0.9724262476020715</x:v>
      </x:c>
      <x:c r="AC476" s="9" t="str">
        <x:v>2.543268647574649</x:v>
      </x:c>
      <x:c r="AD476" s="9" t="str">
        <x:v>2.711573190428853</x:v>
      </x:c>
      <x:c r="AE476" s="6" t="str">
        <x:v>With trade</x:v>
      </x:c>
      <x:c r="AF476" s="7" t="str">
        <x:v>2025-09-02 02:10:00-05:00</x:v>
      </x:c>
      <x:c r="AG476" s="6" t="str">
        <x:v>Short</x:v>
      </x:c>
      <x:c r="AH476" s="6" t="str">
        <x:v>21724.75</x:v>
      </x:c>
      <x:c r="AI476" s="8" t="str">
        <x:v>0</x:v>
      </x:c>
      <x:c r="AJ476" s="6" t="str">
        <x:v>True</x:v>
      </x:c>
      <x:c r="AK476" s="6" t="str">
        <x:v>Same-bar Setup+BOS</x:v>
      </x:c>
      <x:c r="AL476" s="9" t="str">
        <x:v>2.618070666620962</x:v>
      </x:c>
      <x:c r="AM476" s="9" t="str">
        <x:v>0.9724262476020715</x:v>
      </x:c>
      <x:c r="AN476" s="9" t="str">
        <x:v>2.543268647574649</x:v>
      </x:c>
      <x:c r="AO476" s="9" t="str">
        <x:v>2.711573190428853</x:v>
      </x:c>
      <x:c r="AP476" s="10" t="str">
        <x:v>0.9379310344827586</x:v>
      </x:c>
      <x:c r="AQ476" s="6" t="str">
        <x:v>0.020689655172413793</x:v>
      </x:c>
      <x:c r="AR476" s="6" t="str">
        <x:v>0.041379310344827586</x:v>
      </x:c>
      <x:c r="AS476" s="6" t="str">
        <x:v>With trade</x:v>
      </x:c>
      <x:c r="AT476" s="6" t="str">
        <x:v>3.989353837054562</x:v>
      </x:c>
      <x:c r="AU476" s="7" t="str">
        <x:v>2025-09-02 02:15:00-05:00</x:v>
      </x:c>
      <x:c r="AV476" s="8" t="str">
        <x:v>1</x:v>
      </x:c>
      <x:c r="AW476" s="6" t="str">
        <x:v>Immediate retest (1 bar)</x:v>
      </x:c>
      <x:c r="AX476" s="6" t="str">
        <x:v>21726.25</x:v>
      </x:c>
      <x:c r="AY476" s="6" t="str">
        <x:v>1.5</x:v>
      </x:c>
      <x:c r="AZ476" s="9" t="str">
        <x:v>0.10739375287010097</x:v>
      </x:c>
      <x:c r="BA476" s="9" t="str">
        <x:v>0.17898958811683496</x:v>
      </x:c>
      <x:c r="BB476" s="9" t="str">
        <x:v>1.557209416616464</x:v>
      </x:c>
      <x:c r="BC476" s="9" t="str">
        <x:v>0.7696552289023902</x:v>
      </x:c>
      <x:c r="BD476" s="6" t="str">
        <x:v>0.1839080459770115</x:v>
      </x:c>
      <x:c r="BE476" s="6" t="str">
        <x:v>0.3218390804597701</x:v>
      </x:c>
      <x:c r="BF476" s="9" t="str">
        <x:v>0.2863833409869359</x:v>
      </x:c>
      <x:c r="BG476" s="9" t="str">
        <x:v>0.5011708467271379</x:v>
      </x:c>
      <x:c r="BH476" s="6" t="str">
        <x:v>Against trade</x:v>
      </x:c>
      <x:c r="BI476" s="6" t="str">
        <x:v>Penetration + same-bar reclaim</x:v>
      </x:c>
      <x:c r="BJ476" s="6" t="str">
        <x:v>False</x:v>
      </x:c>
      <x:c r="BK476" s="10" t="str">
        <x:v>True</x:v>
      </x:c>
      <x:c r="BL476" s="6" t="str">
        <x:v>True</x:v>
      </x:c>
      <x:c r="BM476" s="7" t="str">
        <x:v>2025-09-02 02:20:00-05:00</x:v>
      </x:c>
      <x:c r="BN476" s="8" t="str">
        <x:v>1</x:v>
      </x:c>
      <x:c r="BO476" s="6" t="str">
        <x:v>Immediate confirmation (1 bar)</x:v>
      </x:c>
      <x:c r="BP476" s="9" t="str">
        <x:v>1.5771388766005678</x:v>
      </x:c>
      <x:c r="BQ476" s="9" t="str">
        <x:v>1.9423710374975414</x:v>
      </x:c>
      <x:c r="BR476" s="10" t="str">
        <x:v>0.811965811965812</x:v>
      </x:c>
      <x:c r="BS476" s="9" t="str">
        <x:v>1.7431534951901013</x:v>
      </x:c>
      <x:c r="BT476" s="9" t="str">
        <x:v>1.5771388766005678</x:v>
      </x:c>
      <x:c r="BU476" s="9" t="str">
        <x:v>0.16601461858953345</x:v>
      </x:c>
      <x:c r="BV476" s="6" t="str">
        <x:v>With trade</x:v>
      </x:c>
      <x:c r="BW476" s="7" t="str">
        <x:v>2025-09-02 02:20:00-05:00</x:v>
      </x:c>
      <x:c r="BX476" s="6" t="str">
        <x:v>21698.5</x:v>
      </x:c>
      <x:c r="BY476" s="9" t="str">
        <x:v>15.058914818707507</x:v>
      </x:c>
      <x:c r="BZ476" s="9" t="str">
        <x:v>1.0</x:v>
      </x:c>
      <x:c r="CA476" s="6" t="str">
        <x:v>21721.08837222806</x:v>
      </x:c>
      <x:c r="CB476" s="6" t="str">
        <x:v>22.588372228059598</x:v>
      </x:c>
      <x:c r="CC476" s="9" t="str">
        <x:v>1.4999999999998896</x:v>
      </x:c>
      <x:c r="CD476" s="6" t="str">
        <x:v>21653.323255543877</x:v>
      </x:c>
      <x:c r="CE476" s="6" t="str">
        <x:v>45.17674445612283</x:v>
      </x:c>
      <x:c r="CF476" s="6" t="str">
        <x:v>Fixed 2.00R target</x:v>
      </x:c>
      <x:c r="CG476" s="9" t="str">
        <x:v>0.03209615959397883</x:v>
      </x:c>
      <x:c r="CH476" s="9" t="str">
        <x:v>-1.0</x:v>
      </x:c>
      <x:c r="CI476" s="9" t="str">
        <x:v>-1.0320961595939788</x:v>
      </x:c>
      <x:c r="CJ476" s="6" t="str">
        <x:v>Loss</x:v>
      </x:c>
      <x:c r="CK476" s="9" t="str">
        <x:v>0.2877586722218792</x:v>
      </x:c>
      <x:c r="CL476" s="9" t="str">
        <x:v>1.5494697735024263</x:v>
      </x:c>
      <x:c r="CM476" s="7" t="str">
        <x:v>2025-09-02 02:25:00-05:00</x:v>
      </x:c>
      <x:c r="CN476" s="6" t="str">
        <x:v>21721.08837222806</x:v>
      </x:c>
      <x:c r="CO476" s="6" t="str">
        <x:v>STOP</x:v>
      </x:c>
      <x:c r="CP476" s="6" t="str">
        <x:v>F::Short::Same-bar Setup+BOS::Penetration + same-bar reclaim</x:v>
      </x:c>
    </x:row>
    <x:row r="477" ht="18" customHeight="1">
      <x:c r="A477" s="6" t="str">
        <x:v>A0476</x:v>
      </x:c>
      <x:c r="B477" s="6" t="str">
        <x:v>2025-09-03</x:v>
      </x:c>
      <x:c r="C477" s="6" t="str">
        <x:v>2025</x:v>
      </x:c>
      <x:c r="D477" s="6" t="str">
        <x:v>2025-Q3</x:v>
      </x:c>
      <x:c r="E477" s="6" t="str">
        <x:v>Second 50%</x:v>
      </x:c>
      <x:c r="F477" s="6" t="str">
        <x:v>Short</x:v>
      </x:c>
      <x:c r="G477" s="6" t="str">
        <x:v>Short</x:v>
      </x:c>
      <x:c r="H477" s="6" t="str">
        <x:v>Overnight</x:v>
      </x:c>
      <x:c r="I477" s="6" t="str">
        <x:v>Overnight</x:v>
      </x:c>
      <x:c r="J477" s="6" t="str">
        <x:v>Bull</x:v>
      </x:c>
      <x:c r="K477" s="6" t="str">
        <x:v>Bull</x:v>
      </x:c>
      <x:c r="L477" s="6" t="str">
        <x:v>LOW</x:v>
      </x:c>
      <x:c r="M477" s="7" t="str">
        <x:v>2025-09-03 21:55:00-05:00</x:v>
      </x:c>
      <x:c r="N477" s="6" t="str">
        <x:v>90.0</x:v>
      </x:c>
      <x:c r="O477" s="6" t="str">
        <x:v>90-94</x:v>
      </x:c>
      <x:c r="P477" s="6" t="str">
        <x:v>Matching BOS only</x:v>
      </x:c>
      <x:c r="Q477" s="6" t="str">
        <x:v>Bear CHoCH</x:v>
      </x:c>
      <x:c r="R477" s="6" t="str">
        <x:v>True</x:v>
      </x:c>
      <x:c r="S477" s="6" t="str">
        <x:v>False</x:v>
      </x:c>
      <x:c r="T477" s="6" t="str">
        <x:v>Recent BSL</x:v>
      </x:c>
      <x:c r="U477" s="6" t="str">
        <x:v>BSL</x:v>
      </x:c>
      <x:c r="V477" s="6" t="str">
        <x:v>Swing high / buy-side</x:v>
      </x:c>
      <x:c r="W477" s="6" t="str">
        <x:v>[21845.25]</x:v>
      </x:c>
      <x:c r="X477" s="8" t="str">
        <x:v>1</x:v>
      </x:c>
      <x:c r="Y477" s="8" t="str">
        <x:v>10.0</x:v>
      </x:c>
      <x:c r="Z477" s="6" t="str">
        <x:v>None</x:v>
      </x:c>
      <x:c r="AA477" s="6" t="str">
        <x:v>21804.75</x:v>
      </x:c>
      <x:c r="AB477" s="9" t="str">
        <x:v>0.3844340384359431</x:v>
      </x:c>
      <x:c r="AC477" s="9" t="str">
        <x:v>0.8542978631909847</x:v>
      </x:c>
      <x:c r="AD477" s="9" t="str">
        <x:v>1.6231659400628708</x:v>
      </x:c>
      <x:c r="AE477" s="6" t="str">
        <x:v>With trade</x:v>
      </x:c>
      <x:c r="AF477" s="7" t="str">
        <x:v>2025-09-03 21:55:00-05:00</x:v>
      </x:c>
      <x:c r="AG477" s="6" t="str">
        <x:v>Short</x:v>
      </x:c>
      <x:c r="AH477" s="6" t="str">
        <x:v>21804.75</x:v>
      </x:c>
      <x:c r="AI477" s="8" t="str">
        <x:v>0</x:v>
      </x:c>
      <x:c r="AJ477" s="6" t="str">
        <x:v>True</x:v>
      </x:c>
      <x:c r="AK477" s="6" t="str">
        <x:v>Same-bar Setup+BOS</x:v>
      </x:c>
      <x:c r="AL477" s="9" t="str">
        <x:v>0.8115829700314354</x:v>
      </x:c>
      <x:c r="AM477" s="9" t="str">
        <x:v>0.3844340384359431</x:v>
      </x:c>
      <x:c r="AN477" s="9" t="str">
        <x:v>0.8542978631909847</x:v>
      </x:c>
      <x:c r="AO477" s="9" t="str">
        <x:v>1.6231659400628708</x:v>
      </x:c>
      <x:c r="AP477" s="10" t="str">
        <x:v>0.5263157894736842</x:v>
      </x:c>
      <x:c r="AQ477" s="6" t="str">
        <x:v>0.2236842105263158</x:v>
      </x:c>
      <x:c r="AR477" s="6" t="str">
        <x:v>0.25</x:v>
      </x:c>
      <x:c r="AS477" s="6" t="str">
        <x:v>With trade</x:v>
      </x:c>
      <x:c r="AT477" s="6" t="str">
        <x:v>1.1745334796926454</x:v>
      </x:c>
      <x:c r="AU477" s="7" t="str">
        <x:v>2025-09-03 22:20:00-05:00</x:v>
      </x:c>
      <x:c r="AV477" s="8" t="str">
        <x:v>5</x:v>
      </x:c>
      <x:c r="AW477" s="6" t="str">
        <x:v>Delayed retest (2+ bars)</x:v>
      </x:c>
      <x:c r="AX477" s="6" t="str">
        <x:v>21804.0</x:v>
      </x:c>
      <x:c r="AY477" s="6" t="str">
        <x:v>0.0</x:v>
      </x:c>
      <x:c r="AZ477" s="9" t="str">
        <x:v>0.0</x:v>
      </x:c>
      <x:c r="BA477" s="9" t="str">
        <x:v>0.881989140203844</x:v>
      </x:c>
      <x:c r="BB477" s="9" t="str">
        <x:v>0.9064888385428397</x:v>
      </x:c>
      <x:c r="BC477" s="9" t="str">
        <x:v>0.31849607840694366</x:v>
      </x:c>
      <x:c r="BD477" s="6" t="str">
        <x:v>0.5405405405405406</x:v>
      </x:c>
      <x:c r="BE477" s="6" t="str">
        <x:v>0.10810810810810811</x:v>
      </x:c>
      <x:c r="BF477" s="9" t="str">
        <x:v>0.48999396677991336</x:v>
      </x:c>
      <x:c r="BG477" s="9" t="str">
        <x:v>0.09799879335598267</x:v>
      </x:c>
      <x:c r="BH477" s="6" t="str">
        <x:v>With trade</x:v>
      </x:c>
      <x:c r="BI477" s="6" t="str">
        <x:v>Tolerance-only shallow touch</x:v>
      </x:c>
      <x:c r="BJ477" s="6" t="str">
        <x:v>True</x:v>
      </x:c>
      <x:c r="BK477" s="10" t="str">
        <x:v>False</x:v>
      </x:c>
      <x:c r="BL477" s="6" t="str">
        <x:v>True</x:v>
      </x:c>
      <x:c r="BM477" s="7" t="str">
        <x:v>2025-09-03 22:25:00-05:00</x:v>
      </x:c>
      <x:c r="BN477" s="8" t="str">
        <x:v>1</x:v>
      </x:c>
      <x:c r="BO477" s="6" t="str">
        <x:v>Immediate confirmation (1 bar)</x:v>
      </x:c>
      <x:c r="BP477" s="9" t="str">
        <x:v>0.534148403799171</x:v>
      </x:c>
      <x:c r="BQ477" s="9" t="str">
        <x:v>1.1168557533982664</x:v>
      </x:c>
      <x:c r="BR477" s="10" t="str">
        <x:v>0.4782608695652174</x:v>
      </x:c>
      <x:c r="BS477" s="9" t="str">
        <x:v>1.3596504823978897</x:v>
      </x:c>
      <x:c r="BT477" s="9" t="str">
        <x:v>0.48558945799924624</x:v>
      </x:c>
      <x:c r="BU477" s="9" t="str">
        <x:v>0.24279472899962312</x:v>
      </x:c>
      <x:c r="BV477" s="6" t="str">
        <x:v>With trade</x:v>
      </x:c>
      <x:c r="BW477" s="7" t="str">
        <x:v>2025-09-03 22:25:00-05:00</x:v>
      </x:c>
      <x:c r="BX477" s="6" t="str">
        <x:v>21790.75</x:v>
      </x:c>
      <x:c r="BY477" s="9" t="str">
        <x:v>10.29676389722563</x:v>
      </x:c>
      <x:c r="BZ477" s="9" t="str">
        <x:v>0.18</x:v>
      </x:c>
      <x:c r="CA477" s="6" t="str">
        <x:v>21806.19514584584</x:v>
      </x:c>
      <x:c r="CB477" s="6" t="str">
        <x:v>15.445145845838852</x:v>
      </x:c>
      <x:c r="CC477" s="9" t="str">
        <x:v>1.5000000000000395</x:v>
      </x:c>
      <x:c r="CD477" s="6" t="str">
        <x:v>21759.859708308322</x:v>
      </x:c>
      <x:c r="CE477" s="6" t="str">
        <x:v>30.890291691677703</x:v>
      </x:c>
      <x:c r="CF477" s="6" t="str">
        <x:v>Fixed 2.00R target</x:v>
      </x:c>
      <x:c r="CG477" s="9" t="str">
        <x:v>0.04694031427325923</x:v>
      </x:c>
      <x:c r="CH477" s="9" t="str">
        <x:v>-1.0</x:v>
      </x:c>
      <x:c r="CI477" s="9" t="str">
        <x:v>-1.0469403142732592</x:v>
      </x:c>
      <x:c r="CJ477" s="6" t="str">
        <x:v>Loss</x:v>
      </x:c>
      <x:c r="CK477" s="9" t="str">
        <x:v>0.7607568175321324</x:v>
      </x:c>
      <x:c r="CL477" s="9" t="str">
        <x:v>1.408209428197777</x:v>
      </x:c>
      <x:c r="CM477" s="7" t="str">
        <x:v>2025-09-03 23:10:00-05:00</x:v>
      </x:c>
      <x:c r="CN477" s="6" t="str">
        <x:v>21806.19514584584</x:v>
      </x:c>
      <x:c r="CO477" s="6" t="str">
        <x:v>STOP</x:v>
      </x:c>
      <x:c r="CP477" s="6" t="str">
        <x:v>F::Short::Same-bar Setup+BOS::Tolerance-only shallow touch</x:v>
      </x:c>
    </x:row>
    <x:row r="478" ht="18" customHeight="1">
      <x:c r="A478" s="6" t="str">
        <x:v>A0477</x:v>
      </x:c>
      <x:c r="B478" s="6" t="str">
        <x:v>2025-09-05</x:v>
      </x:c>
      <x:c r="C478" s="6" t="str">
        <x:v>2025</x:v>
      </x:c>
      <x:c r="D478" s="6" t="str">
        <x:v>2025-Q3</x:v>
      </x:c>
      <x:c r="E478" s="6" t="str">
        <x:v>Second 50%</x:v>
      </x:c>
      <x:c r="F478" s="6" t="str">
        <x:v>Long</x:v>
      </x:c>
      <x:c r="G478" s="6" t="str">
        <x:v>Long</x:v>
      </x:c>
      <x:c r="H478" s="6" t="str">
        <x:v>Premarket</x:v>
      </x:c>
      <x:c r="I478" s="6" t="str">
        <x:v>Premarket</x:v>
      </x:c>
      <x:c r="J478" s="6" t="str">
        <x:v>Bull</x:v>
      </x:c>
      <x:c r="K478" s="6" t="str">
        <x:v>Bull</x:v>
      </x:c>
      <x:c r="L478" s="6" t="str">
        <x:v>HIGH</x:v>
      </x:c>
      <x:c r="M478" s="7" t="str">
        <x:v>2025-09-05 07:30:00-05:00</x:v>
      </x:c>
      <x:c r="N478" s="6" t="str">
        <x:v>90.0</x:v>
      </x:c>
      <x:c r="O478" s="6" t="str">
        <x:v>90-94</x:v>
      </x:c>
      <x:c r="P478" s="6" t="str">
        <x:v>Matching BOS + liquidity sweep</x:v>
      </x:c>
      <x:c r="Q478" s="6" t="str">
        <x:v>Bull CHoCH</x:v>
      </x:c>
      <x:c r="R478" s="6" t="str">
        <x:v>True</x:v>
      </x:c>
      <x:c r="S478" s="6" t="str">
        <x:v>True</x:v>
      </x:c>
      <x:c r="T478" s="6" t="str">
        <x:v>Recent SSL</x:v>
      </x:c>
      <x:c r="U478" s="6" t="str">
        <x:v>SSL</x:v>
      </x:c>
      <x:c r="V478" s="6" t="str">
        <x:v>Swing low / sell-side</x:v>
      </x:c>
      <x:c r="W478" s="6" t="str">
        <x:v>[22046.0,22060.75,22063.5,22068.0,22088.25]</x:v>
      </x:c>
      <x:c r="X478" s="8" t="str">
        <x:v>5</x:v>
      </x:c>
      <x:c r="Y478" s="8" t="str">
        <x:v>0.0</x:v>
      </x:c>
      <x:c r="Z478" s="6" t="str">
        <x:v>Sweep below CRT reference</x:v>
      </x:c>
      <x:c r="AA478" s="6" t="str">
        <x:v>22120.0</x:v>
      </x:c>
      <x:c r="AB478" s="9" t="str">
        <x:v>1.7433637773122075</x:v>
      </x:c>
      <x:c r="AC478" s="9" t="str">
        <x:v>2.8013024797837183</x:v>
      </x:c>
      <x:c r="AD478" s="9" t="str">
        <x:v>6.2731294893029</x:v>
      </x:c>
      <x:c r="AE478" s="6" t="str">
        <x:v>With trade</x:v>
      </x:c>
      <x:c r="AF478" s="7" t="str">
        <x:v>2025-09-05 07:30:00-05:00</x:v>
      </x:c>
      <x:c r="AG478" s="6" t="str">
        <x:v>Long</x:v>
      </x:c>
      <x:c r="AH478" s="6" t="str">
        <x:v>22120.0</x:v>
      </x:c>
      <x:c r="AI478" s="8" t="str">
        <x:v>0</x:v>
      </x:c>
      <x:c r="AJ478" s="6" t="str">
        <x:v>True</x:v>
      </x:c>
      <x:c r="AK478" s="6" t="str">
        <x:v>Same-bar Setup+BOS</x:v>
      </x:c>
      <x:c r="AL478" s="9" t="str">
        <x:v>2.8013024797837183</x:v>
      </x:c>
      <x:c r="AM478" s="9" t="str">
        <x:v>1.7433637773122075</x:v>
      </x:c>
      <x:c r="AN478" s="9" t="str">
        <x:v>2.8013024797837183</x:v>
      </x:c>
      <x:c r="AO478" s="9" t="str">
        <x:v>6.2731294893029</x:v>
      </x:c>
      <x:c r="AP478" s="10" t="str">
        <x:v>0.44655581947743467</x:v>
      </x:c>
      <x:c r="AQ478" s="6" t="str">
        <x:v>0.014251781472684086</x:v>
      </x:c>
      <x:c r="AR478" s="6" t="str">
        <x:v>0.5391923990498813</x:v>
      </x:c>
      <x:c r="AS478" s="6" t="str">
        <x:v>With trade</x:v>
      </x:c>
      <x:c r="AT478" s="6" t="str">
        <x:v>13.130193905817174</x:v>
      </x:c>
      <x:c r="AU478" s="7" t="str">
        <x:v>2025-09-05 07:40:00-05:00</x:v>
      </x:c>
      <x:c r="AV478" s="8" t="str">
        <x:v>2</x:v>
      </x:c>
      <x:c r="AW478" s="6" t="str">
        <x:v>Delayed retest (2+ bars)</x:v>
      </x:c>
      <x:c r="AX478" s="6" t="str">
        <x:v>22113.5</x:v>
      </x:c>
      <x:c r="AY478" s="6" t="str">
        <x:v>6.5</x:v>
      </x:c>
      <x:c r="AZ478" s="9" t="str">
        <x:v>0.33164415766787875</x:v>
      </x:c>
      <x:c r="BA478" s="9" t="str">
        <x:v>1.5306653430825174</x:v>
      </x:c>
      <x:c r="BB478" s="9" t="str">
        <x:v>1.9133316788531467</x:v>
      </x:c>
      <x:c r="BC478" s="9" t="str">
        <x:v>0.7015549489128204</x:v>
      </x:c>
      <x:c r="BD478" s="6" t="str">
        <x:v>0.02666666666666667</x:v>
      </x:c>
      <x:c r="BE478" s="6" t="str">
        <x:v>0.6066666666666667</x:v>
      </x:c>
      <x:c r="BF478" s="9" t="str">
        <x:v>1.1607545518375757</x:v>
      </x:c>
      <x:c r="BG478" s="9" t="str">
        <x:v>0.05102217810275058</x:v>
      </x:c>
      <x:c r="BH478" s="6" t="str">
        <x:v>With trade</x:v>
      </x:c>
      <x:c r="BI478" s="6" t="str">
        <x:v>Penetration + same-bar reclaim</x:v>
      </x:c>
      <x:c r="BJ478" s="6" t="str">
        <x:v>False</x:v>
      </x:c>
      <x:c r="BK478" s="10" t="str">
        <x:v>True</x:v>
      </x:c>
      <x:c r="BL478" s="6" t="str">
        <x:v>True</x:v>
      </x:c>
      <x:c r="BM478" s="7" t="str">
        <x:v>2025-09-05 07:45:00-05:00</x:v>
      </x:c>
      <x:c r="BN478" s="8" t="str">
        <x:v>1</x:v>
      </x:c>
      <x:c r="BO478" s="6" t="str">
        <x:v>Immediate confirmation (1 bar)</x:v>
      </x:c>
      <x:c r="BP478" s="9" t="str">
        <x:v>0.5452085457372554</x:v>
      </x:c>
      <x:c r="BQ478" s="9" t="str">
        <x:v>1.0777378229689933</x:v>
      </x:c>
      <x:c r="BR478" s="10" t="str">
        <x:v>0.5058823529411764</x:v>
      </x:c>
      <x:c r="BS478" s="9" t="str">
        <x:v>2.0413622293883282</x:v>
      </x:c>
      <x:c r="BT478" s="9" t="str">
        <x:v>0.5198500087262202</x:v>
      </x:c>
      <x:c r="BU478" s="9" t="str">
        <x:v>0.40573659217656216</x:v>
      </x:c>
      <x:c r="BV478" s="6" t="str">
        <x:v>With trade</x:v>
      </x:c>
      <x:c r="BW478" s="7" t="str">
        <x:v>2025-09-05 07:45:00-05:00</x:v>
      </x:c>
      <x:c r="BX478" s="6" t="str">
        <x:v>22160.25</x:v>
      </x:c>
      <x:c r="BY478" s="9" t="str">
        <x:v>19.71722579194603</x:v>
      </x:c>
      <x:c r="BZ478" s="9" t="str">
        <x:v>1.0</x:v>
      </x:c>
      <x:c r="CA478" s="6" t="str">
        <x:v>22130.67416131208</x:v>
      </x:c>
      <x:c r="CB478" s="6" t="str">
        <x:v>29.575838687920623</x:v>
      </x:c>
      <x:c r="CC478" s="9" t="str">
        <x:v>1.50000000000008</x:v>
      </x:c>
      <x:c r="CD478" s="6" t="str">
        <x:v>22219.401677375838</x:v>
      </x:c>
      <x:c r="CE478" s="6" t="str">
        <x:v>59.15167737583761</x:v>
      </x:c>
      <x:c r="CF478" s="6" t="str">
        <x:v>Fixed 2.00R target</x:v>
      </x:c>
      <x:c r="CG478" s="9" t="str">
        <x:v>0.024513252443999326</x:v>
      </x:c>
      <x:c r="CH478" s="9" t="str">
        <x:v>2.0</x:v>
      </x:c>
      <x:c r="CI478" s="9" t="str">
        <x:v>1.9754867475560007</x:v>
      </x:c>
      <x:c r="CJ478" s="6" t="str">
        <x:v>Win</x:v>
      </x:c>
      <x:c r="CK478" s="9" t="str">
        <x:v>2.087852880575115</x:v>
      </x:c>
      <x:c r="CL478" s="9" t="str">
        <x:v>0.07607561103310136</x:v>
      </x:c>
      <x:c r="CM478" s="7" t="str">
        <x:v>2025-09-05 08:30:00-05:00</x:v>
      </x:c>
      <x:c r="CN478" s="6" t="str">
        <x:v>22219.401677375838</x:v>
      </x:c>
      <x:c r="CO478" s="6" t="str">
        <x:v>TARGET</x:v>
      </x:c>
      <x:c r="CP478" s="6" t="str">
        <x:v>F::Long::Same-bar Setup+BOS::Penetration + same-bar reclaim</x:v>
      </x:c>
    </x:row>
    <x:row r="479" ht="18" customHeight="1">
      <x:c r="A479" s="6" t="str">
        <x:v>A0478</x:v>
      </x:c>
      <x:c r="B479" s="6" t="str">
        <x:v>2025-09-05</x:v>
      </x:c>
      <x:c r="C479" s="6" t="str">
        <x:v>2025</x:v>
      </x:c>
      <x:c r="D479" s="6" t="str">
        <x:v>2025-Q3</x:v>
      </x:c>
      <x:c r="E479" s="6" t="str">
        <x:v>Second 50%</x:v>
      </x:c>
      <x:c r="F479" s="6" t="str">
        <x:v>Short</x:v>
      </x:c>
      <x:c r="G479" s="6" t="str">
        <x:v>Short</x:v>
      </x:c>
      <x:c r="H479" s="6" t="str">
        <x:v>Premarket</x:v>
      </x:c>
      <x:c r="I479" s="6" t="str">
        <x:v>Premarket</x:v>
      </x:c>
      <x:c r="J479" s="6" t="str">
        <x:v>Bull</x:v>
      </x:c>
      <x:c r="K479" s="6" t="str">
        <x:v>Bull</x:v>
      </x:c>
      <x:c r="L479" s="6" t="str">
        <x:v>HIGH</x:v>
      </x:c>
      <x:c r="M479" s="7" t="str">
        <x:v>2025-09-05 09:15:00-05:00</x:v>
      </x:c>
      <x:c r="N479" s="6" t="str">
        <x:v>90.0</x:v>
      </x:c>
      <x:c r="O479" s="6" t="str">
        <x:v>90-94</x:v>
      </x:c>
      <x:c r="P479" s="6" t="str">
        <x:v>Matching BOS only</x:v>
      </x:c>
      <x:c r="Q479" s="6" t="str">
        <x:v>Bear CHoCH</x:v>
      </x:c>
      <x:c r="R479" s="6" t="str">
        <x:v>True</x:v>
      </x:c>
      <x:c r="S479" s="6" t="str">
        <x:v>False</x:v>
      </x:c>
      <x:c r="T479" s="6" t="str">
        <x:v>Recent BSL</x:v>
      </x:c>
      <x:c r="U479" s="6" t="str">
        <x:v>BSL</x:v>
      </x:c>
      <x:c r="V479" s="6" t="str">
        <x:v>Swing high / buy-side</x:v>
      </x:c>
      <x:c r="W479" s="6" t="str">
        <x:v>[22158.0]</x:v>
      </x:c>
      <x:c r="X479" s="8" t="str">
        <x:v>1</x:v>
      </x:c>
      <x:c r="Y479" s="8" t="str">
        <x:v>20.0</x:v>
      </x:c>
      <x:c r="Z479" s="6" t="str">
        <x:v>None</x:v>
      </x:c>
      <x:c r="AA479" s="6" t="str">
        <x:v>22045.5</x:v>
      </x:c>
      <x:c r="AB479" s="9" t="str">
        <x:v>0.816718444061886</x:v>
      </x:c>
      <x:c r="AC479" s="9" t="str">
        <x:v>1.6606608362591682</x:v>
      </x:c>
      <x:c r="AD479" s="9" t="str">
        <x:v>1.9941542009177715</x:v>
      </x:c>
      <x:c r="AE479" s="6" t="str">
        <x:v>With trade</x:v>
      </x:c>
      <x:c r="AF479" s="7" t="str">
        <x:v>2025-09-05 09:15:00-05:00</x:v>
      </x:c>
      <x:c r="AG479" s="6" t="str">
        <x:v>Short</x:v>
      </x:c>
      <x:c r="AH479" s="6" t="str">
        <x:v>22045.5</x:v>
      </x:c>
      <x:c r="AI479" s="8" t="str">
        <x:v>0</x:v>
      </x:c>
      <x:c r="AJ479" s="6" t="str">
        <x:v>True</x:v>
      </x:c>
      <x:c r="AK479" s="6" t="str">
        <x:v>Same-bar Setup+BOS</x:v>
      </x:c>
      <x:c r="AL479" s="9" t="str">
        <x:v>1.6538548492253191</x:v>
      </x:c>
      <x:c r="AM479" s="9" t="str">
        <x:v>0.816718444061886</x:v>
      </x:c>
      <x:c r="AN479" s="9" t="str">
        <x:v>1.6606608362591682</x:v>
      </x:c>
      <x:c r="AO479" s="9" t="str">
        <x:v>1.9941542009177715</x:v>
      </x:c>
      <x:c r="AP479" s="10" t="str">
        <x:v>0.8327645051194539</x:v>
      </x:c>
      <x:c r="AQ479" s="6" t="str">
        <x:v>0.09556313993174062</x:v>
      </x:c>
      <x:c r="AR479" s="6" t="str">
        <x:v>0.07167235494880546</x:v>
      </x:c>
      <x:c r="AS479" s="6" t="str">
        <x:v>With trade</x:v>
      </x:c>
      <x:c r="AT479" s="6" t="str">
        <x:v>2.0582747781649835</x:v>
      </x:c>
      <x:c r="AU479" s="7" t="str">
        <x:v>2025-09-05 09:20:00-05:00</x:v>
      </x:c>
      <x:c r="AV479" s="8" t="str">
        <x:v>1</x:v>
      </x:c>
      <x:c r="AW479" s="6" t="str">
        <x:v>Immediate retest (1 bar)</x:v>
      </x:c>
      <x:c r="AX479" s="6" t="str">
        <x:v>22053.75</x:v>
      </x:c>
      <x:c r="AY479" s="6" t="str">
        <x:v>8.25</x:v>
      </x:c>
      <x:c r="AZ479" s="9" t="str">
        <x:v>0.20698155220994596</x:v>
      </x:c>
      <x:c r="BA479" s="9" t="str">
        <x:v>1.5680420621965605</x:v>
      </x:c>
      <x:c r="BB479" s="9" t="str">
        <x:v>2.01963817610917</x:v>
      </x:c>
      <x:c r="BC479" s="9" t="str">
        <x:v>0.8028375358446389</x:v>
      </x:c>
      <x:c r="BD479" s="6" t="str">
        <x:v>0.4813664596273292</x:v>
      </x:c>
      <x:c r="BE479" s="6" t="str">
        <x:v>0.12111801242236025</x:v>
      </x:c>
      <x:c r="BF479" s="9" t="str">
        <x:v>0.9721860785618675</x:v>
      </x:c>
      <x:c r="BG479" s="9" t="str">
        <x:v>0.24461456170266344</x:v>
      </x:c>
      <x:c r="BH479" s="6" t="str">
        <x:v>With trade</x:v>
      </x:c>
      <x:c r="BI479" s="6" t="str">
        <x:v>Penetration + same-bar reclaim</x:v>
      </x:c>
      <x:c r="BJ479" s="6" t="str">
        <x:v>False</x:v>
      </x:c>
      <x:c r="BK479" s="10" t="str">
        <x:v>True</x:v>
      </x:c>
      <x:c r="BL479" s="6" t="str">
        <x:v>True</x:v>
      </x:c>
      <x:c r="BM479" s="7" t="str">
        <x:v>2025-09-05 09:25:00-05:00</x:v>
      </x:c>
      <x:c r="BN479" s="8" t="str">
        <x:v>1</x:v>
      </x:c>
      <x:c r="BO479" s="6" t="str">
        <x:v>Immediate confirmation (1 bar)</x:v>
      </x:c>
      <x:c r="BP479" s="9" t="str">
        <x:v>0.2307376879615748</x:v>
      </x:c>
      <x:c r="BQ479" s="9" t="str">
        <x:v>1.414786349869656</x:v>
      </x:c>
      <x:c r="BR479" s="10" t="str">
        <x:v>0.1630901287553648</x:v>
      </x:c>
      <x:c r="BS479" s="9" t="str">
        <x:v>1.7366047041318524</x:v>
      </x:c>
      <x:c r="BT479" s="9" t="str">
        <x:v>0.2185935991214919</x:v>
      </x:c>
      <x:c r="BU479" s="9" t="str">
        <x:v>0.5647001310638541</x:v>
      </x:c>
      <x:c r="BV479" s="6" t="str">
        <x:v>With trade</x:v>
      </x:c>
      <x:c r="BW479" s="7" t="str">
        <x:v>2025-09-05 09:25:00-05:00</x:v>
      </x:c>
      <x:c r="BX479" s="6" t="str">
        <x:v>21974.0</x:v>
      </x:c>
      <x:c r="BY479" s="9" t="str">
        <x:v>41.17229432229578</x:v>
      </x:c>
      <x:c r="BZ479" s="9" t="str">
        <x:v>1.0</x:v>
      </x:c>
      <x:c r="CA479" s="6" t="str">
        <x:v>22035.758441483442</x:v>
      </x:c>
      <x:c r="CB479" s="6" t="str">
        <x:v>61.75844148344186</x:v>
      </x:c>
      <x:c r="CC479" s="9" t="str">
        <x:v>1.499999999999956</x:v>
      </x:c>
      <x:c r="CD479" s="6" t="str">
        <x:v>21850.483117033113</x:v>
      </x:c>
      <x:c r="CE479" s="6" t="str">
        <x:v>123.51688296688735</x:v>
      </x:c>
      <x:c r="CF479" s="6" t="str">
        <x:v>Fixed 2.00R target</x:v>
      </x:c>
      <x:c r="CG479" s="9" t="str">
        <x:v>0.011739285878747131</x:v>
      </x:c>
      <x:c r="CH479" s="9" t="str">
        <x:v>2.0</x:v>
      </x:c>
      <x:c r="CI479" s="9" t="str">
        <x:v>1.988260714121253</x:v>
      </x:c>
      <x:c r="CJ479" s="6" t="str">
        <x:v>Win</x:v>
      </x:c>
      <x:c r="CK479" s="9" t="str">
        <x:v>2.246656435415399</x:v>
      </x:c>
      <x:c r="CL479" s="9" t="str">
        <x:v>0.1943054214413318</x:v>
      </x:c>
      <x:c r="CM479" s="7" t="str">
        <x:v>2025-09-05 10:00:00-05:00</x:v>
      </x:c>
      <x:c r="CN479" s="6" t="str">
        <x:v>21850.483117033113</x:v>
      </x:c>
      <x:c r="CO479" s="6" t="str">
        <x:v>TARGET</x:v>
      </x:c>
      <x:c r="CP479" s="6" t="str">
        <x:v>F::Short::Same-bar Setup+BOS::Penetration + same-bar reclaim</x:v>
      </x:c>
    </x:row>
    <x:row r="480" ht="18" customHeight="1">
      <x:c r="A480" s="6" t="str">
        <x:v>A0479</x:v>
      </x:c>
      <x:c r="B480" s="6" t="str">
        <x:v>2025-09-09</x:v>
      </x:c>
      <x:c r="C480" s="6" t="str">
        <x:v>2025</x:v>
      </x:c>
      <x:c r="D480" s="6" t="str">
        <x:v>2025-Q3</x:v>
      </x:c>
      <x:c r="E480" s="6" t="str">
        <x:v>Second 50%</x:v>
      </x:c>
      <x:c r="F480" s="6" t="str">
        <x:v>Long</x:v>
      </x:c>
      <x:c r="G480" s="6" t="str">
        <x:v>Long</x:v>
      </x:c>
      <x:c r="H480" s="6" t="str">
        <x:v>Midday</x:v>
      </x:c>
      <x:c r="I480" s="6" t="str">
        <x:v>Midday</x:v>
      </x:c>
      <x:c r="J480" s="6" t="str">
        <x:v>Bull</x:v>
      </x:c>
      <x:c r="K480" s="6" t="str">
        <x:v>Bull</x:v>
      </x:c>
      <x:c r="L480" s="6" t="str">
        <x:v>MID</x:v>
      </x:c>
      <x:c r="M480" s="7" t="str">
        <x:v>2025-09-09 12:00:00-05:00</x:v>
      </x:c>
      <x:c r="N480" s="6" t="str">
        <x:v>75.0</x:v>
      </x:c>
      <x:c r="O480" s="6" t="str">
        <x:v>75-79</x:v>
      </x:c>
      <x:c r="P480" s="6" t="str">
        <x:v>Matching BOS only</x:v>
      </x:c>
      <x:c r="Q480" s="6" t="str">
        <x:v>Bull CHoCH</x:v>
      </x:c>
      <x:c r="R480" s="6" t="str">
        <x:v>True</x:v>
      </x:c>
      <x:c r="S480" s="6" t="str">
        <x:v>False</x:v>
      </x:c>
      <x:c r="T480" s="6" t="str">
        <x:v>No recent matching sweep</x:v>
      </x:c>
      <x:c r="U480" s="6" t="str">
        <x:v>None</x:v>
      </x:c>
      <x:c r="V480" s="6" t="str">
        <x:v>None</x:v>
      </x:c>
      <x:c r="W480" s="6" t="str">
        <x:v>[]</x:v>
      </x:c>
      <x:c r="X480" s="8" t="str">
        <x:v>0</x:v>
      </x:c>
      <x:c r="Y480" s="8" t="str"/>
      <x:c r="Z480" s="6" t="str">
        <x:v>None</x:v>
      </x:c>
      <x:c r="AA480" s="6" t="str">
        <x:v>22153.75</x:v>
      </x:c>
      <x:c r="AB480" s="9" t="str">
        <x:v>0.07957126816259297</x:v>
      </x:c>
      <x:c r="AC480" s="9" t="str">
        <x:v>0.7426651695175343</x:v>
      </x:c>
      <x:c r="AD480" s="9" t="str">
        <x:v>0.8620220717614238</x:v>
      </x:c>
      <x:c r="AE480" s="6" t="str">
        <x:v>With trade</x:v>
      </x:c>
      <x:c r="AF480" s="7" t="str">
        <x:v>2025-09-09 12:00:00-05:00</x:v>
      </x:c>
      <x:c r="AG480" s="6" t="str">
        <x:v>Long</x:v>
      </x:c>
      <x:c r="AH480" s="6" t="str">
        <x:v>22153.75</x:v>
      </x:c>
      <x:c r="AI480" s="8" t="str">
        <x:v>0</x:v>
      </x:c>
      <x:c r="AJ480" s="6" t="str">
        <x:v>True</x:v>
      </x:c>
      <x:c r="AK480" s="6" t="str">
        <x:v>Same-bar Setup+BOS</x:v>
      </x:c>
      <x:c r="AL480" s="9" t="str">
        <x:v>0.7294032914904355</x:v>
      </x:c>
      <x:c r="AM480" s="9" t="str">
        <x:v>0.07957126816259297</x:v>
      </x:c>
      <x:c r="AN480" s="9" t="str">
        <x:v>0.7426651695175343</x:v>
      </x:c>
      <x:c r="AO480" s="9" t="str">
        <x:v>0.8620220717614238</x:v>
      </x:c>
      <x:c r="AP480" s="10" t="str">
        <x:v>0.8615384615384616</x:v>
      </x:c>
      <x:c r="AQ480" s="6" t="str">
        <x:v>0.12307692307692308</x:v>
      </x:c>
      <x:c r="AR480" s="6" t="str">
        <x:v>0.015384615384615385</x:v>
      </x:c>
      <x:c r="AS480" s="6" t="str">
        <x:v>With trade</x:v>
      </x:c>
      <x:c r="AT480" s="6" t="str">
        <x:v>1.0788067488534523</x:v>
      </x:c>
      <x:c r="AU480" s="7" t="str">
        <x:v>2025-09-09 12:05:00-05:00</x:v>
      </x:c>
      <x:c r="AV480" s="8" t="str">
        <x:v>1</x:v>
      </x:c>
      <x:c r="AW480" s="6" t="str">
        <x:v>Immediate retest (1 bar)</x:v>
      </x:c>
      <x:c r="AX480" s="6" t="str">
        <x:v>22154.75</x:v>
      </x:c>
      <x:c r="AY480" s="6" t="str">
        <x:v>0.0</x:v>
      </x:c>
      <x:c r="AZ480" s="9" t="str">
        <x:v>0.0</x:v>
      </x:c>
      <x:c r="BA480" s="9" t="str">
        <x:v>0.505240986379439</x:v>
      </x:c>
      <x:c r="BB480" s="9" t="str">
        <x:v>0.6144822807317503</x:v>
      </x:c>
      <x:c r="BC480" s="9" t="str">
        <x:v>0.4233100156152057</x:v>
      </x:c>
      <x:c r="BD480" s="6" t="str">
        <x:v>0.26666666666666666</x:v>
      </x:c>
      <x:c r="BE480" s="6" t="str">
        <x:v>0.044444444444444446</x:v>
      </x:c>
      <x:c r="BF480" s="9" t="str">
        <x:v>0.02731032358807779</x:v>
      </x:c>
      <x:c r="BG480" s="9" t="str">
        <x:v>0.16386194152846673</x:v>
      </x:c>
      <x:c r="BH480" s="6" t="str">
        <x:v>With trade</x:v>
      </x:c>
      <x:c r="BI480" s="6" t="str">
        <x:v>Tolerance-only shallow touch</x:v>
      </x:c>
      <x:c r="BJ480" s="6" t="str">
        <x:v>True</x:v>
      </x:c>
      <x:c r="BK480" s="10" t="str">
        <x:v>False</x:v>
      </x:c>
      <x:c r="BL480" s="6" t="str">
        <x:v>True</x:v>
      </x:c>
      <x:c r="BM480" s="7" t="str">
        <x:v>2025-09-09 12:15:00-05:00</x:v>
      </x:c>
      <x:c r="BN480" s="8" t="str">
        <x:v>2</x:v>
      </x:c>
      <x:c r="BO480" s="6" t="str">
        <x:v>Delayed confirmation (2+ bars)</x:v>
      </x:c>
      <x:c r="BP480" s="9" t="str">
        <x:v>0.05609507212634789</x:v>
      </x:c>
      <x:c r="BQ480" s="9" t="str">
        <x:v>0.7292359376425226</x:v>
      </x:c>
      <x:c r="BR480" s="10" t="str">
        <x:v>0.07692307692307693</x:v>
      </x:c>
      <x:c r="BS480" s="9" t="str">
        <x:v>0.3646179688212613</x:v>
      </x:c>
      <x:c r="BT480" s="9" t="str">
        <x:v>-0.1542614483474567</x:v>
      </x:c>
      <x:c r="BU480" s="9" t="str">
        <x:v>0.0</x:v>
      </x:c>
      <x:c r="BV480" s="6" t="str">
        <x:v>With trade</x:v>
      </x:c>
      <x:c r="BW480" s="7" t="str">
        <x:v>2025-09-09 12:15:00-05:00</x:v>
      </x:c>
      <x:c r="BX480" s="6" t="str">
        <x:v>22160.25</x:v>
      </x:c>
      <x:c r="BY480" s="9" t="str">
        <x:v>17.826877871689184</x:v>
      </x:c>
      <x:c r="BZ480" s="9" t="str">
        <x:v>0.59</x:v>
      </x:c>
      <x:c r="CA480" s="6" t="str">
        <x:v>22133.509683192467</x:v>
      </x:c>
      <x:c r="CB480" s="6" t="str">
        <x:v>26.74031680753251</x:v>
      </x:c>
      <x:c r="CC480" s="9" t="str">
        <x:v>1.499999999999929</x:v>
      </x:c>
      <x:c r="CD480" s="6" t="str">
        <x:v>22213.73063361507</x:v>
      </x:c>
      <x:c r="CE480" s="6" t="str">
        <x:v>53.480633615068655</x:v>
      </x:c>
      <x:c r="CF480" s="6" t="str">
        <x:v>Fixed 2.00R target</x:v>
      </x:c>
      <x:c r="CG480" s="9" t="str">
        <x:v>0.027112618194402766</x:v>
      </x:c>
      <x:c r="CH480" s="9" t="str">
        <x:v>0.0373967147508986</x:v>
      </x:c>
      <x:c r="CI480" s="9" t="str">
        <x:v>0.010284096556495832</x:v>
      </x:c>
      <x:c r="CJ480" s="6" t="str">
        <x:v>Win</x:v>
      </x:c>
      <x:c r="CK480" s="9" t="str">
        <x:v>0.5235540065126052</x:v>
      </x:c>
      <x:c r="CL480" s="9" t="str">
        <x:v>0.6263949720775812</x:v>
      </x:c>
      <x:c r="CM480" s="7" t="str">
        <x:v>2025-09-09 13:15:00-05:00</x:v>
      </x:c>
      <x:c r="CN480" s="6" t="str">
        <x:v>22161.25</x:v>
      </x:c>
      <x:c r="CO480" s="6" t="str">
        <x:v>TIME</x:v>
      </x:c>
      <x:c r="CP480" s="6" t="str">
        <x:v>F::Long::Same-bar Setup+BOS::Tolerance-only shallow touch</x:v>
      </x:c>
    </x:row>
    <x:row r="481" ht="18" customHeight="1">
      <x:c r="A481" s="6" t="str">
        <x:v>A0480</x:v>
      </x:c>
      <x:c r="B481" s="6" t="str">
        <x:v>2025-09-10</x:v>
      </x:c>
      <x:c r="C481" s="6" t="str">
        <x:v>2025</x:v>
      </x:c>
      <x:c r="D481" s="6" t="str">
        <x:v>2025-Q3</x:v>
      </x:c>
      <x:c r="E481" s="6" t="str">
        <x:v>Second 50%</x:v>
      </x:c>
      <x:c r="F481" s="6" t="str">
        <x:v>Short</x:v>
      </x:c>
      <x:c r="G481" s="6" t="str">
        <x:v>Short</x:v>
      </x:c>
      <x:c r="H481" s="6" t="str">
        <x:v>Overnight</x:v>
      </x:c>
      <x:c r="I481" s="6" t="str">
        <x:v>Overnight</x:v>
      </x:c>
      <x:c r="J481" s="6" t="str">
        <x:v>Bull</x:v>
      </x:c>
      <x:c r="K481" s="6" t="str">
        <x:v>Bull</x:v>
      </x:c>
      <x:c r="L481" s="6" t="str">
        <x:v>HIGH</x:v>
      </x:c>
      <x:c r="M481" s="7" t="str">
        <x:v>2025-09-10 03:00:00-05:00</x:v>
      </x:c>
      <x:c r="N481" s="6" t="str">
        <x:v>90.0</x:v>
      </x:c>
      <x:c r="O481" s="6" t="str">
        <x:v>90-94</x:v>
      </x:c>
      <x:c r="P481" s="6" t="str">
        <x:v>Matching BOS only</x:v>
      </x:c>
      <x:c r="Q481" s="6" t="str">
        <x:v>Bear CHoCH</x:v>
      </x:c>
      <x:c r="R481" s="6" t="str">
        <x:v>True</x:v>
      </x:c>
      <x:c r="S481" s="6" t="str">
        <x:v>False</x:v>
      </x:c>
      <x:c r="T481" s="6" t="str">
        <x:v>Recent BSL</x:v>
      </x:c>
      <x:c r="U481" s="6" t="str">
        <x:v>BSL</x:v>
      </x:c>
      <x:c r="V481" s="6" t="str">
        <x:v>Swing high / buy-side</x:v>
      </x:c>
      <x:c r="W481" s="6" t="str">
        <x:v>[22273.75]</x:v>
      </x:c>
      <x:c r="X481" s="8" t="str">
        <x:v>1</x:v>
      </x:c>
      <x:c r="Y481" s="8" t="str">
        <x:v>10.0</x:v>
      </x:c>
      <x:c r="Z481" s="6" t="str">
        <x:v>None</x:v>
      </x:c>
      <x:c r="AA481" s="6" t="str">
        <x:v>22250.25</x:v>
      </x:c>
      <x:c r="AB481" s="9" t="str">
        <x:v>0.12191907321639833</x:v>
      </x:c>
      <x:c r="AC481" s="9" t="str">
        <x:v>1.0667918906434855</x:v>
      </x:c>
      <x:c r="AD481" s="9" t="str">
        <x:v>1.5849479518131784</x:v>
      </x:c>
      <x:c r="AE481" s="6" t="str">
        <x:v>With trade</x:v>
      </x:c>
      <x:c r="AF481" s="7" t="str">
        <x:v>2025-09-10 03:00:00-05:00</x:v>
      </x:c>
      <x:c r="AG481" s="6" t="str">
        <x:v>Short</x:v>
      </x:c>
      <x:c r="AH481" s="6" t="str">
        <x:v>22250.25</x:v>
      </x:c>
      <x:c r="AI481" s="8" t="str">
        <x:v>0</x:v>
      </x:c>
      <x:c r="AJ481" s="6" t="str">
        <x:v>True</x:v>
      </x:c>
      <x:c r="AK481" s="6" t="str">
        <x:v>Same-bar Setup+BOS</x:v>
      </x:c>
      <x:c r="AL481" s="9" t="str">
        <x:v>1.0667918906434855</x:v>
      </x:c>
      <x:c r="AM481" s="9" t="str">
        <x:v>0.12191907321639833</x:v>
      </x:c>
      <x:c r="AN481" s="9" t="str">
        <x:v>1.0667918906434855</x:v>
      </x:c>
      <x:c r="AO481" s="9" t="str">
        <x:v>1.5849479518131784</x:v>
      </x:c>
      <x:c r="AP481" s="10" t="str">
        <x:v>0.6730769230769231</x:v>
      </x:c>
      <x:c r="AQ481" s="6" t="str">
        <x:v>0.15384615384615385</x:v>
      </x:c>
      <x:c r="AR481" s="6" t="str">
        <x:v>0.17307692307692307</x:v>
      </x:c>
      <x:c r="AS481" s="6" t="str">
        <x:v>With trade</x:v>
      </x:c>
      <x:c r="AT481" s="6" t="str">
        <x:v>1.636100922529732</x:v>
      </x:c>
      <x:c r="AU481" s="7" t="str">
        <x:v>2025-09-10 03:05:00-05:00</x:v>
      </x:c>
      <x:c r="AV481" s="8" t="str">
        <x:v>1</x:v>
      </x:c>
      <x:c r="AW481" s="6" t="str">
        <x:v>Immediate retest (1 bar)</x:v>
      </x:c>
      <x:c r="AX481" s="6" t="str">
        <x:v>22249.75</x:v>
      </x:c>
      <x:c r="AY481" s="6" t="str">
        <x:v>0.0</x:v>
      </x:c>
      <x:c r="AZ481" s="9" t="str">
        <x:v>0.0</x:v>
      </x:c>
      <x:c r="BA481" s="9" t="str">
        <x:v>1.3571825758357026</x:v>
      </x:c>
      <x:c r="BB481" s="9" t="str">
        <x:v>1.4161905139155158</x:v>
      </x:c>
      <x:c r="BC481" s="9" t="str">
        <x:v>1.268670668715983</x:v>
      </x:c>
      <x:c r="BD481" s="6" t="str">
        <x:v>0.020833333333333332</x:v>
      </x:c>
      <x:c r="BE481" s="6" t="str">
        <x:v>0.08333333333333333</x:v>
      </x:c>
      <x:c r="BF481" s="9" t="str">
        <x:v>0.02950396903990658</x:v>
      </x:c>
      <x:c r="BG481" s="9" t="str">
        <x:v>0.11801587615962632</x:v>
      </x:c>
      <x:c r="BH481" s="6" t="str">
        <x:v>With trade</x:v>
      </x:c>
      <x:c r="BI481" s="6" t="str">
        <x:v>Tolerance-only shallow touch</x:v>
      </x:c>
      <x:c r="BJ481" s="6" t="str">
        <x:v>True</x:v>
      </x:c>
      <x:c r="BK481" s="10" t="str">
        <x:v>False</x:v>
      </x:c>
      <x:c r="BL481" s="6" t="str">
        <x:v>True</x:v>
      </x:c>
      <x:c r="BM481" s="7" t="str">
        <x:v>2025-09-10 03:15:00-05:00</x:v>
      </x:c>
      <x:c r="BN481" s="8" t="str">
        <x:v>2</x:v>
      </x:c>
      <x:c r="BO481" s="6" t="str">
        <x:v>Delayed confirmation (2+ bars)</x:v>
      </x:c>
      <x:c r="BP481" s="9" t="str">
        <x:v>0.7669517547347886</x:v>
      </x:c>
      <x:c r="BQ481" s="9" t="str">
        <x:v>1.1646304423750493</x:v>
      </x:c>
      <x:c r="BR481" s="10" t="str">
        <x:v>0.6585365853658537</x:v>
      </x:c>
      <x:c r="BS481" s="9" t="str">
        <x:v>0.9941967191006519</x:v>
      </x:c>
      <x:c r="BT481" s="9" t="str">
        <x:v>-0.312461826003062</x:v>
      </x:c>
      <x:c r="BU481" s="9" t="str">
        <x:v>0.3976786876402607</x:v>
      </x:c>
      <x:c r="BV481" s="6" t="str">
        <x:v>With trade</x:v>
      </x:c>
      <x:c r="BW481" s="7" t="str">
        <x:v>2025-09-10 03:15:00-05:00</x:v>
      </x:c>
      <x:c r="BX481" s="6" t="str">
        <x:v>22241.5</x:v>
      </x:c>
      <x:c r="BY481" s="9" t="str">
        <x:v>8.801075111085893</x:v>
      </x:c>
      <x:c r="BZ481" s="9" t="str">
        <x:v>0.95</x:v>
      </x:c>
      <x:c r="CA481" s="6" t="str">
        <x:v>22254.701612666628</x:v>
      </x:c>
      <x:c r="CB481" s="6" t="str">
        <x:v>13.201612666627625</x:v>
      </x:c>
      <x:c r="CC481" s="9" t="str">
        <x:v>1.4999999999998619</x:v>
      </x:c>
      <x:c r="CD481" s="6" t="str">
        <x:v>22215.09677466674</x:v>
      </x:c>
      <x:c r="CE481" s="6" t="str">
        <x:v>26.403225333258888</x:v>
      </x:c>
      <x:c r="CF481" s="6" t="str">
        <x:v>Fixed 2.00R target</x:v>
      </x:c>
      <x:c r="CG481" s="9" t="str">
        <x:v>0.05491753305508868</x:v>
      </x:c>
      <x:c r="CH481" s="9" t="str">
        <x:v>2.0</x:v>
      </x:c>
      <x:c r="CI481" s="9" t="str">
        <x:v>1.9450824669449114</x:v>
      </x:c>
      <x:c r="CJ481" s="6" t="str">
        <x:v>Win</x:v>
      </x:c>
      <x:c r="CK481" s="9" t="str">
        <x:v>2.1588271614759</x:v>
      </x:c>
      <x:c r="CL481" s="9" t="str">
        <x:v>0.0</x:v>
      </x:c>
      <x:c r="CM481" s="7" t="str">
        <x:v>2025-09-10 03:30:00-05:00</x:v>
      </x:c>
      <x:c r="CN481" s="6" t="str">
        <x:v>22215.09677466674</x:v>
      </x:c>
      <x:c r="CO481" s="6" t="str">
        <x:v>TARGET</x:v>
      </x:c>
      <x:c r="CP481" s="6" t="str">
        <x:v>F::Short::Same-bar Setup+BOS::Tolerance-only shallow touch</x:v>
      </x:c>
    </x:row>
    <x:row r="482" ht="18" customHeight="1">
      <x:c r="A482" s="6" t="str">
        <x:v>A0481</x:v>
      </x:c>
      <x:c r="B482" s="6" t="str">
        <x:v>2025-09-10</x:v>
      </x:c>
      <x:c r="C482" s="6" t="str">
        <x:v>2025</x:v>
      </x:c>
      <x:c r="D482" s="6" t="str">
        <x:v>2025-Q3</x:v>
      </x:c>
      <x:c r="E482" s="6" t="str">
        <x:v>Second 50%</x:v>
      </x:c>
      <x:c r="F482" s="6" t="str">
        <x:v>Short</x:v>
      </x:c>
      <x:c r="G482" s="6" t="str">
        <x:v>Short</x:v>
      </x:c>
      <x:c r="H482" s="6" t="str">
        <x:v>Premarket</x:v>
      </x:c>
      <x:c r="I482" s="6" t="str">
        <x:v>Premarket</x:v>
      </x:c>
      <x:c r="J482" s="6" t="str">
        <x:v>Bull</x:v>
      </x:c>
      <x:c r="K482" s="6" t="str">
        <x:v>Bull</x:v>
      </x:c>
      <x:c r="L482" s="6" t="str">
        <x:v>HIGH</x:v>
      </x:c>
      <x:c r="M482" s="7" t="str">
        <x:v>2025-09-10 08:30:00-05:00</x:v>
      </x:c>
      <x:c r="N482" s="6" t="str">
        <x:v>90.0</x:v>
      </x:c>
      <x:c r="O482" s="6" t="str">
        <x:v>90-94</x:v>
      </x:c>
      <x:c r="P482" s="6" t="str">
        <x:v>Matching BOS only</x:v>
      </x:c>
      <x:c r="Q482" s="6" t="str">
        <x:v>Bear CHoCH</x:v>
      </x:c>
      <x:c r="R482" s="6" t="str">
        <x:v>True</x:v>
      </x:c>
      <x:c r="S482" s="6" t="str">
        <x:v>False</x:v>
      </x:c>
      <x:c r="T482" s="6" t="str">
        <x:v>Recent BSL</x:v>
      </x:c>
      <x:c r="U482" s="6" t="str">
        <x:v>BSL</x:v>
      </x:c>
      <x:c r="V482" s="6" t="str">
        <x:v>Swing high / buy-side</x:v>
      </x:c>
      <x:c r="W482" s="6" t="str">
        <x:v>[22283.0]</x:v>
      </x:c>
      <x:c r="X482" s="8" t="str">
        <x:v>1</x:v>
      </x:c>
      <x:c r="Y482" s="8" t="str">
        <x:v>17.0</x:v>
      </x:c>
      <x:c r="Z482" s="6" t="str">
        <x:v>None</x:v>
      </x:c>
      <x:c r="AA482" s="6" t="str">
        <x:v>22297.75</x:v>
      </x:c>
      <x:c r="AB482" s="9" t="str">
        <x:v>0.7487972351492052</x:v>
      </x:c>
      <x:c r="AC482" s="9" t="str">
        <x:v>1.7971133643580925</x:v>
      </x:c>
      <x:c r="AD482" s="9" t="str">
        <x:v>3.4319873277671906</x:v>
      </x:c>
      <x:c r="AE482" s="6" t="str">
        <x:v>With trade</x:v>
      </x:c>
      <x:c r="AF482" s="7" t="str">
        <x:v>2025-09-10 08:30:00-05:00</x:v>
      </x:c>
      <x:c r="AG482" s="6" t="str">
        <x:v>Short</x:v>
      </x:c>
      <x:c r="AH482" s="6" t="str">
        <x:v>22297.75</x:v>
      </x:c>
      <x:c r="AI482" s="8" t="str">
        <x:v>0</x:v>
      </x:c>
      <x:c r="AJ482" s="6" t="str">
        <x:v>True</x:v>
      </x:c>
      <x:c r="AK482" s="6" t="str">
        <x:v>Same-bar Setup+BOS</x:v>
      </x:c>
      <x:c r="AL482" s="9" t="str">
        <x:v>1.784633410438939</x:v>
      </x:c>
      <x:c r="AM482" s="9" t="str">
        <x:v>0.7487972351492052</x:v>
      </x:c>
      <x:c r="AN482" s="9" t="str">
        <x:v>1.7971133643580925</x:v>
      </x:c>
      <x:c r="AO482" s="9" t="str">
        <x:v>3.4319873277671906</x:v>
      </x:c>
      <x:c r="AP482" s="10" t="str">
        <x:v>0.5236363636363637</x:v>
      </x:c>
      <x:c r="AQ482" s="6" t="str">
        <x:v>0.025454545454545455</x:v>
      </x:c>
      <x:c r="AR482" s="6" t="str">
        <x:v>0.4509090909090909</x:v>
      </x:c>
      <x:c r="AS482" s="6" t="str">
        <x:v>With trade</x:v>
      </x:c>
      <x:c r="AT482" s="6" t="str">
        <x:v>11.5737939380604</x:v>
      </x:c>
      <x:c r="AU482" s="7" t="str">
        <x:v>2025-09-10 08:35:00-05:00</x:v>
      </x:c>
      <x:c r="AV482" s="8" t="str">
        <x:v>1</x:v>
      </x:c>
      <x:c r="AW482" s="6" t="str">
        <x:v>Immediate retest (1 bar)</x:v>
      </x:c>
      <x:c r="AX482" s="6" t="str">
        <x:v>22296.0</x:v>
      </x:c>
      <x:c r="AY482" s="6" t="str">
        <x:v>0.0</x:v>
      </x:c>
      <x:c r="AZ482" s="9" t="str">
        <x:v>0.0</x:v>
      </x:c>
      <x:c r="BA482" s="9" t="str">
        <x:v>1.6759455441189395</x:v>
      </x:c>
      <x:c r="BB482" s="9" t="str">
        <x:v>2.283335204403656</x:v>
      </x:c>
      <x:c r="BC482" s="9" t="str">
        <x:v>0.9785722304587097</x:v>
      </x:c>
      <x:c r="BD482" s="6" t="str">
        <x:v>0.270935960591133</x:v>
      </x:c>
      <x:c r="BE482" s="6" t="str">
        <x:v>0.30049261083743845</x:v>
      </x:c>
      <x:c r="BF482" s="9" t="str">
        <x:v>0.6186376169566555</x:v>
      </x:c>
      <x:c r="BG482" s="9" t="str">
        <x:v>0.6861253569882907</x:v>
      </x:c>
      <x:c r="BH482" s="6" t="str">
        <x:v>With trade</x:v>
      </x:c>
      <x:c r="BI482" s="6" t="str">
        <x:v>Tolerance-only shallow touch</x:v>
      </x:c>
      <x:c r="BJ482" s="6" t="str">
        <x:v>True</x:v>
      </x:c>
      <x:c r="BK482" s="10" t="str">
        <x:v>False</x:v>
      </x:c>
      <x:c r="BL482" s="6" t="str">
        <x:v>True</x:v>
      </x:c>
      <x:c r="BM482" s="7" t="str">
        <x:v>2025-09-10 08:40:00-05:00</x:v>
      </x:c>
      <x:c r="BN482" s="8" t="str">
        <x:v>1</x:v>
      </x:c>
      <x:c r="BO482" s="6" t="str">
        <x:v>Immediate confirmation (1 bar)</x:v>
      </x:c>
      <x:c r="BP482" s="9" t="str">
        <x:v>0.4006913933800803</x:v>
      </x:c>
      <x:c r="BQ482" s="9" t="str">
        <x:v>1.483641105218135</x:v>
      </x:c>
      <x:c r="BR482" s="10" t="str">
        <x:v>0.27007299270072993</x:v>
      </x:c>
      <x:c r="BS482" s="9" t="str">
        <x:v>2.014286464018782</x:v>
      </x:c>
      <x:c r="BT482" s="9" t="str">
        <x:v>0.4006913933800803</x:v>
      </x:c>
      <x:c r="BU482" s="9" t="str">
        <x:v>0.4981568674455052</x:v>
      </x:c>
      <x:c r="BV482" s="6" t="str">
        <x:v>With trade</x:v>
      </x:c>
      <x:c r="BW482" s="7" t="str">
        <x:v>2025-09-10 08:40:00-05:00</x:v>
      </x:c>
      <x:c r="BX482" s="6" t="str">
        <x:v>22251.25</x:v>
      </x:c>
      <x:c r="BY482" s="9" t="str">
        <x:v>23.085097790522816</x:v>
      </x:c>
      <x:c r="BZ482" s="9" t="str">
        <x:v>1.0</x:v>
      </x:c>
      <x:c r="CA482" s="6" t="str">
        <x:v>22285.877646685785</x:v>
      </x:c>
      <x:c r="CB482" s="6" t="str">
        <x:v>34.627646685785294</x:v>
      </x:c>
      <x:c r="CC482" s="9" t="str">
        <x:v>1.5000000000000464</x:v>
      </x:c>
      <x:c r="CD482" s="6" t="str">
        <x:v>22181.994706628433</x:v>
      </x:c>
      <x:c r="CE482" s="6" t="str">
        <x:v>69.25529337156695</x:v>
      </x:c>
      <x:c r="CF482" s="6" t="str">
        <x:v>Fixed 2.00R target</x:v>
      </x:c>
      <x:c r="CG482" s="9" t="str">
        <x:v>0.020937027762201747</x:v>
      </x:c>
      <x:c r="CH482" s="9" t="str">
        <x:v>-1.0</x:v>
      </x:c>
      <x:c r="CI482" s="9" t="str">
        <x:v>-1.0209370277622019</x:v>
      </x:c>
      <x:c r="CJ482" s="6" t="str">
        <x:v>Loss</x:v>
      </x:c>
      <x:c r="CK482" s="9" t="str">
        <x:v>0.8952384284527644</x:v>
      </x:c>
      <x:c r="CL482" s="9" t="str">
        <x:v>1.1190480355659553</x:v>
      </x:c>
      <x:c r="CM482" s="7" t="str">
        <x:v>2025-09-10 09:00:00-05:00</x:v>
      </x:c>
      <x:c r="CN482" s="6" t="str">
        <x:v>22285.877646685785</x:v>
      </x:c>
      <x:c r="CO482" s="6" t="str">
        <x:v>STOP</x:v>
      </x:c>
      <x:c r="CP482" s="6" t="str">
        <x:v>F::Short::Same-bar Setup+BOS::Tolerance-only shallow touch</x:v>
      </x:c>
    </x:row>
    <x:row r="483" ht="18" customHeight="1">
      <x:c r="A483" s="6" t="str">
        <x:v>A0482</x:v>
      </x:c>
      <x:c r="B483" s="6" t="str">
        <x:v>2025-09-11</x:v>
      </x:c>
      <x:c r="C483" s="6" t="str">
        <x:v>2025</x:v>
      </x:c>
      <x:c r="D483" s="6" t="str">
        <x:v>2025-Q3</x:v>
      </x:c>
      <x:c r="E483" s="6" t="str">
        <x:v>Second 50%</x:v>
      </x:c>
      <x:c r="F483" s="6" t="str">
        <x:v>Short</x:v>
      </x:c>
      <x:c r="G483" s="6" t="str">
        <x:v>Short</x:v>
      </x:c>
      <x:c r="H483" s="6" t="str">
        <x:v>Premarket</x:v>
      </x:c>
      <x:c r="I483" s="6" t="str">
        <x:v>Premarket</x:v>
      </x:c>
      <x:c r="J483" s="6" t="str">
        <x:v>Bull</x:v>
      </x:c>
      <x:c r="K483" s="6" t="str">
        <x:v>Bull</x:v>
      </x:c>
      <x:c r="L483" s="6" t="str">
        <x:v>LOW</x:v>
      </x:c>
      <x:c r="M483" s="7" t="str">
        <x:v>2025-09-11 04:35:00-05:00</x:v>
      </x:c>
      <x:c r="N483" s="6" t="str">
        <x:v>90.0</x:v>
      </x:c>
      <x:c r="O483" s="6" t="str">
        <x:v>90-94</x:v>
      </x:c>
      <x:c r="P483" s="6" t="str">
        <x:v>Matching BOS only</x:v>
      </x:c>
      <x:c r="Q483" s="6" t="str">
        <x:v>Bear CHoCH</x:v>
      </x:c>
      <x:c r="R483" s="6" t="str">
        <x:v>True</x:v>
      </x:c>
      <x:c r="S483" s="6" t="str">
        <x:v>False</x:v>
      </x:c>
      <x:c r="T483" s="6" t="str">
        <x:v>Recent BSL</x:v>
      </x:c>
      <x:c r="U483" s="6" t="str">
        <x:v>BSL</x:v>
      </x:c>
      <x:c r="V483" s="6" t="str">
        <x:v>Swing high / buy-side</x:v>
      </x:c>
      <x:c r="W483" s="6" t="str">
        <x:v>[22260.25]</x:v>
      </x:c>
      <x:c r="X483" s="8" t="str">
        <x:v>1</x:v>
      </x:c>
      <x:c r="Y483" s="8" t="str">
        <x:v>16.0</x:v>
      </x:c>
      <x:c r="Z483" s="6" t="str">
        <x:v>None</x:v>
      </x:c>
      <x:c r="AA483" s="6" t="str">
        <x:v>22237.25</x:v>
      </x:c>
      <x:c r="AB483" s="9" t="str">
        <x:v>0.03574325403817297</x:v>
      </x:c>
      <x:c r="AC483" s="9" t="str">
        <x:v>0.7148650807634594</x:v>
      </x:c>
      <x:c r="AD483" s="9" t="str">
        <x:v>1.3225003994123998</x:v>
      </x:c>
      <x:c r="AE483" s="6" t="str">
        <x:v>With trade</x:v>
      </x:c>
      <x:c r="AF483" s="7" t="str">
        <x:v>2025-09-11 04:35:00-05:00</x:v>
      </x:c>
      <x:c r="AG483" s="6" t="str">
        <x:v>Short</x:v>
      </x:c>
      <x:c r="AH483" s="6" t="str">
        <x:v>22237.25</x:v>
      </x:c>
      <x:c r="AI483" s="8" t="str">
        <x:v>0</x:v>
      </x:c>
      <x:c r="AJ483" s="6" t="str">
        <x:v>True</x:v>
      </x:c>
      <x:c r="AK483" s="6" t="str">
        <x:v>Same-bar Setup+BOS</x:v>
      </x:c>
      <x:c r="AL483" s="9" t="str">
        <x:v>0.7148650807634594</x:v>
      </x:c>
      <x:c r="AM483" s="9" t="str">
        <x:v>0.03574325403817297</x:v>
      </x:c>
      <x:c r="AN483" s="9" t="str">
        <x:v>0.7148650807634594</x:v>
      </x:c>
      <x:c r="AO483" s="9" t="str">
        <x:v>1.3225003994123998</x:v>
      </x:c>
      <x:c r="AP483" s="10" t="str">
        <x:v>0.5405405405405406</x:v>
      </x:c>
      <x:c r="AQ483" s="6" t="str">
        <x:v>0.13513513513513514</x:v>
      </x:c>
      <x:c r="AR483" s="6" t="str">
        <x:v>0.32432432432432434</x:v>
      </x:c>
      <x:c r="AS483" s="6" t="str">
        <x:v>With trade</x:v>
      </x:c>
      <x:c r="AT483" s="6" t="str">
        <x:v>1.2227741688956821</x:v>
      </x:c>
      <x:c r="AU483" s="7" t="str">
        <x:v>2025-09-11 04:40:00-05:00</x:v>
      </x:c>
      <x:c r="AV483" s="8" t="str">
        <x:v>1</x:v>
      </x:c>
      <x:c r="AW483" s="6" t="str">
        <x:v>Immediate retest (1 bar)</x:v>
      </x:c>
      <x:c r="AX483" s="6" t="str">
        <x:v>22238.75</x:v>
      </x:c>
      <x:c r="AY483" s="6" t="str">
        <x:v>1.5</x:v>
      </x:c>
      <x:c r="AZ483" s="9" t="str">
        <x:v>0.21721984788388096</x:v>
      </x:c>
      <x:c r="BA483" s="9" t="str">
        <x:v>0.4344396957677619</x:v>
      </x:c>
      <x:c r="BB483" s="9" t="str">
        <x:v>0.832676083554877</x:v>
      </x:c>
      <x:c r="BC483" s="9" t="str">
        <x:v>0.4344396957677619</x:v>
      </x:c>
      <x:c r="BD483" s="6" t="str">
        <x:v>0.2608695652173913</x:v>
      </x:c>
      <x:c r="BE483" s="6" t="str">
        <x:v>0.21739130434782608</x:v>
      </x:c>
      <x:c r="BF483" s="9" t="str">
        <x:v>0.21721984788388096</x:v>
      </x:c>
      <x:c r="BG483" s="9" t="str">
        <x:v>0.18101653990323413</x:v>
      </x:c>
      <x:c r="BH483" s="6" t="str">
        <x:v>With trade</x:v>
      </x:c>
      <x:c r="BI483" s="6" t="str">
        <x:v>Penetration + same-bar reclaim</x:v>
      </x:c>
      <x:c r="BJ483" s="6" t="str">
        <x:v>False</x:v>
      </x:c>
      <x:c r="BK483" s="10" t="str">
        <x:v>True</x:v>
      </x:c>
      <x:c r="BL483" s="6" t="str">
        <x:v>True</x:v>
      </x:c>
      <x:c r="BM483" s="7" t="str">
        <x:v>2025-09-11 04:45:00-05:00</x:v>
      </x:c>
      <x:c r="BN483" s="8" t="str">
        <x:v>1</x:v>
      </x:c>
      <x:c r="BO483" s="6" t="str">
        <x:v>Immediate confirmation (1 bar)</x:v>
      </x:c>
      <x:c r="BP483" s="9" t="str">
        <x:v>0.14429895116729244</x:v>
      </x:c>
      <x:c r="BQ483" s="9" t="str">
        <x:v>1.0461673959628701</x:v>
      </x:c>
      <x:c r="BR483" s="10" t="str">
        <x:v>0.13793103448275862</x:v>
      </x:c>
      <x:c r="BS483" s="9" t="str">
        <x:v>0.5771958046691698</x:v>
      </x:c>
      <x:c r="BT483" s="9" t="str">
        <x:v>0.14429895116729244</x:v>
      </x:c>
      <x:c r="BU483" s="9" t="str">
        <x:v>0.14429895116729244</x:v>
      </x:c>
      <x:c r="BV483" s="6" t="str">
        <x:v>With trade</x:v>
      </x:c>
      <x:c r="BW483" s="7" t="str">
        <x:v>2025-09-11 04:45:00-05:00</x:v>
      </x:c>
      <x:c r="BX483" s="6" t="str">
        <x:v>22233.25</x:v>
      </x:c>
      <x:c r="BY483" s="9" t="str">
        <x:v>6.930057300559682</x:v>
      </x:c>
      <x:c r="BZ483" s="9" t="str">
        <x:v>0.25</x:v>
      </x:c>
      <x:c r="CA483" s="6" t="str">
        <x:v>22243.64508595084</x:v>
      </x:c>
      <x:c r="CB483" s="6" t="str">
        <x:v>10.39508595084044</x:v>
      </x:c>
      <x:c r="CC483" s="9" t="str">
        <x:v>1.5000000000001323</x:v>
      </x:c>
      <x:c r="CD483" s="6" t="str">
        <x:v>22212.459828098323</x:v>
      </x:c>
      <x:c r="CE483" s="6" t="str">
        <x:v>20.79017190167724</x:v>
      </x:c>
      <x:c r="CF483" s="6" t="str">
        <x:v>Fixed 2.00R target</x:v>
      </x:c>
      <x:c r="CG483" s="9" t="str">
        <x:v>0.0697444930641852</x:v>
      </x:c>
      <x:c r="CH483" s="9" t="str">
        <x:v>-1.0</x:v>
      </x:c>
      <x:c r="CI483" s="9" t="str">
        <x:v>-1.0697444930641853</x:v>
      </x:c>
      <x:c r="CJ483" s="6" t="str">
        <x:v>Loss</x:v>
      </x:c>
      <x:c r="CK483" s="9" t="str">
        <x:v>0.14429895116727973</x:v>
      </x:c>
      <x:c r="CL483" s="9" t="str">
        <x:v>1.394889861283704</x:v>
      </x:c>
      <x:c r="CM483" s="7" t="str">
        <x:v>2025-09-11 05:00:00-05:00</x:v>
      </x:c>
      <x:c r="CN483" s="6" t="str">
        <x:v>22243.64508595084</x:v>
      </x:c>
      <x:c r="CO483" s="6" t="str">
        <x:v>STOP</x:v>
      </x:c>
      <x:c r="CP483" s="6" t="str">
        <x:v>F::Short::Same-bar Setup+BOS::Penetration + same-bar reclaim</x:v>
      </x:c>
    </x:row>
    <x:row r="484" ht="18" customHeight="1">
      <x:c r="A484" s="6" t="str">
        <x:v>A0483</x:v>
      </x:c>
      <x:c r="B484" s="6" t="str">
        <x:v>2025-09-11</x:v>
      </x:c>
      <x:c r="C484" s="6" t="str">
        <x:v>2025</x:v>
      </x:c>
      <x:c r="D484" s="6" t="str">
        <x:v>2025-Q3</x:v>
      </x:c>
      <x:c r="E484" s="6" t="str">
        <x:v>Second 50%</x:v>
      </x:c>
      <x:c r="F484" s="6" t="str">
        <x:v>Long</x:v>
      </x:c>
      <x:c r="G484" s="6" t="str">
        <x:v>Long</x:v>
      </x:c>
      <x:c r="H484" s="6" t="str">
        <x:v>Opening</x:v>
      </x:c>
      <x:c r="I484" s="6" t="str">
        <x:v>Opening</x:v>
      </x:c>
      <x:c r="J484" s="6" t="str">
        <x:v>Bull</x:v>
      </x:c>
      <x:c r="K484" s="6" t="str">
        <x:v>Bull</x:v>
      </x:c>
      <x:c r="L484" s="6" t="str">
        <x:v>HIGH</x:v>
      </x:c>
      <x:c r="M484" s="7" t="str">
        <x:v>2025-09-11 09:30:00-05:00</x:v>
      </x:c>
      <x:c r="N484" s="6" t="str">
        <x:v>75.0</x:v>
      </x:c>
      <x:c r="O484" s="6" t="str">
        <x:v>75-79</x:v>
      </x:c>
      <x:c r="P484" s="6" t="str">
        <x:v>Matching BOS only</x:v>
      </x:c>
      <x:c r="Q484" s="6" t="str">
        <x:v>Bull BOS</x:v>
      </x:c>
      <x:c r="R484" s="6" t="str">
        <x:v>True</x:v>
      </x:c>
      <x:c r="S484" s="6" t="str">
        <x:v>False</x:v>
      </x:c>
      <x:c r="T484" s="6" t="str">
        <x:v>No recent matching sweep</x:v>
      </x:c>
      <x:c r="U484" s="6" t="str">
        <x:v>None</x:v>
      </x:c>
      <x:c r="V484" s="6" t="str">
        <x:v>None</x:v>
      </x:c>
      <x:c r="W484" s="6" t="str">
        <x:v>[]</x:v>
      </x:c>
      <x:c r="X484" s="8" t="str">
        <x:v>0</x:v>
      </x:c>
      <x:c r="Y484" s="8" t="str"/>
      <x:c r="Z484" s="6" t="str">
        <x:v>None</x:v>
      </x:c>
      <x:c r="AA484" s="6" t="str">
        <x:v>22317.5</x:v>
      </x:c>
      <x:c r="AB484" s="9" t="str">
        <x:v>0.02722831039463889</x:v>
      </x:c>
      <x:c r="AC484" s="9" t="str">
        <x:v>1.2071217608289908</x:v>
      </x:c>
      <x:c r="AD484" s="9" t="str">
        <x:v>1.3886438301265833</x:v>
      </x:c>
      <x:c r="AE484" s="6" t="str">
        <x:v>With trade</x:v>
      </x:c>
      <x:c r="AF484" s="7" t="str">
        <x:v>2025-09-11 09:30:00-05:00</x:v>
      </x:c>
      <x:c r="AG484" s="6" t="str">
        <x:v>Long</x:v>
      </x:c>
      <x:c r="AH484" s="6" t="str">
        <x:v>22317.5</x:v>
      </x:c>
      <x:c r="AI484" s="8" t="str">
        <x:v>0</x:v>
      </x:c>
      <x:c r="AJ484" s="6" t="str">
        <x:v>True</x:v>
      </x:c>
      <x:c r="AK484" s="6" t="str">
        <x:v>Same-bar Setup+BOS</x:v>
      </x:c>
      <x:c r="AL484" s="9" t="str">
        <x:v>1.1889695538992315</x:v>
      </x:c>
      <x:c r="AM484" s="9" t="str">
        <x:v>0.02722831039463889</x:v>
      </x:c>
      <x:c r="AN484" s="9" t="str">
        <x:v>1.2071217608289908</x:v>
      </x:c>
      <x:c r="AO484" s="9" t="str">
        <x:v>1.3886438301265833</x:v>
      </x:c>
      <x:c r="AP484" s="10" t="str">
        <x:v>0.869281045751634</x:v>
      </x:c>
      <x:c r="AQ484" s="6" t="str">
        <x:v>0.032679738562091505</x:v>
      </x:c>
      <x:c r="AR484" s="6" t="str">
        <x:v>0.09803921568627451</x:v>
      </x:c>
      <x:c r="AS484" s="6" t="str">
        <x:v>With trade</x:v>
      </x:c>
      <x:c r="AT484" s="6" t="str">
        <x:v>0.9797821481172273</x:v>
      </x:c>
      <x:c r="AU484" s="7" t="str">
        <x:v>2025-09-11 09:35:00-05:00</x:v>
      </x:c>
      <x:c r="AV484" s="8" t="str">
        <x:v>1</x:v>
      </x:c>
      <x:c r="AW484" s="6" t="str">
        <x:v>Immediate retest (1 bar)</x:v>
      </x:c>
      <x:c r="AX484" s="6" t="str">
        <x:v>22316.25</x:v>
      </x:c>
      <x:c r="AY484" s="6" t="str">
        <x:v>1.25</x:v>
      </x:c>
      <x:c r="AZ484" s="9" t="str">
        <x:v>0.04668743560062722</x:v>
      </x:c>
      <x:c r="BA484" s="9" t="str">
        <x:v>0.5415742529672758</x:v>
      </x:c>
      <x:c r="BB484" s="9" t="str">
        <x:v>0.6256116370484048</x:v>
      </x:c>
      <x:c r="BC484" s="9" t="str">
        <x:v>0.5322367658471504</x:v>
      </x:c>
      <x:c r="BD484" s="6" t="str">
        <x:v>0.05970149253731343</x:v>
      </x:c>
      <x:c r="BE484" s="6" t="str">
        <x:v>0.08955223880597014</x:v>
      </x:c>
      <x:c r="BF484" s="9" t="str">
        <x:v>0.05602492272075267</x:v>
      </x:c>
      <x:c r="BG484" s="9" t="str">
        <x:v>0.03734994848050178</x:v>
      </x:c>
      <x:c r="BH484" s="6" t="str">
        <x:v>With trade</x:v>
      </x:c>
      <x:c r="BI484" s="6" t="str">
        <x:v>Penetration + same-bar reclaim</x:v>
      </x:c>
      <x:c r="BJ484" s="6" t="str">
        <x:v>False</x:v>
      </x:c>
      <x:c r="BK484" s="10" t="str">
        <x:v>True</x:v>
      </x:c>
      <x:c r="BL484" s="6" t="str">
        <x:v>True</x:v>
      </x:c>
      <x:c r="BM484" s="7" t="str">
        <x:v>2025-09-11 09:40:00-05:00</x:v>
      </x:c>
      <x:c r="BN484" s="8" t="str">
        <x:v>1</x:v>
      </x:c>
      <x:c r="BO484" s="6" t="str">
        <x:v>Immediate confirmation (1 bar)</x:v>
      </x:c>
      <x:c r="BP484" s="9" t="str">
        <x:v>0.07792727207576323</x:v>
      </x:c>
      <x:c r="BQ484" s="9" t="str">
        <x:v>0.4383409054261682</x:v>
      </x:c>
      <x:c r="BR484" s="10" t="str">
        <x:v>0.17777777777777778</x:v>
      </x:c>
      <x:c r="BS484" s="9" t="str">
        <x:v>0.6526409036345171</x:v>
      </x:c>
      <x:c r="BT484" s="9" t="str">
        <x:v>0.08766818108523364</x:v>
      </x:c>
      <x:c r="BU484" s="9" t="str">
        <x:v>0.23378181622728972</x:v>
      </x:c>
      <x:c r="BV484" s="6" t="str">
        <x:v>With trade</x:v>
      </x:c>
      <x:c r="BW484" s="7" t="str">
        <x:v>2025-09-11 09:40:00-05:00</x:v>
      </x:c>
      <x:c r="BX484" s="6" t="str">
        <x:v>22334.25</x:v>
      </x:c>
      <x:c r="BY484" s="9" t="str">
        <x:v>25.664955884193404</x:v>
      </x:c>
      <x:c r="BZ484" s="9" t="str">
        <x:v>0.89</x:v>
      </x:c>
      <x:c r="CA484" s="6" t="str">
        <x:v>22295.75256617371</x:v>
      </x:c>
      <x:c r="CB484" s="6" t="str">
        <x:v>38.497433826290944</x:v>
      </x:c>
      <x:c r="CC484" s="9" t="str">
        <x:v>1.5000000000000326</x:v>
      </x:c>
      <x:c r="CD484" s="6" t="str">
        <x:v>22411.244867652582</x:v>
      </x:c>
      <x:c r="CE484" s="6" t="str">
        <x:v>76.99486765258189</x:v>
      </x:c>
      <x:c r="CF484" s="6" t="str">
        <x:v>Fixed 2.00R target</x:v>
      </x:c>
      <x:c r="CG484" s="9" t="str">
        <x:v>0.018832424084975704</x:v>
      </x:c>
      <x:c r="CH484" s="9" t="str">
        <x:v>-1.0</x:v>
      </x:c>
      <x:c r="CI484" s="9" t="str">
        <x:v>-1.0188324240849758</x:v>
      </x:c>
      <x:c r="CJ484" s="6" t="str">
        <x:v>Loss</x:v>
      </x:c>
      <x:c r="CK484" s="9" t="str">
        <x:v>0.1493606048118763</x:v>
      </x:c>
      <x:c r="CL484" s="9" t="str">
        <x:v>1.0000666583056064</x:v>
      </x:c>
      <x:c r="CM484" s="7" t="str">
        <x:v>2025-09-11 09:50:00-05:00</x:v>
      </x:c>
      <x:c r="CN484" s="6" t="str">
        <x:v>22295.75256617371</x:v>
      </x:c>
      <x:c r="CO484" s="6" t="str">
        <x:v>STOP</x:v>
      </x:c>
      <x:c r="CP484" s="6" t="str">
        <x:v>F::Long::Same-bar Setup+BOS::Penetration + same-bar reclaim</x:v>
      </x:c>
    </x:row>
    <x:row r="485" ht="18" customHeight="1">
      <x:c r="A485" s="6" t="str">
        <x:v>A0484</x:v>
      </x:c>
      <x:c r="B485" s="6" t="str">
        <x:v>2025-09-11</x:v>
      </x:c>
      <x:c r="C485" s="6" t="str">
        <x:v>2025</x:v>
      </x:c>
      <x:c r="D485" s="6" t="str">
        <x:v>2025-Q3</x:v>
      </x:c>
      <x:c r="E485" s="6" t="str">
        <x:v>Second 50%</x:v>
      </x:c>
      <x:c r="F485" s="6" t="str">
        <x:v>Short</x:v>
      </x:c>
      <x:c r="G485" s="6" t="str">
        <x:v>Short</x:v>
      </x:c>
      <x:c r="H485" s="6" t="str">
        <x:v>Afternoon</x:v>
      </x:c>
      <x:c r="I485" s="6" t="str">
        <x:v>Afternoon</x:v>
      </x:c>
      <x:c r="J485" s="6" t="str">
        <x:v>Bull</x:v>
      </x:c>
      <x:c r="K485" s="6" t="str">
        <x:v>Bull</x:v>
      </x:c>
      <x:c r="L485" s="6" t="str">
        <x:v>LOW</x:v>
      </x:c>
      <x:c r="M485" s="7" t="str">
        <x:v>2025-09-11 14:55:00-05:00</x:v>
      </x:c>
      <x:c r="N485" s="6" t="str">
        <x:v>100.0</x:v>
      </x:c>
      <x:c r="O485" s="6" t="str">
        <x:v>95+</x:v>
      </x:c>
      <x:c r="P485" s="6" t="str">
        <x:v>Matching BOS only</x:v>
      </x:c>
      <x:c r="Q485" s="6" t="str">
        <x:v>Bear BOS</x:v>
      </x:c>
      <x:c r="R485" s="6" t="str">
        <x:v>True</x:v>
      </x:c>
      <x:c r="S485" s="6" t="str">
        <x:v>False</x:v>
      </x:c>
      <x:c r="T485" s="6" t="str">
        <x:v>Recent BSL</x:v>
      </x:c>
      <x:c r="U485" s="6" t="str">
        <x:v>BSL</x:v>
      </x:c>
      <x:c r="V485" s="6" t="str">
        <x:v>Swing high / buy-side</x:v>
      </x:c>
      <x:c r="W485" s="6" t="str">
        <x:v>[22363.5,22355.75]</x:v>
      </x:c>
      <x:c r="X485" s="8" t="str">
        <x:v>2</x:v>
      </x:c>
      <x:c r="Y485" s="8" t="str">
        <x:v>13.0</x:v>
      </x:c>
      <x:c r="Z485" s="6" t="str">
        <x:v>None</x:v>
      </x:c>
      <x:c r="AA485" s="6" t="str">
        <x:v>22341.25</x:v>
      </x:c>
      <x:c r="AB485" s="9" t="str">
        <x:v>0.7112132379812068</x:v>
      </x:c>
      <x:c r="AC485" s="9" t="str">
        <x:v>1.7689149765173604</x:v>
      </x:c>
      <x:c r="AD485" s="9" t="str">
        <x:v>2.4254195038846285</x:v>
      </x:c>
      <x:c r="AE485" s="6" t="str">
        <x:v>With trade</x:v>
      </x:c>
      <x:c r="AF485" s="7" t="str">
        <x:v>2025-09-11 14:55:00-05:00</x:v>
      </x:c>
      <x:c r="AG485" s="6" t="str">
        <x:v>Short</x:v>
      </x:c>
      <x:c r="AH485" s="6" t="str">
        <x:v>22341.25</x:v>
      </x:c>
      <x:c r="AI485" s="8" t="str">
        <x:v>0</x:v>
      </x:c>
      <x:c r="AJ485" s="6" t="str">
        <x:v>True</x:v>
      </x:c>
      <x:c r="AK485" s="6" t="str">
        <x:v>Same-bar Setup+BOS</x:v>
      </x:c>
      <x:c r="AL485" s="9" t="str">
        <x:v>1.7689149765173604</x:v>
      </x:c>
      <x:c r="AM485" s="9" t="str">
        <x:v>0.7112132379812068</x:v>
      </x:c>
      <x:c r="AN485" s="9" t="str">
        <x:v>1.7689149765173604</x:v>
      </x:c>
      <x:c r="AO485" s="9" t="str">
        <x:v>2.4254195038846285</x:v>
      </x:c>
      <x:c r="AP485" s="10" t="str">
        <x:v>0.7293233082706767</x:v>
      </x:c>
      <x:c r="AQ485" s="6" t="str">
        <x:v>0.15037593984962405</x:v>
      </x:c>
      <x:c r="AR485" s="6" t="str">
        <x:v>0.12030075187969924</x:v>
      </x:c>
      <x:c r="AS485" s="6" t="str">
        <x:v>With trade</x:v>
      </x:c>
      <x:c r="AT485" s="6" t="str">
        <x:v>5.532891381947986</x:v>
      </x:c>
      <x:c r="AU485" s="7" t="str">
        <x:v>2025-09-11 15:05:00-05:00</x:v>
      </x:c>
      <x:c r="AV485" s="8" t="str">
        <x:v>2</x:v>
      </x:c>
      <x:c r="AW485" s="6" t="str">
        <x:v>Delayed retest (2+ bars)</x:v>
      </x:c>
      <x:c r="AX485" s="6" t="str">
        <x:v>22343.75</x:v>
      </x:c>
      <x:c r="AY485" s="6" t="str">
        <x:v>2.5</x:v>
      </x:c>
      <x:c r="AZ485" s="9" t="str">
        <x:v>0.183344416535007</x:v>
      </x:c>
      <x:c r="BA485" s="9" t="str">
        <x:v>0.0550033249605021</x:v>
      </x:c>
      <x:c r="BB485" s="9" t="str">
        <x:v>1.0633976159030405</x:v>
      </x:c>
      <x:c r="BC485" s="9" t="str">
        <x:v>0.7517121077935287</x:v>
      </x:c>
      <x:c r="BD485" s="6" t="str">
        <x:v>0.22413793103448276</x:v>
      </x:c>
      <x:c r="BE485" s="6" t="str">
        <x:v>0.06896551724137931</x:v>
      </x:c>
      <x:c r="BF485" s="9" t="str">
        <x:v>0.2383477414955091</x:v>
      </x:c>
      <x:c r="BG485" s="9" t="str">
        <x:v>0.0733377666140028</x:v>
      </x:c>
      <x:c r="BH485" s="6" t="str">
        <x:v>Against trade</x:v>
      </x:c>
      <x:c r="BI485" s="6" t="str">
        <x:v>Penetration + same-bar reclaim</x:v>
      </x:c>
      <x:c r="BJ485" s="6" t="str">
        <x:v>False</x:v>
      </x:c>
      <x:c r="BK485" s="10" t="str">
        <x:v>True</x:v>
      </x:c>
      <x:c r="BL485" s="6" t="str">
        <x:v>True</x:v>
      </x:c>
      <x:c r="BM485" s="7" t="str">
        <x:v>2025-09-11 15:10:00-05:00</x:v>
      </x:c>
      <x:c r="BN485" s="8" t="str">
        <x:v>1</x:v>
      </x:c>
      <x:c r="BO485" s="6" t="str">
        <x:v>Immediate confirmation (1 bar)</x:v>
      </x:c>
      <x:c r="BP485" s="9" t="str">
        <x:v>0.9188621027034396</x:v>
      </x:c>
      <x:c r="BQ485" s="9" t="str">
        <x:v>1.2251494702712529</x:v>
      </x:c>
      <x:c r="BR485" s="10" t="str">
        <x:v>0.75</x:v>
      </x:c>
      <x:c r="BS485" s="9" t="str">
        <x:v>1.008946622576326</x:v>
      </x:c>
      <x:c r="BT485" s="9" t="str">
        <x:v>0.9548959106525942</x:v>
      </x:c>
      <x:c r="BU485" s="9" t="str">
        <x:v>0.12611832782204074</x:v>
      </x:c>
      <x:c r="BV485" s="6" t="str">
        <x:v>With trade</x:v>
      </x:c>
      <x:c r="BW485" s="7" t="str">
        <x:v>2025-09-11 15:10:00-05:00</x:v>
      </x:c>
      <x:c r="BX485" s="6" t="str">
        <x:v>22327.25</x:v>
      </x:c>
      <x:c r="BY485" s="9" t="str">
        <x:v>13.875857936122793</x:v>
      </x:c>
      <x:c r="BZ485" s="9" t="str">
        <x:v>0.27</x:v>
      </x:c>
      <x:c r="CA485" s="6" t="str">
        <x:v>22348.063786904186</x:v>
      </x:c>
      <x:c r="CB485" s="6" t="str">
        <x:v>20.81378690418569</x:v>
      </x:c>
      <x:c r="CC485" s="9" t="str">
        <x:v>1.5000000000001081</x:v>
      </x:c>
      <x:c r="CD485" s="6" t="str">
        <x:v>22285.622426191632</x:v>
      </x:c>
      <x:c r="CE485" s="6" t="str">
        <x:v>41.62757380836774</x:v>
      </x:c>
      <x:c r="CF485" s="6" t="str">
        <x:v>Fixed 2.00R target</x:v>
      </x:c>
      <x:c r="CG485" s="9" t="str">
        <x:v>0.0348326810175135</x:v>
      </x:c>
      <x:c r="CH485" s="9" t="str">
        <x:v>-1.0</x:v>
      </x:c>
      <x:c r="CI485" s="9" t="str">
        <x:v>-1.0348326810175135</x:v>
      </x:c>
      <x:c r="CJ485" s="6" t="str">
        <x:v>Loss</x:v>
      </x:c>
      <x:c r="CK485" s="9" t="str">
        <x:v>0.1441352317966076</x:v>
      </x:c>
      <x:c r="CL485" s="9" t="str">
        <x:v>1.056991699841789</x:v>
      </x:c>
      <x:c r="CM485" s="7" t="str">
        <x:v>2025-09-11 17:00:00-05:00</x:v>
      </x:c>
      <x:c r="CN485" s="6" t="str">
        <x:v>22348.063786904186</x:v>
      </x:c>
      <x:c r="CO485" s="6" t="str">
        <x:v>STOP</x:v>
      </x:c>
      <x:c r="CP485" s="6" t="str">
        <x:v>F::Short::Same-bar Setup+BOS::Penetration + same-bar reclaim</x:v>
      </x:c>
    </x:row>
    <x:row r="486" ht="18" customHeight="1">
      <x:c r="A486" s="6" t="str">
        <x:v>A0485</x:v>
      </x:c>
      <x:c r="B486" s="6" t="str">
        <x:v>2025-09-12</x:v>
      </x:c>
      <x:c r="C486" s="6" t="str">
        <x:v>2025</x:v>
      </x:c>
      <x:c r="D486" s="6" t="str">
        <x:v>2025-Q3</x:v>
      </x:c>
      <x:c r="E486" s="6" t="str">
        <x:v>Second 50%</x:v>
      </x:c>
      <x:c r="F486" s="6" t="str">
        <x:v>Long</x:v>
      </x:c>
      <x:c r="G486" s="6" t="str">
        <x:v>Long</x:v>
      </x:c>
      <x:c r="H486" s="6" t="str">
        <x:v>Opening</x:v>
      </x:c>
      <x:c r="I486" s="6" t="str">
        <x:v>Premarket</x:v>
      </x:c>
      <x:c r="J486" s="6" t="str">
        <x:v>Bull</x:v>
      </x:c>
      <x:c r="K486" s="6" t="str">
        <x:v>Bull</x:v>
      </x:c>
      <x:c r="L486" s="6" t="str">
        <x:v>HIGH</x:v>
      </x:c>
      <x:c r="M486" s="7" t="str">
        <x:v>2025-09-12 09:20:00-05:00</x:v>
      </x:c>
      <x:c r="N486" s="6" t="str">
        <x:v>75.0</x:v>
      </x:c>
      <x:c r="O486" s="6" t="str">
        <x:v>75-79</x:v>
      </x:c>
      <x:c r="P486" s="6" t="str">
        <x:v>Matching BOS only</x:v>
      </x:c>
      <x:c r="Q486" s="6" t="str">
        <x:v>Bull CHoCH</x:v>
      </x:c>
      <x:c r="R486" s="6" t="str">
        <x:v>True</x:v>
      </x:c>
      <x:c r="S486" s="6" t="str">
        <x:v>False</x:v>
      </x:c>
      <x:c r="T486" s="6" t="str">
        <x:v>Recent SSL</x:v>
      </x:c>
      <x:c r="U486" s="6" t="str">
        <x:v>SSL</x:v>
      </x:c>
      <x:c r="V486" s="6" t="str">
        <x:v>Swing low / sell-side</x:v>
      </x:c>
      <x:c r="W486" s="6" t="str">
        <x:v>[22329.5]</x:v>
      </x:c>
      <x:c r="X486" s="8" t="str">
        <x:v>1</x:v>
      </x:c>
      <x:c r="Y486" s="8" t="str">
        <x:v>9.0</x:v>
      </x:c>
      <x:c r="Z486" s="6" t="str">
        <x:v>None</x:v>
      </x:c>
      <x:c r="AA486" s="6" t="str">
        <x:v>22384.5</x:v>
      </x:c>
      <x:c r="AB486" s="9" t="str">
        <x:v>0.38389449947483295</x:v>
      </x:c>
      <x:c r="AC486" s="9" t="str">
        <x:v>0.9734467665254692</x:v>
      </x:c>
      <x:c r="AD486" s="9" t="str">
        <x:v>1.261367641131594</x:v>
      </x:c>
      <x:c r="AE486" s="6" t="str">
        <x:v>With trade</x:v>
      </x:c>
      <x:c r="AF486" s="7" t="str">
        <x:v>2025-09-12 09:20:00-05:00</x:v>
      </x:c>
      <x:c r="AG486" s="6" t="str">
        <x:v>Long</x:v>
      </x:c>
      <x:c r="AH486" s="6" t="str">
        <x:v>22384.5</x:v>
      </x:c>
      <x:c r="AI486" s="8" t="str">
        <x:v>0</x:v>
      </x:c>
      <x:c r="AJ486" s="6" t="str">
        <x:v>True</x:v>
      </x:c>
      <x:c r="AK486" s="6" t="str">
        <x:v>Same-bar Setup+BOS</x:v>
      </x:c>
      <x:c r="AL486" s="9" t="str">
        <x:v>0.9734467665254692</x:v>
      </x:c>
      <x:c r="AM486" s="9" t="str">
        <x:v>0.38389449947483295</x:v>
      </x:c>
      <x:c r="AN486" s="9" t="str">
        <x:v>0.9734467665254692</x:v>
      </x:c>
      <x:c r="AO486" s="9" t="str">
        <x:v>1.261367641131594</x:v>
      </x:c>
      <x:c r="AP486" s="10" t="str">
        <x:v>0.7717391304347826</x:v>
      </x:c>
      <x:c r="AQ486" s="6" t="str">
        <x:v>0.08695652173913043</x:v>
      </x:c>
      <x:c r="AR486" s="6" t="str">
        <x:v>0.14130434782608695</x:v>
      </x:c>
      <x:c r="AS486" s="6" t="str">
        <x:v>With trade</x:v>
      </x:c>
      <x:c r="AT486" s="6" t="str">
        <x:v>1.7433997002277797</x:v>
      </x:c>
      <x:c r="AU486" s="7" t="str">
        <x:v>2025-09-12 09:25:00-05:00</x:v>
      </x:c>
      <x:c r="AV486" s="8" t="str">
        <x:v>1</x:v>
      </x:c>
      <x:c r="AW486" s="6" t="str">
        <x:v>Immediate retest (1 bar)</x:v>
      </x:c>
      <x:c r="AX486" s="6" t="str">
        <x:v>22386.0</x:v>
      </x:c>
      <x:c r="AY486" s="6" t="str">
        <x:v>0.0</x:v>
      </x:c>
      <x:c r="AZ486" s="9" t="str">
        <x:v>0.0</x:v>
      </x:c>
      <x:c r="BA486" s="9" t="str">
        <x:v>0.3821357907908433</x:v>
      </x:c>
      <x:c r="BB486" s="9" t="str">
        <x:v>0.580280274904614</x:v>
      </x:c>
      <x:c r="BC486" s="9" t="str">
        <x:v>0.014153177436697901</x:v>
      </x:c>
      <x:c r="BD486" s="6" t="str">
        <x:v>0.4878048780487805</x:v>
      </x:c>
      <x:c r="BE486" s="6" t="str">
        <x:v>0.4878048780487805</x:v>
      </x:c>
      <x:c r="BF486" s="9" t="str">
        <x:v>0.283063548733958</x:v>
      </x:c>
      <x:c r="BG486" s="9" t="str">
        <x:v>0.283063548733958</x:v>
      </x:c>
      <x:c r="BH486" s="6" t="str">
        <x:v>With trade</x:v>
      </x:c>
      <x:c r="BI486" s="6" t="str">
        <x:v>Tolerance-only shallow touch</x:v>
      </x:c>
      <x:c r="BJ486" s="6" t="str">
        <x:v>True</x:v>
      </x:c>
      <x:c r="BK486" s="10" t="str">
        <x:v>False</x:v>
      </x:c>
      <x:c r="BL486" s="6" t="str">
        <x:v>True</x:v>
      </x:c>
      <x:c r="BM486" s="7" t="str">
        <x:v>2025-09-12 09:30:00-05:00</x:v>
      </x:c>
      <x:c r="BN486" s="8" t="str">
        <x:v>1</x:v>
      </x:c>
      <x:c r="BO486" s="6" t="str">
        <x:v>Immediate confirmation (1 bar)</x:v>
      </x:c>
      <x:c r="BP486" s="9" t="str">
        <x:v>0.49072546023599606</x:v>
      </x:c>
      <x:c r="BQ486" s="9" t="str">
        <x:v>1.1216581948251338</x:v>
      </x:c>
      <x:c r="BR486" s="10" t="str">
        <x:v>0.4375</x:v>
      </x:c>
      <x:c r="BS486" s="9" t="str">
        <x:v>0.8692851009894786</x:v>
      </x:c>
      <x:c r="BT486" s="9" t="str">
        <x:v>0.49072546023599606</x:v>
      </x:c>
      <x:c r="BU486" s="9" t="str">
        <x:v>0.37855964075348264</x:v>
      </x:c>
      <x:c r="BV486" s="6" t="str">
        <x:v>With trade</x:v>
      </x:c>
      <x:c r="BW486" s="7" t="str">
        <x:v>2025-09-12 09:30:00-05:00</x:v>
      </x:c>
      <x:c r="BX486" s="6" t="str">
        <x:v>22400.0</x:v>
      </x:c>
      <x:c r="BY486" s="9" t="str">
        <x:v>17.83074388639223</x:v>
      </x:c>
      <x:c r="BZ486" s="9" t="str">
        <x:v>0.98</x:v>
      </x:c>
      <x:c r="CA486" s="6" t="str">
        <x:v>22373.25388417041</x:v>
      </x:c>
      <x:c r="CB486" s="6" t="str">
        <x:v>26.746115829588234</x:v>
      </x:c>
      <x:c r="CC486" s="9" t="str">
        <x:v>1.4999999999999938</x:v>
      </x:c>
      <x:c r="CD486" s="6" t="str">
        <x:v>22453.492231659176</x:v>
      </x:c>
      <x:c r="CE486" s="6" t="str">
        <x:v>53.49223165917647</x:v>
      </x:c>
      <x:c r="CF486" s="6" t="str">
        <x:v>Fixed 2.00R target</x:v>
      </x:c>
      <x:c r="CG486" s="9" t="str">
        <x:v>0.02710673970827418</x:v>
      </x:c>
      <x:c r="CH486" s="9" t="str">
        <x:v>0.4860518844242246</x:v>
      </x:c>
      <x:c r="CI486" s="9" t="str">
        <x:v>0.4589451447159504</x:v>
      </x:c>
      <x:c r="CJ486" s="6" t="str">
        <x:v>Win</x:v>
      </x:c>
      <x:c r="CK486" s="9" t="str">
        <x:v>1.3272955305430805</x:v>
      </x:c>
      <x:c r="CL486" s="9" t="str">
        <x:v>0.1775958808473136</x:v>
      </x:c>
      <x:c r="CM486" s="7" t="str">
        <x:v>2025-09-12 10:30:00-05:00</x:v>
      </x:c>
      <x:c r="CN486" s="6" t="str">
        <x:v>22413.0</x:v>
      </x:c>
      <x:c r="CO486" s="6" t="str">
        <x:v>TIME</x:v>
      </x:c>
      <x:c r="CP486" s="6" t="str">
        <x:v>F::Long::Same-bar Setup+BOS::Tolerance-only shallow touch</x:v>
      </x:c>
    </x:row>
    <x:row r="487" ht="18" customHeight="1">
      <x:c r="A487" s="6" t="str">
        <x:v>A0486</x:v>
      </x:c>
      <x:c r="B487" s="6" t="str">
        <x:v>2025-09-12</x:v>
      </x:c>
      <x:c r="C487" s="6" t="str">
        <x:v>2025</x:v>
      </x:c>
      <x:c r="D487" s="6" t="str">
        <x:v>2025-Q3</x:v>
      </x:c>
      <x:c r="E487" s="6" t="str">
        <x:v>Second 50%</x:v>
      </x:c>
      <x:c r="F487" s="6" t="str">
        <x:v>Long</x:v>
      </x:c>
      <x:c r="G487" s="6" t="str">
        <x:v>Long</x:v>
      </x:c>
      <x:c r="H487" s="6" t="str">
        <x:v>Midday</x:v>
      </x:c>
      <x:c r="I487" s="6" t="str">
        <x:v>Midday</x:v>
      </x:c>
      <x:c r="J487" s="6" t="str">
        <x:v>Bull</x:v>
      </x:c>
      <x:c r="K487" s="6" t="str">
        <x:v>Bull</x:v>
      </x:c>
      <x:c r="L487" s="6" t="str">
        <x:v>MID</x:v>
      </x:c>
      <x:c r="M487" s="7" t="str">
        <x:v>2025-09-12 13:30:00-05:00</x:v>
      </x:c>
      <x:c r="N487" s="6" t="str">
        <x:v>75.0</x:v>
      </x:c>
      <x:c r="O487" s="6" t="str">
        <x:v>75-79</x:v>
      </x:c>
      <x:c r="P487" s="6" t="str">
        <x:v>Matching BOS only</x:v>
      </x:c>
      <x:c r="Q487" s="6" t="str">
        <x:v>Bull BOS</x:v>
      </x:c>
      <x:c r="R487" s="6" t="str">
        <x:v>True</x:v>
      </x:c>
      <x:c r="S487" s="6" t="str">
        <x:v>False</x:v>
      </x:c>
      <x:c r="T487" s="6" t="str">
        <x:v>No recent matching sweep</x:v>
      </x:c>
      <x:c r="U487" s="6" t="str">
        <x:v>None</x:v>
      </x:c>
      <x:c r="V487" s="6" t="str">
        <x:v>None</x:v>
      </x:c>
      <x:c r="W487" s="6" t="str">
        <x:v>[]</x:v>
      </x:c>
      <x:c r="X487" s="8" t="str">
        <x:v>0</x:v>
      </x:c>
      <x:c r="Y487" s="8" t="str"/>
      <x:c r="Z487" s="6" t="str">
        <x:v>Sweep below CRT reference</x:v>
      </x:c>
      <x:c r="AA487" s="6" t="str">
        <x:v>22448.25</x:v>
      </x:c>
      <x:c r="AB487" s="9" t="str">
        <x:v>0.3370040464008073</x:v>
      </x:c>
      <x:c r="AC487" s="9" t="str">
        <x:v>0.9387969864022487</x:v>
      </x:c>
      <x:c r="AD487" s="9" t="str">
        <x:v>1.7331636672041515</x:v>
      </x:c>
      <x:c r="AE487" s="6" t="str">
        <x:v>With trade</x:v>
      </x:c>
      <x:c r="AF487" s="7" t="str">
        <x:v>2025-09-12 13:30:00-05:00</x:v>
      </x:c>
      <x:c r="AG487" s="6" t="str">
        <x:v>Long</x:v>
      </x:c>
      <x:c r="AH487" s="6" t="str">
        <x:v>22448.25</x:v>
      </x:c>
      <x:c r="AI487" s="8" t="str">
        <x:v>0</x:v>
      </x:c>
      <x:c r="AJ487" s="6" t="str">
        <x:v>True</x:v>
      </x:c>
      <x:c r="AK487" s="6" t="str">
        <x:v>Same-bar Setup+BOS</x:v>
      </x:c>
      <x:c r="AL487" s="9" t="str">
        <x:v>0.9387969864022487</x:v>
      </x:c>
      <x:c r="AM487" s="9" t="str">
        <x:v>0.3370040464008073</x:v>
      </x:c>
      <x:c r="AN487" s="9" t="str">
        <x:v>0.9387969864022487</x:v>
      </x:c>
      <x:c r="AO487" s="9" t="str">
        <x:v>1.7331636672041515</x:v>
      </x:c>
      <x:c r="AP487" s="10" t="str">
        <x:v>0.5416666666666666</x:v>
      </x:c>
      <x:c r="AQ487" s="6" t="str">
        <x:v>0.3194444444444444</x:v>
      </x:c>
      <x:c r="AR487" s="6" t="str">
        <x:v>0.1388888888888889</x:v>
      </x:c>
      <x:c r="AS487" s="6" t="str">
        <x:v>With trade</x:v>
      </x:c>
      <x:c r="AT487" s="6" t="str">
        <x:v>1.915779951915066</x:v>
      </x:c>
      <x:c r="AU487" s="7" t="str">
        <x:v>2025-09-12 13:35:00-05:00</x:v>
      </x:c>
      <x:c r="AV487" s="8" t="str">
        <x:v>1</x:v>
      </x:c>
      <x:c r="AW487" s="6" t="str">
        <x:v>Immediate retest (1 bar)</x:v>
      </x:c>
      <x:c r="AX487" s="6" t="str">
        <x:v>22448.75</x:v>
      </x:c>
      <x:c r="AY487" s="6" t="str">
        <x:v>0.0</x:v>
      </x:c>
      <x:c r="AZ487" s="9" t="str">
        <x:v>0.0</x:v>
      </x:c>
      <x:c r="BA487" s="9" t="str">
        <x:v>1.045746551807299</x:v>
      </x:c>
      <x:c r="BB487" s="9" t="str">
        <x:v>1.1645813872399466</x:v>
      </x:c>
      <x:c r="BC487" s="9" t="str">
        <x:v>0.6892420455093562</x:v>
      </x:c>
      <x:c r="BD487" s="6" t="str">
        <x:v>0.14285714285714285</x:v>
      </x:c>
      <x:c r="BE487" s="6" t="str">
        <x:v>0.2653061224489796</x:v>
      </x:c>
      <x:c r="BF487" s="9" t="str">
        <x:v>0.3089705721248838</x:v>
      </x:c>
      <x:c r="BG487" s="9" t="str">
        <x:v>0.16636876960570668</x:v>
      </x:c>
      <x:c r="BH487" s="6" t="str">
        <x:v>With trade</x:v>
      </x:c>
      <x:c r="BI487" s="6" t="str">
        <x:v>Tolerance-only shallow touch</x:v>
      </x:c>
      <x:c r="BJ487" s="6" t="str">
        <x:v>True</x:v>
      </x:c>
      <x:c r="BK487" s="10" t="str">
        <x:v>False</x:v>
      </x:c>
      <x:c r="BL487" s="6" t="str">
        <x:v>True</x:v>
      </x:c>
      <x:c r="BM487" s="7" t="str">
        <x:v>2025-09-12 13:40:00-05:00</x:v>
      </x:c>
      <x:c r="BN487" s="8" t="str">
        <x:v>1</x:v>
      </x:c>
      <x:c r="BO487" s="6" t="str">
        <x:v>Immediate confirmation (1 bar)</x:v>
      </x:c>
      <x:c r="BP487" s="9" t="str">
        <x:v>0.09722599340569486</x:v>
      </x:c>
      <x:c r="BQ487" s="9" t="str">
        <x:v>0.7048884521912877</x:v>
      </x:c>
      <x:c r="BR487" s="10" t="str">
        <x:v>0.13793103448275862</x:v>
      </x:c>
      <x:c r="BS487" s="9" t="str">
        <x:v>1.0937924258140672</x:v>
      </x:c>
      <x:c r="BT487" s="9" t="str">
        <x:v>0.024306498351423716</x:v>
      </x:c>
      <x:c r="BU487" s="9" t="str">
        <x:v>0.2916779802170846</x:v>
      </x:c>
      <x:c r="BV487" s="6" t="str">
        <x:v>With trade</x:v>
      </x:c>
      <x:c r="BW487" s="7" t="str">
        <x:v>2025-09-12 13:40:00-05:00</x:v>
      </x:c>
      <x:c r="BX487" s="6" t="str">
        <x:v>22459.5</x:v>
      </x:c>
      <x:c r="BY487" s="9" t="str">
        <x:v>10.285315325370865</x:v>
      </x:c>
      <x:c r="BZ487" s="9" t="str">
        <x:v>0.4</x:v>
      </x:c>
      <x:c r="CA487" s="6" t="str">
        <x:v>22444.072027011945</x:v>
      </x:c>
      <x:c r="CB487" s="6" t="str">
        <x:v>15.427972988054535</x:v>
      </x:c>
      <x:c r="CC487" s="9" t="str">
        <x:v>1.4999999999998286</x:v>
      </x:c>
      <x:c r="CD487" s="6" t="str">
        <x:v>22490.355945976113</x:v>
      </x:c>
      <x:c r="CE487" s="6" t="str">
        <x:v>30.855945976112707</x:v>
      </x:c>
      <x:c r="CF487" s="6" t="str">
        <x:v>Fixed 2.00R target</x:v>
      </x:c>
      <x:c r="CG487" s="9" t="str">
        <x:v>0.04699256347942455</x:v>
      </x:c>
      <x:c r="CH487" s="9" t="str">
        <x:v>-1.0</x:v>
      </x:c>
      <x:c r="CI487" s="9" t="str">
        <x:v>-1.0469925634794246</x:v>
      </x:c>
      <x:c r="CJ487" s="6" t="str">
        <x:v>Loss</x:v>
      </x:c>
      <x:c r="CK487" s="9" t="str">
        <x:v>0.1134303256399903</x:v>
      </x:c>
      <x:c r="CL487" s="9" t="str">
        <x:v>1.3935725721484522</x:v>
      </x:c>
      <x:c r="CM487" s="7" t="str">
        <x:v>2025-09-12 13:45:00-05:00</x:v>
      </x:c>
      <x:c r="CN487" s="6" t="str">
        <x:v>22444.072027011945</x:v>
      </x:c>
      <x:c r="CO487" s="6" t="str">
        <x:v>STOP</x:v>
      </x:c>
      <x:c r="CP487" s="6" t="str">
        <x:v>F::Long::Same-bar Setup+BOS::Tolerance-only shallow touch</x:v>
      </x:c>
    </x:row>
    <x:row r="488" ht="18" customHeight="1">
      <x:c r="A488" s="6" t="str">
        <x:v>A0487</x:v>
      </x:c>
      <x:c r="B488" s="6" t="str">
        <x:v>2025-09-15</x:v>
      </x:c>
      <x:c r="C488" s="6" t="str">
        <x:v>2025</x:v>
      </x:c>
      <x:c r="D488" s="6" t="str">
        <x:v>2025-Q3</x:v>
      </x:c>
      <x:c r="E488" s="6" t="str">
        <x:v>Second 50%</x:v>
      </x:c>
      <x:c r="F488" s="6" t="str">
        <x:v>Long</x:v>
      </x:c>
      <x:c r="G488" s="6" t="str">
        <x:v>Long</x:v>
      </x:c>
      <x:c r="H488" s="6" t="str">
        <x:v>Morning</x:v>
      </x:c>
      <x:c r="I488" s="6" t="str">
        <x:v>Morning</x:v>
      </x:c>
      <x:c r="J488" s="6" t="str">
        <x:v>Bull</x:v>
      </x:c>
      <x:c r="K488" s="6" t="str">
        <x:v>Bull</x:v>
      </x:c>
      <x:c r="L488" s="6" t="str">
        <x:v>HIGH</x:v>
      </x:c>
      <x:c r="M488" s="7" t="str">
        <x:v>2025-09-15 10:45:00-05:00</x:v>
      </x:c>
      <x:c r="N488" s="6" t="str">
        <x:v>75.0</x:v>
      </x:c>
      <x:c r="O488" s="6" t="str">
        <x:v>75-79</x:v>
      </x:c>
      <x:c r="P488" s="6" t="str">
        <x:v>Matching BOS only</x:v>
      </x:c>
      <x:c r="Q488" s="6" t="str">
        <x:v>Bull BOS</x:v>
      </x:c>
      <x:c r="R488" s="6" t="str">
        <x:v>True</x:v>
      </x:c>
      <x:c r="S488" s="6" t="str">
        <x:v>False</x:v>
      </x:c>
      <x:c r="T488" s="6" t="str">
        <x:v>No recent matching sweep</x:v>
      </x:c>
      <x:c r="U488" s="6" t="str">
        <x:v>None</x:v>
      </x:c>
      <x:c r="V488" s="6" t="str">
        <x:v>None</x:v>
      </x:c>
      <x:c r="W488" s="6" t="str">
        <x:v>[]</x:v>
      </x:c>
      <x:c r="X488" s="8" t="str">
        <x:v>0</x:v>
      </x:c>
      <x:c r="Y488" s="8" t="str"/>
      <x:c r="Z488" s="6" t="str">
        <x:v>Both CRT sweeps</x:v>
      </x:c>
      <x:c r="AA488" s="6" t="str">
        <x:v>22590.0</x:v>
      </x:c>
      <x:c r="AB488" s="9" t="str">
        <x:v>0.47958983994422044</x:v>
      </x:c>
      <x:c r="AC488" s="9" t="str">
        <x:v>1.0365328798794442</x:v>
      </x:c>
      <x:c r="AD488" s="9" t="str">
        <x:v>1.2067099198596516</x:v>
      </x:c>
      <x:c r="AE488" s="6" t="str">
        <x:v>With trade</x:v>
      </x:c>
      <x:c r="AF488" s="7" t="str">
        <x:v>2025-09-15 10:45:00-05:00</x:v>
      </x:c>
      <x:c r="AG488" s="6" t="str">
        <x:v>Long</x:v>
      </x:c>
      <x:c r="AH488" s="6" t="str">
        <x:v>22590.0</x:v>
      </x:c>
      <x:c r="AI488" s="8" t="str">
        <x:v>0</x:v>
      </x:c>
      <x:c r="AJ488" s="6" t="str">
        <x:v>True</x:v>
      </x:c>
      <x:c r="AK488" s="6" t="str">
        <x:v>Same-bar Setup+BOS</x:v>
      </x:c>
      <x:c r="AL488" s="9" t="str">
        <x:v>1.052003519877645</x:v>
      </x:c>
      <x:c r="AM488" s="9" t="str">
        <x:v>0.47958983994422044</x:v>
      </x:c>
      <x:c r="AN488" s="9" t="str">
        <x:v>1.0365328798794442</x:v>
      </x:c>
      <x:c r="AO488" s="9" t="str">
        <x:v>1.2067099198596516</x:v>
      </x:c>
      <x:c r="AP488" s="10" t="str">
        <x:v>0.8589743589743589</x:v>
      </x:c>
      <x:c r="AQ488" s="6" t="str">
        <x:v>0.0641025641025641</x:v>
      </x:c>
      <x:c r="AR488" s="6" t="str">
        <x:v>0.07692307692307693</x:v>
      </x:c>
      <x:c r="AS488" s="6" t="str">
        <x:v>With trade</x:v>
      </x:c>
      <x:c r="AT488" s="6" t="str">
        <x:v>0.7862486073531753</x:v>
      </x:c>
      <x:c r="AU488" s="7" t="str">
        <x:v>2025-09-15 11:00:00-05:00</x:v>
      </x:c>
      <x:c r="AV488" s="8" t="str">
        <x:v>3</x:v>
      </x:c>
      <x:c r="AW488" s="6" t="str">
        <x:v>Delayed retest (2+ bars)</x:v>
      </x:c>
      <x:c r="AX488" s="6" t="str">
        <x:v>22585.75</x:v>
      </x:c>
      <x:c r="AY488" s="6" t="str">
        <x:v>4.25</x:v>
      </x:c>
      <x:c r="AZ488" s="9" t="str">
        <x:v>0.2722811216197499</x:v>
      </x:c>
      <x:c r="BA488" s="9" t="str">
        <x:v>0.0</x:v>
      </x:c>
      <x:c r="BB488" s="9" t="str">
        <x:v>0.9930252670837936</x:v>
      </x:c>
      <x:c r="BC488" s="9" t="str">
        <x:v>0.6406614626347056</x:v>
      </x:c>
      <x:c r="BD488" s="6" t="str">
        <x:v>0.08064516129032258</x:v>
      </x:c>
      <x:c r="BE488" s="6" t="str">
        <x:v>0.27419354838709675</x:v>
      </x:c>
      <x:c r="BF488" s="9" t="str">
        <x:v>0.2722811216197499</x:v>
      </x:c>
      <x:c r="BG488" s="9" t="str">
        <x:v>0.0800826828293382</x:v>
      </x:c>
      <x:c r="BH488" s="6" t="str">
        <x:v>Against trade</x:v>
      </x:c>
      <x:c r="BI488" s="6" t="str">
        <x:v>Penetration without same-bar reclaim</x:v>
      </x:c>
      <x:c r="BJ488" s="6" t="str">
        <x:v>False</x:v>
      </x:c>
      <x:c r="BK488" s="10" t="str">
        <x:v>True</x:v>
      </x:c>
      <x:c r="BL488" s="6" t="str">
        <x:v>False</x:v>
      </x:c>
      <x:c r="BM488" s="7" t="str">
        <x:v>2025-09-15 11:05:00-05:00</x:v>
      </x:c>
      <x:c r="BN488" s="8" t="str">
        <x:v>1</x:v>
      </x:c>
      <x:c r="BO488" s="6" t="str">
        <x:v>Immediate confirmation (1 bar)</x:v>
      </x:c>
      <x:c r="BP488" s="9" t="str">
        <x:v>0.8532059020914036</x:v>
      </x:c>
      <x:c r="BQ488" s="9" t="str">
        <x:v>0.9336970249302152</x:v>
      </x:c>
      <x:c r="BR488" s="10" t="str">
        <x:v>0.9137931034482759</x:v>
      </x:c>
      <x:c r="BS488" s="9" t="str">
        <x:v>0.8532059020914036</x:v>
      </x:c>
      <x:c r="BT488" s="9" t="str">
        <x:v>0.8532059020914036</x:v>
      </x:c>
      <x:c r="BU488" s="9" t="str">
        <x:v>0.06439289827104933</x:v>
      </x:c>
      <x:c r="BV488" s="6" t="str">
        <x:v>With trade</x:v>
      </x:c>
      <x:c r="BW488" s="7" t="str">
        <x:v>2025-09-15 11:05:00-05:00</x:v>
      </x:c>
      <x:c r="BX488" s="6" t="str">
        <x:v>22603.25</x:v>
      </x:c>
      <x:c r="BY488" s="9" t="str">
        <x:v>15.529662848699484</x:v>
      </x:c>
      <x:c r="BZ488" s="9" t="str">
        <x:v>0.68</x:v>
      </x:c>
      <x:c r="CA488" s="6" t="str">
        <x:v>22579.95550572695</x:v>
      </x:c>
      <x:c r="CB488" s="6" t="str">
        <x:v>23.294494273050077</x:v>
      </x:c>
      <x:c r="CC488" s="9" t="str">
        <x:v>1.5000000000000548</x:v>
      </x:c>
      <x:c r="CD488" s="6" t="str">
        <x:v>22649.8389885461</x:v>
      </x:c>
      <x:c r="CE488" s="6" t="str">
        <x:v>46.588988546100154</x:v>
      </x:c>
      <x:c r="CF488" s="6" t="str">
        <x:v>Fixed 2.00R target</x:v>
      </x:c>
      <x:c r="CG488" s="9" t="str">
        <x:v>0.03112323416433937</x:v>
      </x:c>
      <x:c r="CH488" s="9" t="str">
        <x:v>-0.4400181381855038</x:v>
      </x:c>
      <x:c r="CI488" s="9" t="str">
        <x:v>-0.47114137234984316</x:v>
      </x:c>
      <x:c r="CJ488" s="6" t="str">
        <x:v>Loss</x:v>
      </x:c>
      <x:c r="CK488" s="9" t="str">
        <x:v>0.5044110364565346</x:v>
      </x:c>
      <x:c r="CL488" s="9" t="str">
        <x:v>0.9551613243538635</x:v>
      </x:c>
      <x:c r="CM488" s="7" t="str">
        <x:v>2025-09-15 12:05:00-05:00</x:v>
      </x:c>
      <x:c r="CN488" s="6" t="str">
        <x:v>22593.0</x:v>
      </x:c>
      <x:c r="CO488" s="6" t="str">
        <x:v>TIME</x:v>
      </x:c>
      <x:c r="CP488" s="6" t="str">
        <x:v>F::Long::Same-bar Setup+BOS::Penetration without same-bar reclaim</x:v>
      </x:c>
    </x:row>
    <x:row r="489" ht="18" customHeight="1">
      <x:c r="A489" s="6" t="str">
        <x:v>A0488</x:v>
      </x:c>
      <x:c r="B489" s="6" t="str">
        <x:v>2025-09-15</x:v>
      </x:c>
      <x:c r="C489" s="6" t="str">
        <x:v>2025</x:v>
      </x:c>
      <x:c r="D489" s="6" t="str">
        <x:v>2025-Q3</x:v>
      </x:c>
      <x:c r="E489" s="6" t="str">
        <x:v>Second 50%</x:v>
      </x:c>
      <x:c r="F489" s="6" t="str">
        <x:v>Long</x:v>
      </x:c>
      <x:c r="G489" s="6" t="str">
        <x:v>Long</x:v>
      </x:c>
      <x:c r="H489" s="6" t="str">
        <x:v>Afternoon</x:v>
      </x:c>
      <x:c r="I489" s="6" t="str">
        <x:v>Afternoon</x:v>
      </x:c>
      <x:c r="J489" s="6" t="str">
        <x:v>Bull</x:v>
      </x:c>
      <x:c r="K489" s="6" t="str">
        <x:v>Bull</x:v>
      </x:c>
      <x:c r="L489" s="6" t="str">
        <x:v>MID</x:v>
      </x:c>
      <x:c r="M489" s="7" t="str">
        <x:v>2025-09-15 14:45:00-05:00</x:v>
      </x:c>
      <x:c r="N489" s="6" t="str">
        <x:v>100.0</x:v>
      </x:c>
      <x:c r="O489" s="6" t="str">
        <x:v>95+</x:v>
      </x:c>
      <x:c r="P489" s="6" t="str">
        <x:v>Matching BOS only</x:v>
      </x:c>
      <x:c r="Q489" s="6" t="str">
        <x:v>Bull BOS</x:v>
      </x:c>
      <x:c r="R489" s="6" t="str">
        <x:v>True</x:v>
      </x:c>
      <x:c r="S489" s="6" t="str">
        <x:v>False</x:v>
      </x:c>
      <x:c r="T489" s="6" t="str">
        <x:v>Recent SSL</x:v>
      </x:c>
      <x:c r="U489" s="6" t="str">
        <x:v>SSL</x:v>
      </x:c>
      <x:c r="V489" s="6" t="str">
        <x:v>Swing low / sell-side</x:v>
      </x:c>
      <x:c r="W489" s="6" t="str">
        <x:v>[22568.75]</x:v>
      </x:c>
      <x:c r="X489" s="8" t="str">
        <x:v>1</x:v>
      </x:c>
      <x:c r="Y489" s="8" t="str">
        <x:v>13.0</x:v>
      </x:c>
      <x:c r="Z489" s="6" t="str">
        <x:v>None</x:v>
      </x:c>
      <x:c r="AA489" s="6" t="str">
        <x:v>22601.0</x:v>
      </x:c>
      <x:c r="AB489" s="9" t="str">
        <x:v>0.8193657657403814</x:v>
      </x:c>
      <x:c r="AC489" s="9" t="str">
        <x:v>1.1134970662625696</x:v>
      </x:c>
      <x:c r="AD489" s="9" t="str">
        <x:v>1.4076283667847578</x:v>
      </x:c>
      <x:c r="AE489" s="6" t="str">
        <x:v>With trade</x:v>
      </x:c>
      <x:c r="AF489" s="7" t="str">
        <x:v>2025-09-15 14:45:00-05:00</x:v>
      </x:c>
      <x:c r="AG489" s="6" t="str">
        <x:v>Long</x:v>
      </x:c>
      <x:c r="AH489" s="6" t="str">
        <x:v>22601.0</x:v>
      </x:c>
      <x:c r="AI489" s="8" t="str">
        <x:v>0</x:v>
      </x:c>
      <x:c r="AJ489" s="6" t="str">
        <x:v>True</x:v>
      </x:c>
      <x:c r="AK489" s="6" t="str">
        <x:v>Same-bar Setup+BOS</x:v>
      </x:c>
      <x:c r="AL489" s="9" t="str">
        <x:v>1.0924876876538419</x:v>
      </x:c>
      <x:c r="AM489" s="9" t="str">
        <x:v>0.8193657657403814</x:v>
      </x:c>
      <x:c r="AN489" s="9" t="str">
        <x:v>1.1134970662625696</x:v>
      </x:c>
      <x:c r="AO489" s="9" t="str">
        <x:v>1.4076283667847578</x:v>
      </x:c>
      <x:c r="AP489" s="10" t="str">
        <x:v>0.7910447761194029</x:v>
      </x:c>
      <x:c r="AQ489" s="6" t="str">
        <x:v>0.11940298507462686</x:v>
      </x:c>
      <x:c r="AR489" s="6" t="str">
        <x:v>0.08955223880597014</x:v>
      </x:c>
      <x:c r="AS489" s="6" t="str">
        <x:v>With trade</x:v>
      </x:c>
      <x:c r="AT489" s="6" t="str">
        <x:v>1.4237629125236972</x:v>
      </x:c>
      <x:c r="AU489" s="7" t="str">
        <x:v>2025-09-15 14:50:00-05:00</x:v>
      </x:c>
      <x:c r="AV489" s="8" t="str">
        <x:v>1</x:v>
      </x:c>
      <x:c r="AW489" s="6" t="str">
        <x:v>Immediate retest (1 bar)</x:v>
      </x:c>
      <x:c r="AX489" s="6" t="str">
        <x:v>22585.5</x:v>
      </x:c>
      <x:c r="AY489" s="6" t="str">
        <x:v>15.5</x:v>
      </x:c>
      <x:c r="AZ489" s="9" t="str">
        <x:v>1.1845442486289728</x:v>
      </x:c>
      <x:c r="BA489" s="9" t="str">
        <x:v>0.5158499147255204</x:v>
      </x:c>
      <x:c r="BB489" s="9" t="str">
        <x:v>2.178032973285531</x:v>
      </x:c>
      <x:c r="BC489" s="9" t="str">
        <x:v>0.17194997157517347</x:v>
      </x:c>
      <x:c r="BD489" s="6" t="str">
        <x:v>0.14035087719298245</x:v>
      </x:c>
      <x:c r="BE489" s="6" t="str">
        <x:v>0.7807017543859649</x:v>
      </x:c>
      <x:c r="BF489" s="9" t="str">
        <x:v>1.7003941633544932</x:v>
      </x:c>
      <x:c r="BG489" s="9" t="str">
        <x:v>0.30568883835586397</x:v>
      </x:c>
      <x:c r="BH489" s="6" t="str">
        <x:v>Against trade</x:v>
      </x:c>
      <x:c r="BI489" s="6" t="str">
        <x:v>Penetration + same-bar reclaim</x:v>
      </x:c>
      <x:c r="BJ489" s="6" t="str">
        <x:v>False</x:v>
      </x:c>
      <x:c r="BK489" s="10" t="str">
        <x:v>True</x:v>
      </x:c>
      <x:c r="BL489" s="6" t="str">
        <x:v>True</x:v>
      </x:c>
      <x:c r="BM489" s="7" t="str">
        <x:v>2025-09-15 14:55:00-05:00</x:v>
      </x:c>
      <x:c r="BN489" s="8" t="str">
        <x:v>1</x:v>
      </x:c>
      <x:c r="BO489" s="6" t="str">
        <x:v>Immediate confirmation (1 bar)</x:v>
      </x:c>
      <x:c r="BP489" s="9" t="str">
        <x:v>1.6570414989338702</x:v>
      </x:c>
      <x:c r="BQ489" s="9" t="str">
        <x:v>2.611095695289735</x:v>
      </x:c>
      <x:c r="BR489" s="10" t="str">
        <x:v>0.6346153846153846</x:v>
      </x:c>
      <x:c r="BS489" s="9" t="str">
        <x:v>2.0587485289784446</x:v>
      </x:c>
      <x:c r="BT489" s="9" t="str">
        <x:v>1.6068281201782983</x:v>
      </x:c>
      <x:c r="BU489" s="9" t="str">
        <x:v>0.7029873025780056</x:v>
      </x:c>
      <x:c r="BV489" s="6" t="str">
        <x:v>With trade</x:v>
      </x:c>
      <x:c r="BW489" s="7" t="str">
        <x:v>2025-09-15 14:55:00-05:00</x:v>
      </x:c>
      <x:c r="BX489" s="6" t="str">
        <x:v>22631.75</x:v>
      </x:c>
      <x:c r="BY489" s="9" t="str">
        <x:v>14.936258395413748</x:v>
      </x:c>
      <x:c r="BZ489" s="9" t="str">
        <x:v>0.66</x:v>
      </x:c>
      <x:c r="CA489" s="6" t="str">
        <x:v>22609.34561240688</x:v>
      </x:c>
      <x:c r="CB489" s="6" t="str">
        <x:v>22.40438759312019</x:v>
      </x:c>
      <x:c r="CC489" s="9" t="str">
        <x:v>1.4999999999999711</x:v>
      </x:c>
      <x:c r="CD489" s="6" t="str">
        <x:v>22676.55877518624</x:v>
      </x:c>
      <x:c r="CE489" s="6" t="str">
        <x:v>44.80877518624038</x:v>
      </x:c>
      <x:c r="CF489" s="6" t="str">
        <x:v>Fixed 2.00R target</x:v>
      </x:c>
      <x:c r="CG489" s="9" t="str">
        <x:v>0.03235973297581358</x:v>
      </x:c>
      <x:c r="CH489" s="9" t="str">
        <x:v>-1.0</x:v>
      </x:c>
      <x:c r="CI489" s="9" t="str">
        <x:v>-1.0323597329758136</x:v>
      </x:c>
      <x:c r="CJ489" s="6" t="str">
        <x:v>Loss</x:v>
      </x:c>
      <x:c r="CK489" s="9" t="str">
        <x:v>0.1227438147358446</x:v>
      </x:c>
      <x:c r="CL489" s="9" t="str">
        <x:v>1.1493284470719993</x:v>
      </x:c>
      <x:c r="CM489" s="7" t="str">
        <x:v>2025-09-15 15:10:00-05:00</x:v>
      </x:c>
      <x:c r="CN489" s="6" t="str">
        <x:v>22609.34561240688</x:v>
      </x:c>
      <x:c r="CO489" s="6" t="str">
        <x:v>STOP</x:v>
      </x:c>
      <x:c r="CP489" s="6" t="str">
        <x:v>F::Long::Same-bar Setup+BOS::Penetration + same-bar reclaim</x:v>
      </x:c>
    </x:row>
    <x:row r="490" ht="18" customHeight="1">
      <x:c r="A490" s="6" t="str">
        <x:v>A0489</x:v>
      </x:c>
      <x:c r="B490" s="6" t="str">
        <x:v>2025-09-16</x:v>
      </x:c>
      <x:c r="C490" s="6" t="str">
        <x:v>2025</x:v>
      </x:c>
      <x:c r="D490" s="6" t="str">
        <x:v>2025-Q3</x:v>
      </x:c>
      <x:c r="E490" s="6" t="str">
        <x:v>Second 50%</x:v>
      </x:c>
      <x:c r="F490" s="6" t="str">
        <x:v>Long</x:v>
      </x:c>
      <x:c r="G490" s="6" t="str">
        <x:v>Long</x:v>
      </x:c>
      <x:c r="H490" s="6" t="str">
        <x:v>Overnight</x:v>
      </x:c>
      <x:c r="I490" s="6" t="str">
        <x:v>Overnight</x:v>
      </x:c>
      <x:c r="J490" s="6" t="str">
        <x:v>Bull</x:v>
      </x:c>
      <x:c r="K490" s="6" t="str">
        <x:v>Bull</x:v>
      </x:c>
      <x:c r="L490" s="6" t="str">
        <x:v>HIGH</x:v>
      </x:c>
      <x:c r="M490" s="7" t="str">
        <x:v>2025-09-16 02:05:00-05:00</x:v>
      </x:c>
      <x:c r="N490" s="6" t="str">
        <x:v>75.0</x:v>
      </x:c>
      <x:c r="O490" s="6" t="str">
        <x:v>75-79</x:v>
      </x:c>
      <x:c r="P490" s="6" t="str">
        <x:v>Matching liquidity sweep only</x:v>
      </x:c>
      <x:c r="Q490" s="6" t="str">
        <x:v>Recent bull structure</x:v>
      </x:c>
      <x:c r="R490" s="6" t="str">
        <x:v>False</x:v>
      </x:c>
      <x:c r="S490" s="6" t="str">
        <x:v>True</x:v>
      </x:c>
      <x:c r="T490" s="6" t="str">
        <x:v>Recent SSL</x:v>
      </x:c>
      <x:c r="U490" s="6" t="str">
        <x:v>SSL</x:v>
      </x:c>
      <x:c r="V490" s="6" t="str">
        <x:v>Swing low / sell-side</x:v>
      </x:c>
      <x:c r="W490" s="6" t="str">
        <x:v>[22663.5]</x:v>
      </x:c>
      <x:c r="X490" s="8" t="str">
        <x:v>1</x:v>
      </x:c>
      <x:c r="Y490" s="8" t="str">
        <x:v>0.0</x:v>
      </x:c>
      <x:c r="Z490" s="6" t="str">
        <x:v>Sweep below CRT reference</x:v>
      </x:c>
      <x:c r="AA490" s="6" t="str">
        <x:v>22681.5</x:v>
      </x:c>
      <x:c r="AB490" s="9" t="str">
        <x:v>-2.0566382101458744</x:v>
      </x:c>
      <x:c r="AC490" s="9" t="str">
        <x:v>0.723631962829104</x:v>
      </x:c>
      <x:c r="AD490" s="9" t="str">
        <x:v>1.9423805318044371</x:v>
      </x:c>
      <x:c r="AE490" s="6" t="str">
        <x:v>Against trade</x:v>
      </x:c>
      <x:c r="AF490" s="7" t="str">
        <x:v>2025-09-16 02:15:00-05:00</x:v>
      </x:c>
      <x:c r="AG490" s="6" t="str">
        <x:v>Long</x:v>
      </x:c>
      <x:c r="AH490" s="6" t="str">
        <x:v>22681.5</x:v>
      </x:c>
      <x:c r="AI490" s="8" t="str">
        <x:v>2</x:v>
      </x:c>
      <x:c r="AJ490" s="6" t="str">
        <x:v>False</x:v>
      </x:c>
      <x:c r="AK490" s="6" t="str">
        <x:v>Delayed BOS</x:v>
      </x:c>
      <x:c r="AL490" s="9" t="str">
        <x:v>0.6905648009642301</x:v>
      </x:c>
      <x:c r="AM490" s="9" t="str">
        <x:v>0.1973042288469229</x:v>
      </x:c>
      <x:c r="AN490" s="9" t="str">
        <x:v>0.6905648009642301</x:v>
      </x:c>
      <x:c r="AO490" s="9" t="str">
        <x:v>1.775738059622306</x:v>
      </x:c>
      <x:c r="AP490" s="10" t="str">
        <x:v>0.3888888888888889</x:v>
      </x:c>
      <x:c r="AQ490" s="6" t="str">
        <x:v>0.14814814814814814</x:v>
      </x:c>
      <x:c r="AR490" s="6" t="str">
        <x:v>0.46296296296296297</x:v>
      </x:c>
      <x:c r="AS490" s="6" t="str">
        <x:v>With trade</x:v>
      </x:c>
      <x:c r="AT490" s="6" t="str">
        <x:v>1.544477028347996</x:v>
      </x:c>
      <x:c r="AU490" s="7" t="str">
        <x:v>2025-09-16 02:20:00-05:00</x:v>
      </x:c>
      <x:c r="AV490" s="8" t="str">
        <x:v>1</x:v>
      </x:c>
      <x:c r="AW490" s="6" t="str">
        <x:v>Immediate retest (1 bar)</x:v>
      </x:c>
      <x:c r="AX490" s="6" t="str">
        <x:v>22674.25</x:v>
      </x:c>
      <x:c r="AY490" s="6" t="str">
        <x:v>7.25</x:v>
      </x:c>
      <x:c r="AZ490" s="9" t="str">
        <x:v>0.8595711118996409</x:v>
      </x:c>
      <x:c r="BA490" s="9" t="str">
        <x:v>0.5631672802101095</x:v>
      </x:c>
      <x:c r="BB490" s="9" t="str">
        <x:v>2.2823095040093913</x:v>
      </x:c>
      <x:c r="BC490" s="9" t="str">
        <x:v>0.2964038316895313</x:v>
      </x:c>
      <x:c r="BD490" s="6" t="str">
        <x:v>0.37662337662337664</x:v>
      </x:c>
      <x:c r="BE490" s="6" t="str">
        <x:v>0.4935064935064935</x:v>
      </x:c>
      <x:c r="BF490" s="9" t="str">
        <x:v>1.126334560420219</x:v>
      </x:c>
      <x:c r="BG490" s="9" t="str">
        <x:v>0.8595711118996409</x:v>
      </x:c>
      <x:c r="BH490" s="6" t="str">
        <x:v>With trade</x:v>
      </x:c>
      <x:c r="BI490" s="6" t="str">
        <x:v>Penetration + same-bar reclaim</x:v>
      </x:c>
      <x:c r="BJ490" s="6" t="str">
        <x:v>False</x:v>
      </x:c>
      <x:c r="BK490" s="10" t="str">
        <x:v>True</x:v>
      </x:c>
      <x:c r="BL490" s="6" t="str">
        <x:v>True</x:v>
      </x:c>
      <x:c r="BM490" s="7" t="str">
        <x:v>2025-09-16 02:25:00-05:00</x:v>
      </x:c>
      <x:c r="BN490" s="8" t="str">
        <x:v>1</x:v>
      </x:c>
      <x:c r="BO490" s="6" t="str">
        <x:v>Immediate confirmation (1 bar)</x:v>
      </x:c>
      <x:c r="BP490" s="9" t="str">
        <x:v>0.363171926974068</x:v>
      </x:c>
      <x:c r="BQ490" s="9" t="str">
        <x:v>0.726343853948136</x:v>
      </x:c>
      <x:c r="BR490" s="10" t="str">
        <x:v>0.5</x:v>
      </x:c>
      <x:c r="BS490" s="9" t="str">
        <x:v>0.877665490187331</x:v>
      </x:c>
      <x:c r="BT490" s="9" t="str">
        <x:v>0.30264327247839</x:v>
      </x:c>
      <x:c r="BU490" s="9" t="str">
        <x:v>0.30264327247839</x:v>
      </x:c>
      <x:c r="BV490" s="6" t="str">
        <x:v>With trade</x:v>
      </x:c>
      <x:c r="BW490" s="7" t="str">
        <x:v>2025-09-16 02:25:00-05:00</x:v>
      </x:c>
      <x:c r="BX490" s="6" t="str">
        <x:v>22688.75</x:v>
      </x:c>
      <x:c r="BY490" s="9" t="str">
        <x:v>8.260550381732045</x:v>
      </x:c>
      <x:c r="BZ490" s="9" t="str">
        <x:v>0.99</x:v>
      </x:c>
      <x:c r="CA490" s="6" t="str">
        <x:v>22676.3591744274</x:v>
      </x:c>
      <x:c r="CB490" s="6" t="str">
        <x:v>12.39082557259826</x:v>
      </x:c>
      <x:c r="CC490" s="9" t="str">
        <x:v>1.5000000000000233</x:v>
      </x:c>
      <x:c r="CD490" s="6" t="str">
        <x:v>22713.531651145197</x:v>
      </x:c>
      <x:c r="CE490" s="6" t="str">
        <x:v>24.78165114519652</x:v>
      </x:c>
      <x:c r="CF490" s="6" t="str">
        <x:v>Fixed 2.00R target</x:v>
      </x:c>
      <x:c r="CG490" s="9" t="str">
        <x:v>0.058511032679154494</x:v>
      </x:c>
      <x:c r="CH490" s="9" t="str">
        <x:v>-1.0</x:v>
      </x:c>
      <x:c r="CI490" s="9" t="str">
        <x:v>-1.0585110326791545</x:v>
      </x:c>
      <x:c r="CJ490" s="6" t="str">
        <x:v>Loss</x:v>
      </x:c>
      <x:c r="CK490" s="9" t="str">
        <x:v>0.5044054541306422</x:v>
      </x:c>
      <x:c r="CL490" s="9" t="str">
        <x:v>1.1903968717483155</x:v>
      </x:c>
      <x:c r="CM490" s="7" t="str">
        <x:v>2025-09-16 02:50:00-05:00</x:v>
      </x:c>
      <x:c r="CN490" s="6" t="str">
        <x:v>22676.3591744274</x:v>
      </x:c>
      <x:c r="CO490" s="6" t="str">
        <x:v>STOP</x:v>
      </x:c>
      <x:c r="CP490" s="6" t="str">
        <x:v>F::Long::Delayed BOS::Penetration + same-bar reclaim</x:v>
      </x:c>
    </x:row>
    <x:row r="491" ht="18" customHeight="1">
      <x:c r="A491" s="6" t="str">
        <x:v>A0490</x:v>
      </x:c>
      <x:c r="B491" s="6" t="str">
        <x:v>2025-09-18</x:v>
      </x:c>
      <x:c r="C491" s="6" t="str">
        <x:v>2025</x:v>
      </x:c>
      <x:c r="D491" s="6" t="str">
        <x:v>2025-Q3</x:v>
      </x:c>
      <x:c r="E491" s="6" t="str">
        <x:v>Second 50%</x:v>
      </x:c>
      <x:c r="F491" s="6" t="str">
        <x:v>Short</x:v>
      </x:c>
      <x:c r="G491" s="6" t="str">
        <x:v>Short</x:v>
      </x:c>
      <x:c r="H491" s="6" t="str">
        <x:v>Premarket</x:v>
      </x:c>
      <x:c r="I491" s="6" t="str">
        <x:v>Premarket</x:v>
      </x:c>
      <x:c r="J491" s="6" t="str">
        <x:v>Bull</x:v>
      </x:c>
      <x:c r="K491" s="6" t="str">
        <x:v>Bull</x:v>
      </x:c>
      <x:c r="L491" s="6" t="str">
        <x:v>HIGH</x:v>
      </x:c>
      <x:c r="M491" s="7" t="str">
        <x:v>2025-09-18 07:50:00-05:00</x:v>
      </x:c>
      <x:c r="N491" s="6" t="str">
        <x:v>90.0</x:v>
      </x:c>
      <x:c r="O491" s="6" t="str">
        <x:v>90-94</x:v>
      </x:c>
      <x:c r="P491" s="6" t="str">
        <x:v>Matching BOS only</x:v>
      </x:c>
      <x:c r="Q491" s="6" t="str">
        <x:v>Bear CHoCH</x:v>
      </x:c>
      <x:c r="R491" s="6" t="str">
        <x:v>True</x:v>
      </x:c>
      <x:c r="S491" s="6" t="str">
        <x:v>False</x:v>
      </x:c>
      <x:c r="T491" s="6" t="str">
        <x:v>Recent BSL</x:v>
      </x:c>
      <x:c r="U491" s="6" t="str">
        <x:v>BSL</x:v>
      </x:c>
      <x:c r="V491" s="6" t="str">
        <x:v>Swing high / buy-side</x:v>
      </x:c>
      <x:c r="W491" s="6" t="str">
        <x:v>[22833.0]</x:v>
      </x:c>
      <x:c r="X491" s="8" t="str">
        <x:v>1</x:v>
      </x:c>
      <x:c r="Y491" s="8" t="str">
        <x:v>5.0</x:v>
      </x:c>
      <x:c r="Z491" s="6" t="str">
        <x:v>None</x:v>
      </x:c>
      <x:c r="AA491" s="6" t="str">
        <x:v>22792.75</x:v>
      </x:c>
      <x:c r="AB491" s="9" t="str">
        <x:v>0.3109329713752236</x:v>
      </x:c>
      <x:c r="AC491" s="9" t="str">
        <x:v>1.5373908029108276</x:v>
      </x:c>
      <x:c r="AD491" s="9" t="str">
        <x:v>1.72740539652902</x:v>
      </x:c>
      <x:c r="AE491" s="6" t="str">
        <x:v>With trade</x:v>
      </x:c>
      <x:c r="AF491" s="7" t="str">
        <x:v>2025-09-18 07:50:00-05:00</x:v>
      </x:c>
      <x:c r="AG491" s="6" t="str">
        <x:v>Short</x:v>
      </x:c>
      <x:c r="AH491" s="6" t="str">
        <x:v>22792.75</x:v>
      </x:c>
      <x:c r="AI491" s="8" t="str">
        <x:v>0</x:v>
      </x:c>
      <x:c r="AJ491" s="6" t="str">
        <x:v>True</x:v>
      </x:c>
      <x:c r="AK491" s="6" t="str">
        <x:v>Same-bar Setup+BOS</x:v>
      </x:c>
      <x:c r="AL491" s="9" t="str">
        <x:v>1.5546648568761179</x:v>
      </x:c>
      <x:c r="AM491" s="9" t="str">
        <x:v>0.3109329713752236</x:v>
      </x:c>
      <x:c r="AN491" s="9" t="str">
        <x:v>1.5373908029108276</x:v>
      </x:c>
      <x:c r="AO491" s="9" t="str">
        <x:v>1.72740539652902</x:v>
      </x:c>
      <x:c r="AP491" s="10" t="str">
        <x:v>0.89</x:v>
      </x:c>
      <x:c r="AQ491" s="6" t="str">
        <x:v>0.02</x:v>
      </x:c>
      <x:c r="AR491" s="6" t="str">
        <x:v>0.09</x:v>
      </x:c>
      <x:c r="AS491" s="6" t="str">
        <x:v>With trade</x:v>
      </x:c>
      <x:c r="AT491" s="6" t="str">
        <x:v>1.6859956236323852</x:v>
      </x:c>
      <x:c r="AU491" s="7" t="str">
        <x:v>2025-09-18 07:55:00-05:00</x:v>
      </x:c>
      <x:c r="AV491" s="8" t="str">
        <x:v>1</x:v>
      </x:c>
      <x:c r="AW491" s="6" t="str">
        <x:v>Immediate retest (1 bar)</x:v>
      </x:c>
      <x:c r="AX491" s="6" t="str">
        <x:v>22793.25</x:v>
      </x:c>
      <x:c r="AY491" s="6" t="str">
        <x:v>0.5</x:v>
      </x:c>
      <x:c r="AZ491" s="9" t="str">
        <x:v>0.032612223689427754</x:v>
      </x:c>
      <x:c r="BA491" s="9" t="str">
        <x:v>1.6795295200055294</x:v>
      </x:c>
      <x:c r="BB491" s="9" t="str">
        <x:v>1.728447855539671</x:v>
      </x:c>
      <x:c r="BC491" s="9" t="str">
        <x:v>1.4186317304901073</x:v>
      </x:c>
      <x:c r="BD491" s="6" t="str">
        <x:v>0.16981132075471697</x:v>
      </x:c>
      <x:c r="BE491" s="6" t="str">
        <x:v>0.009433962264150943</x:v>
      </x:c>
      <x:c r="BF491" s="9" t="str">
        <x:v>0.29351001320484976</x:v>
      </x:c>
      <x:c r="BG491" s="9" t="str">
        <x:v>0.016306111844713877</x:v>
      </x:c>
      <x:c r="BH491" s="6" t="str">
        <x:v>With trade</x:v>
      </x:c>
      <x:c r="BI491" s="6" t="str">
        <x:v>Penetration + same-bar reclaim</x:v>
      </x:c>
      <x:c r="BJ491" s="6" t="str">
        <x:v>False</x:v>
      </x:c>
      <x:c r="BK491" s="10" t="str">
        <x:v>True</x:v>
      </x:c>
      <x:c r="BL491" s="6" t="str">
        <x:v>True</x:v>
      </x:c>
      <x:c r="BM491" s="7" t="str">
        <x:v>2025-09-18 08:00:00-05:00</x:v>
      </x:c>
      <x:c r="BN491" s="8" t="str">
        <x:v>1</x:v>
      </x:c>
      <x:c r="BO491" s="6" t="str">
        <x:v>Immediate confirmation (1 bar)</x:v>
      </x:c>
      <x:c r="BP491" s="9" t="str">
        <x:v>1.3322682648105333</x:v>
      </x:c>
      <x:c r="BQ491" s="9" t="str">
        <x:v>2.0657642757736356</x:v>
      </x:c>
      <x:c r="BR491" s="10" t="str">
        <x:v>0.644927536231884</x:v>
      </x:c>
      <x:c r="BS491" s="9" t="str">
        <x:v>2.8441682057752957</x:v>
      </x:c>
      <x:c r="BT491" s="9" t="str">
        <x:v>1.3023296521181618</x:v>
      </x:c>
      <x:c r="BU491" s="9" t="str">
        <x:v>0.16466236980804344</x:v>
      </x:c>
      <x:c r="BV491" s="6" t="str">
        <x:v>With trade</x:v>
      </x:c>
      <x:c r="BW491" s="7" t="str">
        <x:v>2025-09-18 08:00:00-05:00</x:v>
      </x:c>
      <x:c r="BX491" s="6" t="str">
        <x:v>22745.25</x:v>
      </x:c>
      <x:c r="BY491" s="9" t="str">
        <x:v>16.700840654764267</x:v>
      </x:c>
      <x:c r="BZ491" s="9" t="str">
        <x:v>1.0</x:v>
      </x:c>
      <x:c r="CA491" s="6" t="str">
        <x:v>22770.301260982145</x:v>
      </x:c>
      <x:c r="CB491" s="6" t="str">
        <x:v>25.051260982145322</x:v>
      </x:c>
      <x:c r="CC491" s="9" t="str">
        <x:v>1.4999999999999354</x:v>
      </x:c>
      <x:c r="CD491" s="6" t="str">
        <x:v>22695.147478035706</x:v>
      </x:c>
      <x:c r="CE491" s="6" t="str">
        <x:v>50.10252196429428</x:v>
      </x:c>
      <x:c r="CF491" s="6" t="str">
        <x:v>Fixed 2.00R target</x:v>
      </x:c>
      <x:c r="CG491" s="9" t="str">
        <x:v>0.028940658935960394</x:v>
      </x:c>
      <x:c r="CH491" s="9" t="str">
        <x:v>-1.0</x:v>
      </x:c>
      <x:c r="CI491" s="9" t="str">
        <x:v>-1.0289406589359604</x:v>
      </x:c>
      <x:c r="CJ491" s="6" t="str">
        <x:v>Loss</x:v>
      </x:c>
      <x:c r="CK491" s="9" t="str">
        <x:v>0.6985676294886992</x:v>
      </x:c>
      <x:c r="CL491" s="9" t="str">
        <x:v>1.057830981797173</x:v>
      </x:c>
      <x:c r="CM491" s="7" t="str">
        <x:v>2025-09-18 08:15:00-05:00</x:v>
      </x:c>
      <x:c r="CN491" s="6" t="str">
        <x:v>22770.301260982145</x:v>
      </x:c>
      <x:c r="CO491" s="6" t="str">
        <x:v>STOP</x:v>
      </x:c>
      <x:c r="CP491" s="6" t="str">
        <x:v>F::Short::Same-bar Setup+BOS::Penetration + same-bar reclaim</x:v>
      </x:c>
    </x:row>
    <x:row r="492" ht="18" customHeight="1">
      <x:c r="A492" s="6" t="str">
        <x:v>A0491</x:v>
      </x:c>
      <x:c r="B492" s="6" t="str">
        <x:v>2025-09-18</x:v>
      </x:c>
      <x:c r="C492" s="6" t="str">
        <x:v>2025</x:v>
      </x:c>
      <x:c r="D492" s="6" t="str">
        <x:v>2025-Q3</x:v>
      </x:c>
      <x:c r="E492" s="6" t="str">
        <x:v>Second 50%</x:v>
      </x:c>
      <x:c r="F492" s="6" t="str">
        <x:v>Short</x:v>
      </x:c>
      <x:c r="G492" s="6" t="str">
        <x:v>Short</x:v>
      </x:c>
      <x:c r="H492" s="6" t="str">
        <x:v>Afternoon</x:v>
      </x:c>
      <x:c r="I492" s="6" t="str">
        <x:v>Afternoon</x:v>
      </x:c>
      <x:c r="J492" s="6" t="str">
        <x:v>Bull</x:v>
      </x:c>
      <x:c r="K492" s="6" t="str">
        <x:v>Bull</x:v>
      </x:c>
      <x:c r="L492" s="6" t="str">
        <x:v>LOW</x:v>
      </x:c>
      <x:c r="M492" s="7" t="str">
        <x:v>2025-09-18 14:25:00-05:00</x:v>
      </x:c>
      <x:c r="N492" s="6" t="str">
        <x:v>85.0</x:v>
      </x:c>
      <x:c r="O492" s="6" t="str">
        <x:v>85-89</x:v>
      </x:c>
      <x:c r="P492" s="6" t="str">
        <x:v>Matching BOS only</x:v>
      </x:c>
      <x:c r="Q492" s="6" t="str">
        <x:v>Bear BOS</x:v>
      </x:c>
      <x:c r="R492" s="6" t="str">
        <x:v>True</x:v>
      </x:c>
      <x:c r="S492" s="6" t="str">
        <x:v>False</x:v>
      </x:c>
      <x:c r="T492" s="6" t="str">
        <x:v>Recent BSL</x:v>
      </x:c>
      <x:c r="U492" s="6" t="str">
        <x:v>BSL</x:v>
      </x:c>
      <x:c r="V492" s="6" t="str">
        <x:v>Swing high / buy-side</x:v>
      </x:c>
      <x:c r="W492" s="6" t="str">
        <x:v>[22839.5]</x:v>
      </x:c>
      <x:c r="X492" s="8" t="str">
        <x:v>1</x:v>
      </x:c>
      <x:c r="Y492" s="8" t="str">
        <x:v>7.0</x:v>
      </x:c>
      <x:c r="Z492" s="6" t="str">
        <x:v>None</x:v>
      </x:c>
      <x:c r="AA492" s="6" t="str">
        <x:v>22805.0</x:v>
      </x:c>
      <x:c r="AB492" s="9" t="str">
        <x:v>0.38155398248922756</x:v>
      </x:c>
      <x:c r="AC492" s="9" t="str">
        <x:v>0.5429806673885161</x:v>
      </x:c>
      <x:c r="AD492" s="9" t="str">
        <x:v>1.0419358752590444</x:v>
      </x:c>
      <x:c r="AE492" s="6" t="str">
        <x:v>With trade</x:v>
      </x:c>
      <x:c r="AF492" s="7" t="str">
        <x:v>2025-09-18 14:25:00-05:00</x:v>
      </x:c>
      <x:c r="AG492" s="6" t="str">
        <x:v>Short</x:v>
      </x:c>
      <x:c r="AH492" s="6" t="str">
        <x:v>22805.0</x:v>
      </x:c>
      <x:c r="AI492" s="8" t="str">
        <x:v>0</x:v>
      </x:c>
      <x:c r="AJ492" s="6" t="str">
        <x:v>True</x:v>
      </x:c>
      <x:c r="AK492" s="6" t="str">
        <x:v>Same-bar Setup+BOS</x:v>
      </x:c>
      <x:c r="AL492" s="9" t="str">
        <x:v>0.5429806673885161</x:v>
      </x:c>
      <x:c r="AM492" s="9" t="str">
        <x:v>0.38155398248922756</x:v>
      </x:c>
      <x:c r="AN492" s="9" t="str">
        <x:v>0.5429806673885161</x:v>
      </x:c>
      <x:c r="AO492" s="9" t="str">
        <x:v>1.0419358752590444</x:v>
      </x:c>
      <x:c r="AP492" s="10" t="str">
        <x:v>0.5211267605633803</x:v>
      </x:c>
      <x:c r="AQ492" s="6" t="str">
        <x:v>0.2112676056338028</x:v>
      </x:c>
      <x:c r="AR492" s="6" t="str">
        <x:v>0.2676056338028169</x:v>
      </x:c>
      <x:c r="AS492" s="6" t="str">
        <x:v>With trade</x:v>
      </x:c>
      <x:c r="AT492" s="6" t="str">
        <x:v>1.2378984363559447</x:v>
      </x:c>
      <x:c r="AU492" s="7" t="str">
        <x:v>2025-09-18 14:30:00-05:00</x:v>
      </x:c>
      <x:c r="AV492" s="8" t="str">
        <x:v>1</x:v>
      </x:c>
      <x:c r="AW492" s="6" t="str">
        <x:v>Immediate retest (1 bar)</x:v>
      </x:c>
      <x:c r="AX492" s="6" t="str">
        <x:v>22809.25</x:v>
      </x:c>
      <x:c r="AY492" s="6" t="str">
        <x:v>4.25</x:v>
      </x:c>
      <x:c r="AZ492" s="9" t="str">
        <x:v>0.24339084921065715</x:v>
      </x:c>
      <x:c r="BA492" s="9" t="str">
        <x:v>0.6156356774151917</x:v>
      </x:c>
      <x:c r="BB492" s="9" t="str">
        <x:v>1.317174007492968</x:v>
      </x:c>
      <x:c r="BC492" s="9" t="str">
        <x:v>0.25770795798775464</x:v>
      </x:c>
      <x:c r="BD492" s="6" t="str">
        <x:v>0.45652173913043476</x:v>
      </x:c>
      <x:c r="BE492" s="6" t="str">
        <x:v>0.34782608695652173</x:v>
      </x:c>
      <x:c r="BF492" s="9" t="str">
        <x:v>0.6013185686380942</x:v>
      </x:c>
      <x:c r="BG492" s="9" t="str">
        <x:v>0.4581474808671193</x:v>
      </x:c>
      <x:c r="BH492" s="6" t="str">
        <x:v>With trade</x:v>
      </x:c>
      <x:c r="BI492" s="6" t="str">
        <x:v>Penetration + same-bar reclaim</x:v>
      </x:c>
      <x:c r="BJ492" s="6" t="str">
        <x:v>False</x:v>
      </x:c>
      <x:c r="BK492" s="10" t="str">
        <x:v>True</x:v>
      </x:c>
      <x:c r="BL492" s="6" t="str">
        <x:v>True</x:v>
      </x:c>
      <x:c r="BM492" s="7" t="str">
        <x:v>2025-09-18 14:35:00-05:00</x:v>
      </x:c>
      <x:c r="BN492" s="8" t="str">
        <x:v>1</x:v>
      </x:c>
      <x:c r="BO492" s="6" t="str">
        <x:v>Immediate confirmation (1 bar)</x:v>
      </x:c>
      <x:c r="BP492" s="9" t="str">
        <x:v>0.07186824698151408</x:v>
      </x:c>
      <x:c r="BQ492" s="9" t="str">
        <x:v>0.9486608601559858</x:v>
      </x:c>
      <x:c r="BR492" s="10" t="str">
        <x:v>0.07575757575757576</x:v>
      </x:c>
      <x:c r="BS492" s="9" t="str">
        <x:v>0.704308820418838</x:v>
      </x:c>
      <x:c r="BT492" s="9" t="str">
        <x:v>0.0862418963778169</x:v>
      </x:c>
      <x:c r="BU492" s="9" t="str">
        <x:v>0.6468142228336267</x:v>
      </x:c>
      <x:c r="BV492" s="6" t="str">
        <x:v>With trade</x:v>
      </x:c>
      <x:c r="BW492" s="7" t="str">
        <x:v>2025-09-18 14:35:00-05:00</x:v>
      </x:c>
      <x:c r="BX492" s="6" t="str">
        <x:v>22792.75</x:v>
      </x:c>
      <x:c r="BY492" s="9" t="str">
        <x:v>17.392938502055358</x:v>
      </x:c>
      <x:c r="BZ492" s="9" t="str">
        <x:v>0.27</x:v>
      </x:c>
      <x:c r="CA492" s="6" t="str">
        <x:v>22818.839407753083</x:v>
      </x:c>
      <x:c r="CB492" s="6" t="str">
        <x:v>26.089407753082924</x:v>
      </x:c>
      <x:c r="CC492" s="9" t="str">
        <x:v>1.4999999999999936</x:v>
      </x:c>
      <x:c r="CD492" s="6" t="str">
        <x:v>22740.571184493834</x:v>
      </x:c>
      <x:c r="CE492" s="6" t="str">
        <x:v>52.17881550616585</x:v>
      </x:c>
      <x:c r="CF492" s="6" t="str">
        <x:v>Fixed 2.00R target</x:v>
      </x:c>
      <x:c r="CG492" s="9" t="str">
        <x:v>0.0277890554995189</x:v>
      </x:c>
      <x:c r="CH492" s="9" t="str">
        <x:v>-0.06707703051607981</x:v>
      </x:c>
      <x:c r="CI492" s="9" t="str">
        <x:v>-0.0948660860155987</x:v>
      </x:c>
      <x:c r="CJ492" s="6" t="str">
        <x:v>Loss</x:v>
      </x:c>
      <x:c r="CK492" s="9" t="str">
        <x:v>1.1690568175659675</x:v>
      </x:c>
      <x:c r="CL492" s="9" t="str">
        <x:v>0.507868945336035</x:v>
      </x:c>
      <x:c r="CM492" s="7" t="str">
        <x:v>2025-09-18 15:35:00-05:00</x:v>
      </x:c>
      <x:c r="CN492" s="6" t="str">
        <x:v>22794.5</x:v>
      </x:c>
      <x:c r="CO492" s="6" t="str">
        <x:v>TIME</x:v>
      </x:c>
      <x:c r="CP492" s="6" t="str">
        <x:v>F::Short::Same-bar Setup+BOS::Penetration + same-bar reclaim</x:v>
      </x:c>
    </x:row>
    <x:row r="493" ht="18" customHeight="1">
      <x:c r="A493" s="6" t="str">
        <x:v>A0492</x:v>
      </x:c>
      <x:c r="B493" s="6" t="str">
        <x:v>2025-09-22</x:v>
      </x:c>
      <x:c r="C493" s="6" t="str">
        <x:v>2025</x:v>
      </x:c>
      <x:c r="D493" s="6" t="str">
        <x:v>2025-Q3</x:v>
      </x:c>
      <x:c r="E493" s="6" t="str">
        <x:v>Second 50%</x:v>
      </x:c>
      <x:c r="F493" s="6" t="str">
        <x:v>Long</x:v>
      </x:c>
      <x:c r="G493" s="6" t="str">
        <x:v>Long</x:v>
      </x:c>
      <x:c r="H493" s="6" t="str">
        <x:v>Overnight</x:v>
      </x:c>
      <x:c r="I493" s="6" t="str">
        <x:v>Overnight</x:v>
      </x:c>
      <x:c r="J493" s="6" t="str">
        <x:v>Bull</x:v>
      </x:c>
      <x:c r="K493" s="6" t="str">
        <x:v>Bull</x:v>
      </x:c>
      <x:c r="L493" s="6" t="str">
        <x:v>LOW</x:v>
      </x:c>
      <x:c r="M493" s="7" t="str">
        <x:v>2025-09-22 18:30:00-05:00</x:v>
      </x:c>
      <x:c r="N493" s="6" t="str">
        <x:v>75.0</x:v>
      </x:c>
      <x:c r="O493" s="6" t="str">
        <x:v>75-79</x:v>
      </x:c>
      <x:c r="P493" s="6" t="str">
        <x:v>Matching BOS only</x:v>
      </x:c>
      <x:c r="Q493" s="6" t="str">
        <x:v>Bull CHoCH</x:v>
      </x:c>
      <x:c r="R493" s="6" t="str">
        <x:v>True</x:v>
      </x:c>
      <x:c r="S493" s="6" t="str">
        <x:v>False</x:v>
      </x:c>
      <x:c r="T493" s="6" t="str">
        <x:v>Recent SSL</x:v>
      </x:c>
      <x:c r="U493" s="6" t="str">
        <x:v>SSL</x:v>
      </x:c>
      <x:c r="V493" s="6" t="str">
        <x:v>Swing low / sell-side</x:v>
      </x:c>
      <x:c r="W493" s="6" t="str">
        <x:v>[23057.75]</x:v>
      </x:c>
      <x:c r="X493" s="8" t="str">
        <x:v>1</x:v>
      </x:c>
      <x:c r="Y493" s="8" t="str">
        <x:v>11.0</x:v>
      </x:c>
      <x:c r="Z493" s="6" t="str">
        <x:v>None</x:v>
      </x:c>
      <x:c r="AA493" s="6" t="str">
        <x:v>23071.0</x:v>
      </x:c>
      <x:c r="AB493" s="9" t="str">
        <x:v>0.13810410694014222</x:v>
      </x:c>
      <x:c r="AC493" s="9" t="str">
        <x:v>0.24168218714524886</x:v>
      </x:c>
      <x:c r="AD493" s="9" t="str">
        <x:v>0.6559945079656755</x:v>
      </x:c>
      <x:c r="AE493" s="6" t="str">
        <x:v>With trade</x:v>
      </x:c>
      <x:c r="AF493" s="7" t="str">
        <x:v>2025-09-22 18:30:00-05:00</x:v>
      </x:c>
      <x:c r="AG493" s="6" t="str">
        <x:v>Long</x:v>
      </x:c>
      <x:c r="AH493" s="6" t="str">
        <x:v>23071.0</x:v>
      </x:c>
      <x:c r="AI493" s="8" t="str">
        <x:v>0</x:v>
      </x:c>
      <x:c r="AJ493" s="6" t="str">
        <x:v>True</x:v>
      </x:c>
      <x:c r="AK493" s="6" t="str">
        <x:v>Same-bar Setup+BOS</x:v>
      </x:c>
      <x:c r="AL493" s="9" t="str">
        <x:v>0.27620821388028444</x:v>
      </x:c>
      <x:c r="AM493" s="9" t="str">
        <x:v>0.13810410694014222</x:v>
      </x:c>
      <x:c r="AN493" s="9" t="str">
        <x:v>0.24168218714524886</x:v>
      </x:c>
      <x:c r="AO493" s="9" t="str">
        <x:v>0.6559945079656755</x:v>
      </x:c>
      <x:c r="AP493" s="10" t="str">
        <x:v>0.3684210526315789</x:v>
      </x:c>
      <x:c r="AQ493" s="6" t="str">
        <x:v>0.10526315789473684</x:v>
      </x:c>
      <x:c r="AR493" s="6" t="str">
        <x:v>0.5263157894736842</x:v>
      </x:c>
      <x:c r="AS493" s="6" t="str">
        <x:v>With trade</x:v>
      </x:c>
      <x:c r="AT493" s="6" t="str">
        <x:v>0.48532731376975174</x:v>
      </x:c>
      <x:c r="AU493" s="7" t="str">
        <x:v>2025-09-22 18:35:00-05:00</x:v>
      </x:c>
      <x:c r="AV493" s="8" t="str">
        <x:v>1</x:v>
      </x:c>
      <x:c r="AW493" s="6" t="str">
        <x:v>Immediate retest (1 bar)</x:v>
      </x:c>
      <x:c r="AX493" s="6" t="str">
        <x:v>23069.5</x:v>
      </x:c>
      <x:c r="AY493" s="6" t="str">
        <x:v>1.5</x:v>
      </x:c>
      <x:c r="AZ493" s="9" t="str">
        <x:v>0.20662806627182284</x:v>
      </x:c>
      <x:c r="BA493" s="9" t="str">
        <x:v>0.17219005522651903</x:v>
      </x:c>
      <x:c r="BB493" s="9" t="str">
        <x:v>1.033140331359114</x:v>
      </x:c>
      <x:c r="BC493" s="9" t="str">
        <x:v>0.03443801104530381</x:v>
      </x:c>
      <x:c r="BD493" s="6" t="str">
        <x:v>0.6</x:v>
      </x:c>
      <x:c r="BE493" s="6" t="str">
        <x:v>0.36666666666666664</x:v>
      </x:c>
      <x:c r="BF493" s="9" t="str">
        <x:v>0.3788181214983419</x:v>
      </x:c>
      <x:c r="BG493" s="9" t="str">
        <x:v>0.6198841988154685</x:v>
      </x:c>
      <x:c r="BH493" s="6" t="str">
        <x:v>Against trade</x:v>
      </x:c>
      <x:c r="BI493" s="6" t="str">
        <x:v>Penetration + same-bar reclaim</x:v>
      </x:c>
      <x:c r="BJ493" s="6" t="str">
        <x:v>False</x:v>
      </x:c>
      <x:c r="BK493" s="10" t="str">
        <x:v>True</x:v>
      </x:c>
      <x:c r="BL493" s="6" t="str">
        <x:v>True</x:v>
      </x:c>
      <x:c r="BM493" s="7" t="str">
        <x:v>2025-09-22 18:40:00-05:00</x:v>
      </x:c>
      <x:c r="BN493" s="8" t="str">
        <x:v>1</x:v>
      </x:c>
      <x:c r="BO493" s="6" t="str">
        <x:v>Immediate confirmation (1 bar)</x:v>
      </x:c>
      <x:c r="BP493" s="9" t="str">
        <x:v>0.45331157200587946</x:v>
      </x:c>
      <x:c r="BQ493" s="9" t="str">
        <x:v>0.8368829021647005</x:v>
      </x:c>
      <x:c r="BR493" s="10" t="str">
        <x:v>0.5416666666666666</x:v>
      </x:c>
      <x:c r="BS493" s="9" t="str">
        <x:v>0.48818169292940866</x:v>
      </x:c>
      <x:c r="BT493" s="9" t="str">
        <x:v>0.3138310883117627</x:v>
      </x:c>
      <x:c r="BU493" s="9" t="str">
        <x:v>0.06974024184705838</x:v>
      </x:c>
      <x:c r="BV493" s="6" t="str">
        <x:v>With trade</x:v>
      </x:c>
      <x:c r="BW493" s="7" t="str">
        <x:v>2025-09-22 18:40:00-05:00</x:v>
      </x:c>
      <x:c r="BX493" s="6" t="str">
        <x:v>23074.5</x:v>
      </x:c>
      <x:c r="BY493" s="9" t="str">
        <x:v>7.169461802218999</x:v>
      </x:c>
      <x:c r="BZ493" s="9" t="str">
        <x:v>0.0</x:v>
      </x:c>
      <x:c r="CA493" s="6" t="str">
        <x:v>23063.745807296673</x:v>
      </x:c>
      <x:c r="CB493" s="6" t="str">
        <x:v>10.754192703327135</x:v>
      </x:c>
      <x:c r="CC493" s="9" t="str">
        <x:v>1.49999999999981</x:v>
      </x:c>
      <x:c r="CD493" s="6" t="str">
        <x:v>23096.008385406658</x:v>
      </x:c>
      <x:c r="CE493" s="6" t="str">
        <x:v>21.508385406657908</x:v>
      </x:c>
      <x:c r="CF493" s="6" t="str">
        <x:v>Fixed 2.00R target</x:v>
      </x:c>
      <x:c r="CG493" s="9" t="str">
        <x:v>0.06741556711883165</x:v>
      </x:c>
      <x:c r="CH493" s="9" t="str">
        <x:v>-1.0</x:v>
      </x:c>
      <x:c r="CI493" s="9" t="str">
        <x:v>-1.0674155671188317</x:v>
      </x:c>
      <x:c r="CJ493" s="6" t="str">
        <x:v>Loss</x:v>
      </x:c>
      <x:c r="CK493" s="9" t="str">
        <x:v>0.8368829021648067</x:v>
      </x:c>
      <x:c r="CL493" s="9" t="str">
        <x:v>1.0228568804236526</x:v>
      </x:c>
      <x:c r="CM493" s="7" t="str">
        <x:v>2025-09-22 19:10:00-05:00</x:v>
      </x:c>
      <x:c r="CN493" s="6" t="str">
        <x:v>23063.745807296673</x:v>
      </x:c>
      <x:c r="CO493" s="6" t="str">
        <x:v>STOP</x:v>
      </x:c>
      <x:c r="CP493" s="6" t="str">
        <x:v>F::Long::Same-bar Setup+BOS::Penetration + same-bar reclaim</x:v>
      </x:c>
    </x:row>
    <x:row r="494" ht="18" customHeight="1">
      <x:c r="A494" s="6" t="str">
        <x:v>A0493</x:v>
      </x:c>
      <x:c r="B494" s="6" t="str">
        <x:v>2025-09-23</x:v>
      </x:c>
      <x:c r="C494" s="6" t="str">
        <x:v>2025</x:v>
      </x:c>
      <x:c r="D494" s="6" t="str">
        <x:v>2025-Q3</x:v>
      </x:c>
      <x:c r="E494" s="6" t="str">
        <x:v>Second 50%</x:v>
      </x:c>
      <x:c r="F494" s="6" t="str">
        <x:v>Short</x:v>
      </x:c>
      <x:c r="G494" s="6" t="str">
        <x:v>Short</x:v>
      </x:c>
      <x:c r="H494" s="6" t="str">
        <x:v>Premarket</x:v>
      </x:c>
      <x:c r="I494" s="6" t="str">
        <x:v>Premarket</x:v>
      </x:c>
      <x:c r="J494" s="6" t="str">
        <x:v>Bull</x:v>
      </x:c>
      <x:c r="K494" s="6" t="str">
        <x:v>Bull</x:v>
      </x:c>
      <x:c r="L494" s="6" t="str">
        <x:v>HIGH</x:v>
      </x:c>
      <x:c r="M494" s="7" t="str">
        <x:v>2025-09-23 08:35:00-05:00</x:v>
      </x:c>
      <x:c r="N494" s="6" t="str">
        <x:v>90.0</x:v>
      </x:c>
      <x:c r="O494" s="6" t="str">
        <x:v>90-94</x:v>
      </x:c>
      <x:c r="P494" s="6" t="str">
        <x:v>Matching BOS only</x:v>
      </x:c>
      <x:c r="Q494" s="6" t="str">
        <x:v>Bear CHoCH</x:v>
      </x:c>
      <x:c r="R494" s="6" t="str">
        <x:v>True</x:v>
      </x:c>
      <x:c r="S494" s="6" t="str">
        <x:v>False</x:v>
      </x:c>
      <x:c r="T494" s="6" t="str">
        <x:v>Recent BSL</x:v>
      </x:c>
      <x:c r="U494" s="6" t="str">
        <x:v>BSL</x:v>
      </x:c>
      <x:c r="V494" s="6" t="str">
        <x:v>Swing high / buy-side</x:v>
      </x:c>
      <x:c r="W494" s="6" t="str">
        <x:v>[23082.25]</x:v>
      </x:c>
      <x:c r="X494" s="8" t="str">
        <x:v>1</x:v>
      </x:c>
      <x:c r="Y494" s="8" t="str">
        <x:v>17.0</x:v>
      </x:c>
      <x:c r="Z494" s="6" t="str">
        <x:v>None</x:v>
      </x:c>
      <x:c r="AA494" s="6" t="str">
        <x:v>23061.0</x:v>
      </x:c>
      <x:c r="AB494" s="9" t="str">
        <x:v>0.40303219312933214</x:v>
      </x:c>
      <x:c r="AC494" s="9" t="str">
        <x:v>1.1379732511887024</x:v>
      </x:c>
      <x:c r="AD494" s="9" t="str">
        <x:v>2.513024263041718</x:v>
      </x:c>
      <x:c r="AE494" s="6" t="str">
        <x:v>With trade</x:v>
      </x:c>
      <x:c r="AF494" s="7" t="str">
        <x:v>2025-09-23 08:35:00-05:00</x:v>
      </x:c>
      <x:c r="AG494" s="6" t="str">
        <x:v>Short</x:v>
      </x:c>
      <x:c r="AH494" s="6" t="str">
        <x:v>23061.0</x:v>
      </x:c>
      <x:c r="AI494" s="8" t="str">
        <x:v>0</x:v>
      </x:c>
      <x:c r="AJ494" s="6" t="str">
        <x:v>True</x:v>
      </x:c>
      <x:c r="AK494" s="6" t="str">
        <x:v>Same-bar Setup+BOS</x:v>
      </x:c>
      <x:c r="AL494" s="9" t="str">
        <x:v>1.2090965793879964</x:v>
      </x:c>
      <x:c r="AM494" s="9" t="str">
        <x:v>0.40303219312933214</x:v>
      </x:c>
      <x:c r="AN494" s="9" t="str">
        <x:v>1.1379732511887024</x:v>
      </x:c>
      <x:c r="AO494" s="9" t="str">
        <x:v>2.513024263041718</x:v>
      </x:c>
      <x:c r="AP494" s="10" t="str">
        <x:v>0.4528301886792453</x:v>
      </x:c>
      <x:c r="AQ494" s="6" t="str">
        <x:v>0.16037735849056603</x:v>
      </x:c>
      <x:c r="AR494" s="6" t="str">
        <x:v>0.3867924528301887</x:v>
      </x:c>
      <x:c r="AS494" s="6" t="str">
        <x:v>With trade</x:v>
      </x:c>
      <x:c r="AT494" s="6" t="str">
        <x:v>8.880976224917474</x:v>
      </x:c>
      <x:c r="AU494" s="7" t="str">
        <x:v>2025-09-23 08:40:00-05:00</x:v>
      </x:c>
      <x:c r="AV494" s="8" t="str">
        <x:v>1</x:v>
      </x:c>
      <x:c r="AW494" s="6" t="str">
        <x:v>Immediate retest (1 bar)</x:v>
      </x:c>
      <x:c r="AX494" s="6" t="str">
        <x:v>23061.75</x:v>
      </x:c>
      <x:c r="AY494" s="6" t="str">
        <x:v>0.75</x:v>
      </x:c>
      <x:c r="AZ494" s="9" t="str">
        <x:v>0.058713068824399216</x:v>
      </x:c>
      <x:c r="BA494" s="9" t="str">
        <x:v>2.289809684151569</x:v>
      </x:c>
      <x:c r="BB494" s="9" t="str">
        <x:v>3.2683608312248897</x:v>
      </x:c>
      <x:c r="BC494" s="9" t="str">
        <x:v>1.9766733170881068</x:v>
      </x:c>
      <x:c r="BD494" s="6" t="str">
        <x:v>0.11377245508982035</x:v>
      </x:c>
      <x:c r="BE494" s="6" t="str">
        <x:v>0.281437125748503</x:v>
      </x:c>
      <x:c r="BF494" s="9" t="str">
        <x:v>0.3718494358878617</x:v>
      </x:c>
      <x:c r="BG494" s="9" t="str">
        <x:v>0.919838078248921</x:v>
      </x:c>
      <x:c r="BH494" s="6" t="str">
        <x:v>With trade</x:v>
      </x:c>
      <x:c r="BI494" s="6" t="str">
        <x:v>Penetration + same-bar reclaim</x:v>
      </x:c>
      <x:c r="BJ494" s="6" t="str">
        <x:v>False</x:v>
      </x:c>
      <x:c r="BK494" s="10" t="str">
        <x:v>True</x:v>
      </x:c>
      <x:c r="BL494" s="6" t="str">
        <x:v>True</x:v>
      </x:c>
      <x:c r="BM494" s="7" t="str">
        <x:v>2025-09-23 08:45:00-05:00</x:v>
      </x:c>
      <x:c r="BN494" s="8" t="str">
        <x:v>1</x:v>
      </x:c>
      <x:c r="BO494" s="6" t="str">
        <x:v>Immediate confirmation (1 bar)</x:v>
      </x:c>
      <x:c r="BP494" s="9" t="str">
        <x:v>0.01831867669232666</x:v>
      </x:c>
      <x:c r="BQ494" s="9" t="str">
        <x:v>1.8318676692326659</x:v>
      </x:c>
      <x:c r="BR494" s="10" t="str">
        <x:v>0.01</x:v>
      </x:c>
      <x:c r="BS494" s="9" t="str">
        <x:v>2.1616038496945458</x:v>
      </x:c>
      <x:c r="BT494" s="9" t="str">
        <x:v>0.01831867669232666</x:v>
      </x:c>
      <x:c r="BU494" s="9" t="str">
        <x:v>1.245670015078213</x:v>
      </x:c>
      <x:c r="BV494" s="6" t="str">
        <x:v>With trade</x:v>
      </x:c>
      <x:c r="BW494" s="7" t="str">
        <x:v>2025-09-23 08:45:00-05:00</x:v>
      </x:c>
      <x:c r="BX494" s="6" t="str">
        <x:v>23031.5</x:v>
      </x:c>
      <x:c r="BY494" s="9" t="str">
        <x:v>13.64727399248878</x:v>
      </x:c>
      <x:c r="BZ494" s="9" t="str">
        <x:v>1.0</x:v>
      </x:c>
      <x:c r="CA494" s="6" t="str">
        <x:v>23051.970910988734</x:v>
      </x:c>
      <x:c r="CB494" s="6" t="str">
        <x:v>20.47091098873352</x:v>
      </x:c>
      <x:c r="CC494" s="9" t="str">
        <x:v>1.5000000000000258</x:v>
      </x:c>
      <x:c r="CD494" s="6" t="str">
        <x:v>22990.558178022533</x:v>
      </x:c>
      <x:c r="CE494" s="6" t="str">
        <x:v>40.94182197746704</x:v>
      </x:c>
      <x:c r="CF494" s="6" t="str">
        <x:v>Fixed 2.00R target</x:v>
      </x:c>
      <x:c r="CG494" s="9" t="str">
        <x:v>0.035416108271830934</x:v>
      </x:c>
      <x:c r="CH494" s="9" t="str">
        <x:v>-1.0</x:v>
      </x:c>
      <x:c r="CI494" s="9" t="str">
        <x:v>-1.035416108271831</x:v>
      </x:c>
      <x:c r="CJ494" s="6" t="str">
        <x:v>Loss</x:v>
      </x:c>
      <x:c r="CK494" s="9" t="str">
        <x:v>1.2090326616935387</x:v>
      </x:c>
      <x:c r="CL494" s="9" t="str">
        <x:v>1.0258458947702753</x:v>
      </x:c>
      <x:c r="CM494" s="7" t="str">
        <x:v>2025-09-23 09:40:00-05:00</x:v>
      </x:c>
      <x:c r="CN494" s="6" t="str">
        <x:v>23051.970910988734</x:v>
      </x:c>
      <x:c r="CO494" s="6" t="str">
        <x:v>STOP</x:v>
      </x:c>
      <x:c r="CP494" s="6" t="str">
        <x:v>F::Short::Same-bar Setup+BOS::Penetration + same-bar reclaim</x:v>
      </x:c>
    </x:row>
    <x:row r="495" ht="18" customHeight="1">
      <x:c r="A495" s="6" t="str">
        <x:v>A0494</x:v>
      </x:c>
      <x:c r="B495" s="6" t="str">
        <x:v>2025-09-29</x:v>
      </x:c>
      <x:c r="C495" s="6" t="str">
        <x:v>2025</x:v>
      </x:c>
      <x:c r="D495" s="6" t="str">
        <x:v>2025-Q3</x:v>
      </x:c>
      <x:c r="E495" s="6" t="str">
        <x:v>Second 50%</x:v>
      </x:c>
      <x:c r="F495" s="6" t="str">
        <x:v>Short</x:v>
      </x:c>
      <x:c r="G495" s="6" t="str">
        <x:v>Short</x:v>
      </x:c>
      <x:c r="H495" s="6" t="str">
        <x:v>Midday</x:v>
      </x:c>
      <x:c r="I495" s="6" t="str">
        <x:v>Midday</x:v>
      </x:c>
      <x:c r="J495" s="6" t="str">
        <x:v>Bull</x:v>
      </x:c>
      <x:c r="K495" s="6" t="str">
        <x:v>Bull</x:v>
      </x:c>
      <x:c r="L495" s="6" t="str">
        <x:v>HIGH</x:v>
      </x:c>
      <x:c r="M495" s="7" t="str">
        <x:v>2025-09-29 12:00:00-05:00</x:v>
      </x:c>
      <x:c r="N495" s="6" t="str">
        <x:v>75.0</x:v>
      </x:c>
      <x:c r="O495" s="6" t="str">
        <x:v>75-79</x:v>
      </x:c>
      <x:c r="P495" s="6" t="str">
        <x:v>Matching BOS only</x:v>
      </x:c>
      <x:c r="Q495" s="6" t="str">
        <x:v>Bear BOS</x:v>
      </x:c>
      <x:c r="R495" s="6" t="str">
        <x:v>True</x:v>
      </x:c>
      <x:c r="S495" s="6" t="str">
        <x:v>False</x:v>
      </x:c>
      <x:c r="T495" s="6" t="str">
        <x:v>No recent matching sweep</x:v>
      </x:c>
      <x:c r="U495" s="6" t="str">
        <x:v>None</x:v>
      </x:c>
      <x:c r="V495" s="6" t="str">
        <x:v>None</x:v>
      </x:c>
      <x:c r="W495" s="6" t="str">
        <x:v>[]</x:v>
      </x:c>
      <x:c r="X495" s="8" t="str">
        <x:v>0</x:v>
      </x:c>
      <x:c r="Y495" s="8" t="str"/>
      <x:c r="Z495" s="6" t="str">
        <x:v>None</x:v>
      </x:c>
      <x:c r="AA495" s="6" t="str">
        <x:v>22902.75</x:v>
      </x:c>
      <x:c r="AB495" s="9" t="str">
        <x:v>0.555350139722828</x:v>
      </x:c>
      <x:c r="AC495" s="9" t="str">
        <x:v>0.9774162459121772</x:v>
      </x:c>
      <x:c r="AD495" s="9" t="str">
        <x:v>1.6216224079906576</x:v>
      </x:c>
      <x:c r="AE495" s="6" t="str">
        <x:v>With trade</x:v>
      </x:c>
      <x:c r="AF495" s="7" t="str">
        <x:v>2025-09-29 12:00:00-05:00</x:v>
      </x:c>
      <x:c r="AG495" s="6" t="str">
        <x:v>Short</x:v>
      </x:c>
      <x:c r="AH495" s="6" t="str">
        <x:v>22902.75</x:v>
      </x:c>
      <x:c r="AI495" s="8" t="str">
        <x:v>0</x:v>
      </x:c>
      <x:c r="AJ495" s="6" t="str">
        <x:v>True</x:v>
      </x:c>
      <x:c r="AK495" s="6" t="str">
        <x:v>Same-bar Setup+BOS</x:v>
      </x:c>
      <x:c r="AL495" s="9" t="str">
        <x:v>0.9663092431177207</x:v>
      </x:c>
      <x:c r="AM495" s="9" t="str">
        <x:v>0.555350139722828</x:v>
      </x:c>
      <x:c r="AN495" s="9" t="str">
        <x:v>0.9774162459121772</x:v>
      </x:c>
      <x:c r="AO495" s="9" t="str">
        <x:v>1.6216224079906576</x:v>
      </x:c>
      <x:c r="AP495" s="10" t="str">
        <x:v>0.6027397260273972</x:v>
      </x:c>
      <x:c r="AQ495" s="6" t="str">
        <x:v>0.04794520547945205</x:v>
      </x:c>
      <x:c r="AR495" s="6" t="str">
        <x:v>0.3493150684931507</x:v>
      </x:c>
      <x:c r="AS495" s="6" t="str">
        <x:v>With trade</x:v>
      </x:c>
      <x:c r="AT495" s="6" t="str">
        <x:v>1.4417238820787743</x:v>
      </x:c>
      <x:c r="AU495" s="7" t="str">
        <x:v>2025-09-29 12:05:00-05:00</x:v>
      </x:c>
      <x:c r="AV495" s="8" t="str">
        <x:v>1</x:v>
      </x:c>
      <x:c r="AW495" s="6" t="str">
        <x:v>Immediate retest (1 bar)</x:v>
      </x:c>
      <x:c r="AX495" s="6" t="str">
        <x:v>22912.25</x:v>
      </x:c>
      <x:c r="AY495" s="6" t="str">
        <x:v>9.5</x:v>
      </x:c>
      <x:c r="AZ495" s="9" t="str">
        <x:v>0.4220772535058427</x:v>
      </x:c>
      <x:c r="BA495" s="9" t="str">
        <x:v>-0.03332188843467179</x:v>
      </x:c>
      <x:c r="BB495" s="9" t="str">
        <x:v>0.9996566530401538</x:v>
      </x:c>
      <x:c r="BC495" s="9" t="str">
        <x:v>0.5664721033894204</x:v>
      </x:c>
      <x:c r="BD495" s="6" t="str">
        <x:v>0.3888888888888889</x:v>
      </x:c>
      <x:c r="BE495" s="6" t="str">
        <x:v>0.044444444444444446</x:v>
      </x:c>
      <x:c r="BF495" s="9" t="str">
        <x:v>0.3887553650711709</x:v>
      </x:c>
      <x:c r="BG495" s="9" t="str">
        <x:v>0.04442918457956239</x:v>
      </x:c>
      <x:c r="BH495" s="6" t="str">
        <x:v>Against trade</x:v>
      </x:c>
      <x:c r="BI495" s="6" t="str">
        <x:v>Penetration without same-bar reclaim</x:v>
      </x:c>
      <x:c r="BJ495" s="6" t="str">
        <x:v>False</x:v>
      </x:c>
      <x:c r="BK495" s="10" t="str">
        <x:v>True</x:v>
      </x:c>
      <x:c r="BL495" s="6" t="str">
        <x:v>False</x:v>
      </x:c>
      <x:c r="BM495" s="7" t="str">
        <x:v>2025-09-29 12:10:00-05:00</x:v>
      </x:c>
      <x:c r="BN495" s="8" t="str">
        <x:v>1</x:v>
      </x:c>
      <x:c r="BO495" s="6" t="str">
        <x:v>Immediate confirmation (1 bar)</x:v>
      </x:c>
      <x:c r="BP495" s="9" t="str">
        <x:v>0.23682903249421053</x:v>
      </x:c>
      <x:c r="BQ495" s="9" t="str">
        <x:v>0.8007076812899498</x:v>
      </x:c>
      <x:c r="BR495" s="10" t="str">
        <x:v>0.29577464788732394</x:v>
      </x:c>
      <x:c r="BS495" s="9" t="str">
        <x:v>0.22555145951829575</x:v>
      </x:c>
      <x:c r="BT495" s="9" t="str">
        <x:v>0.2593841784460401</x:v>
      </x:c>
      <x:c r="BU495" s="9" t="str">
        <x:v>0.38343748118110277</x:v>
      </x:c>
      <x:c r="BV495" s="6" t="str">
        <x:v>With trade</x:v>
      </x:c>
      <x:c r="BW495" s="7" t="str">
        <x:v>2025-09-29 12:10:00-05:00</x:v>
      </x:c>
      <x:c r="BX495" s="6" t="str">
        <x:v>22897.75</x:v>
      </x:c>
      <x:c r="BY495" s="9" t="str">
        <x:v>22.167890248541806</x:v>
      </x:c>
      <x:c r="BZ495" s="9" t="str">
        <x:v>0.67</x:v>
      </x:c>
      <x:c r="CA495" s="6" t="str">
        <x:v>22931.001835372812</x:v>
      </x:c>
      <x:c r="CB495" s="6" t="str">
        <x:v>33.25183537281191</x:v>
      </x:c>
      <x:c r="CC495" s="9" t="str">
        <x:v>1.499999999999964</x:v>
      </x:c>
      <x:c r="CD495" s="6" t="str">
        <x:v>22831.246329254376</x:v>
      </x:c>
      <x:c r="CE495" s="6" t="str">
        <x:v>66.50367074562382</x:v>
      </x:c>
      <x:c r="CF495" s="6" t="str">
        <x:v>Fixed 2.00R target</x:v>
      </x:c>
      <x:c r="CG495" s="9" t="str">
        <x:v>0.021803307753435777</x:v>
      </x:c>
      <x:c r="CH495" s="9" t="str">
        <x:v>-1.0</x:v>
      </x:c>
      <x:c r="CI495" s="9" t="str">
        <x:v>-1.0218033077534359</x:v>
      </x:c>
      <x:c r="CJ495" s="6" t="str">
        <x:v>Loss</x:v>
      </x:c>
      <x:c r="CK495" s="9" t="str">
        <x:v>0.16540440364675418</x:v>
      </x:c>
      <x:c r="CL495" s="9" t="str">
        <x:v>1.0074631858484118</x:v>
      </x:c>
      <x:c r="CM495" s="7" t="str">
        <x:v>2025-09-29 13:00:00-05:00</x:v>
      </x:c>
      <x:c r="CN495" s="6" t="str">
        <x:v>22931.001835372812</x:v>
      </x:c>
      <x:c r="CO495" s="6" t="str">
        <x:v>STOP</x:v>
      </x:c>
      <x:c r="CP495" s="6" t="str">
        <x:v>F::Short::Same-bar Setup+BOS::Penetration without same-bar reclaim</x:v>
      </x:c>
    </x:row>
    <x:row r="496" ht="18" customHeight="1">
      <x:c r="A496" s="6" t="str">
        <x:v>A0495</x:v>
      </x:c>
      <x:c r="B496" s="6" t="str">
        <x:v>2025-10-02</x:v>
      </x:c>
      <x:c r="C496" s="6" t="str">
        <x:v>2025</x:v>
      </x:c>
      <x:c r="D496" s="6" t="str">
        <x:v>2025-Q4</x:v>
      </x:c>
      <x:c r="E496" s="6" t="str">
        <x:v>Second 50%</x:v>
      </x:c>
      <x:c r="F496" s="6" t="str">
        <x:v>Long</x:v>
      </x:c>
      <x:c r="G496" s="6" t="str">
        <x:v>Long</x:v>
      </x:c>
      <x:c r="H496" s="6" t="str">
        <x:v>Afternoon</x:v>
      </x:c>
      <x:c r="I496" s="6" t="str">
        <x:v>Afternoon</x:v>
      </x:c>
      <x:c r="J496" s="6" t="str">
        <x:v>Bull</x:v>
      </x:c>
      <x:c r="K496" s="6" t="str">
        <x:v>Bull</x:v>
      </x:c>
      <x:c r="L496" s="6" t="str">
        <x:v>LOW</x:v>
      </x:c>
      <x:c r="M496" s="7" t="str">
        <x:v>2025-10-02 14:00:00-05:00</x:v>
      </x:c>
      <x:c r="N496" s="6" t="str">
        <x:v>75.0</x:v>
      </x:c>
      <x:c r="O496" s="6" t="str">
        <x:v>75-79</x:v>
      </x:c>
      <x:c r="P496" s="6" t="str">
        <x:v>Matching BOS only</x:v>
      </x:c>
      <x:c r="Q496" s="6" t="str">
        <x:v>Bull BOS</x:v>
      </x:c>
      <x:c r="R496" s="6" t="str">
        <x:v>True</x:v>
      </x:c>
      <x:c r="S496" s="6" t="str">
        <x:v>False</x:v>
      </x:c>
      <x:c r="T496" s="6" t="str">
        <x:v>No recent matching sweep</x:v>
      </x:c>
      <x:c r="U496" s="6" t="str">
        <x:v>None</x:v>
      </x:c>
      <x:c r="V496" s="6" t="str">
        <x:v>None</x:v>
      </x:c>
      <x:c r="W496" s="6" t="str">
        <x:v>[]</x:v>
      </x:c>
      <x:c r="X496" s="8" t="str">
        <x:v>0</x:v>
      </x:c>
      <x:c r="Y496" s="8" t="str"/>
      <x:c r="Z496" s="6" t="str">
        <x:v>Sweep above CRT reference</x:v>
      </x:c>
      <x:c r="AA496" s="6" t="str">
        <x:v>23192.5</x:v>
      </x:c>
      <x:c r="AB496" s="9" t="str">
        <x:v>0.32370439452991395</x:v>
      </x:c>
      <x:c r="AC496" s="9" t="str">
        <x:v>0.5754744791642915</x:v>
      </x:c>
      <x:c r="AD496" s="9" t="str">
        <x:v>0.8452281412725531</x:v>
      </x:c>
      <x:c r="AE496" s="6" t="str">
        <x:v>With trade</x:v>
      </x:c>
      <x:c r="AF496" s="7" t="str">
        <x:v>2025-10-02 14:00:00-05:00</x:v>
      </x:c>
      <x:c r="AG496" s="6" t="str">
        <x:v>Long</x:v>
      </x:c>
      <x:c r="AH496" s="6" t="str">
        <x:v>23192.5</x:v>
      </x:c>
      <x:c r="AI496" s="8" t="str">
        <x:v>0</x:v>
      </x:c>
      <x:c r="AJ496" s="6" t="str">
        <x:v>True</x:v>
      </x:c>
      <x:c r="AK496" s="6" t="str">
        <x:v>Same-bar Setup+BOS</x:v>
      </x:c>
      <x:c r="AL496" s="9" t="str">
        <x:v>0.5395073242165233</x:v>
      </x:c>
      <x:c r="AM496" s="9" t="str">
        <x:v>0.32370439452991395</x:v>
      </x:c>
      <x:c r="AN496" s="9" t="str">
        <x:v>0.5754744791642915</x:v>
      </x:c>
      <x:c r="AO496" s="9" t="str">
        <x:v>0.8452281412725531</x:v>
      </x:c>
      <x:c r="AP496" s="10" t="str">
        <x:v>0.6808510638297872</x:v>
      </x:c>
      <x:c r="AQ496" s="6" t="str">
        <x:v>0.0851063829787234</x:v>
      </x:c>
      <x:c r="AR496" s="6" t="str">
        <x:v>0.23404255319148937</x:v>
      </x:c>
      <x:c r="AS496" s="6" t="str">
        <x:v>With trade</x:v>
      </x:c>
      <x:c r="AT496" s="6" t="str">
        <x:v>0.9242726185731367</x:v>
      </x:c>
      <x:c r="AU496" s="7" t="str">
        <x:v>2025-10-02 14:05:00-05:00</x:v>
      </x:c>
      <x:c r="AV496" s="8" t="str">
        <x:v>1</x:v>
      </x:c>
      <x:c r="AW496" s="6" t="str">
        <x:v>Immediate retest (1 bar)</x:v>
      </x:c>
      <x:c r="AX496" s="6" t="str">
        <x:v>23191.25</x:v>
      </x:c>
      <x:c r="AY496" s="6" t="str">
        <x:v>1.25</x:v>
      </x:c>
      <x:c r="AZ496" s="9" t="str">
        <x:v>0.09236269348334504</x:v>
      </x:c>
      <x:c r="BA496" s="9" t="str">
        <x:v>0.31403315784337316</x:v>
      </x:c>
      <x:c r="BB496" s="9" t="str">
        <x:v>0.6465388543834153</x:v>
      </x:c>
      <x:c r="BC496" s="9" t="str">
        <x:v>0.0</x:v>
      </x:c>
      <x:c r="BD496" s="6" t="str">
        <x:v>0.37142857142857144</x:v>
      </x:c>
      <x:c r="BE496" s="6" t="str">
        <x:v>0.6285714285714286</x:v>
      </x:c>
      <x:c r="BF496" s="9" t="str">
        <x:v>0.4063958513267182</x:v>
      </x:c>
      <x:c r="BG496" s="9" t="str">
        <x:v>0.2401430030566971</x:v>
      </x:c>
      <x:c r="BH496" s="6" t="str">
        <x:v>Doji</x:v>
      </x:c>
      <x:c r="BI496" s="6" t="str">
        <x:v>Penetration + same-bar reclaim</x:v>
      </x:c>
      <x:c r="BJ496" s="6" t="str">
        <x:v>False</x:v>
      </x:c>
      <x:c r="BK496" s="10" t="str">
        <x:v>True</x:v>
      </x:c>
      <x:c r="BL496" s="6" t="str">
        <x:v>True</x:v>
      </x:c>
      <x:c r="BM496" s="7" t="str">
        <x:v>2025-10-02 14:20:00-05:00</x:v>
      </x:c>
      <x:c r="BN496" s="8" t="str">
        <x:v>3</x:v>
      </x:c>
      <x:c r="BO496" s="6" t="str">
        <x:v>Delayed confirmation (2+ bars)</x:v>
      </x:c>
      <x:c r="BP496" s="9" t="str">
        <x:v>0.22356481474275713</x:v>
      </x:c>
      <x:c r="BQ496" s="9" t="str">
        <x:v>0.487777777620561</x:v>
      </x:c>
      <x:c r="BR496" s="10" t="str">
        <x:v>0.4583333333333333</x:v>
      </x:c>
      <x:c r="BS496" s="9" t="str">
        <x:v>0.22356481474275713</x:v>
      </x:c>
      <x:c r="BT496" s="9" t="str">
        <x:v>-0.12194444440514025</x:v>
      </x:c>
      <x:c r="BU496" s="9" t="str">
        <x:v>0.22356481474275713</x:v>
      </x:c>
      <x:c r="BV496" s="6" t="str">
        <x:v>With trade</x:v>
      </x:c>
      <x:c r="BW496" s="7" t="str">
        <x:v>2025-10-02 14:20:00-05:00</x:v>
      </x:c>
      <x:c r="BX496" s="6" t="str">
        <x:v>23195.25</x:v>
      </x:c>
      <x:c r="BY496" s="9" t="str">
        <x:v>12.300683375263066</x:v>
      </x:c>
      <x:c r="BZ496" s="9" t="str">
        <x:v>0.31</x:v>
      </x:c>
      <x:c r="CA496" s="6" t="str">
        <x:v>23176.798974937105</x:v>
      </x:c>
      <x:c r="CB496" s="6" t="str">
        <x:v>18.451025062895496</x:v>
      </x:c>
      <x:c r="CC496" s="9" t="str">
        <x:v>1.5000000000000728</x:v>
      </x:c>
      <x:c r="CD496" s="6" t="str">
        <x:v>23232.15205012579</x:v>
      </x:c>
      <x:c r="CE496" s="6" t="str">
        <x:v>36.90205012579099</x:v>
      </x:c>
      <x:c r="CF496" s="6" t="str">
        <x:v>Fixed 2.00R target</x:v>
      </x:c>
      <x:c r="CG496" s="9" t="str">
        <x:v>0.03929320986387662</x:v>
      </x:c>
      <x:c r="CH496" s="9" t="str">
        <x:v>-1.0</x:v>
      </x:c>
      <x:c r="CI496" s="9" t="str">
        <x:v>-1.0392932098638765</x:v>
      </x:c>
      <x:c r="CJ496" s="6" t="str">
        <x:v>Loss</x:v>
      </x:c>
      <x:c r="CK496" s="9" t="str">
        <x:v>0.4606790121971741</x:v>
      </x:c>
      <x:c r="CL496" s="9" t="str">
        <x:v>1.0433024687994825</x:v>
      </x:c>
      <x:c r="CM496" s="7" t="str">
        <x:v>2025-10-02 14:50:00-05:00</x:v>
      </x:c>
      <x:c r="CN496" s="6" t="str">
        <x:v>23176.798974937105</x:v>
      </x:c>
      <x:c r="CO496" s="6" t="str">
        <x:v>STOP</x:v>
      </x:c>
      <x:c r="CP496" s="6" t="str">
        <x:v>F::Long::Same-bar Setup+BOS::Penetration + same-bar reclaim</x:v>
      </x:c>
    </x:row>
    <x:row r="497" ht="18" customHeight="1">
      <x:c r="A497" s="6" t="str">
        <x:v>A0496</x:v>
      </x:c>
      <x:c r="B497" s="6" t="str">
        <x:v>2025-10-03</x:v>
      </x:c>
      <x:c r="C497" s="6" t="str">
        <x:v>2025</x:v>
      </x:c>
      <x:c r="D497" s="6" t="str">
        <x:v>2025-Q4</x:v>
      </x:c>
      <x:c r="E497" s="6" t="str">
        <x:v>Second 50%</x:v>
      </x:c>
      <x:c r="F497" s="6" t="str">
        <x:v>Short</x:v>
      </x:c>
      <x:c r="G497" s="6" t="str">
        <x:v>Short</x:v>
      </x:c>
      <x:c r="H497" s="6" t="str">
        <x:v>Premarket</x:v>
      </x:c>
      <x:c r="I497" s="6" t="str">
        <x:v>Premarket</x:v>
      </x:c>
      <x:c r="J497" s="6" t="str">
        <x:v>Bull</x:v>
      </x:c>
      <x:c r="K497" s="6" t="str">
        <x:v>Bull</x:v>
      </x:c>
      <x:c r="L497" s="6" t="str">
        <x:v>HIGH</x:v>
      </x:c>
      <x:c r="M497" s="7" t="str">
        <x:v>2025-10-03 05:30:00-05:00</x:v>
      </x:c>
      <x:c r="N497" s="6" t="str">
        <x:v>90.0</x:v>
      </x:c>
      <x:c r="O497" s="6" t="str">
        <x:v>90-94</x:v>
      </x:c>
      <x:c r="P497" s="6" t="str">
        <x:v>Matching BOS only</x:v>
      </x:c>
      <x:c r="Q497" s="6" t="str">
        <x:v>Bear CHoCH</x:v>
      </x:c>
      <x:c r="R497" s="6" t="str">
        <x:v>True</x:v>
      </x:c>
      <x:c r="S497" s="6" t="str">
        <x:v>False</x:v>
      </x:c>
      <x:c r="T497" s="6" t="str">
        <x:v>Recent BSL</x:v>
      </x:c>
      <x:c r="U497" s="6" t="str">
        <x:v>BSL</x:v>
      </x:c>
      <x:c r="V497" s="6" t="str">
        <x:v>Swing high / buy-side</x:v>
      </x:c>
      <x:c r="W497" s="6" t="str">
        <x:v>[23271.0]</x:v>
      </x:c>
      <x:c r="X497" s="8" t="str">
        <x:v>1</x:v>
      </x:c>
      <x:c r="Y497" s="8" t="str">
        <x:v>6.0</x:v>
      </x:c>
      <x:c r="Z497" s="6" t="str">
        <x:v>None</x:v>
      </x:c>
      <x:c r="AA497" s="6" t="str">
        <x:v>23249.0</x:v>
      </x:c>
      <x:c r="AB497" s="9" t="str">
        <x:v>0.14846887059831082</x:v>
      </x:c>
      <x:c r="AC497" s="9" t="str">
        <x:v>1.150633747136909</x:v>
      </x:c>
      <x:c r="AD497" s="9" t="str">
        <x:v>1.5960403589318415</x:v>
      </x:c>
      <x:c r="AE497" s="6" t="str">
        <x:v>With trade</x:v>
      </x:c>
      <x:c r="AF497" s="7" t="str">
        <x:v>2025-10-03 05:30:00-05:00</x:v>
      </x:c>
      <x:c r="AG497" s="6" t="str">
        <x:v>Short</x:v>
      </x:c>
      <x:c r="AH497" s="6" t="str">
        <x:v>23249.0</x:v>
      </x:c>
      <x:c r="AI497" s="8" t="str">
        <x:v>0</x:v>
      </x:c>
      <x:c r="AJ497" s="6" t="str">
        <x:v>True</x:v>
      </x:c>
      <x:c r="AK497" s="6" t="str">
        <x:v>Same-bar Setup+BOS</x:v>
      </x:c>
      <x:c r="AL497" s="9" t="str">
        <x:v>1.150633747136909</x:v>
      </x:c>
      <x:c r="AM497" s="9" t="str">
        <x:v>0.14846887059831082</x:v>
      </x:c>
      <x:c r="AN497" s="9" t="str">
        <x:v>1.150633747136909</x:v>
      </x:c>
      <x:c r="AO497" s="9" t="str">
        <x:v>1.5960403589318415</x:v>
      </x:c>
      <x:c r="AP497" s="10" t="str">
        <x:v>0.7209302325581395</x:v>
      </x:c>
      <x:c r="AQ497" s="6" t="str">
        <x:v>0.23255813953488372</x:v>
      </x:c>
      <x:c r="AR497" s="6" t="str">
        <x:v>0.046511627906976744</x:v>
      </x:c>
      <x:c r="AS497" s="6" t="str">
        <x:v>With trade</x:v>
      </x:c>
      <x:c r="AT497" s="6" t="str">
        <x:v>1.0302756439222773</x:v>
      </x:c>
      <x:c r="AU497" s="7" t="str">
        <x:v>2025-10-03 05:40:00-05:00</x:v>
      </x:c>
      <x:c r="AV497" s="8" t="str">
        <x:v>2</x:v>
      </x:c>
      <x:c r="AW497" s="6" t="str">
        <x:v>Delayed retest (2+ bars)</x:v>
      </x:c>
      <x:c r="AX497" s="6" t="str">
        <x:v>23249.5</x:v>
      </x:c>
      <x:c r="AY497" s="6" t="str">
        <x:v>0.5</x:v>
      </x:c>
      <x:c r="AZ497" s="9" t="str">
        <x:v>0.06788886237993412</x:v>
      </x:c>
      <x:c r="BA497" s="9" t="str">
        <x:v>0.3054998807097035</x:v>
      </x:c>
      <x:c r="BB497" s="9" t="str">
        <x:v>1.2898883852187482</x:v>
      </x:c>
      <x:c r="BC497" s="9" t="str">
        <x:v>0.9164996421291106</x:v>
      </x:c>
      <x:c r="BD497" s="6" t="str">
        <x:v>0.2894736842105263</x:v>
      </x:c>
      <x:c r="BE497" s="6" t="str">
        <x:v>0.0</x:v>
      </x:c>
      <x:c r="BF497" s="9" t="str">
        <x:v>0.37338874308963765</x:v>
      </x:c>
      <x:c r="BG497" s="9" t="str">
        <x:v>0.0</x:v>
      </x:c>
      <x:c r="BH497" s="6" t="str">
        <x:v>Against trade</x:v>
      </x:c>
      <x:c r="BI497" s="6" t="str">
        <x:v>Penetration + same-bar reclaim</x:v>
      </x:c>
      <x:c r="BJ497" s="6" t="str">
        <x:v>False</x:v>
      </x:c>
      <x:c r="BK497" s="10" t="str">
        <x:v>True</x:v>
      </x:c>
      <x:c r="BL497" s="6" t="str">
        <x:v>True</x:v>
      </x:c>
      <x:c r="BM497" s="7" t="str">
        <x:v>2025-10-03 05:45:00-05:00</x:v>
      </x:c>
      <x:c r="BN497" s="8" t="str">
        <x:v>1</x:v>
      </x:c>
      <x:c r="BO497" s="6" t="str">
        <x:v>Immediate confirmation (1 bar)</x:v>
      </x:c>
      <x:c r="BP497" s="9" t="str">
        <x:v>0.0701791545830498</x:v>
      </x:c>
      <x:c r="BQ497" s="9" t="str">
        <x:v>0.5614332366643984</x:v>
      </x:c>
      <x:c r="BR497" s="10" t="str">
        <x:v>0.125</x:v>
      </x:c>
      <x:c r="BS497" s="9" t="str">
        <x:v>0.3859853502067739</x:v>
      </x:c>
      <x:c r="BT497" s="9" t="str">
        <x:v>0.0701791545830498</x:v>
      </x:c>
      <x:c r="BU497" s="9" t="str">
        <x:v>0.4912540820813486</x:v>
      </x:c>
      <x:c r="BV497" s="6" t="str">
        <x:v>With trade</x:v>
      </x:c>
      <x:c r="BW497" s="7" t="str">
        <x:v>2025-10-03 05:45:00-05:00</x:v>
      </x:c>
      <x:c r="BX497" s="6" t="str">
        <x:v>23246.25</x:v>
      </x:c>
      <x:c r="BY497" s="9" t="str">
        <x:v>7.124622731217167</x:v>
      </x:c>
      <x:c r="BZ497" s="9" t="str">
        <x:v>0.79</x:v>
      </x:c>
      <x:c r="CA497" s="6" t="str">
        <x:v>23256.936934096826</x:v>
      </x:c>
      <x:c r="CB497" s="6" t="str">
        <x:v>10.686934096826008</x:v>
      </x:c>
      <x:c r="CC497" s="9" t="str">
        <x:v>1.500000000000036</x:v>
      </x:c>
      <x:c r="CD497" s="6" t="str">
        <x:v>23224.876131806348</x:v>
      </x:c>
      <x:c r="CE497" s="6" t="str">
        <x:v>21.373868193652015</x:v>
      </x:c>
      <x:c r="CF497" s="6" t="str">
        <x:v>Fixed 2.00R target</x:v>
      </x:c>
      <x:c r="CG497" s="9" t="str">
        <x:v>0.06783984943027983</x:v>
      </x:c>
      <x:c r="CH497" s="9" t="str">
        <x:v>2.0</x:v>
      </x:c>
      <x:c r="CI497" s="9" t="str">
        <x:v>1.9321601505697201</x:v>
      </x:c>
      <x:c r="CJ497" s="6" t="str">
        <x:v>Win</x:v>
      </x:c>
      <x:c r="CK497" s="9" t="str">
        <x:v>2.035195482908395</x:v>
      </x:c>
      <x:c r="CL497" s="9" t="str">
        <x:v>0.30410966985987514</x:v>
      </x:c>
      <x:c r="CM497" s="7" t="str">
        <x:v>2025-10-03 06:20:00-05:00</x:v>
      </x:c>
      <x:c r="CN497" s="6" t="str">
        <x:v>23224.876131806348</x:v>
      </x:c>
      <x:c r="CO497" s="6" t="str">
        <x:v>TARGET</x:v>
      </x:c>
      <x:c r="CP497" s="6" t="str">
        <x:v>F::Short::Same-bar Setup+BOS::Penetration + same-bar reclaim</x:v>
      </x:c>
    </x:row>
    <x:row r="498" ht="18" customHeight="1">
      <x:c r="A498" s="6" t="str">
        <x:v>A0497</x:v>
      </x:c>
      <x:c r="B498" s="6" t="str">
        <x:v>2025-10-06</x:v>
      </x:c>
      <x:c r="C498" s="6" t="str">
        <x:v>2025</x:v>
      </x:c>
      <x:c r="D498" s="6" t="str">
        <x:v>2025-Q4</x:v>
      </x:c>
      <x:c r="E498" s="6" t="str">
        <x:v>Second 50%</x:v>
      </x:c>
      <x:c r="F498" s="6" t="str">
        <x:v>Long</x:v>
      </x:c>
      <x:c r="G498" s="6" t="str">
        <x:v>Long</x:v>
      </x:c>
      <x:c r="H498" s="6" t="str">
        <x:v>Premarket</x:v>
      </x:c>
      <x:c r="I498" s="6" t="str">
        <x:v>Premarket</x:v>
      </x:c>
      <x:c r="J498" s="6" t="str">
        <x:v>Bull</x:v>
      </x:c>
      <x:c r="K498" s="6" t="str">
        <x:v>Bull</x:v>
      </x:c>
      <x:c r="L498" s="6" t="str">
        <x:v>HIGH</x:v>
      </x:c>
      <x:c r="M498" s="7" t="str">
        <x:v>2025-10-06 04:15:00-05:00</x:v>
      </x:c>
      <x:c r="N498" s="6" t="str">
        <x:v>75.0</x:v>
      </x:c>
      <x:c r="O498" s="6" t="str">
        <x:v>75-79</x:v>
      </x:c>
      <x:c r="P498" s="6" t="str">
        <x:v>Matching BOS only</x:v>
      </x:c>
      <x:c r="Q498" s="6" t="str">
        <x:v>Bull CHoCH</x:v>
      </x:c>
      <x:c r="R498" s="6" t="str">
        <x:v>True</x:v>
      </x:c>
      <x:c r="S498" s="6" t="str">
        <x:v>False</x:v>
      </x:c>
      <x:c r="T498" s="6" t="str">
        <x:v>Recent SSL</x:v>
      </x:c>
      <x:c r="U498" s="6" t="str">
        <x:v>SSL</x:v>
      </x:c>
      <x:c r="V498" s="6" t="str">
        <x:v>Swing low / sell-side</x:v>
      </x:c>
      <x:c r="W498" s="6" t="str">
        <x:v>[23127.75,23145.5]</x:v>
      </x:c>
      <x:c r="X498" s="8" t="str">
        <x:v>2</x:v>
      </x:c>
      <x:c r="Y498" s="8" t="str">
        <x:v>19.0</x:v>
      </x:c>
      <x:c r="Z498" s="6" t="str">
        <x:v>None</x:v>
      </x:c>
      <x:c r="AA498" s="6" t="str">
        <x:v>23192.0</x:v>
      </x:c>
      <x:c r="AB498" s="9" t="str">
        <x:v>0.10859894289125971</x:v>
      </x:c>
      <x:c r="AC498" s="9" t="str">
        <x:v>0.46154550728785376</x:v>
      </x:c>
      <x:c r="AD498" s="9" t="str">
        <x:v>0.7330428645160031</x:v>
      </x:c>
      <x:c r="AE498" s="6" t="str">
        <x:v>With trade</x:v>
      </x:c>
      <x:c r="AF498" s="7" t="str">
        <x:v>2025-10-06 04:15:00-05:00</x:v>
      </x:c>
      <x:c r="AG498" s="6" t="str">
        <x:v>Long</x:v>
      </x:c>
      <x:c r="AH498" s="6" t="str">
        <x:v>23192.0</x:v>
      </x:c>
      <x:c r="AI498" s="8" t="str">
        <x:v>0</x:v>
      </x:c>
      <x:c r="AJ498" s="6" t="str">
        <x:v>True</x:v>
      </x:c>
      <x:c r="AK498" s="6" t="str">
        <x:v>Same-bar Setup+BOS</x:v>
      </x:c>
      <x:c r="AL498" s="9" t="str">
        <x:v>0.5158449787334837</x:v>
      </x:c>
      <x:c r="AM498" s="9" t="str">
        <x:v>0.10859894289125971</x:v>
      </x:c>
      <x:c r="AN498" s="9" t="str">
        <x:v>0.46154550728785376</x:v>
      </x:c>
      <x:c r="AO498" s="9" t="str">
        <x:v>0.7330428645160031</x:v>
      </x:c>
      <x:c r="AP498" s="10" t="str">
        <x:v>0.6296296296296297</x:v>
      </x:c>
      <x:c r="AQ498" s="6" t="str">
        <x:v>0.07407407407407407</x:v>
      </x:c>
      <x:c r="AR498" s="6" t="str">
        <x:v>0.2962962962962963</x:v>
      </x:c>
      <x:c r="AS498" s="6" t="str">
        <x:v>With trade</x:v>
      </x:c>
      <x:c r="AT498" s="6" t="str">
        <x:v>0.5958891193663964</x:v>
      </x:c>
      <x:c r="AU498" s="7" t="str">
        <x:v>2025-10-06 04:20:00-05:00</x:v>
      </x:c>
      <x:c r="AV498" s="8" t="str">
        <x:v>1</x:v>
      </x:c>
      <x:c r="AW498" s="6" t="str">
        <x:v>Immediate retest (1 bar)</x:v>
      </x:c>
      <x:c r="AX498" s="6" t="str">
        <x:v>23191.0</x:v>
      </x:c>
      <x:c r="AY498" s="6" t="str">
        <x:v>1.0</x:v>
      </x:c>
      <x:c r="AZ498" s="9" t="str">
        <x:v>0.10589493991004476</x:v>
      </x:c>
      <x:c r="BA498" s="9" t="str">
        <x:v>0.9530544591904028</x:v>
      </x:c>
      <x:c r="BB498" s="9" t="str">
        <x:v>1.3236867488755595</x:v>
      </x:c>
      <x:c r="BC498" s="9" t="str">
        <x:v>0.9001069892353805</x:v>
      </x:c>
      <x:c r="BD498" s="6" t="str">
        <x:v>0.2</x:v>
      </x:c>
      <x:c r="BE498" s="6" t="str">
        <x:v>0.12</x:v>
      </x:c>
      <x:c r="BF498" s="9" t="str">
        <x:v>0.15884240986506715</x:v>
      </x:c>
      <x:c r="BG498" s="9" t="str">
        <x:v>0.2647373497751119</x:v>
      </x:c>
      <x:c r="BH498" s="6" t="str">
        <x:v>With trade</x:v>
      </x:c>
      <x:c r="BI498" s="6" t="str">
        <x:v>Penetration + same-bar reclaim</x:v>
      </x:c>
      <x:c r="BJ498" s="6" t="str">
        <x:v>False</x:v>
      </x:c>
      <x:c r="BK498" s="10" t="str">
        <x:v>True</x:v>
      </x:c>
      <x:c r="BL498" s="6" t="str">
        <x:v>True</x:v>
      </x:c>
      <x:c r="BM498" s="7" t="str">
        <x:v>2025-10-06 04:25:00-05:00</x:v>
      </x:c>
      <x:c r="BN498" s="8" t="str">
        <x:v>1</x:v>
      </x:c>
      <x:c r="BO498" s="6" t="str">
        <x:v>Immediate confirmation (1 bar)</x:v>
      </x:c>
      <x:c r="BP498" s="9" t="str">
        <x:v>0.3440110739868375</x:v>
      </x:c>
      <x:c r="BQ498" s="9" t="str">
        <x:v>1.0055708316538328</x:v>
      </x:c>
      <x:c r="BR498" s="10" t="str">
        <x:v>0.34210526315789475</x:v>
      </x:c>
      <x:c r="BS498" s="9" t="str">
        <x:v>1.243732344413951</x:v>
      </x:c>
      <x:c r="BT498" s="9" t="str">
        <x:v>0.2910862933734779</x:v>
      </x:c>
      <x:c r="BU498" s="9" t="str">
        <x:v>0.5821725867469558</x:v>
      </x:c>
      <x:c r="BV498" s="6" t="str">
        <x:v>With trade</x:v>
      </x:c>
      <x:c r="BW498" s="7" t="str">
        <x:v>2025-10-06 04:25:00-05:00</x:v>
      </x:c>
      <x:c r="BX498" s="6" t="str">
        <x:v>23203.75</x:v>
      </x:c>
      <x:c r="BY498" s="9" t="str">
        <x:v>9.44737029053998</x:v>
      </x:c>
      <x:c r="BZ498" s="9" t="str">
        <x:v>0.82</x:v>
      </x:c>
      <x:c r="CA498" s="6" t="str">
        <x:v>23189.57894456419</x:v>
      </x:c>
      <x:c r="CB498" s="6" t="str">
        <x:v>14.171055435810558</x:v>
      </x:c>
      <x:c r="CC498" s="9" t="str">
        <x:v>1.5000000000000622</x:v>
      </x:c>
      <x:c r="CD498" s="6" t="str">
        <x:v>23232.09211087162</x:v>
      </x:c>
      <x:c r="CE498" s="6" t="str">
        <x:v>28.342110871621117</x:v>
      </x:c>
      <x:c r="CF498" s="6" t="str">
        <x:v>Fixed 2.00R target</x:v>
      </x:c>
      <x:c r="CG498" s="9" t="str">
        <x:v>0.05116062125957885</x:v>
      </x:c>
      <x:c r="CH498" s="9" t="str">
        <x:v>0.5116062125958096</x:v>
      </x:c>
      <x:c r="CI498" s="9" t="str">
        <x:v>0.46044559133623075</x:v>
      </x:c>
      <x:c r="CJ498" s="6" t="str">
        <x:v>Win</x:v>
      </x:c>
      <x:c r="CK498" s="9" t="str">
        <x:v>1.1643451734938635</x:v>
      </x:c>
      <x:c r="CL498" s="9" t="str">
        <x:v>0.4057566513690736</x:v>
      </x:c>
      <x:c r="CM498" s="7" t="str">
        <x:v>2025-10-06 05:25:00-05:00</x:v>
      </x:c>
      <x:c r="CN498" s="6" t="str">
        <x:v>23211.0</x:v>
      </x:c>
      <x:c r="CO498" s="6" t="str">
        <x:v>TIME</x:v>
      </x:c>
      <x:c r="CP498" s="6" t="str">
        <x:v>F::Long::Same-bar Setup+BOS::Penetration + same-bar reclaim</x:v>
      </x:c>
    </x:row>
    <x:row r="499" ht="18" customHeight="1">
      <x:c r="A499" s="6" t="str">
        <x:v>A0498</x:v>
      </x:c>
      <x:c r="B499" s="6" t="str">
        <x:v>2025-10-06</x:v>
      </x:c>
      <x:c r="C499" s="6" t="str">
        <x:v>2025</x:v>
      </x:c>
      <x:c r="D499" s="6" t="str">
        <x:v>2025-Q4</x:v>
      </x:c>
      <x:c r="E499" s="6" t="str">
        <x:v>Second 50%</x:v>
      </x:c>
      <x:c r="F499" s="6" t="str">
        <x:v>Short</x:v>
      </x:c>
      <x:c r="G499" s="6" t="str">
        <x:v>Short</x:v>
      </x:c>
      <x:c r="H499" s="6" t="str">
        <x:v>Premarket</x:v>
      </x:c>
      <x:c r="I499" s="6" t="str">
        <x:v>Premarket</x:v>
      </x:c>
      <x:c r="J499" s="6" t="str">
        <x:v>Bull</x:v>
      </x:c>
      <x:c r="K499" s="6" t="str">
        <x:v>Bull</x:v>
      </x:c>
      <x:c r="L499" s="6" t="str">
        <x:v>HIGH</x:v>
      </x:c>
      <x:c r="M499" s="7" t="str">
        <x:v>2025-10-06 08:30:00-05:00</x:v>
      </x:c>
      <x:c r="N499" s="6" t="str">
        <x:v>90.0</x:v>
      </x:c>
      <x:c r="O499" s="6" t="str">
        <x:v>90-94</x:v>
      </x:c>
      <x:c r="P499" s="6" t="str">
        <x:v>Matching BOS only</x:v>
      </x:c>
      <x:c r="Q499" s="6" t="str">
        <x:v>Bear CHoCH</x:v>
      </x:c>
      <x:c r="R499" s="6" t="str">
        <x:v>True</x:v>
      </x:c>
      <x:c r="S499" s="6" t="str">
        <x:v>False</x:v>
      </x:c>
      <x:c r="T499" s="6" t="str">
        <x:v>Recent BSL</x:v>
      </x:c>
      <x:c r="U499" s="6" t="str">
        <x:v>BSL</x:v>
      </x:c>
      <x:c r="V499" s="6" t="str">
        <x:v>Swing high / buy-side</x:v>
      </x:c>
      <x:c r="W499" s="6" t="str">
        <x:v>[23262.25]</x:v>
      </x:c>
      <x:c r="X499" s="8" t="str">
        <x:v>1</x:v>
      </x:c>
      <x:c r="Y499" s="8" t="str">
        <x:v>19.0</x:v>
      </x:c>
      <x:c r="Z499" s="6" t="str">
        <x:v>Sweep above CRT reference</x:v>
      </x:c>
      <x:c r="AA499" s="6" t="str">
        <x:v>23256.5</x:v>
      </x:c>
      <x:c r="AB499" s="9" t="str">
        <x:v>0.9324174151142929</x:v>
      </x:c>
      <x:c r="AC499" s="9" t="str">
        <x:v>2.7972522453428788</x:v>
      </x:c>
      <x:c r="AD499" s="9" t="str">
        <x:v>3.4899051822849247</x:v>
      </x:c>
      <x:c r="AE499" s="6" t="str">
        <x:v>With trade</x:v>
      </x:c>
      <x:c r="AF499" s="7" t="str">
        <x:v>2025-10-06 08:30:00-05:00</x:v>
      </x:c>
      <x:c r="AG499" s="6" t="str">
        <x:v>Short</x:v>
      </x:c>
      <x:c r="AH499" s="6" t="str">
        <x:v>23256.5</x:v>
      </x:c>
      <x:c r="AI499" s="8" t="str">
        <x:v>0</x:v>
      </x:c>
      <x:c r="AJ499" s="6" t="str">
        <x:v>True</x:v>
      </x:c>
      <x:c r="AK499" s="6" t="str">
        <x:v>Same-bar Setup+BOS</x:v>
      </x:c>
      <x:c r="AL499" s="9" t="str">
        <x:v>2.7972522453428788</x:v>
      </x:c>
      <x:c r="AM499" s="9" t="str">
        <x:v>0.9324174151142929</x:v>
      </x:c>
      <x:c r="AN499" s="9" t="str">
        <x:v>2.7972522453428788</x:v>
      </x:c>
      <x:c r="AO499" s="9" t="str">
        <x:v>3.4899051822849247</x:v>
      </x:c>
      <x:c r="AP499" s="10" t="str">
        <x:v>0.8015267175572519</x:v>
      </x:c>
      <x:c r="AQ499" s="6" t="str">
        <x:v>0.11450381679389313</x:v>
      </x:c>
      <x:c r="AR499" s="6" t="str">
        <x:v>0.08396946564885496</x:v>
      </x:c>
      <x:c r="AS499" s="6" t="str">
        <x:v>With trade</x:v>
      </x:c>
      <x:c r="AT499" s="6" t="str">
        <x:v>12.315431047825413</x:v>
      </x:c>
      <x:c r="AU499" s="7" t="str">
        <x:v>2025-10-06 08:35:00-05:00</x:v>
      </x:c>
      <x:c r="AV499" s="8" t="str">
        <x:v>1</x:v>
      </x:c>
      <x:c r="AW499" s="6" t="str">
        <x:v>Immediate retest (1 bar)</x:v>
      </x:c>
      <x:c r="AX499" s="6" t="str">
        <x:v>23271.5</x:v>
      </x:c>
      <x:c r="AY499" s="6" t="str">
        <x:v>15.0</x:v>
      </x:c>
      <x:c r="AZ499" s="9" t="str">
        <x:v>0.7241643085309549</x:v>
      </x:c>
      <x:c r="BA499" s="9" t="str">
        <x:v>0.7724419290996852</x:v>
      </x:c>
      <x:c r="BB499" s="9" t="str">
        <x:v>2.220770546161595</x:v>
      </x:c>
      <x:c r="BC499" s="9" t="str">
        <x:v>0.024138810284365163</x:v>
      </x:c>
      <x:c r="BD499" s="6" t="str">
        <x:v>0.6739130434782609</x:v>
      </x:c>
      <x:c r="BE499" s="6" t="str">
        <x:v>0.31521739130434784</x:v>
      </x:c>
      <x:c r="BF499" s="9" t="str">
        <x:v>1.4966062376306402</x:v>
      </x:c>
      <x:c r="BG499" s="9" t="str">
        <x:v>0.7000254982465898</x:v>
      </x:c>
      <x:c r="BH499" s="6" t="str">
        <x:v>Against trade</x:v>
      </x:c>
      <x:c r="BI499" s="6" t="str">
        <x:v>Penetration + same-bar reclaim</x:v>
      </x:c>
      <x:c r="BJ499" s="6" t="str">
        <x:v>False</x:v>
      </x:c>
      <x:c r="BK499" s="10" t="str">
        <x:v>True</x:v>
      </x:c>
      <x:c r="BL499" s="6" t="str">
        <x:v>True</x:v>
      </x:c>
      <x:c r="BM499" s="7" t="str">
        <x:v>2025-10-06 08:40:00-05:00</x:v>
      </x:c>
      <x:c r="BN499" s="8" t="str">
        <x:v>1</x:v>
      </x:c>
      <x:c r="BO499" s="6" t="str">
        <x:v>Immediate confirmation (1 bar)</x:v>
      </x:c>
      <x:c r="BP499" s="9" t="str">
        <x:v>0.9589729179701945</x:v>
      </x:c>
      <x:c r="BQ499" s="9" t="str">
        <x:v>2.7726825671746926</x:v>
      </x:c>
      <x:c r="BR499" s="10" t="str">
        <x:v>0.3458646616541353</x:v>
      </x:c>
      <x:c r="BS499" s="9" t="str">
        <x:v>1.605237275732717</x:v>
      </x:c>
      <x:c r="BT499" s="9" t="str">
        <x:v>0.9381256806230164</x:v>
      </x:c>
      <x:c r="BU499" s="9" t="str">
        <x:v>0.8130422565399475</x:v>
      </x:c>
      <x:c r="BV499" s="6" t="str">
        <x:v>With trade</x:v>
      </x:c>
      <x:c r="BW499" s="7" t="str">
        <x:v>2025-10-06 08:40:00-05:00</x:v>
      </x:c>
      <x:c r="BX499" s="6" t="str">
        <x:v>23218.0</x:v>
      </x:c>
      <x:c r="BY499" s="9" t="str">
        <x:v>23.98399325883242</x:v>
      </x:c>
      <x:c r="BZ499" s="9" t="str">
        <x:v>1.0</x:v>
      </x:c>
      <x:c r="CA499" s="6" t="str">
        <x:v>23253.975989888248</x:v>
      </x:c>
      <x:c r="CB499" s="6" t="str">
        <x:v>35.97598988824757</x:v>
      </x:c>
      <x:c r="CC499" s="9" t="str">
        <x:v>1.4999999999999558</x:v>
      </x:c>
      <x:c r="CD499" s="6" t="str">
        <x:v>23146.0480202235</x:v>
      </x:c>
      <x:c r="CE499" s="6" t="str">
        <x:v>71.95197977649877</x:v>
      </x:c>
      <x:c r="CF499" s="6" t="str">
        <x:v>Fixed 2.00R target</x:v>
      </x:c>
      <x:c r="CG499" s="9" t="str">
        <x:v>0.02015232943560613</x:v>
      </x:c>
      <x:c r="CH499" s="9" t="str">
        <x:v>-1.0</x:v>
      </x:c>
      <x:c r="CI499" s="9" t="str">
        <x:v>-1.020152329435606</x:v>
      </x:c>
      <x:c r="CJ499" s="6" t="str">
        <x:v>Loss</x:v>
      </x:c>
      <x:c r="CK499" s="9" t="str">
        <x:v>0.31270856020768134</x:v>
      </x:c>
      <x:c r="CL499" s="9" t="str">
        <x:v>1.0284637091274853</x:v>
      </x:c>
      <x:c r="CM499" s="7" t="str">
        <x:v>2025-10-06 09:00:00-05:00</x:v>
      </x:c>
      <x:c r="CN499" s="6" t="str">
        <x:v>23253.975989888248</x:v>
      </x:c>
      <x:c r="CO499" s="6" t="str">
        <x:v>STOP</x:v>
      </x:c>
      <x:c r="CP499" s="6" t="str">
        <x:v>F::Short::Same-bar Setup+BOS::Penetration + same-bar reclaim</x:v>
      </x:c>
    </x:row>
    <x:row r="500" ht="18" customHeight="1">
      <x:c r="A500" s="6" t="str">
        <x:v>A0499</x:v>
      </x:c>
      <x:c r="B500" s="6" t="str">
        <x:v>2025-10-06</x:v>
      </x:c>
      <x:c r="C500" s="6" t="str">
        <x:v>2025</x:v>
      </x:c>
      <x:c r="D500" s="6" t="str">
        <x:v>2025-Q4</x:v>
      </x:c>
      <x:c r="E500" s="6" t="str">
        <x:v>Second 50%</x:v>
      </x:c>
      <x:c r="F500" s="6" t="str">
        <x:v>Long</x:v>
      </x:c>
      <x:c r="G500" s="6" t="str">
        <x:v>Long</x:v>
      </x:c>
      <x:c r="H500" s="6" t="str">
        <x:v>Morning</x:v>
      </x:c>
      <x:c r="I500" s="6" t="str">
        <x:v>Morning</x:v>
      </x:c>
      <x:c r="J500" s="6" t="str">
        <x:v>Bull</x:v>
      </x:c>
      <x:c r="K500" s="6" t="str">
        <x:v>Bull</x:v>
      </x:c>
      <x:c r="L500" s="6" t="str">
        <x:v>HIGH</x:v>
      </x:c>
      <x:c r="M500" s="7" t="str">
        <x:v>2025-10-06 10:45:00-05:00</x:v>
      </x:c>
      <x:c r="N500" s="6" t="str">
        <x:v>100.0</x:v>
      </x:c>
      <x:c r="O500" s="6" t="str">
        <x:v>95+</x:v>
      </x:c>
      <x:c r="P500" s="6" t="str">
        <x:v>Matching BOS only</x:v>
      </x:c>
      <x:c r="Q500" s="6" t="str">
        <x:v>Bull CHoCH</x:v>
      </x:c>
      <x:c r="R500" s="6" t="str">
        <x:v>True</x:v>
      </x:c>
      <x:c r="S500" s="6" t="str">
        <x:v>False</x:v>
      </x:c>
      <x:c r="T500" s="6" t="str">
        <x:v>Recent SSL</x:v>
      </x:c>
      <x:c r="U500" s="6" t="str">
        <x:v>SSL</x:v>
      </x:c>
      <x:c r="V500" s="6" t="str">
        <x:v>Swing low / sell-side</x:v>
      </x:c>
      <x:c r="W500" s="6" t="str">
        <x:v>[23194.0]</x:v>
      </x:c>
      <x:c r="X500" s="8" t="str">
        <x:v>1</x:v>
      </x:c>
      <x:c r="Y500" s="8" t="str">
        <x:v>13.0</x:v>
      </x:c>
      <x:c r="Z500" s="6" t="str">
        <x:v>None</x:v>
      </x:c>
      <x:c r="AA500" s="6" t="str">
        <x:v>23262.25</x:v>
      </x:c>
      <x:c r="AB500" s="9" t="str">
        <x:v>0.8150072037803127</x:v>
      </x:c>
      <x:c r="AC500" s="9" t="str">
        <x:v>1.1865546055036904</x:v>
      </x:c>
      <x:c r="AD500" s="9" t="str">
        <x:v>1.2464816057816546</x:v>
      </x:c>
      <x:c r="AE500" s="6" t="str">
        <x:v>With trade</x:v>
      </x:c>
      <x:c r="AF500" s="7" t="str">
        <x:v>2025-10-06 10:45:00-05:00</x:v>
      </x:c>
      <x:c r="AG500" s="6" t="str">
        <x:v>Long</x:v>
      </x:c>
      <x:c r="AH500" s="6" t="str">
        <x:v>23262.25</x:v>
      </x:c>
      <x:c r="AI500" s="8" t="str">
        <x:v>0</x:v>
      </x:c>
      <x:c r="AJ500" s="6" t="str">
        <x:v>True</x:v>
      </x:c>
      <x:c r="AK500" s="6" t="str">
        <x:v>Same-bar Setup+BOS</x:v>
      </x:c>
      <x:c r="AL500" s="9" t="str">
        <x:v>1.1865546055036904</x:v>
      </x:c>
      <x:c r="AM500" s="9" t="str">
        <x:v>0.8150072037803127</x:v>
      </x:c>
      <x:c r="AN500" s="9" t="str">
        <x:v>1.1865546055036904</x:v>
      </x:c>
      <x:c r="AO500" s="9" t="str">
        <x:v>1.2464816057816546</x:v>
      </x:c>
      <x:c r="AP500" s="10" t="str">
        <x:v>0.9519230769230769</x:v>
      </x:c>
      <x:c r="AQ500" s="6" t="str">
        <x:v>0.028846153846153848</x:v>
      </x:c>
      <x:c r="AR500" s="6" t="str">
        <x:v>0.019230769230769232</x:v>
      </x:c>
      <x:c r="AS500" s="6" t="str">
        <x:v>With trade</x:v>
      </x:c>
      <x:c r="AT500" s="6" t="str">
        <x:v>1.3506603673551139</x:v>
      </x:c>
      <x:c r="AU500" s="7" t="str">
        <x:v>2025-10-06 11:10:00-05:00</x:v>
      </x:c>
      <x:c r="AV500" s="8" t="str">
        <x:v>5</x:v>
      </x:c>
      <x:c r="AW500" s="6" t="str">
        <x:v>Delayed retest (2+ bars)</x:v>
      </x:c>
      <x:c r="AX500" s="6" t="str">
        <x:v>23260.5</x:v>
      </x:c>
      <x:c r="AY500" s="6" t="str">
        <x:v>1.75</x:v>
      </x:c>
      <x:c r="AZ500" s="9" t="str">
        <x:v>0.09426790518937243</x:v>
      </x:c>
      <x:c r="BA500" s="9" t="str">
        <x:v>0.08080106159089065</x:v>
      </x:c>
      <x:c r="BB500" s="9" t="str">
        <x:v>0.4713395259468622</x:v>
      </x:c>
      <x:c r="BC500" s="9" t="str">
        <x:v>0.24240318477267198</x:v>
      </x:c>
      <x:c r="BD500" s="6" t="str">
        <x:v>0.11428571428571428</x:v>
      </x:c>
      <x:c r="BE500" s="6" t="str">
        <x:v>0.37142857142857144</x:v>
      </x:c>
      <x:c r="BF500" s="9" t="str">
        <x:v>0.1750689667802631</x:v>
      </x:c>
      <x:c r="BG500" s="9" t="str">
        <x:v>0.0538673743939271</x:v>
      </x:c>
      <x:c r="BH500" s="6" t="str">
        <x:v>Against trade</x:v>
      </x:c>
      <x:c r="BI500" s="6" t="str">
        <x:v>Penetration + same-bar reclaim</x:v>
      </x:c>
      <x:c r="BJ500" s="6" t="str">
        <x:v>False</x:v>
      </x:c>
      <x:c r="BK500" s="10" t="str">
        <x:v>True</x:v>
      </x:c>
      <x:c r="BL500" s="6" t="str">
        <x:v>True</x:v>
      </x:c>
      <x:c r="BM500" s="7" t="str">
        <x:v>2025-10-06 11:15:00-05:00</x:v>
      </x:c>
      <x:c r="BN500" s="8" t="str">
        <x:v>1</x:v>
      </x:c>
      <x:c r="BO500" s="6" t="str">
        <x:v>Immediate confirmation (1 bar)</x:v>
      </x:c>
      <x:c r="BP500" s="9" t="str">
        <x:v>0.3701042508312143</x:v>
      </x:c>
      <x:c r="BQ500" s="9" t="str">
        <x:v>0.7676236313536297</x:v>
      </x:c>
      <x:c r="BR500" s="10" t="str">
        <x:v>0.48214285714285715</x:v>
      </x:c>
      <x:c r="BS500" s="9" t="str">
        <x:v>0.466057204750418</x:v>
      </x:c>
      <x:c r="BT500" s="9" t="str">
        <x:v>0.3838118156768148</x:v>
      </x:c>
      <x:c r="BU500" s="9" t="str">
        <x:v>0.21932103752960846</x:v>
      </x:c>
      <x:c r="BV500" s="6" t="str">
        <x:v>With trade</x:v>
      </x:c>
      <x:c r="BW500" s="7" t="str">
        <x:v>2025-10-06 11:15:00-05:00</x:v>
      </x:c>
      <x:c r="BX500" s="6" t="str">
        <x:v>23270.75</x:v>
      </x:c>
      <x:c r="BY500" s="9" t="str">
        <x:v>18.238104493099517</x:v>
      </x:c>
      <x:c r="BZ500" s="9" t="str">
        <x:v>0.67</x:v>
      </x:c>
      <x:c r="CA500" s="6" t="str">
        <x:v>23243.39284326035</x:v>
      </x:c>
      <x:c r="CB500" s="6" t="str">
        <x:v>27.357156739650236</x:v>
      </x:c>
      <x:c r="CC500" s="9" t="str">
        <x:v>1.5000000000000526</x:v>
      </x:c>
      <x:c r="CD500" s="6" t="str">
        <x:v>23325.464313479297</x:v>
      </x:c>
      <x:c r="CE500" s="6" t="str">
        <x:v>54.714313479296834</x:v>
      </x:c>
      <x:c r="CF500" s="6" t="str">
        <x:v>Fixed 2.00R target</x:v>
      </x:c>
      <x:c r="CG500" s="9" t="str">
        <x:v>0.02650129203482676</x:v>
      </x:c>
      <x:c r="CH500" s="9" t="str">
        <x:v>0.23759779065707584</x:v>
      </x:c>
      <x:c r="CI500" s="9" t="str">
        <x:v>0.21109649862224908</x:v>
      </x:c>
      <x:c r="CJ500" s="6" t="str">
        <x:v>Win</x:v>
      </x:c>
      <x:c r="CK500" s="9" t="str">
        <x:v>0.4112269453680014</x:v>
      </x:c>
      <x:c r="CL500" s="9" t="str">
        <x:v>0.38381181567680134</x:v>
      </x:c>
      <x:c r="CM500" s="7" t="str">
        <x:v>2025-10-06 12:15:00-05:00</x:v>
      </x:c>
      <x:c r="CN500" s="6" t="str">
        <x:v>23277.25</x:v>
      </x:c>
      <x:c r="CO500" s="6" t="str">
        <x:v>TIME</x:v>
      </x:c>
      <x:c r="CP500" s="6" t="str">
        <x:v>F::Long::Same-bar Setup+BOS::Penetration + same-bar reclaim</x:v>
      </x:c>
    </x:row>
    <x:row r="501" ht="18" customHeight="1">
      <x:c r="A501" s="6" t="str">
        <x:v>A0500</x:v>
      </x:c>
      <x:c r="B501" s="6" t="str">
        <x:v>2025-10-06</x:v>
      </x:c>
      <x:c r="C501" s="6" t="str">
        <x:v>2025</x:v>
      </x:c>
      <x:c r="D501" s="6" t="str">
        <x:v>2025-Q4</x:v>
      </x:c>
      <x:c r="E501" s="6" t="str">
        <x:v>Second 50%</x:v>
      </x:c>
      <x:c r="F501" s="6" t="str">
        <x:v>Long</x:v>
      </x:c>
      <x:c r="G501" s="6" t="str">
        <x:v>Long</x:v>
      </x:c>
      <x:c r="H501" s="6" t="str">
        <x:v>Midday</x:v>
      </x:c>
      <x:c r="I501" s="6" t="str">
        <x:v>Midday</x:v>
      </x:c>
      <x:c r="J501" s="6" t="str">
        <x:v>Bull</x:v>
      </x:c>
      <x:c r="K501" s="6" t="str">
        <x:v>Bull</x:v>
      </x:c>
      <x:c r="L501" s="6" t="str">
        <x:v>MID</x:v>
      </x:c>
      <x:c r="M501" s="7" t="str">
        <x:v>2025-10-06 12:20:00-05:00</x:v>
      </x:c>
      <x:c r="N501" s="6" t="str">
        <x:v>75.0</x:v>
      </x:c>
      <x:c r="O501" s="6" t="str">
        <x:v>75-79</x:v>
      </x:c>
      <x:c r="P501" s="6" t="str">
        <x:v>Matching BOS only</x:v>
      </x:c>
      <x:c r="Q501" s="6" t="str">
        <x:v>Bull BOS</x:v>
      </x:c>
      <x:c r="R501" s="6" t="str">
        <x:v>True</x:v>
      </x:c>
      <x:c r="S501" s="6" t="str">
        <x:v>False</x:v>
      </x:c>
      <x:c r="T501" s="6" t="str">
        <x:v>No recent matching sweep</x:v>
      </x:c>
      <x:c r="U501" s="6" t="str">
        <x:v>None</x:v>
      </x:c>
      <x:c r="V501" s="6" t="str">
        <x:v>None</x:v>
      </x:c>
      <x:c r="W501" s="6" t="str">
        <x:v>[]</x:v>
      </x:c>
      <x:c r="X501" s="8" t="str">
        <x:v>0</x:v>
      </x:c>
      <x:c r="Y501" s="8" t="str"/>
      <x:c r="Z501" s="6" t="str">
        <x:v>None</x:v>
      </x:c>
      <x:c r="AA501" s="6" t="str">
        <x:v>23293.25</x:v>
      </x:c>
      <x:c r="AB501" s="9" t="str">
        <x:v>0.6069839769866772</x:v>
      </x:c>
      <x:c r="AC501" s="9" t="str">
        <x:v>1.6733071798011099</x:v>
      </x:c>
      <x:c r="AD501" s="9" t="str">
        <x:v>2.0834314885758918</x:v>
      </x:c>
      <x:c r="AE501" s="6" t="str">
        <x:v>With trade</x:v>
      </x:c>
      <x:c r="AF501" s="7" t="str">
        <x:v>2025-10-06 12:20:00-05:00</x:v>
      </x:c>
      <x:c r="AG501" s="6" t="str">
        <x:v>Long</x:v>
      </x:c>
      <x:c r="AH501" s="6" t="str">
        <x:v>23293.25</x:v>
      </x:c>
      <x:c r="AI501" s="8" t="str">
        <x:v>0</x:v>
      </x:c>
      <x:c r="AJ501" s="6" t="str">
        <x:v>True</x:v>
      </x:c>
      <x:c r="AK501" s="6" t="str">
        <x:v>Same-bar Setup+BOS</x:v>
      </x:c>
      <x:c r="AL501" s="9" t="str">
        <x:v>1.6569022074501185</x:v>
      </x:c>
      <x:c r="AM501" s="9" t="str">
        <x:v>0.6069839769866772</x:v>
      </x:c>
      <x:c r="AN501" s="9" t="str">
        <x:v>1.6733071798011099</x:v>
      </x:c>
      <x:c r="AO501" s="9" t="str">
        <x:v>2.0834314885758918</x:v>
      </x:c>
      <x:c r="AP501" s="10" t="str">
        <x:v>0.8031496062992126</x:v>
      </x:c>
      <x:c r="AQ501" s="6" t="str">
        <x:v>0.14960629921259844</x:v>
      </x:c>
      <x:c r="AR501" s="6" t="str">
        <x:v>0.047244094488188976</x:v>
      </x:c>
      <x:c r="AS501" s="6" t="str">
        <x:v>With trade</x:v>
      </x:c>
      <x:c r="AT501" s="6" t="str">
        <x:v>2.0692719228419634</x:v>
      </x:c>
      <x:c r="AU501" s="7" t="str">
        <x:v>2025-10-06 12:25:00-05:00</x:v>
      </x:c>
      <x:c r="AV501" s="8" t="str">
        <x:v>1</x:v>
      </x:c>
      <x:c r="AW501" s="6" t="str">
        <x:v>Immediate retest (1 bar)</x:v>
      </x:c>
      <x:c r="AX501" s="6" t="str">
        <x:v>23294.0</x:v>
      </x:c>
      <x:c r="AY501" s="6" t="str">
        <x:v>0.0</x:v>
      </x:c>
      <x:c r="AZ501" s="9" t="str">
        <x:v>0.0</x:v>
      </x:c>
      <x:c r="BA501" s="9" t="str">
        <x:v>0.3284678391615001</x:v>
      </x:c>
      <x:c r="BB501" s="9" t="str">
        <x:v>0.9854035174845003</x:v>
      </x:c>
      <x:c r="BC501" s="9" t="str">
        <x:v>0.26277427132920006</x:v>
      </x:c>
      <x:c r="BD501" s="6" t="str">
        <x:v>0.45</x:v>
      </x:c>
      <x:c r="BE501" s="6" t="str">
        <x:v>0.2833333333333333</x:v>
      </x:c>
      <x:c r="BF501" s="9" t="str">
        <x:v>0.2791976632872751</x:v>
      </x:c>
      <x:c r="BG501" s="9" t="str">
        <x:v>0.4434315828680251</x:v>
      </x:c>
      <x:c r="BH501" s="6" t="str">
        <x:v>Against trade</x:v>
      </x:c>
      <x:c r="BI501" s="6" t="str">
        <x:v>Tolerance-only shallow touch</x:v>
      </x:c>
      <x:c r="BJ501" s="6" t="str">
        <x:v>True</x:v>
      </x:c>
      <x:c r="BK501" s="10" t="str">
        <x:v>False</x:v>
      </x:c>
      <x:c r="BL501" s="6" t="str">
        <x:v>True</x:v>
      </x:c>
      <x:c r="BM501" s="7" t="str">
        <x:v>2025-10-06 12:35:00-05:00</x:v>
      </x:c>
      <x:c r="BN501" s="8" t="str">
        <x:v>2</x:v>
      </x:c>
      <x:c r="BO501" s="6" t="str">
        <x:v>Delayed confirmation (2+ bars)</x:v>
      </x:c>
      <x:c r="BP501" s="9" t="str">
        <x:v>0.28427121719867354</x:v>
      </x:c>
      <x:c r="BQ501" s="9" t="str">
        <x:v>1.1036411961830854</x:v>
      </x:c>
      <x:c r="BR501" s="10" t="str">
        <x:v>0.25757575757575757</x:v>
      </x:c>
      <x:c r="BS501" s="9" t="str">
        <x:v>0.5016550891741298</x:v>
      </x:c>
      <x:c r="BT501" s="9" t="str">
        <x:v>0.16721836305804327</x:v>
      </x:c>
      <x:c r="BU501" s="9" t="str">
        <x:v>0.6855952885379774</x:v>
      </x:c>
      <x:c r="BV501" s="6" t="str">
        <x:v>With trade</x:v>
      </x:c>
      <x:c r="BW501" s="7" t="str">
        <x:v>2025-10-06 12:35:00-05:00</x:v>
      </x:c>
      <x:c r="BX501" s="6" t="str">
        <x:v>23300.75</x:v>
      </x:c>
      <x:c r="BY501" s="9" t="str">
        <x:v>14.950511141723254</x:v>
      </x:c>
      <x:c r="BZ501" s="9" t="str">
        <x:v>0.54</x:v>
      </x:c>
      <x:c r="CA501" s="6" t="str">
        <x:v>23278.324233287414</x:v>
      </x:c>
      <x:c r="CB501" s="6" t="str">
        <x:v>22.425766712585755</x:v>
      </x:c>
      <x:c r="CC501" s="9" t="str">
        <x:v>1.5000000000000584</x:v>
      </x:c>
      <x:c r="CD501" s="6" t="str">
        <x:v>23345.60153342517</x:v>
      </x:c>
      <x:c r="CE501" s="6" t="str">
        <x:v>44.85153342517151</x:v>
      </x:c>
      <x:c r="CF501" s="6" t="str">
        <x:v>Fixed 2.00R target</x:v>
      </x:c>
      <x:c r="CG501" s="9" t="str">
        <x:v>0.03232888352455377</x:v>
      </x:c>
      <x:c r="CH501" s="9" t="str">
        <x:v>0.6242818887500282</x:v>
      </x:c>
      <x:c r="CI501" s="9" t="str">
        <x:v>0.5919530052254744</x:v>
      </x:c>
      <x:c r="CJ501" s="6" t="str">
        <x:v>Win</x:v>
      </x:c>
      <x:c r="CK501" s="9" t="str">
        <x:v>1.3043032318526866</x:v>
      </x:c>
      <x:c r="CL501" s="9" t="str">
        <x:v>0.7580565791964332</x:v>
      </x:c>
      <x:c r="CM501" s="7" t="str">
        <x:v>2025-10-06 13:35:00-05:00</x:v>
      </x:c>
      <x:c r="CN501" s="6" t="str">
        <x:v>23314.75</x:v>
      </x:c>
      <x:c r="CO501" s="6" t="str">
        <x:v>TIME</x:v>
      </x:c>
      <x:c r="CP501" s="6" t="str">
        <x:v>F::Long::Same-bar Setup+BOS::Tolerance-only shallow touch</x:v>
      </x:c>
    </x:row>
    <x:row r="502" ht="18" customHeight="1">
      <x:c r="A502" s="6" t="str">
        <x:v>A0501</x:v>
      </x:c>
      <x:c r="B502" s="6" t="str">
        <x:v>2025-10-07</x:v>
      </x:c>
      <x:c r="C502" s="6" t="str">
        <x:v>2025</x:v>
      </x:c>
      <x:c r="D502" s="6" t="str">
        <x:v>2025-Q4</x:v>
      </x:c>
      <x:c r="E502" s="6" t="str">
        <x:v>Second 50%</x:v>
      </x:c>
      <x:c r="F502" s="6" t="str">
        <x:v>Long</x:v>
      </x:c>
      <x:c r="G502" s="6" t="str">
        <x:v>Long</x:v>
      </x:c>
      <x:c r="H502" s="6" t="str">
        <x:v>Premarket</x:v>
      </x:c>
      <x:c r="I502" s="6" t="str">
        <x:v>Premarket</x:v>
      </x:c>
      <x:c r="J502" s="6" t="str">
        <x:v>Bull</x:v>
      </x:c>
      <x:c r="K502" s="6" t="str">
        <x:v>Bull</x:v>
      </x:c>
      <x:c r="L502" s="6" t="str">
        <x:v>HIGH</x:v>
      </x:c>
      <x:c r="M502" s="7" t="str">
        <x:v>2025-10-07 06:05:00-05:00</x:v>
      </x:c>
      <x:c r="N502" s="6" t="str">
        <x:v>75.0</x:v>
      </x:c>
      <x:c r="O502" s="6" t="str">
        <x:v>75-79</x:v>
      </x:c>
      <x:c r="P502" s="6" t="str">
        <x:v>Matching liquidity sweep only</x:v>
      </x:c>
      <x:c r="Q502" s="6" t="str">
        <x:v>Recent bull structure</x:v>
      </x:c>
      <x:c r="R502" s="6" t="str">
        <x:v>False</x:v>
      </x:c>
      <x:c r="S502" s="6" t="str">
        <x:v>True</x:v>
      </x:c>
      <x:c r="T502" s="6" t="str">
        <x:v>Recent SSL</x:v>
      </x:c>
      <x:c r="U502" s="6" t="str">
        <x:v>SSL</x:v>
      </x:c>
      <x:c r="V502" s="6" t="str">
        <x:v>Swing low / sell-side</x:v>
      </x:c>
      <x:c r="W502" s="6" t="str">
        <x:v>[23249.75]</x:v>
      </x:c>
      <x:c r="X502" s="8" t="str">
        <x:v>1</x:v>
      </x:c>
      <x:c r="Y502" s="8" t="str">
        <x:v>0.0</x:v>
      </x:c>
      <x:c r="Z502" s="6" t="str">
        <x:v>Sweep below CRT reference</x:v>
      </x:c>
      <x:c r="AA502" s="6" t="str">
        <x:v>23273.0</x:v>
      </x:c>
      <x:c r="AB502" s="9" t="str">
        <x:v>-2.343869784891583</x:v>
      </x:c>
      <x:c r="AC502" s="9" t="str">
        <x:v>0.1953224820742986</x:v>
      </x:c>
      <x:c r="AD502" s="9" t="str">
        <x:v>1.0045156220963927</x:v>
      </x:c>
      <x:c r="AE502" s="6" t="str">
        <x:v>Against trade</x:v>
      </x:c>
      <x:c r="AF502" s="7" t="str">
        <x:v>2025-10-07 06:50:00-05:00</x:v>
      </x:c>
      <x:c r="AG502" s="6" t="str">
        <x:v>Long</x:v>
      </x:c>
      <x:c r="AH502" s="6" t="str">
        <x:v>23273.0</x:v>
      </x:c>
      <x:c r="AI502" s="8" t="str">
        <x:v>9</x:v>
      </x:c>
      <x:c r="AJ502" s="6" t="str">
        <x:v>False</x:v>
      </x:c>
      <x:c r="AK502" s="6" t="str">
        <x:v>Delayed BOS</x:v>
      </x:c>
      <x:c r="AL502" s="9" t="str">
        <x:v>1.2028875852326195</x:v>
      </x:c>
      <x:c r="AM502" s="9" t="str">
        <x:v>0.447586078226091</x:v>
      </x:c>
      <x:c r="AN502" s="9" t="str">
        <x:v>1.2308617151217502</x:v>
      </x:c>
      <x:c r="AO502" s="9" t="str">
        <x:v>1.6784477933478412</x:v>
      </x:c>
      <x:c r="AP502" s="10" t="str">
        <x:v>0.7333333333333333</x:v>
      </x:c>
      <x:c r="AQ502" s="6" t="str">
        <x:v>0.23333333333333334</x:v>
      </x:c>
      <x:c r="AR502" s="6" t="str">
        <x:v>0.03333333333333333</x:v>
      </x:c>
      <x:c r="AS502" s="6" t="str">
        <x:v>With trade</x:v>
      </x:c>
      <x:c r="AT502" s="6" t="str">
        <x:v>2.9460776607451655</x:v>
      </x:c>
      <x:c r="AU502" s="7" t="str">
        <x:v>2025-10-07 07:10:00-05:00</x:v>
      </x:c>
      <x:c r="AV502" s="8" t="str">
        <x:v>4</x:v>
      </x:c>
      <x:c r="AW502" s="6" t="str">
        <x:v>Delayed retest (2+ bars)</x:v>
      </x:c>
      <x:c r="AX502" s="6" t="str">
        <x:v>23273.0</x:v>
      </x:c>
      <x:c r="AY502" s="6" t="str">
        <x:v>0.0</x:v>
      </x:c>
      <x:c r="AZ502" s="9" t="str">
        <x:v>0.0</x:v>
      </x:c>
      <x:c r="BA502" s="9" t="str">
        <x:v>0.5324569821659211</x:v>
      </x:c>
      <x:c r="BB502" s="9" t="str">
        <x:v>1.01166826611525</x:v>
      </x:c>
      <x:c r="BC502" s="9" t="str">
        <x:v>0.18635994375807238</x:v>
      </x:c>
      <x:c r="BD502" s="6" t="str">
        <x:v>0.2894736842105263</x:v>
      </x:c>
      <x:c r="BE502" s="6" t="str">
        <x:v>0.5263157894736842</x:v>
      </x:c>
      <x:c r="BF502" s="9" t="str">
        <x:v>0.5324569821659211</x:v>
      </x:c>
      <x:c r="BG502" s="9" t="str">
        <x:v>0.2928513401912566</x:v>
      </x:c>
      <x:c r="BH502" s="6" t="str">
        <x:v>Against trade</x:v>
      </x:c>
      <x:c r="BI502" s="6" t="str">
        <x:v>Exact BOS touch</x:v>
      </x:c>
      <x:c r="BJ502" s="6" t="str">
        <x:v>True</x:v>
      </x:c>
      <x:c r="BK502" s="10" t="str">
        <x:v>False</x:v>
      </x:c>
      <x:c r="BL502" s="6" t="str">
        <x:v>True</x:v>
      </x:c>
      <x:c r="BM502" s="7" t="str">
        <x:v>2025-10-07 07:15:00-05:00</x:v>
      </x:c>
      <x:c r="BN502" s="8" t="str">
        <x:v>1</x:v>
      </x:c>
      <x:c r="BO502" s="6" t="str">
        <x:v>Immediate confirmation (1 bar)</x:v>
      </x:c>
      <x:c r="BP502" s="9" t="str">
        <x:v>0.7980203651070633</x:v>
      </x:c>
      <x:c r="BQ502" s="9" t="str">
        <x:v>1.0108257958022802</x:v>
      </x:c>
      <x:c r="BR502" s="10" t="str">
        <x:v>0.7894736842105263</x:v>
      </x:c>
      <x:c r="BS502" s="9" t="str">
        <x:v>1.3034332630082033</x:v>
      </x:c>
      <x:c r="BT502" s="9" t="str">
        <x:v>0.7714196862701612</x:v>
      </x:c>
      <x:c r="BU502" s="9" t="str">
        <x:v>0.15960407302141266</x:v>
      </x:c>
      <x:c r="BV502" s="6" t="str">
        <x:v>With trade</x:v>
      </x:c>
      <x:c r="BW502" s="7" t="str">
        <x:v>2025-10-07 07:15:00-05:00</x:v>
      </x:c>
      <x:c r="BX502" s="6" t="str">
        <x:v>23285.25</x:v>
      </x:c>
      <x:c r="BY502" s="9" t="str">
        <x:v>9.39825639536629</x:v>
      </x:c>
      <x:c r="BZ502" s="9" t="str">
        <x:v>0.78</x:v>
      </x:c>
      <x:c r="CA502" s="6" t="str">
        <x:v>23271.15261540695</x:v>
      </x:c>
      <x:c r="CB502" s="6" t="str">
        <x:v>14.097384593049355</x:v>
      </x:c>
      <x:c r="CC502" s="9" t="str">
        <x:v>1.4999999999999913</x:v>
      </x:c>
      <x:c r="CD502" s="6" t="str">
        <x:v>23313.4447691861</x:v>
      </x:c>
      <x:c r="CE502" s="6" t="str">
        <x:v>28.19476918609871</x:v>
      </x:c>
      <x:c r="CF502" s="6" t="str">
        <x:v>Fixed 2.00R target</x:v>
      </x:c>
      <x:c r="CG502" s="9" t="str">
        <x:v>0.05142797908467771</x:v>
      </x:c>
      <x:c r="CH502" s="9" t="str">
        <x:v>2.0</x:v>
      </x:c>
      <x:c r="CI502" s="9" t="str">
        <x:v>1.9485720209153223</x:v>
      </x:c>
      <x:c r="CJ502" s="6" t="str">
        <x:v>Win</x:v>
      </x:c>
      <x:c r="CK502" s="9" t="str">
        <x:v>2.8906071002767124</x:v>
      </x:c>
      <x:c r="CL502" s="9" t="str">
        <x:v>0.23053921658648627</x:v>
      </x:c>
      <x:c r="CM502" s="7" t="str">
        <x:v>2025-10-07 07:50:00-05:00</x:v>
      </x:c>
      <x:c r="CN502" s="6" t="str">
        <x:v>23313.4447691861</x:v>
      </x:c>
      <x:c r="CO502" s="6" t="str">
        <x:v>TARGET</x:v>
      </x:c>
      <x:c r="CP502" s="6" t="str">
        <x:v>F::Long::Delayed BOS::Exact BOS touch</x:v>
      </x:c>
    </x:row>
    <x:row r="503" ht="18" customHeight="1">
      <x:c r="A503" s="6" t="str">
        <x:v>A0502</x:v>
      </x:c>
      <x:c r="B503" s="6" t="str">
        <x:v>2025-10-08</x:v>
      </x:c>
      <x:c r="C503" s="6" t="str">
        <x:v>2025</x:v>
      </x:c>
      <x:c r="D503" s="6" t="str">
        <x:v>2025-Q4</x:v>
      </x:c>
      <x:c r="E503" s="6" t="str">
        <x:v>Second 50%</x:v>
      </x:c>
      <x:c r="F503" s="6" t="str">
        <x:v>Long</x:v>
      </x:c>
      <x:c r="G503" s="6" t="str">
        <x:v>Long</x:v>
      </x:c>
      <x:c r="H503" s="6" t="str">
        <x:v>Premarket</x:v>
      </x:c>
      <x:c r="I503" s="6" t="str">
        <x:v>Premarket</x:v>
      </x:c>
      <x:c r="J503" s="6" t="str">
        <x:v>Neutral</x:v>
      </x:c>
      <x:c r="K503" s="6" t="str">
        <x:v>Bear</x:v>
      </x:c>
      <x:c r="L503" s="6" t="str">
        <x:v>MID</x:v>
      </x:c>
      <x:c r="M503" s="7" t="str">
        <x:v>2025-10-08 05:55:00-05:00</x:v>
      </x:c>
      <x:c r="N503" s="6" t="str">
        <x:v>75.0</x:v>
      </x:c>
      <x:c r="O503" s="6" t="str">
        <x:v>75-79</x:v>
      </x:c>
      <x:c r="P503" s="6" t="str">
        <x:v>Matching BOS only</x:v>
      </x:c>
      <x:c r="Q503" s="6" t="str">
        <x:v>Bull BOS</x:v>
      </x:c>
      <x:c r="R503" s="6" t="str">
        <x:v>True</x:v>
      </x:c>
      <x:c r="S503" s="6" t="str">
        <x:v>False</x:v>
      </x:c>
      <x:c r="T503" s="6" t="str">
        <x:v>Recent SSL</x:v>
      </x:c>
      <x:c r="U503" s="6" t="str">
        <x:v>SSL</x:v>
      </x:c>
      <x:c r="V503" s="6" t="str">
        <x:v>Swing low / sell-side</x:v>
      </x:c>
      <x:c r="W503" s="6" t="str">
        <x:v>[23148.5,23151.75]</x:v>
      </x:c>
      <x:c r="X503" s="8" t="str">
        <x:v>2</x:v>
      </x:c>
      <x:c r="Y503" s="8" t="str">
        <x:v>9.0</x:v>
      </x:c>
      <x:c r="Z503" s="6" t="str">
        <x:v>None</x:v>
      </x:c>
      <x:c r="AA503" s="6" t="str">
        <x:v>23173.25</x:v>
      </x:c>
      <x:c r="AB503" s="9" t="str">
        <x:v>0.16749953194233144</x:v>
      </x:c>
      <x:c r="AC503" s="9" t="str">
        <x:v>0.19541612059938668</x:v>
      </x:c>
      <x:c r="AD503" s="9" t="str">
        <x:v>0.6141649504552154</x:v>
      </x:c>
      <x:c r="AE503" s="6" t="str">
        <x:v>With trade</x:v>
      </x:c>
      <x:c r="AF503" s="7" t="str">
        <x:v>2025-10-08 05:55:00-05:00</x:v>
      </x:c>
      <x:c r="AG503" s="6" t="str">
        <x:v>Long</x:v>
      </x:c>
      <x:c r="AH503" s="6" t="str">
        <x:v>23173.25</x:v>
      </x:c>
      <x:c r="AI503" s="8" t="str">
        <x:v>0</x:v>
      </x:c>
      <x:c r="AJ503" s="6" t="str">
        <x:v>True</x:v>
      </x:c>
      <x:c r="AK503" s="6" t="str">
        <x:v>Same-bar Setup+BOS</x:v>
      </x:c>
      <x:c r="AL503" s="9" t="str">
        <x:v>0.2791658865705524</x:v>
      </x:c>
      <x:c r="AM503" s="9" t="str">
        <x:v>0.16749953194233144</x:v>
      </x:c>
      <x:c r="AN503" s="9" t="str">
        <x:v>0.19541612059938668</x:v>
      </x:c>
      <x:c r="AO503" s="9" t="str">
        <x:v>0.6141649504552154</x:v>
      </x:c>
      <x:c r="AP503" s="10" t="str">
        <x:v>0.3181818181818182</x:v>
      </x:c>
      <x:c r="AQ503" s="6" t="str">
        <x:v>0.5454545454545454</x:v>
      </x:c>
      <x:c r="AR503" s="6" t="str">
        <x:v>0.13636363636363635</x:v>
      </x:c>
      <x:c r="AS503" s="6" t="str">
        <x:v>With trade</x:v>
      </x:c>
      <x:c r="AT503" s="6" t="str">
        <x:v>1.1531007751937983</x:v>
      </x:c>
      <x:c r="AU503" s="7" t="str">
        <x:v>2025-10-08 06:00:00-05:00</x:v>
      </x:c>
      <x:c r="AV503" s="8" t="str">
        <x:v>1</x:v>
      </x:c>
      <x:c r="AW503" s="6" t="str">
        <x:v>Immediate retest (1 bar)</x:v>
      </x:c>
      <x:c r="AX503" s="6" t="str">
        <x:v>23172.5</x:v>
      </x:c>
      <x:c r="AY503" s="6" t="str">
        <x:v>0.75</x:v>
      </x:c>
      <x:c r="AZ503" s="9" t="str">
        <x:v>0.08559673117180935</x:v>
      </x:c>
      <x:c r="BA503" s="9" t="str">
        <x:v>0.14266121861968226</x:v>
      </x:c>
      <x:c r="BB503" s="9" t="str">
        <x:v>0.7133060930984113</x:v>
      </x:c>
      <x:c r="BC503" s="9" t="str">
        <x:v>0.02853224372393645</x:v>
      </x:c>
      <x:c r="BD503" s="6" t="str">
        <x:v>0.64</x:v>
      </x:c>
      <x:c r="BE503" s="6" t="str">
        <x:v>0.32</x:v>
      </x:c>
      <x:c r="BF503" s="9" t="str">
        <x:v>0.2282579497914916</x:v>
      </x:c>
      <x:c r="BG503" s="9" t="str">
        <x:v>0.4565158995829832</x:v>
      </x:c>
      <x:c r="BH503" s="6" t="str">
        <x:v>Against trade</x:v>
      </x:c>
      <x:c r="BI503" s="6" t="str">
        <x:v>Penetration + same-bar reclaim</x:v>
      </x:c>
      <x:c r="BJ503" s="6" t="str">
        <x:v>False</x:v>
      </x:c>
      <x:c r="BK503" s="10" t="str">
        <x:v>True</x:v>
      </x:c>
      <x:c r="BL503" s="6" t="str">
        <x:v>True</x:v>
      </x:c>
      <x:c r="BM503" s="7" t="str">
        <x:v>2025-10-08 06:05:00-05:00</x:v>
      </x:c>
      <x:c r="BN503" s="8" t="str">
        <x:v>1</x:v>
      </x:c>
      <x:c r="BO503" s="6" t="str">
        <x:v>Immediate confirmation (1 bar)</x:v>
      </x:c>
      <x:c r="BP503" s="9" t="str">
        <x:v>0.20180185345710505</x:v>
      </x:c>
      <x:c r="BQ503" s="9" t="str">
        <x:v>0.8648650862447359</x:v>
      </x:c>
      <x:c r="BR503" s="10" t="str">
        <x:v>0.23333333333333334</x:v>
      </x:c>
      <x:c r="BS503" s="9" t="str">
        <x:v>0.34594603449789435</x:v>
      </x:c>
      <x:c r="BT503" s="9" t="str">
        <x:v>0.20180185345710505</x:v>
      </x:c>
      <x:c r="BU503" s="9" t="str">
        <x:v>0.028828836208157863</x:v>
      </x:c>
      <x:c r="BV503" s="6" t="str">
        <x:v>With trade</x:v>
      </x:c>
      <x:c r="BW503" s="7" t="str">
        <x:v>2025-10-08 06:05:00-05:00</x:v>
      </x:c>
      <x:c r="BX503" s="6" t="str">
        <x:v>23176.25</x:v>
      </x:c>
      <x:c r="BY503" s="9" t="str">
        <x:v>8.671872780256598</x:v>
      </x:c>
      <x:c r="BZ503" s="9" t="str">
        <x:v>0.48</x:v>
      </x:c>
      <x:c r="CA503" s="6" t="str">
        <x:v>23163.242190829616</x:v>
      </x:c>
      <x:c r="CB503" s="6" t="str">
        <x:v>13.007809170383553</x:v>
      </x:c>
      <x:c r="CC503" s="9" t="str">
        <x:v>1.499999999999845</x:v>
      </x:c>
      <x:c r="CD503" s="6" t="str">
        <x:v>23202.26561834077</x:v>
      </x:c>
      <x:c r="CE503" s="6" t="str">
        <x:v>26.015618340770743</x:v>
      </x:c>
      <x:c r="CF503" s="6" t="str">
        <x:v>Fixed 2.00R target</x:v>
      </x:c>
      <x:c r="CG503" s="9" t="str">
        <x:v>0.055735750002444295</x:v>
      </x:c>
      <x:c r="CH503" s="9" t="str">
        <x:v>-1.0</x:v>
      </x:c>
      <x:c r="CI503" s="9" t="str">
        <x:v>-1.0557357500024442</x:v>
      </x:c>
      <x:c r="CJ503" s="6" t="str">
        <x:v>Loss</x:v>
      </x:c>
      <x:c r="CK503" s="9" t="str">
        <x:v>0.15375379311019116</x:v>
      </x:c>
      <x:c r="CL503" s="9" t="str">
        <x:v>1.6144148276570072</x:v>
      </x:c>
      <x:c r="CM503" s="7" t="str">
        <x:v>2025-10-08 06:15:00-05:00</x:v>
      </x:c>
      <x:c r="CN503" s="6" t="str">
        <x:v>23163.242190829616</x:v>
      </x:c>
      <x:c r="CO503" s="6" t="str">
        <x:v>STOP</x:v>
      </x:c>
      <x:c r="CP503" s="6" t="str">
        <x:v>F::Long::Same-bar Setup+BOS::Penetration + same-bar reclaim</x:v>
      </x:c>
    </x:row>
    <x:row r="504" ht="18" customHeight="1">
      <x:c r="A504" s="6" t="str">
        <x:v>A0503</x:v>
      </x:c>
      <x:c r="B504" s="6" t="str">
        <x:v>2025-10-10</x:v>
      </x:c>
      <x:c r="C504" s="6" t="str">
        <x:v>2025</x:v>
      </x:c>
      <x:c r="D504" s="6" t="str">
        <x:v>2025-Q4</x:v>
      </x:c>
      <x:c r="E504" s="6" t="str">
        <x:v>Second 50%</x:v>
      </x:c>
      <x:c r="F504" s="6" t="str">
        <x:v>Long</x:v>
      </x:c>
      <x:c r="G504" s="6" t="str">
        <x:v>Long</x:v>
      </x:c>
      <x:c r="H504" s="6" t="str">
        <x:v>Overnight</x:v>
      </x:c>
      <x:c r="I504" s="6" t="str">
        <x:v>Overnight</x:v>
      </x:c>
      <x:c r="J504" s="6" t="str">
        <x:v>Bull</x:v>
      </x:c>
      <x:c r="K504" s="6" t="str">
        <x:v>Bull</x:v>
      </x:c>
      <x:c r="L504" s="6" t="str">
        <x:v>HIGH</x:v>
      </x:c>
      <x:c r="M504" s="7" t="str">
        <x:v>2025-10-10 03:05:00-05:00</x:v>
      </x:c>
      <x:c r="N504" s="6" t="str">
        <x:v>90.0</x:v>
      </x:c>
      <x:c r="O504" s="6" t="str">
        <x:v>90-94</x:v>
      </x:c>
      <x:c r="P504" s="6" t="str">
        <x:v>Matching BOS only</x:v>
      </x:c>
      <x:c r="Q504" s="6" t="str">
        <x:v>Bull BOS</x:v>
      </x:c>
      <x:c r="R504" s="6" t="str">
        <x:v>True</x:v>
      </x:c>
      <x:c r="S504" s="6" t="str">
        <x:v>False</x:v>
      </x:c>
      <x:c r="T504" s="6" t="str">
        <x:v>Recent SSL</x:v>
      </x:c>
      <x:c r="U504" s="6" t="str">
        <x:v>SSL</x:v>
      </x:c>
      <x:c r="V504" s="6" t="str">
        <x:v>Swing low / sell-side</x:v>
      </x:c>
      <x:c r="W504" s="6" t="str">
        <x:v>[23373.75]</x:v>
      </x:c>
      <x:c r="X504" s="8" t="str">
        <x:v>1</x:v>
      </x:c>
      <x:c r="Y504" s="8" t="str">
        <x:v>15.0</x:v>
      </x:c>
      <x:c r="Z504" s="6" t="str">
        <x:v>None</x:v>
      </x:c>
      <x:c r="AA504" s="6" t="str">
        <x:v>23403.5</x:v>
      </x:c>
      <x:c r="AB504" s="9" t="str">
        <x:v>0.2846271802199755</x:v>
      </x:c>
      <x:c r="AC504" s="9" t="str">
        <x:v>0.92978212205192</x:v>
      </x:c>
      <x:c r="AD504" s="9" t="str">
        <x:v>1.3851856104038809</x:v>
      </x:c>
      <x:c r="AE504" s="6" t="str">
        <x:v>With trade</x:v>
      </x:c>
      <x:c r="AF504" s="7" t="str">
        <x:v>2025-10-10 03:05:00-05:00</x:v>
      </x:c>
      <x:c r="AG504" s="6" t="str">
        <x:v>Long</x:v>
      </x:c>
      <x:c r="AH504" s="6" t="str">
        <x:v>23403.5</x:v>
      </x:c>
      <x:c r="AI504" s="8" t="str">
        <x:v>0</x:v>
      </x:c>
      <x:c r="AJ504" s="6" t="str">
        <x:v>True</x:v>
      </x:c>
      <x:c r="AK504" s="6" t="str">
        <x:v>Same-bar Setup+BOS</x:v>
      </x:c>
      <x:c r="AL504" s="9" t="str">
        <x:v>0.9867075580959151</x:v>
      </x:c>
      <x:c r="AM504" s="9" t="str">
        <x:v>0.2846271802199755</x:v>
      </x:c>
      <x:c r="AN504" s="9" t="str">
        <x:v>0.92978212205192</x:v>
      </x:c>
      <x:c r="AO504" s="9" t="str">
        <x:v>1.3851856104038809</x:v>
      </x:c>
      <x:c r="AP504" s="10" t="str">
        <x:v>0.6712328767123288</x:v>
      </x:c>
      <x:c r="AQ504" s="6" t="str">
        <x:v>0.1095890410958904</x:v>
      </x:c>
      <x:c r="AR504" s="6" t="str">
        <x:v>0.2191780821917808</x:v>
      </x:c>
      <x:c r="AS504" s="6" t="str">
        <x:v>With trade</x:v>
      </x:c>
      <x:c r="AT504" s="6" t="str">
        <x:v>1.0983656481575474</x:v>
      </x:c>
      <x:c r="AU504" s="7" t="str">
        <x:v>2025-10-10 03:10:00-05:00</x:v>
      </x:c>
      <x:c r="AV504" s="8" t="str">
        <x:v>1</x:v>
      </x:c>
      <x:c r="AW504" s="6" t="str">
        <x:v>Immediate retest (1 bar)</x:v>
      </x:c>
      <x:c r="AX504" s="6" t="str">
        <x:v>23402.25</x:v>
      </x:c>
      <x:c r="AY504" s="6" t="str">
        <x:v>1.25</x:v>
      </x:c>
      <x:c r="AZ504" s="9" t="str">
        <x:v>0.09627197218635065</x:v>
      </x:c>
      <x:c r="BA504" s="9" t="str">
        <x:v>0.5583774386808338</x:v>
      </x:c>
      <x:c r="BB504" s="9" t="str">
        <x:v>0.8086845663653455</x:v>
      </x:c>
      <x:c r="BC504" s="9" t="str">
        <x:v>0.23105273324724157</x:v>
      </x:c>
      <x:c r="BD504" s="6" t="str">
        <x:v>0.19047619047619047</x:v>
      </x:c>
      <x:c r="BE504" s="6" t="str">
        <x:v>0.5238095238095238</x:v>
      </x:c>
      <x:c r="BF504" s="9" t="str">
        <x:v>0.42359667761994285</x:v>
      </x:c>
      <x:c r="BG504" s="9" t="str">
        <x:v>0.15403515549816105</x:v>
      </x:c>
      <x:c r="BH504" s="6" t="str">
        <x:v>With trade</x:v>
      </x:c>
      <x:c r="BI504" s="6" t="str">
        <x:v>Penetration + same-bar reclaim</x:v>
      </x:c>
      <x:c r="BJ504" s="6" t="str">
        <x:v>False</x:v>
      </x:c>
      <x:c r="BK504" s="10" t="str">
        <x:v>True</x:v>
      </x:c>
      <x:c r="BL504" s="6" t="str">
        <x:v>True</x:v>
      </x:c>
      <x:c r="BM504" s="7" t="str">
        <x:v>2025-10-10 03:25:00-05:00</x:v>
      </x:c>
      <x:c r="BN504" s="8" t="str">
        <x:v>3</x:v>
      </x:c>
      <x:c r="BO504" s="6" t="str">
        <x:v>Delayed confirmation (2+ bars)</x:v>
      </x:c>
      <x:c r="BP504" s="9" t="str">
        <x:v>0.10435378739133072</x:v>
      </x:c>
      <x:c r="BQ504" s="9" t="str">
        <x:v>0.6261227243479843</x:v>
      </x:c>
      <x:c r="BR504" s="10" t="str">
        <x:v>0.16666666666666666</x:v>
      </x:c>
      <x:c r="BS504" s="9" t="str">
        <x:v>0.16696605982612917</x:v>
      </x:c>
      <x:c r="BT504" s="9" t="str">
        <x:v>-0.43828590704358905</x:v>
      </x:c>
      <x:c r="BU504" s="9" t="str">
        <x:v>0.16696605982612917</x:v>
      </x:c>
      <x:c r="BV504" s="6" t="str">
        <x:v>With trade</x:v>
      </x:c>
      <x:c r="BW504" s="7" t="str">
        <x:v>2025-10-10 03:25:00-05:00</x:v>
      </x:c>
      <x:c r="BX504" s="6" t="str">
        <x:v>23405.5</x:v>
      </x:c>
      <x:c r="BY504" s="9" t="str">
        <x:v>11.978482345949283</x:v>
      </x:c>
      <x:c r="BZ504" s="9" t="str">
        <x:v>0.83</x:v>
      </x:c>
      <x:c r="CA504" s="6" t="str">
        <x:v>23387.532276481077</x:v>
      </x:c>
      <x:c r="CB504" s="6" t="str">
        <x:v>17.967723518922867</x:v>
      </x:c>
      <x:c r="CC504" s="9" t="str">
        <x:v>1.4999999999999116</x:v>
      </x:c>
      <x:c r="CD504" s="6" t="str">
        <x:v>23441.43544703785</x:v>
      </x:c>
      <x:c r="CE504" s="6" t="str">
        <x:v>35.93544703784937</x:v>
      </x:c>
      <x:c r="CF504" s="6" t="str">
        <x:v>Fixed 2.00R target</x:v>
      </x:c>
      <x:c r="CG504" s="9" t="str">
        <x:v>0.04035013112465026</x:v>
      </x:c>
      <x:c r="CH504" s="9" t="str">
        <x:v>-1.0</x:v>
      </x:c>
      <x:c r="CI504" s="9" t="str">
        <x:v>-1.0403501311246504</x:v>
      </x:c>
      <x:c r="CJ504" s="6" t="str">
        <x:v>Loss</x:v>
      </x:c>
      <x:c r="CK504" s="9" t="str">
        <x:v>0.7930887841741602</x:v>
      </x:c>
      <x:c r="CL504" s="9" t="str">
        <x:v>2.128817262783272</x:v>
      </x:c>
      <x:c r="CM504" s="7" t="str">
        <x:v>2025-10-10 04:00:00-05:00</x:v>
      </x:c>
      <x:c r="CN504" s="6" t="str">
        <x:v>23387.532276481077</x:v>
      </x:c>
      <x:c r="CO504" s="6" t="str">
        <x:v>STOP</x:v>
      </x:c>
      <x:c r="CP504" s="6" t="str">
        <x:v>F::Long::Same-bar Setup+BOS::Penetration + same-bar reclaim</x:v>
      </x:c>
    </x:row>
    <x:row r="505" ht="18" customHeight="1">
      <x:c r="A505" s="6" t="str">
        <x:v>A0504</x:v>
      </x:c>
      <x:c r="B505" s="6" t="str">
        <x:v>2025-10-13</x:v>
      </x:c>
      <x:c r="C505" s="6" t="str">
        <x:v>2025</x:v>
      </x:c>
      <x:c r="D505" s="6" t="str">
        <x:v>2025-Q4</x:v>
      </x:c>
      <x:c r="E505" s="6" t="str">
        <x:v>Second 50%</x:v>
      </x:c>
      <x:c r="F505" s="6" t="str">
        <x:v>Long</x:v>
      </x:c>
      <x:c r="G505" s="6" t="str">
        <x:v>Long</x:v>
      </x:c>
      <x:c r="H505" s="6" t="str">
        <x:v>Premarket</x:v>
      </x:c>
      <x:c r="I505" s="6" t="str">
        <x:v>Premarket</x:v>
      </x:c>
      <x:c r="J505" s="6" t="str">
        <x:v>Bear</x:v>
      </x:c>
      <x:c r="K505" s="6" t="str">
        <x:v>Bear</x:v>
      </x:c>
      <x:c r="L505" s="6" t="str">
        <x:v>HIGH</x:v>
      </x:c>
      <x:c r="M505" s="7" t="str">
        <x:v>2025-10-13 07:15:00-05:00</x:v>
      </x:c>
      <x:c r="N505" s="6" t="str">
        <x:v>75.0</x:v>
      </x:c>
      <x:c r="O505" s="6" t="str">
        <x:v>75-79</x:v>
      </x:c>
      <x:c r="P505" s="6" t="str">
        <x:v>Matching BOS only</x:v>
      </x:c>
      <x:c r="Q505" s="6" t="str">
        <x:v>Bull CHoCH</x:v>
      </x:c>
      <x:c r="R505" s="6" t="str">
        <x:v>True</x:v>
      </x:c>
      <x:c r="S505" s="6" t="str">
        <x:v>False</x:v>
      </x:c>
      <x:c r="T505" s="6" t="str">
        <x:v>Recent SSL</x:v>
      </x:c>
      <x:c r="U505" s="6" t="str">
        <x:v>SSL</x:v>
      </x:c>
      <x:c r="V505" s="6" t="str">
        <x:v>Swing low / sell-side</x:v>
      </x:c>
      <x:c r="W505" s="6" t="str">
        <x:v>[22840.25]</x:v>
      </x:c>
      <x:c r="X505" s="8" t="str">
        <x:v>1</x:v>
      </x:c>
      <x:c r="Y505" s="8" t="str">
        <x:v>14.0</x:v>
      </x:c>
      <x:c r="Z505" s="6" t="str">
        <x:v>None</x:v>
      </x:c>
      <x:c r="AA505" s="6" t="str">
        <x:v>22892.75</x:v>
      </x:c>
      <x:c r="AB505" s="9" t="str">
        <x:v>0.3471198221442251</x:v>
      </x:c>
      <x:c r="AC505" s="9" t="str">
        <x:v>0.4272243964852001</x:v>
      </x:c>
      <x:c r="AD505" s="9" t="str">
        <x:v>0.7387421855889919</x:v>
      </x:c>
      <x:c r="AE505" s="6" t="str">
        <x:v>With trade</x:v>
      </x:c>
      <x:c r="AF505" s="7" t="str">
        <x:v>2025-10-13 07:15:00-05:00</x:v>
      </x:c>
      <x:c r="AG505" s="6" t="str">
        <x:v>Long</x:v>
      </x:c>
      <x:c r="AH505" s="6" t="str">
        <x:v>22892.75</x:v>
      </x:c>
      <x:c r="AI505" s="8" t="str">
        <x:v>0</x:v>
      </x:c>
      <x:c r="AJ505" s="6" t="str">
        <x:v>True</x:v>
      </x:c>
      <x:c r="AK505" s="6" t="str">
        <x:v>Same-bar Setup+BOS</x:v>
      </x:c>
      <x:c r="AL505" s="9" t="str">
        <x:v>0.39162236344476675</x:v>
      </x:c>
      <x:c r="AM505" s="9" t="str">
        <x:v>0.3471198221442251</x:v>
      </x:c>
      <x:c r="AN505" s="9" t="str">
        <x:v>0.4272243964852001</x:v>
      </x:c>
      <x:c r="AO505" s="9" t="str">
        <x:v>0.7387421855889919</x:v>
      </x:c>
      <x:c r="AP505" s="10" t="str">
        <x:v>0.5783132530120482</x:v>
      </x:c>
      <x:c r="AQ505" s="6" t="str">
        <x:v>0.21686746987951808</x:v>
      </x:c>
      <x:c r="AR505" s="6" t="str">
        <x:v>0.20481927710843373</x:v>
      </x:c>
      <x:c r="AS505" s="6" t="str">
        <x:v>With trade</x:v>
      </x:c>
      <x:c r="AT505" s="6" t="str">
        <x:v>0.9487028796910418</x:v>
      </x:c>
      <x:c r="AU505" s="7" t="str">
        <x:v>2025-10-13 07:20:00-05:00</x:v>
      </x:c>
      <x:c r="AV505" s="8" t="str">
        <x:v>1</x:v>
      </x:c>
      <x:c r="AW505" s="6" t="str">
        <x:v>Immediate retest (1 bar)</x:v>
      </x:c>
      <x:c r="AX505" s="6" t="str">
        <x:v>22870.25</x:v>
      </x:c>
      <x:c r="AY505" s="6" t="str">
        <x:v>22.5</x:v>
      </x:c>
      <x:c r="AZ505" s="9" t="str">
        <x:v>0.7916607979244892</x:v>
      </x:c>
      <x:c r="BA505" s="9" t="str">
        <x:v>0.2023133150251472</x:v>
      </x:c>
      <x:c r="BB505" s="9" t="str">
        <x:v>1.152306272534534</x:v>
      </x:c>
      <x:c r="BC505" s="9" t="str">
        <x:v>0.15833215958489782</x:v>
      </x:c>
      <x:c r="BD505" s="6" t="str">
        <x:v>0.0</x:v>
      </x:c>
      <x:c r="BE505" s="6" t="str">
        <x:v>0.8625954198473282</x:v>
      </x:c>
      <x:c r="BF505" s="9" t="str">
        <x:v>0.9939741129496363</x:v>
      </x:c>
      <x:c r="BG505" s="9" t="str">
        <x:v>0.0</x:v>
      </x:c>
      <x:c r="BH505" s="6" t="str">
        <x:v>Against trade</x:v>
      </x:c>
      <x:c r="BI505" s="6" t="str">
        <x:v>Penetration + same-bar reclaim</x:v>
      </x:c>
      <x:c r="BJ505" s="6" t="str">
        <x:v>False</x:v>
      </x:c>
      <x:c r="BK505" s="10" t="str">
        <x:v>True</x:v>
      </x:c>
      <x:c r="BL505" s="6" t="str">
        <x:v>True</x:v>
      </x:c>
      <x:c r="BM505" s="7" t="str">
        <x:v>2025-10-13 07:30:00-05:00</x:v>
      </x:c>
      <x:c r="BN505" s="8" t="str">
        <x:v>2</x:v>
      </x:c>
      <x:c r="BO505" s="6" t="str">
        <x:v>Delayed confirmation (2+ bars)</x:v>
      </x:c>
      <x:c r="BP505" s="9" t="str">
        <x:v>0.47435615249865176</x:v>
      </x:c>
      <x:c r="BQ505" s="9" t="str">
        <x:v>0.7347869813214409</x:v>
      </x:c>
      <x:c r="BR505" s="10" t="str">
        <x:v>0.6455696202531646</x:v>
      </x:c>
      <x:c r="BS505" s="9" t="str">
        <x:v>0.3906462432341838</x:v>
      </x:c>
      <x:c r="BT505" s="9" t="str">
        <x:v>0.17672091955832125</x:v>
      </x:c>
      <x:c r="BU505" s="9" t="str">
        <x:v>0.09301101029385328</x:v>
      </x:c>
      <x:c r="BV505" s="6" t="str">
        <x:v>With trade</x:v>
      </x:c>
      <x:c r="BW505" s="7" t="str">
        <x:v>2025-10-13 07:30:00-05:00</x:v>
      </x:c>
      <x:c r="BX505" s="6" t="str">
        <x:v>22903.25</x:v>
      </x:c>
      <x:c r="BY505" s="9" t="str">
        <x:v>26.878538273067385</x:v>
      </x:c>
      <x:c r="BZ505" s="9" t="str">
        <x:v>0.84</x:v>
      </x:c>
      <x:c r="CA505" s="6" t="str">
        <x:v>22862.9321925904</x:v>
      </x:c>
      <x:c r="CB505" s="6" t="str">
        <x:v>40.31780740959948</x:v>
      </x:c>
      <x:c r="CC505" s="9" t="str">
        <x:v>1.4999999999999407</x:v>
      </x:c>
      <x:c r="CD505" s="6" t="str">
        <x:v>22983.885614819203</x:v>
      </x:c>
      <x:c r="CE505" s="6" t="str">
        <x:v>80.6356148192026</x:v>
      </x:c>
      <x:c r="CF505" s="6" t="str">
        <x:v>Fixed 2.00R target</x:v>
      </x:c>
      <x:c r="CG505" s="9" t="str">
        <x:v>0.017982128656812348</x:v>
      </x:c>
      <x:c r="CH505" s="9" t="str">
        <x:v>-1.0</x:v>
      </x:c>
      <x:c r="CI505" s="9" t="str">
        <x:v>-1.0179821286568123</x:v>
      </x:c>
      <x:c r="CJ505" s="6" t="str">
        <x:v>Loss</x:v>
      </x:c>
      <x:c r="CK505" s="9" t="str">
        <x:v>0.24802936078361856</x:v>
      </x:c>
      <x:c r="CL505" s="9" t="str">
        <x:v>1.1285335915654644</x:v>
      </x:c>
      <x:c r="CM505" s="7" t="str">
        <x:v>2025-10-13 07:55:00-05:00</x:v>
      </x:c>
      <x:c r="CN505" s="6" t="str">
        <x:v>22862.9321925904</x:v>
      </x:c>
      <x:c r="CO505" s="6" t="str">
        <x:v>STOP</x:v>
      </x:c>
      <x:c r="CP505" s="6" t="str">
        <x:v>F::Long::Same-bar Setup+BOS::Penetration + same-bar reclaim</x:v>
      </x:c>
    </x:row>
    <x:row r="506" ht="18" customHeight="1">
      <x:c r="A506" s="6" t="str">
        <x:v>A0505</x:v>
      </x:c>
      <x:c r="B506" s="6" t="str">
        <x:v>2025-10-14</x:v>
      </x:c>
      <x:c r="C506" s="6" t="str">
        <x:v>2025</x:v>
      </x:c>
      <x:c r="D506" s="6" t="str">
        <x:v>2025-Q4</x:v>
      </x:c>
      <x:c r="E506" s="6" t="str">
        <x:v>Second 50%</x:v>
      </x:c>
      <x:c r="F506" s="6" t="str">
        <x:v>Long</x:v>
      </x:c>
      <x:c r="G506" s="6" t="str">
        <x:v>Long</x:v>
      </x:c>
      <x:c r="H506" s="6" t="str">
        <x:v>Morning</x:v>
      </x:c>
      <x:c r="I506" s="6" t="str">
        <x:v>Morning</x:v>
      </x:c>
      <x:c r="J506" s="6" t="str">
        <x:v>Neutral</x:v>
      </x:c>
      <x:c r="K506" s="6" t="str">
        <x:v>Bear</x:v>
      </x:c>
      <x:c r="L506" s="6" t="str">
        <x:v>HIGH</x:v>
      </x:c>
      <x:c r="M506" s="7" t="str">
        <x:v>2025-10-14 10:40:00-05:00</x:v>
      </x:c>
      <x:c r="N506" s="6" t="str">
        <x:v>75.0</x:v>
      </x:c>
      <x:c r="O506" s="6" t="str">
        <x:v>75-79</x:v>
      </x:c>
      <x:c r="P506" s="6" t="str">
        <x:v>Matching BOS only</x:v>
      </x:c>
      <x:c r="Q506" s="6" t="str">
        <x:v>Bull BOS</x:v>
      </x:c>
      <x:c r="R506" s="6" t="str">
        <x:v>True</x:v>
      </x:c>
      <x:c r="S506" s="6" t="str">
        <x:v>False</x:v>
      </x:c>
      <x:c r="T506" s="6" t="str">
        <x:v>No recent matching sweep</x:v>
      </x:c>
      <x:c r="U506" s="6" t="str">
        <x:v>None</x:v>
      </x:c>
      <x:c r="V506" s="6" t="str">
        <x:v>None</x:v>
      </x:c>
      <x:c r="W506" s="6" t="str">
        <x:v>[]</x:v>
      </x:c>
      <x:c r="X506" s="8" t="str">
        <x:v>0</x:v>
      </x:c>
      <x:c r="Y506" s="8" t="str"/>
      <x:c r="Z506" s="6" t="str">
        <x:v>None</x:v>
      </x:c>
      <x:c r="AA506" s="6" t="str">
        <x:v>22845.75</x:v>
      </x:c>
      <x:c r="AB506" s="9" t="str">
        <x:v>0.19678130835903607</x:v>
      </x:c>
      <x:c r="AC506" s="9" t="str">
        <x:v>1.345558676076652</x:v>
      </x:c>
      <x:c r="AD506" s="9" t="str">
        <x:v>1.9252657736748933</x:v>
      </x:c>
      <x:c r="AE506" s="6" t="str">
        <x:v>With trade</x:v>
      </x:c>
      <x:c r="AF506" s="7" t="str">
        <x:v>2025-10-14 10:40:00-05:00</x:v>
      </x:c>
      <x:c r="AG506" s="6" t="str">
        <x:v>Long</x:v>
      </x:c>
      <x:c r="AH506" s="6" t="str">
        <x:v>22845.75</x:v>
      </x:c>
      <x:c r="AI506" s="8" t="str">
        <x:v>0</x:v>
      </x:c>
      <x:c r="AJ506" s="6" t="str">
        <x:v>True</x:v>
      </x:c>
      <x:c r="AK506" s="6" t="str">
        <x:v>Same-bar Setup+BOS</x:v>
      </x:c>
      <x:c r="AL506" s="9" t="str">
        <x:v>1.3561955035555189</x:v>
      </x:c>
      <x:c r="AM506" s="9" t="str">
        <x:v>0.19678130835903607</x:v>
      </x:c>
      <x:c r="AN506" s="9" t="str">
        <x:v>1.345558676076652</x:v>
      </x:c>
      <x:c r="AO506" s="9" t="str">
        <x:v>1.9252657736748933</x:v>
      </x:c>
      <x:c r="AP506" s="10" t="str">
        <x:v>0.6988950276243094</x:v>
      </x:c>
      <x:c r="AQ506" s="6" t="str">
        <x:v>0.1685082872928177</x:v>
      </x:c>
      <x:c r="AR506" s="6" t="str">
        <x:v>0.13259668508287292</x:v>
      </x:c>
      <x:c r="AS506" s="6" t="str">
        <x:v>With trade</x:v>
      </x:c>
      <x:c r="AT506" s="6" t="str">
        <x:v>1.294825931419597</x:v>
      </x:c>
      <x:c r="AU506" s="7" t="str">
        <x:v>2025-10-14 11:05:00-05:00</x:v>
      </x:c>
      <x:c r="AV506" s="8" t="str">
        <x:v>5</x:v>
      </x:c>
      <x:c r="AW506" s="6" t="str">
        <x:v>Delayed retest (2+ bars)</x:v>
      </x:c>
      <x:c r="AX506" s="6" t="str">
        <x:v>22839.25</x:v>
      </x:c>
      <x:c r="AY506" s="6" t="str">
        <x:v>6.5</x:v>
      </x:c>
      <x:c r="AZ506" s="9" t="str">
        <x:v>0.15298297141256506</x:v>
      </x:c>
      <x:c r="BA506" s="9" t="str">
        <x:v>-0.06472356482839291</x:v>
      </x:c>
      <x:c r="BB506" s="9" t="str">
        <x:v>0.7178431735512668</x:v>
      </x:c>
      <x:c r="BC506" s="9" t="str">
        <x:v>0.5530922812608121</x:v>
      </x:c>
      <x:c r="BD506" s="6" t="str">
        <x:v>0.10655737704918032</x:v>
      </x:c>
      <x:c r="BE506" s="6" t="str">
        <x:v>0.12295081967213115</x:v>
      </x:c>
      <x:c r="BF506" s="9" t="str">
        <x:v>0.08825940658417215</x:v>
      </x:c>
      <x:c r="BG506" s="9" t="str">
        <x:v>0.07649148570628253</x:v>
      </x:c>
      <x:c r="BH506" s="6" t="str">
        <x:v>Against trade</x:v>
      </x:c>
      <x:c r="BI506" s="6" t="str">
        <x:v>Penetration without same-bar reclaim</x:v>
      </x:c>
      <x:c r="BJ506" s="6" t="str">
        <x:v>False</x:v>
      </x:c>
      <x:c r="BK506" s="10" t="str">
        <x:v>True</x:v>
      </x:c>
      <x:c r="BL506" s="6" t="str">
        <x:v>False</x:v>
      </x:c>
      <x:c r="BM506" s="7" t="str">
        <x:v>2025-10-14 11:10:00-05:00</x:v>
      </x:c>
      <x:c r="BN506" s="8" t="str">
        <x:v>1</x:v>
      </x:c>
      <x:c r="BO506" s="6" t="str">
        <x:v>Immediate confirmation (1 bar)</x:v>
      </x:c>
      <x:c r="BP506" s="9" t="str">
        <x:v>0.706165112249082</x:v>
      </x:c>
      <x:c r="BQ506" s="9" t="str">
        <x:v>0.7779785134947513</x:v>
      </x:c>
      <x:c r="BR506" s="10" t="str">
        <x:v>0.9076923076923077</x:v>
      </x:c>
      <x:c r="BS506" s="9" t="str">
        <x:v>0.6403361611072184</x:v>
      </x:c>
      <x:c r="BT506" s="9" t="str">
        <x:v>0.706165112249082</x:v>
      </x:c>
      <x:c r="BU506" s="9" t="str">
        <x:v>0.0</x:v>
      </x:c>
      <x:c r="BV506" s="6" t="str">
        <x:v>With trade</x:v>
      </x:c>
      <x:c r="BW506" s="7" t="str">
        <x:v>2025-10-14 11:10:00-05:00</x:v>
      </x:c>
      <x:c r="BX506" s="6" t="str">
        <x:v>22872.5</x:v>
      </x:c>
      <x:c r="BY506" s="9" t="str">
        <x:v>41.77493264435672</x:v>
      </x:c>
      <x:c r="BZ506" s="9" t="str">
        <x:v>0.71</x:v>
      </x:c>
      <x:c r="CA506" s="6" t="str">
        <x:v>22809.837601033465</x:v>
      </x:c>
      <x:c r="CB506" s="6" t="str">
        <x:v>62.662398966534965</x:v>
      </x:c>
      <x:c r="CC506" s="9" t="str">
        <x:v>1.4999999999999973</x:v>
      </x:c>
      <x:c r="CD506" s="6" t="str">
        <x:v>22997.82479793307</x:v>
      </x:c>
      <x:c r="CE506" s="6" t="str">
        <x:v>125.32479793306993</x:v>
      </x:c>
      <x:c r="CF506" s="6" t="str">
        <x:v>Fixed 2.00R target</x:v>
      </x:c>
      <x:c r="CG506" s="9" t="str">
        <x:v>0.01156993686735786</x:v>
      </x:c>
      <x:c r="CH506" s="9" t="str">
        <x:v>2.0</x:v>
      </x:c>
      <x:c r="CI506" s="9" t="str">
        <x:v>1.9884300631326421</x:v>
      </x:c>
      <x:c r="CJ506" s="6" t="str">
        <x:v>Win</x:v>
      </x:c>
      <x:c r="CK506" s="9" t="str">
        <x:v>2.2661117726411257</x:v>
      </x:c>
      <x:c r="CL506" s="9" t="str">
        <x:v>0.08378230145328106</x:v>
      </x:c>
      <x:c r="CM506" s="7" t="str">
        <x:v>2025-10-14 11:45:00-05:00</x:v>
      </x:c>
      <x:c r="CN506" s="6" t="str">
        <x:v>22997.82479793307</x:v>
      </x:c>
      <x:c r="CO506" s="6" t="str">
        <x:v>TARGET</x:v>
      </x:c>
      <x:c r="CP506" s="6" t="str">
        <x:v>F::Long::Same-bar Setup+BOS::Penetration without same-bar reclaim</x:v>
      </x:c>
    </x:row>
    <x:row r="507" ht="18" customHeight="1">
      <x:c r="A507" s="6" t="str">
        <x:v>A0506</x:v>
      </x:c>
      <x:c r="B507" s="6" t="str">
        <x:v>2025-10-19</x:v>
      </x:c>
      <x:c r="C507" s="6" t="str">
        <x:v>2025</x:v>
      </x:c>
      <x:c r="D507" s="6" t="str">
        <x:v>2025-Q4</x:v>
      </x:c>
      <x:c r="E507" s="6" t="str">
        <x:v>Second 50%</x:v>
      </x:c>
      <x:c r="F507" s="6" t="str">
        <x:v>Long</x:v>
      </x:c>
      <x:c r="G507" s="6" t="str">
        <x:v>Long</x:v>
      </x:c>
      <x:c r="H507" s="6" t="str">
        <x:v>Overnight</x:v>
      </x:c>
      <x:c r="I507" s="6" t="str">
        <x:v>Overnight</x:v>
      </x:c>
      <x:c r="J507" s="6" t="str">
        <x:v>Bull</x:v>
      </x:c>
      <x:c r="K507" s="6" t="str">
        <x:v>Bull</x:v>
      </x:c>
      <x:c r="L507" s="6" t="str">
        <x:v>LOW</x:v>
      </x:c>
      <x:c r="M507" s="7" t="str">
        <x:v>2025-10-19 19:40:00-05:00</x:v>
      </x:c>
      <x:c r="N507" s="6" t="str">
        <x:v>75.0</x:v>
      </x:c>
      <x:c r="O507" s="6" t="str">
        <x:v>75-79</x:v>
      </x:c>
      <x:c r="P507" s="6" t="str">
        <x:v>Matching BOS only</x:v>
      </x:c>
      <x:c r="Q507" s="6" t="str">
        <x:v>Bull CHoCH</x:v>
      </x:c>
      <x:c r="R507" s="6" t="str">
        <x:v>True</x:v>
      </x:c>
      <x:c r="S507" s="6" t="str">
        <x:v>False</x:v>
      </x:c>
      <x:c r="T507" s="6" t="str">
        <x:v>Recent SSL</x:v>
      </x:c>
      <x:c r="U507" s="6" t="str">
        <x:v>SSL</x:v>
      </x:c>
      <x:c r="V507" s="6" t="str">
        <x:v>Swing low / sell-side</x:v>
      </x:c>
      <x:c r="W507" s="6" t="str">
        <x:v>[23117.0]</x:v>
      </x:c>
      <x:c r="X507" s="8" t="str">
        <x:v>1</x:v>
      </x:c>
      <x:c r="Y507" s="8" t="str">
        <x:v>19.0</x:v>
      </x:c>
      <x:c r="Z507" s="6" t="str">
        <x:v>None</x:v>
      </x:c>
      <x:c r="AA507" s="6" t="str">
        <x:v>23093.75</x:v>
      </x:c>
      <x:c r="AB507" s="9" t="str">
        <x:v>0.1004009181417897</x:v>
      </x:c>
      <x:c r="AC507" s="9" t="str">
        <x:v>0.8157574599020413</x:v>
      </x:c>
      <x:c r="AD507" s="9" t="str">
        <x:v>1.0793098700242392</x:v>
      </x:c>
      <x:c r="AE507" s="6" t="str">
        <x:v>With trade</x:v>
      </x:c>
      <x:c r="AF507" s="7" t="str">
        <x:v>2025-10-19 19:40:00-05:00</x:v>
      </x:c>
      <x:c r="AG507" s="6" t="str">
        <x:v>Long</x:v>
      </x:c>
      <x:c r="AH507" s="6" t="str">
        <x:v>23093.75</x:v>
      </x:c>
      <x:c r="AI507" s="8" t="str">
        <x:v>0</x:v>
      </x:c>
      <x:c r="AJ507" s="6" t="str">
        <x:v>True</x:v>
      </x:c>
      <x:c r="AK507" s="6" t="str">
        <x:v>Same-bar Setup+BOS</x:v>
      </x:c>
      <x:c r="AL507" s="9" t="str">
        <x:v>0.7279066565279754</x:v>
      </x:c>
      <x:c r="AM507" s="9" t="str">
        <x:v>0.1004009181417897</x:v>
      </x:c>
      <x:c r="AN507" s="9" t="str">
        <x:v>0.8157574599020413</x:v>
      </x:c>
      <x:c r="AO507" s="9" t="str">
        <x:v>1.0793098700242392</x:v>
      </x:c>
      <x:c r="AP507" s="10" t="str">
        <x:v>0.7558139534883721</x:v>
      </x:c>
      <x:c r="AQ507" s="6" t="str">
        <x:v>0.05813953488372093</x:v>
      </x:c>
      <x:c r="AR507" s="6" t="str">
        <x:v>0.18604651162790697</x:v>
      </x:c>
      <x:c r="AS507" s="6" t="str">
        <x:v>With trade</x:v>
      </x:c>
      <x:c r="AT507" s="6" t="str">
        <x:v>1.2608080490488915</x:v>
      </x:c>
      <x:c r="AU507" s="7" t="str">
        <x:v>2025-10-19 19:45:00-05:00</x:v>
      </x:c>
      <x:c r="AV507" s="8" t="str">
        <x:v>1</x:v>
      </x:c>
      <x:c r="AW507" s="6" t="str">
        <x:v>Immediate retest (1 bar)</x:v>
      </x:c>
      <x:c r="AX507" s="6" t="str">
        <x:v>23093.25</x:v>
      </x:c>
      <x:c r="AY507" s="6" t="str">
        <x:v>0.5</x:v>
      </x:c>
      <x:c r="AZ507" s="9" t="str">
        <x:v>0.024521671924582062</x:v>
      </x:c>
      <x:c r="BA507" s="9" t="str">
        <x:v>0.7479109936997529</x:v>
      </x:c>
      <x:c r="BB507" s="9" t="str">
        <x:v>1.2996486120028492</x:v>
      </x:c>
      <x:c r="BC507" s="9" t="str">
        <x:v>0.6743459779260067</x:v>
      </x:c>
      <x:c r="BD507" s="6" t="str">
        <x:v>0.4056603773584906</x:v>
      </x:c>
      <x:c r="BE507" s="6" t="str">
        <x:v>0.07547169811320754</x:v>
      </x:c>
      <x:c r="BF507" s="9" t="str">
        <x:v>0.09808668769832825</x:v>
      </x:c>
      <x:c r="BG507" s="9" t="str">
        <x:v>0.5272159463785143</x:v>
      </x:c>
      <x:c r="BH507" s="6" t="str">
        <x:v>With trade</x:v>
      </x:c>
      <x:c r="BI507" s="6" t="str">
        <x:v>Penetration + same-bar reclaim</x:v>
      </x:c>
      <x:c r="BJ507" s="6" t="str">
        <x:v>False</x:v>
      </x:c>
      <x:c r="BK507" s="10" t="str">
        <x:v>True</x:v>
      </x:c>
      <x:c r="BL507" s="6" t="str">
        <x:v>True</x:v>
      </x:c>
      <x:c r="BM507" s="7" t="str">
        <x:v>2025-10-19 19:50:00-05:00</x:v>
      </x:c>
      <x:c r="BN507" s="8" t="str">
        <x:v>1</x:v>
      </x:c>
      <x:c r="BO507" s="6" t="str">
        <x:v>Immediate confirmation (1 bar)</x:v>
      </x:c>
      <x:c r="BP507" s="9" t="str">
        <x:v>0.2816441666831062</x:v>
      </x:c>
      <x:c r="BQ507" s="9" t="str">
        <x:v>1.0163680797694703</x:v>
      </x:c>
      <x:c r="BR507" s="10" t="str">
        <x:v>0.27710843373493976</x:v>
      </x:c>
      <x:c r="BS507" s="9" t="str">
        <x:v>1.0163680797694703</x:v>
      </x:c>
      <x:c r="BT507" s="9" t="str">
        <x:v>0.26939876813166685</x:v>
      </x:c>
      <x:c r="BU507" s="9" t="str">
        <x:v>0.0</x:v>
      </x:c>
      <x:c r="BV507" s="6" t="str">
        <x:v>With trade</x:v>
      </x:c>
      <x:c r="BW507" s="7" t="str">
        <x:v>2025-10-19 19:50:00-05:00</x:v>
      </x:c>
      <x:c r="BX507" s="6" t="str">
        <x:v>23114.5</x:v>
      </x:c>
      <x:c r="BY507" s="9" t="str">
        <x:v>20.415832032728197</x:v>
      </x:c>
      <x:c r="BZ507" s="9" t="str">
        <x:v>0.29</x:v>
      </x:c>
      <x:c r="CA507" s="6" t="str">
        <x:v>23083.876251950907</x:v>
      </x:c>
      <x:c r="CB507" s="6" t="str">
        <x:v>30.623748049092683</x:v>
      </x:c>
      <x:c r="CC507" s="9" t="str">
        <x:v>1.5000000000000189</x:v>
      </x:c>
      <x:c r="CD507" s="6" t="str">
        <x:v>23175.747496098185</x:v>
      </x:c>
      <x:c r="CE507" s="6" t="str">
        <x:v>61.247496098185366</x:v>
      </x:c>
      <x:c r="CF507" s="6" t="str">
        <x:v>Fixed 2.00R target</x:v>
      </x:c>
      <x:c r="CG507" s="9" t="str">
        <x:v>0.02367443719944921</x:v>
      </x:c>
      <x:c r="CH507" s="9" t="str">
        <x:v>-0.12245398551439401</x:v>
      </x:c>
      <x:c r="CI507" s="9" t="str">
        <x:v>-0.14612842271384321</x:v>
      </x:c>
      <x:c r="CJ507" s="6" t="str">
        <x:v>Loss</x:v>
      </x:c>
      <x:c r="CK507" s="9" t="str">
        <x:v>1.2816850483839746</x:v>
      </x:c>
      <x:c r="CL507" s="9" t="str">
        <x:v>0.21225357489161362</x:v>
      </x:c>
      <x:c r="CM507" s="7" t="str">
        <x:v>2025-10-19 20:50:00-05:00</x:v>
      </x:c>
      <x:c r="CN507" s="6" t="str">
        <x:v>23110.75</x:v>
      </x:c>
      <x:c r="CO507" s="6" t="str">
        <x:v>TIME</x:v>
      </x:c>
      <x:c r="CP507" s="6" t="str">
        <x:v>F::Long::Same-bar Setup+BOS::Penetration + same-bar reclaim</x:v>
      </x:c>
    </x:row>
    <x:row r="508" ht="18" customHeight="1">
      <x:c r="A508" s="6" t="str">
        <x:v>A0507</x:v>
      </x:c>
      <x:c r="B508" s="6" t="str">
        <x:v>2025-10-20</x:v>
      </x:c>
      <x:c r="C508" s="6" t="str">
        <x:v>2025</x:v>
      </x:c>
      <x:c r="D508" s="6" t="str">
        <x:v>2025-Q4</x:v>
      </x:c>
      <x:c r="E508" s="6" t="str">
        <x:v>Second 50%</x:v>
      </x:c>
      <x:c r="F508" s="6" t="str">
        <x:v>Short</x:v>
      </x:c>
      <x:c r="G508" s="6" t="str">
        <x:v>Short</x:v>
      </x:c>
      <x:c r="H508" s="6" t="str">
        <x:v>Premarket</x:v>
      </x:c>
      <x:c r="I508" s="6" t="str">
        <x:v>Premarket</x:v>
      </x:c>
      <x:c r="J508" s="6" t="str">
        <x:v>Bull</x:v>
      </x:c>
      <x:c r="K508" s="6" t="str">
        <x:v>Bull</x:v>
      </x:c>
      <x:c r="L508" s="6" t="str">
        <x:v>HIGH</x:v>
      </x:c>
      <x:c r="M508" s="7" t="str">
        <x:v>2025-10-20 05:45:00-05:00</x:v>
      </x:c>
      <x:c r="N508" s="6" t="str">
        <x:v>90.0</x:v>
      </x:c>
      <x:c r="O508" s="6" t="str">
        <x:v>90-94</x:v>
      </x:c>
      <x:c r="P508" s="6" t="str">
        <x:v>Matching BOS only</x:v>
      </x:c>
      <x:c r="Q508" s="6" t="str">
        <x:v>Bear BOS</x:v>
      </x:c>
      <x:c r="R508" s="6" t="str">
        <x:v>True</x:v>
      </x:c>
      <x:c r="S508" s="6" t="str">
        <x:v>False</x:v>
      </x:c>
      <x:c r="T508" s="6" t="str">
        <x:v>Recent BSL</x:v>
      </x:c>
      <x:c r="U508" s="6" t="str">
        <x:v>BSL</x:v>
      </x:c>
      <x:c r="V508" s="6" t="str">
        <x:v>Swing high / buy-side</x:v>
      </x:c>
      <x:c r="W508" s="6" t="str">
        <x:v>[23176.75]</x:v>
      </x:c>
      <x:c r="X508" s="8" t="str">
        <x:v>1</x:v>
      </x:c>
      <x:c r="Y508" s="8" t="str">
        <x:v>1.0</x:v>
      </x:c>
      <x:c r="Z508" s="6" t="str">
        <x:v>None</x:v>
      </x:c>
      <x:c r="AA508" s="6" t="str">
        <x:v>23139.0</x:v>
      </x:c>
      <x:c r="AB508" s="9" t="str">
        <x:v>0.2594981483557789</x:v>
      </x:c>
      <x:c r="AC508" s="9" t="str">
        <x:v>0.7937590420294413</x:v>
      </x:c>
      <x:c r="AD508" s="9" t="str">
        <x:v>1.9691330081114986</x:v>
      </x:c>
      <x:c r="AE508" s="6" t="str">
        <x:v>With trade</x:v>
      </x:c>
      <x:c r="AF508" s="7" t="str">
        <x:v>2025-10-20 05:45:00-05:00</x:v>
      </x:c>
      <x:c r="AG508" s="6" t="str">
        <x:v>Short</x:v>
      </x:c>
      <x:c r="AH508" s="6" t="str">
        <x:v>23139.0</x:v>
      </x:c>
      <x:c r="AI508" s="8" t="str">
        <x:v>0</x:v>
      </x:c>
      <x:c r="AJ508" s="6" t="str">
        <x:v>True</x:v>
      </x:c>
      <x:c r="AK508" s="6" t="str">
        <x:v>Same-bar Setup+BOS</x:v>
      </x:c>
      <x:c r="AL508" s="9" t="str">
        <x:v>0.8548174298778598</x:v>
      </x:c>
      <x:c r="AM508" s="9" t="str">
        <x:v>0.2594981483557789</x:v>
      </x:c>
      <x:c r="AN508" s="9" t="str">
        <x:v>0.7937590420294413</x:v>
      </x:c>
      <x:c r="AO508" s="9" t="str">
        <x:v>1.9691330081114986</x:v>
      </x:c>
      <x:c r="AP508" s="10" t="str">
        <x:v>0.40310077519379844</x:v>
      </x:c>
      <x:c r="AQ508" s="6" t="str">
        <x:v>0.11627906976744186</x:v>
      </x:c>
      <x:c r="AR508" s="6" t="str">
        <x:v>0.4806201550387597</x:v>
      </x:c>
      <x:c r="AS508" s="6" t="str">
        <x:v>With trade</x:v>
      </x:c>
      <x:c r="AT508" s="6" t="str">
        <x:v>2.730259431290359</x:v>
      </x:c>
      <x:c r="AU508" s="7" t="str">
        <x:v>2025-10-20 05:50:00-05:00</x:v>
      </x:c>
      <x:c r="AV508" s="8" t="str">
        <x:v>1</x:v>
      </x:c>
      <x:c r="AW508" s="6" t="str">
        <x:v>Immediate retest (1 bar)</x:v>
      </x:c>
      <x:c r="AX508" s="6" t="str">
        <x:v>23137.5</x:v>
      </x:c>
      <x:c r="AY508" s="6" t="str">
        <x:v>0.0</x:v>
      </x:c>
      <x:c r="AZ508" s="9" t="str">
        <x:v>0.0</x:v>
      </x:c>
      <x:c r="BA508" s="9" t="str">
        <x:v>0.18032642139229377</x:v>
      </x:c>
      <x:c r="BB508" s="9" t="str">
        <x:v>1.2021761426152917</x:v>
      </x:c>
      <x:c r="BC508" s="9" t="str">
        <x:v>0.04508160534807344</x:v>
      </x:c>
      <x:c r="BD508" s="6" t="str">
        <x:v>0.075</x:v>
      </x:c>
      <x:c r="BE508" s="6" t="str">
        <x:v>0.8875</x:v>
      </x:c>
      <x:c r="BF508" s="9" t="str">
        <x:v>0.09016321069614688</x:v>
      </x:c>
      <x:c r="BG508" s="9" t="str">
        <x:v>1.0669313265710714</x:v>
      </x:c>
      <x:c r="BH508" s="6" t="str">
        <x:v>Against trade</x:v>
      </x:c>
      <x:c r="BI508" s="6" t="str">
        <x:v>Tolerance-only shallow touch</x:v>
      </x:c>
      <x:c r="BJ508" s="6" t="str">
        <x:v>True</x:v>
      </x:c>
      <x:c r="BK508" s="10" t="str">
        <x:v>False</x:v>
      </x:c>
      <x:c r="BL508" s="6" t="str">
        <x:v>True</x:v>
      </x:c>
      <x:c r="BM508" s="7" t="str">
        <x:v>2025-10-20 05:55:00-05:00</x:v>
      </x:c>
      <x:c r="BN508" s="8" t="str">
        <x:v>1</x:v>
      </x:c>
      <x:c r="BO508" s="6" t="str">
        <x:v>Immediate confirmation (1 bar)</x:v>
      </x:c>
      <x:c r="BP508" s="9" t="str">
        <x:v>1.0495219651991559</x:v>
      </x:c>
      <x:c r="BQ508" s="9" t="str">
        <x:v>1.2121239598074758</x:v>
      </x:c>
      <x:c r="BR508" s="10" t="str">
        <x:v>0.8658536585365854</x:v>
      </x:c>
      <x:c r="BS508" s="9" t="str">
        <x:v>1.1973419602976285</x:v>
      </x:c>
      <x:c r="BT508" s="9" t="str">
        <x:v>1.0199579661794613</x:v>
      </x:c>
      <x:c r="BU508" s="9" t="str">
        <x:v>0.07390999754923633</x:v>
      </x:c>
      <x:c r="BV508" s="6" t="str">
        <x:v>With trade</x:v>
      </x:c>
      <x:c r="BW508" s="7" t="str">
        <x:v>2025-10-20 05:55:00-05:00</x:v>
      </x:c>
      <x:c r="BX508" s="6" t="str">
        <x:v>23118.75</x:v>
      </x:c>
      <x:c r="BY508" s="9" t="str">
        <x:v>16.91246166213566</x:v>
      </x:c>
      <x:c r="BZ508" s="9" t="str">
        <x:v>1.0</x:v>
      </x:c>
      <x:c r="CA508" s="6" t="str">
        <x:v>23144.118692493204</x:v>
      </x:c>
      <x:c r="CB508" s="6" t="str">
        <x:v>25.368692493204435</x:v>
      </x:c>
      <x:c r="CC508" s="9" t="str">
        <x:v>1.500000000000056</x:v>
      </x:c>
      <x:c r="CD508" s="6" t="str">
        <x:v>23068.012615013595</x:v>
      </x:c>
      <x:c r="CE508" s="6" t="str">
        <x:v>50.73738498640523</x:v>
      </x:c>
      <x:c r="CF508" s="6" t="str">
        <x:v>Fixed 2.00R target</x:v>
      </x:c>
      <x:c r="CG508" s="9" t="str">
        <x:v>0.02857853238570365</x:v>
      </x:c>
      <x:c r="CH508" s="9" t="str">
        <x:v>-1.0</x:v>
      </x:c>
      <x:c r="CI508" s="9" t="str">
        <x:v>-1.0285785323857037</x:v>
      </x:c>
      <x:c r="CJ508" s="6" t="str">
        <x:v>Loss</x:v>
      </x:c>
      <x:c r="CK508" s="9" t="str">
        <x:v>0.13796532875856934</x:v>
      </x:c>
      <x:c r="CL508" s="9" t="str">
        <x:v>1.3106706232064087</x:v>
      </x:c>
      <x:c r="CM508" s="7" t="str">
        <x:v>2025-10-20 06:10:00-05:00</x:v>
      </x:c>
      <x:c r="CN508" s="6" t="str">
        <x:v>23144.118692493204</x:v>
      </x:c>
      <x:c r="CO508" s="6" t="str">
        <x:v>STOP</x:v>
      </x:c>
      <x:c r="CP508" s="6" t="str">
        <x:v>F::Short::Same-bar Setup+BOS::Tolerance-only shallow touch</x:v>
      </x:c>
    </x:row>
    <x:row r="509" ht="18" customHeight="1">
      <x:c r="A509" s="6" t="str">
        <x:v>A0508</x:v>
      </x:c>
      <x:c r="B509" s="6" t="str">
        <x:v>2025-10-22</x:v>
      </x:c>
      <x:c r="C509" s="6" t="str">
        <x:v>2025</x:v>
      </x:c>
      <x:c r="D509" s="6" t="str">
        <x:v>2025-Q4</x:v>
      </x:c>
      <x:c r="E509" s="6" t="str">
        <x:v>Second 50%</x:v>
      </x:c>
      <x:c r="F509" s="6" t="str">
        <x:v>Short</x:v>
      </x:c>
      <x:c r="G509" s="6" t="str">
        <x:v>Short</x:v>
      </x:c>
      <x:c r="H509" s="6" t="str">
        <x:v>Overnight</x:v>
      </x:c>
      <x:c r="I509" s="6" t="str">
        <x:v>Overnight</x:v>
      </x:c>
      <x:c r="J509" s="6" t="str">
        <x:v>Bull</x:v>
      </x:c>
      <x:c r="K509" s="6" t="str">
        <x:v>Bull</x:v>
      </x:c>
      <x:c r="L509" s="6" t="str">
        <x:v>HIGH</x:v>
      </x:c>
      <x:c r="M509" s="7" t="str">
        <x:v>2025-10-22 03:10:00-05:00</x:v>
      </x:c>
      <x:c r="N509" s="6" t="str">
        <x:v>90.0</x:v>
      </x:c>
      <x:c r="O509" s="6" t="str">
        <x:v>90-94</x:v>
      </x:c>
      <x:c r="P509" s="6" t="str">
        <x:v>Matching BOS only</x:v>
      </x:c>
      <x:c r="Q509" s="6" t="str">
        <x:v>Bear BOS</x:v>
      </x:c>
      <x:c r="R509" s="6" t="str">
        <x:v>True</x:v>
      </x:c>
      <x:c r="S509" s="6" t="str">
        <x:v>False</x:v>
      </x:c>
      <x:c r="T509" s="6" t="str">
        <x:v>Recent BSL</x:v>
      </x:c>
      <x:c r="U509" s="6" t="str">
        <x:v>BSL</x:v>
      </x:c>
      <x:c r="V509" s="6" t="str">
        <x:v>Swing high / buy-side</x:v>
      </x:c>
      <x:c r="W509" s="6" t="str">
        <x:v>[23411.5]</x:v>
      </x:c>
      <x:c r="X509" s="8" t="str">
        <x:v>1</x:v>
      </x:c>
      <x:c r="Y509" s="8" t="str">
        <x:v>18.0</x:v>
      </x:c>
      <x:c r="Z509" s="6" t="str">
        <x:v>None</x:v>
      </x:c>
      <x:c r="AA509" s="6" t="str">
        <x:v>23347.25</x:v>
      </x:c>
      <x:c r="AB509" s="9" t="str">
        <x:v>0.2021366352312269</x:v>
      </x:c>
      <x:c r="AC509" s="9" t="str">
        <x:v>1.0915378302486254</x:v>
      </x:c>
      <x:c r="AD509" s="9" t="str">
        <x:v>1.4958111007110793</x:v>
      </x:c>
      <x:c r="AE509" s="6" t="str">
        <x:v>With trade</x:v>
      </x:c>
      <x:c r="AF509" s="7" t="str">
        <x:v>2025-10-22 03:10:00-05:00</x:v>
      </x:c>
      <x:c r="AG509" s="6" t="str">
        <x:v>Short</x:v>
      </x:c>
      <x:c r="AH509" s="6" t="str">
        <x:v>23347.25</x:v>
      </x:c>
      <x:c r="AI509" s="8" t="str">
        <x:v>0</x:v>
      </x:c>
      <x:c r="AJ509" s="6" t="str">
        <x:v>True</x:v>
      </x:c>
      <x:c r="AK509" s="6" t="str">
        <x:v>Same-bar Setup+BOS</x:v>
      </x:c>
      <x:c r="AL509" s="9" t="str">
        <x:v>1.111751493771748</x:v>
      </x:c>
      <x:c r="AM509" s="9" t="str">
        <x:v>0.2021366352312269</x:v>
      </x:c>
      <x:c r="AN509" s="9" t="str">
        <x:v>1.0915378302486254</x:v>
      </x:c>
      <x:c r="AO509" s="9" t="str">
        <x:v>1.4958111007110793</x:v>
      </x:c>
      <x:c r="AP509" s="10" t="str">
        <x:v>0.7297297297297297</x:v>
      </x:c>
      <x:c r="AQ509" s="6" t="str">
        <x:v>0.013513513513513514</x:v>
      </x:c>
      <x:c r="AR509" s="6" t="str">
        <x:v>0.25675675675675674</x:v>
      </x:c>
      <x:c r="AS509" s="6" t="str">
        <x:v>With trade</x:v>
      </x:c>
      <x:c r="AT509" s="6" t="str">
        <x:v>1.1211189996821023</x:v>
      </x:c>
      <x:c r="AU509" s="7" t="str">
        <x:v>2025-10-22 03:15:00-05:00</x:v>
      </x:c>
      <x:c r="AV509" s="8" t="str">
        <x:v>1</x:v>
      </x:c>
      <x:c r="AW509" s="6" t="str">
        <x:v>Immediate retest (1 bar)</x:v>
      </x:c>
      <x:c r="AX509" s="6" t="str">
        <x:v>23346.5</x:v>
      </x:c>
      <x:c r="AY509" s="6" t="str">
        <x:v>0.0</x:v>
      </x:c>
      <x:c r="AZ509" s="9" t="str">
        <x:v>0.0</x:v>
      </x:c>
      <x:c r="BA509" s="9" t="str">
        <x:v>0.3604483276833933</x:v>
      </x:c>
      <x:c r="BB509" s="9" t="str">
        <x:v>1.1213947972372236</x:v>
      </x:c>
      <x:c r="BC509" s="9" t="str">
        <x:v>0.2803486993093059</x:v>
      </x:c>
      <x:c r="BD509" s="6" t="str">
        <x:v>0.017857142857142856</x:v>
      </x:c>
      <x:c r="BE509" s="6" t="str">
        <x:v>0.7321428571428571</x:v>
      </x:c>
      <x:c r="BF509" s="9" t="str">
        <x:v>0.020024907093521848</x:v>
      </x:c>
      <x:c r="BG509" s="9" t="str">
        <x:v>0.8210211908343958</x:v>
      </x:c>
      <x:c r="BH509" s="6" t="str">
        <x:v>With trade</x:v>
      </x:c>
      <x:c r="BI509" s="6" t="str">
        <x:v>Tolerance-only shallow touch</x:v>
      </x:c>
      <x:c r="BJ509" s="6" t="str">
        <x:v>True</x:v>
      </x:c>
      <x:c r="BK509" s="10" t="str">
        <x:v>False</x:v>
      </x:c>
      <x:c r="BL509" s="6" t="str">
        <x:v>True</x:v>
      </x:c>
      <x:c r="BM509" s="7" t="str">
        <x:v>2025-10-22 03:35:00-05:00</x:v>
      </x:c>
      <x:c r="BN509" s="8" t="str">
        <x:v>4</x:v>
      </x:c>
      <x:c r="BO509" s="6" t="str">
        <x:v>Delayed confirmation (2+ bars)</x:v>
      </x:c>
      <x:c r="BP509" s="9" t="str">
        <x:v>0.14603831455224373</x:v>
      </x:c>
      <x:c r="BQ509" s="9" t="str">
        <x:v>0.6050158745735812</x:v>
      </x:c>
      <x:c r="BR509" s="10" t="str">
        <x:v>0.2413793103448276</x:v>
      </x:c>
      <x:c r="BS509" s="9" t="str">
        <x:v>0.3546644781983062</x:v>
      </x:c>
      <x:c r="BT509" s="9" t="str">
        <x:v>-0.020862616364606245</x:v>
      </x:c>
      <x:c r="BU509" s="9" t="str">
        <x:v>0.45897756002133744</x:v>
      </x:c>
      <x:c r="BV509" s="6" t="str">
        <x:v>With trade</x:v>
      </x:c>
      <x:c r="BW509" s="7" t="str">
        <x:v>2025-10-22 03:35:00-05:00</x:v>
      </x:c>
      <x:c r="BX509" s="6" t="str">
        <x:v>23343.0</x:v>
      </x:c>
      <x:c r="BY509" s="9" t="str">
        <x:v>11.983156648757099</x:v>
      </x:c>
      <x:c r="BZ509" s="9" t="str">
        <x:v>0.78</x:v>
      </x:c>
      <x:c r="CA509" s="6" t="str">
        <x:v>23360.974734973137</x:v>
      </x:c>
      <x:c r="CB509" s="6" t="str">
        <x:v>17.974734973136947</x:v>
      </x:c>
      <x:c r="CC509" s="9" t="str">
        <x:v>1.5000000000001084</x:v>
      </x:c>
      <x:c r="CD509" s="6" t="str">
        <x:v>23307.05053005373</x:v>
      </x:c>
      <x:c r="CE509" s="6" t="str">
        <x:v>35.949469946270256</x:v>
      </x:c>
      <x:c r="CF509" s="6" t="str">
        <x:v>Fixed 2.00R target</x:v>
      </x:c>
      <x:c r="CG509" s="9" t="str">
        <x:v>0.04033439163823583</x:v>
      </x:c>
      <x:c r="CH509" s="9" t="str">
        <x:v>0.3198934509239625</x:v>
      </x:c>
      <x:c r="CI509" s="9" t="str">
        <x:v>0.27955905928572666</x:v>
      </x:c>
      <x:c r="CJ509" s="6" t="str">
        <x:v>Win</x:v>
      </x:c>
      <x:c r="CK509" s="9" t="str">
        <x:v>1.9054522946338996</x:v>
      </x:c>
      <x:c r="CL509" s="9" t="str">
        <x:v>0.4728859709310408</x:v>
      </x:c>
      <x:c r="CM509" s="7" t="str">
        <x:v>2025-10-22 04:35:00-05:00</x:v>
      </x:c>
      <x:c r="CN509" s="6" t="str">
        <x:v>23337.25</x:v>
      </x:c>
      <x:c r="CO509" s="6" t="str">
        <x:v>TIME</x:v>
      </x:c>
      <x:c r="CP509" s="6" t="str">
        <x:v>F::Short::Same-bar Setup+BOS::Tolerance-only shallow touch</x:v>
      </x:c>
    </x:row>
    <x:row r="510" ht="18" customHeight="1">
      <x:c r="A510" s="6" t="str">
        <x:v>A0509</x:v>
      </x:c>
      <x:c r="B510" s="6" t="str">
        <x:v>2025-10-23</x:v>
      </x:c>
      <x:c r="C510" s="6" t="str">
        <x:v>2025</x:v>
      </x:c>
      <x:c r="D510" s="6" t="str">
        <x:v>2025-Q4</x:v>
      </x:c>
      <x:c r="E510" s="6" t="str">
        <x:v>Second 50%</x:v>
      </x:c>
      <x:c r="F510" s="6" t="str">
        <x:v>Long</x:v>
      </x:c>
      <x:c r="G510" s="6" t="str">
        <x:v>Long</x:v>
      </x:c>
      <x:c r="H510" s="6" t="str">
        <x:v>Overnight</x:v>
      </x:c>
      <x:c r="I510" s="6" t="str">
        <x:v>Overnight</x:v>
      </x:c>
      <x:c r="J510" s="6" t="str">
        <x:v>Bull</x:v>
      </x:c>
      <x:c r="K510" s="6" t="str">
        <x:v>Bull</x:v>
      </x:c>
      <x:c r="L510" s="6" t="str">
        <x:v>LOW</x:v>
      </x:c>
      <x:c r="M510" s="7" t="str">
        <x:v>2025-10-23 20:00:00-05:00</x:v>
      </x:c>
      <x:c r="N510" s="6" t="str">
        <x:v>90.0</x:v>
      </x:c>
      <x:c r="O510" s="6" t="str">
        <x:v>90-94</x:v>
      </x:c>
      <x:c r="P510" s="6" t="str">
        <x:v>Matching BOS only</x:v>
      </x:c>
      <x:c r="Q510" s="6" t="str">
        <x:v>Bull BOS</x:v>
      </x:c>
      <x:c r="R510" s="6" t="str">
        <x:v>True</x:v>
      </x:c>
      <x:c r="S510" s="6" t="str">
        <x:v>False</x:v>
      </x:c>
      <x:c r="T510" s="6" t="str">
        <x:v>Recent SSL</x:v>
      </x:c>
      <x:c r="U510" s="6" t="str">
        <x:v>SSL</x:v>
      </x:c>
      <x:c r="V510" s="6" t="str">
        <x:v>Swing low / sell-side</x:v>
      </x:c>
      <x:c r="W510" s="6" t="str">
        <x:v>[23365.5]</x:v>
      </x:c>
      <x:c r="X510" s="8" t="str">
        <x:v>1</x:v>
      </x:c>
      <x:c r="Y510" s="8" t="str">
        <x:v>10.0</x:v>
      </x:c>
      <x:c r="Z510" s="6" t="str">
        <x:v>None</x:v>
      </x:c>
      <x:c r="AA510" s="6" t="str">
        <x:v>23382.75</x:v>
      </x:c>
      <x:c r="AB510" s="9" t="str">
        <x:v>0.06607772844602355</x:v>
      </x:c>
      <x:c r="AC510" s="9" t="str">
        <x:v>0.7598938771292708</x:v>
      </x:c>
      <x:c r="AD510" s="9" t="str">
        <x:v>0.9581270624673415</x:v>
      </x:c>
      <x:c r="AE510" s="6" t="str">
        <x:v>With trade</x:v>
      </x:c>
      <x:c r="AF510" s="7" t="str">
        <x:v>2025-10-23 20:00:00-05:00</x:v>
      </x:c>
      <x:c r="AG510" s="6" t="str">
        <x:v>Long</x:v>
      </x:c>
      <x:c r="AH510" s="6" t="str">
        <x:v>23382.75</x:v>
      </x:c>
      <x:c r="AI510" s="8" t="str">
        <x:v>0</x:v>
      </x:c>
      <x:c r="AJ510" s="6" t="str">
        <x:v>True</x:v>
      </x:c>
      <x:c r="AK510" s="6" t="str">
        <x:v>Same-bar Setup+BOS</x:v>
      </x:c>
      <x:c r="AL510" s="9" t="str">
        <x:v>0.6607772844602355</x:v>
      </x:c>
      <x:c r="AM510" s="9" t="str">
        <x:v>0.06607772844602355</x:v>
      </x:c>
      <x:c r="AN510" s="9" t="str">
        <x:v>0.7598938771292708</x:v>
      </x:c>
      <x:c r="AO510" s="9" t="str">
        <x:v>0.9581270624673415</x:v>
      </x:c>
      <x:c r="AP510" s="10" t="str">
        <x:v>0.7931034482758621</x:v>
      </x:c>
      <x:c r="AQ510" s="6" t="str">
        <x:v>0.10344827586206896</x:v>
      </x:c>
      <x:c r="AR510" s="6" t="str">
        <x:v>0.10344827586206896</x:v>
      </x:c>
      <x:c r="AS510" s="6" t="str">
        <x:v>With trade</x:v>
      </x:c>
      <x:c r="AT510" s="6" t="str">
        <x:v>2.0524946795932846</x:v>
      </x:c>
      <x:c r="AU510" s="7" t="str">
        <x:v>2025-10-23 20:05:00-05:00</x:v>
      </x:c>
      <x:c r="AV510" s="8" t="str">
        <x:v>1</x:v>
      </x:c>
      <x:c r="AW510" s="6" t="str">
        <x:v>Immediate retest (1 bar)</x:v>
      </x:c>
      <x:c r="AX510" s="6" t="str">
        <x:v>23382.0</x:v>
      </x:c>
      <x:c r="AY510" s="6" t="str">
        <x:v>0.75</x:v>
      </x:c>
      <x:c r="AZ510" s="9" t="str">
        <x:v>0.0987129718605587</x:v>
      </x:c>
      <x:c r="BA510" s="9" t="str">
        <x:v>0.6909908030239109</x:v>
      </x:c>
      <x:c r="BB510" s="9" t="str">
        <x:v>1.0529383665126262</x:v>
      </x:c>
      <x:c r="BC510" s="9" t="str">
        <x:v>0.5593735072098326</x:v>
      </x:c>
      <x:c r="BD510" s="6" t="str">
        <x:v>0.25</x:v>
      </x:c>
      <x:c r="BE510" s="6" t="str">
        <x:v>0.21875</x:v>
      </x:c>
      <x:c r="BF510" s="9" t="str">
        <x:v>0.23033026767463696</x:v>
      </x:c>
      <x:c r="BG510" s="9" t="str">
        <x:v>0.26323459162815654</x:v>
      </x:c>
      <x:c r="BH510" s="6" t="str">
        <x:v>With trade</x:v>
      </x:c>
      <x:c r="BI510" s="6" t="str">
        <x:v>Penetration + same-bar reclaim</x:v>
      </x:c>
      <x:c r="BJ510" s="6" t="str">
        <x:v>False</x:v>
      </x:c>
      <x:c r="BK510" s="10" t="str">
        <x:v>True</x:v>
      </x:c>
      <x:c r="BL510" s="6" t="str">
        <x:v>True</x:v>
      </x:c>
      <x:c r="BM510" s="7" t="str">
        <x:v>2025-10-23 20:10:00-05:00</x:v>
      </x:c>
      <x:c r="BN510" s="8" t="str">
        <x:v>1</x:v>
      </x:c>
      <x:c r="BO510" s="6" t="str">
        <x:v>Immediate confirmation (1 bar)</x:v>
      </x:c>
      <x:c r="BP510" s="9" t="str">
        <x:v>0.9461997946053612</x:v>
      </x:c>
      <x:c r="BQ510" s="9" t="str">
        <x:v>1.1093376902269751</x:v>
      </x:c>
      <x:c r="BR510" s="10" t="str">
        <x:v>0.8529411764705882</x:v>
      </x:c>
      <x:c r="BS510" s="9" t="str">
        <x:v>1.6313789562161398</x:v>
      </x:c>
      <x:c r="BT510" s="9" t="str">
        <x:v>0.9461997946053612</x:v>
      </x:c>
      <x:c r="BU510" s="9" t="str">
        <x:v>0.0652551582486456</x:v>
      </x:c>
      <x:c r="BV510" s="6" t="str">
        <x:v>With trade</x:v>
      </x:c>
      <x:c r="BW510" s="7" t="str">
        <x:v>2025-10-23 20:10:00-05:00</x:v>
      </x:c>
      <x:c r="BX510" s="6" t="str">
        <x:v>23395.25</x:v>
      </x:c>
      <x:c r="BY510" s="9" t="str">
        <x:v>7.662229522068131</x:v>
      </x:c>
      <x:c r="BZ510" s="9" t="str">
        <x:v>0.07</x:v>
      </x:c>
      <x:c r="CA510" s="6" t="str">
        <x:v>23383.756655716898</x:v>
      </x:c>
      <x:c r="CB510" s="6" t="str">
        <x:v>11.493344283102488</x:v>
      </x:c>
      <x:c r="CC510" s="9" t="str">
        <x:v>1.500000000000038</x:v>
      </x:c>
      <x:c r="CD510" s="6" t="str">
        <x:v>23418.236688566205</x:v>
      </x:c>
      <x:c r="CE510" s="6" t="str">
        <x:v>22.986688566204975</x:v>
      </x:c>
      <x:c r="CF510" s="6" t="str">
        <x:v>Fixed 2.00R target</x:v>
      </x:c>
      <x:c r="CG510" s="9" t="str">
        <x:v>0.06307998630702248</x:v>
      </x:c>
      <x:c r="CH510" s="9" t="str">
        <x:v>-1.0</x:v>
      </x:c>
      <x:c r="CI510" s="9" t="str">
        <x:v>-1.0630799863070224</x:v>
      </x:c>
      <x:c r="CJ510" s="6" t="str">
        <x:v>Loss</x:v>
      </x:c>
      <x:c r="CK510" s="9" t="str">
        <x:v>0.2827723524107904</x:v>
      </x:c>
      <x:c r="CL510" s="9" t="str">
        <x:v>1.3486066038053082</x:v>
      </x:c>
      <x:c r="CM510" s="7" t="str">
        <x:v>2025-10-23 20:25:00-05:00</x:v>
      </x:c>
      <x:c r="CN510" s="6" t="str">
        <x:v>23383.756655716898</x:v>
      </x:c>
      <x:c r="CO510" s="6" t="str">
        <x:v>STOP</x:v>
      </x:c>
      <x:c r="CP510" s="6" t="str">
        <x:v>F::Long::Same-bar Setup+BOS::Penetration + same-bar reclaim</x:v>
      </x:c>
    </x:row>
    <x:row r="511" ht="18" customHeight="1">
      <x:c r="A511" s="6" t="str">
        <x:v>A0510</x:v>
      </x:c>
      <x:c r="B511" s="6" t="str">
        <x:v>2025-10-24</x:v>
      </x:c>
      <x:c r="C511" s="6" t="str">
        <x:v>2025</x:v>
      </x:c>
      <x:c r="D511" s="6" t="str">
        <x:v>2025-Q4</x:v>
      </x:c>
      <x:c r="E511" s="6" t="str">
        <x:v>Second 50%</x:v>
      </x:c>
      <x:c r="F511" s="6" t="str">
        <x:v>Long</x:v>
      </x:c>
      <x:c r="G511" s="6" t="str">
        <x:v>Long</x:v>
      </x:c>
      <x:c r="H511" s="6" t="str">
        <x:v>Midday</x:v>
      </x:c>
      <x:c r="I511" s="6" t="str">
        <x:v>Morning</x:v>
      </x:c>
      <x:c r="J511" s="6" t="str">
        <x:v>Bull</x:v>
      </x:c>
      <x:c r="K511" s="6" t="str">
        <x:v>Bull</x:v>
      </x:c>
      <x:c r="L511" s="6" t="str">
        <x:v>MID</x:v>
      </x:c>
      <x:c r="M511" s="7" t="str">
        <x:v>2025-10-24 11:45:00-05:00</x:v>
      </x:c>
      <x:c r="N511" s="6" t="str">
        <x:v>75.0</x:v>
      </x:c>
      <x:c r="O511" s="6" t="str">
        <x:v>75-79</x:v>
      </x:c>
      <x:c r="P511" s="6" t="str">
        <x:v>Matching BOS only</x:v>
      </x:c>
      <x:c r="Q511" s="6" t="str">
        <x:v>Bull BOS</x:v>
      </x:c>
      <x:c r="R511" s="6" t="str">
        <x:v>True</x:v>
      </x:c>
      <x:c r="S511" s="6" t="str">
        <x:v>False</x:v>
      </x:c>
      <x:c r="T511" s="6" t="str">
        <x:v>No recent matching sweep</x:v>
      </x:c>
      <x:c r="U511" s="6" t="str">
        <x:v>None</x:v>
      </x:c>
      <x:c r="V511" s="6" t="str">
        <x:v>None</x:v>
      </x:c>
      <x:c r="W511" s="6" t="str">
        <x:v>[]</x:v>
      </x:c>
      <x:c r="X511" s="8" t="str">
        <x:v>0</x:v>
      </x:c>
      <x:c r="Y511" s="8" t="str"/>
      <x:c r="Z511" s="6" t="str">
        <x:v>None</x:v>
      </x:c>
      <x:c r="AA511" s="6" t="str">
        <x:v>23623.75</x:v>
      </x:c>
      <x:c r="AB511" s="9" t="str">
        <x:v>0.10272370622307544</x:v>
      </x:c>
      <x:c r="AC511" s="9" t="str">
        <x:v>0.9701683365512681</x:v>
      </x:c>
      <x:c r="AD511" s="9" t="str">
        <x:v>1.2783394552204945</x:v>
      </x:c>
      <x:c r="AE511" s="6" t="str">
        <x:v>With trade</x:v>
      </x:c>
      <x:c r="AF511" s="7" t="str">
        <x:v>2025-10-24 11:45:00-05:00</x:v>
      </x:c>
      <x:c r="AG511" s="6" t="str">
        <x:v>Long</x:v>
      </x:c>
      <x:c r="AH511" s="6" t="str">
        <x:v>23623.75</x:v>
      </x:c>
      <x:c r="AI511" s="8" t="str">
        <x:v>0</x:v>
      </x:c>
      <x:c r="AJ511" s="6" t="str">
        <x:v>True</x:v>
      </x:c>
      <x:c r="AK511" s="6" t="str">
        <x:v>Same-bar Setup+BOS</x:v>
      </x:c>
      <x:c r="AL511" s="9" t="str">
        <x:v>0.9701683365512681</x:v>
      </x:c>
      <x:c r="AM511" s="9" t="str">
        <x:v>0.10272370622307544</x:v>
      </x:c>
      <x:c r="AN511" s="9" t="str">
        <x:v>0.9701683365512681</x:v>
      </x:c>
      <x:c r="AO511" s="9" t="str">
        <x:v>1.2783394552204945</x:v>
      </x:c>
      <x:c r="AP511" s="10" t="str">
        <x:v>0.7589285714285714</x:v>
      </x:c>
      <x:c r="AQ511" s="6" t="str">
        <x:v>0.03571428571428571</x:v>
      </x:c>
      <x:c r="AR511" s="6" t="str">
        <x:v>0.20535714285714285</x:v>
      </x:c>
      <x:c r="AS511" s="6" t="str">
        <x:v>With trade</x:v>
      </x:c>
      <x:c r="AT511" s="6" t="str">
        <x:v>0.8656770738555125</x:v>
      </x:c>
      <x:c r="AU511" s="7" t="str">
        <x:v>2025-10-24 11:50:00-05:00</x:v>
      </x:c>
      <x:c r="AV511" s="8" t="str">
        <x:v>1</x:v>
      </x:c>
      <x:c r="AW511" s="6" t="str">
        <x:v>Immediate retest (1 bar)</x:v>
      </x:c>
      <x:c r="AX511" s="6" t="str">
        <x:v>23625.25</x:v>
      </x:c>
      <x:c r="AY511" s="6" t="str">
        <x:v>0.0</x:v>
      </x:c>
      <x:c r="AZ511" s="9" t="str">
        <x:v>0.0</x:v>
      </x:c>
      <x:c r="BA511" s="9" t="str">
        <x:v>0.26968680232353426</x:v>
      </x:c>
      <x:c r="BB511" s="9" t="str">
        <x:v>0.644903222947582</x:v>
      </x:c>
      <x:c r="BC511" s="9" t="str">
        <x:v>0.15243167087851936</x:v>
      </x:c>
      <x:c r="BD511" s="6" t="str">
        <x:v>0.6909090909090909</x:v>
      </x:c>
      <x:c r="BE511" s="6" t="str">
        <x:v>0.07272727272727272</x:v>
      </x:c>
      <x:c r="BF511" s="9" t="str">
        <x:v>0.04690205257800596</x:v>
      </x:c>
      <x:c r="BG511" s="9" t="str">
        <x:v>0.4455694994910566</x:v>
      </x:c>
      <x:c r="BH511" s="6" t="str">
        <x:v>With trade</x:v>
      </x:c>
      <x:c r="BI511" s="6" t="str">
        <x:v>Tolerance-only shallow touch</x:v>
      </x:c>
      <x:c r="BJ511" s="6" t="str">
        <x:v>True</x:v>
      </x:c>
      <x:c r="BK511" s="10" t="str">
        <x:v>False</x:v>
      </x:c>
      <x:c r="BL511" s="6" t="str">
        <x:v>True</x:v>
      </x:c>
      <x:c r="BM511" s="7" t="str">
        <x:v>2025-10-24 12:00:00-05:00</x:v>
      </x:c>
      <x:c r="BN511" s="8" t="str">
        <x:v>2</x:v>
      </x:c>
      <x:c r="BO511" s="6" t="str">
        <x:v>Delayed confirmation (2+ bars)</x:v>
      </x:c>
      <x:c r="BP511" s="9" t="str">
        <x:v>0.06248399935417319</x:v>
      </x:c>
      <x:c r="BQ511" s="9" t="str">
        <x:v>0.44988479535004694</x:v>
      </x:c>
      <x:c r="BR511" s="10" t="str">
        <x:v>0.1388888888888889</x:v>
      </x:c>
      <x:c r="BS511" s="9" t="str">
        <x:v>0.28742639702919665</x:v>
      </x:c>
      <x:c r="BT511" s="9" t="str">
        <x:v>0.0</x:v>
      </x:c>
      <x:c r="BU511" s="9" t="str">
        <x:v>0.28742639702919665</x:v>
      </x:c>
      <x:c r="BV511" s="6" t="str">
        <x:v>With trade</x:v>
      </x:c>
      <x:c r="BW511" s="7" t="str">
        <x:v>2025-10-24 12:00:00-05:00</x:v>
      </x:c>
      <x:c r="BX511" s="6" t="str">
        <x:v>23629.5</x:v>
      </x:c>
      <x:c r="BY511" s="9" t="str">
        <x:v>20.005121517826066</x:v>
      </x:c>
      <x:c r="BZ511" s="9" t="str">
        <x:v>0.46</x:v>
      </x:c>
      <x:c r="CA511" s="6" t="str">
        <x:v>23599.49231772326</x:v>
      </x:c>
      <x:c r="CB511" s="6" t="str">
        <x:v>30.007682276740525</x:v>
      </x:c>
      <x:c r="CC511" s="9" t="str">
        <x:v>1.5000000000000713</x:v>
      </x:c>
      <x:c r="CD511" s="6" t="str">
        <x:v>23689.515364553477</x:v>
      </x:c>
      <x:c r="CE511" s="6" t="str">
        <x:v>60.01536455347741</x:v>
      </x:c>
      <x:c r="CF511" s="6" t="str">
        <x:v>Fixed 2.00R target</x:v>
      </x:c>
      <x:c r="CG511" s="9" t="str">
        <x:v>0.02416047975027915</x:v>
      </x:c>
      <x:c r="CH511" s="9" t="str">
        <x:v>-0.21661119776113372</x:v>
      </x:c>
      <x:c r="CI511" s="9" t="str">
        <x:v>-0.24077167751141287</x:v>
      </x:c>
      <x:c r="CJ511" s="6" t="str">
        <x:v>Loss</x:v>
      </x:c>
      <x:c r="CK511" s="9" t="str">
        <x:v>0.6165087936278129</x:v>
      </x:c>
      <x:c r="CL511" s="9" t="str">
        <x:v>0.5998463938000341</x:v>
      </x:c>
      <x:c r="CM511" s="7" t="str">
        <x:v>2025-10-24 13:00:00-05:00</x:v>
      </x:c>
      <x:c r="CN511" s="6" t="str">
        <x:v>23623.0</x:v>
      </x:c>
      <x:c r="CO511" s="6" t="str">
        <x:v>TIME</x:v>
      </x:c>
      <x:c r="CP511" s="6" t="str">
        <x:v>F::Long::Same-bar Setup+BOS::Tolerance-only shallow touch</x:v>
      </x:c>
    </x:row>
    <x:row r="512" ht="18" customHeight="1">
      <x:c r="A512" s="6" t="str">
        <x:v>A0511</x:v>
      </x:c>
      <x:c r="B512" s="6" t="str">
        <x:v>2025-10-27</x:v>
      </x:c>
      <x:c r="C512" s="6" t="str">
        <x:v>2025</x:v>
      </x:c>
      <x:c r="D512" s="6" t="str">
        <x:v>2025-Q4</x:v>
      </x:c>
      <x:c r="E512" s="6" t="str">
        <x:v>Second 50%</x:v>
      </x:c>
      <x:c r="F512" s="6" t="str">
        <x:v>Long</x:v>
      </x:c>
      <x:c r="G512" s="6" t="str">
        <x:v>Long</x:v>
      </x:c>
      <x:c r="H512" s="6" t="str">
        <x:v>Premarket</x:v>
      </x:c>
      <x:c r="I512" s="6" t="str">
        <x:v>Premarket</x:v>
      </x:c>
      <x:c r="J512" s="6" t="str">
        <x:v>Bull</x:v>
      </x:c>
      <x:c r="K512" s="6" t="str">
        <x:v>Bull</x:v>
      </x:c>
      <x:c r="L512" s="6" t="str">
        <x:v>HIGH</x:v>
      </x:c>
      <x:c r="M512" s="7" t="str">
        <x:v>2025-10-27 08:55:00-05:00</x:v>
      </x:c>
      <x:c r="N512" s="6" t="str">
        <x:v>75.0</x:v>
      </x:c>
      <x:c r="O512" s="6" t="str">
        <x:v>75-79</x:v>
      </x:c>
      <x:c r="P512" s="6" t="str">
        <x:v>Matching BOS only</x:v>
      </x:c>
      <x:c r="Q512" s="6" t="str">
        <x:v>Bull BOS</x:v>
      </x:c>
      <x:c r="R512" s="6" t="str">
        <x:v>True</x:v>
      </x:c>
      <x:c r="S512" s="6" t="str">
        <x:v>False</x:v>
      </x:c>
      <x:c r="T512" s="6" t="str">
        <x:v>Recent SSL</x:v>
      </x:c>
      <x:c r="U512" s="6" t="str">
        <x:v>SSL</x:v>
      </x:c>
      <x:c r="V512" s="6" t="str">
        <x:v>Swing low / sell-side</x:v>
      </x:c>
      <x:c r="W512" s="6" t="str">
        <x:v>[23888.25]</x:v>
      </x:c>
      <x:c r="X512" s="8" t="str">
        <x:v>1</x:v>
      </x:c>
      <x:c r="Y512" s="8" t="str">
        <x:v>4.0</x:v>
      </x:c>
      <x:c r="Z512" s="6" t="str">
        <x:v>None</x:v>
      </x:c>
      <x:c r="AA512" s="6" t="str">
        <x:v>23923.0</x:v>
      </x:c>
      <x:c r="AB512" s="9" t="str">
        <x:v>0.1579170578049089</x:v>
      </x:c>
      <x:c r="AC512" s="9" t="str">
        <x:v>0.3816328896951965</x:v>
      </x:c>
      <x:c r="AD512" s="9" t="str">
        <x:v>1.0790998950002109</x:v>
      </x:c>
      <x:c r="AE512" s="6" t="str">
        <x:v>With trade</x:v>
      </x:c>
      <x:c r="AF512" s="7" t="str">
        <x:v>2025-10-27 08:55:00-05:00</x:v>
      </x:c>
      <x:c r="AG512" s="6" t="str">
        <x:v>Long</x:v>
      </x:c>
      <x:c r="AH512" s="6" t="str">
        <x:v>23923.0</x:v>
      </x:c>
      <x:c r="AI512" s="8" t="str">
        <x:v>0</x:v>
      </x:c>
      <x:c r="AJ512" s="6" t="str">
        <x:v>True</x:v>
      </x:c>
      <x:c r="AK512" s="6" t="str">
        <x:v>Same-bar Setup+BOS</x:v>
      </x:c>
      <x:c r="AL512" s="9" t="str">
        <x:v>0.3684731348781208</x:v>
      </x:c>
      <x:c r="AM512" s="9" t="str">
        <x:v>0.1579170578049089</x:v>
      </x:c>
      <x:c r="AN512" s="9" t="str">
        <x:v>0.3816328896951965</x:v>
      </x:c>
      <x:c r="AO512" s="9" t="str">
        <x:v>1.0790998950002109</x:v>
      </x:c>
      <x:c r="AP512" s="10" t="str">
        <x:v>0.35365853658536583</x:v>
      </x:c>
      <x:c r="AQ512" s="6" t="str">
        <x:v>0.2804878048780488</x:v>
      </x:c>
      <x:c r="AR512" s="6" t="str">
        <x:v>0.36585365853658536</x:v>
      </x:c>
      <x:c r="AS512" s="6" t="str">
        <x:v>With trade</x:v>
      </x:c>
      <x:c r="AT512" s="6" t="str">
        <x:v>1.8242903283397984</x:v>
      </x:c>
      <x:c r="AU512" s="7" t="str">
        <x:v>2025-10-27 09:00:00-05:00</x:v>
      </x:c>
      <x:c r="AV512" s="8" t="str">
        <x:v>1</x:v>
      </x:c>
      <x:c r="AW512" s="6" t="str">
        <x:v>Immediate retest (1 bar)</x:v>
      </x:c>
      <x:c r="AX512" s="6" t="str">
        <x:v>23919.75</x:v>
      </x:c>
      <x:c r="AY512" s="6" t="str">
        <x:v>3.25</x:v>
      </x:c>
      <x:c r="AZ512" s="9" t="str">
        <x:v>0.16237526824279383</x:v>
      </x:c>
      <x:c r="BA512" s="9" t="str">
        <x:v>1.0367036357039914</x:v>
      </x:c>
      <x:c r="BB512" s="9" t="str">
        <x:v>1.6612238981762752</x:v>
      </x:c>
      <x:c r="BC512" s="9" t="str">
        <x:v>0.8743283674611975</x:v>
      </x:c>
      <x:c r="BD512" s="6" t="str">
        <x:v>0.2781954887218045</x:v>
      </x:c>
      <x:c r="BE512" s="6" t="str">
        <x:v>0.19548872180451127</x:v>
      </x:c>
      <x:c r="BF512" s="9" t="str">
        <x:v>0.32475053648558766</x:v>
      </x:c>
      <x:c r="BG512" s="9" t="str">
        <x:v>0.4621449942294901</x:v>
      </x:c>
      <x:c r="BH512" s="6" t="str">
        <x:v>With trade</x:v>
      </x:c>
      <x:c r="BI512" s="6" t="str">
        <x:v>Penetration + same-bar reclaim</x:v>
      </x:c>
      <x:c r="BJ512" s="6" t="str">
        <x:v>False</x:v>
      </x:c>
      <x:c r="BK512" s="10" t="str">
        <x:v>True</x:v>
      </x:c>
      <x:c r="BL512" s="6" t="str">
        <x:v>True</x:v>
      </x:c>
      <x:c r="BM512" s="7" t="str">
        <x:v>2025-10-27 09:05:00-05:00</x:v>
      </x:c>
      <x:c r="BN512" s="8" t="str">
        <x:v>1</x:v>
      </x:c>
      <x:c r="BO512" s="6" t="str">
        <x:v>Immediate confirmation (1 bar)</x:v>
      </x:c>
      <x:c r="BP512" s="9" t="str">
        <x:v>0.012834629779508187</x:v>
      </x:c>
      <x:c r="BQ512" s="9" t="str">
        <x:v>0.6417314889754093</x:v>
      </x:c>
      <x:c r="BR512" s="10" t="str">
        <x:v>0.02</x:v>
      </x:c>
      <x:c r="BS512" s="9" t="str">
        <x:v>1.0781089014786878</x:v>
      </x:c>
      <x:c r="BT512" s="9" t="str">
        <x:v>0.012834629779508187</x:v>
      </x:c>
      <x:c r="BU512" s="9" t="str">
        <x:v>0.21818870625163916</x:v>
      </x:c>
      <x:c r="BV512" s="6" t="str">
        <x:v>With trade</x:v>
      </x:c>
      <x:c r="BW512" s="7" t="str">
        <x:v>2025-10-27 09:05:00-05:00</x:v>
      </x:c>
      <x:c r="BX512" s="6" t="str">
        <x:v>23944.0</x:v>
      </x:c>
      <x:c r="BY512" s="9" t="str">
        <x:v>19.478551722555398</x:v>
      </x:c>
      <x:c r="BZ512" s="9" t="str">
        <x:v>0.99</x:v>
      </x:c>
      <x:c r="CA512" s="6" t="str">
        <x:v>23914.782172416166</x:v>
      </x:c>
      <x:c r="CB512" s="6" t="str">
        <x:v>29.21782758383415</x:v>
      </x:c>
      <x:c r="CC512" s="9" t="str">
        <x:v>1.5000000000000542</x:v>
      </x:c>
      <x:c r="CD512" s="6" t="str">
        <x:v>24002.435655167665</x:v>
      </x:c>
      <x:c r="CE512" s="6" t="str">
        <x:v>58.43565516766466</x:v>
      </x:c>
      <x:c r="CF512" s="6" t="str">
        <x:v>Fixed 2.00R target</x:v>
      </x:c>
      <x:c r="CG512" s="9" t="str">
        <x:v>0.024813617573714933</x:v>
      </x:c>
      <x:c r="CH512" s="9" t="str">
        <x:v>-1.0</x:v>
      </x:c>
      <x:c r="CI512" s="9" t="str">
        <x:v>-1.024813617573715</x:v>
      </x:c>
      <x:c r="CJ512" s="6" t="str">
        <x:v>Loss</x:v>
      </x:c>
      <x:c r="CK512" s="9" t="str">
        <x:v>0.04278209926502575</x:v>
      </x:c>
      <x:c r="CL512" s="9" t="str">
        <x:v>1.206455199273726</x:v>
      </x:c>
      <x:c r="CM512" s="7" t="str">
        <x:v>2025-10-27 09:15:00-05:00</x:v>
      </x:c>
      <x:c r="CN512" s="6" t="str">
        <x:v>23914.782172416166</x:v>
      </x:c>
      <x:c r="CO512" s="6" t="str">
        <x:v>STOP</x:v>
      </x:c>
      <x:c r="CP512" s="6" t="str">
        <x:v>F::Long::Same-bar Setup+BOS::Penetration + same-bar reclaim</x:v>
      </x:c>
    </x:row>
    <x:row r="513" ht="18" customHeight="1">
      <x:c r="A513" s="6" t="str">
        <x:v>A0512</x:v>
      </x:c>
      <x:c r="B513" s="6" t="str">
        <x:v>2025-10-27</x:v>
      </x:c>
      <x:c r="C513" s="6" t="str">
        <x:v>2025</x:v>
      </x:c>
      <x:c r="D513" s="6" t="str">
        <x:v>2025-Q4</x:v>
      </x:c>
      <x:c r="E513" s="6" t="str">
        <x:v>Second 50%</x:v>
      </x:c>
      <x:c r="F513" s="6" t="str">
        <x:v>Long</x:v>
      </x:c>
      <x:c r="G513" s="6" t="str">
        <x:v>Long</x:v>
      </x:c>
      <x:c r="H513" s="6" t="str">
        <x:v>Midday</x:v>
      </x:c>
      <x:c r="I513" s="6" t="str">
        <x:v>Morning</x:v>
      </x:c>
      <x:c r="J513" s="6" t="str">
        <x:v>Bull</x:v>
      </x:c>
      <x:c r="K513" s="6" t="str">
        <x:v>Bull</x:v>
      </x:c>
      <x:c r="L513" s="6" t="str">
        <x:v>MID</x:v>
      </x:c>
      <x:c r="M513" s="7" t="str">
        <x:v>2025-10-27 11:50:00-05:00</x:v>
      </x:c>
      <x:c r="N513" s="6" t="str">
        <x:v>75.0</x:v>
      </x:c>
      <x:c r="O513" s="6" t="str">
        <x:v>75-79</x:v>
      </x:c>
      <x:c r="P513" s="6" t="str">
        <x:v>Matching BOS only</x:v>
      </x:c>
      <x:c r="Q513" s="6" t="str">
        <x:v>Bull BOS</x:v>
      </x:c>
      <x:c r="R513" s="6" t="str">
        <x:v>True</x:v>
      </x:c>
      <x:c r="S513" s="6" t="str">
        <x:v>False</x:v>
      </x:c>
      <x:c r="T513" s="6" t="str">
        <x:v>No recent matching sweep</x:v>
      </x:c>
      <x:c r="U513" s="6" t="str">
        <x:v>None</x:v>
      </x:c>
      <x:c r="V513" s="6" t="str">
        <x:v>None</x:v>
      </x:c>
      <x:c r="W513" s="6" t="str">
        <x:v>[]</x:v>
      </x:c>
      <x:c r="X513" s="8" t="str">
        <x:v>0</x:v>
      </x:c>
      <x:c r="Y513" s="8" t="str"/>
      <x:c r="Z513" s="6" t="str">
        <x:v>None</x:v>
      </x:c>
      <x:c r="AA513" s="6" t="str">
        <x:v>23989.25</x:v>
      </x:c>
      <x:c r="AB513" s="9" t="str">
        <x:v>0.3211352180653979</x:v>
      </x:c>
      <x:c r="AC513" s="9" t="str">
        <x:v>0.8311735055810299</x:v>
      </x:c>
      <x:c r="AD513" s="9" t="str">
        <x:v>0.8878444264161001</x:v>
      </x:c>
      <x:c r="AE513" s="6" t="str">
        <x:v>With trade</x:v>
      </x:c>
      <x:c r="AF513" s="7" t="str">
        <x:v>2025-10-27 11:50:00-05:00</x:v>
      </x:c>
      <x:c r="AG513" s="6" t="str">
        <x:v>Long</x:v>
      </x:c>
      <x:c r="AH513" s="6" t="str">
        <x:v>23989.25</x:v>
      </x:c>
      <x:c r="AI513" s="8" t="str">
        <x:v>0</x:v>
      </x:c>
      <x:c r="AJ513" s="6" t="str">
        <x:v>True</x:v>
      </x:c>
      <x:c r="AK513" s="6" t="str">
        <x:v>Same-bar Setup+BOS</x:v>
      </x:c>
      <x:c r="AL513" s="9" t="str">
        <x:v>0.8689541194710766</x:v>
      </x:c>
      <x:c r="AM513" s="9" t="str">
        <x:v>0.3211352180653979</x:v>
      </x:c>
      <x:c r="AN513" s="9" t="str">
        <x:v>0.8311735055810299</x:v>
      </x:c>
      <x:c r="AO513" s="9" t="str">
        <x:v>0.8878444264161001</x:v>
      </x:c>
      <x:c r="AP513" s="10" t="str">
        <x:v>0.9361702127659575</x:v>
      </x:c>
      <x:c r="AQ513" s="6" t="str">
        <x:v>0.0425531914893617</x:v>
      </x:c>
      <x:c r="AR513" s="6" t="str">
        <x:v>0.02127659574468085</x:v>
      </x:c>
      <x:c r="AS513" s="6" t="str">
        <x:v>With trade</x:v>
      </x:c>
      <x:c r="AT513" s="6" t="str">
        <x:v>1.0384587839289552</x:v>
      </x:c>
      <x:c r="AU513" s="7" t="str">
        <x:v>2025-10-27 11:55:00-05:00</x:v>
      </x:c>
      <x:c r="AV513" s="8" t="str">
        <x:v>1</x:v>
      </x:c>
      <x:c r="AW513" s="6" t="str">
        <x:v>Immediate retest (1 bar)</x:v>
      </x:c>
      <x:c r="AX513" s="6" t="str">
        <x:v>23987.25</x:v>
      </x:c>
      <x:c r="AY513" s="6" t="str">
        <x:v>2.0</x:v>
      </x:c>
      <x:c r="AZ513" s="9" t="str">
        <x:v>0.15616642008870532</x:v>
      </x:c>
      <x:c r="BA513" s="9" t="str">
        <x:v>0.13664561757761715</x:v>
      </x:c>
      <x:c r="BB513" s="9" t="str">
        <x:v>0.5661032728215568</x:v>
      </x:c>
      <x:c r="BC513" s="9" t="str">
        <x:v>0.15616642008870532</x:v>
      </x:c>
      <x:c r="BD513" s="6" t="str">
        <x:v>0.20689655172413793</x:v>
      </x:c>
      <x:c r="BE513" s="6" t="str">
        <x:v>0.5172413793103449</x:v>
      </x:c>
      <x:c r="BF513" s="9" t="str">
        <x:v>0.29281203766632247</x:v>
      </x:c>
      <x:c r="BG513" s="9" t="str">
        <x:v>0.11712481506652898</x:v>
      </x:c>
      <x:c r="BH513" s="6" t="str">
        <x:v>Against trade</x:v>
      </x:c>
      <x:c r="BI513" s="6" t="str">
        <x:v>Penetration + same-bar reclaim</x:v>
      </x:c>
      <x:c r="BJ513" s="6" t="str">
        <x:v>False</x:v>
      </x:c>
      <x:c r="BK513" s="10" t="str">
        <x:v>True</x:v>
      </x:c>
      <x:c r="BL513" s="6" t="str">
        <x:v>True</x:v>
      </x:c>
      <x:c r="BM513" s="7" t="str">
        <x:v>2025-10-27 12:00:00-05:00</x:v>
      </x:c>
      <x:c r="BN513" s="8" t="str">
        <x:v>1</x:v>
      </x:c>
      <x:c r="BO513" s="6" t="str">
        <x:v>Immediate confirmation (1 bar)</x:v>
      </x:c>
      <x:c r="BP513" s="9" t="str">
        <x:v>0.0200585644864144</x:v>
      </x:c>
      <x:c r="BQ513" s="9" t="str">
        <x:v>0.6418740635652608</x:v>
      </x:c>
      <x:c r="BR513" s="10" t="str">
        <x:v>0.03125</x:v>
      </x:c>
      <x:c r="BS513" s="9" t="str">
        <x:v>0.1404099514049008</x:v>
      </x:c>
      <x:c r="BT513" s="9" t="str">
        <x:v>0.0</x:v>
      </x:c>
      <x:c r="BU513" s="9" t="str">
        <x:v>0.4412884187011168</x:v>
      </x:c>
      <x:c r="BV513" s="6" t="str">
        <x:v>With trade</x:v>
      </x:c>
      <x:c r="BW513" s="7" t="str">
        <x:v>2025-10-27 12:00:00-05:00</x:v>
      </x:c>
      <x:c r="BX513" s="6" t="str">
        <x:v>23991.0</x:v>
      </x:c>
      <x:c r="BY513" s="9" t="str">
        <x:v>12.46350406427759</x:v>
      </x:c>
      <x:c r="BZ513" s="9" t="str">
        <x:v>0.58</x:v>
      </x:c>
      <x:c r="CA513" s="6" t="str">
        <x:v>23972.304743903584</x:v>
      </x:c>
      <x:c r="CB513" s="6" t="str">
        <x:v>18.695256096416415</x:v>
      </x:c>
      <x:c r="CC513" s="9" t="str">
        <x:v>1.5000000000000024</x:v>
      </x:c>
      <x:c r="CD513" s="6" t="str">
        <x:v>24028.390512192833</x:v>
      </x:c>
      <x:c r="CE513" s="6" t="str">
        <x:v>37.39051219283283</x:v>
      </x:c>
      <x:c r="CF513" s="6" t="str">
        <x:v>Fixed 2.00R target</x:v>
      </x:c>
      <x:c r="CG513" s="9" t="str">
        <x:v>0.038779891340401114</x:v>
      </x:c>
      <x:c r="CH513" s="9" t="str">
        <x:v>-1.0</x:v>
      </x:c>
      <x:c r="CI513" s="9" t="str">
        <x:v>-1.0387798913404012</x:v>
      </x:c>
      <x:c r="CJ513" s="6" t="str">
        <x:v>Loss</x:v>
      </x:c>
      <x:c r="CK513" s="9" t="str">
        <x:v>0.06686188162138122</x:v>
      </x:c>
      <x:c r="CL513" s="9" t="str">
        <x:v>1.0697901059420996</x:v>
      </x:c>
      <x:c r="CM513" s="7" t="str">
        <x:v>2025-10-27 12:20:00-05:00</x:v>
      </x:c>
      <x:c r="CN513" s="6" t="str">
        <x:v>23972.304743903584</x:v>
      </x:c>
      <x:c r="CO513" s="6" t="str">
        <x:v>STOP</x:v>
      </x:c>
      <x:c r="CP513" s="6" t="str">
        <x:v>F::Long::Same-bar Setup+BOS::Penetration + same-bar reclaim</x:v>
      </x:c>
    </x:row>
    <x:row r="514" ht="18" customHeight="1">
      <x:c r="A514" s="6" t="str">
        <x:v>A0513</x:v>
      </x:c>
      <x:c r="B514" s="6" t="str">
        <x:v>2025-10-29</x:v>
      </x:c>
      <x:c r="C514" s="6" t="str">
        <x:v>2025</x:v>
      </x:c>
      <x:c r="D514" s="6" t="str">
        <x:v>2025-Q4</x:v>
      </x:c>
      <x:c r="E514" s="6" t="str">
        <x:v>Second 50%</x:v>
      </x:c>
      <x:c r="F514" s="6" t="str">
        <x:v>Short</x:v>
      </x:c>
      <x:c r="G514" s="6" t="str">
        <x:v>Short</x:v>
      </x:c>
      <x:c r="H514" s="6" t="str">
        <x:v>Midday</x:v>
      </x:c>
      <x:c r="I514" s="6" t="str">
        <x:v>Midday</x:v>
      </x:c>
      <x:c r="J514" s="6" t="str">
        <x:v>Bull</x:v>
      </x:c>
      <x:c r="K514" s="6" t="str">
        <x:v>Bull</x:v>
      </x:c>
      <x:c r="L514" s="6" t="str">
        <x:v>HIGH</x:v>
      </x:c>
      <x:c r="M514" s="7" t="str">
        <x:v>2025-10-29 13:00:00-05:00</x:v>
      </x:c>
      <x:c r="N514" s="6" t="str">
        <x:v>70.0</x:v>
      </x:c>
      <x:c r="O514" s="6" t="str">
        <x:v>70-74</x:v>
      </x:c>
      <x:c r="P514" s="6" t="str">
        <x:v>Matching liquidity sweep only</x:v>
      </x:c>
      <x:c r="Q514" s="6" t="str">
        <x:v>Recent bear structure</x:v>
      </x:c>
      <x:c r="R514" s="6" t="str">
        <x:v>False</x:v>
      </x:c>
      <x:c r="S514" s="6" t="str">
        <x:v>True</x:v>
      </x:c>
      <x:c r="T514" s="6" t="str">
        <x:v>Recent BSL</x:v>
      </x:c>
      <x:c r="U514" s="6" t="str">
        <x:v>BSL</x:v>
      </x:c>
      <x:c r="V514" s="6" t="str">
        <x:v>Swing high / buy-side</x:v>
      </x:c>
      <x:c r="W514" s="6" t="str">
        <x:v>[24345.5]</x:v>
      </x:c>
      <x:c r="X514" s="8" t="str">
        <x:v>1</x:v>
      </x:c>
      <x:c r="Y514" s="8" t="str">
        <x:v>0.0</x:v>
      </x:c>
      <x:c r="Z514" s="6" t="str">
        <x:v>Sweep above CRT reference</x:v>
      </x:c>
      <x:c r="AA514" s="6" t="str">
        <x:v>24296.25</x:v>
      </x:c>
      <x:c r="AB514" s="9" t="str">
        <x:v>-0.9990979423891871</x:v>
      </x:c>
      <x:c r="AC514" s="9" t="str">
        <x:v>0.7342768010330171</x:v>
      </x:c>
      <x:c r="AD514" s="9" t="str">
        <x:v>3.406562863808915</x:v>
      </x:c>
      <x:c r="AE514" s="6" t="str">
        <x:v>With trade</x:v>
      </x:c>
      <x:c r="AF514" s="7" t="str">
        <x:v>2025-10-29 13:35:00-05:00</x:v>
      </x:c>
      <x:c r="AG514" s="6" t="str">
        <x:v>Short</x:v>
      </x:c>
      <x:c r="AH514" s="6" t="str">
        <x:v>24282.0</x:v>
      </x:c>
      <x:c r="AI514" s="8" t="str">
        <x:v>7</x:v>
      </x:c>
      <x:c r="AJ514" s="6" t="str">
        <x:v>False</x:v>
      </x:c>
      <x:c r="AK514" s="6" t="str">
        <x:v>Delayed BOS</x:v>
      </x:c>
      <x:c r="AL514" s="9" t="str">
        <x:v>4.783878492119529</x:v>
      </x:c>
      <x:c r="AM514" s="9" t="str">
        <x:v>3.1446027954865703</x:v>
      </x:c>
      <x:c r="AN514" s="9" t="str">
        <x:v>4.8030140060880075</x:v>
      </x:c>
      <x:c r="AO514" s="9" t="str">
        <x:v>4.987990641116629</x:v>
      </x:c>
      <x:c r="AP514" s="10" t="str">
        <x:v>0.9629156010230179</x:v>
      </x:c>
      <x:c r="AQ514" s="6" t="str">
        <x:v>0.015345268542199489</x:v>
      </x:c>
      <x:c r="AR514" s="6" t="str">
        <x:v>0.021739130434782608</x:v>
      </x:c>
      <x:c r="AS514" s="6" t="str">
        <x:v>With trade</x:v>
      </x:c>
      <x:c r="AT514" s="6" t="str">
        <x:v>7.9477853067705535</x:v>
      </x:c>
      <x:c r="AU514" s="7" t="str">
        <x:v>2025-10-29 13:50:00-05:00</x:v>
      </x:c>
      <x:c r="AV514" s="8" t="str">
        <x:v>3</x:v>
      </x:c>
      <x:c r="AW514" s="6" t="str">
        <x:v>Delayed retest (2+ bars)</x:v>
      </x:c>
      <x:c r="AX514" s="6" t="str">
        <x:v>24290.25</x:v>
      </x:c>
      <x:c r="AY514" s="6" t="str">
        <x:v>8.25</x:v>
      </x:c>
      <x:c r="AZ514" s="9" t="str">
        <x:v>0.1705888692951586</x:v>
      </x:c>
      <x:c r="BA514" s="9" t="str">
        <x:v>0.2532986241049325</x:v>
      </x:c>
      <x:c r="BB514" s="9" t="str">
        <x:v>1.8196146058150249</x:v>
      </x:c>
      <x:c r="BC514" s="9" t="str">
        <x:v>1.359541594685658</x:v>
      </x:c>
      <x:c r="BD514" s="6" t="str">
        <x:v>0.23295454545454544</x:v>
      </x:c>
      <x:c r="BE514" s="6" t="str">
        <x:v>0.019886363636363636</x:v>
      </x:c>
      <x:c r="BF514" s="9" t="str">
        <x:v>0.423887493400091</x:v>
      </x:c>
      <x:c r="BG514" s="9" t="str">
        <x:v>0.036185517729276064</x:v>
      </x:c>
      <x:c r="BH514" s="6" t="str">
        <x:v>Against trade</x:v>
      </x:c>
      <x:c r="BI514" s="6" t="str">
        <x:v>Penetration + same-bar reclaim</x:v>
      </x:c>
      <x:c r="BJ514" s="6" t="str">
        <x:v>False</x:v>
      </x:c>
      <x:c r="BK514" s="10" t="str">
        <x:v>True</x:v>
      </x:c>
      <x:c r="BL514" s="6" t="str">
        <x:v>True</x:v>
      </x:c>
      <x:c r="BM514" s="7" t="str">
        <x:v>2025-10-29 13:55:00-05:00</x:v>
      </x:c>
      <x:c r="BN514" s="8" t="str">
        <x:v>1</x:v>
      </x:c>
      <x:c r="BO514" s="6" t="str">
        <x:v>Immediate confirmation (1 bar)</x:v>
      </x:c>
      <x:c r="BP514" s="9" t="str">
        <x:v>0.12645339024608163</x:v>
      </x:c>
      <x:c r="BQ514" s="9" t="str">
        <x:v>1.2797083092903463</x:v>
      </x:c>
      <x:c r="BR514" s="10" t="str">
        <x:v>0.09881422924901186</x:v>
      </x:c>
      <x:c r="BS514" s="9" t="str">
        <x:v>0.40465084878746127</x:v>
      </x:c>
      <x:c r="BT514" s="9" t="str">
        <x:v>0.15680220390514124</x:v>
      </x:c>
      <x:c r="BU514" s="9" t="str">
        <x:v>0.7486040702568033</x:v>
      </x:c>
      <x:c r="BV514" s="6" t="str">
        <x:v>With trade</x:v>
      </x:c>
      <x:c r="BW514" s="7" t="str">
        <x:v>2025-10-29 13:55:00-05:00</x:v>
      </x:c>
      <x:c r="BX514" s="6" t="str">
        <x:v>24262.0</x:v>
      </x:c>
      <x:c r="BY514" s="9" t="str">
        <x:v>49.42532570963368</x:v>
      </x:c>
      <x:c r="BZ514" s="9" t="str">
        <x:v>1.0</x:v>
      </x:c>
      <x:c r="CA514" s="6" t="str">
        <x:v>24336.13798856445</x:v>
      </x:c>
      <x:c r="CB514" s="6" t="str">
        <x:v>74.13798856444919</x:v>
      </x:c>
      <x:c r="CC514" s="9" t="str">
        <x:v>1.499999999999973</x:v>
      </x:c>
      <x:c r="CD514" s="6" t="str">
        <x:v>24113.724022871098</x:v>
      </x:c>
      <x:c r="CE514" s="6" t="str">
        <x:v>148.275977128902</x:v>
      </x:c>
      <x:c r="CF514" s="6" t="str">
        <x:v>Fixed 2.00R target</x:v>
      </x:c>
      <x:c r="CG514" s="9" t="str">
        <x:v>0.00977906217903049</x:v>
      </x:c>
      <x:c r="CH514" s="9" t="str">
        <x:v>-1.0</x:v>
      </x:c>
      <x:c r="CI514" s="9" t="str">
        <x:v>-1.0097790621790306</x:v>
      </x:c>
      <x:c r="CJ514" s="6" t="str">
        <x:v>Loss</x:v>
      </x:c>
      <x:c r="CK514" s="9" t="str">
        <x:v>0.9846503987161734</x:v>
      </x:c>
      <x:c r="CL514" s="9" t="str">
        <x:v>1.3791849762839552</x:v>
      </x:c>
      <x:c r="CM514" s="7" t="str">
        <x:v>2025-10-29 14:50:00-05:00</x:v>
      </x:c>
      <x:c r="CN514" s="6" t="str">
        <x:v>24336.13798856445</x:v>
      </x:c>
      <x:c r="CO514" s="6" t="str">
        <x:v>STOP</x:v>
      </x:c>
      <x:c r="CP514" s="6" t="str">
        <x:v>F::Short::Delayed BOS::Penetration + same-bar reclaim</x:v>
      </x:c>
    </x:row>
    <x:row r="515" ht="18" customHeight="1">
      <x:c r="A515" s="6" t="str">
        <x:v>A0514</x:v>
      </x:c>
      <x:c r="B515" s="6" t="str">
        <x:v>2025-11-04</x:v>
      </x:c>
      <x:c r="C515" s="6" t="str">
        <x:v>2025</x:v>
      </x:c>
      <x:c r="D515" s="6" t="str">
        <x:v>2025-Q4</x:v>
      </x:c>
      <x:c r="E515" s="6" t="str">
        <x:v>Second 50%</x:v>
      </x:c>
      <x:c r="F515" s="6" t="str">
        <x:v>Short</x:v>
      </x:c>
      <x:c r="G515" s="6" t="str">
        <x:v>Short</x:v>
      </x:c>
      <x:c r="H515" s="6" t="str">
        <x:v>Midday</x:v>
      </x:c>
      <x:c r="I515" s="6" t="str">
        <x:v>Midday</x:v>
      </x:c>
      <x:c r="J515" s="6" t="str">
        <x:v>Bear</x:v>
      </x:c>
      <x:c r="K515" s="6" t="str">
        <x:v>Bear</x:v>
      </x:c>
      <x:c r="L515" s="6" t="str">
        <x:v>HIGH</x:v>
      </x:c>
      <x:c r="M515" s="7" t="str">
        <x:v>2025-11-04 12:15:00-06:00</x:v>
      </x:c>
      <x:c r="N515" s="6" t="str">
        <x:v>75.0</x:v>
      </x:c>
      <x:c r="O515" s="6" t="str">
        <x:v>75-79</x:v>
      </x:c>
      <x:c r="P515" s="6" t="str">
        <x:v>Matching BOS only</x:v>
      </x:c>
      <x:c r="Q515" s="6" t="str">
        <x:v>Bear BOS</x:v>
      </x:c>
      <x:c r="R515" s="6" t="str">
        <x:v>True</x:v>
      </x:c>
      <x:c r="S515" s="6" t="str">
        <x:v>False</x:v>
      </x:c>
      <x:c r="T515" s="6" t="str">
        <x:v>No recent matching sweep</x:v>
      </x:c>
      <x:c r="U515" s="6" t="str">
        <x:v>None</x:v>
      </x:c>
      <x:c r="V515" s="6" t="str">
        <x:v>None</x:v>
      </x:c>
      <x:c r="W515" s="6" t="str">
        <x:v>[]</x:v>
      </x:c>
      <x:c r="X515" s="8" t="str">
        <x:v>0</x:v>
      </x:c>
      <x:c r="Y515" s="8" t="str"/>
      <x:c r="Z515" s="6" t="str">
        <x:v>Sweep above CRT reference</x:v>
      </x:c>
      <x:c r="AA515" s="6" t="str">
        <x:v>23719.5</x:v>
      </x:c>
      <x:c r="AB515" s="9" t="str">
        <x:v>0.5554002314018773</x:v>
      </x:c>
      <x:c r="AC515" s="9" t="str">
        <x:v>1.0304135872061144</x:v>
      </x:c>
      <x:c r="AD515" s="9" t="str">
        <x:v>1.4031163740679007</x:v>
      </x:c>
      <x:c r="AE515" s="6" t="str">
        <x:v>With trade</x:v>
      </x:c>
      <x:c r="AF515" s="7" t="str">
        <x:v>2025-11-04 12:15:00-06:00</x:v>
      </x:c>
      <x:c r="AG515" s="6" t="str">
        <x:v>Short</x:v>
      </x:c>
      <x:c r="AH515" s="6" t="str">
        <x:v>23719.5</x:v>
      </x:c>
      <x:c r="AI515" s="8" t="str">
        <x:v>0</x:v>
      </x:c>
      <x:c r="AJ515" s="6" t="str">
        <x:v>True</x:v>
      </x:c>
      <x:c r="AK515" s="6" t="str">
        <x:v>Same-bar Setup+BOS</x:v>
      </x:c>
      <x:c r="AL515" s="9" t="str">
        <x:v>1.0669530761141328</x:v>
      </x:c>
      <x:c r="AM515" s="9" t="str">
        <x:v>0.5554002314018773</x:v>
      </x:c>
      <x:c r="AN515" s="9" t="str">
        <x:v>1.0304135872061144</x:v>
      </x:c>
      <x:c r="AO515" s="9" t="str">
        <x:v>1.4031163740679007</x:v>
      </x:c>
      <x:c r="AP515" s="10" t="str">
        <x:v>0.734375</x:v>
      </x:c>
      <x:c r="AQ515" s="6" t="str">
        <x:v>0.23958333333333334</x:v>
      </x:c>
      <x:c r="AR515" s="6" t="str">
        <x:v>0.026041666666666668</x:v>
      </x:c>
      <x:c r="AS515" s="6" t="str">
        <x:v>With trade</x:v>
      </x:c>
      <x:c r="AT515" s="6" t="str">
        <x:v>1.2030583283455292</x:v>
      </x:c>
      <x:c r="AU515" s="7" t="str">
        <x:v>2025-11-04 12:20:00-06:00</x:v>
      </x:c>
      <x:c r="AV515" s="8" t="str">
        <x:v>1</x:v>
      </x:c>
      <x:c r="AW515" s="6" t="str">
        <x:v>Immediate retest (1 bar)</x:v>
      </x:c>
      <x:c r="AX515" s="6" t="str">
        <x:v>23742.75</x:v>
      </x:c>
      <x:c r="AY515" s="6" t="str">
        <x:v>23.25</x:v>
      </x:c>
      <x:c r="AZ515" s="9" t="str">
        <x:v>0.661619875547731</x:v>
      </x:c>
      <x:c r="BA515" s="9" t="str">
        <x:v>0.021342576630571968</x:v>
      </x:c>
      <x:c r="BB515" s="9" t="str">
        <x:v>1.344582327726034</x:v>
      </x:c>
      <x:c r="BC515" s="9" t="str">
        <x:v>0.5549069923948712</x:v>
      </x:c>
      <x:c r="BD515" s="6" t="str">
        <x:v>0.5079365079365079</x:v>
      </x:c>
      <x:c r="BE515" s="6" t="str">
        <x:v>0.07936507936507936</x:v>
      </x:c>
      <x:c r="BF515" s="9" t="str">
        <x:v>0.682962452178303</x:v>
      </x:c>
      <x:c r="BG515" s="9" t="str">
        <x:v>0.10671288315285984</x:v>
      </x:c>
      <x:c r="BH515" s="6" t="str">
        <x:v>Against trade</x:v>
      </x:c>
      <x:c r="BI515" s="6" t="str">
        <x:v>Penetration + same-bar reclaim</x:v>
      </x:c>
      <x:c r="BJ515" s="6" t="str">
        <x:v>False</x:v>
      </x:c>
      <x:c r="BK515" s="10" t="str">
        <x:v>True</x:v>
      </x:c>
      <x:c r="BL515" s="6" t="str">
        <x:v>True</x:v>
      </x:c>
      <x:c r="BM515" s="7" t="str">
        <x:v>2025-11-04 12:25:00-06:00</x:v>
      </x:c>
      <x:c r="BN515" s="8" t="str">
        <x:v>1</x:v>
      </x:c>
      <x:c r="BO515" s="6" t="str">
        <x:v>Immediate confirmation (1 bar)</x:v>
      </x:c>
      <x:c r="BP515" s="9" t="str">
        <x:v>0.4164706049244949</x:v>
      </x:c>
      <x:c r="BQ515" s="9" t="str">
        <x:v>1.1011765147156136</x:v>
      </x:c>
      <x:c r="BR515" s="10" t="str">
        <x:v>0.3782051282051282</x:v>
      </x:c>
      <x:c r="BS515" s="9" t="str">
        <x:v>0.4447059001736132</x:v>
      </x:c>
      <x:c r="BT515" s="9" t="str">
        <x:v>0.4235294287367745</x:v>
      </x:c>
      <x:c r="BU515" s="9" t="str">
        <x:v>0.19058824293154852</x:v>
      </x:c>
      <x:c r="BV515" s="6" t="str">
        <x:v>With trade</x:v>
      </x:c>
      <x:c r="BW515" s="7" t="str">
        <x:v>2025-11-04 12:25:00-06:00</x:v>
      </x:c>
      <x:c r="BX515" s="6" t="str">
        <x:v>23703.75</x:v>
      </x:c>
      <x:c r="BY515" s="9" t="str">
        <x:v>35.41666524741677</x:v>
      </x:c>
      <x:c r="BZ515" s="9" t="str">
        <x:v>0.74</x:v>
      </x:c>
      <x:c r="CA515" s="6" t="str">
        <x:v>23756.874997871124</x:v>
      </x:c>
      <x:c r="CB515" s="6" t="str">
        <x:v>53.124997871123924</x:v>
      </x:c>
      <x:c r="CC515" s="9" t="str">
        <x:v>1.4999999999999651</x:v>
      </x:c>
      <x:c r="CD515" s="6" t="str">
        <x:v>23597.50000425775</x:v>
      </x:c>
      <x:c r="CE515" s="6" t="str">
        <x:v>106.24999574225149</x:v>
      </x:c>
      <x:c r="CF515" s="6" t="str">
        <x:v>Fixed 2.00R target</x:v>
      </x:c>
      <x:c r="CG515" s="9" t="str">
        <x:v>0.013647059370407496</x:v>
      </x:c>
      <x:c r="CH515" s="9" t="str">
        <x:v>-1.0</x:v>
      </x:c>
      <x:c r="CI515" s="9" t="str">
        <x:v>-1.0136470593704074</x:v>
      </x:c>
      <x:c r="CJ515" s="6" t="str">
        <x:v>Loss</x:v>
      </x:c>
      <x:c r="CK515" s="9" t="str">
        <x:v>0.4658823716104628</x:v>
      </x:c>
      <x:c r="CL515" s="9" t="str">
        <x:v>1.0917647496325997</x:v>
      </x:c>
      <x:c r="CM515" s="7" t="str">
        <x:v>2025-11-04 12:50:00-06:00</x:v>
      </x:c>
      <x:c r="CN515" s="6" t="str">
        <x:v>23756.874997871124</x:v>
      </x:c>
      <x:c r="CO515" s="6" t="str">
        <x:v>STOP</x:v>
      </x:c>
      <x:c r="CP515" s="6" t="str">
        <x:v>F::Short::Same-bar Setup+BOS::Penetration + same-bar reclaim</x:v>
      </x:c>
    </x:row>
    <x:row r="516" ht="18" customHeight="1">
      <x:c r="A516" s="6" t="str">
        <x:v>A0515</x:v>
      </x:c>
      <x:c r="B516" s="6" t="str">
        <x:v>2025-11-04</x:v>
      </x:c>
      <x:c r="C516" s="6" t="str">
        <x:v>2025</x:v>
      </x:c>
      <x:c r="D516" s="6" t="str">
        <x:v>2025-Q4</x:v>
      </x:c>
      <x:c r="E516" s="6" t="str">
        <x:v>Second 50%</x:v>
      </x:c>
      <x:c r="F516" s="6" t="str">
        <x:v>Short</x:v>
      </x:c>
      <x:c r="G516" s="6" t="str">
        <x:v>Short</x:v>
      </x:c>
      <x:c r="H516" s="6" t="str">
        <x:v>Midday</x:v>
      </x:c>
      <x:c r="I516" s="6" t="str">
        <x:v>Midday</x:v>
      </x:c>
      <x:c r="J516" s="6" t="str">
        <x:v>Bear</x:v>
      </x:c>
      <x:c r="K516" s="6" t="str">
        <x:v>Bear</x:v>
      </x:c>
      <x:c r="L516" s="6" t="str">
        <x:v>MID</x:v>
      </x:c>
      <x:c r="M516" s="7" t="str">
        <x:v>2025-11-04 13:35:00-06:00</x:v>
      </x:c>
      <x:c r="N516" s="6" t="str">
        <x:v>75.0</x:v>
      </x:c>
      <x:c r="O516" s="6" t="str">
        <x:v>75-79</x:v>
      </x:c>
      <x:c r="P516" s="6" t="str">
        <x:v>Matching BOS only</x:v>
      </x:c>
      <x:c r="Q516" s="6" t="str">
        <x:v>Bear BOS</x:v>
      </x:c>
      <x:c r="R516" s="6" t="str">
        <x:v>True</x:v>
      </x:c>
      <x:c r="S516" s="6" t="str">
        <x:v>False</x:v>
      </x:c>
      <x:c r="T516" s="6" t="str">
        <x:v>No recent matching sweep</x:v>
      </x:c>
      <x:c r="U516" s="6" t="str">
        <x:v>None</x:v>
      </x:c>
      <x:c r="V516" s="6" t="str">
        <x:v>None</x:v>
      </x:c>
      <x:c r="W516" s="6" t="str">
        <x:v>[]</x:v>
      </x:c>
      <x:c r="X516" s="8" t="str">
        <x:v>0</x:v>
      </x:c>
      <x:c r="Y516" s="8" t="str"/>
      <x:c r="Z516" s="6" t="str">
        <x:v>None</x:v>
      </x:c>
      <x:c r="AA516" s="6" t="str">
        <x:v>23679.0</x:v>
      </x:c>
      <x:c r="AB516" s="9" t="str">
        <x:v>0.10674155218965953</x:v>
      </x:c>
      <x:c r="AC516" s="9" t="str">
        <x:v>1.4018723854241952</x:v>
      </x:c>
      <x:c r="AD516" s="9" t="str">
        <x:v>1.7078648350345524</x:v>
      </x:c>
      <x:c r="AE516" s="6" t="str">
        <x:v>With trade</x:v>
      </x:c>
      <x:c r="AF516" s="7" t="str">
        <x:v>2025-11-04 13:35:00-06:00</x:v>
      </x:c>
      <x:c r="AG516" s="6" t="str">
        <x:v>Short</x:v>
      </x:c>
      <x:c r="AH516" s="6" t="str">
        <x:v>23679.0</x:v>
      </x:c>
      <x:c r="AI516" s="8" t="str">
        <x:v>0</x:v>
      </x:c>
      <x:c r="AJ516" s="6" t="str">
        <x:v>True</x:v>
      </x:c>
      <x:c r="AK516" s="6" t="str">
        <x:v>Same-bar Setup+BOS</x:v>
      </x:c>
      <x:c r="AL516" s="9" t="str">
        <x:v>1.4018723854241952</x:v>
      </x:c>
      <x:c r="AM516" s="9" t="str">
        <x:v>0.10674155218965953</x:v>
      </x:c>
      <x:c r="AN516" s="9" t="str">
        <x:v>1.4018723854241952</x:v>
      </x:c>
      <x:c r="AO516" s="9" t="str">
        <x:v>1.7078648350345524</x:v>
      </x:c>
      <x:c r="AP516" s="10" t="str">
        <x:v>0.8208333333333333</x:v>
      </x:c>
      <x:c r="AQ516" s="6" t="str">
        <x:v>0.025</x:v>
      </x:c>
      <x:c r="AR516" s="6" t="str">
        <x:v>0.15416666666666667</x:v>
      </x:c>
      <x:c r="AS516" s="6" t="str">
        <x:v>With trade</x:v>
      </x:c>
      <x:c r="AT516" s="6" t="str">
        <x:v>1.2238142740545932</x:v>
      </x:c>
      <x:c r="AU516" s="7" t="str">
        <x:v>2025-11-04 13:40:00-06:00</x:v>
      </x:c>
      <x:c r="AV516" s="8" t="str">
        <x:v>1</x:v>
      </x:c>
      <x:c r="AW516" s="6" t="str">
        <x:v>Immediate retest (1 bar)</x:v>
      </x:c>
      <x:c r="AX516" s="6" t="str">
        <x:v>23690.75</x:v>
      </x:c>
      <x:c r="AY516" s="6" t="str">
        <x:v>11.75</x:v>
      </x:c>
      <x:c r="AZ516" s="9" t="str">
        <x:v>0.3316795625677873</x:v>
      </x:c>
      <x:c r="BA516" s="9" t="str">
        <x:v>0.2681664548420408</x:v>
      </x:c>
      <x:c r="BB516" s="9" t="str">
        <x:v>1.1079508792158002</x:v>
      </x:c>
      <x:c r="BC516" s="9" t="str">
        <x:v>0.14819725136007517</x:v>
      </x:c>
      <x:c r="BD516" s="6" t="str">
        <x:v>0.40764331210191085</x:v>
      </x:c>
      <x:c r="BE516" s="6" t="str">
        <x:v>0.4585987261146497</x:v>
      </x:c>
      <x:c r="BF516" s="9" t="str">
        <x:v>0.4516487660497529</x:v>
      </x:c>
      <x:c r="BG516" s="9" t="str">
        <x:v>0.508104861805972</x:v>
      </x:c>
      <x:c r="BH516" s="6" t="str">
        <x:v>With trade</x:v>
      </x:c>
      <x:c r="BI516" s="6" t="str">
        <x:v>Penetration + same-bar reclaim</x:v>
      </x:c>
      <x:c r="BJ516" s="6" t="str">
        <x:v>False</x:v>
      </x:c>
      <x:c r="BK516" s="10" t="str">
        <x:v>True</x:v>
      </x:c>
      <x:c r="BL516" s="6" t="str">
        <x:v>True</x:v>
      </x:c>
      <x:c r="BM516" s="7" t="str">
        <x:v>2025-11-04 13:45:00-06:00</x:v>
      </x:c>
      <x:c r="BN516" s="8" t="str">
        <x:v>1</x:v>
      </x:c>
      <x:c r="BO516" s="6" t="str">
        <x:v>Immediate confirmation (1 bar)</x:v>
      </x:c>
      <x:c r="BP516" s="9" t="str">
        <x:v>0.30151690246124985</x:v>
      </x:c>
      <x:c r="BQ516" s="9" t="str">
        <x:v>0.7753291777574997</x:v>
      </x:c>
      <x:c r="BR516" s="10" t="str">
        <x:v>0.3888888888888889</x:v>
      </x:c>
      <x:c r="BS516" s="9" t="str">
        <x:v>0.5671389355818748</x:v>
      </x:c>
      <x:c r="BT516" s="9" t="str">
        <x:v>0.29433792859312485</x:v>
      </x:c>
      <x:c r="BU516" s="9" t="str">
        <x:v>0.3876645888787498</x:v>
      </x:c>
      <x:c r="BV516" s="6" t="str">
        <x:v>With trade</x:v>
      </x:c>
      <x:c r="BW516" s="7" t="str">
        <x:v>2025-11-04 13:45:00-06:00</x:v>
      </x:c>
      <x:c r="BX516" s="6" t="str">
        <x:v>23659.25</x:v>
      </x:c>
      <x:c r="BY516" s="9" t="str">
        <x:v>34.82391837502188</x:v>
      </x:c>
      <x:c r="BZ516" s="9" t="str">
        <x:v>0.54</x:v>
      </x:c>
      <x:c r="CA516" s="6" t="str">
        <x:v>23711.485877562533</x:v>
      </x:c>
      <x:c r="CB516" s="6" t="str">
        <x:v>52.23587756253255</x:v>
      </x:c>
      <x:c r="CC516" s="9" t="str">
        <x:v>1.4999999999999922</x:v>
      </x:c>
      <x:c r="CD516" s="6" t="str">
        <x:v>23554.778244874935</x:v>
      </x:c>
      <x:c r="CE516" s="6" t="str">
        <x:v>104.4717551250651</x:v>
      </x:c>
      <x:c r="CF516" s="6" t="str">
        <x:v>Fixed 2.00R target</x:v>
      </x:c>
      <x:c r="CG516" s="9" t="str">
        <x:v>0.013879349478375066</x:v>
      </x:c>
      <x:c r="CH516" s="9" t="str">
        <x:v>-1.0</x:v>
      </x:c>
      <x:c r="CI516" s="9" t="str">
        <x:v>-1.013879349478375</x:v>
      </x:c>
      <x:c r="CJ516" s="6" t="str">
        <x:v>Loss</x:v>
      </x:c>
      <x:c r="CK516" s="9" t="str">
        <x:v>0.11964956446875058</x:v>
      </x:c>
      <x:c r="CL516" s="9" t="str">
        <x:v>1.1103479582700053</x:v>
      </x:c>
      <x:c r="CM516" s="7" t="str">
        <x:v>2025-11-04 14:15:00-06:00</x:v>
      </x:c>
      <x:c r="CN516" s="6" t="str">
        <x:v>23711.485877562533</x:v>
      </x:c>
      <x:c r="CO516" s="6" t="str">
        <x:v>STOP</x:v>
      </x:c>
      <x:c r="CP516" s="6" t="str">
        <x:v>F::Short::Same-bar Setup+BOS::Penetration + same-bar reclaim</x:v>
      </x:c>
    </x:row>
    <x:row r="517" ht="18" customHeight="1">
      <x:c r="A517" s="6" t="str">
        <x:v>A0516</x:v>
      </x:c>
      <x:c r="B517" s="6" t="str">
        <x:v>2025-11-04</x:v>
      </x:c>
      <x:c r="C517" s="6" t="str">
        <x:v>2025</x:v>
      </x:c>
      <x:c r="D517" s="6" t="str">
        <x:v>2025-Q4</x:v>
      </x:c>
      <x:c r="E517" s="6" t="str">
        <x:v>Second 50%</x:v>
      </x:c>
      <x:c r="F517" s="6" t="str">
        <x:v>Short</x:v>
      </x:c>
      <x:c r="G517" s="6" t="str">
        <x:v>Short</x:v>
      </x:c>
      <x:c r="H517" s="6" t="str">
        <x:v>Afternoon</x:v>
      </x:c>
      <x:c r="I517" s="6" t="str">
        <x:v>Afternoon</x:v>
      </x:c>
      <x:c r="J517" s="6" t="str">
        <x:v>Bear</x:v>
      </x:c>
      <x:c r="K517" s="6" t="str">
        <x:v>Bear</x:v>
      </x:c>
      <x:c r="L517" s="6" t="str">
        <x:v>MID</x:v>
      </x:c>
      <x:c r="M517" s="7" t="str">
        <x:v>2025-11-04 14:45:00-06:00</x:v>
      </x:c>
      <x:c r="N517" s="6" t="str">
        <x:v>100.0</x:v>
      </x:c>
      <x:c r="O517" s="6" t="str">
        <x:v>95+</x:v>
      </x:c>
      <x:c r="P517" s="6" t="str">
        <x:v>Matching liquidity sweep only</x:v>
      </x:c>
      <x:c r="Q517" s="6" t="str">
        <x:v>Recent bear structure</x:v>
      </x:c>
      <x:c r="R517" s="6" t="str">
        <x:v>False</x:v>
      </x:c>
      <x:c r="S517" s="6" t="str">
        <x:v>True</x:v>
      </x:c>
      <x:c r="T517" s="6" t="str">
        <x:v>Recent BSL</x:v>
      </x:c>
      <x:c r="U517" s="6" t="str">
        <x:v>BSL</x:v>
      </x:c>
      <x:c r="V517" s="6" t="str">
        <x:v>Swing high / buy-side</x:v>
      </x:c>
      <x:c r="W517" s="6" t="str">
        <x:v>[23717.25]</x:v>
      </x:c>
      <x:c r="X517" s="8" t="str">
        <x:v>1</x:v>
      </x:c>
      <x:c r="Y517" s="8" t="str">
        <x:v>0.0</x:v>
      </x:c>
      <x:c r="Z517" s="6" t="str">
        <x:v>Sweep above CRT reference</x:v>
      </x:c>
      <x:c r="AA517" s="6" t="str">
        <x:v>23651.5</x:v>
      </x:c>
      <x:c r="AB517" s="9" t="str">
        <x:v>-0.6176392644923325</x:v>
      </x:c>
      <x:c r="AC517" s="9" t="str">
        <x:v>1.0394416890236815</x:v>
      </x:c>
      <x:c r="AD517" s="9" t="str">
        <x:v>1.6194200227542865</x:v>
      </x:c>
      <x:c r="AE517" s="6" t="str">
        <x:v>With trade</x:v>
      </x:c>
      <x:c r="AF517" s="7" t="str">
        <x:v>2025-11-04 14:50:00-06:00</x:v>
      </x:c>
      <x:c r="AG517" s="6" t="str">
        <x:v>Short</x:v>
      </x:c>
      <x:c r="AH517" s="6" t="str">
        <x:v>23659.0</x:v>
      </x:c>
      <x:c r="AI517" s="8" t="str">
        <x:v>1</x:v>
      </x:c>
      <x:c r="AJ517" s="6" t="str">
        <x:v>False</x:v>
      </x:c>
      <x:c r="AK517" s="6" t="str">
        <x:v>Delayed BOS</x:v>
      </x:c>
      <x:c r="AL517" s="9" t="str">
        <x:v>1.0452559318387111</x:v>
      </x:c>
      <x:c r="AM517" s="9" t="str">
        <x:v>0.6624861539822816</x:v>
      </x:c>
      <x:c r="AN517" s="9" t="str">
        <x:v>1.0452559318387111</x:v>
      </x:c>
      <x:c r="AO517" s="9" t="str">
        <x:v>1.295528478898684</x:v>
      </x:c>
      <x:c r="AP517" s="10" t="str">
        <x:v>0.8068181818181818</x:v>
      </x:c>
      <x:c r="AQ517" s="6" t="str">
        <x:v>0.05113636363636364</x:v>
      </x:c>
      <x:c r="AR517" s="6" t="str">
        <x:v>0.14204545454545456</x:v>
      </x:c>
      <x:c r="AS517" s="6" t="str">
        <x:v>With trade</x:v>
      </x:c>
      <x:c r="AT517" s="6" t="str">
        <x:v>2.298661969282</x:v>
      </x:c>
      <x:c r="AU517" s="7" t="str">
        <x:v>2025-11-04 14:55:00-06:00</x:v>
      </x:c>
      <x:c r="AV517" s="8" t="str">
        <x:v>1</x:v>
      </x:c>
      <x:c r="AW517" s="6" t="str">
        <x:v>Immediate retest (1 bar)</x:v>
      </x:c>
      <x:c r="AX517" s="6" t="str">
        <x:v>23660.0</x:v>
      </x:c>
      <x:c r="AY517" s="6" t="str">
        <x:v>1.0</x:v>
      </x:c>
      <x:c r="AZ517" s="9" t="str">
        <x:v>0.029150350878381658</x:v>
      </x:c>
      <x:c r="BA517" s="9" t="str">
        <x:v>0.10931381579393122</x:v>
      </x:c>
      <x:c r="BB517" s="9" t="str">
        <x:v>1.1295760965372892</x:v>
      </x:c>
      <x:c r="BC517" s="9" t="str">
        <x:v>0.5392814912500606</x:v>
      </x:c>
      <x:c r="BD517" s="6" t="str">
        <x:v>0.12258064516129032</x:v>
      </x:c>
      <x:c r="BE517" s="6" t="str">
        <x:v>0.4</x:v>
      </x:c>
      <x:c r="BF517" s="9" t="str">
        <x:v>0.13846416667231287</x:v>
      </x:c>
      <x:c r="BG517" s="9" t="str">
        <x:v>0.45183043861491573</x:v>
      </x:c>
      <x:c r="BH517" s="6" t="str">
        <x:v>Against trade</x:v>
      </x:c>
      <x:c r="BI517" s="6" t="str">
        <x:v>Penetration + same-bar reclaim</x:v>
      </x:c>
      <x:c r="BJ517" s="6" t="str">
        <x:v>False</x:v>
      </x:c>
      <x:c r="BK517" s="10" t="str">
        <x:v>True</x:v>
      </x:c>
      <x:c r="BL517" s="6" t="str">
        <x:v>True</x:v>
      </x:c>
      <x:c r="BM517" s="7" t="str">
        <x:v>2025-11-04 15:00:00-06:00</x:v>
      </x:c>
      <x:c r="BN517" s="8" t="str">
        <x:v>1</x:v>
      </x:c>
      <x:c r="BO517" s="6" t="str">
        <x:v>Immediate confirmation (1 bar)</x:v>
      </x:c>
      <x:c r="BP517" s="9" t="str">
        <x:v>0.04435397574326255</x:v>
      </x:c>
      <x:c r="BQ517" s="9" t="str">
        <x:v>0.8131562219598135</x:v>
      </x:c>
      <x:c r="BR517" s="10" t="str">
        <x:v>0.05454545454545454</x:v>
      </x:c>
      <x:c r="BS517" s="9" t="str">
        <x:v>0.11088493935815638</x:v>
      </x:c>
      <x:c r="BT517" s="9" t="str">
        <x:v>-0.0</x:v>
      </x:c>
      <x:c r="BU517" s="9" t="str">
        <x:v>0.399185781689363</x:v>
      </x:c>
      <x:c r="BV517" s="6" t="str">
        <x:v>With trade</x:v>
      </x:c>
      <x:c r="BW517" s="7" t="str">
        <x:v>2025-11-04 15:00:00-06:00</x:v>
      </x:c>
      <x:c r="BX517" s="6" t="str">
        <x:v>23655.25</x:v>
      </x:c>
      <x:c r="BY517" s="9" t="str">
        <x:v>33.81883979651706</x:v>
      </x:c>
      <x:c r="BZ517" s="9" t="str">
        <x:v>0.4</x:v>
      </x:c>
      <x:c r="CA517" s="6" t="str">
        <x:v>23705.978259694777</x:v>
      </x:c>
      <x:c r="CB517" s="6" t="str">
        <x:v>50.72825969477708</x:v>
      </x:c>
      <x:c r="CC517" s="9" t="str">
        <x:v>1.500000000000044</x:v>
      </x:c>
      <x:c r="CD517" s="6" t="str">
        <x:v>23553.79348061045</x:v>
      </x:c>
      <x:c r="CE517" s="6" t="str">
        <x:v>101.45651938955052</x:v>
      </x:c>
      <x:c r="CF517" s="6" t="str">
        <x:v>Fixed 2.00R target</x:v>
      </x:c>
      <x:c r="CG517" s="9" t="str">
        <x:v>0.01429183662838418</x:v>
      </x:c>
      <x:c r="CH517" s="9" t="str">
        <x:v>0.8525819781760469</x:v>
      </x:c>
      <x:c r="CI517" s="9" t="str">
        <x:v>0.8382901415476627</x:v>
      </x:c>
      <x:c r="CJ517" s="6" t="str">
        <x:v>Win</x:v>
      </x:c>
      <x:c r="CK517" s="9" t="str">
        <x:v>1.0891365154734152</x:v>
      </x:c>
      <x:c r="CL517" s="9" t="str">
        <x:v>0.23655453729739334</x:v>
      </x:c>
      <x:c r="CM517" s="7" t="str">
        <x:v>2025-11-04 17:00:00-06:00</x:v>
      </x:c>
      <x:c r="CN517" s="6" t="str">
        <x:v>23612.0</x:v>
      </x:c>
      <x:c r="CO517" s="6" t="str">
        <x:v>TIME</x:v>
      </x:c>
      <x:c r="CP517" s="6" t="str">
        <x:v>F::Short::Delayed BOS::Penetration + same-bar reclaim</x:v>
      </x:c>
    </x:row>
    <x:row r="518" ht="18" customHeight="1">
      <x:c r="A518" s="6" t="str">
        <x:v>A0517</x:v>
      </x:c>
      <x:c r="B518" s="6" t="str">
        <x:v>2025-11-06</x:v>
      </x:c>
      <x:c r="C518" s="6" t="str">
        <x:v>2025</x:v>
      </x:c>
      <x:c r="D518" s="6" t="str">
        <x:v>2025-Q4</x:v>
      </x:c>
      <x:c r="E518" s="6" t="str">
        <x:v>Second 50%</x:v>
      </x:c>
      <x:c r="F518" s="6" t="str">
        <x:v>Long</x:v>
      </x:c>
      <x:c r="G518" s="6" t="str">
        <x:v>Long</x:v>
      </x:c>
      <x:c r="H518" s="6" t="str">
        <x:v>Midday</x:v>
      </x:c>
      <x:c r="I518" s="6" t="str">
        <x:v>Midday</x:v>
      </x:c>
      <x:c r="J518" s="6" t="str">
        <x:v>Bear</x:v>
      </x:c>
      <x:c r="K518" s="6" t="str">
        <x:v>Bear</x:v>
      </x:c>
      <x:c r="L518" s="6" t="str">
        <x:v>MID</x:v>
      </x:c>
      <x:c r="M518" s="7" t="str">
        <x:v>2025-11-06 12:35:00-06:00</x:v>
      </x:c>
      <x:c r="N518" s="6" t="str">
        <x:v>85.0</x:v>
      </x:c>
      <x:c r="O518" s="6" t="str">
        <x:v>85-89</x:v>
      </x:c>
      <x:c r="P518" s="6" t="str">
        <x:v>Matching BOS only</x:v>
      </x:c>
      <x:c r="Q518" s="6" t="str">
        <x:v>Bull BOS</x:v>
      </x:c>
      <x:c r="R518" s="6" t="str">
        <x:v>True</x:v>
      </x:c>
      <x:c r="S518" s="6" t="str">
        <x:v>False</x:v>
      </x:c>
      <x:c r="T518" s="6" t="str">
        <x:v>Recent SSL</x:v>
      </x:c>
      <x:c r="U518" s="6" t="str">
        <x:v>SSL</x:v>
      </x:c>
      <x:c r="V518" s="6" t="str">
        <x:v>Swing low / sell-side</x:v>
      </x:c>
      <x:c r="W518" s="6" t="str">
        <x:v>[23278.5]</x:v>
      </x:c>
      <x:c r="X518" s="8" t="str">
        <x:v>1</x:v>
      </x:c>
      <x:c r="Y518" s="8" t="str">
        <x:v>14.0</x:v>
      </x:c>
      <x:c r="Z518" s="6" t="str">
        <x:v>None</x:v>
      </x:c>
      <x:c r="AA518" s="6" t="str">
        <x:v>23433.5</x:v>
      </x:c>
      <x:c r="AB518" s="9" t="str">
        <x:v>0.0553226260732388</x:v>
      </x:c>
      <x:c r="AC518" s="9" t="str">
        <x:v>0.45917779640788203</x:v>
      </x:c>
      <x:c r="AD518" s="9" t="str">
        <x:v>0.8796297545644969</x:v>
      </x:c>
      <x:c r="AE518" s="6" t="str">
        <x:v>With trade</x:v>
      </x:c>
      <x:c r="AF518" s="7" t="str">
        <x:v>2025-11-06 12:35:00-06:00</x:v>
      </x:c>
      <x:c r="AG518" s="6" t="str">
        <x:v>Long</x:v>
      </x:c>
      <x:c r="AH518" s="6" t="str">
        <x:v>23433.5</x:v>
      </x:c>
      <x:c r="AI518" s="8" t="str">
        <x:v>0</x:v>
      </x:c>
      <x:c r="AJ518" s="6" t="str">
        <x:v>True</x:v>
      </x:c>
      <x:c r="AK518" s="6" t="str">
        <x:v>Same-bar Setup+BOS</x:v>
      </x:c>
      <x:c r="AL518" s="9" t="str">
        <x:v>0.47024232162252977</x:v>
      </x:c>
      <x:c r="AM518" s="9" t="str">
        <x:v>0.0553226260732388</x:v>
      </x:c>
      <x:c r="AN518" s="9" t="str">
        <x:v>0.45917779640788203</x:v>
      </x:c>
      <x:c r="AO518" s="9" t="str">
        <x:v>0.8796297545644969</x:v>
      </x:c>
      <x:c r="AP518" s="10" t="str">
        <x:v>0.5220125786163522</x:v>
      </x:c>
      <x:c r="AQ518" s="6" t="str">
        <x:v>0.31446540880503143</x:v>
      </x:c>
      <x:c r="AR518" s="6" t="str">
        <x:v>0.16352201257861634</x:v>
      </x:c>
      <x:c r="AS518" s="6" t="str">
        <x:v>With trade</x:v>
      </x:c>
      <x:c r="AT518" s="6" t="str">
        <x:v>0.9425701776976565</x:v>
      </x:c>
      <x:c r="AU518" s="7" t="str">
        <x:v>2025-11-06 12:40:00-06:00</x:v>
      </x:c>
      <x:c r="AV518" s="8" t="str">
        <x:v>1</x:v>
      </x:c>
      <x:c r="AW518" s="6" t="str">
        <x:v>Immediate retest (1 bar)</x:v>
      </x:c>
      <x:c r="AX518" s="6" t="str">
        <x:v>23427.75</x:v>
      </x:c>
      <x:c r="AY518" s="6" t="str">
        <x:v>5.75</x:v>
      </x:c>
      <x:c r="AZ518" s="9" t="str">
        <x:v>0.13235493181713698</x:v>
      </x:c>
      <x:c r="BA518" s="9" t="str">
        <x:v>0.14961861857589398</x:v>
      </x:c>
      <x:c r="BB518" s="9" t="str">
        <x:v>0.4776286669922769</x:v>
      </x:c>
      <x:c r="BC518" s="9" t="str">
        <x:v>0.08056387154086599</x:v>
      </x:c>
      <x:c r="BD518" s="6" t="str">
        <x:v>0.40963855421686746</x:v>
      </x:c>
      <x:c r="BE518" s="6" t="str">
        <x:v>0.42168674698795183</x:v>
      </x:c>
      <x:c r="BF518" s="9" t="str">
        <x:v>0.20140967885216496</x:v>
      </x:c>
      <x:c r="BG518" s="9" t="str">
        <x:v>0.19565511659924598</x:v>
      </x:c>
      <x:c r="BH518" s="6" t="str">
        <x:v>With trade</x:v>
      </x:c>
      <x:c r="BI518" s="6" t="str">
        <x:v>Penetration + same-bar reclaim</x:v>
      </x:c>
      <x:c r="BJ518" s="6" t="str">
        <x:v>False</x:v>
      </x:c>
      <x:c r="BK518" s="10" t="str">
        <x:v>True</x:v>
      </x:c>
      <x:c r="BL518" s="6" t="str">
        <x:v>True</x:v>
      </x:c>
      <x:c r="BM518" s="7" t="str">
        <x:v>2025-11-06 12:50:00-06:00</x:v>
      </x:c>
      <x:c r="BN518" s="8" t="str">
        <x:v>2</x:v>
      </x:c>
      <x:c r="BO518" s="6" t="str">
        <x:v>Delayed confirmation (2+ bars)</x:v>
      </x:c>
      <x:c r="BP518" s="9" t="str">
        <x:v>0.07153284075850241</x:v>
      </x:c>
      <x:c r="BQ518" s="9" t="str">
        <x:v>0.6318734267001046</x:v>
      </x:c>
      <x:c r="BR518" s="10" t="str">
        <x:v>0.11320754716981132</x:v>
      </x:c>
      <x:c r="BS518" s="9" t="str">
        <x:v>0.03576642037925121</x:v>
      </x:c>
      <x:c r="BT518" s="9" t="str">
        <x:v>-0.11922140126417069</x:v>
      </x:c>
      <x:c r="BU518" s="9" t="str">
        <x:v>0.3993916942349718</x:v>
      </x:c>
      <x:c r="BV518" s="6" t="str">
        <x:v>With trade</x:v>
      </x:c>
      <x:c r="BW518" s="7" t="str">
        <x:v>2025-11-06 12:50:00-06:00</x:v>
      </x:c>
      <x:c r="BX518" s="6" t="str">
        <x:v>23435.0</x:v>
      </x:c>
      <x:c r="BY518" s="9" t="str">
        <x:v>41.938779002613835</x:v>
      </x:c>
      <x:c r="BZ518" s="9" t="str">
        <x:v>0.54</x:v>
      </x:c>
      <x:c r="CA518" s="6" t="str">
        <x:v>23372.09183149608</x:v>
      </x:c>
      <x:c r="CB518" s="6" t="str">
        <x:v>62.908168503920024</x:v>
      </x:c>
      <x:c r="CC518" s="9" t="str">
        <x:v>1.4999999999999827</x:v>
      </x:c>
      <x:c r="CD518" s="6" t="str">
        <x:v>23560.81633700784</x:v>
      </x:c>
      <x:c r="CE518" s="6" t="str">
        <x:v>125.81633700784005</x:v>
      </x:c>
      <x:c r="CF518" s="6" t="str">
        <x:v>Fixed 2.00R target</x:v>
      </x:c>
      <x:c r="CG518" s="9" t="str">
        <x:v>0.011524735455536632</x:v>
      </x:c>
      <x:c r="CH518" s="9" t="str">
        <x:v>0.3497161103749007</x:v>
      </x:c>
      <x:c r="CI518" s="9" t="str">
        <x:v>0.3381913749193641</x:v>
      </x:c>
      <x:c r="CJ518" s="6" t="str">
        <x:v>Win</x:v>
      </x:c>
      <x:c r="CK518" s="9" t="str">
        <x:v>1.2836170869442525</x:v>
      </x:c>
      <x:c r="CL518" s="9" t="str">
        <x:v>0.7908352950523414</x:v>
      </x:c>
      <x:c r="CM518" s="7" t="str">
        <x:v>2025-11-06 13:50:00-06:00</x:v>
      </x:c>
      <x:c r="CN518" s="6" t="str">
        <x:v>23457.0</x:v>
      </x:c>
      <x:c r="CO518" s="6" t="str">
        <x:v>TIME</x:v>
      </x:c>
      <x:c r="CP518" s="6" t="str">
        <x:v>F::Long::Same-bar Setup+BOS::Penetration + same-bar reclaim</x:v>
      </x:c>
    </x:row>
    <x:row r="519" ht="18" customHeight="1">
      <x:c r="A519" s="6" t="str">
        <x:v>A0518</x:v>
      </x:c>
      <x:c r="B519" s="6" t="str">
        <x:v>2025-11-07</x:v>
      </x:c>
      <x:c r="C519" s="6" t="str">
        <x:v>2025</x:v>
      </x:c>
      <x:c r="D519" s="6" t="str">
        <x:v>2025-Q4</x:v>
      </x:c>
      <x:c r="E519" s="6" t="str">
        <x:v>Second 50%</x:v>
      </x:c>
      <x:c r="F519" s="6" t="str">
        <x:v>Short</x:v>
      </x:c>
      <x:c r="G519" s="6" t="str">
        <x:v>Short</x:v>
      </x:c>
      <x:c r="H519" s="6" t="str">
        <x:v>Overnight</x:v>
      </x:c>
      <x:c r="I519" s="6" t="str">
        <x:v>Overnight</x:v>
      </x:c>
      <x:c r="J519" s="6" t="str">
        <x:v>Bear</x:v>
      </x:c>
      <x:c r="K519" s="6" t="str">
        <x:v>Bear</x:v>
      </x:c>
      <x:c r="L519" s="6" t="str">
        <x:v>LOW</x:v>
      </x:c>
      <x:c r="M519" s="7" t="str">
        <x:v>2025-11-07 02:25:00-06:00</x:v>
      </x:c>
      <x:c r="N519" s="6" t="str">
        <x:v>90.0</x:v>
      </x:c>
      <x:c r="O519" s="6" t="str">
        <x:v>90-94</x:v>
      </x:c>
      <x:c r="P519" s="6" t="str">
        <x:v>Matching BOS only</x:v>
      </x:c>
      <x:c r="Q519" s="6" t="str">
        <x:v>Bear CHoCH</x:v>
      </x:c>
      <x:c r="R519" s="6" t="str">
        <x:v>True</x:v>
      </x:c>
      <x:c r="S519" s="6" t="str">
        <x:v>False</x:v>
      </x:c>
      <x:c r="T519" s="6" t="str">
        <x:v>Recent BSL</x:v>
      </x:c>
      <x:c r="U519" s="6" t="str">
        <x:v>BSL</x:v>
      </x:c>
      <x:c r="V519" s="6" t="str">
        <x:v>Swing high / buy-side</x:v>
      </x:c>
      <x:c r="W519" s="6" t="str">
        <x:v>[23427.0,23426.25]</x:v>
      </x:c>
      <x:c r="X519" s="8" t="str">
        <x:v>2</x:v>
      </x:c>
      <x:c r="Y519" s="8" t="str">
        <x:v>4.0</x:v>
      </x:c>
      <x:c r="Z519" s="6" t="str">
        <x:v>None</x:v>
      </x:c>
      <x:c r="AA519" s="6" t="str">
        <x:v>23384.5</x:v>
      </x:c>
      <x:c r="AB519" s="9" t="str">
        <x:v>0.3050372265854426</x:v>
      </x:c>
      <x:c r="AC519" s="9" t="str">
        <x:v>1.2894755487475527</x:v>
      </x:c>
      <x:c r="AD519" s="9" t="str">
        <x:v>2.107529929135785</x:v>
      </x:c>
      <x:c r="AE519" s="6" t="str">
        <x:v>With trade</x:v>
      </x:c>
      <x:c r="AF519" s="7" t="str">
        <x:v>2025-11-07 02:25:00-06:00</x:v>
      </x:c>
      <x:c r="AG519" s="6" t="str">
        <x:v>Short</x:v>
      </x:c>
      <x:c r="AH519" s="6" t="str">
        <x:v>23384.5</x:v>
      </x:c>
      <x:c r="AI519" s="8" t="str">
        <x:v>0</x:v>
      </x:c>
      <x:c r="AJ519" s="6" t="str">
        <x:v>True</x:v>
      </x:c>
      <x:c r="AK519" s="6" t="str">
        <x:v>Same-bar Setup+BOS</x:v>
      </x:c>
      <x:c r="AL519" s="9" t="str">
        <x:v>1.2478795633040831</x:v>
      </x:c>
      <x:c r="AM519" s="9" t="str">
        <x:v>0.3050372265854426</x:v>
      </x:c>
      <x:c r="AN519" s="9" t="str">
        <x:v>1.2894755487475527</x:v>
      </x:c>
      <x:c r="AO519" s="9" t="str">
        <x:v>2.107529929135785</x:v>
      </x:c>
      <x:c r="AP519" s="10" t="str">
        <x:v>0.6118421052631579</x:v>
      </x:c>
      <x:c r="AQ519" s="6" t="str">
        <x:v>0.02631578947368421</x:v>
      </x:c>
      <x:c r="AR519" s="6" t="str">
        <x:v>0.3618421052631579</x:v>
      </x:c>
      <x:c r="AS519" s="6" t="str">
        <x:v>With trade</x:v>
      </x:c>
      <x:c r="AT519" s="6" t="str">
        <x:v>1.9411489957963568</x:v>
      </x:c>
      <x:c r="AU519" s="7" t="str">
        <x:v>2025-11-07 02:30:00-06:00</x:v>
      </x:c>
      <x:c r="AV519" s="8" t="str">
        <x:v>1</x:v>
      </x:c>
      <x:c r="AW519" s="6" t="str">
        <x:v>Immediate retest (1 bar)</x:v>
      </x:c>
      <x:c r="AX519" s="6" t="str">
        <x:v>23384.75</x:v>
      </x:c>
      <x:c r="AY519" s="6" t="str">
        <x:v>0.25</x:v>
      </x:c>
      <x:c r="AZ519" s="9" t="str">
        <x:v>0.013637375622492873</x:v>
      </x:c>
      <x:c r="BA519" s="9" t="str">
        <x:v>0.9273415423295154</x:v>
      </x:c>
      <x:c r="BB519" s="9" t="str">
        <x:v>1.2137264304018658</x:v>
      </x:c>
      <x:c r="BC519" s="9" t="str">
        <x:v>0.6000445273896865</x:v>
      </x:c>
      <x:c r="BD519" s="6" t="str">
        <x:v>0.2808988764044944</x:v>
      </x:c>
      <x:c r="BE519" s="6" t="str">
        <x:v>0.2247191011235955</x:v>
      </x:c>
      <x:c r="BF519" s="9" t="str">
        <x:v>0.34093439056232183</x:v>
      </x:c>
      <x:c r="BG519" s="9" t="str">
        <x:v>0.27274751244985745</x:v>
      </x:c>
      <x:c r="BH519" s="6" t="str">
        <x:v>With trade</x:v>
      </x:c>
      <x:c r="BI519" s="6" t="str">
        <x:v>Penetration + same-bar reclaim</x:v>
      </x:c>
      <x:c r="BJ519" s="6" t="str">
        <x:v>False</x:v>
      </x:c>
      <x:c r="BK519" s="10" t="str">
        <x:v>True</x:v>
      </x:c>
      <x:c r="BL519" s="6" t="str">
        <x:v>True</x:v>
      </x:c>
      <x:c r="BM519" s="7" t="str">
        <x:v>2025-11-07 02:35:00-06:00</x:v>
      </x:c>
      <x:c r="BN519" s="8" t="str">
        <x:v>1</x:v>
      </x:c>
      <x:c r="BO519" s="6" t="str">
        <x:v>Immediate confirmation (1 bar)</x:v>
      </x:c>
      <x:c r="BP519" s="9" t="str">
        <x:v>0.0401812907316832</x:v>
      </x:c>
      <x:c r="BQ519" s="9" t="str">
        <x:v>1.2322262491049514</x:v>
      </x:c>
      <x:c r="BR519" s="10" t="str">
        <x:v>0.03260869565217391</x:v>
      </x:c>
      <x:c r="BS519" s="9" t="str">
        <x:v>0.8572008689425749</x:v>
      </x:c>
      <x:c r="BT519" s="9" t="str">
        <x:v>-0.05357505430891093</x:v>
      </x:c>
      <x:c r="BU519" s="9" t="str">
        <x:v>0.1607251629267328</x:v>
      </x:c>
      <x:c r="BV519" s="6" t="str">
        <x:v>With trade</x:v>
      </x:c>
      <x:c r="BW519" s="7" t="str">
        <x:v>2025-11-07 02:35:00-06:00</x:v>
      </x:c>
      <x:c r="BX519" s="6" t="str">
        <x:v>23368.5</x:v>
      </x:c>
      <x:c r="BY519" s="9" t="str">
        <x:v>18.665403384083437</x:v>
      </x:c>
      <x:c r="BZ519" s="9" t="str">
        <x:v>0.31</x:v>
      </x:c>
      <x:c r="CA519" s="6" t="str">
        <x:v>23396.498105076123</x:v>
      </x:c>
      <x:c r="CB519" s="6" t="str">
        <x:v>27.998105076123466</x:v>
      </x:c>
      <x:c r="CC519" s="9" t="str">
        <x:v>1.4999999999999094</x:v>
      </x:c>
      <x:c r="CD519" s="6" t="str">
        <x:v>23312.50378984775</x:v>
      </x:c>
      <x:c r="CE519" s="6" t="str">
        <x:v>55.99621015225057</x:v>
      </x:c>
      <x:c r="CF519" s="6" t="str">
        <x:v>Fixed 2.00R target</x:v>
      </x:c>
      <x:c r="CG519" s="9" t="str">
        <x:v>0.025894609582641847</x:v>
      </x:c>
      <x:c r="CH519" s="9" t="str">
        <x:v>-1.0</x:v>
      </x:c>
      <x:c r="CI519" s="9" t="str">
        <x:v>-1.0258946095826418</x:v>
      </x:c>
      <x:c r="CJ519" s="6" t="str">
        <x:v>Loss</x:v>
      </x:c>
      <x:c r="CK519" s="9" t="str">
        <x:v>0.321450325853485</x:v>
      </x:c>
      <x:c r="CL519" s="9" t="str">
        <x:v>1.3304471820047017</x:v>
      </x:c>
      <x:c r="CM519" s="7" t="str">
        <x:v>2025-11-07 03:10:00-06:00</x:v>
      </x:c>
      <x:c r="CN519" s="6" t="str">
        <x:v>23396.498105076123</x:v>
      </x:c>
      <x:c r="CO519" s="6" t="str">
        <x:v>STOP</x:v>
      </x:c>
      <x:c r="CP519" s="6" t="str">
        <x:v>F::Short::Same-bar Setup+BOS::Penetration + same-bar reclaim</x:v>
      </x:c>
    </x:row>
    <x:row r="520" ht="18" customHeight="1">
      <x:c r="A520" s="6" t="str">
        <x:v>A0519</x:v>
      </x:c>
      <x:c r="B520" s="6" t="str">
        <x:v>2025-11-07</x:v>
      </x:c>
      <x:c r="C520" s="6" t="str">
        <x:v>2025</x:v>
      </x:c>
      <x:c r="D520" s="6" t="str">
        <x:v>2025-Q4</x:v>
      </x:c>
      <x:c r="E520" s="6" t="str">
        <x:v>Second 50%</x:v>
      </x:c>
      <x:c r="F520" s="6" t="str">
        <x:v>Short</x:v>
      </x:c>
      <x:c r="G520" s="6" t="str">
        <x:v>Short</x:v>
      </x:c>
      <x:c r="H520" s="6" t="str">
        <x:v>Overnight</x:v>
      </x:c>
      <x:c r="I520" s="6" t="str">
        <x:v>Overnight</x:v>
      </x:c>
      <x:c r="J520" s="6" t="str">
        <x:v>Bear</x:v>
      </x:c>
      <x:c r="K520" s="6" t="str">
        <x:v>Bear</x:v>
      </x:c>
      <x:c r="L520" s="6" t="str">
        <x:v>MID</x:v>
      </x:c>
      <x:c r="M520" s="7" t="str">
        <x:v>2025-11-07 03:30:00-06:00</x:v>
      </x:c>
      <x:c r="N520" s="6" t="str">
        <x:v>75.0</x:v>
      </x:c>
      <x:c r="O520" s="6" t="str">
        <x:v>75-79</x:v>
      </x:c>
      <x:c r="P520" s="6" t="str">
        <x:v>Matching BOS only</x:v>
      </x:c>
      <x:c r="Q520" s="6" t="str">
        <x:v>Bear BOS</x:v>
      </x:c>
      <x:c r="R520" s="6" t="str">
        <x:v>True</x:v>
      </x:c>
      <x:c r="S520" s="6" t="str">
        <x:v>False</x:v>
      </x:c>
      <x:c r="T520" s="6" t="str">
        <x:v>Recent BSL</x:v>
      </x:c>
      <x:c r="U520" s="6" t="str">
        <x:v>BSL</x:v>
      </x:c>
      <x:c r="V520" s="6" t="str">
        <x:v>Swing high / buy-side</x:v>
      </x:c>
      <x:c r="W520" s="6" t="str">
        <x:v>[23427.0,23426.25]</x:v>
      </x:c>
      <x:c r="X520" s="8" t="str">
        <x:v>2</x:v>
      </x:c>
      <x:c r="Y520" s="8" t="str">
        <x:v>17.0</x:v>
      </x:c>
      <x:c r="Z520" s="6" t="str">
        <x:v>None</x:v>
      </x:c>
      <x:c r="AA520" s="6" t="str">
        <x:v>23349.25</x:v>
      </x:c>
      <x:c r="AB520" s="9" t="str">
        <x:v>0.3778666287633041</x:v>
      </x:c>
      <x:c r="AC520" s="9" t="str">
        <x:v>0.6140332717403693</x:v>
      </x:c>
      <x:c r="AD520" s="9" t="str">
        <x:v>1.0037082326525266</x:v>
      </x:c>
      <x:c r="AE520" s="6" t="str">
        <x:v>With trade</x:v>
      </x:c>
      <x:c r="AF520" s="7" t="str">
        <x:v>2025-11-07 03:30:00-06:00</x:v>
      </x:c>
      <x:c r="AG520" s="6" t="str">
        <x:v>Short</x:v>
      </x:c>
      <x:c r="AH520" s="6" t="str">
        <x:v>23349.25</x:v>
      </x:c>
      <x:c r="AI520" s="8" t="str">
        <x:v>0</x:v>
      </x:c>
      <x:c r="AJ520" s="6" t="str">
        <x:v>True</x:v>
      </x:c>
      <x:c r="AK520" s="6" t="str">
        <x:v>Same-bar Setup+BOS</x:v>
      </x:c>
      <x:c r="AL520" s="9" t="str">
        <x:v>0.6140332717403693</x:v>
      </x:c>
      <x:c r="AM520" s="9" t="str">
        <x:v>0.3778666287633041</x:v>
      </x:c>
      <x:c r="AN520" s="9" t="str">
        <x:v>0.6140332717403693</x:v>
      </x:c>
      <x:c r="AO520" s="9" t="str">
        <x:v>1.0037082326525266</x:v>
      </x:c>
      <x:c r="AP520" s="10" t="str">
        <x:v>0.611764705882353</x:v>
      </x:c>
      <x:c r="AQ520" s="6" t="str">
        <x:v>0.29411764705882354</x:v>
      </x:c>
      <x:c r="AR520" s="6" t="str">
        <x:v>0.09411764705882353</x:v>
      </x:c>
      <x:c r="AS520" s="6" t="str">
        <x:v>With trade</x:v>
      </x:c>
      <x:c r="AT520" s="6" t="str">
        <x:v>1.0109972506873282</x:v>
      </x:c>
      <x:c r="AU520" s="7" t="str">
        <x:v>2025-11-07 03:35:00-06:00</x:v>
      </x:c>
      <x:c r="AV520" s="8" t="str">
        <x:v>1</x:v>
      </x:c>
      <x:c r="AW520" s="6" t="str">
        <x:v>Immediate retest (1 bar)</x:v>
      </x:c>
      <x:c r="AX520" s="6" t="str">
        <x:v>23348.75</x:v>
      </x:c>
      <x:c r="AY520" s="6" t="str">
        <x:v>0.0</x:v>
      </x:c>
      <x:c r="AZ520" s="9" t="str">
        <x:v>0.0</x:v>
      </x:c>
      <x:c r="BA520" s="9" t="str">
        <x:v>0.6512090418947155</x:v>
      </x:c>
      <x:c r="BB520" s="9" t="str">
        <x:v>0.7235656021052395</x:v>
      </x:c>
      <x:c r="BC520" s="9" t="str">
        <x:v>0.36178280105261973</x:v>
      </x:c>
      <x:c r="BD520" s="6" t="str">
        <x:v>0.36666666666666664</x:v>
      </x:c>
      <x:c r="BE520" s="6" t="str">
        <x:v>0.13333333333333333</x:v>
      </x:c>
      <x:c r="BF520" s="9" t="str">
        <x:v>0.26530738743858784</x:v>
      </x:c>
      <x:c r="BG520" s="9" t="str">
        <x:v>0.09647541361403193</x:v>
      </x:c>
      <x:c r="BH520" s="6" t="str">
        <x:v>With trade</x:v>
      </x:c>
      <x:c r="BI520" s="6" t="str">
        <x:v>Tolerance-only shallow touch</x:v>
      </x:c>
      <x:c r="BJ520" s="6" t="str">
        <x:v>True</x:v>
      </x:c>
      <x:c r="BK520" s="10" t="str">
        <x:v>False</x:v>
      </x:c>
      <x:c r="BL520" s="6" t="str">
        <x:v>True</x:v>
      </x:c>
      <x:c r="BM520" s="7" t="str">
        <x:v>2025-11-07 03:40:00-06:00</x:v>
      </x:c>
      <x:c r="BN520" s="8" t="str">
        <x:v>1</x:v>
      </x:c>
      <x:c r="BO520" s="6" t="str">
        <x:v>Immediate confirmation (1 bar)</x:v>
      </x:c>
      <x:c r="BP520" s="9" t="str">
        <x:v>0.036395309418531856</x:v>
      </x:c>
      <x:c r="BQ520" s="9" t="str">
        <x:v>0.9220145052694736</x:v>
      </x:c>
      <x:c r="BR520" s="10" t="str">
        <x:v>0.039473684210526314</x:v>
      </x:c>
      <x:c r="BS520" s="9" t="str">
        <x:v>0.6915108789521053</x:v>
      </x:c>
      <x:c r="BT520" s="9" t="str">
        <x:v>0.036395309418531856</x:v>
      </x:c>
      <x:c r="BU520" s="9" t="str">
        <x:v>0.2305036263173684</x:v>
      </x:c>
      <x:c r="BV520" s="6" t="str">
        <x:v>With trade</x:v>
      </x:c>
      <x:c r="BW520" s="7" t="str">
        <x:v>2025-11-07 03:40:00-06:00</x:v>
      </x:c>
      <x:c r="BX520" s="6" t="str">
        <x:v>23335.0</x:v>
      </x:c>
      <x:c r="BY520" s="9" t="str">
        <x:v>20.60705107285372</x:v>
      </x:c>
      <x:c r="BZ520" s="9" t="str">
        <x:v>0.48</x:v>
      </x:c>
      <x:c r="CA520" s="6" t="str">
        <x:v>23365.91057660928</x:v>
      </x:c>
      <x:c r="CB520" s="6" t="str">
        <x:v>30.910576609279815</x:v>
      </x:c>
      <x:c r="CC520" s="9" t="str">
        <x:v>1.4999999999999627</x:v>
      </x:c>
      <x:c r="CD520" s="6" t="str">
        <x:v>23273.17884678144</x:v>
      </x:c>
      <x:c r="CE520" s="6" t="str">
        <x:v>61.82115321855963</x:v>
      </x:c>
      <x:c r="CF520" s="6" t="str">
        <x:v>Fixed 2.00R target</x:v>
      </x:c>
      <x:c r="CG520" s="9" t="str">
        <x:v>0.023454754958609998</x:v>
      </x:c>
      <x:c r="CH520" s="9" t="str">
        <x:v>2.0</x:v>
      </x:c>
      <x:c r="CI520" s="9" t="str">
        <x:v>1.97654524504139</x:v>
      </x:c>
      <x:c r="CJ520" s="6" t="str">
        <x:v>Win</x:v>
      </x:c>
      <x:c r="CK520" s="9" t="str">
        <x:v>2.3292998027860965</x:v>
      </x:c>
      <x:c r="CL520" s="9" t="str">
        <x:v>0.6470277229961379</x:v>
      </x:c>
      <x:c r="CM520" s="7" t="str">
        <x:v>2025-11-07 04:20:00-06:00</x:v>
      </x:c>
      <x:c r="CN520" s="6" t="str">
        <x:v>23273.17884678144</x:v>
      </x:c>
      <x:c r="CO520" s="6" t="str">
        <x:v>TARGET</x:v>
      </x:c>
      <x:c r="CP520" s="6" t="str">
        <x:v>F::Short::Same-bar Setup+BOS::Tolerance-only shallow touch</x:v>
      </x:c>
    </x:row>
    <x:row r="521" ht="18" customHeight="1">
      <x:c r="A521" s="6" t="str">
        <x:v>A0520</x:v>
      </x:c>
      <x:c r="B521" s="6" t="str">
        <x:v>2025-11-10</x:v>
      </x:c>
      <x:c r="C521" s="6" t="str">
        <x:v>2025</x:v>
      </x:c>
      <x:c r="D521" s="6" t="str">
        <x:v>2025-Q4</x:v>
      </x:c>
      <x:c r="E521" s="6" t="str">
        <x:v>Second 50%</x:v>
      </x:c>
      <x:c r="F521" s="6" t="str">
        <x:v>Short</x:v>
      </x:c>
      <x:c r="G521" s="6" t="str">
        <x:v>Short</x:v>
      </x:c>
      <x:c r="H521" s="6" t="str">
        <x:v>Overnight</x:v>
      </x:c>
      <x:c r="I521" s="6" t="str">
        <x:v>Overnight</x:v>
      </x:c>
      <x:c r="J521" s="6" t="str">
        <x:v>Bull</x:v>
      </x:c>
      <x:c r="K521" s="6" t="str">
        <x:v>Bull</x:v>
      </x:c>
      <x:c r="L521" s="6" t="str">
        <x:v>LOW</x:v>
      </x:c>
      <x:c r="M521" s="7" t="str">
        <x:v>2025-11-10 22:15:00-06:00</x:v>
      </x:c>
      <x:c r="N521" s="6" t="str">
        <x:v>90.0</x:v>
      </x:c>
      <x:c r="O521" s="6" t="str">
        <x:v>90-94</x:v>
      </x:c>
      <x:c r="P521" s="6" t="str">
        <x:v>Matching BOS only</x:v>
      </x:c>
      <x:c r="Q521" s="6" t="str">
        <x:v>Bear BOS</x:v>
      </x:c>
      <x:c r="R521" s="6" t="str">
        <x:v>True</x:v>
      </x:c>
      <x:c r="S521" s="6" t="str">
        <x:v>False</x:v>
      </x:c>
      <x:c r="T521" s="6" t="str">
        <x:v>Recent BSL</x:v>
      </x:c>
      <x:c r="U521" s="6" t="str">
        <x:v>BSL</x:v>
      </x:c>
      <x:c r="V521" s="6" t="str">
        <x:v>Swing high / buy-side</x:v>
      </x:c>
      <x:c r="W521" s="6" t="str">
        <x:v>[23829.0]</x:v>
      </x:c>
      <x:c r="X521" s="8" t="str">
        <x:v>1</x:v>
      </x:c>
      <x:c r="Y521" s="8" t="str">
        <x:v>19.0</x:v>
      </x:c>
      <x:c r="Z521" s="6" t="str">
        <x:v>None</x:v>
      </x:c>
      <x:c r="AA521" s="6" t="str">
        <x:v>23794.5</x:v>
      </x:c>
      <x:c r="AB521" s="9" t="str">
        <x:v>0.2701727027322981</x:v>
      </x:c>
      <x:c r="AC521" s="9" t="str">
        <x:v>0.5819104366541805</x:v>
      </x:c>
      <x:c r="AD521" s="9" t="str">
        <x:v>0.9144306861708551</x:v>
      </x:c>
      <x:c r="AE521" s="6" t="str">
        <x:v>With trade</x:v>
      </x:c>
      <x:c r="AF521" s="7" t="str">
        <x:v>2025-11-10 22:15:00-06:00</x:v>
      </x:c>
      <x:c r="AG521" s="6" t="str">
        <x:v>Short</x:v>
      </x:c>
      <x:c r="AH521" s="6" t="str">
        <x:v>23794.5</x:v>
      </x:c>
      <x:c r="AI521" s="8" t="str">
        <x:v>0</x:v>
      </x:c>
      <x:c r="AJ521" s="6" t="str">
        <x:v>True</x:v>
      </x:c>
      <x:c r="AK521" s="6" t="str">
        <x:v>Same-bar Setup+BOS</x:v>
      </x:c>
      <x:c r="AL521" s="9" t="str">
        <x:v>0.5819104366541805</x:v>
      </x:c>
      <x:c r="AM521" s="9" t="str">
        <x:v>0.2701727027322981</x:v>
      </x:c>
      <x:c r="AN521" s="9" t="str">
        <x:v>0.5819104366541805</x:v>
      </x:c>
      <x:c r="AO521" s="9" t="str">
        <x:v>0.9144306861708551</x:v>
      </x:c>
      <x:c r="AP521" s="10" t="str">
        <x:v>0.6363636363636364</x:v>
      </x:c>
      <x:c r="AQ521" s="6" t="str">
        <x:v>0.36363636363636365</x:v>
      </x:c>
      <x:c r="AR521" s="6" t="str">
        <x:v>0.0</x:v>
      </x:c>
      <x:c r="AS521" s="6" t="str">
        <x:v>With trade</x:v>
      </x:c>
      <x:c r="AT521" s="6" t="str">
        <x:v>0.9961216574811187</x:v>
      </x:c>
      <x:c r="AU521" s="7" t="str">
        <x:v>2025-11-10 22:20:00-06:00</x:v>
      </x:c>
      <x:c r="AV521" s="8" t="str">
        <x:v>1</x:v>
      </x:c>
      <x:c r="AW521" s="6" t="str">
        <x:v>Immediate retest (1 bar)</x:v>
      </x:c>
      <x:c r="AX521" s="6" t="str">
        <x:v>23799.0</x:v>
      </x:c>
      <x:c r="AY521" s="6" t="str">
        <x:v>4.5</x:v>
      </x:c>
      <x:c r="AZ521" s="9" t="str">
        <x:v>0.37470680600333744</x:v>
      </x:c>
      <x:c r="BA521" s="9" t="str">
        <x:v>0.12490226866777915</x:v>
      </x:c>
      <x:c r="BB521" s="9" t="str">
        <x:v>0.97840110456427</x:v>
      </x:c>
      <x:c r="BC521" s="9" t="str">
        <x:v>0.08326817911185276</x:v>
      </x:c>
      <x:c r="BD521" s="6" t="str">
        <x:v>0.5106382978723404</x:v>
      </x:c>
      <x:c r="BE521" s="6" t="str">
        <x:v>0.40425531914893614</x:v>
      </x:c>
      <x:c r="BF521" s="9" t="str">
        <x:v>0.4996090746711166</x:v>
      </x:c>
      <x:c r="BG521" s="9" t="str">
        <x:v>0.3955238507813006</x:v>
      </x:c>
      <x:c r="BH521" s="6" t="str">
        <x:v>Against trade</x:v>
      </x:c>
      <x:c r="BI521" s="6" t="str">
        <x:v>Penetration + same-bar reclaim</x:v>
      </x:c>
      <x:c r="BJ521" s="6" t="str">
        <x:v>False</x:v>
      </x:c>
      <x:c r="BK521" s="10" t="str">
        <x:v>True</x:v>
      </x:c>
      <x:c r="BL521" s="6" t="str">
        <x:v>True</x:v>
      </x:c>
      <x:c r="BM521" s="7" t="str">
        <x:v>2025-11-10 22:25:00-06:00</x:v>
      </x:c>
      <x:c r="BN521" s="8" t="str">
        <x:v>1</x:v>
      </x:c>
      <x:c r="BO521" s="6" t="str">
        <x:v>Immediate confirmation (1 bar)</x:v>
      </x:c>
      <x:c r="BP521" s="9" t="str">
        <x:v>0.08530236366136808</x:v>
      </x:c>
      <x:c r="BQ521" s="9" t="str">
        <x:v>0.6824189092909446</x:v>
      </x:c>
      <x:c r="BR521" s="10" t="str">
        <x:v>0.125</x:v>
      </x:c>
      <x:c r="BS521" s="9" t="str">
        <x:v>0.19193031823807818</x:v>
      </x:c>
      <x:c r="BT521" s="9" t="str">
        <x:v>0.06397677274602606</x:v>
      </x:c>
      <x:c r="BU521" s="9" t="str">
        <x:v>0.06397677274602606</x:v>
      </x:c>
      <x:c r="BV521" s="6" t="str">
        <x:v>With trade</x:v>
      </x:c>
      <x:c r="BW521" s="7" t="str">
        <x:v>2025-11-10 22:25:00-06:00</x:v>
      </x:c>
      <x:c r="BX521" s="6" t="str">
        <x:v>23792.25</x:v>
      </x:c>
      <x:c r="BY521" s="9" t="str">
        <x:v>11.723004581324188</x:v>
      </x:c>
      <x:c r="BZ521" s="9" t="str">
        <x:v>0.0</x:v>
      </x:c>
      <x:c r="CA521" s="6" t="str">
        <x:v>23809.834506871986</x:v>
      </x:c>
      <x:c r="CB521" s="6" t="str">
        <x:v>17.584506871986378</x:v>
      </x:c>
      <x:c r="CC521" s="9" t="str">
        <x:v>1.5000000000000082</x:v>
      </x:c>
      <x:c r="CD521" s="6" t="str">
        <x:v>23757.080986256027</x:v>
      </x:c>
      <x:c r="CE521" s="6" t="str">
        <x:v>35.169013743972755</x:v>
      </x:c>
      <x:c r="CF521" s="6" t="str">
        <x:v>Fixed 2.00R target</x:v>
      </x:c>
      <x:c r="CG521" s="9" t="str">
        <x:v>0.04122947576966102</x:v>
      </x:c>
      <x:c r="CH521" s="9" t="str">
        <x:v>2.0</x:v>
      </x:c>
      <x:c r="CI521" s="9" t="str">
        <x:v>1.958770524230339</x:v>
      </x:c>
      <x:c r="CJ521" s="6" t="str">
        <x:v>Win</x:v>
      </x:c>
      <x:c r="CK521" s="9" t="str">
        <x:v>2.8291950614353594</x:v>
      </x:c>
      <x:c r="CL521" s="9" t="str">
        <x:v>0.5686824244091174</x:v>
      </x:c>
      <x:c r="CM521" s="7" t="str">
        <x:v>2025-11-10 23:05:00-06:00</x:v>
      </x:c>
      <x:c r="CN521" s="6" t="str">
        <x:v>23757.080986256027</x:v>
      </x:c>
      <x:c r="CO521" s="6" t="str">
        <x:v>TARGET</x:v>
      </x:c>
      <x:c r="CP521" s="6" t="str">
        <x:v>F::Short::Same-bar Setup+BOS::Penetration + same-bar reclaim</x:v>
      </x:c>
    </x:row>
    <x:row r="522" ht="18" customHeight="1">
      <x:c r="A522" s="6" t="str">
        <x:v>A0521</x:v>
      </x:c>
      <x:c r="B522" s="6" t="str">
        <x:v>2025-11-11</x:v>
      </x:c>
      <x:c r="C522" s="6" t="str">
        <x:v>2025</x:v>
      </x:c>
      <x:c r="D522" s="6" t="str">
        <x:v>2025-Q4</x:v>
      </x:c>
      <x:c r="E522" s="6" t="str">
        <x:v>Second 50%</x:v>
      </x:c>
      <x:c r="F522" s="6" t="str">
        <x:v>Long</x:v>
      </x:c>
      <x:c r="G522" s="6" t="str">
        <x:v>Long</x:v>
      </x:c>
      <x:c r="H522" s="6" t="str">
        <x:v>Overnight</x:v>
      </x:c>
      <x:c r="I522" s="6" t="str">
        <x:v>Overnight</x:v>
      </x:c>
      <x:c r="J522" s="6" t="str">
        <x:v>Bull</x:v>
      </x:c>
      <x:c r="K522" s="6" t="str">
        <x:v>Bull</x:v>
      </x:c>
      <x:c r="L522" s="6" t="str">
        <x:v>LOW</x:v>
      </x:c>
      <x:c r="M522" s="7" t="str">
        <x:v>2025-11-11 23:35:00-06:00</x:v>
      </x:c>
      <x:c r="N522" s="6" t="str">
        <x:v>90.0</x:v>
      </x:c>
      <x:c r="O522" s="6" t="str">
        <x:v>90-94</x:v>
      </x:c>
      <x:c r="P522" s="6" t="str">
        <x:v>Matching BOS only</x:v>
      </x:c>
      <x:c r="Q522" s="6" t="str">
        <x:v>Bull CHoCH</x:v>
      </x:c>
      <x:c r="R522" s="6" t="str">
        <x:v>True</x:v>
      </x:c>
      <x:c r="S522" s="6" t="str">
        <x:v>False</x:v>
      </x:c>
      <x:c r="T522" s="6" t="str">
        <x:v>Recent SSL</x:v>
      </x:c>
      <x:c r="U522" s="6" t="str">
        <x:v>SSL</x:v>
      </x:c>
      <x:c r="V522" s="6" t="str">
        <x:v>Equal low / sell-side | Swing low / sell-side</x:v>
      </x:c>
      <x:c r="W522" s="6" t="str">
        <x:v>[23785.75,23786.75]</x:v>
      </x:c>
      <x:c r="X522" s="8" t="str">
        <x:v>2</x:v>
      </x:c>
      <x:c r="Y522" s="8" t="str">
        <x:v>16.0</x:v>
      </x:c>
      <x:c r="Z522" s="6" t="str">
        <x:v>None</x:v>
      </x:c>
      <x:c r="AA522" s="6" t="str">
        <x:v>23811.75</x:v>
      </x:c>
      <x:c r="AB522" s="9" t="str">
        <x:v>0.024478095682215845</x:v>
      </x:c>
      <x:c r="AC522" s="9" t="str">
        <x:v>0.783299061830907</x:v>
      </x:c>
      <x:c r="AD522" s="9" t="str">
        <x:v>1.1749485927463605</x:v>
      </x:c>
      <x:c r="AE522" s="6" t="str">
        <x:v>With trade</x:v>
      </x:c>
      <x:c r="AF522" s="7" t="str">
        <x:v>2025-11-11 23:35:00-06:00</x:v>
      </x:c>
      <x:c r="AG522" s="6" t="str">
        <x:v>Long</x:v>
      </x:c>
      <x:c r="AH522" s="6" t="str">
        <x:v>23811.75</x:v>
      </x:c>
      <x:c r="AI522" s="8" t="str">
        <x:v>0</x:v>
      </x:c>
      <x:c r="AJ522" s="6" t="str">
        <x:v>True</x:v>
      </x:c>
      <x:c r="AK522" s="6" t="str">
        <x:v>Same-bar Setup+BOS</x:v>
      </x:c>
      <x:c r="AL522" s="9" t="str">
        <x:v>0.7098647747842595</x:v>
      </x:c>
      <x:c r="AM522" s="9" t="str">
        <x:v>0.024478095682215845</x:v>
      </x:c>
      <x:c r="AN522" s="9" t="str">
        <x:v>0.783299061830907</x:v>
      </x:c>
      <x:c r="AO522" s="9" t="str">
        <x:v>1.1749485927463605</x:v>
      </x:c>
      <x:c r="AP522" s="10" t="str">
        <x:v>0.6666666666666666</x:v>
      </x:c>
      <x:c r="AQ522" s="6" t="str">
        <x:v>0.2916666666666667</x:v>
      </x:c>
      <x:c r="AR522" s="6" t="str">
        <x:v>0.041666666666666664</x:v>
      </x:c>
      <x:c r="AS522" s="6" t="str">
        <x:v>With trade</x:v>
      </x:c>
      <x:c r="AT522" s="6" t="str">
        <x:v>1.2403669724770643</x:v>
      </x:c>
      <x:c r="AU522" s="7" t="str">
        <x:v>2025-11-11 23:40:00-06:00</x:v>
      </x:c>
      <x:c r="AV522" s="8" t="str">
        <x:v>1</x:v>
      </x:c>
      <x:c r="AW522" s="6" t="str">
        <x:v>Immediate retest (1 bar)</x:v>
      </x:c>
      <x:c r="AX522" s="6" t="str">
        <x:v>23809.75</x:v>
      </x:c>
      <x:c r="AY522" s="6" t="str">
        <x:v>2.0</x:v>
      </x:c>
      <x:c r="AZ522" s="9" t="str">
        <x:v>0.19077238559628812</x:v>
      </x:c>
      <x:c r="BA522" s="9" t="str">
        <x:v>0.9538619279814406</x:v>
      </x:c>
      <x:c r="BB522" s="9" t="str">
        <x:v>1.3354066991740168</x:v>
      </x:c>
      <x:c r="BC522" s="9" t="str">
        <x:v>0.8823222833828326</x:v>
      </x:c>
      <x:c r="BD522" s="6" t="str">
        <x:v>0.14285714285714285</x:v>
      </x:c>
      <x:c r="BE522" s="6" t="str">
        <x:v>0.19642857142857142</x:v>
      </x:c>
      <x:c r="BF522" s="9" t="str">
        <x:v>0.2623120301948962</x:v>
      </x:c>
      <x:c r="BG522" s="9" t="str">
        <x:v>0.19077238559628812</x:v>
      </x:c>
      <x:c r="BH522" s="6" t="str">
        <x:v>With trade</x:v>
      </x:c>
      <x:c r="BI522" s="6" t="str">
        <x:v>Penetration + same-bar reclaim</x:v>
      </x:c>
      <x:c r="BJ522" s="6" t="str">
        <x:v>False</x:v>
      </x:c>
      <x:c r="BK522" s="10" t="str">
        <x:v>True</x:v>
      </x:c>
      <x:c r="BL522" s="6" t="str">
        <x:v>True</x:v>
      </x:c>
      <x:c r="BM522" s="7" t="str">
        <x:v>2025-11-11 23:45:00-06:00</x:v>
      </x:c>
      <x:c r="BN522" s="8" t="str">
        <x:v>1</x:v>
      </x:c>
      <x:c r="BO522" s="6" t="str">
        <x:v>Immediate confirmation (1 bar)</x:v>
      </x:c>
      <x:c r="BP522" s="9" t="str">
        <x:v>0.6687681968863154</x:v>
      </x:c>
      <x:c r="BQ522" s="9" t="str">
        <x:v>0.9792677168692475</x:v>
      </x:c>
      <x:c r="BR522" s="10" t="str">
        <x:v>0.6829268292682927</x:v>
      </x:c>
      <x:c r="BS522" s="9" t="str">
        <x:v>1.7196896491362397</x:v>
      </x:c>
      <x:c r="BT522" s="9" t="str">
        <x:v>0.7643065107272177</x:v>
      </x:c>
      <x:c r="BU522" s="9" t="str">
        <x:v>0.09553831384090221</x:v>
      </x:c>
      <x:c r="BV522" s="6" t="str">
        <x:v>With trade</x:v>
      </x:c>
      <x:c r="BW522" s="7" t="str">
        <x:v>2025-11-11 23:45:00-06:00</x:v>
      </x:c>
      <x:c r="BX522" s="6" t="str">
        <x:v>23829.75</x:v>
      </x:c>
      <x:c r="BY522" s="9" t="str">
        <x:v>10.467004909310807</x:v>
      </x:c>
      <x:c r="BZ522" s="9" t="str">
        <x:v>0.05</x:v>
      </x:c>
      <x:c r="CA522" s="6" t="str">
        <x:v>23814.049492636033</x:v>
      </x:c>
      <x:c r="CB522" s="6" t="str">
        <x:v>15.700507363966608</x:v>
      </x:c>
      <x:c r="CC522" s="9" t="str">
        <x:v>1.500000000000038</x:v>
      </x:c>
      <x:c r="CD522" s="6" t="str">
        <x:v>23861.151014727933</x:v>
      </x:c>
      <x:c r="CE522" s="6" t="str">
        <x:v>31.401014727933216</x:v>
      </x:c>
      <x:c r="CF522" s="6" t="str">
        <x:v>Fixed 2.00R target</x:v>
      </x:c>
      <x:c r="CG522" s="9" t="str">
        <x:v>0.046176851689768234</x:v>
      </x:c>
      <x:c r="CH522" s="9" t="str">
        <x:v>1.1305367137840094</x:v>
      </x:c>
      <x:c r="CI522" s="9" t="str">
        <x:v>1.0843598620942412</x:v>
      </x:c>
      <x:c r="CJ522" s="6" t="str">
        <x:v>Win</x:v>
      </x:c>
      <x:c r="CK522" s="9" t="str">
        <x:v>1.46492081222713</x:v>
      </x:c>
      <x:c r="CL522" s="9" t="str">
        <x:v>0.7802295630340149</x:v>
      </x:c>
      <x:c r="CM522" s="7" t="str">
        <x:v>2025-11-12 00:45:00-06:00</x:v>
      </x:c>
      <x:c r="CN522" s="6" t="str">
        <x:v>23847.5</x:v>
      </x:c>
      <x:c r="CO522" s="6" t="str">
        <x:v>TIME</x:v>
      </x:c>
      <x:c r="CP522" s="6" t="str">
        <x:v>F::Long::Same-bar Setup+BOS::Penetration + same-bar reclaim</x:v>
      </x:c>
    </x:row>
    <x:row r="523" ht="18" customHeight="1">
      <x:c r="A523" s="6" t="str">
        <x:v>A0522</x:v>
      </x:c>
      <x:c r="B523" s="6" t="str">
        <x:v>2025-11-13</x:v>
      </x:c>
      <x:c r="C523" s="6" t="str">
        <x:v>2025</x:v>
      </x:c>
      <x:c r="D523" s="6" t="str">
        <x:v>2025-Q4</x:v>
      </x:c>
      <x:c r="E523" s="6" t="str">
        <x:v>Second 50%</x:v>
      </x:c>
      <x:c r="F523" s="6" t="str">
        <x:v>Long</x:v>
      </x:c>
      <x:c r="G523" s="6" t="str">
        <x:v>Long</x:v>
      </x:c>
      <x:c r="H523" s="6" t="str">
        <x:v>Afternoon</x:v>
      </x:c>
      <x:c r="I523" s="6" t="str">
        <x:v>Afternoon</x:v>
      </x:c>
      <x:c r="J523" s="6" t="str">
        <x:v>Bear</x:v>
      </x:c>
      <x:c r="K523" s="6" t="str">
        <x:v>Bear</x:v>
      </x:c>
      <x:c r="L523" s="6" t="str">
        <x:v>MID</x:v>
      </x:c>
      <x:c r="M523" s="7" t="str">
        <x:v>2025-11-13 15:00:00-06:00</x:v>
      </x:c>
      <x:c r="N523" s="6" t="str">
        <x:v>85.0</x:v>
      </x:c>
      <x:c r="O523" s="6" t="str">
        <x:v>85-89</x:v>
      </x:c>
      <x:c r="P523" s="6" t="str">
        <x:v>Matching BOS only</x:v>
      </x:c>
      <x:c r="Q523" s="6" t="str">
        <x:v>Bull CHoCH</x:v>
      </x:c>
      <x:c r="R523" s="6" t="str">
        <x:v>True</x:v>
      </x:c>
      <x:c r="S523" s="6" t="str">
        <x:v>False</x:v>
      </x:c>
      <x:c r="T523" s="6" t="str">
        <x:v>Recent SSL</x:v>
      </x:c>
      <x:c r="U523" s="6" t="str">
        <x:v>SSL</x:v>
      </x:c>
      <x:c r="V523" s="6" t="str">
        <x:v>Swing low / sell-side</x:v>
      </x:c>
      <x:c r="W523" s="6" t="str">
        <x:v>[23090.0,23095.25]</x:v>
      </x:c>
      <x:c r="X523" s="8" t="str">
        <x:v>2</x:v>
      </x:c>
      <x:c r="Y523" s="8" t="str">
        <x:v>13.0</x:v>
      </x:c>
      <x:c r="Z523" s="6" t="str">
        <x:v>None</x:v>
      </x:c>
      <x:c r="AA523" s="6" t="str">
        <x:v>23209.75</x:v>
      </x:c>
      <x:c r="AB523" s="9" t="str">
        <x:v>0.06069998450598308</x:v>
      </x:c>
      <x:c r="AC523" s="9" t="str">
        <x:v>0.7081664859031359</x:v>
      </x:c>
      <x:c r="AD523" s="9" t="str">
        <x:v>1.1482413735715131</x:v>
      </x:c>
      <x:c r="AE523" s="6" t="str">
        <x:v>With trade</x:v>
      </x:c>
      <x:c r="AF523" s="7" t="str">
        <x:v>2025-11-13 15:00:00-06:00</x:v>
      </x:c>
      <x:c r="AG523" s="6" t="str">
        <x:v>Long</x:v>
      </x:c>
      <x:c r="AH523" s="6" t="str">
        <x:v>23209.75</x:v>
      </x:c>
      <x:c r="AI523" s="8" t="str">
        <x:v>0</x:v>
      </x:c>
      <x:c r="AJ523" s="6" t="str">
        <x:v>True</x:v>
      </x:c>
      <x:c r="AK523" s="6" t="str">
        <x:v>Same-bar Setup+BOS</x:v>
      </x:c>
      <x:c r="AL523" s="9" t="str">
        <x:v>0.7182831499874665</x:v>
      </x:c>
      <x:c r="AM523" s="9" t="str">
        <x:v>0.06069998450598308</x:v>
      </x:c>
      <x:c r="AN523" s="9" t="str">
        <x:v>0.7081664859031359</x:v>
      </x:c>
      <x:c r="AO523" s="9" t="str">
        <x:v>1.1482413735715131</x:v>
      </x:c>
      <x:c r="AP523" s="10" t="str">
        <x:v>0.6167400881057269</x:v>
      </x:c>
      <x:c r="AQ523" s="6" t="str">
        <x:v>0.2555066079295154</x:v>
      </x:c>
      <x:c r="AR523" s="6" t="str">
        <x:v>0.1277533039647577</x:v>
      </x:c>
      <x:c r="AS523" s="6" t="str">
        <x:v>With trade</x:v>
      </x:c>
      <x:c r="AT523" s="6" t="str">
        <x:v>1.4857354028085736</x:v>
      </x:c>
      <x:c r="AU523" s="7" t="str">
        <x:v>2025-11-13 15:05:00-06:00</x:v>
      </x:c>
      <x:c r="AV523" s="8" t="str">
        <x:v>1</x:v>
      </x:c>
      <x:c r="AW523" s="6" t="str">
        <x:v>Immediate retest (1 bar)</x:v>
      </x:c>
      <x:c r="AX523" s="6" t="str">
        <x:v>23207.5</x:v>
      </x:c>
      <x:c r="AY523" s="6" t="str">
        <x:v>2.25</x:v>
      </x:c>
      <x:c r="AZ523" s="9" t="str">
        <x:v>0.04735031524485699</x:v>
      </x:c>
      <x:c r="BA523" s="9" t="str">
        <x:v>0.41563054492707807</x:v>
      </x:c>
      <x:c r="BB523" s="9" t="str">
        <x:v>0.4787642985868874</x:v>
      </x:c>
      <x:c r="BC523" s="9" t="str">
        <x:v>0.3367133528523164</x:v>
      </x:c>
      <x:c r="BD523" s="6" t="str">
        <x:v>0.03296703296703297</x:v>
      </x:c>
      <x:c r="BE523" s="6" t="str">
        <x:v>0.26373626373626374</x:v>
      </x:c>
      <x:c r="BF523" s="9" t="str">
        <x:v>0.12626750731961867</x:v>
      </x:c>
      <x:c r="BG523" s="9" t="str">
        <x:v>0.015783438414952333</x:v>
      </x:c>
      <x:c r="BH523" s="6" t="str">
        <x:v>With trade</x:v>
      </x:c>
      <x:c r="BI523" s="6" t="str">
        <x:v>Penetration + same-bar reclaim</x:v>
      </x:c>
      <x:c r="BJ523" s="6" t="str">
        <x:v>False</x:v>
      </x:c>
      <x:c r="BK523" s="10" t="str">
        <x:v>True</x:v>
      </x:c>
      <x:c r="BL523" s="6" t="str">
        <x:v>True</x:v>
      </x:c>
      <x:c r="BM523" s="7" t="str">
        <x:v>2025-11-13 15:10:00-06:00</x:v>
      </x:c>
      <x:c r="BN523" s="8" t="str">
        <x:v>1</x:v>
      </x:c>
      <x:c r="BO523" s="6" t="str">
        <x:v>Immediate confirmation (1 bar)</x:v>
      </x:c>
      <x:c r="BP523" s="9" t="str">
        <x:v>0.09315270919642278</x:v>
      </x:c>
      <x:c r="BQ523" s="9" t="str">
        <x:v>0.46028397485291256</x:v>
      </x:c>
      <x:c r="BR523" s="10" t="str">
        <x:v>0.20238095238095238</x:v>
      </x:c>
      <x:c r="BS523" s="9" t="str">
        <x:v>0.5205592572741273</x:v>
      </x:c>
      <x:c r="BT523" s="9" t="str">
        <x:v>0.08767313806722143</x:v>
      </x:c>
      <x:c r="BU523" s="9" t="str">
        <x:v>0.3671312656564898</x:v>
      </x:c>
      <x:c r="BV523" s="6" t="str">
        <x:v>With trade</x:v>
      </x:c>
      <x:c r="BW523" s="7" t="str">
        <x:v>2025-11-13 15:10:00-06:00</x:v>
      </x:c>
      <x:c r="BX523" s="6" t="str">
        <x:v>23233.5</x:v>
      </x:c>
      <x:c r="BY523" s="9" t="str">
        <x:v>45.62400854105494</x:v>
      </x:c>
      <x:c r="BZ523" s="9" t="str">
        <x:v>0.59</x:v>
      </x:c>
      <x:c r="CA523" s="6" t="str">
        <x:v>23165.063987188416</x:v>
      </x:c>
      <x:c r="CB523" s="6" t="str">
        <x:v>68.43601281158408</x:v>
      </x:c>
      <x:c r="CC523" s="9" t="str">
        <x:v>1.5000000000000364</x:v>
      </x:c>
      <x:c r="CD523" s="6" t="str">
        <x:v>23370.372025623165</x:v>
      </x:c>
      <x:c r="CE523" s="6" t="str">
        <x:v>136.87202562316452</x:v>
      </x:c>
      <x:c r="CF523" s="6" t="str">
        <x:v>Fixed 2.00R target</x:v>
      </x:c>
      <x:c r="CG523" s="9" t="str">
        <x:v>0.010593837516455666</x:v>
      </x:c>
      <x:c r="CH523" s="9" t="str">
        <x:v>-1.0</x:v>
      </x:c>
      <x:c r="CI523" s="9" t="str">
        <x:v>-1.0105938375164556</x:v>
      </x:c>
      <x:c r="CJ523" s="6" t="str">
        <x:v>Loss</x:v>
      </x:c>
      <x:c r="CK523" s="9" t="str">
        <x:v>0.15708103903710124</x:v>
      </x:c>
      <x:c r="CL523" s="9" t="str">
        <x:v>1.0192002300314245</x:v>
      </x:c>
      <x:c r="CM523" s="7" t="str">
        <x:v>2025-11-13 15:45:00-06:00</x:v>
      </x:c>
      <x:c r="CN523" s="6" t="str">
        <x:v>23165.063987188416</x:v>
      </x:c>
      <x:c r="CO523" s="6" t="str">
        <x:v>STOP</x:v>
      </x:c>
      <x:c r="CP523" s="6" t="str">
        <x:v>F::Long::Same-bar Setup+BOS::Penetration + same-bar reclaim</x:v>
      </x:c>
    </x:row>
    <x:row r="524" ht="18" customHeight="1">
      <x:c r="A524" s="6" t="str">
        <x:v>A0523</x:v>
      </x:c>
      <x:c r="B524" s="6" t="str">
        <x:v>2025-11-13</x:v>
      </x:c>
      <x:c r="C524" s="6" t="str">
        <x:v>2025</x:v>
      </x:c>
      <x:c r="D524" s="6" t="str">
        <x:v>2025-Q4</x:v>
      </x:c>
      <x:c r="E524" s="6" t="str">
        <x:v>Second 50%</x:v>
      </x:c>
      <x:c r="F524" s="6" t="str">
        <x:v>Short</x:v>
      </x:c>
      <x:c r="G524" s="6" t="str">
        <x:v>Short</x:v>
      </x:c>
      <x:c r="H524" s="6" t="str">
        <x:v>Overnight</x:v>
      </x:c>
      <x:c r="I524" s="6" t="str">
        <x:v>Overnight</x:v>
      </x:c>
      <x:c r="J524" s="6" t="str">
        <x:v>Bear</x:v>
      </x:c>
      <x:c r="K524" s="6" t="str">
        <x:v>Bear</x:v>
      </x:c>
      <x:c r="L524" s="6" t="str">
        <x:v>LOW</x:v>
      </x:c>
      <x:c r="M524" s="7" t="str">
        <x:v>2025-11-13 21:50:00-06:00</x:v>
      </x:c>
      <x:c r="N524" s="6" t="str">
        <x:v>90.0</x:v>
      </x:c>
      <x:c r="O524" s="6" t="str">
        <x:v>90-94</x:v>
      </x:c>
      <x:c r="P524" s="6" t="str">
        <x:v>Matching BOS only</x:v>
      </x:c>
      <x:c r="Q524" s="6" t="str">
        <x:v>Bear CHoCH</x:v>
      </x:c>
      <x:c r="R524" s="6" t="str">
        <x:v>True</x:v>
      </x:c>
      <x:c r="S524" s="6" t="str">
        <x:v>False</x:v>
      </x:c>
      <x:c r="T524" s="6" t="str">
        <x:v>Recent BSL</x:v>
      </x:c>
      <x:c r="U524" s="6" t="str">
        <x:v>BSL</x:v>
      </x:c>
      <x:c r="V524" s="6" t="str">
        <x:v>Swing high / buy-side</x:v>
      </x:c>
      <x:c r="W524" s="6" t="str">
        <x:v>[23229.0]</x:v>
      </x:c>
      <x:c r="X524" s="8" t="str">
        <x:v>1</x:v>
      </x:c>
      <x:c r="Y524" s="8" t="str">
        <x:v>12.0</x:v>
      </x:c>
      <x:c r="Z524" s="6" t="str">
        <x:v>None</x:v>
      </x:c>
      <x:c r="AA524" s="6" t="str">
        <x:v>23192.5</x:v>
      </x:c>
      <x:c r="AB524" s="9" t="str">
        <x:v>1.725317690676687</x:v>
      </x:c>
      <x:c r="AC524" s="9" t="str">
        <x:v>2.13312005392754</x:v>
      </x:c>
      <x:c r="AD524" s="9" t="str">
        <x:v>2.274282410437451</x:v>
      </x:c>
      <x:c r="AE524" s="6" t="str">
        <x:v>With trade</x:v>
      </x:c>
      <x:c r="AF524" s="7" t="str">
        <x:v>2025-11-13 21:50:00-06:00</x:v>
      </x:c>
      <x:c r="AG524" s="6" t="str">
        <x:v>Short</x:v>
      </x:c>
      <x:c r="AH524" s="6" t="str">
        <x:v>23192.5</x:v>
      </x:c>
      <x:c r="AI524" s="8" t="str">
        <x:v>0</x:v>
      </x:c>
      <x:c r="AJ524" s="6" t="str">
        <x:v>True</x:v>
      </x:c>
      <x:c r="AK524" s="6" t="str">
        <x:v>Same-bar Setup+BOS</x:v>
      </x:c>
      <x:c r="AL524" s="9" t="str">
        <x:v>2.211543585321935</x:v>
      </x:c>
      <x:c r="AM524" s="9" t="str">
        <x:v>1.725317690676687</x:v>
      </x:c>
      <x:c r="AN524" s="9" t="str">
        <x:v>2.13312005392754</x:v>
      </x:c>
      <x:c r="AO524" s="9" t="str">
        <x:v>2.274282410437451</x:v>
      </x:c>
      <x:c r="AP524" s="10" t="str">
        <x:v>0.9379310344827586</x:v>
      </x:c>
      <x:c r="AQ524" s="6" t="str">
        <x:v>0.0</x:v>
      </x:c>
      <x:c r="AR524" s="6" t="str">
        <x:v>0.06206896551724138</x:v>
      </x:c>
      <x:c r="AS524" s="6" t="str">
        <x:v>With trade</x:v>
      </x:c>
      <x:c r="AT524" s="6" t="str">
        <x:v>3.131487889273356</x:v>
      </x:c>
      <x:c r="AU524" s="7" t="str">
        <x:v>2025-11-13 22:00:00-06:00</x:v>
      </x:c>
      <x:c r="AV524" s="8" t="str">
        <x:v>2</x:v>
      </x:c>
      <x:c r="AW524" s="6" t="str">
        <x:v>Delayed retest (2+ bars)</x:v>
      </x:c>
      <x:c r="AX524" s="6" t="str">
        <x:v>23195.0</x:v>
      </x:c>
      <x:c r="AY524" s="6" t="str">
        <x:v>2.5</x:v>
      </x:c>
      <x:c r="AZ524" s="9" t="str">
        <x:v>0.141242660897172</x:v>
      </x:c>
      <x:c r="BA524" s="9" t="str">
        <x:v>1.4547994072408714</x:v>
      </x:c>
      <x:c r="BB524" s="9" t="str">
        <x:v>1.76553326121465</x:v>
      </x:c>
      <x:c r="BC524" s="9" t="str">
        <x:v>1.2146868837156792</x:v>
      </x:c>
      <x:c r="BD524" s="6" t="str">
        <x:v>0.216</x:v>
      </x:c>
      <x:c r="BE524" s="6" t="str">
        <x:v>0.096</x:v>
      </x:c>
      <x:c r="BF524" s="9" t="str">
        <x:v>0.3813551844223644</x:v>
      </x:c>
      <x:c r="BG524" s="9" t="str">
        <x:v>0.1694911930766064</x:v>
      </x:c>
      <x:c r="BH524" s="6" t="str">
        <x:v>With trade</x:v>
      </x:c>
      <x:c r="BI524" s="6" t="str">
        <x:v>Penetration + same-bar reclaim</x:v>
      </x:c>
      <x:c r="BJ524" s="6" t="str">
        <x:v>False</x:v>
      </x:c>
      <x:c r="BK524" s="10" t="str">
        <x:v>True</x:v>
      </x:c>
      <x:c r="BL524" s="6" t="str">
        <x:v>True</x:v>
      </x:c>
      <x:c r="BM524" s="7" t="str">
        <x:v>2025-11-13 22:05:00-06:00</x:v>
      </x:c>
      <x:c r="BN524" s="8" t="str">
        <x:v>1</x:v>
      </x:c>
      <x:c r="BO524" s="6" t="str">
        <x:v>Immediate confirmation (1 bar)</x:v>
      </x:c>
      <x:c r="BP524" s="9" t="str">
        <x:v>0.28588047846367554</x:v>
      </x:c>
      <x:c r="BQ524" s="9" t="str">
        <x:v>1.4702424606703313</x:v>
      </x:c>
      <x:c r="BR524" s="10" t="str">
        <x:v>0.19444444444444445</x:v>
      </x:c>
      <x:c r="BS524" s="9" t="str">
        <x:v>1.6880561585474174</x:v>
      </x:c>
      <x:c r="BT524" s="9" t="str">
        <x:v>0.28588047846367554</x:v>
      </x:c>
      <x:c r="BU524" s="9" t="str">
        <x:v>0.3539472590502649</x:v>
      </x:c>
      <x:c r="BV524" s="6" t="str">
        <x:v>With trade</x:v>
      </x:c>
      <x:c r="BW524" s="7" t="str">
        <x:v>2025-11-13 22:05:00-06:00</x:v>
      </x:c>
      <x:c r="BX524" s="6" t="str">
        <x:v>23161.5</x:v>
      </x:c>
      <x:c r="BY524" s="9" t="str">
        <x:v>18.36431794228676</x:v>
      </x:c>
      <x:c r="BZ524" s="9" t="str">
        <x:v>0.2</x:v>
      </x:c>
      <x:c r="CA524" s="6" t="str">
        <x:v>23189.04647691343</x:v>
      </x:c>
      <x:c r="CB524" s="6" t="str">
        <x:v>27.546476913430524</x:v>
      </x:c>
      <x:c r="CC524" s="9" t="str">
        <x:v>1.5000000000000209</x:v>
      </x:c>
      <x:c r="CD524" s="6" t="str">
        <x:v>23106.40704617314</x:v>
      </x:c>
      <x:c r="CE524" s="6" t="str">
        <x:v>55.09295382686105</x:v>
      </x:c>
      <x:c r="CF524" s="6" t="str">
        <x:v>Fixed 2.00R target</x:v>
      </x:c>
      <x:c r="CG524" s="9" t="str">
        <x:v>0.026319155160147538</x:v>
      </x:c>
      <x:c r="CH524" s="9" t="str">
        <x:v>2.0</x:v>
      </x:c>
      <x:c r="CI524" s="9" t="str">
        <x:v>1.9736808448398524</x:v>
      </x:c>
      <x:c r="CJ524" s="6" t="str">
        <x:v>Win</x:v>
      </x:c>
      <x:c r="CK524" s="9" t="str">
        <x:v>2.2779682569644937</x:v>
      </x:c>
      <x:c r="CL524" s="9" t="str">
        <x:v>0.5082319617131938</x:v>
      </x:c>
      <x:c r="CM524" s="7" t="str">
        <x:v>2025-11-13 22:55:00-06:00</x:v>
      </x:c>
      <x:c r="CN524" s="6" t="str">
        <x:v>23106.40704617314</x:v>
      </x:c>
      <x:c r="CO524" s="6" t="str">
        <x:v>TARGET</x:v>
      </x:c>
      <x:c r="CP524" s="6" t="str">
        <x:v>F::Short::Same-bar Setup+BOS::Penetration + same-bar reclaim</x:v>
      </x:c>
    </x:row>
    <x:row r="525" ht="18" customHeight="1">
      <x:c r="A525" s="6" t="str">
        <x:v>A0524</x:v>
      </x:c>
      <x:c r="B525" s="6" t="str">
        <x:v>2025-11-14</x:v>
      </x:c>
      <x:c r="C525" s="6" t="str">
        <x:v>2025</x:v>
      </x:c>
      <x:c r="D525" s="6" t="str">
        <x:v>2025-Q4</x:v>
      </x:c>
      <x:c r="E525" s="6" t="str">
        <x:v>Second 50%</x:v>
      </x:c>
      <x:c r="F525" s="6" t="str">
        <x:v>Long</x:v>
      </x:c>
      <x:c r="G525" s="6" t="str">
        <x:v>Long</x:v>
      </x:c>
      <x:c r="H525" s="6" t="str">
        <x:v>Overnight</x:v>
      </x:c>
      <x:c r="I525" s="6" t="str">
        <x:v>Overnight</x:v>
      </x:c>
      <x:c r="J525" s="6" t="str">
        <x:v>Bear</x:v>
      </x:c>
      <x:c r="K525" s="6" t="str">
        <x:v>Bear</x:v>
      </x:c>
      <x:c r="L525" s="6" t="str">
        <x:v>MID</x:v>
      </x:c>
      <x:c r="M525" s="7" t="str">
        <x:v>2025-11-13 23:35:00-06:00</x:v>
      </x:c>
      <x:c r="N525" s="6" t="str">
        <x:v>90.0</x:v>
      </x:c>
      <x:c r="O525" s="6" t="str">
        <x:v>90-94</x:v>
      </x:c>
      <x:c r="P525" s="6" t="str">
        <x:v>Matching BOS only</x:v>
      </x:c>
      <x:c r="Q525" s="6" t="str">
        <x:v>Bull CHoCH</x:v>
      </x:c>
      <x:c r="R525" s="6" t="str">
        <x:v>True</x:v>
      </x:c>
      <x:c r="S525" s="6" t="str">
        <x:v>False</x:v>
      </x:c>
      <x:c r="T525" s="6" t="str">
        <x:v>Recent SSL</x:v>
      </x:c>
      <x:c r="U525" s="6" t="str">
        <x:v>SSL</x:v>
      </x:c>
      <x:c r="V525" s="6" t="str">
        <x:v>Swing low / sell-side</x:v>
      </x:c>
      <x:c r="W525" s="6" t="str">
        <x:v>[23156.75]</x:v>
      </x:c>
      <x:c r="X525" s="8" t="str">
        <x:v>1</x:v>
      </x:c>
      <x:c r="Y525" s="8" t="str">
        <x:v>18.0</x:v>
      </x:c>
      <x:c r="Z525" s="6" t="str">
        <x:v>None</x:v>
      </x:c>
      <x:c r="AA525" s="6" t="str">
        <x:v>23155.0</x:v>
      </x:c>
      <x:c r="AB525" s="9" t="str">
        <x:v>0.40452787126513784</x:v>
      </x:c>
      <x:c r="AC525" s="9" t="str">
        <x:v>1.126899069952884</x:v>
      </x:c>
      <x:c r="AD525" s="9" t="str">
        <x:v>1.435110781392989</x:v>
      </x:c>
      <x:c r="AE525" s="6" t="str">
        <x:v>With trade</x:v>
      </x:c>
      <x:c r="AF525" s="7" t="str">
        <x:v>2025-11-13 23:35:00-06:00</x:v>
      </x:c>
      <x:c r="AG525" s="6" t="str">
        <x:v>Long</x:v>
      </x:c>
      <x:c r="AH525" s="6" t="str">
        <x:v>23155.0</x:v>
      </x:c>
      <x:c r="AI525" s="8" t="str">
        <x:v>0</x:v>
      </x:c>
      <x:c r="AJ525" s="6" t="str">
        <x:v>True</x:v>
      </x:c>
      <x:c r="AK525" s="6" t="str">
        <x:v>Same-bar Setup+BOS</x:v>
      </x:c>
      <x:c r="AL525" s="9" t="str">
        <x:v>1.23284684576042</x:v>
      </x:c>
      <x:c r="AM525" s="9" t="str">
        <x:v>0.40452787126513784</x:v>
      </x:c>
      <x:c r="AN525" s="9" t="str">
        <x:v>1.126899069952884</x:v>
      </x:c>
      <x:c r="AO525" s="9" t="str">
        <x:v>1.435110781392989</x:v>
      </x:c>
      <x:c r="AP525" s="10" t="str">
        <x:v>0.785234899328859</x:v>
      </x:c>
      <x:c r="AQ525" s="6" t="str">
        <x:v>0.087248322147651</x:v>
      </x:c>
      <x:c r="AR525" s="6" t="str">
        <x:v>0.12751677852348994</x:v>
      </x:c>
      <x:c r="AS525" s="6" t="str">
        <x:v>With trade</x:v>
      </x:c>
      <x:c r="AT525" s="6" t="str">
        <x:v>1.0137927020892743</x:v>
      </x:c>
      <x:c r="AU525" s="7" t="str">
        <x:v>2025-11-14 00:00:00-06:00</x:v>
      </x:c>
      <x:c r="AV525" s="8" t="str">
        <x:v>5</x:v>
      </x:c>
      <x:c r="AW525" s="6" t="str">
        <x:v>Delayed retest (2+ bars)</x:v>
      </x:c>
      <x:c r="AX525" s="6" t="str">
        <x:v>23146.0</x:v>
      </x:c>
      <x:c r="AY525" s="6" t="str">
        <x:v>9.0</x:v>
      </x:c>
      <x:c r="AZ525" s="9" t="str">
        <x:v>0.3650079584152008</x:v>
      </x:c>
      <x:c r="BA525" s="9" t="str">
        <x:v>-0.0304173298679334</x:v>
      </x:c>
      <x:c r="BB525" s="9" t="str">
        <x:v>1.409336283880914</x:v>
      </x:c>
      <x:c r="BC525" s="9" t="str">
        <x:v>0.9429372259059353</x:v>
      </x:c>
      <x:c r="BD525" s="6" t="str">
        <x:v>0.09352517985611511</x:v>
      </x:c>
      <x:c r="BE525" s="6" t="str">
        <x:v>0.23741007194244604</x:v>
      </x:c>
      <x:c r="BF525" s="9" t="str">
        <x:v>0.3345906285472674</x:v>
      </x:c>
      <x:c r="BG525" s="9" t="str">
        <x:v>0.1318084294277114</x:v>
      </x:c>
      <x:c r="BH525" s="6" t="str">
        <x:v>Against trade</x:v>
      </x:c>
      <x:c r="BI525" s="6" t="str">
        <x:v>Penetration without same-bar reclaim</x:v>
      </x:c>
      <x:c r="BJ525" s="6" t="str">
        <x:v>False</x:v>
      </x:c>
      <x:c r="BK525" s="10" t="str">
        <x:v>True</x:v>
      </x:c>
      <x:c r="BL525" s="6" t="str">
        <x:v>False</x:v>
      </x:c>
      <x:c r="BM525" s="7" t="str">
        <x:v>2025-11-14 00:05:00-06:00</x:v>
      </x:c>
      <x:c r="BN525" s="8" t="str">
        <x:v>1</x:v>
      </x:c>
      <x:c r="BO525" s="6" t="str">
        <x:v>Immediate confirmation (1 bar)</x:v>
      </x:c>
      <x:c r="BP525" s="9" t="str">
        <x:v>0.3602507220889725</x:v>
      </x:c>
      <x:c r="BQ525" s="9" t="str">
        <x:v>0.8028444663697102</x:v>
      </x:c>
      <x:c r="BR525" s="10" t="str">
        <x:v>0.44871794871794873</x:v>
      </x:c>
      <x:c r="BS525" s="9" t="str">
        <x:v>0.3499578443150019</x:v>
      </x:c>
      <x:c r="BT525" s="9" t="str">
        <x:v>0.3808364776369138</x:v>
      </x:c>
      <x:c r="BU525" s="9" t="str">
        <x:v>0.041171511095882574</x:v>
      </x:c>
      <x:c r="BV525" s="6" t="str">
        <x:v>With trade</x:v>
      </x:c>
      <x:c r="BW525" s="7" t="str">
        <x:v>2025-11-14 00:05:00-06:00</x:v>
      </x:c>
      <x:c r="BX525" s="6" t="str">
        <x:v>23163.5</x:v>
      </x:c>
      <x:c r="BY525" s="9" t="str">
        <x:v>24.288639726415255</x:v>
      </x:c>
      <x:c r="BZ525" s="9" t="str">
        <x:v>0.61</x:v>
      </x:c>
      <x:c r="CA525" s="6" t="str">
        <x:v>23127.067040410377</x:v>
      </x:c>
      <x:c r="CB525" s="6" t="str">
        <x:v>36.43295958962335</x:v>
      </x:c>
      <x:c r="CC525" s="9" t="str">
        <x:v>1.5000000000000193</x:v>
      </x:c>
      <x:c r="CD525" s="6" t="str">
        <x:v>23236.365919179247</x:v>
      </x:c>
      <x:c r="CE525" s="6" t="str">
        <x:v>72.8659191792467</x:v>
      </x:c>
      <x:c r="CF525" s="6" t="str">
        <x:v>Fixed 2.00R target</x:v>
      </x:c>
      <x:c r="CG525" s="9" t="str">
        <x:v>0.01989956369634299</x:v>
      </x:c>
      <x:c r="CH525" s="9" t="str">
        <x:v>-1.0</x:v>
      </x:c>
      <x:c r="CI525" s="9" t="str">
        <x:v>-1.019899563696343</x:v>
      </x:c>
      <x:c r="CJ525" s="6" t="str">
        <x:v>Loss</x:v>
      </x:c>
      <x:c r="CK525" s="9" t="str">
        <x:v>0.24016714805931194</x:v>
      </x:c>
      <x:c r="CL525" s="9" t="str">
        <x:v>1.2351453328764614</x:v>
      </x:c>
      <x:c r="CM525" s="7" t="str">
        <x:v>2025-11-14 00:25:00-06:00</x:v>
      </x:c>
      <x:c r="CN525" s="6" t="str">
        <x:v>23127.067040410377</x:v>
      </x:c>
      <x:c r="CO525" s="6" t="str">
        <x:v>STOP</x:v>
      </x:c>
      <x:c r="CP525" s="6" t="str">
        <x:v>F::Long::Same-bar Setup+BOS::Penetration without same-bar reclaim</x:v>
      </x:c>
    </x:row>
    <x:row r="526" ht="18" customHeight="1">
      <x:c r="A526" s="6" t="str">
        <x:v>A0525</x:v>
      </x:c>
      <x:c r="B526" s="6" t="str">
        <x:v>2025-11-17</x:v>
      </x:c>
      <x:c r="C526" s="6" t="str">
        <x:v>2025</x:v>
      </x:c>
      <x:c r="D526" s="6" t="str">
        <x:v>2025-Q4</x:v>
      </x:c>
      <x:c r="E526" s="6" t="str">
        <x:v>Second 50%</x:v>
      </x:c>
      <x:c r="F526" s="6" t="str">
        <x:v>Short</x:v>
      </x:c>
      <x:c r="G526" s="6" t="str">
        <x:v>Short</x:v>
      </x:c>
      <x:c r="H526" s="6" t="str">
        <x:v>Overnight</x:v>
      </x:c>
      <x:c r="I526" s="6" t="str">
        <x:v>Overnight</x:v>
      </x:c>
      <x:c r="J526" s="6" t="str">
        <x:v>Bear</x:v>
      </x:c>
      <x:c r="K526" s="6" t="str">
        <x:v>Bear</x:v>
      </x:c>
      <x:c r="L526" s="6" t="str">
        <x:v>LOW</x:v>
      </x:c>
      <x:c r="M526" s="7" t="str">
        <x:v>2025-11-17 21:00:00-06:00</x:v>
      </x:c>
      <x:c r="N526" s="6" t="str">
        <x:v>75.0</x:v>
      </x:c>
      <x:c r="O526" s="6" t="str">
        <x:v>75-79</x:v>
      </x:c>
      <x:c r="P526" s="6" t="str">
        <x:v>Matching BOS only</x:v>
      </x:c>
      <x:c r="Q526" s="6" t="str">
        <x:v>Bear CHoCH</x:v>
      </x:c>
      <x:c r="R526" s="6" t="str">
        <x:v>True</x:v>
      </x:c>
      <x:c r="S526" s="6" t="str">
        <x:v>False</x:v>
      </x:c>
      <x:c r="T526" s="6" t="str">
        <x:v>Recent BSL</x:v>
      </x:c>
      <x:c r="U526" s="6" t="str">
        <x:v>BSL</x:v>
      </x:c>
      <x:c r="V526" s="6" t="str">
        <x:v>Swing high / buy-side</x:v>
      </x:c>
      <x:c r="W526" s="6" t="str">
        <x:v>[23031.75]</x:v>
      </x:c>
      <x:c r="X526" s="8" t="str">
        <x:v>1</x:v>
      </x:c>
      <x:c r="Y526" s="8" t="str">
        <x:v>20.0</x:v>
      </x:c>
      <x:c r="Z526" s="6" t="str">
        <x:v>None</x:v>
      </x:c>
      <x:c r="AA526" s="6" t="str">
        <x:v>22907.5</x:v>
      </x:c>
      <x:c r="AB526" s="9" t="str">
        <x:v>0.22296164784596792</x:v>
      </x:c>
      <x:c r="AC526" s="9" t="str">
        <x:v>0.5913330660262627</x:v>
      </x:c>
      <x:c r="AD526" s="9" t="str">
        <x:v>0.7367428363605896</x:v>
      </x:c>
      <x:c r="AE526" s="6" t="str">
        <x:v>With trade</x:v>
      </x:c>
      <x:c r="AF526" s="7" t="str">
        <x:v>2025-11-17 21:00:00-06:00</x:v>
      </x:c>
      <x:c r="AG526" s="6" t="str">
        <x:v>Short</x:v>
      </x:c>
      <x:c r="AH526" s="6" t="str">
        <x:v>22907.5</x:v>
      </x:c>
      <x:c r="AI526" s="8" t="str">
        <x:v>0</x:v>
      </x:c>
      <x:c r="AJ526" s="6" t="str">
        <x:v>True</x:v>
      </x:c>
      <x:c r="AK526" s="6" t="str">
        <x:v>Same-bar Setup+BOS</x:v>
      </x:c>
      <x:c r="AL526" s="9" t="str">
        <x:v>0.610721035404173</x:v>
      </x:c>
      <x:c r="AM526" s="9" t="str">
        <x:v>0.22296164784596792</x:v>
      </x:c>
      <x:c r="AN526" s="9" t="str">
        <x:v>0.5913330660262627</x:v>
      </x:c>
      <x:c r="AO526" s="9" t="str">
        <x:v>0.7367428363605896</x:v>
      </x:c>
      <x:c r="AP526" s="10" t="str">
        <x:v>0.8026315789473685</x:v>
      </x:c>
      <x:c r="AQ526" s="6" t="str">
        <x:v>0.039473684210526314</x:v>
      </x:c>
      <x:c r="AR526" s="6" t="str">
        <x:v>0.15789473684210525</x:v>
      </x:c>
      <x:c r="AS526" s="6" t="str">
        <x:v>With trade</x:v>
      </x:c>
      <x:c r="AT526" s="6" t="str">
        <x:v>1.834384858044164</x:v>
      </x:c>
      <x:c r="AU526" s="7" t="str">
        <x:v>2025-11-17 21:05:00-06:00</x:v>
      </x:c>
      <x:c r="AV526" s="8" t="str">
        <x:v>1</x:v>
      </x:c>
      <x:c r="AW526" s="6" t="str">
        <x:v>Immediate retest (1 bar)</x:v>
      </x:c>
      <x:c r="AX526" s="6" t="str">
        <x:v>22914.75</x:v>
      </x:c>
      <x:c r="AY526" s="6" t="str">
        <x:v>7.25</x:v>
      </x:c>
      <x:c r="AZ526" s="9" t="str">
        <x:v>0.27265929528564126</x:v>
      </x:c>
      <x:c r="BA526" s="9" t="str">
        <x:v>0.2820613399506634</x:v>
      </x:c>
      <x:c r="BB526" s="9" t="str">
        <x:v>1.3915026104232728</x:v>
      </x:c>
      <x:c r="BC526" s="9" t="str">
        <x:v>0.11282453598026536</x:v>
      </x:c>
      <x:c r="BD526" s="6" t="str">
        <x:v>0.31756756756756754</x:v>
      </x:c>
      <x:c r="BE526" s="6" t="str">
        <x:v>0.6013513513513513</x:v>
      </x:c>
      <x:c r="BF526" s="9" t="str">
        <x:v>0.4418960992560393</x:v>
      </x:c>
      <x:c r="BG526" s="9" t="str">
        <x:v>0.8367819751869681</x:v>
      </x:c>
      <x:c r="BH526" s="6" t="str">
        <x:v>With trade</x:v>
      </x:c>
      <x:c r="BI526" s="6" t="str">
        <x:v>Penetration + same-bar reclaim</x:v>
      </x:c>
      <x:c r="BJ526" s="6" t="str">
        <x:v>False</x:v>
      </x:c>
      <x:c r="BK526" s="10" t="str">
        <x:v>True</x:v>
      </x:c>
      <x:c r="BL526" s="6" t="str">
        <x:v>True</x:v>
      </x:c>
      <x:c r="BM526" s="7" t="str">
        <x:v>2025-11-17 21:10:00-06:00</x:v>
      </x:c>
      <x:c r="BN526" s="8" t="str">
        <x:v>1</x:v>
      </x:c>
      <x:c r="BO526" s="6" t="str">
        <x:v>Immediate confirmation (1 bar)</x:v>
      </x:c>
      <x:c r="BP526" s="9" t="str">
        <x:v>0.17737141300418183</x:v>
      </x:c>
      <x:c r="BQ526" s="9" t="str">
        <x:v>1.0922344906046986</x:v>
      </x:c>
      <x:c r="BR526" s="10" t="str">
        <x:v>0.1623931623931624</x:v>
      </x:c>
      <x:c r="BS526" s="9" t="str">
        <x:v>0.4574315388002584</x:v>
      </x:c>
      <x:c r="BT526" s="9" t="str">
        <x:v>0.17737141300418183</x:v>
      </x:c>
      <x:c r="BU526" s="9" t="str">
        <x:v>0.5321142390125455</x:v>
      </x:c>
      <x:c r="BV526" s="6" t="str">
        <x:v>With trade</x:v>
      </x:c>
      <x:c r="BW526" s="7" t="str">
        <x:v>2025-11-17 21:10:00-06:00</x:v>
      </x:c>
      <x:c r="BX526" s="6" t="str">
        <x:v>22895.25</x:v>
      </x:c>
      <x:c r="BY526" s="9" t="str">
        <x:v>26.779963690586435</x:v>
      </x:c>
      <x:c r="BZ526" s="9" t="str">
        <x:v>0.29</x:v>
      </x:c>
      <x:c r="CA526" s="6" t="str">
        <x:v>22935.41994553588</x:v>
      </x:c>
      <x:c r="CB526" s="6" t="str">
        <x:v>40.16994553587938</x:v>
      </x:c>
      <x:c r="CC526" s="9" t="str">
        <x:v>1.4999999999999898</x:v>
      </x:c>
      <x:c r="CD526" s="6" t="str">
        <x:v>22814.91010892824</x:v>
      </x:c>
      <x:c r="CE526" s="6" t="str">
        <x:v>80.33989107175876</x:v>
      </x:c>
      <x:c r="CF526" s="6" t="str">
        <x:v>Fixed 2.00R target</x:v>
      </x:c>
      <x:c r="CG526" s="9" t="str">
        <x:v>0.018048319217969504</x:v>
      </x:c>
      <x:c r="CH526" s="9" t="str">
        <x:v>2.0</x:v>
      </x:c>
      <x:c r="CI526" s="9" t="str">
        <x:v>1.9819516807820305</x:v>
      </x:c>
      <x:c r="CJ526" s="6" t="str">
        <x:v>Win</x:v>
      </x:c>
      <x:c r="CK526" s="9" t="str">
        <x:v>2.5267646905157304</x:v>
      </x:c>
      <x:c r="CL526" s="9" t="str">
        <x:v>0.5725673682942048</x:v>
      </x:c>
      <x:c r="CM526" s="7" t="str">
        <x:v>2025-11-17 22:10:00-06:00</x:v>
      </x:c>
      <x:c r="CN526" s="6" t="str">
        <x:v>22814.91010892824</x:v>
      </x:c>
      <x:c r="CO526" s="6" t="str">
        <x:v>TARGET</x:v>
      </x:c>
      <x:c r="CP526" s="6" t="str">
        <x:v>F::Short::Same-bar Setup+BOS::Penetration + same-bar reclaim</x:v>
      </x:c>
    </x:row>
    <x:row r="527" ht="18" customHeight="1">
      <x:c r="A527" s="6" t="str">
        <x:v>A0526</x:v>
      </x:c>
      <x:c r="B527" s="6" t="str">
        <x:v>2025-11-18</x:v>
      </x:c>
      <x:c r="C527" s="6" t="str">
        <x:v>2025</x:v>
      </x:c>
      <x:c r="D527" s="6" t="str">
        <x:v>2025-Q4</x:v>
      </x:c>
      <x:c r="E527" s="6" t="str">
        <x:v>Second 50%</x:v>
      </x:c>
      <x:c r="F527" s="6" t="str">
        <x:v>Short</x:v>
      </x:c>
      <x:c r="G527" s="6" t="str">
        <x:v>Short</x:v>
      </x:c>
      <x:c r="H527" s="6" t="str">
        <x:v>Premarket</x:v>
      </x:c>
      <x:c r="I527" s="6" t="str">
        <x:v>Premarket</x:v>
      </x:c>
      <x:c r="J527" s="6" t="str">
        <x:v>Bear</x:v>
      </x:c>
      <x:c r="K527" s="6" t="str">
        <x:v>Bear</x:v>
      </x:c>
      <x:c r="L527" s="6" t="str">
        <x:v>HIGH</x:v>
      </x:c>
      <x:c r="M527" s="7" t="str">
        <x:v>2025-11-18 08:30:00-06:00</x:v>
      </x:c>
      <x:c r="N527" s="6" t="str">
        <x:v>75.0</x:v>
      </x:c>
      <x:c r="O527" s="6" t="str">
        <x:v>75-79</x:v>
      </x:c>
      <x:c r="P527" s="6" t="str">
        <x:v>Matching liquidity sweep only</x:v>
      </x:c>
      <x:c r="Q527" s="6" t="str">
        <x:v>Recent bear structure</x:v>
      </x:c>
      <x:c r="R527" s="6" t="str">
        <x:v>False</x:v>
      </x:c>
      <x:c r="S527" s="6" t="str">
        <x:v>True</x:v>
      </x:c>
      <x:c r="T527" s="6" t="str">
        <x:v>Recent BSL</x:v>
      </x:c>
      <x:c r="U527" s="6" t="str">
        <x:v>BSL</x:v>
      </x:c>
      <x:c r="V527" s="6" t="str">
        <x:v>Swing high / buy-side</x:v>
      </x:c>
      <x:c r="W527" s="6" t="str">
        <x:v>[22848.25]</x:v>
      </x:c>
      <x:c r="X527" s="8" t="str">
        <x:v>1</x:v>
      </x:c>
      <x:c r="Y527" s="8" t="str">
        <x:v>0.0</x:v>
      </x:c>
      <x:c r="Z527" s="6" t="str">
        <x:v>Sweep below CRT reference</x:v>
      </x:c>
      <x:c r="AA527" s="6" t="str">
        <x:v>22736.75</x:v>
      </x:c>
      <x:c r="AB527" s="9" t="str">
        <x:v>-1.9657649639075867</x:v>
      </x:c>
      <x:c r="AC527" s="9" t="str">
        <x:v>0.5826668605594344</x:v>
      </x:c>
      <x:c r="AD527" s="9" t="str">
        <x:v>3.943300975503243</x:v>
      </x:c>
      <x:c r="AE527" s="6" t="str">
        <x:v>Against trade</x:v>
      </x:c>
      <x:c r="AF527" s="7" t="str">
        <x:v>2025-11-18 08:40:00-06:00</x:v>
      </x:c>
      <x:c r="AG527" s="6" t="str">
        <x:v>Short</x:v>
      </x:c>
      <x:c r="AH527" s="6" t="str">
        <x:v>22736.75</x:v>
      </x:c>
      <x:c r="AI527" s="8" t="str">
        <x:v>2</x:v>
      </x:c>
      <x:c r="AJ527" s="6" t="str">
        <x:v>False</x:v>
      </x:c>
      <x:c r="AK527" s="6" t="str">
        <x:v>Delayed BOS</x:v>
      </x:c>
      <x:c r="AL527" s="9" t="str">
        <x:v>1.6683194093700198</x:v>
      </x:c>
      <x:c r="AM527" s="9" t="str">
        <x:v>0.07537587692936837</x:v>
      </x:c>
      <x:c r="AN527" s="9" t="str">
        <x:v>1.6431941170602302</x:v>
      </x:c>
      <x:c r="AO527" s="9" t="str">
        <x:v>2.386902769429998</x:v>
      </x:c>
      <x:c r="AP527" s="10" t="str">
        <x:v>0.6884210526315789</x:v>
      </x:c>
      <x:c r="AQ527" s="6" t="str">
        <x:v>0.22526315789473683</x:v>
      </x:c>
      <x:c r="AR527" s="6" t="str">
        <x:v>0.0863157894736842</x:v>
      </x:c>
      <x:c r="AS527" s="6" t="str">
        <x:v>With trade</x:v>
      </x:c>
      <x:c r="AT527" s="6" t="str">
        <x:v>4.169086295744068</x:v>
      </x:c>
      <x:c r="AU527" s="7" t="str">
        <x:v>2025-11-18 08:45:00-06:00</x:v>
      </x:c>
      <x:c r="AV527" s="8" t="str">
        <x:v>1</x:v>
      </x:c>
      <x:c r="AW527" s="6" t="str">
        <x:v>Immediate retest (1 bar)</x:v>
      </x:c>
      <x:c r="AX527" s="6" t="str">
        <x:v>22815.5</x:v>
      </x:c>
      <x:c r="AY527" s="6" t="str">
        <x:v>78.75</x:v>
      </x:c>
      <x:c r="AZ527" s="9" t="str">
        <x:v>1.433198063757055</x:v>
      </x:c>
      <x:c r="BA527" s="9" t="str">
        <x:v>0.6642759279635874</x:v>
      </x:c>
      <x:c r="BB527" s="9" t="str">
        <x:v>2.2294192102887522</x:v>
      </x:c>
      <x:c r="BC527" s="9" t="str">
        <x:v>0.5687293903797837</x:v>
      </x:c>
      <x:c r="BD527" s="6" t="str">
        <x:v>0.6857142857142857</x:v>
      </x:c>
      <x:c r="BE527" s="6" t="str">
        <x:v>0.05918367346938776</x:v>
      </x:c>
      <x:c r="BF527" s="9" t="str">
        <x:v>1.5287446013408585</x:v>
      </x:c>
      <x:c r="BG527" s="9" t="str">
        <x:v>0.1319452185681098</x:v>
      </x:c>
      <x:c r="BH527" s="6" t="str">
        <x:v>With trade</x:v>
      </x:c>
      <x:c r="BI527" s="6" t="str">
        <x:v>Penetration + same-bar reclaim</x:v>
      </x:c>
      <x:c r="BJ527" s="6" t="str">
        <x:v>False</x:v>
      </x:c>
      <x:c r="BK527" s="10" t="str">
        <x:v>True</x:v>
      </x:c>
      <x:c r="BL527" s="6" t="str">
        <x:v>True</x:v>
      </x:c>
      <x:c r="BM527" s="7" t="str">
        <x:v>2025-11-18 08:50:00-06:00</x:v>
      </x:c>
      <x:c r="BN527" s="8" t="str">
        <x:v>1</x:v>
      </x:c>
      <x:c r="BO527" s="6" t="str">
        <x:v>Immediate confirmation (1 bar)</x:v>
      </x:c>
      <x:c r="BP527" s="9" t="str">
        <x:v>0.8594266589121937</x:v>
      </x:c>
      <x:c r="BQ527" s="9" t="str">
        <x:v>1.3423004002597665</x:v>
      </x:c>
      <x:c r="BR527" s="10" t="str">
        <x:v>0.6402640264026402</x:v>
      </x:c>
      <x:c r="BS527" s="9" t="str">
        <x:v>1.479631464312746</x:v>
      </x:c>
      <x:c r="BT527" s="9" t="str">
        <x:v>0.8328464529664558</x:v>
      </x:c>
      <x:c r="BU527" s="9" t="str">
        <x:v>0.3411126429703037</x:v>
      </x:c>
      <x:c r="BV527" s="6" t="str">
        <x:v>With trade</x:v>
      </x:c>
      <x:c r="BW527" s="7" t="str">
        <x:v>2025-11-18 08:50:00-06:00</x:v>
      </x:c>
      <x:c r="BX527" s="6" t="str">
        <x:v>22653.25</x:v>
      </x:c>
      <x:c r="BY527" s="9" t="str">
        <x:v>56.43297132694038</x:v>
      </x:c>
      <x:c r="BZ527" s="9" t="str">
        <x:v>1.0</x:v>
      </x:c>
      <x:c r="CA527" s="6" t="str">
        <x:v>22737.89945699041</x:v>
      </x:c>
      <x:c r="CB527" s="6" t="str">
        <x:v>84.64945699040982</x:v>
      </x:c>
      <x:c r="CC527" s="9" t="str">
        <x:v>1.4999999999999867</x:v>
      </x:c>
      <x:c r="CD527" s="6" t="str">
        <x:v>22483.95108601918</x:v>
      </x:c>
      <x:c r="CE527" s="6" t="str">
        <x:v>169.29891398081963</x:v>
      </x:c>
      <x:c r="CF527" s="6" t="str">
        <x:v>Fixed 2.00R target</x:v>
      </x:c>
      <x:c r="CG527" s="9" t="str">
        <x:v>0.008564733026960083</x:v>
      </x:c>
      <x:c r="CH527" s="9" t="str">
        <x:v>0.977560907559918</x:v>
      </x:c>
      <x:c r="CI527" s="9" t="str">
        <x:v>0.9689961745329579</x:v>
      </x:c>
      <x:c r="CJ527" s="6" t="str">
        <x:v>Win</x:v>
      </x:c>
      <x:c r="CK527" s="9" t="str">
        <x:v>1.7247600302567891</x:v>
      </x:c>
      <x:c r="CL527" s="9" t="str">
        <x:v>0.4430034324289698</x:v>
      </x:c>
      <x:c r="CM527" s="7" t="str">
        <x:v>2025-11-18 09:50:00-06:00</x:v>
      </x:c>
      <x:c r="CN527" s="6" t="str">
        <x:v>22570.5</x:v>
      </x:c>
      <x:c r="CO527" s="6" t="str">
        <x:v>TIME</x:v>
      </x:c>
      <x:c r="CP527" s="6" t="str">
        <x:v>F::Short::Delayed BOS::Penetration + same-bar reclaim</x:v>
      </x:c>
    </x:row>
    <x:row r="528" ht="18" customHeight="1">
      <x:c r="A528" s="6" t="str">
        <x:v>A0527</x:v>
      </x:c>
      <x:c r="B528" s="6" t="str">
        <x:v>2025-11-18</x:v>
      </x:c>
      <x:c r="C528" s="6" t="str">
        <x:v>2025</x:v>
      </x:c>
      <x:c r="D528" s="6" t="str">
        <x:v>2025-Q4</x:v>
      </x:c>
      <x:c r="E528" s="6" t="str">
        <x:v>Second 50%</x:v>
      </x:c>
      <x:c r="F528" s="6" t="str">
        <x:v>Long</x:v>
      </x:c>
      <x:c r="G528" s="6" t="str">
        <x:v>Long</x:v>
      </x:c>
      <x:c r="H528" s="6" t="str">
        <x:v>Morning</x:v>
      </x:c>
      <x:c r="I528" s="6" t="str">
        <x:v>Opening</x:v>
      </x:c>
      <x:c r="J528" s="6" t="str">
        <x:v>Bear</x:v>
      </x:c>
      <x:c r="K528" s="6" t="str">
        <x:v>Bear</x:v>
      </x:c>
      <x:c r="L528" s="6" t="str">
        <x:v>HIGH</x:v>
      </x:c>
      <x:c r="M528" s="7" t="str">
        <x:v>2025-11-18 10:25:00-06:00</x:v>
      </x:c>
      <x:c r="N528" s="6" t="str">
        <x:v>100.0</x:v>
      </x:c>
      <x:c r="O528" s="6" t="str">
        <x:v>95+</x:v>
      </x:c>
      <x:c r="P528" s="6" t="str">
        <x:v>Matching BOS only</x:v>
      </x:c>
      <x:c r="Q528" s="6" t="str">
        <x:v>Bull CHoCH</x:v>
      </x:c>
      <x:c r="R528" s="6" t="str">
        <x:v>True</x:v>
      </x:c>
      <x:c r="S528" s="6" t="str">
        <x:v>False</x:v>
      </x:c>
      <x:c r="T528" s="6" t="str">
        <x:v>Recent SSL</x:v>
      </x:c>
      <x:c r="U528" s="6" t="str">
        <x:v>SSL</x:v>
      </x:c>
      <x:c r="V528" s="6" t="str">
        <x:v>Swing low / sell-side</x:v>
      </x:c>
      <x:c r="W528" s="6" t="str">
        <x:v>[22487.25]</x:v>
      </x:c>
      <x:c r="X528" s="8" t="str">
        <x:v>1</x:v>
      </x:c>
      <x:c r="Y528" s="8" t="str">
        <x:v>5.0</x:v>
      </x:c>
      <x:c r="Z528" s="6" t="str">
        <x:v>None</x:v>
      </x:c>
      <x:c r="AA528" s="6" t="str">
        <x:v>22690.75</x:v>
      </x:c>
      <x:c r="AB528" s="9" t="str">
        <x:v>0.44250671451438034</x:v>
      </x:c>
      <x:c r="AC528" s="9" t="str">
        <x:v>0.7506225009169859</x:v>
      </x:c>
      <x:c r="AD528" s="9" t="str">
        <x:v>1.0357934947151421</x:v>
      </x:c>
      <x:c r="AE528" s="6" t="str">
        <x:v>With trade</x:v>
      </x:c>
      <x:c r="AF528" s="7" t="str">
        <x:v>2025-11-18 10:25:00-06:00</x:v>
      </x:c>
      <x:c r="AG528" s="6" t="str">
        <x:v>Long</x:v>
      </x:c>
      <x:c r="AH528" s="6" t="str">
        <x:v>22690.75</x:v>
      </x:c>
      <x:c r="AI528" s="8" t="str">
        <x:v>0</x:v>
      </x:c>
      <x:c r="AJ528" s="6" t="str">
        <x:v>True</x:v>
      </x:c>
      <x:c r="AK528" s="6" t="str">
        <x:v>Same-bar Setup+BOS</x:v>
      </x:c>
      <x:c r="AL528" s="9" t="str">
        <x:v>0.7473446734020646</x:v>
      </x:c>
      <x:c r="AM528" s="9" t="str">
        <x:v>0.44250671451438034</x:v>
      </x:c>
      <x:c r="AN528" s="9" t="str">
        <x:v>0.7506225009169859</x:v>
      </x:c>
      <x:c r="AO528" s="9" t="str">
        <x:v>1.0357934947151421</x:v>
      </x:c>
      <x:c r="AP528" s="10" t="str">
        <x:v>0.7246835443037974</x:v>
      </x:c>
      <x:c r="AQ528" s="6" t="str">
        <x:v>0.24367088607594936</x:v>
      </x:c>
      <x:c r="AR528" s="6" t="str">
        <x:v>0.03164556962025317</x:v>
      </x:c>
      <x:c r="AS528" s="6" t="str">
        <x:v>With trade</x:v>
      </x:c>
      <x:c r="AT528" s="6" t="str">
        <x:v>0.9062040181935092</x:v>
      </x:c>
      <x:c r="AU528" s="7" t="str">
        <x:v>2025-11-18 10:45:00-06:00</x:v>
      </x:c>
      <x:c r="AV528" s="8" t="str">
        <x:v>4</x:v>
      </x:c>
      <x:c r="AW528" s="6" t="str">
        <x:v>Delayed retest (2+ bars)</x:v>
      </x:c>
      <x:c r="AX528" s="6" t="str">
        <x:v>22695.0</x:v>
      </x:c>
      <x:c r="AY528" s="6" t="str">
        <x:v>0.0</x:v>
      </x:c>
      <x:c r="AZ528" s="9" t="str">
        <x:v>0.0</x:v>
      </x:c>
      <x:c r="BA528" s="9" t="str">
        <x:v>0.42629229747847247</x:v>
      </x:c>
      <x:c r="BB528" s="9" t="str">
        <x:v>1.0986557585420795</x:v>
      </x:c>
      <x:c r="BC528" s="9" t="str">
        <x:v>0.4436212526605242</x:v>
      </x:c>
      <x:c r="BD528" s="6" t="str">
        <x:v>0.2618296529968454</x:v>
      </x:c>
      <x:c r="BE528" s="6" t="str">
        <x:v>0.334384858044164</x:v>
      </x:c>
      <x:c r="BF528" s="9" t="str">
        <x:v>0.3673738498594966</x:v>
      </x:c>
      <x:c r="BG528" s="9" t="str">
        <x:v>0.2876606560220587</x:v>
      </x:c>
      <x:c r="BH528" s="6" t="str">
        <x:v>Against trade</x:v>
      </x:c>
      <x:c r="BI528" s="6" t="str">
        <x:v>Tolerance-only shallow touch</x:v>
      </x:c>
      <x:c r="BJ528" s="6" t="str">
        <x:v>True</x:v>
      </x:c>
      <x:c r="BK528" s="10" t="str">
        <x:v>False</x:v>
      </x:c>
      <x:c r="BL528" s="6" t="str">
        <x:v>True</x:v>
      </x:c>
      <x:c r="BM528" s="7" t="str">
        <x:v>2025-11-18 10:50:00-06:00</x:v>
      </x:c>
      <x:c r="BN528" s="8" t="str">
        <x:v>1</x:v>
      </x:c>
      <x:c r="BO528" s="6" t="str">
        <x:v>Immediate confirmation (1 bar)</x:v>
      </x:c>
      <x:c r="BP528" s="9" t="str">
        <x:v>0.1167566685003735</x:v>
      </x:c>
      <x:c r="BQ528" s="9" t="str">
        <x:v>0.7288446579114224</x:v>
      </x:c>
      <x:c r="BR528" s="10" t="str">
        <x:v>0.16019417475728157</x:v>
      </x:c>
      <x:c r="BS528" s="9" t="str">
        <x:v>0.5731690999109245</x:v>
      </x:c>
      <x:c r="BT528" s="9" t="str">
        <x:v>0.13798515368225958</x:v>
      </x:c>
      <x:c r="BU528" s="9" t="str">
        <x:v>0.3644223289557112</x:v>
      </x:c>
      <x:c r="BV528" s="6" t="str">
        <x:v>With trade</x:v>
      </x:c>
      <x:c r="BW528" s="7" t="str">
        <x:v>2025-11-18 10:50:00-06:00</x:v>
      </x:c>
      <x:c r="BX528" s="6" t="str">
        <x:v>22731.25</x:v>
      </x:c>
      <x:c r="BY528" s="9" t="str">
        <x:v>70.65977563391687</x:v>
      </x:c>
      <x:c r="BZ528" s="9" t="str">
        <x:v>0.81</x:v>
      </x:c>
      <x:c r="CA528" s="6" t="str">
        <x:v>22625.260336549123</x:v>
      </x:c>
      <x:c r="CB528" s="6" t="str">
        <x:v>105.98966345087683</x:v>
      </x:c>
      <x:c r="CC528" s="9" t="str">
        <x:v>1.5000000000000218</x:v>
      </x:c>
      <x:c r="CD528" s="6" t="str">
        <x:v>22943.22932690175</x:v>
      </x:c>
      <x:c r="CE528" s="6" t="str">
        <x:v>211.97932690175003</x:v>
      </x:c>
      <x:c r="CF528" s="6" t="str">
        <x:v>Fixed 2.00R target</x:v>
      </x:c>
      <x:c r="CG528" s="9" t="str">
        <x:v>0.006840289669718752</x:v>
      </x:c>
      <x:c r="CH528" s="9" t="str">
        <x:v>-1.0</x:v>
      </x:c>
      <x:c r="CI528" s="9" t="str">
        <x:v>-1.0068402896697188</x:v>
      </x:c>
      <x:c r="CJ528" s="6" t="str">
        <x:v>Loss</x:v>
      </x:c>
      <x:c r="CK528" s="9" t="str">
        <x:v>0.3656016892435885</x:v>
      </x:c>
      <x:c r="CL528" s="9" t="str">
        <x:v>1.1793602878825435</x:v>
      </x:c>
      <x:c r="CM528" s="7" t="str">
        <x:v>2025-11-18 11:25:00-06:00</x:v>
      </x:c>
      <x:c r="CN528" s="6" t="str">
        <x:v>22625.260336549123</x:v>
      </x:c>
      <x:c r="CO528" s="6" t="str">
        <x:v>STOP</x:v>
      </x:c>
      <x:c r="CP528" s="6" t="str">
        <x:v>F::Long::Same-bar Setup+BOS::Tolerance-only shallow touch</x:v>
      </x:c>
    </x:row>
    <x:row r="529" ht="18" customHeight="1">
      <x:c r="A529" s="6" t="str">
        <x:v>A0528</x:v>
      </x:c>
      <x:c r="B529" s="6" t="str">
        <x:v>2025-11-18</x:v>
      </x:c>
      <x:c r="C529" s="6" t="str">
        <x:v>2025</x:v>
      </x:c>
      <x:c r="D529" s="6" t="str">
        <x:v>2025-Q4</x:v>
      </x:c>
      <x:c r="E529" s="6" t="str">
        <x:v>Second 50%</x:v>
      </x:c>
      <x:c r="F529" s="6" t="str">
        <x:v>Long</x:v>
      </x:c>
      <x:c r="G529" s="6" t="str">
        <x:v>Long</x:v>
      </x:c>
      <x:c r="H529" s="6" t="str">
        <x:v>Morning</x:v>
      </x:c>
      <x:c r="I529" s="6" t="str">
        <x:v>Morning</x:v>
      </x:c>
      <x:c r="J529" s="6" t="str">
        <x:v>Bear</x:v>
      </x:c>
      <x:c r="K529" s="6" t="str">
        <x:v>Bear</x:v>
      </x:c>
      <x:c r="L529" s="6" t="str">
        <x:v>HIGH</x:v>
      </x:c>
      <x:c r="M529" s="7" t="str">
        <x:v>2025-11-18 11:40:00-06:00</x:v>
      </x:c>
      <x:c r="N529" s="6" t="str">
        <x:v>100.0</x:v>
      </x:c>
      <x:c r="O529" s="6" t="str">
        <x:v>95+</x:v>
      </x:c>
      <x:c r="P529" s="6" t="str">
        <x:v>Matching BOS only</x:v>
      </x:c>
      <x:c r="Q529" s="6" t="str">
        <x:v>Bull BOS</x:v>
      </x:c>
      <x:c r="R529" s="6" t="str">
        <x:v>True</x:v>
      </x:c>
      <x:c r="S529" s="6" t="str">
        <x:v>False</x:v>
      </x:c>
      <x:c r="T529" s="6" t="str">
        <x:v>Recent SSL</x:v>
      </x:c>
      <x:c r="U529" s="6" t="str">
        <x:v>SSL</x:v>
      </x:c>
      <x:c r="V529" s="6" t="str">
        <x:v>Swing low / sell-side</x:v>
      </x:c>
      <x:c r="W529" s="6" t="str">
        <x:v>[22487.25]</x:v>
      </x:c>
      <x:c r="X529" s="8" t="str">
        <x:v>1</x:v>
      </x:c>
      <x:c r="Y529" s="8" t="str">
        <x:v>20.0</x:v>
      </x:c>
      <x:c r="Z529" s="6" t="str">
        <x:v>None</x:v>
      </x:c>
      <x:c r="AA529" s="6" t="str">
        <x:v>22774.25</x:v>
      </x:c>
      <x:c r="AB529" s="9" t="str">
        <x:v>0.3372578251887564</x:v>
      </x:c>
      <x:c r="AC529" s="9" t="str">
        <x:v>1.136026358530548</x:v>
      </x:c>
      <x:c r="AD529" s="9" t="str">
        <x:v>1.334830971273394</x:v>
      </x:c>
      <x:c r="AE529" s="6" t="str">
        <x:v>With trade</x:v>
      </x:c>
      <x:c r="AF529" s="7" t="str">
        <x:v>2025-11-18 11:40:00-06:00</x:v>
      </x:c>
      <x:c r="AG529" s="6" t="str">
        <x:v>Long</x:v>
      </x:c>
      <x:c r="AH529" s="6" t="str">
        <x:v>22774.25</x:v>
      </x:c>
      <x:c r="AI529" s="8" t="str">
        <x:v>0</x:v>
      </x:c>
      <x:c r="AJ529" s="6" t="str">
        <x:v>True</x:v>
      </x:c>
      <x:c r="AK529" s="6" t="str">
        <x:v>Same-bar Setup+BOS</x:v>
      </x:c>
      <x:c r="AL529" s="9" t="str">
        <x:v>1.1679770998642196</x:v>
      </x:c>
      <x:c r="AM529" s="9" t="str">
        <x:v>0.3372578251887564</x:v>
      </x:c>
      <x:c r="AN529" s="9" t="str">
        <x:v>1.136026358530548</x:v>
      </x:c>
      <x:c r="AO529" s="9" t="str">
        <x:v>1.334830971273394</x:v>
      </x:c>
      <x:c r="AP529" s="10" t="str">
        <x:v>0.851063829787234</x:v>
      </x:c>
      <x:c r="AQ529" s="6" t="str">
        <x:v>0.14893617021276595</x:v>
      </x:c>
      <x:c r="AR529" s="6" t="str">
        <x:v>0.0</x:v>
      </x:c>
      <x:c r="AS529" s="6" t="str">
        <x:v>With trade</x:v>
      </x:c>
      <x:c r="AT529" s="6" t="str">
        <x:v>1.3107623655644414</x:v>
      </x:c>
      <x:c r="AU529" s="7" t="str">
        <x:v>2025-11-18 11:45:00-06:00</x:v>
      </x:c>
      <x:c r="AV529" s="8" t="str">
        <x:v>1</x:v>
      </x:c>
      <x:c r="AW529" s="6" t="str">
        <x:v>Immediate retest (1 bar)</x:v>
      </x:c>
      <x:c r="AX529" s="6" t="str">
        <x:v>22739.5</x:v>
      </x:c>
      <x:c r="AY529" s="6" t="str">
        <x:v>34.75</x:v>
      </x:c>
      <x:c r="AZ529" s="9" t="str">
        <x:v>0.4935470042352528</x:v>
      </x:c>
      <x:c r="BA529" s="9" t="str">
        <x:v>0.3586204850918024</x:v>
      </x:c>
      <x:c r="BB529" s="9" t="str">
        <x:v>0.9977461020870937</x:v>
      </x:c>
      <x:c r="BC529" s="9" t="str">
        <x:v>0.017753489360980316</x:v>
      </x:c>
      <x:c r="BD529" s="6" t="str">
        <x:v>0.14590747330960854</x:v>
      </x:c>
      <x:c r="BE529" s="6" t="str">
        <x:v>0.8362989323843416</x:v>
      </x:c>
      <x:c r="BF529" s="9" t="str">
        <x:v>0.8344139999660748</x:v>
      </x:c>
      <x:c r="BG529" s="9" t="str">
        <x:v>0.14557861276003858</x:v>
      </x:c>
      <x:c r="BH529" s="6" t="str">
        <x:v>With trade</x:v>
      </x:c>
      <x:c r="BI529" s="6" t="str">
        <x:v>Penetration + same-bar reclaim</x:v>
      </x:c>
      <x:c r="BJ529" s="6" t="str">
        <x:v>False</x:v>
      </x:c>
      <x:c r="BK529" s="10" t="str">
        <x:v>True</x:v>
      </x:c>
      <x:c r="BL529" s="6" t="str">
        <x:v>True</x:v>
      </x:c>
      <x:c r="BM529" s="7" t="str">
        <x:v>2025-11-18 11:50:00-06:00</x:v>
      </x:c>
      <x:c r="BN529" s="8" t="str">
        <x:v>1</x:v>
      </x:c>
      <x:c r="BO529" s="6" t="str">
        <x:v>Immediate confirmation (1 bar)</x:v>
      </x:c>
      <x:c r="BP529" s="9" t="str">
        <x:v>0.27161897574570415</x:v>
      </x:c>
      <x:c r="BQ529" s="9" t="str">
        <x:v>0.9149270761960562</x:v>
      </x:c>
      <x:c r="BR529" s="10" t="str">
        <x:v>0.296875</x:v>
      </x:c>
      <x:c r="BS529" s="9" t="str">
        <x:v>0.6290123648847886</x:v>
      </x:c>
      <x:c r="BT529" s="9" t="str">
        <x:v>0.2680450418543133</x:v>
      </x:c>
      <x:c r="BU529" s="9" t="str">
        <x:v>0.5611076209483625</x:v>
      </x:c>
      <x:c r="BV529" s="6" t="str">
        <x:v>With trade</x:v>
      </x:c>
      <x:c r="BW529" s="7" t="str">
        <x:v>2025-11-18 11:50:00-06:00</x:v>
      </x:c>
      <x:c r="BX529" s="6" t="str">
        <x:v>22818.25</x:v>
      </x:c>
      <x:c r="BY529" s="9" t="str">
        <x:v>69.95093015072787</x:v>
      </x:c>
      <x:c r="BZ529" s="9" t="str">
        <x:v>0.78</x:v>
      </x:c>
      <x:c r="CA529" s="6" t="str">
        <x:v>22713.32360477391</x:v>
      </x:c>
      <x:c r="CB529" s="6" t="str">
        <x:v>104.9263952260917</x:v>
      </x:c>
      <x:c r="CC529" s="9" t="str">
        <x:v>1.4999999999999984</x:v>
      </x:c>
      <x:c r="CD529" s="6" t="str">
        <x:v>23028.102790452183</x:v>
      </x:c>
      <x:c r="CE529" s="6" t="str">
        <x:v>209.8527904521834</x:v>
      </x:c>
      <x:c r="CF529" s="6" t="str">
        <x:v>Fixed 2.00R target</x:v>
      </x:c>
      <x:c r="CG529" s="9" t="str">
        <x:v>0.006909605523355639</x:v>
      </x:c>
      <x:c r="CH529" s="9" t="str">
        <x:v>0.3478628987620422</x:v>
      </x:c>
      <x:c r="CI529" s="9" t="str">
        <x:v>0.34095329323868656</x:v>
      </x:c>
      <x:c r="CJ529" s="6" t="str">
        <x:v>Win</x:v>
      </x:c>
      <x:c r="CK529" s="9" t="str">
        <x:v>0.6051861389421835</x:v>
      </x:c>
      <x:c r="CL529" s="9" t="str">
        <x:v>0.31927142763091576</x:v>
      </x:c>
      <x:c r="CM529" s="7" t="str">
        <x:v>2025-11-18 12:50:00-06:00</x:v>
      </x:c>
      <x:c r="CN529" s="6" t="str">
        <x:v>22854.75</x:v>
      </x:c>
      <x:c r="CO529" s="6" t="str">
        <x:v>TIME</x:v>
      </x:c>
      <x:c r="CP529" s="6" t="str">
        <x:v>F::Long::Same-bar Setup+BOS::Penetration + same-bar reclaim</x:v>
      </x:c>
    </x:row>
    <x:row r="530" ht="18" customHeight="1">
      <x:c r="A530" s="6" t="str">
        <x:v>A0529</x:v>
      </x:c>
      <x:c r="B530" s="6" t="str">
        <x:v>2025-11-19</x:v>
      </x:c>
      <x:c r="C530" s="6" t="str">
        <x:v>2025</x:v>
      </x:c>
      <x:c r="D530" s="6" t="str">
        <x:v>2025-Q4</x:v>
      </x:c>
      <x:c r="E530" s="6" t="str">
        <x:v>Second 50%</x:v>
      </x:c>
      <x:c r="F530" s="6" t="str">
        <x:v>Long</x:v>
      </x:c>
      <x:c r="G530" s="6" t="str">
        <x:v>Long</x:v>
      </x:c>
      <x:c r="H530" s="6" t="str">
        <x:v>Overnight</x:v>
      </x:c>
      <x:c r="I530" s="6" t="str">
        <x:v>Overnight</x:v>
      </x:c>
      <x:c r="J530" s="6" t="str">
        <x:v>Bear</x:v>
      </x:c>
      <x:c r="K530" s="6" t="str">
        <x:v>Bear</x:v>
      </x:c>
      <x:c r="L530" s="6" t="str">
        <x:v>LOW</x:v>
      </x:c>
      <x:c r="M530" s="7" t="str">
        <x:v>2025-11-19 03:05:00-06:00</x:v>
      </x:c>
      <x:c r="N530" s="6" t="str">
        <x:v>75.0</x:v>
      </x:c>
      <x:c r="O530" s="6" t="str">
        <x:v>75-79</x:v>
      </x:c>
      <x:c r="P530" s="6" t="str">
        <x:v>Matching liquidity sweep only</x:v>
      </x:c>
      <x:c r="Q530" s="6" t="str">
        <x:v>Recent bull structure</x:v>
      </x:c>
      <x:c r="R530" s="6" t="str">
        <x:v>False</x:v>
      </x:c>
      <x:c r="S530" s="6" t="str">
        <x:v>True</x:v>
      </x:c>
      <x:c r="T530" s="6" t="str">
        <x:v>Recent SSL</x:v>
      </x:c>
      <x:c r="U530" s="6" t="str">
        <x:v>SSL</x:v>
      </x:c>
      <x:c r="V530" s="6" t="str">
        <x:v>Swing low / sell-side</x:v>
      </x:c>
      <x:c r="W530" s="6" t="str">
        <x:v>[22648.25]</x:v>
      </x:c>
      <x:c r="X530" s="8" t="str">
        <x:v>1</x:v>
      </x:c>
      <x:c r="Y530" s="8" t="str">
        <x:v>0.0</x:v>
      </x:c>
      <x:c r="Z530" s="6" t="str">
        <x:v>Both CRT sweeps</x:v>
      </x:c>
      <x:c r="AA530" s="6" t="str">
        <x:v>22729.25</x:v>
      </x:c>
      <x:c r="AB530" s="9" t="str">
        <x:v>-1.838743496255621</x:v>
      </x:c>
      <x:c r="AC530" s="9" t="str">
        <x:v>0.7093629731747574</x:v>
      </x:c>
      <x:c r="AD530" s="9" t="str">
        <x:v>1.353389883030787</x:v>
      </x:c>
      <x:c r="AE530" s="6" t="str">
        <x:v>With trade</x:v>
      </x:c>
      <x:c r="AF530" s="7" t="str">
        <x:v>2025-11-19 03:45:00-06:00</x:v>
      </x:c>
      <x:c r="AG530" s="6" t="str">
        <x:v>Long</x:v>
      </x:c>
      <x:c r="AH530" s="6" t="str">
        <x:v>22729.25</x:v>
      </x:c>
      <x:c r="AI530" s="8" t="str">
        <x:v>8</x:v>
      </x:c>
      <x:c r="AJ530" s="6" t="str">
        <x:v>False</x:v>
      </x:c>
      <x:c r="AK530" s="6" t="str">
        <x:v>Delayed BOS</x:v>
      </x:c>
      <x:c r="AL530" s="9" t="str">
        <x:v>0.4562750035436191</x:v>
      </x:c>
      <x:c r="AM530" s="9" t="str">
        <x:v>0.12443863733007794</x:v>
      </x:c>
      <x:c r="AN530" s="9" t="str">
        <x:v>0.46664488998779224</x:v>
      </x:c>
      <x:c r="AO530" s="9" t="str">
        <x:v>0.8814403477547187</x:v>
      </x:c>
      <x:c r="AP530" s="10" t="str">
        <x:v>0.5294117647058824</x:v>
      </x:c>
      <x:c r="AQ530" s="6" t="str">
        <x:v>0.32941176470588235</x:v>
      </x:c>
      <x:c r="AR530" s="6" t="str">
        <x:v>0.1411764705882353</x:v>
      </x:c>
      <x:c r="AS530" s="6" t="str">
        <x:v>With trade</x:v>
      </x:c>
      <x:c r="AT530" s="6" t="str">
        <x:v>1.3197888337865942</x:v>
      </x:c>
      <x:c r="AU530" s="7" t="str">
        <x:v>2025-11-19 03:50:00-06:00</x:v>
      </x:c>
      <x:c r="AV530" s="8" t="str">
        <x:v>1</x:v>
      </x:c>
      <x:c r="AW530" s="6" t="str">
        <x:v>Immediate retest (1 bar)</x:v>
      </x:c>
      <x:c r="AX530" s="6" t="str">
        <x:v>22729.75</x:v>
      </x:c>
      <x:c r="AY530" s="6" t="str">
        <x:v>0.0</x:v>
      </x:c>
      <x:c r="AZ530" s="9" t="str">
        <x:v>0.0</x:v>
      </x:c>
      <x:c r="BA530" s="9" t="str">
        <x:v>0.9782073579497101</x:v>
      </x:c>
      <x:c r="BB530" s="9" t="str">
        <x:v>1.0914734730807292</x:v>
      </x:c>
      <x:c r="BC530" s="9" t="str">
        <x:v>0.7825658863597681</x:v>
      </x:c>
      <x:c r="BD530" s="6" t="str">
        <x:v>0.12264150943396226</x:v>
      </x:c>
      <x:c r="BE530" s="6" t="str">
        <x:v>0.16037735849056603</x:v>
      </x:c>
      <x:c r="BF530" s="9" t="str">
        <x:v>0.1750476324752113</x:v>
      </x:c>
      <x:c r="BG530" s="9" t="str">
        <x:v>0.1338599542457498</x:v>
      </x:c>
      <x:c r="BH530" s="6" t="str">
        <x:v>With trade</x:v>
      </x:c>
      <x:c r="BI530" s="6" t="str">
        <x:v>Tolerance-only shallow touch</x:v>
      </x:c>
      <x:c r="BJ530" s="6" t="str">
        <x:v>True</x:v>
      </x:c>
      <x:c r="BK530" s="10" t="str">
        <x:v>False</x:v>
      </x:c>
      <x:c r="BL530" s="6" t="str">
        <x:v>True</x:v>
      </x:c>
      <x:c r="BM530" s="7" t="str">
        <x:v>2025-11-19 03:55:00-06:00</x:v>
      </x:c>
      <x:c r="BN530" s="8" t="str">
        <x:v>1</x:v>
      </x:c>
      <x:c r="BO530" s="6" t="str">
        <x:v>Immediate confirmation (1 bar)</x:v>
      </x:c>
      <x:c r="BP530" s="9" t="str">
        <x:v>0.021333113827443472</x:v>
      </x:c>
      <x:c r="BQ530" s="9" t="str">
        <x:v>0.5333278456860868</x:v>
      </x:c>
      <x:c r="BR530" s="10" t="str">
        <x:v>0.04</x:v>
      </x:c>
      <x:c r="BS530" s="9" t="str">
        <x:v>1.0453225775447301</x:v>
      </x:c>
      <x:c r="BT530" s="9" t="str">
        <x:v>0.031999670741165206</x:v>
      </x:c>
      <x:c r="BU530" s="9" t="str">
        <x:v>0.25599736592932165</x:v>
      </x:c>
      <x:c r="BV530" s="6" t="str">
        <x:v>With trade</x:v>
      </x:c>
      <x:c r="BW530" s="7" t="str">
        <x:v>2025-11-19 03:55:00-06:00</x:v>
      </x:c>
      <x:c r="BX530" s="6" t="str">
        <x:v>22753.75</x:v>
      </x:c>
      <x:c r="BY530" s="9" t="str">
        <x:v>23.437741158854504</x:v>
      </x:c>
      <x:c r="BZ530" s="9" t="str">
        <x:v>0.0</x:v>
      </x:c>
      <x:c r="CA530" s="6" t="str">
        <x:v>22718.593388261717</x:v>
      </x:c>
      <x:c r="CB530" s="6" t="str">
        <x:v>35.15661173828266</x:v>
      </x:c>
      <x:c r="CC530" s="9" t="str">
        <x:v>1.5000000000000386</x:v>
      </x:c>
      <x:c r="CD530" s="6" t="str">
        <x:v>22824.063223476565</x:v>
      </x:c>
      <x:c r="CE530" s="6" t="str">
        <x:v>70.31322347656533</x:v>
      </x:c>
      <x:c r="CF530" s="6" t="str">
        <x:v>Fixed 2.00R target</x:v>
      </x:c>
      <x:c r="CG530" s="9" t="str">
        <x:v>0.020622010033194825</x:v>
      </x:c>
      <x:c r="CH530" s="9" t="str">
        <x:v>0.67554860453571</x:v>
      </x:c>
      <x:c r="CI530" s="9" t="str">
        <x:v>0.6549265945025151</x:v>
      </x:c>
      <x:c r="CJ530" s="6" t="str">
        <x:v>Win</x:v>
      </x:c>
      <x:c r="CK530" s="9" t="str">
        <x:v>0.9599901222349314</x:v>
      </x:c>
      <x:c r="CL530" s="9" t="str">
        <x:v>0.3839960488939726</x:v>
      </x:c>
      <x:c r="CM530" s="7" t="str">
        <x:v>2025-11-19 04:55:00-06:00</x:v>
      </x:c>
      <x:c r="CN530" s="6" t="str">
        <x:v>22777.5</x:v>
      </x:c>
      <x:c r="CO530" s="6" t="str">
        <x:v>TIME</x:v>
      </x:c>
      <x:c r="CP530" s="6" t="str">
        <x:v>F::Long::Delayed BOS::Tolerance-only shallow touch</x:v>
      </x:c>
    </x:row>
    <x:row r="531" ht="18" customHeight="1">
      <x:c r="A531" s="6" t="str">
        <x:v>A0530</x:v>
      </x:c>
      <x:c r="B531" s="6" t="str">
        <x:v>2025-11-20</x:v>
      </x:c>
      <x:c r="C531" s="6" t="str">
        <x:v>2025</x:v>
      </x:c>
      <x:c r="D531" s="6" t="str">
        <x:v>2025-Q4</x:v>
      </x:c>
      <x:c r="E531" s="6" t="str">
        <x:v>Second 50%</x:v>
      </x:c>
      <x:c r="F531" s="6" t="str">
        <x:v>Short</x:v>
      </x:c>
      <x:c r="G531" s="6" t="str">
        <x:v>Short</x:v>
      </x:c>
      <x:c r="H531" s="6" t="str">
        <x:v>Afternoon</x:v>
      </x:c>
      <x:c r="I531" s="6" t="str">
        <x:v>Afternoon</x:v>
      </x:c>
      <x:c r="J531" s="6" t="str">
        <x:v>Bear</x:v>
      </x:c>
      <x:c r="K531" s="6" t="str">
        <x:v>Bear</x:v>
      </x:c>
      <x:c r="L531" s="6" t="str">
        <x:v>MID</x:v>
      </x:c>
      <x:c r="M531" s="7" t="str">
        <x:v>2025-11-20 14:35:00-06:00</x:v>
      </x:c>
      <x:c r="N531" s="6" t="str">
        <x:v>75.0</x:v>
      </x:c>
      <x:c r="O531" s="6" t="str">
        <x:v>75-79</x:v>
      </x:c>
      <x:c r="P531" s="6" t="str">
        <x:v>Matching BOS only</x:v>
      </x:c>
      <x:c r="Q531" s="6" t="str">
        <x:v>Bear CHoCH</x:v>
      </x:c>
      <x:c r="R531" s="6" t="str">
        <x:v>True</x:v>
      </x:c>
      <x:c r="S531" s="6" t="str">
        <x:v>False</x:v>
      </x:c>
      <x:c r="T531" s="6" t="str">
        <x:v>No recent matching sweep</x:v>
      </x:c>
      <x:c r="U531" s="6" t="str">
        <x:v>None</x:v>
      </x:c>
      <x:c r="V531" s="6" t="str">
        <x:v>None</x:v>
      </x:c>
      <x:c r="W531" s="6" t="str">
        <x:v>[]</x:v>
      </x:c>
      <x:c r="X531" s="8" t="str">
        <x:v>0</x:v>
      </x:c>
      <x:c r="Y531" s="8" t="str"/>
      <x:c r="Z531" s="6" t="str">
        <x:v>None</x:v>
      </x:c>
      <x:c r="AA531" s="6" t="str">
        <x:v>22282.25</x:v>
      </x:c>
      <x:c r="AB531" s="9" t="str">
        <x:v>0.2766179480187265</x:v>
      </x:c>
      <x:c r="AC531" s="9" t="str">
        <x:v>0.8798450394812506</x:v>
      </x:c>
      <x:c r="AD531" s="9" t="str">
        <x:v>1.0998062993515634</x:v>
      </x:c>
      <x:c r="AE531" s="6" t="str">
        <x:v>With trade</x:v>
      </x:c>
      <x:c r="AF531" s="7" t="str">
        <x:v>2025-11-20 14:35:00-06:00</x:v>
      </x:c>
      <x:c r="AG531" s="6" t="str">
        <x:v>Short</x:v>
      </x:c>
      <x:c r="AH531" s="6" t="str">
        <x:v>22282.25</x:v>
      </x:c>
      <x:c r="AI531" s="8" t="str">
        <x:v>0</x:v>
      </x:c>
      <x:c r="AJ531" s="6" t="str">
        <x:v>True</x:v>
      </x:c>
      <x:c r="AK531" s="6" t="str">
        <x:v>Same-bar Setup+BOS</x:v>
      </x:c>
      <x:c r="AL531" s="9" t="str">
        <x:v>0.8731795467579078</x:v>
      </x:c>
      <x:c r="AM531" s="9" t="str">
        <x:v>0.2766179480187265</x:v>
      </x:c>
      <x:c r="AN531" s="9" t="str">
        <x:v>0.8798450394812506</x:v>
      </x:c>
      <x:c r="AO531" s="9" t="str">
        <x:v>1.0998062993515634</x:v>
      </x:c>
      <x:c r="AP531" s="10" t="str">
        <x:v>0.8</x:v>
      </x:c>
      <x:c r="AQ531" s="6" t="str">
        <x:v>0.11212121212121212</x:v>
      </x:c>
      <x:c r="AR531" s="6" t="str">
        <x:v>0.08787878787878788</x:v>
      </x:c>
      <x:c r="AS531" s="6" t="str">
        <x:v>With trade</x:v>
      </x:c>
      <x:c r="AT531" s="6" t="str">
        <x:v>1.2088609709646163</x:v>
      </x:c>
      <x:c r="AU531" s="7" t="str">
        <x:v>2025-11-20 14:40:00-06:00</x:v>
      </x:c>
      <x:c r="AV531" s="8" t="str">
        <x:v>1</x:v>
      </x:c>
      <x:c r="AW531" s="6" t="str">
        <x:v>Immediate retest (1 bar)</x:v>
      </x:c>
      <x:c r="AX531" s="6" t="str">
        <x:v>22280.75</x:v>
      </x:c>
      <x:c r="AY531" s="6" t="str">
        <x:v>0.0</x:v>
      </x:c>
      <x:c r="AZ531" s="9" t="str">
        <x:v>0.0</x:v>
      </x:c>
      <x:c r="BA531" s="9" t="str">
        <x:v>0.5955018039720337</x:v>
      </x:c>
      <x:c r="BB531" s="9" t="str">
        <x:v>0.8018973155759771</x:v>
      </x:c>
      <x:c r="BC531" s="9" t="str">
        <x:v>0.3214356328258136</x:v>
      </x:c>
      <x:c r="BD531" s="6" t="str">
        <x:v>0.31645569620253167</x:v>
      </x:c>
      <x:c r="BE531" s="6" t="str">
        <x:v>0.28270042194092826</x:v>
      </x:c>
      <x:c r="BF531" s="9" t="str">
        <x:v>0.25376497328353703</x:v>
      </x:c>
      <x:c r="BG531" s="9" t="str">
        <x:v>0.22669670946662643</x:v>
      </x:c>
      <x:c r="BH531" s="6" t="str">
        <x:v>With trade</x:v>
      </x:c>
      <x:c r="BI531" s="6" t="str">
        <x:v>Tolerance-only shallow touch</x:v>
      </x:c>
      <x:c r="BJ531" s="6" t="str">
        <x:v>True</x:v>
      </x:c>
      <x:c r="BK531" s="10" t="str">
        <x:v>False</x:v>
      </x:c>
      <x:c r="BL531" s="6" t="str">
        <x:v>True</x:v>
      </x:c>
      <x:c r="BM531" s="7" t="str">
        <x:v>2025-11-20 14:45:00-06:00</x:v>
      </x:c>
      <x:c r="BN531" s="8" t="str">
        <x:v>1</x:v>
      </x:c>
      <x:c r="BO531" s="6" t="str">
        <x:v>Immediate confirmation (1 bar)</x:v>
      </x:c>
      <x:c r="BP531" s="9" t="str">
        <x:v>0.8262794811400551</x:v>
      </x:c>
      <x:c r="BQ531" s="9" t="str">
        <x:v>1.042123917029702</x:v>
      </x:c>
      <x:c r="BR531" s="10" t="str">
        <x:v>0.7928802588996764</x:v>
      </x:c>
      <x:c r="BS531" s="9" t="str">
        <x:v>1.4164791105258088</x:v>
      </x:c>
      <x:c r="BT531" s="9" t="str">
        <x:v>0.8229069118292793</x:v>
      </x:c>
      <x:c r="BU531" s="9" t="str">
        <x:v>0.18886388140344115</x:v>
      </x:c>
      <x:c r="BV531" s="6" t="str">
        <x:v>With trade</x:v>
      </x:c>
      <x:c r="BW531" s="7" t="str">
        <x:v>2025-11-20 14:45:00-06:00</x:v>
      </x:c>
      <x:c r="BX531" s="6" t="str">
        <x:v>22177.25</x:v>
      </x:c>
      <x:c r="BY531" s="9" t="str">
        <x:v>74.12746098389205</x:v>
      </x:c>
      <x:c r="BZ531" s="9" t="str">
        <x:v>0.54</x:v>
      </x:c>
      <x:c r="CA531" s="6" t="str">
        <x:v>22288.44119147584</x:v>
      </x:c>
      <x:c r="CB531" s="6" t="str">
        <x:v>111.19119147583842</x:v>
      </x:c>
      <x:c r="CC531" s="9" t="str">
        <x:v>1.5000000000000047</x:v>
      </x:c>
      <x:c r="CD531" s="6" t="str">
        <x:v>21954.867617048323</x:v>
      </x:c>
      <x:c r="CE531" s="6" t="str">
        <x:v>222.38238295167685</x:v>
      </x:c>
      <x:c r="CF531" s="6" t="str">
        <x:v>Fixed 2.00R target</x:v>
      </x:c>
      <x:c r="CG531" s="9" t="str">
        <x:v>0.006520300667499734</x:v>
      </x:c>
      <x:c r="CH531" s="9" t="str">
        <x:v>0.004496759081034313</x:v>
      </x:c>
      <x:c r="CI531" s="9" t="str">
        <x:v>-0.0020235415864654207</x:v>
      </x:c>
      <x:c r="CJ531" s="6" t="str">
        <x:v>Loss</x:v>
      </x:c>
      <x:c r="CK531" s="9" t="str">
        <x:v>0.17987036324137198</x:v>
      </x:c>
      <x:c r="CL531" s="9" t="str">
        <x:v>0.7959263573430709</x:v>
      </x:c>
      <x:c r="CM531" s="7" t="str">
        <x:v>2025-11-20 15:45:00-06:00</x:v>
      </x:c>
      <x:c r="CN531" s="6" t="str">
        <x:v>22176.75</x:v>
      </x:c>
      <x:c r="CO531" s="6" t="str">
        <x:v>TIME</x:v>
      </x:c>
      <x:c r="CP531" s="6" t="str">
        <x:v>F::Short::Same-bar Setup+BOS::Tolerance-only shallow touch</x:v>
      </x:c>
    </x:row>
    <x:row r="532" ht="18" customHeight="1">
      <x:c r="A532" s="6" t="str">
        <x:v>A0531</x:v>
      </x:c>
      <x:c r="B532" s="6" t="str">
        <x:v>2025-11-21</x:v>
      </x:c>
      <x:c r="C532" s="6" t="str">
        <x:v>2025</x:v>
      </x:c>
      <x:c r="D532" s="6" t="str">
        <x:v>2025-Q4</x:v>
      </x:c>
      <x:c r="E532" s="6" t="str">
        <x:v>Second 50%</x:v>
      </x:c>
      <x:c r="F532" s="6" t="str">
        <x:v>Long</x:v>
      </x:c>
      <x:c r="G532" s="6" t="str">
        <x:v>Long</x:v>
      </x:c>
      <x:c r="H532" s="6" t="str">
        <x:v>Morning</x:v>
      </x:c>
      <x:c r="I532" s="6" t="str">
        <x:v>Morning</x:v>
      </x:c>
      <x:c r="J532" s="6" t="str">
        <x:v>Neutral</x:v>
      </x:c>
      <x:c r="K532" s="6" t="str">
        <x:v>Bear</x:v>
      </x:c>
      <x:c r="L532" s="6" t="str">
        <x:v>HIGH</x:v>
      </x:c>
      <x:c r="M532" s="7" t="str">
        <x:v>2025-11-21 10:55:00-06:00</x:v>
      </x:c>
      <x:c r="N532" s="6" t="str">
        <x:v>75.0</x:v>
      </x:c>
      <x:c r="O532" s="6" t="str">
        <x:v>75-79</x:v>
      </x:c>
      <x:c r="P532" s="6" t="str">
        <x:v>Matching BOS only</x:v>
      </x:c>
      <x:c r="Q532" s="6" t="str">
        <x:v>Bull CHoCH</x:v>
      </x:c>
      <x:c r="R532" s="6" t="str">
        <x:v>True</x:v>
      </x:c>
      <x:c r="S532" s="6" t="str">
        <x:v>False</x:v>
      </x:c>
      <x:c r="T532" s="6" t="str">
        <x:v>No recent matching sweep</x:v>
      </x:c>
      <x:c r="U532" s="6" t="str">
        <x:v>None</x:v>
      </x:c>
      <x:c r="V532" s="6" t="str">
        <x:v>None</x:v>
      </x:c>
      <x:c r="W532" s="6" t="str">
        <x:v>[]</x:v>
      </x:c>
      <x:c r="X532" s="8" t="str">
        <x:v>0</x:v>
      </x:c>
      <x:c r="Y532" s="8" t="str"/>
      <x:c r="Z532" s="6" t="str">
        <x:v>None</x:v>
      </x:c>
      <x:c r="AA532" s="6" t="str">
        <x:v>22375.25</x:v>
      </x:c>
      <x:c r="AB532" s="9" t="str">
        <x:v>0.8556938154403914</x:v>
      </x:c>
      <x:c r="AC532" s="9" t="str">
        <x:v>1.1236383435075845</x:v>
      </x:c>
      <x:c r="AD532" s="9" t="str">
        <x:v>1.1495684591269903</x:v>
      </x:c>
      <x:c r="AE532" s="6" t="str">
        <x:v>With trade</x:v>
      </x:c>
      <x:c r="AF532" s="7" t="str">
        <x:v>2025-11-21 10:55:00-06:00</x:v>
      </x:c>
      <x:c r="AG532" s="6" t="str">
        <x:v>Long</x:v>
      </x:c>
      <x:c r="AH532" s="6" t="str">
        <x:v>22375.25</x:v>
      </x:c>
      <x:c r="AI532" s="8" t="str">
        <x:v>0</x:v>
      </x:c>
      <x:c r="AJ532" s="6" t="str">
        <x:v>True</x:v>
      </x:c>
      <x:c r="AK532" s="6" t="str">
        <x:v>Same-bar Setup+BOS</x:v>
      </x:c>
      <x:c r="AL532" s="9" t="str">
        <x:v>1.129400591423008</x:v>
      </x:c>
      <x:c r="AM532" s="9" t="str">
        <x:v>0.8556938154403914</x:v>
      </x:c>
      <x:c r="AN532" s="9" t="str">
        <x:v>1.1236383435075845</x:v>
      </x:c>
      <x:c r="AO532" s="9" t="str">
        <x:v>1.1495684591269903</x:v>
      </x:c>
      <x:c r="AP532" s="10" t="str">
        <x:v>0.9774436090225563</x:v>
      </x:c>
      <x:c r="AQ532" s="6" t="str">
        <x:v>0.010025062656641603</x:v>
      </x:c>
      <x:c r="AR532" s="6" t="str">
        <x:v>0.012531328320802004</x:v>
      </x:c>
      <x:c r="AS532" s="6" t="str">
        <x:v>With trade</x:v>
      </x:c>
      <x:c r="AT532" s="6" t="str">
        <x:v>1.0528951486697966</x:v>
      </x:c>
      <x:c r="AU532" s="7" t="str">
        <x:v>2025-11-21 11:20:00-06:00</x:v>
      </x:c>
      <x:c r="AV532" s="8" t="str">
        <x:v>5</x:v>
      </x:c>
      <x:c r="AW532" s="6" t="str">
        <x:v>Delayed retest (2+ bars)</x:v>
      </x:c>
      <x:c r="AX532" s="6" t="str">
        <x:v>22382.75</x:v>
      </x:c>
      <x:c r="AY532" s="6" t="str">
        <x:v>0.0</x:v>
      </x:c>
      <x:c r="AZ532" s="9" t="str">
        <x:v>0.0</x:v>
      </x:c>
      <x:c r="BA532" s="9" t="str">
        <x:v>1.0223304842187955</x:v>
      </x:c>
      <x:c r="BB532" s="9" t="str">
        <x:v>1.0191456540498895</x:v>
      </x:c>
      <x:c r="BC532" s="9" t="str">
        <x:v>0.6528901846257105</x:v>
      </x:c>
      <x:c r="BD532" s="6" t="str">
        <x:v>0.090625</x:v>
      </x:c>
      <x:c r="BE532" s="6" t="str">
        <x:v>0.26875</x:v>
      </x:c>
      <x:c r="BF532" s="9" t="str">
        <x:v>0.27389539452590783</x:v>
      </x:c>
      <x:c r="BG532" s="9" t="str">
        <x:v>0.09236007489827125</x:v>
      </x:c>
      <x:c r="BH532" s="6" t="str">
        <x:v>With trade</x:v>
      </x:c>
      <x:c r="BI532" s="6" t="str">
        <x:v>Tolerance-only shallow touch</x:v>
      </x:c>
      <x:c r="BJ532" s="6" t="str">
        <x:v>True</x:v>
      </x:c>
      <x:c r="BK532" s="10" t="str">
        <x:v>False</x:v>
      </x:c>
      <x:c r="BL532" s="6" t="str">
        <x:v>True</x:v>
      </x:c>
      <x:c r="BM532" s="7" t="str">
        <x:v>2025-11-21 11:30:00-06:00</x:v>
      </x:c>
      <x:c r="BN532" s="8" t="str">
        <x:v>2</x:v>
      </x:c>
      <x:c r="BO532" s="6" t="str">
        <x:v>Delayed confirmation (2+ bars)</x:v>
      </x:c>
      <x:c r="BP532" s="9" t="str">
        <x:v>0.3871799172375371</x:v>
      </x:c>
      <x:c r="BQ532" s="9" t="str">
        <x:v>0.6174852128357272</x:v>
      </x:c>
      <x:c r="BR532" s="10" t="str">
        <x:v>0.6270270270270271</x:v>
      </x:c>
      <x:c r="BS532" s="9" t="str">
        <x:v>1.1849040570631524</x:v>
      </x:c>
      <x:c r="BT532" s="9" t="str">
        <x:v>0.11348376884548501</x:v>
      </x:c>
      <x:c r="BU532" s="9" t="str">
        <x:v>0.043390852793861914</x:v>
      </x:c>
      <x:c r="BV532" s="6" t="str">
        <x:v>With trade</x:v>
      </x:c>
      <x:c r="BW532" s="7" t="str">
        <x:v>2025-11-21 11:30:00-06:00</x:v>
      </x:c>
      <x:c r="BX532" s="6" t="str">
        <x:v>22464.0</x:v>
      </x:c>
      <x:c r="BY532" s="9" t="str">
        <x:v>74.90057905614029</x:v>
      </x:c>
      <x:c r="BZ532" s="9" t="str">
        <x:v>0.7</x:v>
      </x:c>
      <x:c r="CA532" s="6" t="str">
        <x:v>22351.64913141579</x:v>
      </x:c>
      <x:c r="CB532" s="6" t="str">
        <x:v>112.35086858420982</x:v>
      </x:c>
      <x:c r="CC532" s="9" t="str">
        <x:v>1.4999999999999918</x:v>
      </x:c>
      <x:c r="CD532" s="6" t="str">
        <x:v>22688.70173716842</x:v>
      </x:c>
      <x:c r="CE532" s="6" t="str">
        <x:v>224.70173716841964</x:v>
      </x:c>
      <x:c r="CF532" s="6" t="str">
        <x:v>Fixed 2.00R target</x:v>
      </x:c>
      <x:c r="CG532" s="9" t="str">
        <x:v>0.006452998620625653</x:v>
      </x:c>
      <x:c r="CH532" s="9" t="str">
        <x:v>-1.0</x:v>
      </x:c>
      <x:c r="CI532" s="9" t="str">
        <x:v>-1.0064529986206256</x:v>
      </x:c>
      <x:c r="CJ532" s="6" t="str">
        <x:v>Loss</x:v>
      </x:c>
      <x:c r="CK532" s="9" t="str">
        <x:v>0.25589477288687934</x:v>
      </x:c>
      <x:c r="CL532" s="9" t="str">
        <x:v>1.056956670619719</x:v>
      </x:c>
      <x:c r="CM532" s="7" t="str">
        <x:v>2025-11-21 12:00:00-06:00</x:v>
      </x:c>
      <x:c r="CN532" s="6" t="str">
        <x:v>22351.64913141579</x:v>
      </x:c>
      <x:c r="CO532" s="6" t="str">
        <x:v>STOP</x:v>
      </x:c>
      <x:c r="CP532" s="6" t="str">
        <x:v>F::Long::Same-bar Setup+BOS::Tolerance-only shallow touch</x:v>
      </x:c>
    </x:row>
    <x:row r="533" ht="18" customHeight="1">
      <x:c r="A533" s="6" t="str">
        <x:v>A0532</x:v>
      </x:c>
      <x:c r="B533" s="6" t="str">
        <x:v>2025-11-24</x:v>
      </x:c>
      <x:c r="C533" s="6" t="str">
        <x:v>2025</x:v>
      </x:c>
      <x:c r="D533" s="6" t="str">
        <x:v>2025-Q4</x:v>
      </x:c>
      <x:c r="E533" s="6" t="str">
        <x:v>Second 50%</x:v>
      </x:c>
      <x:c r="F533" s="6" t="str">
        <x:v>Short</x:v>
      </x:c>
      <x:c r="G533" s="6" t="str">
        <x:v>Short</x:v>
      </x:c>
      <x:c r="H533" s="6" t="str">
        <x:v>Overnight</x:v>
      </x:c>
      <x:c r="I533" s="6" t="str">
        <x:v>Overnight</x:v>
      </x:c>
      <x:c r="J533" s="6" t="str">
        <x:v>Bull</x:v>
      </x:c>
      <x:c r="K533" s="6" t="str">
        <x:v>Bull</x:v>
      </x:c>
      <x:c r="L533" s="6" t="str">
        <x:v>LOW</x:v>
      </x:c>
      <x:c r="M533" s="7" t="str">
        <x:v>2025-11-24 18:00:00-06:00</x:v>
      </x:c>
      <x:c r="N533" s="6" t="str">
        <x:v>90.0</x:v>
      </x:c>
      <x:c r="O533" s="6" t="str">
        <x:v>90-94</x:v>
      </x:c>
      <x:c r="P533" s="6" t="str">
        <x:v>Matching BOS only</x:v>
      </x:c>
      <x:c r="Q533" s="6" t="str">
        <x:v>Bear CHoCH</x:v>
      </x:c>
      <x:c r="R533" s="6" t="str">
        <x:v>True</x:v>
      </x:c>
      <x:c r="S533" s="6" t="str">
        <x:v>False</x:v>
      </x:c>
      <x:c r="T533" s="6" t="str">
        <x:v>Recent BSL</x:v>
      </x:c>
      <x:c r="U533" s="6" t="str">
        <x:v>BSL</x:v>
      </x:c>
      <x:c r="V533" s="6" t="str">
        <x:v>Swing high / buy-side</x:v>
      </x:c>
      <x:c r="W533" s="6" t="str">
        <x:v>[23060.0]</x:v>
      </x:c>
      <x:c r="X533" s="8" t="str">
        <x:v>1</x:v>
      </x:c>
      <x:c r="Y533" s="8" t="str">
        <x:v>3.0</x:v>
      </x:c>
      <x:c r="Z533" s="6" t="str">
        <x:v>None</x:v>
      </x:c>
      <x:c r="AA533" s="6" t="str">
        <x:v>23028.0</x:v>
      </x:c>
      <x:c r="AB533" s="9" t="str">
        <x:v>0.6331413975694691</x:v>
      </x:c>
      <x:c r="AC533" s="9" t="str">
        <x:v>1.1337648282057933</x:v>
      </x:c>
      <x:c r="AD533" s="9" t="str">
        <x:v>1.6196640402939906</x:v>
      </x:c>
      <x:c r="AE533" s="6" t="str">
        <x:v>With trade</x:v>
      </x:c>
      <x:c r="AF533" s="7" t="str">
        <x:v>2025-11-24 18:00:00-06:00</x:v>
      </x:c>
      <x:c r="AG533" s="6" t="str">
        <x:v>Short</x:v>
      </x:c>
      <x:c r="AH533" s="6" t="str">
        <x:v>23028.0</x:v>
      </x:c>
      <x:c r="AI533" s="8" t="str">
        <x:v>0</x:v>
      </x:c>
      <x:c r="AJ533" s="6" t="str">
        <x:v>True</x:v>
      </x:c>
      <x:c r="AK533" s="6" t="str">
        <x:v>Same-bar Setup+BOS</x:v>
      </x:c>
      <x:c r="AL533" s="9" t="str">
        <x:v>1.1779374838501748</x:v>
      </x:c>
      <x:c r="AM533" s="9" t="str">
        <x:v>0.6331413975694691</x:v>
      </x:c>
      <x:c r="AN533" s="9" t="str">
        <x:v>1.1337648282057933</x:v>
      </x:c>
      <x:c r="AO533" s="9" t="str">
        <x:v>1.6196640402939906</x:v>
      </x:c>
      <x:c r="AP533" s="10" t="str">
        <x:v>0.7</x:v>
      </x:c>
      <x:c r="AQ533" s="6" t="str">
        <x:v>0.05454545454545454</x:v>
      </x:c>
      <x:c r="AR533" s="6" t="str">
        <x:v>0.24545454545454545</x:v>
      </x:c>
      <x:c r="AS533" s="6" t="str">
        <x:v>With trade</x:v>
      </x:c>
      <x:c r="AT533" s="6" t="str">
        <x:v>2.3062209673012113</x:v>
      </x:c>
      <x:c r="AU533" s="7" t="str">
        <x:v>2025-11-24 18:05:00-06:00</x:v>
      </x:c>
      <x:c r="AV533" s="8" t="str">
        <x:v>1</x:v>
      </x:c>
      <x:c r="AW533" s="6" t="str">
        <x:v>Immediate retest (1 bar)</x:v>
      </x:c>
      <x:c r="AX533" s="6" t="str">
        <x:v>23026.75</x:v>
      </x:c>
      <x:c r="AY533" s="6" t="str">
        <x:v>0.0</x:v>
      </x:c>
      <x:c r="AZ533" s="9" t="str">
        <x:v>0.0</x:v>
      </x:c>
      <x:c r="BA533" s="9" t="str">
        <x:v>0.9334329516234678</x:v>
      </x:c>
      <x:c r="BB533" s="9" t="str">
        <x:v>0.9186165555659525</x:v>
      </x:c>
      <x:c r="BC533" s="9" t="str">
        <x:v>0.3555935053803687</x:v>
      </x:c>
      <x:c r="BD533" s="6" t="str">
        <x:v>0.5483870967741935</x:v>
      </x:c>
      <x:c r="BE533" s="6" t="str">
        <x:v>0.06451612903225806</x:v>
      </x:c>
      <x:c r="BF533" s="9" t="str">
        <x:v>0.5037574659555223</x:v>
      </x:c>
      <x:c r="BG533" s="9" t="str">
        <x:v>0.059265584230061445</x:v>
      </x:c>
      <x:c r="BH533" s="6" t="str">
        <x:v>With trade</x:v>
      </x:c>
      <x:c r="BI533" s="6" t="str">
        <x:v>Tolerance-only shallow touch</x:v>
      </x:c>
      <x:c r="BJ533" s="6" t="str">
        <x:v>True</x:v>
      </x:c>
      <x:c r="BK533" s="10" t="str">
        <x:v>False</x:v>
      </x:c>
      <x:c r="BL533" s="6" t="str">
        <x:v>True</x:v>
      </x:c>
      <x:c r="BM533" s="7" t="str">
        <x:v>2025-11-24 18:15:00-06:00</x:v>
      </x:c>
      <x:c r="BN533" s="8" t="str">
        <x:v>2</x:v>
      </x:c>
      <x:c r="BO533" s="6" t="str">
        <x:v>Delayed confirmation (2+ bars)</x:v>
      </x:c>
      <x:c r="BP533" s="9" t="str">
        <x:v>0.23005986333465253</x:v>
      </x:c>
      <x:c r="BQ533" s="9" t="str">
        <x:v>0.720854238448578</x:v>
      </x:c>
      <x:c r="BR533" s="10" t="str">
        <x:v>0.3191489361702128</x:v>
      </x:c>
      <x:c r="BS533" s="9" t="str">
        <x:v>1.0582753713394017</x:v>
      </x:c>
      <x:c r="BT533" s="9" t="str">
        <x:v>0.09202394533386102</x:v>
      </x:c>
      <x:c r="BU533" s="9" t="str">
        <x:v>0.16871056644541185</x:v>
      </x:c>
      <x:c r="BV533" s="6" t="str">
        <x:v>With trade</x:v>
      </x:c>
      <x:c r="BW533" s="7" t="str">
        <x:v>2025-11-24 18:15:00-06:00</x:v>
      </x:c>
      <x:c r="BX533" s="6" t="str">
        <x:v>23010.75</x:v>
      </x:c>
      <x:c r="BY533" s="9" t="str">
        <x:v>16.300105310178022</x:v>
      </x:c>
      <x:c r="BZ533" s="9" t="str">
        <x:v>0.02</x:v>
      </x:c>
      <x:c r="CA533" s="6" t="str">
        <x:v>23035.200157965268</x:v>
      </x:c>
      <x:c r="CB533" s="6" t="str">
        <x:v>24.450157965267863</x:v>
      </x:c>
      <x:c r="CC533" s="9" t="str">
        <x:v>1.5000000000000508</x:v>
      </x:c>
      <x:c r="CD533" s="6" t="str">
        <x:v>22961.849684069464</x:v>
      </x:c>
      <x:c r="CE533" s="6" t="str">
        <x:v>48.900315930535726</x:v>
      </x:c>
      <x:c r="CF533" s="6" t="str">
        <x:v>Fixed 2.00R target</x:v>
      </x:c>
      <x:c r="CG533" s="9" t="str">
        <x:v>0.029652160163131987</x:v>
      </x:c>
      <x:c r="CH533" s="9" t="str">
        <x:v>-1.0</x:v>
      </x:c>
      <x:c r="CI533" s="9" t="str">
        <x:v>-1.0296521601631319</x:v>
      </x:c>
      <x:c r="CJ533" s="6" t="str">
        <x:v>Loss</x:v>
      </x:c>
      <x:c r="CK533" s="9" t="str">
        <x:v>0.6032680860775129</x:v>
      </x:c>
      <x:c r="CL533" s="9" t="str">
        <x:v>1.3905840628227415</x:v>
      </x:c>
      <x:c r="CM533" s="7" t="str">
        <x:v>2025-11-24 18:55:00-06:00</x:v>
      </x:c>
      <x:c r="CN533" s="6" t="str">
        <x:v>23035.200157965268</x:v>
      </x:c>
      <x:c r="CO533" s="6" t="str">
        <x:v>STOP</x:v>
      </x:c>
      <x:c r="CP533" s="6" t="str">
        <x:v>F::Short::Same-bar Setup+BOS::Tolerance-only shallow touch</x:v>
      </x:c>
    </x:row>
    <x:row r="534" ht="18" customHeight="1">
      <x:c r="A534" s="6" t="str">
        <x:v>A0533</x:v>
      </x:c>
      <x:c r="B534" s="6" t="str">
        <x:v>2025-11-27</x:v>
      </x:c>
      <x:c r="C534" s="6" t="str">
        <x:v>2025</x:v>
      </x:c>
      <x:c r="D534" s="6" t="str">
        <x:v>2025-Q4</x:v>
      </x:c>
      <x:c r="E534" s="6" t="str">
        <x:v>Second 50%</x:v>
      </x:c>
      <x:c r="F534" s="6" t="str">
        <x:v>Short</x:v>
      </x:c>
      <x:c r="G534" s="6" t="str">
        <x:v>Short</x:v>
      </x:c>
      <x:c r="H534" s="6" t="str">
        <x:v>Premarket</x:v>
      </x:c>
      <x:c r="I534" s="6" t="str">
        <x:v>Premarket</x:v>
      </x:c>
      <x:c r="J534" s="6" t="str">
        <x:v>Bull</x:v>
      </x:c>
      <x:c r="K534" s="6" t="str">
        <x:v>Bull</x:v>
      </x:c>
      <x:c r="L534" s="6" t="str">
        <x:v>LOW</x:v>
      </x:c>
      <x:c r="M534" s="7" t="str">
        <x:v>2025-11-27 06:40:00-06:00</x:v>
      </x:c>
      <x:c r="N534" s="6" t="str">
        <x:v>90.0</x:v>
      </x:c>
      <x:c r="O534" s="6" t="str">
        <x:v>90-94</x:v>
      </x:c>
      <x:c r="P534" s="6" t="str">
        <x:v>Matching BOS only</x:v>
      </x:c>
      <x:c r="Q534" s="6" t="str">
        <x:v>Bear BOS</x:v>
      </x:c>
      <x:c r="R534" s="6" t="str">
        <x:v>True</x:v>
      </x:c>
      <x:c r="S534" s="6" t="str">
        <x:v>False</x:v>
      </x:c>
      <x:c r="T534" s="6" t="str">
        <x:v>Recent BSL</x:v>
      </x:c>
      <x:c r="U534" s="6" t="str">
        <x:v>BSL</x:v>
      </x:c>
      <x:c r="V534" s="6" t="str">
        <x:v>Swing high / buy-side</x:v>
      </x:c>
      <x:c r="W534" s="6" t="str">
        <x:v>[23398.5]</x:v>
      </x:c>
      <x:c r="X534" s="8" t="str">
        <x:v>1</x:v>
      </x:c>
      <x:c r="Y534" s="8" t="str">
        <x:v>13.0</x:v>
      </x:c>
      <x:c r="Z534" s="6" t="str">
        <x:v>None</x:v>
      </x:c>
      <x:c r="AA534" s="6" t="str">
        <x:v>23380.25</x:v>
      </x:c>
      <x:c r="AB534" s="9" t="str">
        <x:v>0.6566461288587182</x:v>
      </x:c>
      <x:c r="AC534" s="9" t="str">
        <x:v>0.9484888527959263</x:v>
      </x:c>
      <x:c r="AD534" s="9" t="str">
        <x:v>1.7510563436232487</x:v>
      </x:c>
      <x:c r="AE534" s="6" t="str">
        <x:v>With trade</x:v>
      </x:c>
      <x:c r="AF534" s="7" t="str">
        <x:v>2025-11-27 06:40:00-06:00</x:v>
      </x:c>
      <x:c r="AG534" s="6" t="str">
        <x:v>Short</x:v>
      </x:c>
      <x:c r="AH534" s="6" t="str">
        <x:v>23380.25</x:v>
      </x:c>
      <x:c r="AI534" s="8" t="str">
        <x:v>0</x:v>
      </x:c>
      <x:c r="AJ534" s="6" t="str">
        <x:v>True</x:v>
      </x:c>
      <x:c r="AK534" s="6" t="str">
        <x:v>Same-bar Setup+BOS</x:v>
      </x:c>
      <x:c r="AL534" s="9" t="str">
        <x:v>1.0214495337802283</x:v>
      </x:c>
      <x:c r="AM534" s="9" t="str">
        <x:v>0.6566461288587182</x:v>
      </x:c>
      <x:c r="AN534" s="9" t="str">
        <x:v>0.9484888527959263</x:v>
      </x:c>
      <x:c r="AO534" s="9" t="str">
        <x:v>1.7510563436232487</x:v>
      </x:c>
      <x:c r="AP534" s="10" t="str">
        <x:v>0.5416666666666666</x:v>
      </x:c>
      <x:c r="AQ534" s="6" t="str">
        <x:v>0.0625</x:v>
      </x:c>
      <x:c r="AR534" s="6" t="str">
        <x:v>0.3958333333333333</x:v>
      </x:c>
      <x:c r="AS534" s="6" t="str">
        <x:v>With trade</x:v>
      </x:c>
      <x:c r="AT534" s="6" t="str">
        <x:v>2.5182341650671787</x:v>
      </x:c>
      <x:c r="AU534" s="7" t="str">
        <x:v>2025-11-27 06:50:00-06:00</x:v>
      </x:c>
      <x:c r="AV534" s="8" t="str">
        <x:v>2</x:v>
      </x:c>
      <x:c r="AW534" s="6" t="str">
        <x:v>Delayed retest (2+ bars)</x:v>
      </x:c>
      <x:c r="AX534" s="6" t="str">
        <x:v>23379.75</x:v>
      </x:c>
      <x:c r="AY534" s="6" t="str">
        <x:v>0.0</x:v>
      </x:c>
      <x:c r="AZ534" s="9" t="str">
        <x:v>0.0</x:v>
      </x:c>
      <x:c r="BA534" s="9" t="str">
        <x:v>0.657028241255811</x:v>
      </x:c>
      <x:c r="BB534" s="9" t="str">
        <x:v>0.8030345170904357</x:v>
      </x:c>
      <x:c r="BC534" s="9" t="str">
        <x:v>0.10950470687596851</x:v>
      </x:c>
      <x:c r="BD534" s="6" t="str">
        <x:v>0.5909090909090909</x:v>
      </x:c>
      <x:c r="BE534" s="6" t="str">
        <x:v>0.2727272727272727</x:v>
      </x:c>
      <x:c r="BF534" s="9" t="str">
        <x:v>0.4745203964625302</x:v>
      </x:c>
      <x:c r="BG534" s="9" t="str">
        <x:v>0.21900941375193703</x:v>
      </x:c>
      <x:c r="BH534" s="6" t="str">
        <x:v>With trade</x:v>
      </x:c>
      <x:c r="BI534" s="6" t="str">
        <x:v>Tolerance-only shallow touch</x:v>
      </x:c>
      <x:c r="BJ534" s="6" t="str">
        <x:v>True</x:v>
      </x:c>
      <x:c r="BK534" s="10" t="str">
        <x:v>False</x:v>
      </x:c>
      <x:c r="BL534" s="6" t="str">
        <x:v>True</x:v>
      </x:c>
      <x:c r="BM534" s="7" t="str">
        <x:v>2025-11-27 06:55:00-06:00</x:v>
      </x:c>
      <x:c r="BN534" s="8" t="str">
        <x:v>1</x:v>
      </x:c>
      <x:c r="BO534" s="6" t="str">
        <x:v>Immediate confirmation (1 bar)</x:v>
      </x:c>
      <x:c r="BP534" s="9" t="str">
        <x:v>0.3246175459360814</x:v>
      </x:c>
      <x:c r="BQ534" s="9" t="str">
        <x:v>1.154195718883845</x:v>
      </x:c>
      <x:c r="BR534" s="10" t="str">
        <x:v>0.28125</x:v>
      </x:c>
      <x:c r="BS534" s="9" t="str">
        <x:v>0.8295781729477636</x:v>
      </x:c>
      <x:c r="BT534" s="9" t="str">
        <x:v>0.18034308107560076</x:v>
      </x:c>
      <x:c r="BU534" s="9" t="str">
        <x:v>0.5770978594419225</x:v>
      </x:c>
      <x:c r="BV534" s="6" t="str">
        <x:v>With trade</x:v>
      </x:c>
      <x:c r="BW534" s="7" t="str">
        <x:v>2025-11-27 06:55:00-06:00</x:v>
      </x:c>
      <x:c r="BX534" s="6" t="str">
        <x:v>23374.5</x:v>
      </x:c>
      <x:c r="BY534" s="9" t="str">
        <x:v>6.931233472028757</x:v>
      </x:c>
      <x:c r="BZ534" s="9" t="str">
        <x:v>0.32</x:v>
      </x:c>
      <x:c r="CA534" s="6" t="str">
        <x:v>23384.896850208042</x:v>
      </x:c>
      <x:c r="CB534" s="6" t="str">
        <x:v>10.396850208042451</x:v>
      </x:c>
      <x:c r="CC534" s="9" t="str">
        <x:v>1.4999999999999012</x:v>
      </x:c>
      <x:c r="CD534" s="6" t="str">
        <x:v>23353.706299583915</x:v>
      </x:c>
      <x:c r="CE534" s="6" t="str">
        <x:v>20.793700416084903</x:v>
      </x:c>
      <x:c r="CF534" s="6" t="str">
        <x:v>Fixed 2.00R target</x:v>
      </x:c>
      <x:c r="CG534" s="9" t="str">
        <x:v>0.06973265801590356</x:v>
      </x:c>
      <x:c r="CH534" s="9" t="str">
        <x:v>-1.0</x:v>
      </x:c>
      <x:c r="CI534" s="9" t="str">
        <x:v>-1.0697326580159037</x:v>
      </x:c>
      <x:c r="CJ534" s="6" t="str">
        <x:v>Loss</x:v>
      </x:c>
      <x:c r="CK534" s="9" t="str">
        <x:v>0.6732808360156205</x:v>
      </x:c>
      <x:c r="CL534" s="9" t="str">
        <x:v>1.7553393224692964</x:v>
      </x:c>
      <x:c r="CM534" s="7" t="str">
        <x:v>2025-11-27 07:30:00-06:00</x:v>
      </x:c>
      <x:c r="CN534" s="6" t="str">
        <x:v>23384.896850208042</x:v>
      </x:c>
      <x:c r="CO534" s="6" t="str">
        <x:v>STOP</x:v>
      </x:c>
      <x:c r="CP534" s="6" t="str">
        <x:v>F::Short::Same-bar Setup+BOS::Tolerance-only shallow touch</x:v>
      </x:c>
    </x:row>
    <x:row r="535" ht="18" customHeight="1">
      <x:c r="A535" s="6" t="str">
        <x:v>A0534</x:v>
      </x:c>
      <x:c r="B535" s="6" t="str">
        <x:v>2025-11-28</x:v>
      </x:c>
      <x:c r="C535" s="6" t="str">
        <x:v>2025</x:v>
      </x:c>
      <x:c r="D535" s="6" t="str">
        <x:v>2025-Q4</x:v>
      </x:c>
      <x:c r="E535" s="6" t="str">
        <x:v>Second 50%</x:v>
      </x:c>
      <x:c r="F535" s="6" t="str">
        <x:v>Long</x:v>
      </x:c>
      <x:c r="G535" s="6" t="str">
        <x:v>Long</x:v>
      </x:c>
      <x:c r="H535" s="6" t="str">
        <x:v>Opening</x:v>
      </x:c>
      <x:c r="I535" s="6" t="str">
        <x:v>Opening</x:v>
      </x:c>
      <x:c r="J535" s="6" t="str">
        <x:v>Bull</x:v>
      </x:c>
      <x:c r="K535" s="6" t="str">
        <x:v>Bull</x:v>
      </x:c>
      <x:c r="L535" s="6" t="str">
        <x:v>HIGH</x:v>
      </x:c>
      <x:c r="M535" s="7" t="str">
        <x:v>2025-11-28 09:50:00-06:00</x:v>
      </x:c>
      <x:c r="N535" s="6" t="str">
        <x:v>100.0</x:v>
      </x:c>
      <x:c r="O535" s="6" t="str">
        <x:v>95+</x:v>
      </x:c>
      <x:c r="P535" s="6" t="str">
        <x:v>Matching BOS only</x:v>
      </x:c>
      <x:c r="Q535" s="6" t="str">
        <x:v>Bull BOS</x:v>
      </x:c>
      <x:c r="R535" s="6" t="str">
        <x:v>True</x:v>
      </x:c>
      <x:c r="S535" s="6" t="str">
        <x:v>False</x:v>
      </x:c>
      <x:c r="T535" s="6" t="str">
        <x:v>Recent SSL</x:v>
      </x:c>
      <x:c r="U535" s="6" t="str">
        <x:v>SSL</x:v>
      </x:c>
      <x:c r="V535" s="6" t="str">
        <x:v>Equal low / sell-side | Swing low / sell-side</x:v>
      </x:c>
      <x:c r="W535" s="6" t="str">
        <x:v>[23408.75,23409.0,23414.25]</x:v>
      </x:c>
      <x:c r="X535" s="8" t="str">
        <x:v>3</x:v>
      </x:c>
      <x:c r="Y535" s="8" t="str">
        <x:v>14.0</x:v>
      </x:c>
      <x:c r="Z535" s="6" t="str">
        <x:v>None</x:v>
      </x:c>
      <x:c r="AA535" s="6" t="str">
        <x:v>23479.75</x:v>
      </x:c>
      <x:c r="AB535" s="9" t="str">
        <x:v>0.5785572900072891</x:v>
      </x:c>
      <x:c r="AC535" s="9" t="str">
        <x:v>0.6699084410610715</x:v>
      </x:c>
      <x:c r="AD535" s="9" t="str">
        <x:v>0.9033613826429601</x:v>
      </x:c>
      <x:c r="AE535" s="6" t="str">
        <x:v>With trade</x:v>
      </x:c>
      <x:c r="AF535" s="7" t="str">
        <x:v>2025-11-28 09:50:00-06:00</x:v>
      </x:c>
      <x:c r="AG535" s="6" t="str">
        <x:v>Long</x:v>
      </x:c>
      <x:c r="AH535" s="6" t="str">
        <x:v>23479.75</x:v>
      </x:c>
      <x:c r="AI535" s="8" t="str">
        <x:v>0</x:v>
      </x:c>
      <x:c r="AJ535" s="6" t="str">
        <x:v>True</x:v>
      </x:c>
      <x:c r="AK535" s="6" t="str">
        <x:v>Same-bar Setup+BOS</x:v>
      </x:c>
      <x:c r="AL535" s="9" t="str">
        <x:v>0.6394580573764773</x:v>
      </x:c>
      <x:c r="AM535" s="9" t="str">
        <x:v>0.5785572900072891</x:v>
      </x:c>
      <x:c r="AN535" s="9" t="str">
        <x:v>0.6699084410610715</x:v>
      </x:c>
      <x:c r="AO535" s="9" t="str">
        <x:v>0.9033613826429601</x:v>
      </x:c>
      <x:c r="AP535" s="10" t="str">
        <x:v>0.7415730337078652</x:v>
      </x:c>
      <x:c r="AQ535" s="6" t="str">
        <x:v>0.2247191011235955</x:v>
      </x:c>
      <x:c r="AR535" s="6" t="str">
        <x:v>0.033707865168539325</x:v>
      </x:c>
      <x:c r="AS535" s="6" t="str">
        <x:v>With trade</x:v>
      </x:c>
      <x:c r="AT535" s="6" t="str">
        <x:v>1.2689002251941726</x:v>
      </x:c>
      <x:c r="AU535" s="7" t="str">
        <x:v>2025-11-28 09:55:00-06:00</x:v>
      </x:c>
      <x:c r="AV535" s="8" t="str">
        <x:v>1</x:v>
      </x:c>
      <x:c r="AW535" s="6" t="str">
        <x:v>Immediate retest (1 bar)</x:v>
      </x:c>
      <x:c r="AX535" s="6" t="str">
        <x:v>23472.5</x:v>
      </x:c>
      <x:c r="AY535" s="6" t="str">
        <x:v>7.25</x:v>
      </x:c>
      <x:c r="AZ535" s="9" t="str">
        <x:v>0.2968330894505786</x:v>
      </x:c>
      <x:c r="BA535" s="9" t="str">
        <x:v>0.28659746567642075</x:v>
      </x:c>
      <x:c r="BB535" s="9" t="str">
        <x:v>0.890499268351736</x:v>
      </x:c>
      <x:c r="BC535" s="9" t="str">
        <x:v>0.2763618419022629</x:v>
      </x:c>
      <x:c r="BD535" s="6" t="str">
        <x:v>0.034482758620689655</x:v>
      </x:c>
      <x:c r="BE535" s="6" t="str">
        <x:v>0.6551724137931034</x:v>
      </x:c>
      <x:c r="BF535" s="9" t="str">
        <x:v>0.5834305551269994</x:v>
      </x:c>
      <x:c r="BG535" s="9" t="str">
        <x:v>0.030706871322473652</x:v>
      </x:c>
      <x:c r="BH535" s="6" t="str">
        <x:v>Against trade</x:v>
      </x:c>
      <x:c r="BI535" s="6" t="str">
        <x:v>Penetration + same-bar reclaim</x:v>
      </x:c>
      <x:c r="BJ535" s="6" t="str">
        <x:v>False</x:v>
      </x:c>
      <x:c r="BK535" s="10" t="str">
        <x:v>True</x:v>
      </x:c>
      <x:c r="BL535" s="6" t="str">
        <x:v>True</x:v>
      </x:c>
      <x:c r="BM535" s="7" t="str">
        <x:v>2025-11-28 10:00:00-06:00</x:v>
      </x:c>
      <x:c r="BN535" s="8" t="str">
        <x:v>1</x:v>
      </x:c>
      <x:c r="BO535" s="6" t="str">
        <x:v>Immediate confirmation (1 bar)</x:v>
      </x:c>
      <x:c r="BP535" s="9" t="str">
        <x:v>0.25886156425307194</x:v>
      </x:c>
      <x:c r="BQ535" s="9" t="str">
        <x:v>0.849065930750076</x:v>
      </x:c>
      <x:c r="BR535" s="10" t="str">
        <x:v>0.3048780487804878</x:v>
      </x:c>
      <x:c r="BS535" s="9" t="str">
        <x:v>0.5280775910762667</x:v>
      </x:c>
      <x:c r="BT535" s="9" t="str">
        <x:v>0.2381526391128262</x:v>
      </x:c>
      <x:c r="BU535" s="9" t="str">
        <x:v>0.424532965375038</x:v>
      </x:c>
      <x:c r="BV535" s="6" t="str">
        <x:v>With trade</x:v>
      </x:c>
      <x:c r="BW535" s="7" t="str">
        <x:v>2025-11-28 10:00:00-06:00</x:v>
      </x:c>
      <x:c r="BX535" s="6" t="str">
        <x:v>23492.5</x:v>
      </x:c>
      <x:c r="BY535" s="9" t="str">
        <x:v>24.14417921808502</x:v>
      </x:c>
      <x:c r="BZ535" s="9" t="str">
        <x:v>0.86</x:v>
      </x:c>
      <x:c r="CA535" s="6" t="str">
        <x:v>23456.283731172873</x:v>
      </x:c>
      <x:c r="CB535" s="6" t="str">
        <x:v>36.21626882712735</x:v>
      </x:c>
      <x:c r="CC535" s="9" t="str">
        <x:v>1.4999999999999925</x:v>
      </x:c>
      <x:c r="CD535" s="6" t="str">
        <x:v>23564.932537654255</x:v>
      </x:c>
      <x:c r="CE535" s="6" t="str">
        <x:v>72.4325376542547</x:v>
      </x:c>
      <x:c r="CF535" s="6" t="str">
        <x:v>Fixed 2.00R target</x:v>
      </x:c>
      <x:c r="CG535" s="9" t="str">
        <x:v>0.020018627635570996</x:v>
      </x:c>
      <x:c r="CH535" s="9" t="str">
        <x:v>-1.0</x:v>
      </x:c>
      <x:c r="CI535" s="9" t="str">
        <x:v>-1.020018627635571</x:v>
      </x:c>
      <x:c r="CJ535" s="6" t="str">
        <x:v>Loss</x:v>
      </x:c>
      <x:c r="CK535" s="9" t="str">
        <x:v>0.5798499039268841</x:v>
      </x:c>
      <x:c r="CL535" s="9" t="str">
        <x:v>1.3184682339289864</x:v>
      </x:c>
      <x:c r="CM535" s="7" t="str">
        <x:v>2025-11-28 10:25:00-06:00</x:v>
      </x:c>
      <x:c r="CN535" s="6" t="str">
        <x:v>23456.283731172873</x:v>
      </x:c>
      <x:c r="CO535" s="6" t="str">
        <x:v>STOP</x:v>
      </x:c>
      <x:c r="CP535" s="6" t="str">
        <x:v>F::Long::Same-bar Setup+BOS::Penetration + same-bar reclaim</x:v>
      </x:c>
    </x:row>
    <x:row r="536" ht="18" customHeight="1">
      <x:c r="A536" s="6" t="str">
        <x:v>A0535</x:v>
      </x:c>
      <x:c r="B536" s="6" t="str">
        <x:v>2025-11-30</x:v>
      </x:c>
      <x:c r="C536" s="6" t="str">
        <x:v>2025</x:v>
      </x:c>
      <x:c r="D536" s="6" t="str">
        <x:v>2025-Q4</x:v>
      </x:c>
      <x:c r="E536" s="6" t="str">
        <x:v>Second 50%</x:v>
      </x:c>
      <x:c r="F536" s="6" t="str">
        <x:v>Short</x:v>
      </x:c>
      <x:c r="G536" s="6" t="str">
        <x:v>Short</x:v>
      </x:c>
      <x:c r="H536" s="6" t="str">
        <x:v>Overnight</x:v>
      </x:c>
      <x:c r="I536" s="6" t="str">
        <x:v>Overnight</x:v>
      </x:c>
      <x:c r="J536" s="6" t="str">
        <x:v>Bull</x:v>
      </x:c>
      <x:c r="K536" s="6" t="str">
        <x:v>Bull</x:v>
      </x:c>
      <x:c r="L536" s="6" t="str">
        <x:v>HIGH</x:v>
      </x:c>
      <x:c r="M536" s="7" t="str">
        <x:v>2025-11-30 18:20:00-06:00</x:v>
      </x:c>
      <x:c r="N536" s="6" t="str">
        <x:v>90.0</x:v>
      </x:c>
      <x:c r="O536" s="6" t="str">
        <x:v>90-94</x:v>
      </x:c>
      <x:c r="P536" s="6" t="str">
        <x:v>Matching BOS only</x:v>
      </x:c>
      <x:c r="Q536" s="6" t="str">
        <x:v>Bear CHoCH</x:v>
      </x:c>
      <x:c r="R536" s="6" t="str">
        <x:v>True</x:v>
      </x:c>
      <x:c r="S536" s="6" t="str">
        <x:v>False</x:v>
      </x:c>
      <x:c r="T536" s="6" t="str">
        <x:v>Recent BSL</x:v>
      </x:c>
      <x:c r="U536" s="6" t="str">
        <x:v>BSL</x:v>
      </x:c>
      <x:c r="V536" s="6" t="str">
        <x:v>Swing high / buy-side</x:v>
      </x:c>
      <x:c r="W536" s="6" t="str">
        <x:v>[23574.0]</x:v>
      </x:c>
      <x:c r="X536" s="8" t="str">
        <x:v>1</x:v>
      </x:c>
      <x:c r="Y536" s="8" t="str">
        <x:v>19.0</x:v>
      </x:c>
      <x:c r="Z536" s="6" t="str">
        <x:v>None</x:v>
      </x:c>
      <x:c r="AA536" s="6" t="str">
        <x:v>23471.5</x:v>
      </x:c>
      <x:c r="AB536" s="9" t="str">
        <x:v>0.37171864900698026</x:v>
      </x:c>
      <x:c r="AC536" s="9" t="str">
        <x:v>0.8196872772974436</x:v>
      </x:c>
      <x:c r="AD536" s="9" t="str">
        <x:v>1.3248433900505194</x:v>
      </x:c>
      <x:c r="AE536" s="6" t="str">
        <x:v>With trade</x:v>
      </x:c>
      <x:c r="AF536" s="7" t="str">
        <x:v>2025-11-30 18:20:00-06:00</x:v>
      </x:c>
      <x:c r="AG536" s="6" t="str">
        <x:v>Short</x:v>
      </x:c>
      <x:c r="AH536" s="6" t="str">
        <x:v>23471.5</x:v>
      </x:c>
      <x:c r="AI536" s="8" t="str">
        <x:v>0</x:v>
      </x:c>
      <x:c r="AJ536" s="6" t="str">
        <x:v>True</x:v>
      </x:c>
      <x:c r="AK536" s="6" t="str">
        <x:v>Same-bar Setup+BOS</x:v>
      </x:c>
      <x:c r="AL536" s="9" t="str">
        <x:v>0.8196872772974436</x:v>
      </x:c>
      <x:c r="AM536" s="9" t="str">
        <x:v>0.37171864900698026</x:v>
      </x:c>
      <x:c r="AN536" s="9" t="str">
        <x:v>0.8196872772974436</x:v>
      </x:c>
      <x:c r="AO536" s="9" t="str">
        <x:v>1.3248433900505194</x:v>
      </x:c>
      <x:c r="AP536" s="10" t="str">
        <x:v>0.6187050359712231</x:v>
      </x:c>
      <x:c r="AQ536" s="6" t="str">
        <x:v>0.1079136690647482</x:v>
      </x:c>
      <x:c r="AR536" s="6" t="str">
        <x:v>0.2733812949640288</x:v>
      </x:c>
      <x:c r="AS536" s="6" t="str">
        <x:v>With trade</x:v>
      </x:c>
      <x:c r="AT536" s="6" t="str">
        <x:v>1.0329846362952355</x:v>
      </x:c>
      <x:c r="AU536" s="7" t="str">
        <x:v>2025-11-30 18:25:00-06:00</x:v>
      </x:c>
      <x:c r="AV536" s="8" t="str">
        <x:v>1</x:v>
      </x:c>
      <x:c r="AW536" s="6" t="str">
        <x:v>Immediate retest (1 bar)</x:v>
      </x:c>
      <x:c r="AX536" s="6" t="str">
        <x:v>23469.5</x:v>
      </x:c>
      <x:c r="AY536" s="6" t="str">
        <x:v>0.0</x:v>
      </x:c>
      <x:c r="AZ536" s="9" t="str">
        <x:v>0.0</x:v>
      </x:c>
      <x:c r="BA536" s="9" t="str">
        <x:v>0.12093547201315834</x:v>
      </x:c>
      <x:c r="BB536" s="9" t="str">
        <x:v>1.3116847349119483</x:v>
      </x:c>
      <x:c r="BC536" s="9" t="str">
        <x:v>0.32559550157388784</x:v>
      </x:c>
      <x:c r="BD536" s="6" t="str">
        <x:v>0.03546099290780142</x:v>
      </x:c>
      <x:c r="BE536" s="6" t="str">
        <x:v>0.7163120567375887</x:v>
      </x:c>
      <x:c r="BF536" s="9" t="str">
        <x:v>0.046513643081983976</x:v>
      </x:c>
      <x:c r="BG536" s="9" t="str">
        <x:v>0.9395755902560764</x:v>
      </x:c>
      <x:c r="BH536" s="6" t="str">
        <x:v>Against trade</x:v>
      </x:c>
      <x:c r="BI536" s="6" t="str">
        <x:v>Tolerance-only shallow touch</x:v>
      </x:c>
      <x:c r="BJ536" s="6" t="str">
        <x:v>True</x:v>
      </x:c>
      <x:c r="BK536" s="10" t="str">
        <x:v>False</x:v>
      </x:c>
      <x:c r="BL536" s="6" t="str">
        <x:v>True</x:v>
      </x:c>
      <x:c r="BM536" s="7" t="str">
        <x:v>2025-11-30 18:30:00-06:00</x:v>
      </x:c>
      <x:c r="BN536" s="8" t="str">
        <x:v>1</x:v>
      </x:c>
      <x:c r="BO536" s="6" t="str">
        <x:v>Immediate confirmation (1 bar)</x:v>
      </x:c>
      <x:c r="BP536" s="9" t="str">
        <x:v>0.2842756085971848</x:v>
      </x:c>
      <x:c r="BQ536" s="9" t="str">
        <x:v>0.7580682895924928</x:v>
      </x:c>
      <x:c r="BR536" s="10" t="str">
        <x:v>0.375</x:v>
      </x:c>
      <x:c r="BS536" s="9" t="str">
        <x:v>0.4548409737554957</x:v>
      </x:c>
      <x:c r="BT536" s="9" t="str">
        <x:v>0.3316548766967156</x:v>
      </x:c>
      <x:c r="BU536" s="9" t="str">
        <x:v>0.236896340497654</x:v>
      </x:c>
      <x:c r="BV536" s="6" t="str">
        <x:v>With trade</x:v>
      </x:c>
      <x:c r="BW536" s="7" t="str">
        <x:v>2025-11-30 18:30:00-06:00</x:v>
      </x:c>
      <x:c r="BX536" s="6" t="str">
        <x:v>23459.5</x:v>
      </x:c>
      <x:c r="BY536" s="9" t="str">
        <x:v>26.382847395913632</x:v>
      </x:c>
      <x:c r="BZ536" s="9" t="str">
        <x:v>0.9</x:v>
      </x:c>
      <x:c r="CA536" s="6" t="str">
        <x:v>23499.074271093872</x:v>
      </x:c>
      <x:c r="CB536" s="6" t="str">
        <x:v>39.574271093872085</x:v>
      </x:c>
      <x:c r="CC536" s="9" t="str">
        <x:v>1.500000000000062</x:v>
      </x:c>
      <x:c r="CD536" s="6" t="str">
        <x:v>23380.35145781226</x:v>
      </x:c>
      <x:c r="CE536" s="6" t="str">
        <x:v>79.14854218774053</x:v>
      </x:c>
      <x:c r="CF536" s="6" t="str">
        <x:v>Fixed 2.00R target</x:v>
      </x:c>
      <x:c r="CG536" s="9" t="str">
        <x:v>0.01831998366515115</x:v>
      </x:c>
      <x:c r="CH536" s="9" t="str">
        <x:v>2.0</x:v>
      </x:c>
      <x:c r="CI536" s="9" t="str">
        <x:v>1.981680016334849</x:v>
      </x:c>
      <x:c r="CJ536" s="6" t="str">
        <x:v>Win</x:v>
      </x:c>
      <x:c r="CK536" s="9" t="str">
        <x:v>2.2994738117637996</x:v>
      </x:c>
      <x:c r="CL536" s="9" t="str">
        <x:v>0.1389791864252846</x:v>
      </x:c>
      <x:c r="CM536" s="7" t="str">
        <x:v>2025-11-30 19:00:00-06:00</x:v>
      </x:c>
      <x:c r="CN536" s="6" t="str">
        <x:v>23380.35145781226</x:v>
      </x:c>
      <x:c r="CO536" s="6" t="str">
        <x:v>TARGET</x:v>
      </x:c>
      <x:c r="CP536" s="6" t="str">
        <x:v>F::Short::Same-bar Setup+BOS::Tolerance-only shallow touch</x:v>
      </x:c>
    </x:row>
    <x:row r="537" ht="18" customHeight="1">
      <x:c r="A537" s="6" t="str">
        <x:v>A0536</x:v>
      </x:c>
      <x:c r="B537" s="6" t="str">
        <x:v>2025-12-01</x:v>
      </x:c>
      <x:c r="C537" s="6" t="str">
        <x:v>2025</x:v>
      </x:c>
      <x:c r="D537" s="6" t="str">
        <x:v>2025-Q4</x:v>
      </x:c>
      <x:c r="E537" s="6" t="str">
        <x:v>Second 50%</x:v>
      </x:c>
      <x:c r="F537" s="6" t="str">
        <x:v>Long</x:v>
      </x:c>
      <x:c r="G537" s="6" t="str">
        <x:v>Long</x:v>
      </x:c>
      <x:c r="H537" s="6" t="str">
        <x:v>Morning</x:v>
      </x:c>
      <x:c r="I537" s="6" t="str">
        <x:v>Morning</x:v>
      </x:c>
      <x:c r="J537" s="6" t="str">
        <x:v>Bull</x:v>
      </x:c>
      <x:c r="K537" s="6" t="str">
        <x:v>Bull</x:v>
      </x:c>
      <x:c r="L537" s="6" t="str">
        <x:v>HIGH</x:v>
      </x:c>
      <x:c r="M537" s="7" t="str">
        <x:v>2025-12-01 10:40:00-06:00</x:v>
      </x:c>
      <x:c r="N537" s="6" t="str">
        <x:v>75.0</x:v>
      </x:c>
      <x:c r="O537" s="6" t="str">
        <x:v>75-79</x:v>
      </x:c>
      <x:c r="P537" s="6" t="str">
        <x:v>Matching BOS only</x:v>
      </x:c>
      <x:c r="Q537" s="6" t="str">
        <x:v>Bull BOS</x:v>
      </x:c>
      <x:c r="R537" s="6" t="str">
        <x:v>True</x:v>
      </x:c>
      <x:c r="S537" s="6" t="str">
        <x:v>False</x:v>
      </x:c>
      <x:c r="T537" s="6" t="str">
        <x:v>No recent matching sweep</x:v>
      </x:c>
      <x:c r="U537" s="6" t="str">
        <x:v>None</x:v>
      </x:c>
      <x:c r="V537" s="6" t="str">
        <x:v>None</x:v>
      </x:c>
      <x:c r="W537" s="6" t="str">
        <x:v>[]</x:v>
      </x:c>
      <x:c r="X537" s="8" t="str">
        <x:v>0</x:v>
      </x:c>
      <x:c r="Y537" s="8" t="str"/>
      <x:c r="Z537" s="6" t="str">
        <x:v>Sweep below CRT reference</x:v>
      </x:c>
      <x:c r="AA537" s="6" t="str">
        <x:v>23497.25</x:v>
      </x:c>
      <x:c r="AB537" s="9" t="str">
        <x:v>0.0796014690906522</x:v>
      </x:c>
      <x:c r="AC537" s="9" t="str">
        <x:v>0.6500786642403263</x:v>
      </x:c>
      <x:c r="AD537" s="9" t="str">
        <x:v>1.2271893151475548</x:v>
      </x:c>
      <x:c r="AE537" s="6" t="str">
        <x:v>With trade</x:v>
      </x:c>
      <x:c r="AF537" s="7" t="str">
        <x:v>2025-12-01 10:40:00-06:00</x:v>
      </x:c>
      <x:c r="AG537" s="6" t="str">
        <x:v>Long</x:v>
      </x:c>
      <x:c r="AH537" s="6" t="str">
        <x:v>23497.25</x:v>
      </x:c>
      <x:c r="AI537" s="8" t="str">
        <x:v>0</x:v>
      </x:c>
      <x:c r="AJ537" s="6" t="str">
        <x:v>True</x:v>
      </x:c>
      <x:c r="AK537" s="6" t="str">
        <x:v>Same-bar Setup+BOS</x:v>
      </x:c>
      <x:c r="AL537" s="9" t="str">
        <x:v>0.6500786642403263</x:v>
      </x:c>
      <x:c r="AM537" s="9" t="str">
        <x:v>0.0796014690906522</x:v>
      </x:c>
      <x:c r="AN537" s="9" t="str">
        <x:v>0.6500786642403263</x:v>
      </x:c>
      <x:c r="AO537" s="9" t="str">
        <x:v>1.2271893151475548</x:v>
      </x:c>
      <x:c r="AP537" s="10" t="str">
        <x:v>0.5297297297297298</x:v>
      </x:c>
      <x:c r="AQ537" s="6" t="str">
        <x:v>0.23783783783783785</x:v>
      </x:c>
      <x:c r="AR537" s="6" t="str">
        <x:v>0.23243243243243245</x:v>
      </x:c>
      <x:c r="AS537" s="6" t="str">
        <x:v>With trade</x:v>
      </x:c>
      <x:c r="AT537" s="6" t="str">
        <x:v>1.027573340384587</x:v>
      </x:c>
      <x:c r="AU537" s="7" t="str">
        <x:v>2025-12-01 10:45:00-06:00</x:v>
      </x:c>
      <x:c r="AV537" s="8" t="str">
        <x:v>1</x:v>
      </x:c>
      <x:c r="AW537" s="6" t="str">
        <x:v>Immediate retest (1 bar)</x:v>
      </x:c>
      <x:c r="AX537" s="6" t="str">
        <x:v>23497.0</x:v>
      </x:c>
      <x:c r="AY537" s="6" t="str">
        <x:v>0.25</x:v>
      </x:c>
      <x:c r="AZ537" s="9" t="str">
        <x:v>0.00676406002935991</x:v>
      </x:c>
      <x:c r="BA537" s="9" t="str">
        <x:v>0.5817091625249522</x:v>
      </x:c>
      <x:c r="BB537" s="9" t="str">
        <x:v>0.74404660322959</x:v>
      </x:c>
      <x:c r="BC537" s="9" t="str">
        <x:v>0.4870123221139135</x:v>
      </x:c>
      <x:c r="BD537" s="6" t="str">
        <x:v>0.20909090909090908</x:v>
      </x:c>
      <x:c r="BE537" s="6" t="str">
        <x:v>0.13636363636363635</x:v>
      </x:c>
      <x:c r="BF537" s="9" t="str">
        <x:v>0.10146090044039864</x:v>
      </x:c>
      <x:c r="BG537" s="9" t="str">
        <x:v>0.15557338067527793</x:v>
      </x:c>
      <x:c r="BH537" s="6" t="str">
        <x:v>With trade</x:v>
      </x:c>
      <x:c r="BI537" s="6" t="str">
        <x:v>Penetration + same-bar reclaim</x:v>
      </x:c>
      <x:c r="BJ537" s="6" t="str">
        <x:v>False</x:v>
      </x:c>
      <x:c r="BK537" s="10" t="str">
        <x:v>True</x:v>
      </x:c>
      <x:c r="BL537" s="6" t="str">
        <x:v>True</x:v>
      </x:c>
      <x:c r="BM537" s="7" t="str">
        <x:v>2025-12-01 10:55:00-06:00</x:v>
      </x:c>
      <x:c r="BN537" s="8" t="str">
        <x:v>2</x:v>
      </x:c>
      <x:c r="BO537" s="6" t="str">
        <x:v>Delayed confirmation (2+ bars)</x:v>
      </x:c>
      <x:c r="BP537" s="9" t="str">
        <x:v>0.04347023457643373</x:v>
      </x:c>
      <x:c r="BQ537" s="9" t="str">
        <x:v>0.5723580885897108</x:v>
      </x:c>
      <x:c r="BR537" s="10" t="str">
        <x:v>0.0759493670886076</x:v>
      </x:c>
      <x:c r="BS537" s="9" t="str">
        <x:v>0.4491924239564819</x:v>
      </x:c>
      <x:c r="BT537" s="9" t="str">
        <x:v>-0.17388093830573492</x:v>
      </x:c>
      <x:c r="BU537" s="9" t="str">
        <x:v>0.2608214074586024</x:v>
      </x:c>
      <x:c r="BV537" s="6" t="str">
        <x:v>With trade</x:v>
      </x:c>
      <x:c r="BW537" s="7" t="str">
        <x:v>2025-12-01 10:55:00-06:00</x:v>
      </x:c>
      <x:c r="BX537" s="6" t="str">
        <x:v>23512.75</x:v>
      </x:c>
      <x:c r="BY537" s="9" t="str">
        <x:v>34.50637003953934</x:v>
      </x:c>
      <x:c r="BZ537" s="9" t="str">
        <x:v>0.75</x:v>
      </x:c>
      <x:c r="CA537" s="6" t="str">
        <x:v>23460.99044494069</x:v>
      </x:c>
      <x:c r="CB537" s="6" t="str">
        <x:v>51.759555059310514</x:v>
      </x:c>
      <x:c r="CC537" s="9" t="str">
        <x:v>1.5000000000000435</x:v>
      </x:c>
      <x:c r="CD537" s="6" t="str">
        <x:v>23616.269110118617</x:v>
      </x:c>
      <x:c r="CE537" s="6" t="str">
        <x:v>103.51911011861739</x:v>
      </x:c>
      <x:c r="CF537" s="6" t="str">
        <x:v>Fixed 2.00R target</x:v>
      </x:c>
      <x:c r="CG537" s="9" t="str">
        <x:v>0.01400707558573935</x:v>
      </x:c>
      <x:c r="CH537" s="9" t="str">
        <x:v>0.2898015638428916</x:v>
      </x:c>
      <x:c r="CI537" s="9" t="str">
        <x:v>0.27579448825715225</x:v>
      </x:c>
      <x:c r="CJ537" s="6" t="str">
        <x:v>Win</x:v>
      </x:c>
      <x:c r="CK537" s="9" t="str">
        <x:v>1.1640362814355805</x:v>
      </x:c>
      <x:c r="CL537" s="9" t="str">
        <x:v>0.41055221544408443</x:v>
      </x:c>
      <x:c r="CM537" s="7" t="str">
        <x:v>2025-12-01 11:55:00-06:00</x:v>
      </x:c>
      <x:c r="CN537" s="6" t="str">
        <x:v>23527.75</x:v>
      </x:c>
      <x:c r="CO537" s="6" t="str">
        <x:v>TIME</x:v>
      </x:c>
      <x:c r="CP537" s="6" t="str">
        <x:v>F::Long::Same-bar Setup+BOS::Penetration + same-bar reclaim</x:v>
      </x:c>
    </x:row>
    <x:row r="538" ht="18" customHeight="1">
      <x:c r="A538" s="6" t="str">
        <x:v>A0537</x:v>
      </x:c>
      <x:c r="B538" s="6" t="str">
        <x:v>2025-12-02</x:v>
      </x:c>
      <x:c r="C538" s="6" t="str">
        <x:v>2025</x:v>
      </x:c>
      <x:c r="D538" s="6" t="str">
        <x:v>2025-Q4</x:v>
      </x:c>
      <x:c r="E538" s="6" t="str">
        <x:v>Second 50%</x:v>
      </x:c>
      <x:c r="F538" s="6" t="str">
        <x:v>Short</x:v>
      </x:c>
      <x:c r="G538" s="6" t="str">
        <x:v>Short</x:v>
      </x:c>
      <x:c r="H538" s="6" t="str">
        <x:v>Opening</x:v>
      </x:c>
      <x:c r="I538" s="6" t="str">
        <x:v>Opening</x:v>
      </x:c>
      <x:c r="J538" s="6" t="str">
        <x:v>Bull</x:v>
      </x:c>
      <x:c r="K538" s="6" t="str">
        <x:v>Bull</x:v>
      </x:c>
      <x:c r="L538" s="6" t="str">
        <x:v>HIGH</x:v>
      </x:c>
      <x:c r="M538" s="7" t="str">
        <x:v>2025-12-02 10:15:00-06:00</x:v>
      </x:c>
      <x:c r="N538" s="6" t="str">
        <x:v>85.0</x:v>
      </x:c>
      <x:c r="O538" s="6" t="str">
        <x:v>85-89</x:v>
      </x:c>
      <x:c r="P538" s="6" t="str">
        <x:v>Matching BOS only</x:v>
      </x:c>
      <x:c r="Q538" s="6" t="str">
        <x:v>Bear CHoCH</x:v>
      </x:c>
      <x:c r="R538" s="6" t="str">
        <x:v>True</x:v>
      </x:c>
      <x:c r="S538" s="6" t="str">
        <x:v>False</x:v>
      </x:c>
      <x:c r="T538" s="6" t="str">
        <x:v>Recent BSL</x:v>
      </x:c>
      <x:c r="U538" s="6" t="str">
        <x:v>BSL</x:v>
      </x:c>
      <x:c r="V538" s="6" t="str">
        <x:v>Swing high / buy-side</x:v>
      </x:c>
      <x:c r="W538" s="6" t="str">
        <x:v>[23732.0]</x:v>
      </x:c>
      <x:c r="X538" s="8" t="str">
        <x:v>1</x:v>
      </x:c>
      <x:c r="Y538" s="8" t="str">
        <x:v>5.0</x:v>
      </x:c>
      <x:c r="Z538" s="6" t="str">
        <x:v>Sweep below CRT reference</x:v>
      </x:c>
      <x:c r="AA538" s="6" t="str">
        <x:v>23608.25</x:v>
      </x:c>
      <x:c r="AB538" s="9" t="str">
        <x:v>0.03055312450147827</x:v>
      </x:c>
      <x:c r="AC538" s="9" t="str">
        <x:v>0.25664624581241746</x:v>
      </x:c>
      <x:c r="AD538" s="9" t="str">
        <x:v>0.9593681093464177</x:v>
      </x:c>
      <x:c r="AE538" s="6" t="str">
        <x:v>With trade</x:v>
      </x:c>
      <x:c r="AF538" s="7" t="str">
        <x:v>2025-12-02 10:15:00-06:00</x:v>
      </x:c>
      <x:c r="AG538" s="6" t="str">
        <x:v>Short</x:v>
      </x:c>
      <x:c r="AH538" s="6" t="str">
        <x:v>23608.25</x:v>
      </x:c>
      <x:c r="AI538" s="8" t="str">
        <x:v>0</x:v>
      </x:c>
      <x:c r="AJ538" s="6" t="str">
        <x:v>True</x:v>
      </x:c>
      <x:c r="AK538" s="6" t="str">
        <x:v>Same-bar Setup+BOS</x:v>
      </x:c>
      <x:c r="AL538" s="9" t="str">
        <x:v>0.24442499601182616</x:v>
      </x:c>
      <x:c r="AM538" s="9" t="str">
        <x:v>0.03055312450147827</x:v>
      </x:c>
      <x:c r="AN538" s="9" t="str">
        <x:v>0.25664624581241746</x:v>
      </x:c>
      <x:c r="AO538" s="9" t="str">
        <x:v>0.9593681093464177</x:v>
      </x:c>
      <x:c r="AP538" s="10" t="str">
        <x:v>0.267515923566879</x:v>
      </x:c>
      <x:c r="AQ538" s="6" t="str">
        <x:v>0.34394904458598724</x:v>
      </x:c>
      <x:c r="AR538" s="6" t="str">
        <x:v>0.3885350318471338</x:v>
      </x:c>
      <x:c r="AS538" s="6" t="str">
        <x:v>With trade</x:v>
      </x:c>
      <x:c r="AT538" s="6" t="str">
        <x:v>0.9642186607167151</x:v>
      </x:c>
      <x:c r="AU538" s="7" t="str">
        <x:v>2025-12-02 10:20:00-06:00</x:v>
      </x:c>
      <x:c r="AV538" s="8" t="str">
        <x:v>1</x:v>
      </x:c>
      <x:c r="AW538" s="6" t="str">
        <x:v>Immediate retest (1 bar)</x:v>
      </x:c>
      <x:c r="AX538" s="6" t="str">
        <x:v>23620.25</x:v>
      </x:c>
      <x:c r="AY538" s="6" t="str">
        <x:v>12.0</x:v>
      </x:c>
      <x:c r="AZ538" s="9" t="str">
        <x:v>0.2727890498903084</x:v>
      </x:c>
      <x:c r="BA538" s="9" t="str">
        <x:v>1.5571708264571769</x:v>
      </x:c>
      <x:c r="BB538" s="9" t="str">
        <x:v>1.9095233492321586</x:v>
      </x:c>
      <x:c r="BC538" s="9" t="str">
        <x:v>1.5230721952208883</x:v>
      </x:c>
      <x:c r="BD538" s="6" t="str">
        <x:v>0.16071428571428573</x:v>
      </x:c>
      <x:c r="BE538" s="6" t="str">
        <x:v>0.041666666666666664</x:v>
      </x:c>
      <x:c r="BF538" s="9" t="str">
        <x:v>0.3068876811265969</x:v>
      </x:c>
      <x:c r="BG538" s="9" t="str">
        <x:v>0.07956347288467328</x:v>
      </x:c>
      <x:c r="BH538" s="6" t="str">
        <x:v>With trade</x:v>
      </x:c>
      <x:c r="BI538" s="6" t="str">
        <x:v>Penetration + same-bar reclaim</x:v>
      </x:c>
      <x:c r="BJ538" s="6" t="str">
        <x:v>False</x:v>
      </x:c>
      <x:c r="BK538" s="10" t="str">
        <x:v>True</x:v>
      </x:c>
      <x:c r="BL538" s="6" t="str">
        <x:v>True</x:v>
      </x:c>
      <x:c r="BM538" s="7" t="str">
        <x:v>2025-12-02 10:25:00-06:00</x:v>
      </x:c>
      <x:c r="BN538" s="8" t="str">
        <x:v>1</x:v>
      </x:c>
      <x:c r="BO538" s="6" t="str">
        <x:v>Immediate confirmation (1 bar)</x:v>
      </x:c>
      <x:c r="BP538" s="9" t="str">
        <x:v>0.051376527045327976</x:v>
      </x:c>
      <x:c r="BQ538" s="9" t="str">
        <x:v>0.9419029958310129</x:v>
      </x:c>
      <x:c r="BR538" s="10" t="str">
        <x:v>0.05454545454545454</x:v>
      </x:c>
      <x:c r="BS538" s="9" t="str">
        <x:v>1.626923356435386</x:v>
      </x:c>
      <x:c r="BT538" s="9" t="str">
        <x:v>0.06279353305540086</x:v>
      </x:c>
      <x:c r="BU538" s="9" t="str">
        <x:v>0.5080567674482434</x:v>
      </x:c>
      <x:c r="BV538" s="6" t="str">
        <x:v>With trade</x:v>
      </x:c>
      <x:c r="BW538" s="7" t="str">
        <x:v>2025-12-02 10:25:00-06:00</x:v>
      </x:c>
      <x:c r="BX538" s="6" t="str">
        <x:v>23537.0</x:v>
      </x:c>
      <x:c r="BY538" s="9" t="str">
        <x:v>43.7943187170844</x:v>
      </x:c>
      <x:c r="BZ538" s="9" t="str">
        <x:v>0.99</x:v>
      </x:c>
      <x:c r="CA538" s="6" t="str">
        <x:v>23602.691478075627</x:v>
      </x:c>
      <x:c r="CB538" s="6" t="str">
        <x:v>65.69147807562695</x:v>
      </x:c>
      <x:c r="CC538" s="9" t="str">
        <x:v>1.5000000000000078</x:v>
      </x:c>
      <x:c r="CD538" s="6" t="str">
        <x:v>23405.617043848746</x:v>
      </x:c>
      <x:c r="CE538" s="6" t="str">
        <x:v>131.3829561512539</x:v>
      </x:c>
      <x:c r="CF538" s="6" t="str">
        <x:v>Fixed 2.00R target</x:v>
      </x:c>
      <x:c r="CG538" s="9" t="str">
        <x:v>0.011036439143070396</x:v>
      </x:c>
      <x:c r="CH538" s="9" t="str">
        <x:v>-1.0</x:v>
      </x:c>
      <x:c r="CI538" s="9" t="str">
        <x:v>-1.0110364391430704</x:v>
      </x:c>
      <x:c r="CJ538" s="6" t="str">
        <x:v>Loss</x:v>
      </x:c>
      <x:c r="CK538" s="9" t="str">
        <x:v>0.6888260292743937</x:v>
      </x:c>
      <x:c r="CL538" s="9" t="str">
        <x:v>1.134089263667234</x:v>
      </x:c>
      <x:c r="CM538" s="7" t="str">
        <x:v>2025-12-02 10:55:00-06:00</x:v>
      </x:c>
      <x:c r="CN538" s="6" t="str">
        <x:v>23602.691478075627</x:v>
      </x:c>
      <x:c r="CO538" s="6" t="str">
        <x:v>STOP</x:v>
      </x:c>
      <x:c r="CP538" s="6" t="str">
        <x:v>F::Short::Same-bar Setup+BOS::Penetration + same-bar reclaim</x:v>
      </x:c>
    </x:row>
    <x:row r="539" ht="18" customHeight="1">
      <x:c r="A539" s="6" t="str">
        <x:v>A0538</x:v>
      </x:c>
      <x:c r="B539" s="6" t="str">
        <x:v>2025-12-04</x:v>
      </x:c>
      <x:c r="C539" s="6" t="str">
        <x:v>2025</x:v>
      </x:c>
      <x:c r="D539" s="6" t="str">
        <x:v>2025-Q4</x:v>
      </x:c>
      <x:c r="E539" s="6" t="str">
        <x:v>Second 50%</x:v>
      </x:c>
      <x:c r="F539" s="6" t="str">
        <x:v>Short</x:v>
      </x:c>
      <x:c r="G539" s="6" t="str">
        <x:v>Short</x:v>
      </x:c>
      <x:c r="H539" s="6" t="str">
        <x:v>Overnight</x:v>
      </x:c>
      <x:c r="I539" s="6" t="str">
        <x:v>Overnight</x:v>
      </x:c>
      <x:c r="J539" s="6" t="str">
        <x:v>Bull</x:v>
      </x:c>
      <x:c r="K539" s="6" t="str">
        <x:v>Bull</x:v>
      </x:c>
      <x:c r="L539" s="6" t="str">
        <x:v>MID</x:v>
      </x:c>
      <x:c r="M539" s="7" t="str">
        <x:v>2025-12-04 02:00:00-06:00</x:v>
      </x:c>
      <x:c r="N539" s="6" t="str">
        <x:v>90.0</x:v>
      </x:c>
      <x:c r="O539" s="6" t="str">
        <x:v>90-94</x:v>
      </x:c>
      <x:c r="P539" s="6" t="str">
        <x:v>Matching BOS only</x:v>
      </x:c>
      <x:c r="Q539" s="6" t="str">
        <x:v>Bear CHoCH</x:v>
      </x:c>
      <x:c r="R539" s="6" t="str">
        <x:v>True</x:v>
      </x:c>
      <x:c r="S539" s="6" t="str">
        <x:v>False</x:v>
      </x:c>
      <x:c r="T539" s="6" t="str">
        <x:v>Recent BSL</x:v>
      </x:c>
      <x:c r="U539" s="6" t="str">
        <x:v>BSL</x:v>
      </x:c>
      <x:c r="V539" s="6" t="str">
        <x:v>Swing high / buy-side</x:v>
      </x:c>
      <x:c r="W539" s="6" t="str">
        <x:v>[23743.25]</x:v>
      </x:c>
      <x:c r="X539" s="8" t="str">
        <x:v>1</x:v>
      </x:c>
      <x:c r="Y539" s="8" t="str">
        <x:v>11.0</x:v>
      </x:c>
      <x:c r="Z539" s="6" t="str">
        <x:v>None</x:v>
      </x:c>
      <x:c r="AA539" s="6" t="str">
        <x:v>23728.5</x:v>
      </x:c>
      <x:c r="AB539" s="9" t="str">
        <x:v>0.11438139510147113</x:v>
      </x:c>
      <x:c r="AC539" s="9" t="str">
        <x:v>0.657693021833459</x:v>
      </x:c>
      <x:c r="AD539" s="9" t="str">
        <x:v>2.516390692232365</x:v>
      </x:c>
      <x:c r="AE539" s="6" t="str">
        <x:v>With trade</x:v>
      </x:c>
      <x:c r="AF539" s="7" t="str">
        <x:v>2025-12-04 02:00:00-06:00</x:v>
      </x:c>
      <x:c r="AG539" s="6" t="str">
        <x:v>Short</x:v>
      </x:c>
      <x:c r="AH539" s="6" t="str">
        <x:v>23728.5</x:v>
      </x:c>
      <x:c r="AI539" s="8" t="str">
        <x:v>0</x:v>
      </x:c>
      <x:c r="AJ539" s="6" t="str">
        <x:v>True</x:v>
      </x:c>
      <x:c r="AK539" s="6" t="str">
        <x:v>Same-bar Setup+BOS</x:v>
      </x:c>
      <x:c r="AL539" s="9" t="str">
        <x:v>0.7720744169349302</x:v>
      </x:c>
      <x:c r="AM539" s="9" t="str">
        <x:v>0.11438139510147113</x:v>
      </x:c>
      <x:c r="AN539" s="9" t="str">
        <x:v>0.657693021833459</x:v>
      </x:c>
      <x:c r="AO539" s="9" t="str">
        <x:v>2.516390692232365</x:v>
      </x:c>
      <x:c r="AP539" s="10" t="str">
        <x:v>0.26136363636363635</x:v>
      </x:c>
      <x:c r="AQ539" s="6" t="str">
        <x:v>0.06818181818181818</x:v>
      </x:c>
      <x:c r="AR539" s="6" t="str">
        <x:v>0.6704545454545454</x:v>
      </x:c>
      <x:c r="AS539" s="6" t="str">
        <x:v>With trade</x:v>
      </x:c>
      <x:c r="AT539" s="6" t="str">
        <x:v>4.842384105960265</x:v>
      </x:c>
      <x:c r="AU539" s="7" t="str">
        <x:v>2025-12-04 02:05:00-06:00</x:v>
      </x:c>
      <x:c r="AV539" s="8" t="str">
        <x:v>1</x:v>
      </x:c>
      <x:c r="AW539" s="6" t="str">
        <x:v>Immediate retest (1 bar)</x:v>
      </x:c>
      <x:c r="AX539" s="6" t="str">
        <x:v>23728.5</x:v>
      </x:c>
      <x:c r="AY539" s="6" t="str">
        <x:v>0.0</x:v>
      </x:c>
      <x:c r="AZ539" s="9" t="str">
        <x:v>0.0</x:v>
      </x:c>
      <x:c r="BA539" s="9" t="str">
        <x:v>0.5432791383625241</x:v>
      </x:c>
      <x:c r="BB539" s="9" t="str">
        <x:v>1.0007773601414918</x:v>
      </x:c>
      <x:c r="BC539" s="9" t="str">
        <x:v>0.2573427497506693</x:v>
      </x:c>
      <x:c r="BD539" s="6" t="str">
        <x:v>0.2857142857142857</x:v>
      </x:c>
      <x:c r="BE539" s="6" t="str">
        <x:v>0.45714285714285713</x:v>
      </x:c>
      <x:c r="BF539" s="9" t="str">
        <x:v>0.2859363886118548</x:v>
      </x:c>
      <x:c r="BG539" s="9" t="str">
        <x:v>0.45749822177896765</x:v>
      </x:c>
      <x:c r="BH539" s="6" t="str">
        <x:v>With trade</x:v>
      </x:c>
      <x:c r="BI539" s="6" t="str">
        <x:v>Exact BOS touch</x:v>
      </x:c>
      <x:c r="BJ539" s="6" t="str">
        <x:v>True</x:v>
      </x:c>
      <x:c r="BK539" s="10" t="str">
        <x:v>False</x:v>
      </x:c>
      <x:c r="BL539" s="6" t="str">
        <x:v>True</x:v>
      </x:c>
      <x:c r="BM539" s="7" t="str">
        <x:v>2025-12-04 02:10:00-06:00</x:v>
      </x:c>
      <x:c r="BN539" s="8" t="str">
        <x:v>1</x:v>
      </x:c>
      <x:c r="BO539" s="6" t="str">
        <x:v>Immediate confirmation (1 bar)</x:v>
      </x:c>
      <x:c r="BP539" s="9" t="str">
        <x:v>1.160976643012894</x:v>
      </x:c>
      <x:c r="BQ539" s="9" t="str">
        <x:v>2.2703543241141038</x:v>
      </x:c>
      <x:c r="BR539" s="10" t="str">
        <x:v>0.5113636363636364</x:v>
      </x:c>
      <x:c r="BS539" s="9" t="str">
        <x:v>1.5737683383063674</x:v>
      </x:c>
      <x:c r="BT539" s="9" t="str">
        <x:v>1.0835782001453678</x:v>
      </x:c>
      <x:c r="BU539" s="9" t="str">
        <x:v>0.07739844286752627</x:v>
      </x:c>
      <x:c r="BV539" s="6" t="str">
        <x:v>With trade</x:v>
      </x:c>
      <x:c r="BW539" s="7" t="str">
        <x:v>2025-12-04 02:10:00-06:00</x:v>
      </x:c>
      <x:c r="BX539" s="6" t="str">
        <x:v>23713.25</x:v>
      </x:c>
      <x:c r="BY539" s="9" t="str">
        <x:v>9.690117426311613</x:v>
      </x:c>
      <x:c r="BZ539" s="9" t="str">
        <x:v>0.58</x:v>
      </x:c>
      <x:c r="CA539" s="6" t="str">
        <x:v>23727.785176139467</x:v>
      </x:c>
      <x:c r="CB539" s="6" t="str">
        <x:v>14.535176139466785</x:v>
      </x:c>
      <x:c r="CC539" s="9" t="str">
        <x:v>1.4999999999999345</x:v>
      </x:c>
      <x:c r="CD539" s="6" t="str">
        <x:v>23684.179647721066</x:v>
      </x:c>
      <x:c r="CE539" s="6" t="str">
        <x:v>29.07035227893357</x:v>
      </x:c>
      <x:c r="CF539" s="6" t="str">
        <x:v>Fixed 2.00R target</x:v>
      </x:c>
      <x:c r="CG539" s="9" t="str">
        <x:v>0.049878996514630215</x:v>
      </x:c>
      <x:c r="CH539" s="9" t="str">
        <x:v>2.0</x:v>
      </x:c>
      <x:c r="CI539" s="9" t="str">
        <x:v>1.9501210034853698</x:v>
      </x:c>
      <x:c r="CJ539" s="6" t="str">
        <x:v>Win</x:v>
      </x:c>
      <x:c r="CK539" s="9" t="str">
        <x:v>2.253154670143641</x:v>
      </x:c>
      <x:c r="CL539" s="9" t="str">
        <x:v>0.5847882349991128</x:v>
      </x:c>
      <x:c r="CM539" s="7" t="str">
        <x:v>2025-12-04 02:25:00-06:00</x:v>
      </x:c>
      <x:c r="CN539" s="6" t="str">
        <x:v>23684.179647721066</x:v>
      </x:c>
      <x:c r="CO539" s="6" t="str">
        <x:v>TARGET</x:v>
      </x:c>
      <x:c r="CP539" s="6" t="str">
        <x:v>F::Short::Same-bar Setup+BOS::Exact BOS touch</x:v>
      </x:c>
    </x:row>
    <x:row r="540" ht="18" customHeight="1">
      <x:c r="A540" s="6" t="str">
        <x:v>A0539</x:v>
      </x:c>
      <x:c r="B540" s="6" t="str">
        <x:v>2025-12-05</x:v>
      </x:c>
      <x:c r="C540" s="6" t="str">
        <x:v>2025</x:v>
      </x:c>
      <x:c r="D540" s="6" t="str">
        <x:v>2025-Q4</x:v>
      </x:c>
      <x:c r="E540" s="6" t="str">
        <x:v>Second 50%</x:v>
      </x:c>
      <x:c r="F540" s="6" t="str">
        <x:v>Long</x:v>
      </x:c>
      <x:c r="G540" s="6" t="str">
        <x:v>Long</x:v>
      </x:c>
      <x:c r="H540" s="6" t="str">
        <x:v>Overnight</x:v>
      </x:c>
      <x:c r="I540" s="6" t="str">
        <x:v>Overnight</x:v>
      </x:c>
      <x:c r="J540" s="6" t="str">
        <x:v>Bull</x:v>
      </x:c>
      <x:c r="K540" s="6" t="str">
        <x:v>Bull</x:v>
      </x:c>
      <x:c r="L540" s="6" t="str">
        <x:v>HIGH</x:v>
      </x:c>
      <x:c r="M540" s="7" t="str">
        <x:v>2025-12-05 02:00:00-06:00</x:v>
      </x:c>
      <x:c r="N540" s="6" t="str">
        <x:v>90.0</x:v>
      </x:c>
      <x:c r="O540" s="6" t="str">
        <x:v>90-94</x:v>
      </x:c>
      <x:c r="P540" s="6" t="str">
        <x:v>Matching BOS only</x:v>
      </x:c>
      <x:c r="Q540" s="6" t="str">
        <x:v>Bull BOS</x:v>
      </x:c>
      <x:c r="R540" s="6" t="str">
        <x:v>True</x:v>
      </x:c>
      <x:c r="S540" s="6" t="str">
        <x:v>False</x:v>
      </x:c>
      <x:c r="T540" s="6" t="str">
        <x:v>Recent SSL</x:v>
      </x:c>
      <x:c r="U540" s="6" t="str">
        <x:v>SSL</x:v>
      </x:c>
      <x:c r="V540" s="6" t="str">
        <x:v>Swing low / sell-side</x:v>
      </x:c>
      <x:c r="W540" s="6" t="str">
        <x:v>[23785.25]</x:v>
      </x:c>
      <x:c r="X540" s="8" t="str">
        <x:v>1</x:v>
      </x:c>
      <x:c r="Y540" s="8" t="str">
        <x:v>18.0</x:v>
      </x:c>
      <x:c r="Z540" s="6" t="str">
        <x:v>Sweep below CRT reference</x:v>
      </x:c>
      <x:c r="AA540" s="6" t="str">
        <x:v>23806.5</x:v>
      </x:c>
      <x:c r="AB540" s="9" t="str">
        <x:v>0.63009872094415</x:v>
      </x:c>
      <x:c r="AC540" s="9" t="str">
        <x:v>1.041032669385987</x:v>
      </x:c>
      <x:c r="AD540" s="9" t="str">
        <x:v>2.6025816734649676</x:v>
      </x:c>
      <x:c r="AE540" s="6" t="str">
        <x:v>With trade</x:v>
      </x:c>
      <x:c r="AF540" s="7" t="str">
        <x:v>2025-12-05 02:00:00-06:00</x:v>
      </x:c>
      <x:c r="AG540" s="6" t="str">
        <x:v>Long</x:v>
      </x:c>
      <x:c r="AH540" s="6" t="str">
        <x:v>23806.5</x:v>
      </x:c>
      <x:c r="AI540" s="8" t="str">
        <x:v>0</x:v>
      </x:c>
      <x:c r="AJ540" s="6" t="str">
        <x:v>True</x:v>
      </x:c>
      <x:c r="AK540" s="6" t="str">
        <x:v>Same-bar Setup+BOS</x:v>
      </x:c>
      <x:c r="AL540" s="9" t="str">
        <x:v>1.0958238625115653</x:v>
      </x:c>
      <x:c r="AM540" s="9" t="str">
        <x:v>0.63009872094415</x:v>
      </x:c>
      <x:c r="AN540" s="9" t="str">
        <x:v>1.041032669385987</x:v>
      </x:c>
      <x:c r="AO540" s="9" t="str">
        <x:v>2.6025816734649676</x:v>
      </x:c>
      <x:c r="AP540" s="10" t="str">
        <x:v>0.4</x:v>
      </x:c>
      <x:c r="AQ540" s="6" t="str">
        <x:v>0.43157894736842106</x:v>
      </x:c>
      <x:c r="AR540" s="6" t="str">
        <x:v>0.16842105263157894</x:v>
      </x:c>
      <x:c r="AS540" s="6" t="str">
        <x:v>With trade</x:v>
      </x:c>
      <x:c r="AT540" s="6" t="str">
        <x:v>4.979190314037079</x:v>
      </x:c>
      <x:c r="AU540" s="7" t="str">
        <x:v>2025-12-05 02:05:00-06:00</x:v>
      </x:c>
      <x:c r="AV540" s="8" t="str">
        <x:v>1</x:v>
      </x:c>
      <x:c r="AW540" s="6" t="str">
        <x:v>Immediate retest (1 bar)</x:v>
      </x:c>
      <x:c r="AX540" s="6" t="str">
        <x:v>23805.25</x:v>
      </x:c>
      <x:c r="AY540" s="6" t="str">
        <x:v>1.25</x:v>
      </x:c>
      <x:c r="AZ540" s="9" t="str">
        <x:v>0.13631172744696865</x:v>
      </x:c>
      <x:c r="BA540" s="9" t="str">
        <x:v>0.6270339462560558</x:v>
      </x:c>
      <x:c r="BB540" s="9" t="str">
        <x:v>1.0632314740863555</x:v>
      </x:c>
      <x:c r="BC540" s="9" t="str">
        <x:v>0.0817870364681812</x:v>
      </x:c>
      <x:c r="BD540" s="6" t="str">
        <x:v>0.28205128205128205</x:v>
      </x:c>
      <x:c r="BE540" s="6" t="str">
        <x:v>0.6410256410256411</x:v>
      </x:c>
      <x:c r="BF540" s="9" t="str">
        <x:v>0.6815586372348433</x:v>
      </x:c>
      <x:c r="BG540" s="9" t="str">
        <x:v>0.29988580038333107</x:v>
      </x:c>
      <x:c r="BH540" s="6" t="str">
        <x:v>With trade</x:v>
      </x:c>
      <x:c r="BI540" s="6" t="str">
        <x:v>Penetration + same-bar reclaim</x:v>
      </x:c>
      <x:c r="BJ540" s="6" t="str">
        <x:v>False</x:v>
      </x:c>
      <x:c r="BK540" s="10" t="str">
        <x:v>True</x:v>
      </x:c>
      <x:c r="BL540" s="6" t="str">
        <x:v>True</x:v>
      </x:c>
      <x:c r="BM540" s="7" t="str">
        <x:v>2025-12-05 02:15:00-06:00</x:v>
      </x:c>
      <x:c r="BN540" s="8" t="str">
        <x:v>2</x:v>
      </x:c>
      <x:c r="BO540" s="6" t="str">
        <x:v>Delayed confirmation (2+ bars)</x:v>
      </x:c>
      <x:c r="BP540" s="9" t="str">
        <x:v>0.9339653265164031</x:v>
      </x:c>
      <x:c r="BQ540" s="9" t="str">
        <x:v>1.440975075196736</x:v>
      </x:c>
      <x:c r="BR540" s="10" t="str">
        <x:v>0.6481481481481481</x:v>
      </x:c>
      <x:c r="BS540" s="9" t="str">
        <x:v>1.440975075196736</x:v>
      </x:c>
      <x:c r="BT540" s="9" t="str">
        <x:v>0.8272264320573856</x:v>
      </x:c>
      <x:c r="BU540" s="9" t="str">
        <x:v>0.45364030145082435</x:v>
      </x:c>
      <x:c r="BV540" s="6" t="str">
        <x:v>With trade</x:v>
      </x:c>
      <x:c r="BW540" s="7" t="str">
        <x:v>2025-12-05 02:15:00-06:00</x:v>
      </x:c>
      <x:c r="BX540" s="6" t="str">
        <x:v>23820.0</x:v>
      </x:c>
      <x:c r="BY540" s="9" t="str">
        <x:v>9.368656149834408</x:v>
      </x:c>
      <x:c r="BZ540" s="9" t="str">
        <x:v>0.67</x:v>
      </x:c>
      <x:c r="CA540" s="6" t="str">
        <x:v>23805.947015775248</x:v>
      </x:c>
      <x:c r="CB540" s="6" t="str">
        <x:v>14.052984224752436</x:v>
      </x:c>
      <x:c r="CC540" s="9" t="str">
        <x:v>1.500000000000088</x:v>
      </x:c>
      <x:c r="CD540" s="6" t="str">
        <x:v>23848.105968449505</x:v>
      </x:c>
      <x:c r="CE540" s="6" t="str">
        <x:v>28.10596844950487</x:v>
      </x:c>
      <x:c r="CF540" s="6" t="str">
        <x:v>Fixed 2.00R target</x:v>
      </x:c>
      <x:c r="CG540" s="9" t="str">
        <x:v>0.05159046565518876</x:v>
      </x:c>
      <x:c r="CH540" s="9" t="str">
        <x:v>-1.0</x:v>
      </x:c>
      <x:c r="CI540" s="9" t="str">
        <x:v>-1.0515904656551887</x:v>
      </x:c>
      <x:c r="CJ540" s="6" t="str">
        <x:v>Loss</x:v>
      </x:c>
      <x:c r="CK540" s="9" t="str">
        <x:v>0.925070418644764</x:v>
      </x:c>
      <x:c r="CL540" s="9" t="str">
        <x:v>1.2452871020217977</x:v>
      </x:c>
      <x:c r="CM540" s="7" t="str">
        <x:v>2025-12-05 02:50:00-06:00</x:v>
      </x:c>
      <x:c r="CN540" s="6" t="str">
        <x:v>23805.947015775248</x:v>
      </x:c>
      <x:c r="CO540" s="6" t="str">
        <x:v>STOP</x:v>
      </x:c>
      <x:c r="CP540" s="6" t="str">
        <x:v>F::Long::Same-bar Setup+BOS::Penetration + same-bar reclaim</x:v>
      </x:c>
    </x:row>
    <x:row r="541" ht="18" customHeight="1">
      <x:c r="A541" s="6" t="str">
        <x:v>A0540</x:v>
      </x:c>
      <x:c r="B541" s="6" t="str">
        <x:v>2025-12-05</x:v>
      </x:c>
      <x:c r="C541" s="6" t="str">
        <x:v>2025</x:v>
      </x:c>
      <x:c r="D541" s="6" t="str">
        <x:v>2025-Q4</x:v>
      </x:c>
      <x:c r="E541" s="6" t="str">
        <x:v>Second 50%</x:v>
      </x:c>
      <x:c r="F541" s="6" t="str">
        <x:v>Short</x:v>
      </x:c>
      <x:c r="G541" s="6" t="str">
        <x:v>Short</x:v>
      </x:c>
      <x:c r="H541" s="6" t="str">
        <x:v>Premarket</x:v>
      </x:c>
      <x:c r="I541" s="6" t="str">
        <x:v>Premarket</x:v>
      </x:c>
      <x:c r="J541" s="6" t="str">
        <x:v>Bull</x:v>
      </x:c>
      <x:c r="K541" s="6" t="str">
        <x:v>Bull</x:v>
      </x:c>
      <x:c r="L541" s="6" t="str">
        <x:v>HIGH</x:v>
      </x:c>
      <x:c r="M541" s="7" t="str">
        <x:v>2025-12-05 07:20:00-06:00</x:v>
      </x:c>
      <x:c r="N541" s="6" t="str">
        <x:v>90.0</x:v>
      </x:c>
      <x:c r="O541" s="6" t="str">
        <x:v>90-94</x:v>
      </x:c>
      <x:c r="P541" s="6" t="str">
        <x:v>Matching BOS only</x:v>
      </x:c>
      <x:c r="Q541" s="6" t="str">
        <x:v>Bear BOS</x:v>
      </x:c>
      <x:c r="R541" s="6" t="str">
        <x:v>True</x:v>
      </x:c>
      <x:c r="S541" s="6" t="str">
        <x:v>False</x:v>
      </x:c>
      <x:c r="T541" s="6" t="str">
        <x:v>Recent BSL</x:v>
      </x:c>
      <x:c r="U541" s="6" t="str">
        <x:v>BSL</x:v>
      </x:c>
      <x:c r="V541" s="6" t="str">
        <x:v>Swing high / buy-side</x:v>
      </x:c>
      <x:c r="W541" s="6" t="str">
        <x:v>[23808.75]</x:v>
      </x:c>
      <x:c r="X541" s="8" t="str">
        <x:v>1</x:v>
      </x:c>
      <x:c r="Y541" s="8" t="str">
        <x:v>16.0</x:v>
      </x:c>
      <x:c r="Z541" s="6" t="str">
        <x:v>None</x:v>
      </x:c>
      <x:c r="AA541" s="6" t="str">
        <x:v>23765.75</x:v>
      </x:c>
      <x:c r="AB541" s="9" t="str">
        <x:v>0.4473350656658942</x:v>
      </x:c>
      <x:c r="AC541" s="9" t="str">
        <x:v>0.9443740275168877</x:v>
      </x:c>
      <x:c r="AD541" s="9" t="str">
        <x:v>1.4165610412753316</x:v>
      </x:c>
      <x:c r="AE541" s="6" t="str">
        <x:v>With trade</x:v>
      </x:c>
      <x:c r="AF541" s="7" t="str">
        <x:v>2025-12-05 07:20:00-06:00</x:v>
      </x:c>
      <x:c r="AG541" s="6" t="str">
        <x:v>Short</x:v>
      </x:c>
      <x:c r="AH541" s="6" t="str">
        <x:v>23765.75</x:v>
      </x:c>
      <x:c r="AI541" s="8" t="str">
        <x:v>0</x:v>
      </x:c>
      <x:c r="AJ541" s="6" t="str">
        <x:v>True</x:v>
      </x:c>
      <x:c r="AK541" s="6" t="str">
        <x:v>Same-bar Setup+BOS</x:v>
      </x:c>
      <x:c r="AL541" s="9" t="str">
        <x:v>0.8946701313317884</x:v>
      </x:c>
      <x:c r="AM541" s="9" t="str">
        <x:v>0.4473350656658942</x:v>
      </x:c>
      <x:c r="AN541" s="9" t="str">
        <x:v>0.9443740275168877</x:v>
      </x:c>
      <x:c r="AO541" s="9" t="str">
        <x:v>1.4165610412753316</x:v>
      </x:c>
      <x:c r="AP541" s="10" t="str">
        <x:v>0.6666666666666666</x:v>
      </x:c>
      <x:c r="AQ541" s="6" t="str">
        <x:v>0.05263157894736842</x:v>
      </x:c>
      <x:c r="AR541" s="6" t="str">
        <x:v>0.2807017543859649</x:v>
      </x:c>
      <x:c r="AS541" s="6" t="str">
        <x:v>With trade</x:v>
      </x:c>
      <x:c r="AT541" s="6" t="str">
        <x:v>3.479539328595932</x:v>
      </x:c>
      <x:c r="AU541" s="7" t="str">
        <x:v>2025-12-05 07:25:00-06:00</x:v>
      </x:c>
      <x:c r="AV541" s="8" t="str">
        <x:v>1</x:v>
      </x:c>
      <x:c r="AW541" s="6" t="str">
        <x:v>Immediate retest (1 bar)</x:v>
      </x:c>
      <x:c r="AX541" s="6" t="str">
        <x:v>23766.5</x:v>
      </x:c>
      <x:c r="AY541" s="6" t="str">
        <x:v>0.75</x:v>
      </x:c>
      <x:c r="AZ541" s="9" t="str">
        <x:v>0.07303105342648651</x:v>
      </x:c>
      <x:c r="BA541" s="9" t="str">
        <x:v>0.14606210685297302</x:v>
      </x:c>
      <x:c r="BB541" s="9" t="str">
        <x:v>1.2658715927257662</x:v>
      </x:c>
      <x:c r="BC541" s="9" t="str">
        <x:v>0.26778052923045054</x:v>
      </x:c>
      <x:c r="BD541" s="6" t="str">
        <x:v>0.17307692307692307</x:v>
      </x:c>
      <x:c r="BE541" s="6" t="str">
        <x:v>0.6153846153846154</x:v>
      </x:c>
      <x:c r="BF541" s="9" t="str">
        <x:v>0.21909316027945952</x:v>
      </x:c>
      <x:c r="BG541" s="9" t="str">
        <x:v>0.7789979032158562</x:v>
      </x:c>
      <x:c r="BH541" s="6" t="str">
        <x:v>Against trade</x:v>
      </x:c>
      <x:c r="BI541" s="6" t="str">
        <x:v>Penetration + same-bar reclaim</x:v>
      </x:c>
      <x:c r="BJ541" s="6" t="str">
        <x:v>False</x:v>
      </x:c>
      <x:c r="BK541" s="10" t="str">
        <x:v>True</x:v>
      </x:c>
      <x:c r="BL541" s="6" t="str">
        <x:v>True</x:v>
      </x:c>
      <x:c r="BM541" s="7" t="str">
        <x:v>2025-12-05 07:30:00-06:00</x:v>
      </x:c>
      <x:c r="BN541" s="8" t="str">
        <x:v>1</x:v>
      </x:c>
      <x:c r="BO541" s="6" t="str">
        <x:v>Immediate confirmation (1 bar)</x:v>
      </x:c>
      <x:c r="BP541" s="9" t="str">
        <x:v>1.9875947877868874</x:v>
      </x:c>
      <x:c r="BQ541" s="9" t="str">
        <x:v>2.4628891935620127</x:v>
      </x:c>
      <x:c r="BR541" s="10" t="str">
        <x:v>0.8070175438596491</x:v>
      </x:c>
      <x:c r="BS541" s="9" t="str">
        <x:v>2.2036376995028535</x:v>
      </x:c>
      <x:c r="BT541" s="9" t="str">
        <x:v>2.0740119524732736</x:v>
      </x:c>
      <x:c r="BU541" s="9" t="str">
        <x:v>0.2592514940591592</x:v>
      </x:c>
      <x:c r="BV541" s="6" t="str">
        <x:v>With trade</x:v>
      </x:c>
      <x:c r="BW541" s="7" t="str">
        <x:v>2025-12-05 07:30:00-06:00</x:v>
      </x:c>
      <x:c r="BX541" s="6" t="str">
        <x:v>23740.25</x:v>
      </x:c>
      <x:c r="BY541" s="9" t="str">
        <x:v>11.571775163291528</x:v>
      </x:c>
      <x:c r="BZ541" s="9" t="str">
        <x:v>0.99</x:v>
      </x:c>
      <x:c r="CA541" s="6" t="str">
        <x:v>23757.607662744937</x:v>
      </x:c>
      <x:c r="CB541" s="6" t="str">
        <x:v>17.357662744936533</x:v>
      </x:c>
      <x:c r="CC541" s="9" t="str">
        <x:v>1.4999999999999343</x:v>
      </x:c>
      <x:c r="CD541" s="6" t="str">
        <x:v>23705.534674510127</x:v>
      </x:c>
      <x:c r="CE541" s="6" t="str">
        <x:v>34.71532548987307</x:v>
      </x:c>
      <x:c r="CF541" s="6" t="str">
        <x:v>Fixed 2.00R target</x:v>
      </x:c>
      <x:c r="CG541" s="9" t="str">
        <x:v>0.04176829626508859</x:v>
      </x:c>
      <x:c r="CH541" s="9" t="str">
        <x:v>2.0</x:v>
      </x:c>
      <x:c r="CI541" s="9" t="str">
        <x:v>1.9582317037349115</x:v>
      </x:c>
      <x:c r="CJ541" s="6" t="str">
        <x:v>Win</x:v>
      </x:c>
      <x:c r="CK541" s="9" t="str">
        <x:v>2.218040560284015</x:v>
      </x:c>
      <x:c r="CL541" s="9" t="str">
        <x:v>0.04320858234319509</x:v>
      </x:c>
      <x:c r="CM541" s="7" t="str">
        <x:v>2025-12-05 07:35:00-06:00</x:v>
      </x:c>
      <x:c r="CN541" s="6" t="str">
        <x:v>23705.534674510127</x:v>
      </x:c>
      <x:c r="CO541" s="6" t="str">
        <x:v>TARGET</x:v>
      </x:c>
      <x:c r="CP541" s="6" t="str">
        <x:v>F::Short::Same-bar Setup+BOS::Penetration + same-bar reclaim</x:v>
      </x:c>
    </x:row>
    <x:row r="542" ht="18" customHeight="1">
      <x:c r="A542" s="6" t="str">
        <x:v>A0541</x:v>
      </x:c>
      <x:c r="B542" s="6" t="str">
        <x:v>2025-12-08</x:v>
      </x:c>
      <x:c r="C542" s="6" t="str">
        <x:v>2025</x:v>
      </x:c>
      <x:c r="D542" s="6" t="str">
        <x:v>2025-Q4</x:v>
      </x:c>
      <x:c r="E542" s="6" t="str">
        <x:v>Second 50%</x:v>
      </x:c>
      <x:c r="F542" s="6" t="str">
        <x:v>Long</x:v>
      </x:c>
      <x:c r="G542" s="6" t="str">
        <x:v>Long</x:v>
      </x:c>
      <x:c r="H542" s="6" t="str">
        <x:v>Overnight</x:v>
      </x:c>
      <x:c r="I542" s="6" t="str">
        <x:v>Overnight</x:v>
      </x:c>
      <x:c r="J542" s="6" t="str">
        <x:v>Bull</x:v>
      </x:c>
      <x:c r="K542" s="6" t="str">
        <x:v>Bull</x:v>
      </x:c>
      <x:c r="L542" s="6" t="str">
        <x:v>MID</x:v>
      </x:c>
      <x:c r="M542" s="7" t="str">
        <x:v>2025-12-08 01:00:00-06:00</x:v>
      </x:c>
      <x:c r="N542" s="6" t="str">
        <x:v>75.0</x:v>
      </x:c>
      <x:c r="O542" s="6" t="str">
        <x:v>75-79</x:v>
      </x:c>
      <x:c r="P542" s="6" t="str">
        <x:v>Matching liquidity sweep only</x:v>
      </x:c>
      <x:c r="Q542" s="6" t="str">
        <x:v>Recent bull structure</x:v>
      </x:c>
      <x:c r="R542" s="6" t="str">
        <x:v>False</x:v>
      </x:c>
      <x:c r="S542" s="6" t="str">
        <x:v>True</x:v>
      </x:c>
      <x:c r="T542" s="6" t="str">
        <x:v>Recent SSL</x:v>
      </x:c>
      <x:c r="U542" s="6" t="str">
        <x:v>SSL</x:v>
      </x:c>
      <x:c r="V542" s="6" t="str">
        <x:v>Swing low / sell-side</x:v>
      </x:c>
      <x:c r="W542" s="6" t="str">
        <x:v>[23857.75,23862.75]</x:v>
      </x:c>
      <x:c r="X542" s="8" t="str">
        <x:v>2</x:v>
      </x:c>
      <x:c r="Y542" s="8" t="str">
        <x:v>0.0</x:v>
      </x:c>
      <x:c r="Z542" s="6" t="str">
        <x:v>None</x:v>
      </x:c>
      <x:c r="AA542" s="6" t="str">
        <x:v>23881.5</x:v>
      </x:c>
      <x:c r="AB542" s="9" t="str">
        <x:v>-2.423217971226343</x:v>
      </x:c>
      <x:c r="AC542" s="9" t="str">
        <x:v>0.32072002560348656</x:v>
      </x:c>
      <x:c r="AD542" s="9" t="str">
        <x:v>2.1024979456228565</x:v>
      </x:c>
      <x:c r="AE542" s="6" t="str">
        <x:v>Against trade</x:v>
      </x:c>
      <x:c r="AF542" s="7" t="str">
        <x:v>2025-12-08 01:25:00-06:00</x:v>
      </x:c>
      <x:c r="AG542" s="6" t="str">
        <x:v>Long</x:v>
      </x:c>
      <x:c r="AH542" s="6" t="str">
        <x:v>23888.75</x:v>
      </x:c>
      <x:c r="AI542" s="8" t="str">
        <x:v>5</x:v>
      </x:c>
      <x:c r="AJ542" s="6" t="str">
        <x:v>False</x:v>
      </x:c>
      <x:c r="AK542" s="6" t="str">
        <x:v>Delayed BOS</x:v>
      </x:c>
      <x:c r="AL542" s="9" t="str">
        <x:v>0.06340437665577885</x:v>
      </x:c>
      <x:c r="AM542" s="9" t="str">
        <x:v>0.03170218832788942</x:v>
      </x:c>
      <x:c r="AN542" s="9" t="str">
        <x:v>0.06340437665577885</x:v>
      </x:c>
      <x:c r="AO542" s="9" t="str">
        <x:v>1.0144700264924615</x:v>
      </x:c>
      <x:c r="AP542" s="10" t="str">
        <x:v>0.0625</x:v>
      </x:c>
      <x:c r="AQ542" s="6" t="str">
        <x:v>0.46875</x:v>
      </x:c>
      <x:c r="AR542" s="6" t="str">
        <x:v>0.46875</x:v>
      </x:c>
      <x:c r="AS542" s="6" t="str">
        <x:v>With trade</x:v>
      </x:c>
      <x:c r="AT542" s="6" t="str">
        <x:v>0.8330261702911905</x:v>
      </x:c>
      <x:c r="AU542" s="7" t="str">
        <x:v>2025-12-08 01:30:00-06:00</x:v>
      </x:c>
      <x:c r="AV542" s="8" t="str">
        <x:v>1</x:v>
      </x:c>
      <x:c r="AW542" s="6" t="str">
        <x:v>Immediate retest (1 bar)</x:v>
      </x:c>
      <x:c r="AX542" s="6" t="str">
        <x:v>23881.5</x:v>
      </x:c>
      <x:c r="AY542" s="6" t="str">
        <x:v>7.25</x:v>
      </x:c>
      <x:c r="AZ542" s="9" t="str">
        <x:v>0.8748749355897414</x:v>
      </x:c>
      <x:c r="BA542" s="9" t="str">
        <x:v>0.6033620245446492</x:v>
      </x:c>
      <x:c r="BB542" s="9" t="str">
        <x:v>1.629077466270553</x:v>
      </x:c>
      <x:c r="BC542" s="9" t="str">
        <x:v>0.6335301257718816</x:v>
      </x:c>
      <x:c r="BD542" s="6" t="str">
        <x:v>0.09259259259259259</x:v>
      </x:c>
      <x:c r="BE542" s="6" t="str">
        <x:v>0.5185185185185185</x:v>
      </x:c>
      <x:c r="BF542" s="9" t="str">
        <x:v>0.8447068343625089</x:v>
      </x:c>
      <x:c r="BG542" s="9" t="str">
        <x:v>0.1508405061361623</x:v>
      </x:c>
      <x:c r="BH542" s="6" t="str">
        <x:v>With trade</x:v>
      </x:c>
      <x:c r="BI542" s="6" t="str">
        <x:v>Penetration + same-bar reclaim</x:v>
      </x:c>
      <x:c r="BJ542" s="6" t="str">
        <x:v>False</x:v>
      </x:c>
      <x:c r="BK542" s="10" t="str">
        <x:v>True</x:v>
      </x:c>
      <x:c r="BL542" s="6" t="str">
        <x:v>True</x:v>
      </x:c>
      <x:c r="BM542" s="7" t="str">
        <x:v>2025-12-08 01:35:00-06:00</x:v>
      </x:c>
      <x:c r="BN542" s="8" t="str">
        <x:v>1</x:v>
      </x:c>
      <x:c r="BO542" s="6" t="str">
        <x:v>Immediate confirmation (1 bar)</x:v>
      </x:c>
      <x:c r="BP542" s="9" t="str">
        <x:v>0.21830231730389546</x:v>
      </x:c>
      <x:c r="BQ542" s="9" t="str">
        <x:v>0.5613488159243026</x:v>
      </x:c>
      <x:c r="BR542" s="10" t="str">
        <x:v>0.3888888888888889</x:v>
      </x:c>
      <x:c r="BS542" s="9" t="str">
        <x:v>0.8732092692155818</x:v>
      </x:c>
      <x:c r="BT542" s="9" t="str">
        <x:v>0.24948836263302338</x:v>
      </x:c>
      <x:c r="BU542" s="9" t="str">
        <x:v>0.031186045329127922</x:v>
      </x:c>
      <x:c r="BV542" s="6" t="str">
        <x:v>With trade</x:v>
      </x:c>
      <x:c r="BW542" s="7" t="str">
        <x:v>2025-12-08 01:35:00-06:00</x:v>
      </x:c>
      <x:c r="BX542" s="6" t="str">
        <x:v>23895.75</x:v>
      </x:c>
      <x:c r="BY542" s="9" t="str">
        <x:v>8.01640597137524</x:v>
      </x:c>
      <x:c r="BZ542" s="9" t="str">
        <x:v>0.5</x:v>
      </x:c>
      <x:c r="CA542" s="6" t="str">
        <x:v>23883.725391042935</x:v>
      </x:c>
      <x:c r="CB542" s="6" t="str">
        <x:v>12.024608957064629</x:v>
      </x:c>
      <x:c r="CC542" s="9" t="str">
        <x:v>1.5000000000002205</x:v>
      </x:c>
      <x:c r="CD542" s="6" t="str">
        <x:v>23919.799217914126</x:v>
      </x:c>
      <x:c r="CE542" s="6" t="str">
        <x:v>24.04921791412562</x:v>
      </x:c>
      <x:c r="CF542" s="6" t="str">
        <x:v>Fixed 2.00R target</x:v>
      </x:c>
      <x:c r="CG542" s="9" t="str">
        <x:v>0.06029302096963845</x:v>
      </x:c>
      <x:c r="CH542" s="9" t="str">
        <x:v>-1.0</x:v>
      </x:c>
      <x:c r="CI542" s="9" t="str">
        <x:v>-1.0602930209696384</x:v>
      </x:c>
      <x:c r="CJ542" s="6" t="str">
        <x:v>Loss</x:v>
      </x:c>
      <x:c r="CK542" s="9" t="str">
        <x:v>0.22869766574690445</x:v>
      </x:c>
      <x:c r="CL542" s="9" t="str">
        <x:v>1.1642790256206046</x:v>
      </x:c>
      <x:c r="CM542" s="7" t="str">
        <x:v>2025-12-08 01:45:00-06:00</x:v>
      </x:c>
      <x:c r="CN542" s="6" t="str">
        <x:v>23883.725391042935</x:v>
      </x:c>
      <x:c r="CO542" s="6" t="str">
        <x:v>STOP</x:v>
      </x:c>
      <x:c r="CP542" s="6" t="str">
        <x:v>F::Long::Delayed BOS::Penetration + same-bar reclaim</x:v>
      </x:c>
    </x:row>
    <x:row r="543" ht="18" customHeight="1">
      <x:c r="A543" s="6" t="str">
        <x:v>A0542</x:v>
      </x:c>
      <x:c r="B543" s="6" t="str">
        <x:v>2025-12-08</x:v>
      </x:c>
      <x:c r="C543" s="6" t="str">
        <x:v>2025</x:v>
      </x:c>
      <x:c r="D543" s="6" t="str">
        <x:v>2025-Q4</x:v>
      </x:c>
      <x:c r="E543" s="6" t="str">
        <x:v>Second 50%</x:v>
      </x:c>
      <x:c r="F543" s="6" t="str">
        <x:v>Long</x:v>
      </x:c>
      <x:c r="G543" s="6" t="str">
        <x:v>Long</x:v>
      </x:c>
      <x:c r="H543" s="6" t="str">
        <x:v>Premarket</x:v>
      </x:c>
      <x:c r="I543" s="6" t="str">
        <x:v>Premarket</x:v>
      </x:c>
      <x:c r="J543" s="6" t="str">
        <x:v>Bull</x:v>
      </x:c>
      <x:c r="K543" s="6" t="str">
        <x:v>Bull</x:v>
      </x:c>
      <x:c r="L543" s="6" t="str">
        <x:v>MID</x:v>
      </x:c>
      <x:c r="M543" s="7" t="str">
        <x:v>2025-12-08 06:40:00-06:00</x:v>
      </x:c>
      <x:c r="N543" s="6" t="str">
        <x:v>90.0</x:v>
      </x:c>
      <x:c r="O543" s="6" t="str">
        <x:v>90-94</x:v>
      </x:c>
      <x:c r="P543" s="6" t="str">
        <x:v>Matching BOS only</x:v>
      </x:c>
      <x:c r="Q543" s="6" t="str">
        <x:v>Bull CHoCH</x:v>
      </x:c>
      <x:c r="R543" s="6" t="str">
        <x:v>True</x:v>
      </x:c>
      <x:c r="S543" s="6" t="str">
        <x:v>False</x:v>
      </x:c>
      <x:c r="T543" s="6" t="str">
        <x:v>Recent SSL</x:v>
      </x:c>
      <x:c r="U543" s="6" t="str">
        <x:v>SSL</x:v>
      </x:c>
      <x:c r="V543" s="6" t="str">
        <x:v>Swing low / sell-side</x:v>
      </x:c>
      <x:c r="W543" s="6" t="str">
        <x:v>[23848.25]</x:v>
      </x:c>
      <x:c r="X543" s="8" t="str">
        <x:v>1</x:v>
      </x:c>
      <x:c r="Y543" s="8" t="str">
        <x:v>8.0</x:v>
      </x:c>
      <x:c r="Z543" s="6" t="str">
        <x:v>None</x:v>
      </x:c>
      <x:c r="AA543" s="6" t="str">
        <x:v>23876.25</x:v>
      </x:c>
      <x:c r="AB543" s="9" t="str">
        <x:v>0.152848358029445</x:v>
      </x:c>
      <x:c r="AC543" s="9" t="str">
        <x:v>0.8661406955001882</x:v>
      </x:c>
      <x:c r="AD543" s="9" t="str">
        <x:v>1.4265846749414866</x:v>
      </x:c>
      <x:c r="AE543" s="6" t="str">
        <x:v>With trade</x:v>
      </x:c>
      <x:c r="AF543" s="7" t="str">
        <x:v>2025-12-08 06:40:00-06:00</x:v>
      </x:c>
      <x:c r="AG543" s="6" t="str">
        <x:v>Long</x:v>
      </x:c>
      <x:c r="AH543" s="6" t="str">
        <x:v>23876.25</x:v>
      </x:c>
      <x:c r="AI543" s="8" t="str">
        <x:v>0</x:v>
      </x:c>
      <x:c r="AJ543" s="6" t="str">
        <x:v>True</x:v>
      </x:c>
      <x:c r="AK543" s="6" t="str">
        <x:v>Same-bar Setup+BOS</x:v>
      </x:c>
      <x:c r="AL543" s="9" t="str">
        <x:v>0.8406659691619475</x:v>
      </x:c>
      <x:c r="AM543" s="9" t="str">
        <x:v>0.152848358029445</x:v>
      </x:c>
      <x:c r="AN543" s="9" t="str">
        <x:v>0.8661406955001882</x:v>
      </x:c>
      <x:c r="AO543" s="9" t="str">
        <x:v>1.4265846749414866</x:v>
      </x:c>
      <x:c r="AP543" s="10" t="str">
        <x:v>0.6071428571428571</x:v>
      </x:c>
      <x:c r="AQ543" s="6" t="str">
        <x:v>0.14285714285714285</x:v>
      </x:c>
      <x:c r="AR543" s="6" t="str">
        <x:v>0.25</x:v>
      </x:c>
      <x:c r="AS543" s="6" t="str">
        <x:v>With trade</x:v>
      </x:c>
      <x:c r="AT543" s="6" t="str">
        <x:v>1.7405175469691598</x:v>
      </x:c>
      <x:c r="AU543" s="7" t="str">
        <x:v>2025-12-08 06:45:00-06:00</x:v>
      </x:c>
      <x:c r="AV543" s="8" t="str">
        <x:v>1</x:v>
      </x:c>
      <x:c r="AW543" s="6" t="str">
        <x:v>Immediate retest (1 bar)</x:v>
      </x:c>
      <x:c r="AX543" s="6" t="str">
        <x:v>23875.5</x:v>
      </x:c>
      <x:c r="AY543" s="6" t="str">
        <x:v>0.75</x:v>
      </x:c>
      <x:c r="AZ543" s="9" t="str">
        <x:v>0.07482500279000795</x:v>
      </x:c>
      <x:c r="BA543" s="9" t="str">
        <x:v>1.1972000446401272</x:v>
      </x:c>
      <x:c r="BB543" s="9" t="str">
        <x:v>1.2720250474301351</x:v>
      </x:c>
      <x:c r="BC543" s="9" t="str">
        <x:v>0.9727250362701034</x:v>
      </x:c>
      <x:c r="BD543" s="6" t="str">
        <x:v>0.0</x:v>
      </x:c>
      <x:c r="BE543" s="6" t="str">
        <x:v>0.23529411764705882</x:v>
      </x:c>
      <x:c r="BF543" s="9" t="str">
        <x:v>0.2993000111600318</x:v>
      </x:c>
      <x:c r="BG543" s="9" t="str">
        <x:v>0.0</x:v>
      </x:c>
      <x:c r="BH543" s="6" t="str">
        <x:v>With trade</x:v>
      </x:c>
      <x:c r="BI543" s="6" t="str">
        <x:v>Penetration + same-bar reclaim</x:v>
      </x:c>
      <x:c r="BJ543" s="6" t="str">
        <x:v>False</x:v>
      </x:c>
      <x:c r="BK543" s="10" t="str">
        <x:v>True</x:v>
      </x:c>
      <x:c r="BL543" s="6" t="str">
        <x:v>True</x:v>
      </x:c>
      <x:c r="BM543" s="7" t="str">
        <x:v>2025-12-08 07:00:00-06:00</x:v>
      </x:c>
      <x:c r="BN543" s="8" t="str">
        <x:v>3</x:v>
      </x:c>
      <x:c r="BO543" s="6" t="str">
        <x:v>Delayed confirmation (2+ bars)</x:v>
      </x:c>
      <x:c r="BP543" s="9" t="str">
        <x:v>0.35796575018077414</x:v>
      </x:c>
      <x:c r="BQ543" s="9" t="str">
        <x:v>0.792638446828857</x:v>
      </x:c>
      <x:c r="BR543" s="10" t="str">
        <x:v>0.45161290322580644</x:v>
      </x:c>
      <x:c r="BS543" s="9" t="str">
        <x:v>0.792638446828857</x:v>
      </x:c>
      <x:c r="BT543" s="9" t="str">
        <x:v>-0.4346726966480829</x:v>
      </x:c>
      <x:c r="BU543" s="9" t="str">
        <x:v>0.4091037144923133</x:v>
      </x:c>
      <x:c r="BV543" s="6" t="str">
        <x:v>With trade</x:v>
      </x:c>
      <x:c r="BW543" s="7" t="str">
        <x:v>2025-12-08 07:00:00-06:00</x:v>
      </x:c>
      <x:c r="BX543" s="6" t="str">
        <x:v>23884.0</x:v>
      </x:c>
      <x:c r="BY543" s="9" t="str">
        <x:v>9.777471722455251</x:v>
      </x:c>
      <x:c r="BZ543" s="9" t="str">
        <x:v>0.49</x:v>
      </x:c>
      <x:c r="CA543" s="6" t="str">
        <x:v>23869.333792416317</x:v>
      </x:c>
      <x:c r="CB543" s="6" t="str">
        <x:v>14.66620758368299</x:v>
      </x:c>
      <x:c r="CC543" s="9" t="str">
        <x:v>1.5000000000000115</x:v>
      </x:c>
      <x:c r="CD543" s="6" t="str">
        <x:v>23913.332415167366</x:v>
      </x:c>
      <x:c r="CE543" s="6" t="str">
        <x:v>29.33241516736598</x:v>
      </x:c>
      <x:c r="CF543" s="6" t="str">
        <x:v>Fixed 2.00R target</x:v>
      </x:c>
      <x:c r="CG543" s="9" t="str">
        <x:v>0.049433365501154146</x:v>
      </x:c>
      <x:c r="CH543" s="9" t="str">
        <x:v>-1.0</x:v>
      </x:c>
      <x:c r="CI543" s="9" t="str">
        <x:v>-1.049433365501154</x:v>
      </x:c>
      <x:c r="CJ543" s="6" t="str">
        <x:v>Loss</x:v>
      </x:c>
      <x:c r="CK543" s="9" t="str">
        <x:v>1.7898287509038568</x:v>
      </x:c>
      <x:c r="CL543" s="9" t="str">
        <x:v>1.5170929412423169</x:v>
      </x:c>
      <x:c r="CM543" s="7" t="str">
        <x:v>2025-12-08 07:30:00-06:00</x:v>
      </x:c>
      <x:c r="CN543" s="6" t="str">
        <x:v>23869.333792416317</x:v>
      </x:c>
      <x:c r="CO543" s="6" t="str">
        <x:v>STOP</x:v>
      </x:c>
      <x:c r="CP543" s="6" t="str">
        <x:v>F::Long::Same-bar Setup+BOS::Penetration + same-bar reclaim</x:v>
      </x:c>
    </x:row>
    <x:row r="544" ht="18" customHeight="1">
      <x:c r="A544" s="6" t="str">
        <x:v>A0543</x:v>
      </x:c>
      <x:c r="B544" s="6" t="str">
        <x:v>2025-12-12</x:v>
      </x:c>
      <x:c r="C544" s="6" t="str">
        <x:v>2025</x:v>
      </x:c>
      <x:c r="D544" s="6" t="str">
        <x:v>2025-Q4</x:v>
      </x:c>
      <x:c r="E544" s="6" t="str">
        <x:v>Second 50%</x:v>
      </x:c>
      <x:c r="F544" s="6" t="str">
        <x:v>Short</x:v>
      </x:c>
      <x:c r="G544" s="6" t="str">
        <x:v>Short</x:v>
      </x:c>
      <x:c r="H544" s="6" t="str">
        <x:v>Afternoon</x:v>
      </x:c>
      <x:c r="I544" s="6" t="str">
        <x:v>Afternoon</x:v>
      </x:c>
      <x:c r="J544" s="6" t="str">
        <x:v>Bear</x:v>
      </x:c>
      <x:c r="K544" s="6" t="str">
        <x:v>Bear</x:v>
      </x:c>
      <x:c r="L544" s="6" t="str">
        <x:v>MID</x:v>
      </x:c>
      <x:c r="M544" s="7" t="str">
        <x:v>2025-12-12 14:25:00-06:00</x:v>
      </x:c>
      <x:c r="N544" s="6" t="str">
        <x:v>75.0</x:v>
      </x:c>
      <x:c r="O544" s="6" t="str">
        <x:v>75-79</x:v>
      </x:c>
      <x:c r="P544" s="6" t="str">
        <x:v>Matching BOS only</x:v>
      </x:c>
      <x:c r="Q544" s="6" t="str">
        <x:v>Bear BOS</x:v>
      </x:c>
      <x:c r="R544" s="6" t="str">
        <x:v>True</x:v>
      </x:c>
      <x:c r="S544" s="6" t="str">
        <x:v>False</x:v>
      </x:c>
      <x:c r="T544" s="6" t="str">
        <x:v>No recent matching sweep</x:v>
      </x:c>
      <x:c r="U544" s="6" t="str">
        <x:v>None</x:v>
      </x:c>
      <x:c r="V544" s="6" t="str">
        <x:v>None</x:v>
      </x:c>
      <x:c r="W544" s="6" t="str">
        <x:v>[]</x:v>
      </x:c>
      <x:c r="X544" s="8" t="str">
        <x:v>0</x:v>
      </x:c>
      <x:c r="Y544" s="8" t="str"/>
      <x:c r="Z544" s="6" t="str">
        <x:v>None</x:v>
      </x:c>
      <x:c r="AA544" s="6" t="str">
        <x:v>23292.5</x:v>
      </x:c>
      <x:c r="AB544" s="9" t="str">
        <x:v>0.19289949861845623</x:v>
      </x:c>
      <x:c r="AC544" s="9" t="str">
        <x:v>0.9728844278148228</x:v>
      </x:c>
      <x:c r="AD544" s="9" t="str">
        <x:v>1.22449246949107</x:v>
      </x:c>
      <x:c r="AE544" s="6" t="str">
        <x:v>With trade</x:v>
      </x:c>
      <x:c r="AF544" s="7" t="str">
        <x:v>2025-12-12 14:25:00-06:00</x:v>
      </x:c>
      <x:c r="AG544" s="6" t="str">
        <x:v>Short</x:v>
      </x:c>
      <x:c r="AH544" s="6" t="str">
        <x:v>23292.5</x:v>
      </x:c>
      <x:c r="AI544" s="8" t="str">
        <x:v>0</x:v>
      </x:c>
      <x:c r="AJ544" s="6" t="str">
        <x:v>True</x:v>
      </x:c>
      <x:c r="AK544" s="6" t="str">
        <x:v>Same-bar Setup+BOS</x:v>
      </x:c>
      <x:c r="AL544" s="9" t="str">
        <x:v>0.9644974930922812</x:v>
      </x:c>
      <x:c r="AM544" s="9" t="str">
        <x:v>0.19289949861845623</x:v>
      </x:c>
      <x:c r="AN544" s="9" t="str">
        <x:v>0.9728844278148228</x:v>
      </x:c>
      <x:c r="AO544" s="9" t="str">
        <x:v>1.22449246949107</x:v>
      </x:c>
      <x:c r="AP544" s="10" t="str">
        <x:v>0.7945205479452054</x:v>
      </x:c>
      <x:c r="AQ544" s="6" t="str">
        <x:v>0.03424657534246575</x:v>
      </x:c>
      <x:c r="AR544" s="6" t="str">
        <x:v>0.17123287671232876</x:v>
      </x:c>
      <x:c r="AS544" s="6" t="str">
        <x:v>With trade</x:v>
      </x:c>
      <x:c r="AT544" s="6" t="str">
        <x:v>1.6221227879227638</x:v>
      </x:c>
      <x:c r="AU544" s="7" t="str">
        <x:v>2025-12-12 14:30:00-06:00</x:v>
      </x:c>
      <x:c r="AV544" s="8" t="str">
        <x:v>1</x:v>
      </x:c>
      <x:c r="AW544" s="6" t="str">
        <x:v>Immediate retest (1 bar)</x:v>
      </x:c>
      <x:c r="AX544" s="6" t="str">
        <x:v>23293.0</x:v>
      </x:c>
      <x:c r="AY544" s="6" t="str">
        <x:v>0.5</x:v>
      </x:c>
      <x:c r="AZ544" s="9" t="str">
        <x:v>0.016018032194751942</x:v>
      </x:c>
      <x:c r="BA544" s="9" t="str">
        <x:v>0.5285950624268141</x:v>
      </x:c>
      <x:c r="BB544" s="9" t="str">
        <x:v>1.5857851872804423</x:v>
      </x:c>
      <x:c r="BC544" s="9" t="str">
        <x:v>0.3604057243819187</x:v>
      </x:c>
      <x:c r="BD544" s="6" t="str">
        <x:v>0.11616161616161616</x:v>
      </x:c>
      <x:c r="BE544" s="6" t="str">
        <x:v>0.6565656565656566</x:v>
      </x:c>
      <x:c r="BF544" s="9" t="str">
        <x:v>0.1842073702396473</x:v>
      </x:c>
      <x:c r="BG544" s="9" t="str">
        <x:v>1.0411720926588761</x:v>
      </x:c>
      <x:c r="BH544" s="6" t="str">
        <x:v>With trade</x:v>
      </x:c>
      <x:c r="BI544" s="6" t="str">
        <x:v>Penetration + same-bar reclaim</x:v>
      </x:c>
      <x:c r="BJ544" s="6" t="str">
        <x:v>False</x:v>
      </x:c>
      <x:c r="BK544" s="10" t="str">
        <x:v>True</x:v>
      </x:c>
      <x:c r="BL544" s="6" t="str">
        <x:v>True</x:v>
      </x:c>
      <x:c r="BM544" s="7" t="str">
        <x:v>2025-12-12 14:35:00-06:00</x:v>
      </x:c>
      <x:c r="BN544" s="8" t="str">
        <x:v>1</x:v>
      </x:c>
      <x:c r="BO544" s="6" t="str">
        <x:v>Immediate confirmation (1 bar)</x:v>
      </x:c>
      <x:c r="BP544" s="9" t="str">
        <x:v>1.2822096817063395</x:v>
      </x:c>
      <x:c r="BQ544" s="9" t="str">
        <x:v>1.7573815049269244</x:v>
      </x:c>
      <x:c r="BR544" s="10" t="str">
        <x:v>0.7296137339055794</x:v>
      </x:c>
      <x:c r="BS544" s="9" t="str">
        <x:v>1.7649239148193145</x:v>
      </x:c>
      <x:c r="BT544" s="9" t="str">
        <x:v>1.2671248619215592</x:v>
      </x:c>
      <x:c r="BU544" s="9" t="str">
        <x:v>0.1357633780630242</x:v>
      </x:c>
      <x:c r="BV544" s="6" t="str">
        <x:v>With trade</x:v>
      </x:c>
      <x:c r="BW544" s="7" t="str">
        <x:v>2025-12-12 14:35:00-06:00</x:v>
      </x:c>
      <x:c r="BX544" s="6" t="str">
        <x:v>23234.0</x:v>
      </x:c>
      <x:c r="BY544" s="9" t="str">
        <x:v>33.145904766092414</x:v>
      </x:c>
      <x:c r="BZ544" s="9" t="str">
        <x:v>0.42</x:v>
      </x:c>
      <x:c r="CA544" s="6" t="str">
        <x:v>23283.71885714914</x:v>
      </x:c>
      <x:c r="CB544" s="6" t="str">
        <x:v>49.718857149138785</x:v>
      </x:c>
      <x:c r="CC544" s="9" t="str">
        <x:v>1.5000000000000049</x:v>
      </x:c>
      <x:c r="CD544" s="6" t="str">
        <x:v>23134.562285701722</x:v>
      </x:c>
      <x:c r="CE544" s="6" t="str">
        <x:v>99.43771429827757</x:v>
      </x:c>
      <x:c r="CF544" s="6" t="str">
        <x:v>Fixed 2.00R target</x:v>
      </x:c>
      <x:c r="CG544" s="9" t="str">
        <x:v>0.01458199245862107</x:v>
      </x:c>
      <x:c r="CH544" s="9" t="str">
        <x:v>-1.0</x:v>
      </x:c>
      <x:c r="CI544" s="9" t="str">
        <x:v>-1.014581992458621</x:v>
      </x:c>
      <x:c r="CJ544" s="6" t="str">
        <x:v>Loss</x:v>
      </x:c>
      <x:c r="CK544" s="9" t="str">
        <x:v>0.030169639569560834</x:v>
      </x:c>
      <x:c r="CL544" s="9" t="str">
        <x:v>1.33249241432227</x:v>
      </x:c>
      <x:c r="CM544" s="7" t="str">
        <x:v>2025-12-12 14:45:00-06:00</x:v>
      </x:c>
      <x:c r="CN544" s="6" t="str">
        <x:v>23283.71885714914</x:v>
      </x:c>
      <x:c r="CO544" s="6" t="str">
        <x:v>STOP</x:v>
      </x:c>
      <x:c r="CP544" s="6" t="str">
        <x:v>F::Short::Same-bar Setup+BOS::Penetration + same-bar reclaim</x:v>
      </x:c>
    </x:row>
    <x:row r="545" ht="18" customHeight="1">
      <x:c r="A545" s="6" t="str">
        <x:v>A0544</x:v>
      </x:c>
      <x:c r="B545" s="6" t="str">
        <x:v>2025-12-15</x:v>
      </x:c>
      <x:c r="C545" s="6" t="str">
        <x:v>2025</x:v>
      </x:c>
      <x:c r="D545" s="6" t="str">
        <x:v>2025-Q4</x:v>
      </x:c>
      <x:c r="E545" s="6" t="str">
        <x:v>Second 50%</x:v>
      </x:c>
      <x:c r="F545" s="6" t="str">
        <x:v>Long</x:v>
      </x:c>
      <x:c r="G545" s="6" t="str">
        <x:v>Long</x:v>
      </x:c>
      <x:c r="H545" s="6" t="str">
        <x:v>Overnight</x:v>
      </x:c>
      <x:c r="I545" s="6" t="str">
        <x:v>Overnight</x:v>
      </x:c>
      <x:c r="J545" s="6" t="str">
        <x:v>Bear</x:v>
      </x:c>
      <x:c r="K545" s="6" t="str">
        <x:v>Bear</x:v>
      </x:c>
      <x:c r="L545" s="6" t="str">
        <x:v>HIGH</x:v>
      </x:c>
      <x:c r="M545" s="7" t="str">
        <x:v>2025-12-15 02:40:00-06:00</x:v>
      </x:c>
      <x:c r="N545" s="6" t="str">
        <x:v>90.0</x:v>
      </x:c>
      <x:c r="O545" s="6" t="str">
        <x:v>90-94</x:v>
      </x:c>
      <x:c r="P545" s="6" t="str">
        <x:v>Matching BOS only</x:v>
      </x:c>
      <x:c r="Q545" s="6" t="str">
        <x:v>Bull CHoCH</x:v>
      </x:c>
      <x:c r="R545" s="6" t="str">
        <x:v>True</x:v>
      </x:c>
      <x:c r="S545" s="6" t="str">
        <x:v>False</x:v>
      </x:c>
      <x:c r="T545" s="6" t="str">
        <x:v>Recent SSL</x:v>
      </x:c>
      <x:c r="U545" s="6" t="str">
        <x:v>SSL</x:v>
      </x:c>
      <x:c r="V545" s="6" t="str">
        <x:v>Swing low / sell-side</x:v>
      </x:c>
      <x:c r="W545" s="6" t="str">
        <x:v>[23310.5]</x:v>
      </x:c>
      <x:c r="X545" s="8" t="str">
        <x:v>1</x:v>
      </x:c>
      <x:c r="Y545" s="8" t="str">
        <x:v>6.0</x:v>
      </x:c>
      <x:c r="Z545" s="6" t="str">
        <x:v>None</x:v>
      </x:c>
      <x:c r="AA545" s="6" t="str">
        <x:v>23359.5</x:v>
      </x:c>
      <x:c r="AB545" s="9" t="str">
        <x:v>0.2952361173711651</x:v>
      </x:c>
      <x:c r="AC545" s="9" t="str">
        <x:v>1.0593766564494747</x:v>
      </x:c>
      <x:c r="AD545" s="9" t="str">
        <x:v>1.4067132651214336</x:v>
      </x:c>
      <x:c r="AE545" s="6" t="str">
        <x:v>With trade</x:v>
      </x:c>
      <x:c r="AF545" s="7" t="str">
        <x:v>2025-12-15 02:40:00-06:00</x:v>
      </x:c>
      <x:c r="AG545" s="6" t="str">
        <x:v>Long</x:v>
      </x:c>
      <x:c r="AH545" s="6" t="str">
        <x:v>23359.5</x:v>
      </x:c>
      <x:c r="AI545" s="8" t="str">
        <x:v>0</x:v>
      </x:c>
      <x:c r="AJ545" s="6" t="str">
        <x:v>True</x:v>
      </x:c>
      <x:c r="AK545" s="6" t="str">
        <x:v>Same-bar Setup+BOS</x:v>
      </x:c>
      <x:c r="AL545" s="9" t="str">
        <x:v>1.0941103173166706</x:v>
      </x:c>
      <x:c r="AM545" s="9" t="str">
        <x:v>0.2952361173711651</x:v>
      </x:c>
      <x:c r="AN545" s="9" t="str">
        <x:v>1.0593766564494747</x:v>
      </x:c>
      <x:c r="AO545" s="9" t="str">
        <x:v>1.4067132651214336</x:v>
      </x:c>
      <x:c r="AP545" s="10" t="str">
        <x:v>0.7530864197530864</x:v>
      </x:c>
      <x:c r="AQ545" s="6" t="str">
        <x:v>0.2345679012345679</x:v>
      </x:c>
      <x:c r="AR545" s="6" t="str">
        <x:v>0.012345679012345678</x:v>
      </x:c>
      <x:c r="AS545" s="6" t="str">
        <x:v>With trade</x:v>
      </x:c>
      <x:c r="AT545" s="6" t="str">
        <x:v>1.8341267852668504</x:v>
      </x:c>
      <x:c r="AU545" s="7" t="str">
        <x:v>2025-12-15 02:45:00-06:00</x:v>
      </x:c>
      <x:c r="AV545" s="8" t="str">
        <x:v>1</x:v>
      </x:c>
      <x:c r="AW545" s="6" t="str">
        <x:v>Immediate retest (1 bar)</x:v>
      </x:c>
      <x:c r="AX545" s="6" t="str">
        <x:v>23357.5</x:v>
      </x:c>
      <x:c r="AY545" s="6" t="str">
        <x:v>2.0</x:v>
      </x:c>
      <x:c r="AZ545" s="9" t="str">
        <x:v>0.14185234303470654</x:v>
      </x:c>
      <x:c r="BA545" s="9" t="str">
        <x:v>0.42555702910411963</x:v>
      </x:c>
      <x:c r="BB545" s="9" t="str">
        <x:v>0.7269932580528711</x:v>
      </x:c>
      <x:c r="BC545" s="9" t="str">
        <x:v>0.12412080015536822</x:v>
      </x:c>
      <x:c r="BD545" s="6" t="str">
        <x:v>0.21951219512195122</x:v>
      </x:c>
      <x:c r="BE545" s="6" t="str">
        <x:v>0.6097560975609756</x:v>
      </x:c>
      <x:c r="BF545" s="9" t="str">
        <x:v>0.44328857198345795</x:v>
      </x:c>
      <x:c r="BG545" s="9" t="str">
        <x:v>0.15958388591404488</x:v>
      </x:c>
      <x:c r="BH545" s="6" t="str">
        <x:v>With trade</x:v>
      </x:c>
      <x:c r="BI545" s="6" t="str">
        <x:v>Penetration + same-bar reclaim</x:v>
      </x:c>
      <x:c r="BJ545" s="6" t="str">
        <x:v>False</x:v>
      </x:c>
      <x:c r="BK545" s="10" t="str">
        <x:v>True</x:v>
      </x:c>
      <x:c r="BL545" s="6" t="str">
        <x:v>True</x:v>
      </x:c>
      <x:c r="BM545" s="7" t="str">
        <x:v>2025-12-15 02:55:00-06:00</x:v>
      </x:c>
      <x:c r="BN545" s="8" t="str">
        <x:v>2</x:v>
      </x:c>
      <x:c r="BO545" s="6" t="str">
        <x:v>Delayed confirmation (2+ bars)</x:v>
      </x:c>
      <x:c r="BP545" s="9" t="str">
        <x:v>0.38925528706918383</x:v>
      </x:c>
      <x:c r="BQ545" s="9" t="str">
        <x:v>0.537543015476492</x:v>
      </x:c>
      <x:c r="BR545" s="10" t="str">
        <x:v>0.7241379310344828</x:v>
      </x:c>
      <x:c r="BS545" s="9" t="str">
        <x:v>0.2965754568146162</x:v>
      </x:c>
      <x:c r="BT545" s="9" t="str">
        <x:v>-0.1482877284073081</x:v>
      </x:c>
      <x:c r="BU545" s="9" t="str">
        <x:v>0.1482877284073081</x:v>
      </x:c>
      <x:c r="BV545" s="6" t="str">
        <x:v>With trade</x:v>
      </x:c>
      <x:c r="BW545" s="7" t="str">
        <x:v>2025-12-15 02:55:00-06:00</x:v>
      </x:c>
      <x:c r="BX545" s="6" t="str">
        <x:v>23363.5</x:v>
      </x:c>
      <x:c r="BY545" s="9" t="str">
        <x:v>13.487292721259552</x:v>
      </x:c>
      <x:c r="BZ545" s="9" t="str">
        <x:v>0.76</x:v>
      </x:c>
      <x:c r="CA545" s="6" t="str">
        <x:v>23343.26906091811</x:v>
      </x:c>
      <x:c r="CB545" s="6" t="str">
        <x:v>20.23093908188821</x:v>
      </x:c>
      <x:c r="CC545" s="9" t="str">
        <x:v>1.4999999999999172</x:v>
      </x:c>
      <x:c r="CD545" s="6" t="str">
        <x:v>23403.96187816378</x:v>
      </x:c>
      <x:c r="CE545" s="6" t="str">
        <x:v>40.46187816378006</x:v>
      </x:c>
      <x:c r="CF545" s="6" t="str">
        <x:v>Fixed 2.00R target</x:v>
      </x:c>
      <x:c r="CG545" s="9" t="str">
        <x:v>0.03583620103176811</x:v>
      </x:c>
      <x:c r="CH545" s="9" t="str">
        <x:v>2.0</x:v>
      </x:c>
      <x:c r="CI545" s="9" t="str">
        <x:v>1.964163798968232</x:v>
      </x:c>
      <x:c r="CJ545" s="6" t="str">
        <x:v>Win</x:v>
      </x:c>
      <x:c r="CK545" s="9" t="str">
        <x:v>2.01424164419938</x:v>
      </x:c>
      <x:c r="CL545" s="9" t="str">
        <x:v>0.5684362922280458</x:v>
      </x:c>
      <x:c r="CM545" s="7" t="str">
        <x:v>2025-12-15 03:30:00-06:00</x:v>
      </x:c>
      <x:c r="CN545" s="6" t="str">
        <x:v>23403.96187816378</x:v>
      </x:c>
      <x:c r="CO545" s="6" t="str">
        <x:v>TARGET</x:v>
      </x:c>
      <x:c r="CP545" s="6" t="str">
        <x:v>F::Long::Same-bar Setup+BOS::Penetration + same-bar reclaim</x:v>
      </x:c>
    </x:row>
    <x:row r="546" ht="18" customHeight="1">
      <x:c r="A546" s="6" t="str">
        <x:v>A0545</x:v>
      </x:c>
      <x:c r="B546" s="6" t="str">
        <x:v>2025-12-17</x:v>
      </x:c>
      <x:c r="C546" s="6" t="str">
        <x:v>2025</x:v>
      </x:c>
      <x:c r="D546" s="6" t="str">
        <x:v>2025-Q4</x:v>
      </x:c>
      <x:c r="E546" s="6" t="str">
        <x:v>Second 50%</x:v>
      </x:c>
      <x:c r="F546" s="6" t="str">
        <x:v>Short</x:v>
      </x:c>
      <x:c r="G546" s="6" t="str">
        <x:v>Short</x:v>
      </x:c>
      <x:c r="H546" s="6" t="str">
        <x:v>Midday</x:v>
      </x:c>
      <x:c r="I546" s="6" t="str">
        <x:v>Midday</x:v>
      </x:c>
      <x:c r="J546" s="6" t="str">
        <x:v>Bear</x:v>
      </x:c>
      <x:c r="K546" s="6" t="str">
        <x:v>Bear</x:v>
      </x:c>
      <x:c r="L546" s="6" t="str">
        <x:v>MID</x:v>
      </x:c>
      <x:c r="M546" s="7" t="str">
        <x:v>2025-12-17 12:35:00-06:00</x:v>
      </x:c>
      <x:c r="N546" s="6" t="str">
        <x:v>75.0</x:v>
      </x:c>
      <x:c r="O546" s="6" t="str">
        <x:v>75-79</x:v>
      </x:c>
      <x:c r="P546" s="6" t="str">
        <x:v>Matching BOS only</x:v>
      </x:c>
      <x:c r="Q546" s="6" t="str">
        <x:v>Bear BOS</x:v>
      </x:c>
      <x:c r="R546" s="6" t="str">
        <x:v>True</x:v>
      </x:c>
      <x:c r="S546" s="6" t="str">
        <x:v>False</x:v>
      </x:c>
      <x:c r="T546" s="6" t="str">
        <x:v>No recent matching sweep</x:v>
      </x:c>
      <x:c r="U546" s="6" t="str">
        <x:v>None</x:v>
      </x:c>
      <x:c r="V546" s="6" t="str">
        <x:v>None</x:v>
      </x:c>
      <x:c r="W546" s="6" t="str">
        <x:v>[]</x:v>
      </x:c>
      <x:c r="X546" s="8" t="str">
        <x:v>0</x:v>
      </x:c>
      <x:c r="Y546" s="8" t="str"/>
      <x:c r="Z546" s="6" t="str">
        <x:v>Sweep above CRT reference</x:v>
      </x:c>
      <x:c r="AA546" s="6" t="str">
        <x:v>22824.0</x:v>
      </x:c>
      <x:c r="AB546" s="9" t="str">
        <x:v>0.10489874530784701</x:v>
      </x:c>
      <x:c r="AC546" s="9" t="str">
        <x:v>0.610880928557462</x:v>
      </x:c>
      <x:c r="AD546" s="9" t="str">
        <x:v>1.0181348809291033</x:v>
      </x:c>
      <x:c r="AE546" s="6" t="str">
        <x:v>With trade</x:v>
      </x:c>
      <x:c r="AF546" s="7" t="str">
        <x:v>2025-12-17 12:35:00-06:00</x:v>
      </x:c>
      <x:c r="AG546" s="6" t="str">
        <x:v>Short</x:v>
      </x:c>
      <x:c r="AH546" s="6" t="str">
        <x:v>22824.0</x:v>
      </x:c>
      <x:c r="AI546" s="8" t="str">
        <x:v>0</x:v>
      </x:c>
      <x:c r="AJ546" s="6" t="str">
        <x:v>True</x:v>
      </x:c>
      <x:c r="AK546" s="6" t="str">
        <x:v>Same-bar Setup+BOS</x:v>
      </x:c>
      <x:c r="AL546" s="9" t="str">
        <x:v>0.6232219574172086</x:v>
      </x:c>
      <x:c r="AM546" s="9" t="str">
        <x:v>0.10489874530784701</x:v>
      </x:c>
      <x:c r="AN546" s="9" t="str">
        <x:v>0.610880928557462</x:v>
      </x:c>
      <x:c r="AO546" s="9" t="str">
        <x:v>1.0181348809291033</x:v>
      </x:c>
      <x:c r="AP546" s="10" t="str">
        <x:v>0.6</x:v>
      </x:c>
      <x:c r="AQ546" s="6" t="str">
        <x:v>0.296969696969697</x:v>
      </x:c>
      <x:c r="AR546" s="6" t="str">
        <x:v>0.10303030303030303</x:v>
      </x:c>
      <x:c r="AS546" s="6" t="str">
        <x:v>With trade</x:v>
      </x:c>
      <x:c r="AT546" s="6" t="str">
        <x:v>0.7446730537668185</x:v>
      </x:c>
      <x:c r="AU546" s="7" t="str">
        <x:v>2025-12-17 12:40:00-06:00</x:v>
      </x:c>
      <x:c r="AV546" s="8" t="str">
        <x:v>1</x:v>
      </x:c>
      <x:c r="AW546" s="6" t="str">
        <x:v>Immediate retest (1 bar)</x:v>
      </x:c>
      <x:c r="AX546" s="6" t="str">
        <x:v>22820.25</x:v>
      </x:c>
      <x:c r="AY546" s="6" t="str">
        <x:v>0.0</x:v>
      </x:c>
      <x:c r="AZ546" s="9" t="str">
        <x:v>0.0</x:v>
      </x:c>
      <x:c r="BA546" s="9" t="str">
        <x:v>0.46732388190343255</x:v>
      </x:c>
      <x:c r="BB546" s="9" t="str">
        <x:v>1.0453297358366254</x:v>
      </x:c>
      <x:c r="BC546" s="9" t="str">
        <x:v>0.36279090831977</x:v>
      </x:c>
      <x:c r="BD546" s="6" t="str">
        <x:v>0.011764705882352941</x:v>
      </x:c>
      <x:c r="BE546" s="6" t="str">
        <x:v>0.6411764705882353</x:v>
      </x:c>
      <x:c r="BF546" s="9" t="str">
        <x:v>0.012297996892195594</x:v>
      </x:c>
      <x:c r="BG546" s="9" t="str">
        <x:v>0.6702408306246599</x:v>
      </x:c>
      <x:c r="BH546" s="6" t="str">
        <x:v>With trade</x:v>
      </x:c>
      <x:c r="BI546" s="6" t="str">
        <x:v>Tolerance-only shallow touch</x:v>
      </x:c>
      <x:c r="BJ546" s="6" t="str">
        <x:v>True</x:v>
      </x:c>
      <x:c r="BK546" s="10" t="str">
        <x:v>False</x:v>
      </x:c>
      <x:c r="BL546" s="6" t="str">
        <x:v>True</x:v>
      </x:c>
      <x:c r="BM546" s="7" t="str">
        <x:v>2025-12-17 12:45:00-06:00</x:v>
      </x:c>
      <x:c r="BN546" s="8" t="str">
        <x:v>1</x:v>
      </x:c>
      <x:c r="BO546" s="6" t="str">
        <x:v>Immediate confirmation (1 bar)</x:v>
      </x:c>
      <x:c r="BP546" s="9" t="str">
        <x:v>0.3572111321167227</x:v>
      </x:c>
      <x:c r="BQ546" s="9" t="str">
        <x:v>0.9792512070096363</x:v>
      </x:c>
      <x:c r="BR546" s="10" t="str">
        <x:v>0.36477987421383645</x:v>
      </x:c>
      <x:c r="BS546" s="9" t="str">
        <x:v>0.856074954555594</x:v>
      </x:c>
      <x:c r="BT546" s="9" t="str">
        <x:v>0.38800519523023325</x:v>
      </x:c>
      <x:c r="BU546" s="9" t="str">
        <x:v>0.3572111321167227</x:v>
      </x:c>
      <x:c r="BV546" s="6" t="str">
        <x:v>With trade</x:v>
      </x:c>
      <x:c r="BW546" s="7" t="str">
        <x:v>2025-12-17 12:45:00-06:00</x:v>
      </x:c>
      <x:c r="BX546" s="6" t="str">
        <x:v>22789.25</x:v>
      </x:c>
      <x:c r="BY546" s="9" t="str">
        <x:v>40.59223998445257</x:v>
      </x:c>
      <x:c r="BZ546" s="9" t="str">
        <x:v>0.58</x:v>
      </x:c>
      <x:c r="CA546" s="6" t="str">
        <x:v>22850.138359976678</x:v>
      </x:c>
      <x:c r="CB546" s="6" t="str">
        <x:v>60.88835997667775</x:v>
      </x:c>
      <x:c r="CC546" s="9" t="str">
        <x:v>1.4999999999999727</x:v>
      </x:c>
      <x:c r="CD546" s="6" t="str">
        <x:v>22667.47328004664</x:v>
      </x:c>
      <x:c r="CE546" s="6" t="str">
        <x:v>121.77671995335913</x:v>
      </x:c>
      <x:c r="CF546" s="6" t="str">
        <x:v>Fixed 2.00R target</x:v>
      </x:c>
      <x:c r="CG546" s="9" t="str">
        <x:v>0.011907037737224306</x:v>
      </x:c>
      <x:c r="CH546" s="9" t="str">
        <x:v>-0.13138800261764513</x:v>
      </x:c>
      <x:c r="CI546" s="9" t="str">
        <x:v>-0.14329504035486945</x:v>
      </x:c>
      <x:c r="CJ546" s="6" t="str">
        <x:v>Loss</x:v>
      </x:c>
      <x:c r="CK546" s="9" t="str">
        <x:v>0.4557521340799648</x:v>
      </x:c>
      <x:c r="CL546" s="9" t="str">
        <x:v>0.3325758816259203</x:v>
      </x:c>
      <x:c r="CM546" s="7" t="str">
        <x:v>2025-12-17 13:45:00-06:00</x:v>
      </x:c>
      <x:c r="CN546" s="6" t="str">
        <x:v>22797.25</x:v>
      </x:c>
      <x:c r="CO546" s="6" t="str">
        <x:v>TIME</x:v>
      </x:c>
      <x:c r="CP546" s="6" t="str">
        <x:v>F::Short::Same-bar Setup+BOS::Tolerance-only shallow touch</x:v>
      </x:c>
    </x:row>
    <x:row r="547" ht="18" customHeight="1">
      <x:c r="A547" s="6" t="str">
        <x:v>A0546</x:v>
      </x:c>
      <x:c r="B547" s="6" t="str">
        <x:v>2025-12-17</x:v>
      </x:c>
      <x:c r="C547" s="6" t="str">
        <x:v>2025</x:v>
      </x:c>
      <x:c r="D547" s="6" t="str">
        <x:v>2025-Q4</x:v>
      </x:c>
      <x:c r="E547" s="6" t="str">
        <x:v>Second 50%</x:v>
      </x:c>
      <x:c r="F547" s="6" t="str">
        <x:v>Short</x:v>
      </x:c>
      <x:c r="G547" s="6" t="str">
        <x:v>Short</x:v>
      </x:c>
      <x:c r="H547" s="6" t="str">
        <x:v>Overnight</x:v>
      </x:c>
      <x:c r="I547" s="6" t="str">
        <x:v>Overnight</x:v>
      </x:c>
      <x:c r="J547" s="6" t="str">
        <x:v>Bear</x:v>
      </x:c>
      <x:c r="K547" s="6" t="str">
        <x:v>Bear</x:v>
      </x:c>
      <x:c r="L547" s="6" t="str">
        <x:v>LOW</x:v>
      </x:c>
      <x:c r="M547" s="7" t="str">
        <x:v>2025-12-17 21:05:00-06:00</x:v>
      </x:c>
      <x:c r="N547" s="6" t="str">
        <x:v>90.0</x:v>
      </x:c>
      <x:c r="O547" s="6" t="str">
        <x:v>90-94</x:v>
      </x:c>
      <x:c r="P547" s="6" t="str">
        <x:v>Matching BOS only</x:v>
      </x:c>
      <x:c r="Q547" s="6" t="str">
        <x:v>Bear CHoCH</x:v>
      </x:c>
      <x:c r="R547" s="6" t="str">
        <x:v>True</x:v>
      </x:c>
      <x:c r="S547" s="6" t="str">
        <x:v>False</x:v>
      </x:c>
      <x:c r="T547" s="6" t="str">
        <x:v>Recent BSL</x:v>
      </x:c>
      <x:c r="U547" s="6" t="str">
        <x:v>BSL</x:v>
      </x:c>
      <x:c r="V547" s="6" t="str">
        <x:v>Swing high / buy-side</x:v>
      </x:c>
      <x:c r="W547" s="6" t="str">
        <x:v>[22838.5,22837.5]</x:v>
      </x:c>
      <x:c r="X547" s="8" t="str">
        <x:v>2</x:v>
      </x:c>
      <x:c r="Y547" s="8" t="str">
        <x:v>11.0</x:v>
      </x:c>
      <x:c r="Z547" s="6" t="str">
        <x:v>None</x:v>
      </x:c>
      <x:c r="AA547" s="6" t="str">
        <x:v>22790.0</x:v>
      </x:c>
      <x:c r="AB547" s="9" t="str">
        <x:v>0.30149723060635997</x:v>
      </x:c>
      <x:c r="AC547" s="9" t="str">
        <x:v>0.82911738416749</x:v>
      </x:c>
      <x:c r="AD547" s="9" t="str">
        <x:v>1.0803650763394566</x:v>
      </x:c>
      <x:c r="AE547" s="6" t="str">
        <x:v>With trade</x:v>
      </x:c>
      <x:c r="AF547" s="7" t="str">
        <x:v>2025-12-17 21:05:00-06:00</x:v>
      </x:c>
      <x:c r="AG547" s="6" t="str">
        <x:v>Short</x:v>
      </x:c>
      <x:c r="AH547" s="6" t="str">
        <x:v>22790.0</x:v>
      </x:c>
      <x:c r="AI547" s="8" t="str">
        <x:v>0</x:v>
      </x:c>
      <x:c r="AJ547" s="6" t="str">
        <x:v>True</x:v>
      </x:c>
      <x:c r="AK547" s="6" t="str">
        <x:v>Same-bar Setup+BOS</x:v>
      </x:c>
      <x:c r="AL547" s="9" t="str">
        <x:v>0.8793669226018833</x:v>
      </x:c>
      <x:c r="AM547" s="9" t="str">
        <x:v>0.30149723060635997</x:v>
      </x:c>
      <x:c r="AN547" s="9" t="str">
        <x:v>0.82911738416749</x:v>
      </x:c>
      <x:c r="AO547" s="9" t="str">
        <x:v>1.0803650763394566</x:v>
      </x:c>
      <x:c r="AP547" s="10" t="str">
        <x:v>0.7674418604651163</x:v>
      </x:c>
      <x:c r="AQ547" s="6" t="str">
        <x:v>0.023255813953488372</x:v>
      </x:c>
      <x:c r="AR547" s="6" t="str">
        <x:v>0.20930232558139536</x:v>
      </x:c>
      <x:c r="AS547" s="6" t="str">
        <x:v>With trade</x:v>
      </x:c>
      <x:c r="AT547" s="6" t="str">
        <x:v>1.2089385474860335</x:v>
      </x:c>
      <x:c r="AU547" s="7" t="str">
        <x:v>2025-12-17 21:10:00-06:00</x:v>
      </x:c>
      <x:c r="AV547" s="8" t="str">
        <x:v>1</x:v>
      </x:c>
      <x:c r="AW547" s="6" t="str">
        <x:v>Immediate retest (1 bar)</x:v>
      </x:c>
      <x:c r="AX547" s="6" t="str">
        <x:v>22788.25</x:v>
      </x:c>
      <x:c r="AY547" s="6" t="str">
        <x:v>0.0</x:v>
      </x:c>
      <x:c r="AZ547" s="9" t="str">
        <x:v>0.0</x:v>
      </x:c>
      <x:c r="BA547" s="9" t="str">
        <x:v>1.1515219318783305</x:v>
      </x:c>
      <x:c r="BB547" s="9" t="str">
        <x:v>1.3230251983282946</x:v>
      </x:c>
      <x:c r="BC547" s="9" t="str">
        <x:v>0.8697665655676752</x:v>
      </x:c>
      <x:c r="BD547" s="6" t="str">
        <x:v>0.14814814814814814</x:v>
      </x:c>
      <x:c r="BE547" s="6" t="str">
        <x:v>0.19444444444444445</x:v>
      </x:c>
      <x:c r="BF547" s="9" t="str">
        <x:v>0.19600373308567326</x:v>
      </x:c>
      <x:c r="BG547" s="9" t="str">
        <x:v>0.2572548996749462</x:v>
      </x:c>
      <x:c r="BH547" s="6" t="str">
        <x:v>With trade</x:v>
      </x:c>
      <x:c r="BI547" s="6" t="str">
        <x:v>Tolerance-only shallow touch</x:v>
      </x:c>
      <x:c r="BJ547" s="6" t="str">
        <x:v>True</x:v>
      </x:c>
      <x:c r="BK547" s="10" t="str">
        <x:v>False</x:v>
      </x:c>
      <x:c r="BL547" s="6" t="str">
        <x:v>True</x:v>
      </x:c>
      <x:c r="BM547" s="7" t="str">
        <x:v>2025-12-17 21:15:00-06:00</x:v>
      </x:c>
      <x:c r="BN547" s="8" t="str">
        <x:v>1</x:v>
      </x:c>
      <x:c r="BO547" s="6" t="str">
        <x:v>Immediate confirmation (1 bar)</x:v>
      </x:c>
      <x:c r="BP547" s="9" t="str">
        <x:v>0.406766586878839</x:v>
      </x:c>
      <x:c r="BQ547" s="9" t="str">
        <x:v>1.304045822640984</x:v>
      </x:c>
      <x:c r="BR547" s="10" t="str">
        <x:v>0.3119266055045872</x:v>
      </x:c>
      <x:c r="BS547" s="9" t="str">
        <x:v>1.5552840086543844</x:v>
      </x:c>
      <x:c r="BT547" s="9" t="str">
        <x:v>0.43069403316582955</x:v>
      </x:c>
      <x:c r="BU547" s="9" t="str">
        <x:v>0.14356467772194317</x:v>
      </x:c>
      <x:c r="BV547" s="6" t="str">
        <x:v>With trade</x:v>
      </x:c>
      <x:c r="BW547" s="7" t="str">
        <x:v>2025-12-17 21:15:00-06:00</x:v>
      </x:c>
      <x:c r="BX547" s="6" t="str">
        <x:v>22757.5</x:v>
      </x:c>
      <x:c r="BY547" s="9" t="str">
        <x:v>20.89650495932165</x:v>
      </x:c>
      <x:c r="BZ547" s="9" t="str">
        <x:v>0.05</x:v>
      </x:c>
      <x:c r="CA547" s="6" t="str">
        <x:v>22788.844757438983</x:v>
      </x:c>
      <x:c r="CB547" s="6" t="str">
        <x:v>31.344757438982924</x:v>
      </x:c>
      <x:c r="CC547" s="9" t="str">
        <x:v>1.5000000000000215</x:v>
      </x:c>
      <x:c r="CD547" s="6" t="str">
        <x:v>22694.810485122034</x:v>
      </x:c>
      <x:c r="CE547" s="6" t="str">
        <x:v>62.68951487796585</x:v>
      </x:c>
      <x:c r="CF547" s="6" t="str">
        <x:v>Fixed 2.00R target</x:v>
      </x:c>
      <x:c r="CG547" s="9" t="str">
        <x:v>0.023129864744090515</x:v>
      </x:c>
      <x:c r="CH547" s="9" t="str">
        <x:v>-1.0</x:v>
      </x:c>
      <x:c r="CI547" s="9" t="str">
        <x:v>-1.0231298647440905</x:v>
      </x:c>
      <x:c r="CJ547" s="6" t="str">
        <x:v>Loss</x:v>
      </x:c>
      <x:c r="CK547" s="9" t="str">
        <x:v>0.3908149560208397</x:v>
      </x:c>
      <x:c r="CL547" s="9" t="str">
        <x:v>1.0607834520565649</x:v>
      </x:c>
      <x:c r="CM547" s="7" t="str">
        <x:v>2025-12-17 21:55:00-06:00</x:v>
      </x:c>
      <x:c r="CN547" s="6" t="str">
        <x:v>22788.844757438983</x:v>
      </x:c>
      <x:c r="CO547" s="6" t="str">
        <x:v>STOP</x:v>
      </x:c>
      <x:c r="CP547" s="6" t="str">
        <x:v>F::Short::Same-bar Setup+BOS::Tolerance-only shallow touch</x:v>
      </x:c>
    </x:row>
    <x:row r="548" ht="18" customHeight="1">
      <x:c r="A548" s="6" t="str">
        <x:v>A0547</x:v>
      </x:c>
      <x:c r="B548" s="6" t="str">
        <x:v>2025-12-18</x:v>
      </x:c>
      <x:c r="C548" s="6" t="str">
        <x:v>2025</x:v>
      </x:c>
      <x:c r="D548" s="6" t="str">
        <x:v>2025-Q4</x:v>
      </x:c>
      <x:c r="E548" s="6" t="str">
        <x:v>Second 50%</x:v>
      </x:c>
      <x:c r="F548" s="6" t="str">
        <x:v>Long</x:v>
      </x:c>
      <x:c r="G548" s="6" t="str">
        <x:v>Long</x:v>
      </x:c>
      <x:c r="H548" s="6" t="str">
        <x:v>Overnight</x:v>
      </x:c>
      <x:c r="I548" s="6" t="str">
        <x:v>Overnight</x:v>
      </x:c>
      <x:c r="J548" s="6" t="str">
        <x:v>Bear</x:v>
      </x:c>
      <x:c r="K548" s="6" t="str">
        <x:v>Bear</x:v>
      </x:c>
      <x:c r="L548" s="6" t="str">
        <x:v>LOW</x:v>
      </x:c>
      <x:c r="M548" s="7" t="str">
        <x:v>2025-12-18 01:00:00-06:00</x:v>
      </x:c>
      <x:c r="N548" s="6" t="str">
        <x:v>75.0</x:v>
      </x:c>
      <x:c r="O548" s="6" t="str">
        <x:v>75-79</x:v>
      </x:c>
      <x:c r="P548" s="6" t="str">
        <x:v>Matching BOS only</x:v>
      </x:c>
      <x:c r="Q548" s="6" t="str">
        <x:v>Bull CHoCH</x:v>
      </x:c>
      <x:c r="R548" s="6" t="str">
        <x:v>True</x:v>
      </x:c>
      <x:c r="S548" s="6" t="str">
        <x:v>False</x:v>
      </x:c>
      <x:c r="T548" s="6" t="str">
        <x:v>Recent SSL</x:v>
      </x:c>
      <x:c r="U548" s="6" t="str">
        <x:v>SSL</x:v>
      </x:c>
      <x:c r="V548" s="6" t="str">
        <x:v>Swing low / sell-side</x:v>
      </x:c>
      <x:c r="W548" s="6" t="str">
        <x:v>[22805.0]</x:v>
      </x:c>
      <x:c r="X548" s="8" t="str">
        <x:v>1</x:v>
      </x:c>
      <x:c r="Y548" s="8" t="str">
        <x:v>3.0</x:v>
      </x:c>
      <x:c r="Z548" s="6" t="str">
        <x:v>None</x:v>
      </x:c>
      <x:c r="AA548" s="6" t="str">
        <x:v>22834.0</x:v>
      </x:c>
      <x:c r="AB548" s="9" t="str">
        <x:v>0.07686816122315847</x:v>
      </x:c>
      <x:c r="AC548" s="9" t="str">
        <x:v>0.7225607154976895</x:v>
      </x:c>
      <x:c r="AD548" s="9" t="str">
        <x:v>1.6757259146648544</x:v>
      </x:c>
      <x:c r="AE548" s="6" t="str">
        <x:v>With trade</x:v>
      </x:c>
      <x:c r="AF548" s="7" t="str">
        <x:v>2025-12-18 01:00:00-06:00</x:v>
      </x:c>
      <x:c r="AG548" s="6" t="str">
        <x:v>Long</x:v>
      </x:c>
      <x:c r="AH548" s="6" t="str">
        <x:v>22834.0</x:v>
      </x:c>
      <x:c r="AI548" s="8" t="str">
        <x:v>0</x:v>
      </x:c>
      <x:c r="AJ548" s="6" t="str">
        <x:v>True</x:v>
      </x:c>
      <x:c r="AK548" s="6" t="str">
        <x:v>Same-bar Setup+BOS</x:v>
      </x:c>
      <x:c r="AL548" s="9" t="str">
        <x:v>0.7840552444762163</x:v>
      </x:c>
      <x:c r="AM548" s="9" t="str">
        <x:v>0.07686816122315847</x:v>
      </x:c>
      <x:c r="AN548" s="9" t="str">
        <x:v>0.7225607154976895</x:v>
      </x:c>
      <x:c r="AO548" s="9" t="str">
        <x:v>1.6757259146648544</x:v>
      </x:c>
      <x:c r="AP548" s="10" t="str">
        <x:v>0.43119266055045874</x:v>
      </x:c>
      <x:c r="AQ548" s="6" t="str">
        <x:v>0.5137614678899083</x:v>
      </x:c>
      <x:c r="AR548" s="6" t="str">
        <x:v>0.05504587155963303</x:v>
      </x:c>
      <x:c r="AS548" s="6" t="str">
        <x:v>With trade</x:v>
      </x:c>
      <x:c r="AT548" s="6" t="str">
        <x:v>4.818494459304548</x:v>
      </x:c>
      <x:c r="AU548" s="7" t="str">
        <x:v>2025-12-18 01:05:00-06:00</x:v>
      </x:c>
      <x:c r="AV548" s="8" t="str">
        <x:v>1</x:v>
      </x:c>
      <x:c r="AW548" s="6" t="str">
        <x:v>Immediate retest (1 bar)</x:v>
      </x:c>
      <x:c r="AX548" s="6" t="str">
        <x:v>22831.0</x:v>
      </x:c>
      <x:c r="AY548" s="6" t="str">
        <x:v>3.0</x:v>
      </x:c>
      <x:c r="AZ548" s="9" t="str">
        <x:v>0.18970110875405943</x:v>
      </x:c>
      <x:c r="BA548" s="9" t="str">
        <x:v>0.15808425729504955</x:v>
      </x:c>
      <x:c r="BB548" s="9" t="str">
        <x:v>0.6323370291801982</x:v>
      </x:c>
      <x:c r="BC548" s="9" t="str">
        <x:v>0.09485055437702972</x:v>
      </x:c>
      <x:c r="BD548" s="6" t="str">
        <x:v>0.45</x:v>
      </x:c>
      <x:c r="BE548" s="6" t="str">
        <x:v>0.4</x:v>
      </x:c>
      <x:c r="BF548" s="9" t="str">
        <x:v>0.25293481167207926</x:v>
      </x:c>
      <x:c r="BG548" s="9" t="str">
        <x:v>0.28455166313108915</x:v>
      </x:c>
      <x:c r="BH548" s="6" t="str">
        <x:v>With trade</x:v>
      </x:c>
      <x:c r="BI548" s="6" t="str">
        <x:v>Penetration + same-bar reclaim</x:v>
      </x:c>
      <x:c r="BJ548" s="6" t="str">
        <x:v>False</x:v>
      </x:c>
      <x:c r="BK548" s="10" t="str">
        <x:v>True</x:v>
      </x:c>
      <x:c r="BL548" s="6" t="str">
        <x:v>True</x:v>
      </x:c>
      <x:c r="BM548" s="7" t="str">
        <x:v>2025-12-18 01:10:00-06:00</x:v>
      </x:c>
      <x:c r="BN548" s="8" t="str">
        <x:v>1</x:v>
      </x:c>
      <x:c r="BO548" s="6" t="str">
        <x:v>Immediate confirmation (1 bar)</x:v>
      </x:c>
      <x:c r="BP548" s="9" t="str">
        <x:v>1.2105282966812618</x:v>
      </x:c>
      <x:c r="BQ548" s="9" t="str">
        <x:v>1.8600800656321828</x:v>
      </x:c>
      <x:c r="BR548" s="10" t="str">
        <x:v>0.6507936507936508</x:v>
      </x:c>
      <x:c r="BS548" s="9" t="str">
        <x:v>1.402441319325852</x:v>
      </x:c>
      <x:c r="BT548" s="9" t="str">
        <x:v>1.2548159172915518</x:v>
      </x:c>
      <x:c r="BU548" s="9" t="str">
        <x:v>0.2066755628480203</x:v>
      </x:c>
      <x:c r="BV548" s="6" t="str">
        <x:v>With trade</x:v>
      </x:c>
      <x:c r="BW548" s="7" t="str">
        <x:v>2025-12-18 01:10:00-06:00</x:v>
      </x:c>
      <x:c r="BX548" s="6" t="str">
        <x:v>22857.75</x:v>
      </x:c>
      <x:c r="BY548" s="9" t="str">
        <x:v>16.93475489685125</x:v>
      </x:c>
      <x:c r="BZ548" s="9" t="str">
        <x:v>0.3</x:v>
      </x:c>
      <x:c r="CA548" s="6" t="str">
        <x:v>22832.347867654724</x:v>
      </x:c>
      <x:c r="CB548" s="6" t="str">
        <x:v>25.402132345276186</x:v>
      </x:c>
      <x:c r="CC548" s="9" t="str">
        <x:v>1.4999999999999594</x:v>
      </x:c>
      <x:c r="CD548" s="6" t="str">
        <x:v>22908.554264690552</x:v>
      </x:c>
      <x:c r="CE548" s="6" t="str">
        <x:v>50.80426469055237</x:v>
      </x:c>
      <x:c r="CF548" s="6" t="str">
        <x:v>Fixed 2.00R target</x:v>
      </x:c>
      <x:c r="CG548" s="9" t="str">
        <x:v>0.028540911059965483</x:v>
      </x:c>
      <x:c r="CH548" s="9" t="str">
        <x:v>0.3936677387581339</x:v>
      </x:c>
      <x:c r="CI548" s="9" t="str">
        <x:v>0.3651268276981684</x:v>
      </x:c>
      <x:c r="CJ548" s="6" t="str">
        <x:v>Win</x:v>
      </x:c>
      <x:c r="CK548" s="9" t="str">
        <x:v>0.9054357991437325</x:v>
      </x:c>
      <x:c r="CL548" s="9" t="str">
        <x:v>0.23620064325488674</x:v>
      </x:c>
      <x:c r="CM548" s="7" t="str">
        <x:v>2025-12-18 02:10:00-06:00</x:v>
      </x:c>
      <x:c r="CN548" s="6" t="str">
        <x:v>22867.75</x:v>
      </x:c>
      <x:c r="CO548" s="6" t="str">
        <x:v>TIME</x:v>
      </x:c>
      <x:c r="CP548" s="6" t="str">
        <x:v>F::Long::Same-bar Setup+BOS::Penetration + same-bar reclaim</x:v>
      </x:c>
    </x:row>
    <x:row r="549" ht="18" customHeight="1">
      <x:c r="A549" s="6" t="str">
        <x:v>A0548</x:v>
      </x:c>
      <x:c r="B549" s="6" t="str">
        <x:v>2025-12-19</x:v>
      </x:c>
      <x:c r="C549" s="6" t="str">
        <x:v>2025</x:v>
      </x:c>
      <x:c r="D549" s="6" t="str">
        <x:v>2025-Q4</x:v>
      </x:c>
      <x:c r="E549" s="6" t="str">
        <x:v>Second 50%</x:v>
      </x:c>
      <x:c r="F549" s="6" t="str">
        <x:v>Long</x:v>
      </x:c>
      <x:c r="G549" s="6" t="str">
        <x:v>Long</x:v>
      </x:c>
      <x:c r="H549" s="6" t="str">
        <x:v>Morning</x:v>
      </x:c>
      <x:c r="I549" s="6" t="str">
        <x:v>Morning</x:v>
      </x:c>
      <x:c r="J549" s="6" t="str">
        <x:v>Bull</x:v>
      </x:c>
      <x:c r="K549" s="6" t="str">
        <x:v>Bull</x:v>
      </x:c>
      <x:c r="L549" s="6" t="str">
        <x:v>MID</x:v>
      </x:c>
      <x:c r="M549" s="7" t="str">
        <x:v>2025-12-19 11:15:00-06:00</x:v>
      </x:c>
      <x:c r="N549" s="6" t="str">
        <x:v>85.0</x:v>
      </x:c>
      <x:c r="O549" s="6" t="str">
        <x:v>85-89</x:v>
      </x:c>
      <x:c r="P549" s="6" t="str">
        <x:v>Matching BOS only</x:v>
      </x:c>
      <x:c r="Q549" s="6" t="str">
        <x:v>Bull BOS</x:v>
      </x:c>
      <x:c r="R549" s="6" t="str">
        <x:v>True</x:v>
      </x:c>
      <x:c r="S549" s="6" t="str">
        <x:v>False</x:v>
      </x:c>
      <x:c r="T549" s="6" t="str">
        <x:v>Recent SSL</x:v>
      </x:c>
      <x:c r="U549" s="6" t="str">
        <x:v>SSL</x:v>
      </x:c>
      <x:c r="V549" s="6" t="str">
        <x:v>Swing low / sell-side</x:v>
      </x:c>
      <x:c r="W549" s="6" t="str">
        <x:v>[23304.75]</x:v>
      </x:c>
      <x:c r="X549" s="8" t="str">
        <x:v>1</x:v>
      </x:c>
      <x:c r="Y549" s="8" t="str">
        <x:v>15.0</x:v>
      </x:c>
      <x:c r="Z549" s="6" t="str">
        <x:v>None</x:v>
      </x:c>
      <x:c r="AA549" s="6" t="str">
        <x:v>23404.5</x:v>
      </x:c>
      <x:c r="AB549" s="9" t="str">
        <x:v>0.08860435462655496</x:v>
      </x:c>
      <x:c r="AC549" s="9" t="str">
        <x:v>0.5316261277593297</x:v>
      </x:c>
      <x:c r="AD549" s="9" t="str">
        <x:v>0.9021534289249231</x:v>
      </x:c>
      <x:c r="AE549" s="6" t="str">
        <x:v>With trade</x:v>
      </x:c>
      <x:c r="AF549" s="7" t="str">
        <x:v>2025-12-19 11:15:00-06:00</x:v>
      </x:c>
      <x:c r="AG549" s="6" t="str">
        <x:v>Long</x:v>
      </x:c>
      <x:c r="AH549" s="6" t="str">
        <x:v>23404.5</x:v>
      </x:c>
      <x:c r="AI549" s="8" t="str">
        <x:v>0</x:v>
      </x:c>
      <x:c r="AJ549" s="6" t="str">
        <x:v>True</x:v>
      </x:c>
      <x:c r="AK549" s="6" t="str">
        <x:v>Same-bar Setup+BOS</x:v>
      </x:c>
      <x:c r="AL549" s="9" t="str">
        <x:v>0.5557909517483901</x:v>
      </x:c>
      <x:c r="AM549" s="9" t="str">
        <x:v>0.08860435462655496</x:v>
      </x:c>
      <x:c r="AN549" s="9" t="str">
        <x:v>0.5316261277593297</x:v>
      </x:c>
      <x:c r="AO549" s="9" t="str">
        <x:v>0.9021534289249231</x:v>
      </x:c>
      <x:c r="AP549" s="10" t="str">
        <x:v>0.5892857142857143</x:v>
      </x:c>
      <x:c r="AQ549" s="6" t="str">
        <x:v>0.36607142857142855</x:v>
      </x:c>
      <x:c r="AR549" s="6" t="str">
        <x:v>0.044642857142857144</x:v>
      </x:c>
      <x:c r="AS549" s="6" t="str">
        <x:v>With trade</x:v>
      </x:c>
      <x:c r="AT549" s="6" t="str">
        <x:v>1.1673762525265556</x:v>
      </x:c>
      <x:c r="AU549" s="7" t="str">
        <x:v>2025-12-19 11:20:00-06:00</x:v>
      </x:c>
      <x:c r="AV549" s="8" t="str">
        <x:v>1</x:v>
      </x:c>
      <x:c r="AW549" s="6" t="str">
        <x:v>Immediate retest (1 bar)</x:v>
      </x:c>
      <x:c r="AX549" s="6" t="str">
        <x:v>23404.5</x:v>
      </x:c>
      <x:c r="AY549" s="6" t="str">
        <x:v>0.0</x:v>
      </x:c>
      <x:c r="AZ549" s="9" t="str">
        <x:v>0.0</x:v>
      </x:c>
      <x:c r="BA549" s="9" t="str">
        <x:v>0.3930901766405368</x:v>
      </x:c>
      <x:c r="BB549" s="9" t="str">
        <x:v>0.5018172467751534</x:v>
      </x:c>
      <x:c r="BC549" s="9" t="str">
        <x:v>0.3094539688446779</x:v>
      </x:c>
      <x:c r="BD549" s="6" t="str">
        <x:v>0.21666666666666667</x:v>
      </x:c>
      <x:c r="BE549" s="6" t="str">
        <x:v>0.16666666666666666</x:v>
      </x:c>
      <x:c r="BF549" s="9" t="str">
        <x:v>0.0836362077958589</x:v>
      </x:c>
      <x:c r="BG549" s="9" t="str">
        <x:v>0.10872707013461656</x:v>
      </x:c>
      <x:c r="BH549" s="6" t="str">
        <x:v>With trade</x:v>
      </x:c>
      <x:c r="BI549" s="6" t="str">
        <x:v>Exact BOS touch</x:v>
      </x:c>
      <x:c r="BJ549" s="6" t="str">
        <x:v>True</x:v>
      </x:c>
      <x:c r="BK549" s="10" t="str">
        <x:v>False</x:v>
      </x:c>
      <x:c r="BL549" s="6" t="str">
        <x:v>True</x:v>
      </x:c>
      <x:c r="BM549" s="7" t="str">
        <x:v>2025-12-19 11:35:00-06:00</x:v>
      </x:c>
      <x:c r="BN549" s="8" t="str">
        <x:v>3</x:v>
      </x:c>
      <x:c r="BO549" s="6" t="str">
        <x:v>Delayed confirmation (2+ bars)</x:v>
      </x:c>
      <x:c r="BP549" s="9" t="str">
        <x:v>0.5082691879665943</x:v>
      </x:c>
      <x:c r="BQ549" s="9" t="str">
        <x:v>0.739300637042319</x:v>
      </x:c>
      <x:c r="BR549" s="10" t="str">
        <x:v>0.6875</x:v>
      </x:c>
      <x:c r="BS549" s="9" t="str">
        <x:v>0.42509786629933344</x:v>
      </x:c>
      <x:c r="BT549" s="9" t="str">
        <x:v>-0.009241257963028987</x:v>
      </x:c>
      <x:c r="BU549" s="9" t="str">
        <x:v>0.19406641722360873</x:v>
      </x:c>
      <x:c r="BV549" s="6" t="str">
        <x:v>With trade</x:v>
      </x:c>
      <x:c r="BW549" s="7" t="str">
        <x:v>2025-12-19 11:35:00-06:00</x:v>
      </x:c>
      <x:c r="BX549" s="6" t="str">
        <x:v>23416.0</x:v>
      </x:c>
      <x:c r="BY549" s="9" t="str">
        <x:v>27.052594029964514</x:v>
      </x:c>
      <x:c r="BZ549" s="9" t="str">
        <x:v>0.63</x:v>
      </x:c>
      <x:c r="CA549" s="6" t="str">
        <x:v>23375.42110895505</x:v>
      </x:c>
      <x:c r="CB549" s="6" t="str">
        <x:v>40.57889104494825</x:v>
      </x:c>
      <x:c r="CC549" s="9" t="str">
        <x:v>1.5000000000000546</x:v>
      </x:c>
      <x:c r="CD549" s="6" t="str">
        <x:v>23497.157782089893</x:v>
      </x:c>
      <x:c r="CE549" s="6" t="str">
        <x:v>81.15778208989286</x:v>
      </x:c>
      <x:c r="CF549" s="6" t="str">
        <x:v>Fixed 2.00R target</x:v>
      </x:c>
      <x:c r="CG549" s="9" t="str">
        <x:v>0.01786643206185539</x:v>
      </x:c>
      <x:c r="CH549" s="9" t="str">
        <x:v>-0.2710769002488503</x:v>
      </x:c>
      <x:c r="CI549" s="9" t="str">
        <x:v>-0.2889433323107057</x:v>
      </x:c>
      <x:c r="CJ549" s="6" t="str">
        <x:v>Loss</x:v>
      </x:c>
      <x:c r="CK549" s="9" t="str">
        <x:v>0.5175104459296044</x:v>
      </x:c>
      <x:c r="CL549" s="9" t="str">
        <x:v>0.4250978662993179</x:v>
      </x:c>
      <x:c r="CM549" s="7" t="str">
        <x:v>2025-12-19 12:35:00-06:00</x:v>
      </x:c>
      <x:c r="CN549" s="6" t="str">
        <x:v>23405.0</x:v>
      </x:c>
      <x:c r="CO549" s="6" t="str">
        <x:v>TIME</x:v>
      </x:c>
      <x:c r="CP549" s="6" t="str">
        <x:v>F::Long::Same-bar Setup+BOS::Exact BOS touch</x:v>
      </x:c>
    </x:row>
    <x:row r="550" ht="18" customHeight="1">
      <x:c r="A550" s="6" t="str">
        <x:v>A0549</x:v>
      </x:c>
      <x:c r="B550" s="6" t="str">
        <x:v>2025-12-21</x:v>
      </x:c>
      <x:c r="C550" s="6" t="str">
        <x:v>2025</x:v>
      </x:c>
      <x:c r="D550" s="6" t="str">
        <x:v>2025-Q4</x:v>
      </x:c>
      <x:c r="E550" s="6" t="str">
        <x:v>Second 50%</x:v>
      </x:c>
      <x:c r="F550" s="6" t="str">
        <x:v>Short</x:v>
      </x:c>
      <x:c r="G550" s="6" t="str">
        <x:v>Short</x:v>
      </x:c>
      <x:c r="H550" s="6" t="str">
        <x:v>Overnight</x:v>
      </x:c>
      <x:c r="I550" s="6" t="str">
        <x:v>Overnight</x:v>
      </x:c>
      <x:c r="J550" s="6" t="str">
        <x:v>Bull</x:v>
      </x:c>
      <x:c r="K550" s="6" t="str">
        <x:v>Bull</x:v>
      </x:c>
      <x:c r="L550" s="6" t="str">
        <x:v>LOW</x:v>
      </x:c>
      <x:c r="M550" s="7" t="str">
        <x:v>2025-12-21 21:25:00-06:00</x:v>
      </x:c>
      <x:c r="N550" s="6" t="str">
        <x:v>90.0</x:v>
      </x:c>
      <x:c r="O550" s="6" t="str">
        <x:v>90-94</x:v>
      </x:c>
      <x:c r="P550" s="6" t="str">
        <x:v>Matching BOS only</x:v>
      </x:c>
      <x:c r="Q550" s="6" t="str">
        <x:v>Bear CHoCH</x:v>
      </x:c>
      <x:c r="R550" s="6" t="str">
        <x:v>True</x:v>
      </x:c>
      <x:c r="S550" s="6" t="str">
        <x:v>False</x:v>
      </x:c>
      <x:c r="T550" s="6" t="str">
        <x:v>Recent BSL</x:v>
      </x:c>
      <x:c r="U550" s="6" t="str">
        <x:v>BSL</x:v>
      </x:c>
      <x:c r="V550" s="6" t="str">
        <x:v>Swing high / buy-side</x:v>
      </x:c>
      <x:c r="W550" s="6" t="str">
        <x:v>[23536.5]</x:v>
      </x:c>
      <x:c r="X550" s="8" t="str">
        <x:v>1</x:v>
      </x:c>
      <x:c r="Y550" s="8" t="str">
        <x:v>11.0</x:v>
      </x:c>
      <x:c r="Z550" s="6" t="str">
        <x:v>None</x:v>
      </x:c>
      <x:c r="AA550" s="6" t="str">
        <x:v>23520.25</x:v>
      </x:c>
      <x:c r="AB550" s="9" t="str">
        <x:v>0.23190614494316283</x:v>
      </x:c>
      <x:c r="AC550" s="9" t="str">
        <x:v>0.6625889855518938</x:v>
      </x:c>
      <x:c r="AD550" s="9" t="str">
        <x:v>1.1926601739934088</x:v>
      </x:c>
      <x:c r="AE550" s="6" t="str">
        <x:v>With trade</x:v>
      </x:c>
      <x:c r="AF550" s="7" t="str">
        <x:v>2025-12-21 21:25:00-06:00</x:v>
      </x:c>
      <x:c r="AG550" s="6" t="str">
        <x:v>Short</x:v>
      </x:c>
      <x:c r="AH550" s="6" t="str">
        <x:v>23520.25</x:v>
      </x:c>
      <x:c r="AI550" s="8" t="str">
        <x:v>0</x:v>
      </x:c>
      <x:c r="AJ550" s="6" t="str">
        <x:v>True</x:v>
      </x:c>
      <x:c r="AK550" s="6" t="str">
        <x:v>Same-bar Setup+BOS</x:v>
      </x:c>
      <x:c r="AL550" s="9" t="str">
        <x:v>0.6957184348294885</x:v>
      </x:c>
      <x:c r="AM550" s="9" t="str">
        <x:v>0.23190614494316283</x:v>
      </x:c>
      <x:c r="AN550" s="9" t="str">
        <x:v>0.6625889855518938</x:v>
      </x:c>
      <x:c r="AO550" s="9" t="str">
        <x:v>1.1926601739934088</x:v>
      </x:c>
      <x:c r="AP550" s="10" t="str">
        <x:v>0.5555555555555556</x:v>
      </x:c>
      <x:c r="AQ550" s="6" t="str">
        <x:v>0.16666666666666666</x:v>
      </x:c>
      <x:c r="AR550" s="6" t="str">
        <x:v>0.2777777777777778</x:v>
      </x:c>
      <x:c r="AS550" s="6" t="str">
        <x:v>With trade</x:v>
      </x:c>
      <x:c r="AT550" s="6" t="str">
        <x:v>1.7620549797205949</x:v>
      </x:c>
      <x:c r="AU550" s="7" t="str">
        <x:v>2025-12-21 21:30:00-06:00</x:v>
      </x:c>
      <x:c r="AV550" s="8" t="str">
        <x:v>1</x:v>
      </x:c>
      <x:c r="AW550" s="6" t="str">
        <x:v>Immediate retest (1 bar)</x:v>
      </x:c>
      <x:c r="AX550" s="6" t="str">
        <x:v>23521.0</x:v>
      </x:c>
      <x:c r="AY550" s="6" t="str">
        <x:v>0.75</x:v>
      </x:c>
      <x:c r="AZ550" s="9" t="str">
        <x:v>0.09896321334175867</x:v>
      </x:c>
      <x:c r="BA550" s="9" t="str">
        <x:v>0.7257302311728969</x:v>
      </x:c>
      <x:c r="BB550" s="9" t="str">
        <x:v>1.0556076089787592</x:v>
      </x:c>
      <x:c r="BC550" s="9" t="str">
        <x:v>0.49481606670879336</x:v>
      </x:c>
      <x:c r="BD550" s="6" t="str">
        <x:v>0.3125</x:v>
      </x:c>
      <x:c r="BE550" s="6" t="str">
        <x:v>0.21875</x:v>
      </x:c>
      <x:c r="BF550" s="9" t="str">
        <x:v>0.32987737780586224</x:v>
      </x:c>
      <x:c r="BG550" s="9" t="str">
        <x:v>0.23091416446410357</x:v>
      </x:c>
      <x:c r="BH550" s="6" t="str">
        <x:v>With trade</x:v>
      </x:c>
      <x:c r="BI550" s="6" t="str">
        <x:v>Penetration + same-bar reclaim</x:v>
      </x:c>
      <x:c r="BJ550" s="6" t="str">
        <x:v>False</x:v>
      </x:c>
      <x:c r="BK550" s="10" t="str">
        <x:v>True</x:v>
      </x:c>
      <x:c r="BL550" s="6" t="str">
        <x:v>True</x:v>
      </x:c>
      <x:c r="BM550" s="7" t="str">
        <x:v>2025-12-21 21:45:00-06:00</x:v>
      </x:c>
      <x:c r="BN550" s="8" t="str">
        <x:v>3</x:v>
      </x:c>
      <x:c r="BO550" s="6" t="str">
        <x:v>Delayed confirmation (2+ bars)</x:v>
      </x:c>
      <x:c r="BP550" s="9" t="str">
        <x:v>0.3735111719961837</x:v>
      </x:c>
      <x:c r="BQ550" s="9" t="str">
        <x:v>0.9507557105357404</x:v>
      </x:c>
      <x:c r="BR550" s="10" t="str">
        <x:v>0.39285714285714285</x:v>
      </x:c>
      <x:c r="BS550" s="9" t="str">
        <x:v>0.6112000996301188</x:v>
      </x:c>
      <x:c r="BT550" s="9" t="str">
        <x:v>-0.13582224436224863</x:v>
      </x:c>
      <x:c r="BU550" s="9" t="str">
        <x:v>0.5772445385395567</x:v>
      </x:c>
      <x:c r="BV550" s="6" t="str">
        <x:v>With trade</x:v>
      </x:c>
      <x:c r="BW550" s="7" t="str">
        <x:v>2025-12-21 21:45:00-06:00</x:v>
      </x:c>
      <x:c r="BX550" s="6" t="str">
        <x:v>23515.75</x:v>
      </x:c>
      <x:c r="BY550" s="9" t="str">
        <x:v>7.362564244873772</x:v>
      </x:c>
      <x:c r="BZ550" s="9" t="str">
        <x:v>0.0</x:v>
      </x:c>
      <x:c r="CA550" s="6" t="str">
        <x:v>23526.79384636731</x:v>
      </x:c>
      <x:c r="CB550" s="6" t="str">
        <x:v>11.043846367309015</x:v>
      </x:c>
      <x:c r="CC550" s="9" t="str">
        <x:v>1.4999999999997768</x:v>
      </x:c>
      <x:c r="CD550" s="6" t="str">
        <x:v>23493.66230726538</x:v>
      </x:c>
      <x:c r="CE550" s="6" t="str">
        <x:v>22.08769273462167</x:v>
      </x:c>
      <x:c r="CF550" s="6" t="str">
        <x:v>Fixed 2.00R target</x:v>
      </x:c>
      <x:c r="CG550" s="9" t="str">
        <x:v>0.06564741810842993</x:v>
      </x:c>
      <x:c r="CH550" s="9" t="str">
        <x:v>-1.0</x:v>
      </x:c>
      <x:c r="CI550" s="9" t="str">
        <x:v>-1.06564741810843</x:v>
      </x:c>
      <x:c r="CJ550" s="6" t="str">
        <x:v>Loss</x:v>
      </x:c>
      <x:c r="CK550" s="9" t="str">
        <x:v>0.38482969235976167</x:v>
      </x:c>
      <x:c r="CL550" s="9" t="str">
        <x:v>1.0639409141711058</x:v>
      </x:c>
      <x:c r="CM550" s="7" t="str">
        <x:v>2025-12-21 22:45:00-06:00</x:v>
      </x:c>
      <x:c r="CN550" s="6" t="str">
        <x:v>23526.79384636731</x:v>
      </x:c>
      <x:c r="CO550" s="6" t="str">
        <x:v>STOP</x:v>
      </x:c>
      <x:c r="CP550" s="6" t="str">
        <x:v>F::Short::Same-bar Setup+BOS::Penetration + same-bar reclaim</x:v>
      </x:c>
    </x:row>
    <x:row r="551" ht="18" customHeight="1">
      <x:c r="A551" s="6" t="str">
        <x:v>A0550</x:v>
      </x:c>
      <x:c r="B551" s="6" t="str">
        <x:v>2025-12-21</x:v>
      </x:c>
      <x:c r="C551" s="6" t="str">
        <x:v>2025</x:v>
      </x:c>
      <x:c r="D551" s="6" t="str">
        <x:v>2025-Q4</x:v>
      </x:c>
      <x:c r="E551" s="6" t="str">
        <x:v>Second 50%</x:v>
      </x:c>
      <x:c r="F551" s="6" t="str">
        <x:v>Short</x:v>
      </x:c>
      <x:c r="G551" s="6" t="str">
        <x:v>Short</x:v>
      </x:c>
      <x:c r="H551" s="6" t="str">
        <x:v>Overnight</x:v>
      </x:c>
      <x:c r="I551" s="6" t="str">
        <x:v>Overnight</x:v>
      </x:c>
      <x:c r="J551" s="6" t="str">
        <x:v>Bull</x:v>
      </x:c>
      <x:c r="K551" s="6" t="str">
        <x:v>Bull</x:v>
      </x:c>
      <x:c r="L551" s="6" t="str">
        <x:v>LOW</x:v>
      </x:c>
      <x:c r="M551" s="7" t="str">
        <x:v>2025-12-21 22:50:00-06:00</x:v>
      </x:c>
      <x:c r="N551" s="6" t="str">
        <x:v>75.0</x:v>
      </x:c>
      <x:c r="O551" s="6" t="str">
        <x:v>75-79</x:v>
      </x:c>
      <x:c r="P551" s="6" t="str">
        <x:v>Matching liquidity sweep only</x:v>
      </x:c>
      <x:c r="Q551" s="6" t="str">
        <x:v>Recent bear structure</x:v>
      </x:c>
      <x:c r="R551" s="6" t="str">
        <x:v>False</x:v>
      </x:c>
      <x:c r="S551" s="6" t="str">
        <x:v>True</x:v>
      </x:c>
      <x:c r="T551" s="6" t="str">
        <x:v>Recent BSL</x:v>
      </x:c>
      <x:c r="U551" s="6" t="str">
        <x:v>BSL</x:v>
      </x:c>
      <x:c r="V551" s="6" t="str">
        <x:v>Swing high / buy-side</x:v>
      </x:c>
      <x:c r="W551" s="6" t="str">
        <x:v>[23526.5]</x:v>
      </x:c>
      <x:c r="X551" s="8" t="str">
        <x:v>1</x:v>
      </x:c>
      <x:c r="Y551" s="8" t="str">
        <x:v>0.0</x:v>
      </x:c>
      <x:c r="Z551" s="6" t="str">
        <x:v>Sweep above CRT reference</x:v>
      </x:c>
      <x:c r="AA551" s="6" t="str">
        <x:v>23511.5</x:v>
      </x:c>
      <x:c r="AB551" s="9" t="str">
        <x:v>-1.907224933046237</x:v>
      </x:c>
      <x:c r="AC551" s="9" t="str">
        <x:v>0.5340229812529463</x:v>
      </x:c>
      <x:c r="AD551" s="9" t="str">
        <x:v>1.1061904611668174</x:v>
      </x:c>
      <x:c r="AE551" s="6" t="str">
        <x:v>With trade</x:v>
      </x:c>
      <x:c r="AF551" s="7" t="str">
        <x:v>2025-12-21 23:10:00-06:00</x:v>
      </x:c>
      <x:c r="AG551" s="6" t="str">
        <x:v>Short</x:v>
      </x:c>
      <x:c r="AH551" s="6" t="str">
        <x:v>23511.5</x:v>
      </x:c>
      <x:c r="AI551" s="8" t="str">
        <x:v>4</x:v>
      </x:c>
      <x:c r="AJ551" s="6" t="str">
        <x:v>False</x:v>
      </x:c>
      <x:c r="AK551" s="6" t="str">
        <x:v>Delayed BOS</x:v>
      </x:c>
      <x:c r="AL551" s="9" t="str">
        <x:v>0.6833445565555827</x:v>
      </x:c>
      <x:c r="AM551" s="9" t="str">
        <x:v>0.5694537971296523</x:v>
      </x:c>
      <x:c r="AN551" s="9" t="str">
        <x:v>0.6453809700802725</x:v>
      </x:c>
      <x:c r="AO551" s="9" t="str">
        <x:v>0.9870532483580639</x:v>
      </x:c>
      <x:c r="AP551" s="10" t="str">
        <x:v>0.6538461538461539</x:v>
      </x:c>
      <x:c r="AQ551" s="6" t="str">
        <x:v>0.34615384615384615</x:v>
      </x:c>
      <x:c r="AR551" s="6" t="str">
        <x:v>0.0</x:v>
      </x:c>
      <x:c r="AS551" s="6" t="str">
        <x:v>With trade</x:v>
      </x:c>
      <x:c r="AT551" s="6" t="str">
        <x:v>2.305204351661276</x:v>
      </x:c>
      <x:c r="AU551" s="7" t="str">
        <x:v>2025-12-21 23:15:00-06:00</x:v>
      </x:c>
      <x:c r="AV551" s="8" t="str">
        <x:v>1</x:v>
      </x:c>
      <x:c r="AW551" s="6" t="str">
        <x:v>Immediate retest (1 bar)</x:v>
      </x:c>
      <x:c r="AX551" s="6" t="str">
        <x:v>23512.0</x:v>
      </x:c>
      <x:c r="AY551" s="6" t="str">
        <x:v>0.5</x:v>
      </x:c>
      <x:c r="AZ551" s="9" t="str">
        <x:v>0.07518122699523666</x:v>
      </x:c>
      <x:c r="BA551" s="9" t="str">
        <x:v>0.9397653374404582</x:v>
      </x:c>
      <x:c r="BB551" s="9" t="str">
        <x:v>1.1277184049285498</x:v>
      </x:c>
      <x:c r="BC551" s="9" t="str">
        <x:v>0.5262685889666566</x:v>
      </x:c>
      <x:c r="BD551" s="6" t="str">
        <x:v>0.43333333333333335</x:v>
      </x:c>
      <x:c r="BE551" s="6" t="str">
        <x:v>0.1</x:v>
      </x:c>
      <x:c r="BF551" s="9" t="str">
        <x:v>0.48867797546903824</x:v>
      </x:c>
      <x:c r="BG551" s="9" t="str">
        <x:v>0.11277184049285498</x:v>
      </x:c>
      <x:c r="BH551" s="6" t="str">
        <x:v>With trade</x:v>
      </x:c>
      <x:c r="BI551" s="6" t="str">
        <x:v>Penetration + same-bar reclaim</x:v>
      </x:c>
      <x:c r="BJ551" s="6" t="str">
        <x:v>False</x:v>
      </x:c>
      <x:c r="BK551" s="10" t="str">
        <x:v>True</x:v>
      </x:c>
      <x:c r="BL551" s="6" t="str">
        <x:v>True</x:v>
      </x:c>
      <x:c r="BM551" s="7" t="str">
        <x:v>2025-12-21 23:20:00-06:00</x:v>
      </x:c>
      <x:c r="BN551" s="8" t="str">
        <x:v>1</x:v>
      </x:c>
      <x:c r="BO551" s="6" t="str">
        <x:v>Immediate confirmation (1 bar)</x:v>
      </x:c>
      <x:c r="BP551" s="9" t="str">
        <x:v>0.1857596570191617</x:v>
      </x:c>
      <x:c r="BQ551" s="9" t="str">
        <x:v>1.1517098735188025</x:v>
      </x:c>
      <x:c r="BR551" s="10" t="str">
        <x:v>0.16129032258064516</x:v>
      </x:c>
      <x:c r="BS551" s="9" t="str">
        <x:v>0.9287982850958084</x:v>
      </x:c>
      <x:c r="BT551" s="9" t="str">
        <x:v>-0.0</x:v>
      </x:c>
      <x:c r="BU551" s="9" t="str">
        <x:v>0.557278971057485</x:v>
      </x:c>
      <x:c r="BV551" s="6" t="str">
        <x:v>With trade</x:v>
      </x:c>
      <x:c r="BW551" s="7" t="str">
        <x:v>2025-12-21 23:20:00-06:00</x:v>
      </x:c>
      <x:c r="BX551" s="6" t="str">
        <x:v>23505.25</x:v>
      </x:c>
      <x:c r="BY551" s="9" t="str">
        <x:v>6.729125258188104</x:v>
      </x:c>
      <x:c r="BZ551" s="9" t="str">
        <x:v>0.11</x:v>
      </x:c>
      <x:c r="CA551" s="6" t="str">
        <x:v>23515.34368788728</x:v>
      </x:c>
      <x:c r="CB551" s="6" t="str">
        <x:v>10.093687887281703</x:v>
      </x:c>
      <x:c r="CC551" s="9" t="str">
        <x:v>1.4999999999999327</x:v>
      </x:c>
      <x:c r="CD551" s="6" t="str">
        <x:v>23485.062624225437</x:v>
      </x:c>
      <x:c r="CE551" s="6" t="str">
        <x:v>20.187375774563407</x:v>
      </x:c>
      <x:c r="CF551" s="6" t="str">
        <x:v>Fixed 2.00R target</x:v>
      </x:c>
      <x:c r="CG551" s="9" t="str">
        <x:v>0.07182706738074573</x:v>
      </x:c>
      <x:c r="CH551" s="9" t="str">
        <x:v>-1.0</x:v>
      </x:c>
      <x:c r="CI551" s="9" t="str">
        <x:v>-1.0718270673807457</x:v>
      </x:c>
      <x:c r="CJ551" s="6" t="str">
        <x:v>Loss</x:v>
      </x:c>
      <x:c r="CK551" s="9" t="str">
        <x:v>0.34675135976911736</x:v>
      </x:c>
      <x:c r="CL551" s="9" t="str">
        <x:v>1.0154861250381295</x:v>
      </x:c>
      <x:c r="CM551" s="7" t="str">
        <x:v>2025-12-21 23:30:00-06:00</x:v>
      </x:c>
      <x:c r="CN551" s="6" t="str">
        <x:v>23515.34368788728</x:v>
      </x:c>
      <x:c r="CO551" s="6" t="str">
        <x:v>STOP</x:v>
      </x:c>
      <x:c r="CP551" s="6" t="str">
        <x:v>F::Short::Delayed BOS::Penetration + same-bar reclaim</x:v>
      </x:c>
    </x:row>
    <x:row r="552" ht="18" customHeight="1">
      <x:c r="A552" s="6" t="str">
        <x:v>A0551</x:v>
      </x:c>
      <x:c r="B552" s="6" t="str">
        <x:v>2025-12-23</x:v>
      </x:c>
      <x:c r="C552" s="6" t="str">
        <x:v>2025</x:v>
      </x:c>
      <x:c r="D552" s="6" t="str">
        <x:v>2025-Q4</x:v>
      </x:c>
      <x:c r="E552" s="6" t="str">
        <x:v>Second 50%</x:v>
      </x:c>
      <x:c r="F552" s="6" t="str">
        <x:v>Long</x:v>
      </x:c>
      <x:c r="G552" s="6" t="str">
        <x:v>Long</x:v>
      </x:c>
      <x:c r="H552" s="6" t="str">
        <x:v>Morning</x:v>
      </x:c>
      <x:c r="I552" s="6" t="str">
        <x:v>Morning</x:v>
      </x:c>
      <x:c r="J552" s="6" t="str">
        <x:v>Bull</x:v>
      </x:c>
      <x:c r="K552" s="6" t="str">
        <x:v>Bull</x:v>
      </x:c>
      <x:c r="L552" s="6" t="str">
        <x:v>HIGH</x:v>
      </x:c>
      <x:c r="M552" s="7" t="str">
        <x:v>2025-12-23 10:40:00-06:00</x:v>
      </x:c>
      <x:c r="N552" s="6" t="str">
        <x:v>75.0</x:v>
      </x:c>
      <x:c r="O552" s="6" t="str">
        <x:v>75-79</x:v>
      </x:c>
      <x:c r="P552" s="6" t="str">
        <x:v>Matching BOS only</x:v>
      </x:c>
      <x:c r="Q552" s="6" t="str">
        <x:v>Bull BOS</x:v>
      </x:c>
      <x:c r="R552" s="6" t="str">
        <x:v>True</x:v>
      </x:c>
      <x:c r="S552" s="6" t="str">
        <x:v>False</x:v>
      </x:c>
      <x:c r="T552" s="6" t="str">
        <x:v>No recent matching sweep</x:v>
      </x:c>
      <x:c r="U552" s="6" t="str">
        <x:v>None</x:v>
      </x:c>
      <x:c r="V552" s="6" t="str">
        <x:v>None</x:v>
      </x:c>
      <x:c r="W552" s="6" t="str">
        <x:v>[]</x:v>
      </x:c>
      <x:c r="X552" s="8" t="str">
        <x:v>0</x:v>
      </x:c>
      <x:c r="Y552" s="8" t="str"/>
      <x:c r="Z552" s="6" t="str">
        <x:v>None</x:v>
      </x:c>
      <x:c r="AA552" s="6" t="str">
        <x:v>23590.75</x:v>
      </x:c>
      <x:c r="AB552" s="9" t="str">
        <x:v>0.02533318574839226</x:v>
      </x:c>
      <x:c r="AC552" s="9" t="str">
        <x:v>0.6333296437098065</x:v>
      </x:c>
      <x:c r="AD552" s="9" t="str">
        <x:v>0.7979953510743563</x:v>
      </x:c>
      <x:c r="AE552" s="6" t="str">
        <x:v>With trade</x:v>
      </x:c>
      <x:c r="AF552" s="7" t="str">
        <x:v>2025-12-23 10:40:00-06:00</x:v>
      </x:c>
      <x:c r="AG552" s="6" t="str">
        <x:v>Long</x:v>
      </x:c>
      <x:c r="AH552" s="6" t="str">
        <x:v>23590.75</x:v>
      </x:c>
      <x:c r="AI552" s="8" t="str">
        <x:v>0</x:v>
      </x:c>
      <x:c r="AJ552" s="6" t="str">
        <x:v>True</x:v>
      </x:c>
      <x:c r="AK552" s="6" t="str">
        <x:v>Same-bar Setup+BOS</x:v>
      </x:c>
      <x:c r="AL552" s="9" t="str">
        <x:v>0.6459962365840026</x:v>
      </x:c>
      <x:c r="AM552" s="9" t="str">
        <x:v>0.02533318574839226</x:v>
      </x:c>
      <x:c r="AN552" s="9" t="str">
        <x:v>0.6333296437098065</x:v>
      </x:c>
      <x:c r="AO552" s="9" t="str">
        <x:v>0.7979953510743563</x:v>
      </x:c>
      <x:c r="AP552" s="10" t="str">
        <x:v>0.7936507936507936</x:v>
      </x:c>
      <x:c r="AQ552" s="6" t="str">
        <x:v>0.12698412698412698</x:v>
      </x:c>
      <x:c r="AR552" s="6" t="str">
        <x:v>0.07936507936507936</x:v>
      </x:c>
      <x:c r="AS552" s="6" t="str">
        <x:v>With trade</x:v>
      </x:c>
      <x:c r="AT552" s="6" t="str">
        <x:v>0.48176604263607836</x:v>
      </x:c>
      <x:c r="AU552" s="7" t="str">
        <x:v>2025-12-23 10:45:00-06:00</x:v>
      </x:c>
      <x:c r="AV552" s="8" t="str">
        <x:v>1</x:v>
      </x:c>
      <x:c r="AW552" s="6" t="str">
        <x:v>Immediate retest (1 bar)</x:v>
      </x:c>
      <x:c r="AX552" s="6" t="str">
        <x:v>23590.5</x:v>
      </x:c>
      <x:c r="AY552" s="6" t="str">
        <x:v>0.25</x:v>
      </x:c>
      <x:c r="AZ552" s="9" t="str">
        <x:v>0.01311694412376937</x:v>
      </x:c>
      <x:c r="BA552" s="9" t="str">
        <x:v>0.3148066589704649</x:v>
      </x:c>
      <x:c r="BB552" s="9" t="str">
        <x:v>0.5377947090745442</x:v>
      </x:c>
      <x:c r="BC552" s="9" t="str">
        <x:v>0.2623388824753874</x:v>
      </x:c>
      <x:c r="BD552" s="6" t="str">
        <x:v>0.3902439024390244</x:v>
      </x:c>
      <x:c r="BE552" s="6" t="str">
        <x:v>0.12195121951219512</x:v>
      </x:c>
      <x:c r="BF552" s="9" t="str">
        <x:v>0.06558472061884685</x:v>
      </x:c>
      <x:c r="BG552" s="9" t="str">
        <x:v>0.20987110598030992</x:v>
      </x:c>
      <x:c r="BH552" s="6" t="str">
        <x:v>With trade</x:v>
      </x:c>
      <x:c r="BI552" s="6" t="str">
        <x:v>Penetration + same-bar reclaim</x:v>
      </x:c>
      <x:c r="BJ552" s="6" t="str">
        <x:v>False</x:v>
      </x:c>
      <x:c r="BK552" s="10" t="str">
        <x:v>True</x:v>
      </x:c>
      <x:c r="BL552" s="6" t="str">
        <x:v>True</x:v>
      </x:c>
      <x:c r="BM552" s="7" t="str">
        <x:v>2025-12-23 10:50:00-06:00</x:v>
      </x:c>
      <x:c r="BN552" s="8" t="str">
        <x:v>1</x:v>
      </x:c>
      <x:c r="BO552" s="6" t="str">
        <x:v>Immediate confirmation (1 bar)</x:v>
      </x:c>
      <x:c r="BP552" s="9" t="str">
        <x:v>0.7209167443807428</x:v>
      </x:c>
      <x:c r="BQ552" s="9" t="str">
        <x:v>1.0092834421330399</x:v>
      </x:c>
      <x:c r="BR552" s="10" t="str">
        <x:v>0.7142857142857143</x:v>
      </x:c>
      <x:c r="BS552" s="9" t="str">
        <x:v>1.0486061736447168</x:v>
      </x:c>
      <x:c r="BT552" s="9" t="str">
        <x:v>0.7340243215513018</x:v>
      </x:c>
      <x:c r="BU552" s="9" t="str">
        <x:v>0.0655378858527948</x:v>
      </x:c>
      <x:c r="BV552" s="6" t="str">
        <x:v>With trade</x:v>
      </x:c>
      <x:c r="BW552" s="7" t="str">
        <x:v>2025-12-23 10:50:00-06:00</x:v>
      </x:c>
      <x:c r="BX552" s="6" t="str">
        <x:v>23610.75</x:v>
      </x:c>
      <x:c r="BY552" s="9" t="str">
        <x:v>19.072937488518253</x:v>
      </x:c>
      <x:c r="BZ552" s="9" t="str">
        <x:v>0.73</x:v>
      </x:c>
      <x:c r="CA552" s="6" t="str">
        <x:v>23582.140593767224</x:v>
      </x:c>
      <x:c r="CB552" s="6" t="str">
        <x:v>28.609406232775655</x:v>
      </x:c>
      <x:c r="CC552" s="9" t="str">
        <x:v>1.4999999999999096</x:v>
      </x:c>
      <x:c r="CD552" s="6" t="str">
        <x:v>23667.968812465555</x:v>
      </x:c>
      <x:c r="CE552" s="6" t="str">
        <x:v>57.21881246555495</x:v>
      </x:c>
      <x:c r="CF552" s="6" t="str">
        <x:v>Fixed 2.00R target</x:v>
      </x:c>
      <x:c r="CG552" s="9" t="str">
        <x:v>0.025341315863082185</x:v>
      </x:c>
      <x:c r="CH552" s="9" t="str">
        <x:v>-0.5505182411634763</x:v>
      </x:c>
      <x:c r="CI552" s="9" t="str">
        <x:v>-0.5758595570265584</x:v>
      </x:c>
      <x:c r="CJ552" s="6" t="str">
        <x:v>Loss</x:v>
      </x:c>
      <x:c r="CK552" s="9" t="str">
        <x:v>0.22719800428970233</x:v>
      </x:c>
      <x:c r="CL552" s="9" t="str">
        <x:v>0.7165475519905997</x:v>
      </x:c>
      <x:c r="CM552" s="7" t="str">
        <x:v>2025-12-23 11:50:00-06:00</x:v>
      </x:c>
      <x:c r="CN552" s="6" t="str">
        <x:v>23595.0</x:v>
      </x:c>
      <x:c r="CO552" s="6" t="str">
        <x:v>TIME</x:v>
      </x:c>
      <x:c r="CP552" s="6" t="str">
        <x:v>F::Long::Same-bar Setup+BOS::Penetration + same-bar reclaim</x:v>
      </x:c>
    </x:row>
    <x:row r="553" ht="18" customHeight="1">
      <x:c r="A553" s="6" t="str">
        <x:v>A0552</x:v>
      </x:c>
      <x:c r="B553" s="6" t="str">
        <x:v>2025-12-23</x:v>
      </x:c>
      <x:c r="C553" s="6" t="str">
        <x:v>2025</x:v>
      </x:c>
      <x:c r="D553" s="6" t="str">
        <x:v>2025-Q4</x:v>
      </x:c>
      <x:c r="E553" s="6" t="str">
        <x:v>Second 50%</x:v>
      </x:c>
      <x:c r="F553" s="6" t="str">
        <x:v>Long</x:v>
      </x:c>
      <x:c r="G553" s="6" t="str">
        <x:v>Long</x:v>
      </x:c>
      <x:c r="H553" s="6" t="str">
        <x:v>Midday</x:v>
      </x:c>
      <x:c r="I553" s="6" t="str">
        <x:v>Midday</x:v>
      </x:c>
      <x:c r="J553" s="6" t="str">
        <x:v>Bull</x:v>
      </x:c>
      <x:c r="K553" s="6" t="str">
        <x:v>Bull</x:v>
      </x:c>
      <x:c r="L553" s="6" t="str">
        <x:v>LOW</x:v>
      </x:c>
      <x:c r="M553" s="7" t="str">
        <x:v>2025-12-23 13:00:00-06:00</x:v>
      </x:c>
      <x:c r="N553" s="6" t="str">
        <x:v>75.0</x:v>
      </x:c>
      <x:c r="O553" s="6" t="str">
        <x:v>75-79</x:v>
      </x:c>
      <x:c r="P553" s="6" t="str">
        <x:v>Matching BOS only</x:v>
      </x:c>
      <x:c r="Q553" s="6" t="str">
        <x:v>Bull BOS</x:v>
      </x:c>
      <x:c r="R553" s="6" t="str">
        <x:v>True</x:v>
      </x:c>
      <x:c r="S553" s="6" t="str">
        <x:v>False</x:v>
      </x:c>
      <x:c r="T553" s="6" t="str">
        <x:v>No recent matching sweep</x:v>
      </x:c>
      <x:c r="U553" s="6" t="str">
        <x:v>None</x:v>
      </x:c>
      <x:c r="V553" s="6" t="str">
        <x:v>None</x:v>
      </x:c>
      <x:c r="W553" s="6" t="str">
        <x:v>[]</x:v>
      </x:c>
      <x:c r="X553" s="8" t="str">
        <x:v>0</x:v>
      </x:c>
      <x:c r="Y553" s="8" t="str"/>
      <x:c r="Z553" s="6" t="str">
        <x:v>None</x:v>
      </x:c>
      <x:c r="AA553" s="6" t="str">
        <x:v>23619.75</x:v>
      </x:c>
      <x:c r="AB553" s="9" t="str">
        <x:v>0.024279926123097602</x:v>
      </x:c>
      <x:c r="AC553" s="9" t="str">
        <x:v>0.6312780792005377</x:v>
      </x:c>
      <x:c r="AD553" s="9" t="str">
        <x:v>0.9954769710470017</x:v>
      </x:c>
      <x:c r="AE553" s="6" t="str">
        <x:v>With trade</x:v>
      </x:c>
      <x:c r="AF553" s="7" t="str">
        <x:v>2025-12-23 13:00:00-06:00</x:v>
      </x:c>
      <x:c r="AG553" s="6" t="str">
        <x:v>Long</x:v>
      </x:c>
      <x:c r="AH553" s="6" t="str">
        <x:v>23619.75</x:v>
      </x:c>
      <x:c r="AI553" s="8" t="str">
        <x:v>0</x:v>
      </x:c>
      <x:c r="AJ553" s="6" t="str">
        <x:v>True</x:v>
      </x:c>
      <x:c r="AK553" s="6" t="str">
        <x:v>Same-bar Setup+BOS</x:v>
      </x:c>
      <x:c r="AL553" s="9" t="str">
        <x:v>0.6312780792005377</x:v>
      </x:c>
      <x:c r="AM553" s="9" t="str">
        <x:v>0.024279926123097602</x:v>
      </x:c>
      <x:c r="AN553" s="9" t="str">
        <x:v>0.6312780792005377</x:v>
      </x:c>
      <x:c r="AO553" s="9" t="str">
        <x:v>0.9954769710470017</x:v>
      </x:c>
      <x:c r="AP553" s="10" t="str">
        <x:v>0.6341463414634146</x:v>
      </x:c>
      <x:c r="AQ553" s="6" t="str">
        <x:v>0.21951219512195122</x:v>
      </x:c>
      <x:c r="AR553" s="6" t="str">
        <x:v>0.14634146341463414</x:v>
      </x:c>
      <x:c r="AS553" s="6" t="str">
        <x:v>With trade</x:v>
      </x:c>
      <x:c r="AT553" s="6" t="str">
        <x:v>1.1065155807365439</x:v>
      </x:c>
      <x:c r="AU553" s="7" t="str">
        <x:v>2025-12-23 13:05:00-06:00</x:v>
      </x:c>
      <x:c r="AV553" s="8" t="str">
        <x:v>1</x:v>
      </x:c>
      <x:c r="AW553" s="6" t="str">
        <x:v>Immediate retest (1 bar)</x:v>
      </x:c>
      <x:c r="AX553" s="6" t="str">
        <x:v>23619.0</x:v>
      </x:c>
      <x:c r="AY553" s="6" t="str">
        <x:v>0.75</x:v>
      </x:c>
      <x:c r="AZ553" s="9" t="str">
        <x:v>0.07441244360043282</x:v>
      </x:c>
      <x:c r="BA553" s="9" t="str">
        <x:v>0.4960829573362188</x:v>
      </x:c>
      <x:c r="BB553" s="9" t="str">
        <x:v>0.7193202881375174</x:v>
      </x:c>
      <x:c r="BC553" s="9" t="str">
        <x:v>0.44647466160259697</x:v>
      </x:c>
      <x:c r="BD553" s="6" t="str">
        <x:v>0.20689655172413793</x:v>
      </x:c>
      <x:c r="BE553" s="6" t="str">
        <x:v>0.1724137931034483</x:v>
      </x:c>
      <x:c r="BF553" s="9" t="str">
        <x:v>0.1240207393340547</x:v>
      </x:c>
      <x:c r="BG553" s="9" t="str">
        <x:v>0.14882488720086565</x:v>
      </x:c>
      <x:c r="BH553" s="6" t="str">
        <x:v>With trade</x:v>
      </x:c>
      <x:c r="BI553" s="6" t="str">
        <x:v>Penetration + same-bar reclaim</x:v>
      </x:c>
      <x:c r="BJ553" s="6" t="str">
        <x:v>False</x:v>
      </x:c>
      <x:c r="BK553" s="10" t="str">
        <x:v>True</x:v>
      </x:c>
      <x:c r="BL553" s="6" t="str">
        <x:v>True</x:v>
      </x:c>
      <x:c r="BM553" s="7" t="str">
        <x:v>2025-12-23 13:10:00-06:00</x:v>
      </x:c>
      <x:c r="BN553" s="8" t="str">
        <x:v>1</x:v>
      </x:c>
      <x:c r="BO553" s="6" t="str">
        <x:v>Immediate confirmation (1 bar)</x:v>
      </x:c>
      <x:c r="BP553" s="9" t="str">
        <x:v>0.025495993119365745</x:v>
      </x:c>
      <x:c r="BQ553" s="9" t="str">
        <x:v>0.6373998279841436</x:v>
      </x:c>
      <x:c r="BR553" s="10" t="str">
        <x:v>0.04</x:v>
      </x:c>
      <x:c r="BS553" s="9" t="str">
        <x:v>0.5864078417454122</x:v>
      </x:c>
      <x:c r="BT553" s="9" t="str">
        <x:v>0.07648797935809723</x:v>
      </x:c>
      <x:c r="BU553" s="9" t="str">
        <x:v>0.3059519174323889</x:v>
      </x:c>
      <x:c r="BV553" s="6" t="str">
        <x:v>With trade</x:v>
      </x:c>
      <x:c r="BW553" s="7" t="str">
        <x:v>2025-12-23 13:10:00-06:00</x:v>
      </x:c>
      <x:c r="BX553" s="6" t="str">
        <x:v>23625.5</x:v>
      </x:c>
      <x:c r="BY553" s="9" t="str">
        <x:v>9.805462326160965</x:v>
      </x:c>
      <x:c r="BZ553" s="9" t="str">
        <x:v>0.23</x:v>
      </x:c>
      <x:c r="CA553" s="6" t="str">
        <x:v>23610.79180651076</x:v>
      </x:c>
      <x:c r="CB553" s="6" t="str">
        <x:v>14.70819348924124</x:v>
      </x:c>
      <x:c r="CC553" s="9" t="str">
        <x:v>1.4999999999999787</x:v>
      </x:c>
      <x:c r="CD553" s="6" t="str">
        <x:v>23654.916386978482</x:v>
      </x:c>
      <x:c r="CE553" s="6" t="str">
        <x:v>29.41638697848248</x:v>
      </x:c>
      <x:c r="CF553" s="6" t="str">
        <x:v>Fixed 2.00R target</x:v>
      </x:c>
      <x:c r="CG553" s="9" t="str">
        <x:v>0.04929225336410781</x:v>
      </x:c>
      <x:c r="CH553" s="9" t="str">
        <x:v>0.8498664373121915</x:v>
      </x:c>
      <x:c r="CI553" s="9" t="str">
        <x:v>0.8005741839480837</x:v>
      </x:c>
      <x:c r="CJ553" s="6" t="str">
        <x:v>Win</x:v>
      </x:c>
      <x:c r="CK553" s="9" t="str">
        <x:v>1.3767836284457697</x:v>
      </x:c>
      <x:c r="CL553" s="9" t="str">
        <x:v>0.27195725993990516</x:v>
      </x:c>
      <x:c r="CM553" s="7" t="str">
        <x:v>2025-12-23 14:10:00-06:00</x:v>
      </x:c>
      <x:c r="CN553" s="6" t="str">
        <x:v>23638.0</x:v>
      </x:c>
      <x:c r="CO553" s="6" t="str">
        <x:v>TIME</x:v>
      </x:c>
      <x:c r="CP553" s="6" t="str">
        <x:v>F::Long::Same-bar Setup+BOS::Penetration + same-bar reclaim</x:v>
      </x:c>
    </x:row>
    <x:row r="554" ht="18" customHeight="1">
      <x:c r="A554" s="6" t="str">
        <x:v>A0553</x:v>
      </x:c>
      <x:c r="B554" s="6" t="str">
        <x:v>2025-12-24</x:v>
      </x:c>
      <x:c r="C554" s="6" t="str">
        <x:v>2025</x:v>
      </x:c>
      <x:c r="D554" s="6" t="str">
        <x:v>2025-Q4</x:v>
      </x:c>
      <x:c r="E554" s="6" t="str">
        <x:v>Second 50%</x:v>
      </x:c>
      <x:c r="F554" s="6" t="str">
        <x:v>Long</x:v>
      </x:c>
      <x:c r="G554" s="6" t="str">
        <x:v>Long</x:v>
      </x:c>
      <x:c r="H554" s="6" t="str">
        <x:v>Overnight</x:v>
      </x:c>
      <x:c r="I554" s="6" t="str">
        <x:v>Overnight</x:v>
      </x:c>
      <x:c r="J554" s="6" t="str">
        <x:v>Bull</x:v>
      </x:c>
      <x:c r="K554" s="6" t="str">
        <x:v>Bull</x:v>
      </x:c>
      <x:c r="L554" s="6" t="str">
        <x:v>LOW</x:v>
      </x:c>
      <x:c r="M554" s="7" t="str">
        <x:v>2025-12-24 03:10:00-06:00</x:v>
      </x:c>
      <x:c r="N554" s="6" t="str">
        <x:v>90.0</x:v>
      </x:c>
      <x:c r="O554" s="6" t="str">
        <x:v>90-94</x:v>
      </x:c>
      <x:c r="P554" s="6" t="str">
        <x:v>Matching BOS only</x:v>
      </x:c>
      <x:c r="Q554" s="6" t="str">
        <x:v>Bull CHoCH</x:v>
      </x:c>
      <x:c r="R554" s="6" t="str">
        <x:v>True</x:v>
      </x:c>
      <x:c r="S554" s="6" t="str">
        <x:v>False</x:v>
      </x:c>
      <x:c r="T554" s="6" t="str">
        <x:v>Recent SSL</x:v>
      </x:c>
      <x:c r="U554" s="6" t="str">
        <x:v>SSL</x:v>
      </x:c>
      <x:c r="V554" s="6" t="str">
        <x:v>Swing low / sell-side</x:v>
      </x:c>
      <x:c r="W554" s="6" t="str">
        <x:v>[23623.75]</x:v>
      </x:c>
      <x:c r="X554" s="8" t="str">
        <x:v>1</x:v>
      </x:c>
      <x:c r="Y554" s="8" t="str">
        <x:v>2.0</x:v>
      </x:c>
      <x:c r="Z554" s="6" t="str">
        <x:v>None</x:v>
      </x:c>
      <x:c r="AA554" s="6" t="str">
        <x:v>23636.5</x:v>
      </x:c>
      <x:c r="AB554" s="9" t="str">
        <x:v>0.048790892375285604</x:v>
      </x:c>
      <x:c r="AC554" s="9" t="str">
        <x:v>1.5613085560091393</x:v>
      </x:c>
      <x:c r="AD554" s="9" t="str">
        <x:v>1.7076812331349962</x:v>
      </x:c>
      <x:c r="AE554" s="6" t="str">
        <x:v>With trade</x:v>
      </x:c>
      <x:c r="AF554" s="7" t="str">
        <x:v>2025-12-24 03:10:00-06:00</x:v>
      </x:c>
      <x:c r="AG554" s="6" t="str">
        <x:v>Long</x:v>
      </x:c>
      <x:c r="AH554" s="6" t="str">
        <x:v>23636.5</x:v>
      </x:c>
      <x:c r="AI554" s="8" t="str">
        <x:v>0</x:v>
      </x:c>
      <x:c r="AJ554" s="6" t="str">
        <x:v>True</x:v>
      </x:c>
      <x:c r="AK554" s="6" t="str">
        <x:v>Same-bar Setup+BOS</x:v>
      </x:c>
      <x:c r="AL554" s="9" t="str">
        <x:v>1.3661449865079969</x:v>
      </x:c>
      <x:c r="AM554" s="9" t="str">
        <x:v>0.048790892375285604</x:v>
      </x:c>
      <x:c r="AN554" s="9" t="str">
        <x:v>1.5613085560091393</x:v>
      </x:c>
      <x:c r="AO554" s="9" t="str">
        <x:v>1.7076812331349962</x:v>
      </x:c>
      <x:c r="AP554" s="10" t="str">
        <x:v>0.9142857142857143</x:v>
      </x:c>
      <x:c r="AQ554" s="6" t="str">
        <x:v>0.05714285714285714</x:v>
      </x:c>
      <x:c r="AR554" s="6" t="str">
        <x:v>0.02857142857142857</x:v>
      </x:c>
      <x:c r="AS554" s="6" t="str">
        <x:v>With trade</x:v>
      </x:c>
      <x:c r="AT554" s="6" t="str">
        <x:v>2.2123500666370504</x:v>
      </x:c>
      <x:c r="AU554" s="7" t="str">
        <x:v>2025-12-24 03:45:00-06:00</x:v>
      </x:c>
      <x:c r="AV554" s="8" t="str">
        <x:v>7</x:v>
      </x:c>
      <x:c r="AW554" s="6" t="str">
        <x:v>Delayed retest (2+ bars)</x:v>
      </x:c>
      <x:c r="AX554" s="6" t="str">
        <x:v>23635.75</x:v>
      </x:c>
      <x:c r="AY554" s="6" t="str">
        <x:v>0.75</x:v>
      </x:c>
      <x:c r="AZ554" s="9" t="str">
        <x:v>0.1536843708097034</x:v>
      </x:c>
      <x:c r="BA554" s="9" t="str">
        <x:v>0.3073687416194068</x:v>
      </x:c>
      <x:c r="BB554" s="9" t="str">
        <x:v>0.6659656068420481</x:v>
      </x:c>
      <x:c r="BC554" s="9" t="str">
        <x:v>0.20491249441293788</x:v>
      </x:c>
      <x:c r="BD554" s="6" t="str">
        <x:v>0.0</x:v>
      </x:c>
      <x:c r="BE554" s="6" t="str">
        <x:v>0.6923076923076923</x:v>
      </x:c>
      <x:c r="BF554" s="9" t="str">
        <x:v>0.4610531124291102</x:v>
      </x:c>
      <x:c r="BG554" s="9" t="str">
        <x:v>0.0</x:v>
      </x:c>
      <x:c r="BH554" s="6" t="str">
        <x:v>Against trade</x:v>
      </x:c>
      <x:c r="BI554" s="6" t="str">
        <x:v>Penetration + same-bar reclaim</x:v>
      </x:c>
      <x:c r="BJ554" s="6" t="str">
        <x:v>False</x:v>
      </x:c>
      <x:c r="BK554" s="10" t="str">
        <x:v>True</x:v>
      </x:c>
      <x:c r="BL554" s="6" t="str">
        <x:v>True</x:v>
      </x:c>
      <x:c r="BM554" s="7" t="str">
        <x:v>2025-12-24 03:50:00-06:00</x:v>
      </x:c>
      <x:c r="BN554" s="8" t="str">
        <x:v>1</x:v>
      </x:c>
      <x:c r="BO554" s="6" t="str">
        <x:v>Immediate confirmation (1 bar)</x:v>
      </x:c>
      <x:c r="BP554" s="9" t="str">
        <x:v>0.2123087043312235</x:v>
      </x:c>
      <x:c r="BQ554" s="9" t="str">
        <x:v>0.5307717608280588</x:v>
      </x:c>
      <x:c r="BR554" s="10" t="str">
        <x:v>0.4</x:v>
      </x:c>
      <x:c r="BS554" s="9" t="str">
        <x:v>0.4776945847452529</x:v>
      </x:c>
      <x:c r="BT554" s="9" t="str">
        <x:v>0.15923152824841763</x:v>
      </x:c>
      <x:c r="BU554" s="9" t="str">
        <x:v>0.10615435216561175</x:v>
      </x:c>
      <x:c r="BV554" s="6" t="str">
        <x:v>With trade</x:v>
      </x:c>
      <x:c r="BW554" s="7" t="str">
        <x:v>2025-12-24 03:50:00-06:00</x:v>
      </x:c>
      <x:c r="BX554" s="6" t="str">
        <x:v>23638.75</x:v>
      </x:c>
      <x:c r="BY554" s="9" t="str">
        <x:v>4.710122475430384</x:v>
      </x:c>
      <x:c r="BZ554" s="9" t="str">
        <x:v>0.32</x:v>
      </x:c>
      <x:c r="CA554" s="6" t="str">
        <x:v>23631.684816286855</x:v>
      </x:c>
      <x:c r="CB554" s="6" t="str">
        <x:v>7.065183713144506</x:v>
      </x:c>
      <x:c r="CC554" s="9" t="str">
        <x:v>1.4999999999997728</x:v>
      </x:c>
      <x:c r="CD554" s="6" t="str">
        <x:v>23652.880367426293</x:v>
      </x:c>
      <x:c r="CE554" s="6" t="str">
        <x:v>14.13036742629265</x:v>
      </x:c>
      <x:c r="CF554" s="6" t="str">
        <x:v>Fixed 2.00R target</x:v>
      </x:c>
      <x:c r="CG554" s="9" t="str">
        <x:v>0.1026158737601069</x:v>
      </x:c>
      <x:c r="CH554" s="9" t="str">
        <x:v>-1.0</x:v>
      </x:c>
      <x:c r="CI554" s="9" t="str">
        <x:v>-1.1026158737601068</x:v>
      </x:c>
      <x:c r="CJ554" s="6" t="str">
        <x:v>Loss</x:v>
      </x:c>
      <x:c r="CK554" s="9" t="str">
        <x:v>0.10615435216562782</x:v>
      </x:c>
      <x:c r="CL554" s="9" t="str">
        <x:v>1.521545714373999</x:v>
      </x:c>
      <x:c r="CM554" s="7" t="str">
        <x:v>2025-12-24 04:00:00-06:00</x:v>
      </x:c>
      <x:c r="CN554" s="6" t="str">
        <x:v>23631.684816286855</x:v>
      </x:c>
      <x:c r="CO554" s="6" t="str">
        <x:v>STOP</x:v>
      </x:c>
      <x:c r="CP554" s="6" t="str">
        <x:v>F::Long::Same-bar Setup+BOS::Penetration + same-bar reclaim</x:v>
      </x:c>
    </x:row>
    <x:row r="555" ht="18" customHeight="1">
      <x:c r="A555" s="6" t="str">
        <x:v>A0554</x:v>
      </x:c>
      <x:c r="B555" s="6" t="str">
        <x:v>2025-12-25</x:v>
      </x:c>
      <x:c r="C555" s="6" t="str">
        <x:v>2025</x:v>
      </x:c>
      <x:c r="D555" s="6" t="str">
        <x:v>2025-Q4</x:v>
      </x:c>
      <x:c r="E555" s="6" t="str">
        <x:v>Second 50%</x:v>
      </x:c>
      <x:c r="F555" s="6" t="str">
        <x:v>Long</x:v>
      </x:c>
      <x:c r="G555" s="6" t="str">
        <x:v>Long</x:v>
      </x:c>
      <x:c r="H555" s="6" t="str">
        <x:v>Overnight</x:v>
      </x:c>
      <x:c r="I555" s="6" t="str">
        <x:v>Overnight</x:v>
      </x:c>
      <x:c r="J555" s="6" t="str">
        <x:v>Bull</x:v>
      </x:c>
      <x:c r="K555" s="6" t="str">
        <x:v>Bull</x:v>
      </x:c>
      <x:c r="L555" s="6" t="str">
        <x:v>MID</x:v>
      </x:c>
      <x:c r="M555" s="7" t="str">
        <x:v>2025-12-25 18:05:00-06:00</x:v>
      </x:c>
      <x:c r="N555" s="6" t="str">
        <x:v>75.0</x:v>
      </x:c>
      <x:c r="O555" s="6" t="str">
        <x:v>75-79</x:v>
      </x:c>
      <x:c r="P555" s="6" t="str">
        <x:v>Matching BOS only</x:v>
      </x:c>
      <x:c r="Q555" s="6" t="str">
        <x:v>Bull BOS</x:v>
      </x:c>
      <x:c r="R555" s="6" t="str">
        <x:v>True</x:v>
      </x:c>
      <x:c r="S555" s="6" t="str">
        <x:v>False</x:v>
      </x:c>
      <x:c r="T555" s="6" t="str">
        <x:v>Recent SSL</x:v>
      </x:c>
      <x:c r="U555" s="6" t="str">
        <x:v>SSL</x:v>
      </x:c>
      <x:c r="V555" s="6" t="str">
        <x:v>Swing low / sell-side</x:v>
      </x:c>
      <x:c r="W555" s="6" t="str">
        <x:v>[23703.5]</x:v>
      </x:c>
      <x:c r="X555" s="8" t="str">
        <x:v>1</x:v>
      </x:c>
      <x:c r="Y555" s="8" t="str">
        <x:v>14.0</x:v>
      </x:c>
      <x:c r="Z555" s="6" t="str">
        <x:v>None</x:v>
      </x:c>
      <x:c r="AA555" s="6" t="str">
        <x:v>23737.75</x:v>
      </x:c>
      <x:c r="AB555" s="9" t="str">
        <x:v>0.04171541374992051</x:v>
      </x:c>
      <x:c r="AC555" s="9" t="str">
        <x:v>0.43801184437416535</x:v>
      </x:c>
      <x:c r="AD555" s="9" t="str">
        <x:v>0.7925928612484897</x:v>
      </x:c>
      <x:c r="AE555" s="6" t="str">
        <x:v>With trade</x:v>
      </x:c>
      <x:c r="AF555" s="7" t="str">
        <x:v>2025-12-25 18:05:00-06:00</x:v>
      </x:c>
      <x:c r="AG555" s="6" t="str">
        <x:v>Long</x:v>
      </x:c>
      <x:c r="AH555" s="6" t="str">
        <x:v>23737.75</x:v>
      </x:c>
      <x:c r="AI555" s="8" t="str">
        <x:v>0</x:v>
      </x:c>
      <x:c r="AJ555" s="6" t="str">
        <x:v>True</x:v>
      </x:c>
      <x:c r="AK555" s="6" t="str">
        <x:v>Same-bar Setup+BOS</x:v>
      </x:c>
      <x:c r="AL555" s="9" t="str">
        <x:v>0.4797272581240859</x:v>
      </x:c>
      <x:c r="AM555" s="9" t="str">
        <x:v>0.04171541374992051</x:v>
      </x:c>
      <x:c r="AN555" s="9" t="str">
        <x:v>0.43801184437416535</x:v>
      </x:c>
      <x:c r="AO555" s="9" t="str">
        <x:v>0.7925928612484897</x:v>
      </x:c>
      <x:c r="AP555" s="10" t="str">
        <x:v>0.5526315789473685</x:v>
      </x:c>
      <x:c r="AQ555" s="6" t="str">
        <x:v>0.4473684210526316</x:v>
      </x:c>
      <x:c r="AR555" s="6" t="str">
        <x:v>0.0</x:v>
      </x:c>
      <x:c r="AS555" s="6" t="str">
        <x:v>With trade</x:v>
      </x:c>
      <x:c r="AT555" s="6" t="str">
        <x:v>0.2643939760786403</x:v>
      </x:c>
      <x:c r="AU555" s="7" t="str">
        <x:v>2025-12-25 18:10:00-06:00</x:v>
      </x:c>
      <x:c r="AV555" s="8" t="str">
        <x:v>1</x:v>
      </x:c>
      <x:c r="AW555" s="6" t="str">
        <x:v>Immediate retest (1 bar)</x:v>
      </x:c>
      <x:c r="AX555" s="6" t="str">
        <x:v>23737.0</x:v>
      </x:c>
      <x:c r="AY555" s="6" t="str">
        <x:v>0.75</x:v>
      </x:c>
      <x:c r="AZ555" s="9" t="str">
        <x:v>0.0630374300398237</x:v>
      </x:c>
      <x:c r="BA555" s="9" t="str">
        <x:v>0.5883493470383546</x:v>
      </x:c>
      <x:c r="BB555" s="9" t="str">
        <x:v>0.9035364972374731</x:v>
      </x:c>
      <x:c r="BC555" s="9" t="str">
        <x:v>0.6093618237182958</x:v>
      </x:c>
      <x:c r="BD555" s="6" t="str">
        <x:v>0.27906976744186046</x:v>
      </x:c>
      <x:c r="BE555" s="6" t="str">
        <x:v>0.046511627906976744</x:v>
      </x:c>
      <x:c r="BF555" s="9" t="str">
        <x:v>0.042024953359882475</x:v>
      </x:c>
      <x:c r="BG555" s="9" t="str">
        <x:v>0.2521497201592948</x:v>
      </x:c>
      <x:c r="BH555" s="6" t="str">
        <x:v>With trade</x:v>
      </x:c>
      <x:c r="BI555" s="6" t="str">
        <x:v>Penetration + same-bar reclaim</x:v>
      </x:c>
      <x:c r="BJ555" s="6" t="str">
        <x:v>False</x:v>
      </x:c>
      <x:c r="BK555" s="10" t="str">
        <x:v>True</x:v>
      </x:c>
      <x:c r="BL555" s="6" t="str">
        <x:v>True</x:v>
      </x:c>
      <x:c r="BM555" s="7" t="str">
        <x:v>2025-12-25 18:20:00-06:00</x:v>
      </x:c>
      <x:c r="BN555" s="8" t="str">
        <x:v>2</x:v>
      </x:c>
      <x:c r="BO555" s="6" t="str">
        <x:v>Delayed confirmation (2+ bars)</x:v>
      </x:c>
      <x:c r="BP555" s="9" t="str">
        <x:v>0.4085300058287386</x:v>
      </x:c>
      <x:c r="BQ555" s="9" t="str">
        <x:v>0.4766183401335284</x:v>
      </x:c>
      <x:c r="BR555" s="10" t="str">
        <x:v>0.8571428571428571</x:v>
      </x:c>
      <x:c r="BS555" s="9" t="str">
        <x:v>0.8397561230924071</x:v>
      </x:c>
      <x:c r="BT555" s="9" t="str">
        <x:v>0.2042650029143693</x:v>
      </x:c>
      <x:c r="BU555" s="9" t="str">
        <x:v>0.022696111434929923</x:v>
      </x:c>
      <x:c r="BV555" s="6" t="str">
        <x:v>With trade</x:v>
      </x:c>
      <x:c r="BW555" s="7" t="str">
        <x:v>2025-12-25 18:20:00-06:00</x:v>
      </x:c>
      <x:c r="BX555" s="6" t="str">
        <x:v>23747.0</x:v>
      </x:c>
      <x:c r="BY555" s="9" t="str">
        <x:v>11.015102772858407</x:v>
      </x:c>
      <x:c r="BZ555" s="9" t="str">
        <x:v>0.41</x:v>
      </x:c>
      <x:c r="CA555" s="6" t="str">
        <x:v>23730.47734584071</x:v>
      </x:c>
      <x:c r="CB555" s="6" t="str">
        <x:v>16.52265415928923</x:v>
      </x:c>
      <x:c r="CC555" s="9" t="str">
        <x:v>1.5000000000001472</x:v>
      </x:c>
      <x:c r="CD555" s="6" t="str">
        <x:v>23780.045308318575</x:v>
      </x:c>
      <x:c r="CE555" s="6" t="str">
        <x:v>33.045308318574826</x:v>
      </x:c>
      <x:c r="CF555" s="6" t="str">
        <x:v>Fixed 2.00R target</x:v>
      </x:c>
      <x:c r="CG555" s="9" t="str">
        <x:v>0.04387914877419355</x:v>
      </x:c>
      <x:c r="CH555" s="9" t="str">
        <x:v>-0.13617666860957953</x:v>
      </x:c>
      <x:c r="CI555" s="9" t="str">
        <x:v>-0.18005581738377308</x:v>
      </x:c>
      <x:c r="CJ555" s="6" t="str">
        <x:v>Loss</x:v>
      </x:c>
      <x:c r="CK555" s="9" t="str">
        <x:v>0.5447066744382647</x:v>
      </x:c>
      <x:c r="CL555" s="9" t="str">
        <x:v>0.7565370478309232</x:v>
      </x:c>
      <x:c r="CM555" s="7" t="str">
        <x:v>2025-12-25 19:20:00-06:00</x:v>
      </x:c>
      <x:c r="CN555" s="6" t="str">
        <x:v>23744.75</x:v>
      </x:c>
      <x:c r="CO555" s="6" t="str">
        <x:v>TIME</x:v>
      </x:c>
      <x:c r="CP555" s="6" t="str">
        <x:v>F::Long::Same-bar Setup+BOS::Penetration + same-bar reclaim</x:v>
      </x:c>
    </x:row>
    <x:row r="556" ht="18" customHeight="1">
      <x:c r="A556" s="6" t="str">
        <x:v>A0555</x:v>
      </x:c>
      <x:c r="B556" s="6" t="str">
        <x:v>2025-12-25</x:v>
      </x:c>
      <x:c r="C556" s="6" t="str">
        <x:v>2025</x:v>
      </x:c>
      <x:c r="D556" s="6" t="str">
        <x:v>2025-Q4</x:v>
      </x:c>
      <x:c r="E556" s="6" t="str">
        <x:v>Second 50%</x:v>
      </x:c>
      <x:c r="F556" s="6" t="str">
        <x:v>Short</x:v>
      </x:c>
      <x:c r="G556" s="6" t="str">
        <x:v>Short</x:v>
      </x:c>
      <x:c r="H556" s="6" t="str">
        <x:v>Overnight</x:v>
      </x:c>
      <x:c r="I556" s="6" t="str">
        <x:v>Overnight</x:v>
      </x:c>
      <x:c r="J556" s="6" t="str">
        <x:v>Bull</x:v>
      </x:c>
      <x:c r="K556" s="6" t="str">
        <x:v>Bull</x:v>
      </x:c>
      <x:c r="L556" s="6" t="str">
        <x:v>LOW</x:v>
      </x:c>
      <x:c r="M556" s="7" t="str">
        <x:v>2025-12-25 19:40:00-06:00</x:v>
      </x:c>
      <x:c r="N556" s="6" t="str">
        <x:v>90.0</x:v>
      </x:c>
      <x:c r="O556" s="6" t="str">
        <x:v>90-94</x:v>
      </x:c>
      <x:c r="P556" s="6" t="str">
        <x:v>Matching BOS only</x:v>
      </x:c>
      <x:c r="Q556" s="6" t="str">
        <x:v>Bear CHoCH</x:v>
      </x:c>
      <x:c r="R556" s="6" t="str">
        <x:v>True</x:v>
      </x:c>
      <x:c r="S556" s="6" t="str">
        <x:v>False</x:v>
      </x:c>
      <x:c r="T556" s="6" t="str">
        <x:v>Recent BSL</x:v>
      </x:c>
      <x:c r="U556" s="6" t="str">
        <x:v>BSL</x:v>
      </x:c>
      <x:c r="V556" s="6" t="str">
        <x:v>Swing high / buy-side</x:v>
      </x:c>
      <x:c r="W556" s="6" t="str">
        <x:v>[23750.0]</x:v>
      </x:c>
      <x:c r="X556" s="8" t="str">
        <x:v>1</x:v>
      </x:c>
      <x:c r="Y556" s="8" t="str">
        <x:v>8.0</x:v>
      </x:c>
      <x:c r="Z556" s="6" t="str">
        <x:v>None</x:v>
      </x:c>
      <x:c r="AA556" s="6" t="str">
        <x:v>23734.5</x:v>
      </x:c>
      <x:c r="AB556" s="9" t="str">
        <x:v>0.5576096281400955</x:v>
      </x:c>
      <x:c r="AC556" s="9" t="str">
        <x:v>1.194877774585919</x:v>
      </x:c>
      <x:c r="AD556" s="9" t="str">
        <x:v>2.1242271548194114</x:v>
      </x:c>
      <x:c r="AE556" s="6" t="str">
        <x:v>With trade</x:v>
      </x:c>
      <x:c r="AF556" s="7" t="str">
        <x:v>2025-12-25 19:40:00-06:00</x:v>
      </x:c>
      <x:c r="AG556" s="6" t="str">
        <x:v>Short</x:v>
      </x:c>
      <x:c r="AH556" s="6" t="str">
        <x:v>23734.5</x:v>
      </x:c>
      <x:c r="AI556" s="8" t="str">
        <x:v>0</x:v>
      </x:c>
      <x:c r="AJ556" s="6" t="str">
        <x:v>True</x:v>
      </x:c>
      <x:c r="AK556" s="6" t="str">
        <x:v>Same-bar Setup+BOS</x:v>
      </x:c>
      <x:c r="AL556" s="9" t="str">
        <x:v>1.1683249351506764</x:v>
      </x:c>
      <x:c r="AM556" s="9" t="str">
        <x:v>0.5576096281400955</x:v>
      </x:c>
      <x:c r="AN556" s="9" t="str">
        <x:v>1.194877774585919</x:v>
      </x:c>
      <x:c r="AO556" s="9" t="str">
        <x:v>2.1242271548194114</x:v>
      </x:c>
      <x:c r="AP556" s="10" t="str">
        <x:v>0.5625</x:v>
      </x:c>
      <x:c r="AQ556" s="6" t="str">
        <x:v>0.0</x:v>
      </x:c>
      <x:c r="AR556" s="6" t="str">
        <x:v>0.4375</x:v>
      </x:c>
      <x:c r="AS556" s="6" t="str">
        <x:v>With trade</x:v>
      </x:c>
      <x:c r="AT556" s="6" t="str">
        <x:v>2.3211747986736144</x:v>
      </x:c>
      <x:c r="AU556" s="7" t="str">
        <x:v>2025-12-25 19:50:00-06:00</x:v>
      </x:c>
      <x:c r="AV556" s="8" t="str">
        <x:v>2</x:v>
      </x:c>
      <x:c r="AW556" s="6" t="str">
        <x:v>Delayed retest (2+ bars)</x:v>
      </x:c>
      <x:c r="AX556" s="6" t="str">
        <x:v>23735.5</x:v>
      </x:c>
      <x:c r="AY556" s="6" t="str">
        <x:v>1.0</x:v>
      </x:c>
      <x:c r="AZ556" s="9" t="str">
        <x:v>0.11178174265107133</x:v>
      </x:c>
      <x:c r="BA556" s="9" t="str">
        <x:v>0.30739979229044617</x:v>
      </x:c>
      <x:c r="BB556" s="9" t="str">
        <x:v>0.6986358915691958</x:v>
      </x:c>
      <x:c r="BC556" s="9" t="str">
        <x:v>0.0838363069883035</x:v>
      </x:c>
      <x:c r="BD556" s="6" t="str">
        <x:v>0.6</x:v>
      </x:c>
      <x:c r="BE556" s="6" t="str">
        <x:v>0.28</x:v>
      </x:c>
      <x:c r="BF556" s="9" t="str">
        <x:v>0.4191815349415175</x:v>
      </x:c>
      <x:c r="BG556" s="9" t="str">
        <x:v>0.19561804963937482</x:v>
      </x:c>
      <x:c r="BH556" s="6" t="str">
        <x:v>Against trade</x:v>
      </x:c>
      <x:c r="BI556" s="6" t="str">
        <x:v>Penetration + same-bar reclaim</x:v>
      </x:c>
      <x:c r="BJ556" s="6" t="str">
        <x:v>False</x:v>
      </x:c>
      <x:c r="BK556" s="10" t="str">
        <x:v>True</x:v>
      </x:c>
      <x:c r="BL556" s="6" t="str">
        <x:v>True</x:v>
      </x:c>
      <x:c r="BM556" s="7" t="str">
        <x:v>2025-12-25 19:55:00-06:00</x:v>
      </x:c>
      <x:c r="BN556" s="8" t="str">
        <x:v>1</x:v>
      </x:c>
      <x:c r="BO556" s="6" t="str">
        <x:v>Immediate confirmation (1 bar)</x:v>
      </x:c>
      <x:c r="BP556" s="9" t="str">
        <x:v>0.11589589937854516</x:v>
      </x:c>
      <x:c r="BQ556" s="9" t="str">
        <x:v>0.5215315472034533</x:v>
      </x:c>
      <x:c r="BR556" s="10" t="str">
        <x:v>0.2222222222222222</x:v>
      </x:c>
      <x:c r="BS556" s="9" t="str">
        <x:v>0.5794794968927258</x:v>
      </x:c>
      <x:c r="BT556" s="9" t="str">
        <x:v>0.26076577360172665</x:v>
      </x:c>
      <x:c r="BU556" s="9" t="str">
        <x:v>0.31871372329099923</x:v>
      </x:c>
      <x:c r="BV556" s="6" t="str">
        <x:v>With trade</x:v>
      </x:c>
      <x:c r="BW556" s="7" t="str">
        <x:v>2025-12-25 19:55:00-06:00</x:v>
      </x:c>
      <x:c r="BX556" s="6" t="str">
        <x:v>23729.5</x:v>
      </x:c>
      <x:c r="BY556" s="9" t="str">
        <x:v>8.628432976163793</x:v>
      </x:c>
      <x:c r="BZ556" s="9" t="str">
        <x:v>0.2</x:v>
      </x:c>
      <x:c r="CA556" s="6" t="str">
        <x:v>23742.442649464247</x:v>
      </x:c>
      <x:c r="CB556" s="6" t="str">
        <x:v>12.942649464246642</x:v>
      </x:c>
      <x:c r="CC556" s="9" t="str">
        <x:v>1.5000000000001104</x:v>
      </x:c>
      <x:c r="CD556" s="6" t="str">
        <x:v>23703.61470107151</x:v>
      </x:c>
      <x:c r="CE556" s="6" t="str">
        <x:v>25.885298928489647</x:v>
      </x:c>
      <x:c r="CF556" s="6" t="str">
        <x:v>Fixed 2.00R target</x:v>
      </x:c>
      <x:c r="CG556" s="9" t="str">
        <x:v>0.05601635136629271</x:v>
      </x:c>
      <x:c r="CH556" s="9" t="str">
        <x:v>-0.5022155639736957</x:v>
      </x:c>
      <x:c r="CI556" s="9" t="str">
        <x:v>-0.5582319153399884</x:v>
      </x:c>
      <x:c r="CJ556" s="6" t="str">
        <x:v>Loss</x:v>
      </x:c>
      <x:c r="CK556" s="9" t="str">
        <x:v>0.6181114633521954</x:v>
      </x:c>
      <x:c r="CL556" s="9" t="str">
        <x:v>0.7726393291902443</x:v>
      </x:c>
      <x:c r="CM556" s="7" t="str">
        <x:v>2025-12-25 20:55:00-06:00</x:v>
      </x:c>
      <x:c r="CN556" s="6" t="str">
        <x:v>23736.0</x:v>
      </x:c>
      <x:c r="CO556" s="6" t="str">
        <x:v>TIME</x:v>
      </x:c>
      <x:c r="CP556" s="6" t="str">
        <x:v>F::Short::Same-bar Setup+BOS::Penetration + same-bar reclaim</x:v>
      </x:c>
    </x:row>
    <x:row r="557" ht="18" customHeight="1">
      <x:c r="A557" s="6" t="str">
        <x:v>A0556</x:v>
      </x:c>
      <x:c r="B557" s="6" t="str">
        <x:v>2025-12-25</x:v>
      </x:c>
      <x:c r="C557" s="6" t="str">
        <x:v>2025</x:v>
      </x:c>
      <x:c r="D557" s="6" t="str">
        <x:v>2025-Q4</x:v>
      </x:c>
      <x:c r="E557" s="6" t="str">
        <x:v>Second 50%</x:v>
      </x:c>
      <x:c r="F557" s="6" t="str">
        <x:v>Short</x:v>
      </x:c>
      <x:c r="G557" s="6" t="str">
        <x:v>Short</x:v>
      </x:c>
      <x:c r="H557" s="6" t="str">
        <x:v>Overnight</x:v>
      </x:c>
      <x:c r="I557" s="6" t="str">
        <x:v>Overnight</x:v>
      </x:c>
      <x:c r="J557" s="6" t="str">
        <x:v>Bull</x:v>
      </x:c>
      <x:c r="K557" s="6" t="str">
        <x:v>Bull</x:v>
      </x:c>
      <x:c r="L557" s="6" t="str">
        <x:v>LOW</x:v>
      </x:c>
      <x:c r="M557" s="7" t="str">
        <x:v>2025-12-25 22:00:00-06:00</x:v>
      </x:c>
      <x:c r="N557" s="6" t="str">
        <x:v>90.0</x:v>
      </x:c>
      <x:c r="O557" s="6" t="str">
        <x:v>90-94</x:v>
      </x:c>
      <x:c r="P557" s="6" t="str">
        <x:v>Matching BOS only</x:v>
      </x:c>
      <x:c r="Q557" s="6" t="str">
        <x:v>Bear BOS</x:v>
      </x:c>
      <x:c r="R557" s="6" t="str">
        <x:v>True</x:v>
      </x:c>
      <x:c r="S557" s="6" t="str">
        <x:v>False</x:v>
      </x:c>
      <x:c r="T557" s="6" t="str">
        <x:v>Recent BSL</x:v>
      </x:c>
      <x:c r="U557" s="6" t="str">
        <x:v>BSL</x:v>
      </x:c>
      <x:c r="V557" s="6" t="str">
        <x:v>Swing high / buy-side</x:v>
      </x:c>
      <x:c r="W557" s="6" t="str">
        <x:v>[23739.5]</x:v>
      </x:c>
      <x:c r="X557" s="8" t="str">
        <x:v>1</x:v>
      </x:c>
      <x:c r="Y557" s="8" t="str">
        <x:v>10.0</x:v>
      </x:c>
      <x:c r="Z557" s="6" t="str">
        <x:v>None</x:v>
      </x:c>
      <x:c r="AA557" s="6" t="str">
        <x:v>23721.5</x:v>
      </x:c>
      <x:c r="AB557" s="9" t="str">
        <x:v>0.9225663946453576</x:v>
      </x:c>
      <x:c r="AC557" s="9" t="str">
        <x:v>0.9645012307656012</x:v>
      </x:c>
      <x:c r="AD557" s="9" t="str">
        <x:v>1.5515889364490105</x:v>
      </x:c>
      <x:c r="AE557" s="6" t="str">
        <x:v>With trade</x:v>
      </x:c>
      <x:c r="AF557" s="7" t="str">
        <x:v>2025-12-25 22:00:00-06:00</x:v>
      </x:c>
      <x:c r="AG557" s="6" t="str">
        <x:v>Short</x:v>
      </x:c>
      <x:c r="AH557" s="6" t="str">
        <x:v>23721.5</x:v>
      </x:c>
      <x:c r="AI557" s="8" t="str">
        <x:v>0</x:v>
      </x:c>
      <x:c r="AJ557" s="6" t="str">
        <x:v>True</x:v>
      </x:c>
      <x:c r="AK557" s="6" t="str">
        <x:v>Same-bar Setup+BOS</x:v>
      </x:c>
      <x:c r="AL557" s="9" t="str">
        <x:v>1.0064360668858447</x:v>
      </x:c>
      <x:c r="AM557" s="9" t="str">
        <x:v>0.9225663946453576</x:v>
      </x:c>
      <x:c r="AN557" s="9" t="str">
        <x:v>0.9645012307656012</x:v>
      </x:c>
      <x:c r="AO557" s="9" t="str">
        <x:v>1.5515889364490105</x:v>
      </x:c>
      <x:c r="AP557" s="10" t="str">
        <x:v>0.6216216216216216</x:v>
      </x:c>
      <x:c r="AQ557" s="6" t="str">
        <x:v>0.02702702702702703</x:v>
      </x:c>
      <x:c r="AR557" s="6" t="str">
        <x:v>0.35135135135135137</x:v>
      </x:c>
      <x:c r="AS557" s="6" t="str">
        <x:v>With trade</x:v>
      </x:c>
      <x:c r="AT557" s="6" t="str">
        <x:v>1.9374456993918332</x:v>
      </x:c>
      <x:c r="AU557" s="7" t="str">
        <x:v>2025-12-25 22:10:00-06:00</x:v>
      </x:c>
      <x:c r="AV557" s="8" t="str">
        <x:v>2</x:v>
      </x:c>
      <x:c r="AW557" s="6" t="str">
        <x:v>Delayed retest (2+ bars)</x:v>
      </x:c>
      <x:c r="AX557" s="6" t="str">
        <x:v>23722.5</x:v>
      </x:c>
      <x:c r="AY557" s="6" t="str">
        <x:v>1.0</x:v>
      </x:c>
      <x:c r="AZ557" s="9" t="str">
        <x:v>0.17249488717859512</x:v>
      </x:c>
      <x:c r="BA557" s="9" t="str">
        <x:v>-0.0</x:v>
      </x:c>
      <x:c r="BB557" s="9" t="str">
        <x:v>0.8193507140983268</x:v>
      </x:c>
      <x:c r="BC557" s="9" t="str">
        <x:v>0.6468558269197318</x:v>
      </x:c>
      <x:c r="BD557" s="6" t="str">
        <x:v>0.21052631578947367</x:v>
      </x:c>
      <x:c r="BE557" s="6" t="str">
        <x:v>0.0</x:v>
      </x:c>
      <x:c r="BF557" s="9" t="str">
        <x:v>0.17249488717859512</x:v>
      </x:c>
      <x:c r="BG557" s="9" t="str">
        <x:v>0.0</x:v>
      </x:c>
      <x:c r="BH557" s="6" t="str">
        <x:v>Against trade</x:v>
      </x:c>
      <x:c r="BI557" s="6" t="str">
        <x:v>Penetration without same-bar reclaim</x:v>
      </x:c>
      <x:c r="BJ557" s="6" t="str">
        <x:v>False</x:v>
      </x:c>
      <x:c r="BK557" s="10" t="str">
        <x:v>True</x:v>
      </x:c>
      <x:c r="BL557" s="6" t="str">
        <x:v>False</x:v>
      </x:c>
      <x:c r="BM557" s="7" t="str">
        <x:v>2025-12-25 22:15:00-06:00</x:v>
      </x:c>
      <x:c r="BN557" s="8" t="str">
        <x:v>1</x:v>
      </x:c>
      <x:c r="BO557" s="6" t="str">
        <x:v>Immediate confirmation (1 bar)</x:v>
      </x:c>
      <x:c r="BP557" s="9" t="str">
        <x:v>0.35730440699105037</x:v>
      </x:c>
      <x:c r="BQ557" s="9" t="str">
        <x:v>0.5359566104865756</x:v>
      </x:c>
      <x:c r="BR557" s="10" t="str">
        <x:v>0.6666666666666666</x:v>
      </x:c>
      <x:c r="BS557" s="9" t="str">
        <x:v>0.3126413561171691</x:v>
      </x:c>
      <x:c r="BT557" s="9" t="str">
        <x:v>0.3126413561171691</x:v>
      </x:c>
      <x:c r="BU557" s="9" t="str">
        <x:v>0.17865220349552519</x:v>
      </x:c>
      <x:c r="BV557" s="6" t="str">
        <x:v>With trade</x:v>
      </x:c>
      <x:c r="BW557" s="7" t="str">
        <x:v>2025-12-25 22:15:00-06:00</x:v>
      </x:c>
      <x:c r="BX557" s="6" t="str">
        <x:v>23719.75</x:v>
      </x:c>
      <x:c r="BY557" s="9" t="str">
        <x:v>5.597468043684374</x:v>
      </x:c>
      <x:c r="BZ557" s="9" t="str">
        <x:v>0.0</x:v>
      </x:c>
      <x:c r="CA557" s="6" t="str">
        <x:v>23728.146202065527</x:v>
      </x:c>
      <x:c r="CB557" s="6" t="str">
        <x:v>8.396202065527177</x:v>
      </x:c>
      <x:c r="CC557" s="9" t="str">
        <x:v>1.5000000000001101</x:v>
      </x:c>
      <x:c r="CD557" s="6" t="str">
        <x:v>23702.957595868946</x:v>
      </x:c>
      <x:c r="CE557" s="6" t="str">
        <x:v>16.792404131054354</x:v>
      </x:c>
      <x:c r="CF557" s="6" t="str">
        <x:v>Fixed 2.00R target</x:v>
      </x:c>
      <x:c r="CG557" s="9" t="str">
        <x:v>0.08634856502283084</x:v>
      </x:c>
      <x:c r="CH557" s="9" t="str">
        <x:v>-0.35730440699105037</x:v>
      </x:c>
      <x:c r="CI557" s="9" t="str">
        <x:v>-0.4436529720138812</x:v>
      </x:c>
      <x:c r="CJ557" s="6" t="str">
        <x:v>Loss</x:v>
      </x:c>
      <x:c r="CK557" s="9" t="str">
        <x:v>0.6550580794835442</x:v>
      </x:c>
      <x:c r="CL557" s="9" t="str">
        <x:v>0.6252827122342922</x:v>
      </x:c>
      <x:c r="CM557" s="7" t="str">
        <x:v>2025-12-25 23:15:00-06:00</x:v>
      </x:c>
      <x:c r="CN557" s="6" t="str">
        <x:v>23722.75</x:v>
      </x:c>
      <x:c r="CO557" s="6" t="str">
        <x:v>TIME</x:v>
      </x:c>
      <x:c r="CP557" s="6" t="str">
        <x:v>F::Short::Same-bar Setup+BOS::Penetration without same-bar reclaim</x:v>
      </x:c>
    </x:row>
    <x:row r="558" ht="18" customHeight="1">
      <x:c r="A558" s="6" t="str">
        <x:v>A0557</x:v>
      </x:c>
      <x:c r="B558" s="6" t="str">
        <x:v>2025-12-26</x:v>
      </x:c>
      <x:c r="C558" s="6" t="str">
        <x:v>2025</x:v>
      </x:c>
      <x:c r="D558" s="6" t="str">
        <x:v>2025-Q4</x:v>
      </x:c>
      <x:c r="E558" s="6" t="str">
        <x:v>Second 50%</x:v>
      </x:c>
      <x:c r="F558" s="6" t="str">
        <x:v>Short</x:v>
      </x:c>
      <x:c r="G558" s="6" t="str">
        <x:v>Short</x:v>
      </x:c>
      <x:c r="H558" s="6" t="str">
        <x:v>Premarket</x:v>
      </x:c>
      <x:c r="I558" s="6" t="str">
        <x:v>Premarket</x:v>
      </x:c>
      <x:c r="J558" s="6" t="str">
        <x:v>Bull</x:v>
      </x:c>
      <x:c r="K558" s="6" t="str">
        <x:v>Bull</x:v>
      </x:c>
      <x:c r="L558" s="6" t="str">
        <x:v>HIGH</x:v>
      </x:c>
      <x:c r="M558" s="7" t="str">
        <x:v>2025-12-26 08:50:00-06:00</x:v>
      </x:c>
      <x:c r="N558" s="6" t="str">
        <x:v>90.0</x:v>
      </x:c>
      <x:c r="O558" s="6" t="str">
        <x:v>90-94</x:v>
      </x:c>
      <x:c r="P558" s="6" t="str">
        <x:v>Matching BOS only</x:v>
      </x:c>
      <x:c r="Q558" s="6" t="str">
        <x:v>Bear CHoCH</x:v>
      </x:c>
      <x:c r="R558" s="6" t="str">
        <x:v>True</x:v>
      </x:c>
      <x:c r="S558" s="6" t="str">
        <x:v>False</x:v>
      </x:c>
      <x:c r="T558" s="6" t="str">
        <x:v>Recent BSL</x:v>
      </x:c>
      <x:c r="U558" s="6" t="str">
        <x:v>BSL</x:v>
      </x:c>
      <x:c r="V558" s="6" t="str">
        <x:v>Swing high / buy-side</x:v>
      </x:c>
      <x:c r="W558" s="6" t="str">
        <x:v>[23762.75]</x:v>
      </x:c>
      <x:c r="X558" s="8" t="str">
        <x:v>1</x:v>
      </x:c>
      <x:c r="Y558" s="8" t="str">
        <x:v>3.0</x:v>
      </x:c>
      <x:c r="Z558" s="6" t="str">
        <x:v>None</x:v>
      </x:c>
      <x:c r="AA558" s="6" t="str">
        <x:v>23730.25</x:v>
      </x:c>
      <x:c r="AB558" s="9" t="str">
        <x:v>0.3092680208957328</x:v>
      </x:c>
      <x:c r="AC558" s="9" t="str">
        <x:v>1.7377917364617366</x:v>
      </x:c>
      <x:c r="AD558" s="9" t="str">
        <x:v>2.4741441671658624</x:v>
      </x:c>
      <x:c r="AE558" s="6" t="str">
        <x:v>With trade</x:v>
      </x:c>
      <x:c r="AF558" s="7" t="str">
        <x:v>2025-12-26 08:50:00-06:00</x:v>
      </x:c>
      <x:c r="AG558" s="6" t="str">
        <x:v>Short</x:v>
      </x:c>
      <x:c r="AH558" s="6" t="str">
        <x:v>23730.25</x:v>
      </x:c>
      <x:c r="AI558" s="8" t="str">
        <x:v>0</x:v>
      </x:c>
      <x:c r="AJ558" s="6" t="str">
        <x:v>True</x:v>
      </x:c>
      <x:c r="AK558" s="6" t="str">
        <x:v>Same-bar Setup+BOS</x:v>
      </x:c>
      <x:c r="AL558" s="9" t="str">
        <x:v>1.6788835420054065</x:v>
      </x:c>
      <x:c r="AM558" s="9" t="str">
        <x:v>0.3092680208957328</x:v>
      </x:c>
      <x:c r="AN558" s="9" t="str">
        <x:v>1.7377917364617366</x:v>
      </x:c>
      <x:c r="AO558" s="9" t="str">
        <x:v>2.4741441671658624</x:v>
      </x:c>
      <x:c r="AP558" s="10" t="str">
        <x:v>0.7023809523809523</x:v>
      </x:c>
      <x:c r="AQ558" s="6" t="str">
        <x:v>0.017857142857142856</x:v>
      </x:c>
      <x:c r="AR558" s="6" t="str">
        <x:v>0.27976190476190477</x:v>
      </x:c>
      <x:c r="AS558" s="6" t="str">
        <x:v>With trade</x:v>
      </x:c>
      <x:c r="AT558" s="6" t="str">
        <x:v>3.6454687722293357</x:v>
      </x:c>
      <x:c r="AU558" s="7" t="str">
        <x:v>2025-12-26 08:55:00-06:00</x:v>
      </x:c>
      <x:c r="AV558" s="8" t="str">
        <x:v>1</x:v>
      </x:c>
      <x:c r="AW558" s="6" t="str">
        <x:v>Immediate retest (1 bar)</x:v>
      </x:c>
      <x:c r="AX558" s="6" t="str">
        <x:v>23731.25</x:v>
      </x:c>
      <x:c r="AY558" s="6" t="str">
        <x:v>1.0</x:v>
      </x:c>
      <x:c r="AZ558" s="9" t="str">
        <x:v>0.05816794959050404</x:v>
      </x:c>
      <x:c r="BA558" s="9" t="str">
        <x:v>0.5671375085074144</x:v>
      </x:c>
      <x:c r="BB558" s="9" t="str">
        <x:v>1.1633589918100808</x:v>
      </x:c>
      <x:c r="BC558" s="9" t="str">
        <x:v>0.2908397479525202</x:v>
      </x:c>
      <x:c r="BD558" s="6" t="str">
        <x:v>0.2875</x:v>
      </x:c>
      <x:c r="BE558" s="6" t="str">
        <x:v>0.4625</x:v>
      </x:c>
      <x:c r="BF558" s="9" t="str">
        <x:v>0.3344657101453982</x:v>
      </x:c>
      <x:c r="BG558" s="9" t="str">
        <x:v>0.5380535337121624</x:v>
      </x:c>
      <x:c r="BH558" s="6" t="str">
        <x:v>With trade</x:v>
      </x:c>
      <x:c r="BI558" s="6" t="str">
        <x:v>Penetration + same-bar reclaim</x:v>
      </x:c>
      <x:c r="BJ558" s="6" t="str">
        <x:v>False</x:v>
      </x:c>
      <x:c r="BK558" s="10" t="str">
        <x:v>True</x:v>
      </x:c>
      <x:c r="BL558" s="6" t="str">
        <x:v>True</x:v>
      </x:c>
      <x:c r="BM558" s="7" t="str">
        <x:v>2025-12-26 09:00:00-06:00</x:v>
      </x:c>
      <x:c r="BN558" s="8" t="str">
        <x:v>1</x:v>
      </x:c>
      <x:c r="BO558" s="6" t="str">
        <x:v>Immediate confirmation (1 bar)</x:v>
      </x:c>
      <x:c r="BP558" s="9" t="str">
        <x:v>1.086018770196831</x:v>
      </x:c>
      <x:c r="BQ558" s="9" t="str">
        <x:v>2.3028831753571355</x:v>
      </x:c>
      <x:c r="BR558" s="10" t="str">
        <x:v>0.4715909090909091</x:v>
      </x:c>
      <x:c r="BS558" s="9" t="str">
        <x:v>1.596316746554378</x:v>
      </x:c>
      <x:c r="BT558" s="9" t="str">
        <x:v>1.086018770196831</x:v>
      </x:c>
      <x:c r="BU558" s="9" t="str">
        <x:v>0.15701476195616831</x:v>
      </x:c>
      <x:c r="BV558" s="6" t="str">
        <x:v>With trade</x:v>
      </x:c>
      <x:c r="BW558" s="7" t="str">
        <x:v>2025-12-26 09:00:00-06:00</x:v>
      </x:c>
      <x:c r="BX558" s="6" t="str">
        <x:v>23699.75</x:v>
      </x:c>
      <x:c r="BY558" s="9" t="str">
        <x:v>19.106483763848072</x:v>
      </x:c>
      <x:c r="BZ558" s="9" t="str">
        <x:v>1.0</x:v>
      </x:c>
      <x:c r="CA558" s="6" t="str">
        <x:v>23728.40972564577</x:v>
      </x:c>
      <x:c r="CB558" s="6" t="str">
        <x:v>28.659725645771687</x:v>
      </x:c>
      <x:c r="CC558" s="9" t="str">
        <x:v>1.499999999999978</x:v>
      </x:c>
      <x:c r="CD558" s="6" t="str">
        <x:v>23642.430548708457</x:v>
      </x:c>
      <x:c r="CE558" s="6" t="str">
        <x:v>57.31945129154337</x:v>
      </x:c>
      <x:c r="CF558" s="6" t="str">
        <x:v>Fixed 2.00R target</x:v>
      </x:c>
      <x:c r="CG558" s="9" t="str">
        <x:v>0.025296822759605268</x:v>
      </x:c>
      <x:c r="CH558" s="9" t="str">
        <x:v>-1.0</x:v>
      </x:c>
      <x:c r="CI558" s="9" t="str">
        <x:v>-1.0252968227596053</x:v>
      </x:c>
      <x:c r="CJ558" s="6" t="str">
        <x:v>Loss</x:v>
      </x:c>
      <x:c r="CK558" s="9" t="str">
        <x:v>0.9071964024134304</x:v>
      </x:c>
      <x:c r="CL558" s="9" t="str">
        <x:v>1.2386720109875684</x:v>
      </x:c>
      <x:c r="CM558" s="7" t="str">
        <x:v>2025-12-26 09:30:00-06:00</x:v>
      </x:c>
      <x:c r="CN558" s="6" t="str">
        <x:v>23728.40972564577</x:v>
      </x:c>
      <x:c r="CO558" s="6" t="str">
        <x:v>STOP</x:v>
      </x:c>
      <x:c r="CP558" s="6" t="str">
        <x:v>F::Short::Same-bar Setup+BOS::Penetration + same-bar reclaim</x:v>
      </x:c>
    </x:row>
    <x:row r="559" ht="18" customHeight="1">
      <x:c r="A559" s="6" t="str">
        <x:v>A0558</x:v>
      </x:c>
      <x:c r="B559" s="6" t="str">
        <x:v>2025-12-29</x:v>
      </x:c>
      <x:c r="C559" s="6" t="str">
        <x:v>2025</x:v>
      </x:c>
      <x:c r="D559" s="6" t="str">
        <x:v>2025-Q4</x:v>
      </x:c>
      <x:c r="E559" s="6" t="str">
        <x:v>Second 50%</x:v>
      </x:c>
      <x:c r="F559" s="6" t="str">
        <x:v>Long</x:v>
      </x:c>
      <x:c r="G559" s="6" t="str">
        <x:v>Long</x:v>
      </x:c>
      <x:c r="H559" s="6" t="str">
        <x:v>Overnight</x:v>
      </x:c>
      <x:c r="I559" s="6" t="str">
        <x:v>Overnight</x:v>
      </x:c>
      <x:c r="J559" s="6" t="str">
        <x:v>Bear</x:v>
      </x:c>
      <x:c r="K559" s="6" t="str">
        <x:v>Bear</x:v>
      </x:c>
      <x:c r="L559" s="6" t="str">
        <x:v>LOW</x:v>
      </x:c>
      <x:c r="M559" s="7" t="str">
        <x:v>2025-12-29 21:30:00-06:00</x:v>
      </x:c>
      <x:c r="N559" s="6" t="str">
        <x:v>90.0</x:v>
      </x:c>
      <x:c r="O559" s="6" t="str">
        <x:v>90-94</x:v>
      </x:c>
      <x:c r="P559" s="6" t="str">
        <x:v>Matching BOS only</x:v>
      </x:c>
      <x:c r="Q559" s="6" t="str">
        <x:v>Bull CHoCH</x:v>
      </x:c>
      <x:c r="R559" s="6" t="str">
        <x:v>True</x:v>
      </x:c>
      <x:c r="S559" s="6" t="str">
        <x:v>False</x:v>
      </x:c>
      <x:c r="T559" s="6" t="str">
        <x:v>Recent SSL</x:v>
      </x:c>
      <x:c r="U559" s="6" t="str">
        <x:v>SSL</x:v>
      </x:c>
      <x:c r="V559" s="6" t="str">
        <x:v>Swing low / sell-side</x:v>
      </x:c>
      <x:c r="W559" s="6" t="str">
        <x:v>[23542.0]</x:v>
      </x:c>
      <x:c r="X559" s="8" t="str">
        <x:v>1</x:v>
      </x:c>
      <x:c r="Y559" s="8" t="str">
        <x:v>9.0</x:v>
      </x:c>
      <x:c r="Z559" s="6" t="str">
        <x:v>None</x:v>
      </x:c>
      <x:c r="AA559" s="6" t="str">
        <x:v>23568.0</x:v>
      </x:c>
      <x:c r="AB559" s="9" t="str">
        <x:v>1.3221900360981964</x:v>
      </x:c>
      <x:c r="AC559" s="9" t="str">
        <x:v>1.9986593568926225</x:v>
      </x:c>
      <x:c r="AD559" s="9" t="str">
        <x:v>2.367642622780491</x:v>
      </x:c>
      <x:c r="AE559" s="6" t="str">
        <x:v>With trade</x:v>
      </x:c>
      <x:c r="AF559" s="7" t="str">
        <x:v>2025-12-29 21:30:00-06:00</x:v>
      </x:c>
      <x:c r="AG559" s="6" t="str">
        <x:v>Long</x:v>
      </x:c>
      <x:c r="AH559" s="6" t="str">
        <x:v>23568.0</x:v>
      </x:c>
      <x:c r="AI559" s="8" t="str">
        <x:v>0</x:v>
      </x:c>
      <x:c r="AJ559" s="6" t="str">
        <x:v>True</x:v>
      </x:c>
      <x:c r="AK559" s="6" t="str">
        <x:v>Same-bar Setup+BOS</x:v>
      </x:c>
      <x:c r="AL559" s="9" t="str">
        <x:v>1.9679107514019667</x:v>
      </x:c>
      <x:c r="AM559" s="9" t="str">
        <x:v>1.3221900360981964</x:v>
      </x:c>
      <x:c r="AN559" s="9" t="str">
        <x:v>1.9986593568926225</x:v>
      </x:c>
      <x:c r="AO559" s="9" t="str">
        <x:v>2.367642622780491</x:v>
      </x:c>
      <x:c r="AP559" s="10" t="str">
        <x:v>0.8441558441558441</x:v>
      </x:c>
      <x:c r="AQ559" s="6" t="str">
        <x:v>0.14285714285714285</x:v>
      </x:c>
      <x:c r="AR559" s="6" t="str">
        <x:v>0.012987012987012988</x:v>
      </x:c>
      <x:c r="AS559" s="6" t="str">
        <x:v>With trade</x:v>
      </x:c>
      <x:c r="AT559" s="6" t="str">
        <x:v>2.8330733229329175</x:v>
      </x:c>
      <x:c r="AU559" s="7" t="str">
        <x:v>2025-12-29 22:00:00-06:00</x:v>
      </x:c>
      <x:c r="AV559" s="8" t="str">
        <x:v>6</x:v>
      </x:c>
      <x:c r="AW559" s="6" t="str">
        <x:v>Delayed retest (2+ bars)</x:v>
      </x:c>
      <x:c r="AX559" s="6" t="str">
        <x:v>23568.5</x:v>
      </x:c>
      <x:c r="AY559" s="6" t="str">
        <x:v>0.0</x:v>
      </x:c>
      <x:c r="AZ559" s="9" t="str">
        <x:v>0.0</x:v>
      </x:c>
      <x:c r="BA559" s="9" t="str">
        <x:v>1.1214237924353954</x:v>
      </x:c>
      <x:c r="BB559" s="9" t="str">
        <x:v>1.0554576869980192</x:v>
      </x:c>
      <x:c r="BC559" s="9" t="str">
        <x:v>0.0989491581560643</x:v>
      </x:c>
      <x:c r="BD559" s="6" t="str">
        <x:v>0.0</x:v>
      </x:c>
      <x:c r="BE559" s="6" t="str">
        <x:v>0.90625</x:v>
      </x:c>
      <x:c r="BF559" s="9" t="str">
        <x:v>0.9565085288419549</x:v>
      </x:c>
      <x:c r="BG559" s="9" t="str">
        <x:v>0.0</x:v>
      </x:c>
      <x:c r="BH559" s="6" t="str">
        <x:v>With trade</x:v>
      </x:c>
      <x:c r="BI559" s="6" t="str">
        <x:v>Tolerance-only shallow touch</x:v>
      </x:c>
      <x:c r="BJ559" s="6" t="str">
        <x:v>True</x:v>
      </x:c>
      <x:c r="BK559" s="10" t="str">
        <x:v>False</x:v>
      </x:c>
      <x:c r="BL559" s="6" t="str">
        <x:v>True</x:v>
      </x:c>
      <x:c r="BM559" s="7" t="str">
        <x:v>2025-12-29 22:05:00-06:00</x:v>
      </x:c>
      <x:c r="BN559" s="8" t="str">
        <x:v>1</x:v>
      </x:c>
      <x:c r="BO559" s="6" t="str">
        <x:v>Immediate confirmation (1 bar)</x:v>
      </x:c>
      <x:c r="BP559" s="9" t="str">
        <x:v>0.90293077895268</x:v>
      </x:c>
      <x:c r="BQ559" s="9" t="str">
        <x:v>1.289901112789543</x:v>
      </x:c>
      <x:c r="BR559" s="10" t="str">
        <x:v>0.7</x:v>
      </x:c>
      <x:c r="BS559" s="9" t="str">
        <x:v>1.967099197004053</x:v>
      </x:c>
      <x:c r="BT559" s="9" t="str">
        <x:v>0.8706832511329415</x:v>
      </x:c>
      <x:c r="BU559" s="9" t="str">
        <x:v>0.09674258345921573</x:v>
      </x:c>
      <x:c r="BV559" s="6" t="str">
        <x:v>With trade</x:v>
      </x:c>
      <x:c r="BW559" s="7" t="str">
        <x:v>2025-12-29 22:05:00-06:00</x:v>
      </x:c>
      <x:c r="BX559" s="6" t="str">
        <x:v>23583.25</x:v>
      </x:c>
      <x:c r="BY559" s="9" t="str">
        <x:v>7.752532268441864</x:v>
      </x:c>
      <x:c r="BZ559" s="9" t="str">
        <x:v>0.06</x:v>
      </x:c>
      <x:c r="CA559" s="6" t="str">
        <x:v>23571.621201597336</x:v>
      </x:c>
      <x:c r="CB559" s="6" t="str">
        <x:v>11.62879840266396</x:v>
      </x:c>
      <x:c r="CC559" s="9" t="str">
        <x:v>1.5000000000001503</x:v>
      </x:c>
      <x:c r="CD559" s="6" t="str">
        <x:v>23606.507596805324</x:v>
      </x:c>
      <x:c r="CE559" s="6" t="str">
        <x:v>23.257596805324283</x:v>
      </x:c>
      <x:c r="CF559" s="6" t="str">
        <x:v>Fixed 2.00R target</x:v>
      </x:c>
      <x:c r="CG559" s="9" t="str">
        <x:v>0.06234522045148833</x:v>
      </x:c>
      <x:c r="CH559" s="9" t="str">
        <x:v>0.3654719819570372</x:v>
      </x:c>
      <x:c r="CI559" s="9" t="str">
        <x:v>0.30312676150554885</x:v>
      </x:c>
      <x:c r="CJ559" s="6" t="str">
        <x:v>Win</x:v>
      </x:c>
      <x:c r="CK559" s="9" t="str">
        <x:v>0.9674258345920603</x:v>
      </x:c>
      <x:c r="CL559" s="9" t="str">
        <x:v>0.3654719819570006</x:v>
      </x:c>
      <x:c r="CM559" s="7" t="str">
        <x:v>2025-12-29 23:05:00-06:00</x:v>
      </x:c>
      <x:c r="CN559" s="6" t="str">
        <x:v>23587.5</x:v>
      </x:c>
      <x:c r="CO559" s="6" t="str">
        <x:v>TIME</x:v>
      </x:c>
      <x:c r="CP559" s="6" t="str">
        <x:v>F::Long::Same-bar Setup+BOS::Tolerance-only shallow touch</x:v>
      </x:c>
    </x:row>
    <x:row r="560" ht="18" customHeight="1">
      <x:c r="A560" s="6" t="str">
        <x:v>A0559</x:v>
      </x:c>
      <x:c r="B560" s="6" t="str">
        <x:v>2025-12-30</x:v>
      </x:c>
      <x:c r="C560" s="6" t="str">
        <x:v>2025</x:v>
      </x:c>
      <x:c r="D560" s="6" t="str">
        <x:v>2025-Q4</x:v>
      </x:c>
      <x:c r="E560" s="6" t="str">
        <x:v>Second 50%</x:v>
      </x:c>
      <x:c r="F560" s="6" t="str">
        <x:v>Short</x:v>
      </x:c>
      <x:c r="G560" s="6" t="str">
        <x:v>Short</x:v>
      </x:c>
      <x:c r="H560" s="6" t="str">
        <x:v>Premarket</x:v>
      </x:c>
      <x:c r="I560" s="6" t="str">
        <x:v>Premarket</x:v>
      </x:c>
      <x:c r="J560" s="6" t="str">
        <x:v>Bear</x:v>
      </x:c>
      <x:c r="K560" s="6" t="str">
        <x:v>Bear</x:v>
      </x:c>
      <x:c r="L560" s="6" t="str">
        <x:v>HIGH</x:v>
      </x:c>
      <x:c r="M560" s="7" t="str">
        <x:v>2025-12-30 07:35:00-06:00</x:v>
      </x:c>
      <x:c r="N560" s="6" t="str">
        <x:v>90.0</x:v>
      </x:c>
      <x:c r="O560" s="6" t="str">
        <x:v>90-94</x:v>
      </x:c>
      <x:c r="P560" s="6" t="str">
        <x:v>Matching BOS only</x:v>
      </x:c>
      <x:c r="Q560" s="6" t="str">
        <x:v>Bear BOS</x:v>
      </x:c>
      <x:c r="R560" s="6" t="str">
        <x:v>True</x:v>
      </x:c>
      <x:c r="S560" s="6" t="str">
        <x:v>False</x:v>
      </x:c>
      <x:c r="T560" s="6" t="str">
        <x:v>Recent BSL</x:v>
      </x:c>
      <x:c r="U560" s="6" t="str">
        <x:v>BSL</x:v>
      </x:c>
      <x:c r="V560" s="6" t="str">
        <x:v>Swing high / buy-side</x:v>
      </x:c>
      <x:c r="W560" s="6" t="str">
        <x:v>[23583.0]</x:v>
      </x:c>
      <x:c r="X560" s="8" t="str">
        <x:v>1</x:v>
      </x:c>
      <x:c r="Y560" s="8" t="str">
        <x:v>3.0</x:v>
      </x:c>
      <x:c r="Z560" s="6" t="str">
        <x:v>None</x:v>
      </x:c>
      <x:c r="AA560" s="6" t="str">
        <x:v>23551.75</x:v>
      </x:c>
      <x:c r="AB560" s="9" t="str">
        <x:v>1.1472843205470786</x:v>
      </x:c>
      <x:c r="AC560" s="9" t="str">
        <x:v>1.632673840778535</x:v>
      </x:c>
      <x:c r="AD560" s="9" t="str">
        <x:v>2.0077475609573874</x:v>
      </x:c>
      <x:c r="AE560" s="6" t="str">
        <x:v>With trade</x:v>
      </x:c>
      <x:c r="AF560" s="7" t="str">
        <x:v>2025-12-30 07:35:00-06:00</x:v>
      </x:c>
      <x:c r="AG560" s="6" t="str">
        <x:v>Short</x:v>
      </x:c>
      <x:c r="AH560" s="6" t="str">
        <x:v>23551.75</x:v>
      </x:c>
      <x:c r="AI560" s="8" t="str">
        <x:v>0</x:v>
      </x:c>
      <x:c r="AJ560" s="6" t="str">
        <x:v>True</x:v>
      </x:c>
      <x:c r="AK560" s="6" t="str">
        <x:v>Same-bar Setup+BOS</x:v>
      </x:c>
      <x:c r="AL560" s="9" t="str">
        <x:v>1.5885475207574935</x:v>
      </x:c>
      <x:c r="AM560" s="9" t="str">
        <x:v>1.1472843205470786</x:v>
      </x:c>
      <x:c r="AN560" s="9" t="str">
        <x:v>1.632673840778535</x:v>
      </x:c>
      <x:c r="AO560" s="9" t="str">
        <x:v>2.0077475609573874</x:v>
      </x:c>
      <x:c r="AP560" s="10" t="str">
        <x:v>0.8131868131868132</x:v>
      </x:c>
      <x:c r="AQ560" s="6" t="str">
        <x:v>0.06593406593406594</x:v>
      </x:c>
      <x:c r="AR560" s="6" t="str">
        <x:v>0.12087912087912088</x:v>
      </x:c>
      <x:c r="AS560" s="6" t="str">
        <x:v>With trade</x:v>
      </x:c>
      <x:c r="AT560" s="6" t="str">
        <x:v>3.20539585675285</x:v>
      </x:c>
      <x:c r="AU560" s="7" t="str">
        <x:v>2025-12-30 07:45:00-06:00</x:v>
      </x:c>
      <x:c r="AV560" s="8" t="str">
        <x:v>2</x:v>
      </x:c>
      <x:c r="AW560" s="6" t="str">
        <x:v>Delayed retest (2+ bars)</x:v>
      </x:c>
      <x:c r="AX560" s="6" t="str">
        <x:v>23551.5</x:v>
      </x:c>
      <x:c r="AY560" s="6" t="str">
        <x:v>0.0</x:v>
      </x:c>
      <x:c r="AZ560" s="9" t="str">
        <x:v>0.0</x:v>
      </x:c>
      <x:c r="BA560" s="9" t="str">
        <x:v>1.0676744921526575</x:v>
      </x:c>
      <x:c r="BB560" s="9" t="str">
        <x:v>1.0676744921526575</x:v>
      </x:c>
      <x:c r="BC560" s="9" t="str">
        <x:v>0.6406046952915946</x:v>
      </x:c>
      <x:c r="BD560" s="6" t="str">
        <x:v>0.38</x:v>
      </x:c>
      <x:c r="BE560" s="6" t="str">
        <x:v>0.02</x:v>
      </x:c>
      <x:c r="BF560" s="9" t="str">
        <x:v>0.40571630701800987</x:v>
      </x:c>
      <x:c r="BG560" s="9" t="str">
        <x:v>0.02135348984305315</x:v>
      </x:c>
      <x:c r="BH560" s="6" t="str">
        <x:v>With trade</x:v>
      </x:c>
      <x:c r="BI560" s="6" t="str">
        <x:v>Tolerance-only shallow touch</x:v>
      </x:c>
      <x:c r="BJ560" s="6" t="str">
        <x:v>True</x:v>
      </x:c>
      <x:c r="BK560" s="10" t="str">
        <x:v>False</x:v>
      </x:c>
      <x:c r="BL560" s="6" t="str">
        <x:v>True</x:v>
      </x:c>
      <x:c r="BM560" s="7" t="str">
        <x:v>2025-12-30 07:50:00-06:00</x:v>
      </x:c>
      <x:c r="BN560" s="8" t="str">
        <x:v>1</x:v>
      </x:c>
      <x:c r="BO560" s="6" t="str">
        <x:v>Immediate confirmation (1 bar)</x:v>
      </x:c>
      <x:c r="BP560" s="9" t="str">
        <x:v>0.38662179132323643</x:v>
      </x:c>
      <x:c r="BQ560" s="9" t="str">
        <x:v>0.9235965014943982</x:v>
      </x:c>
      <x:c r="BR560" s="10" t="str">
        <x:v>0.4186046511627907</x:v>
      </x:c>
      <x:c r="BS560" s="9" t="str">
        <x:v>1.4390922232587133</x:v>
      </x:c>
      <x:c r="BT560" s="9" t="str">
        <x:v>0.36514280291638995</x:v>
      </x:c>
      <x:c r="BU560" s="9" t="str">
        <x:v>0.17183190725477174</x:v>
      </x:c>
      <x:c r="BV560" s="6" t="str">
        <x:v>With trade</x:v>
      </x:c>
      <x:c r="BW560" s="7" t="str">
        <x:v>2025-12-30 07:50:00-06:00</x:v>
      </x:c>
      <x:c r="BX560" s="6" t="str">
        <x:v>23535.0</x:v>
      </x:c>
      <x:c r="BY560" s="9" t="str">
        <x:v>11.639281853716724</x:v>
      </x:c>
      <x:c r="BZ560" s="9" t="str">
        <x:v>0.98</x:v>
      </x:c>
      <x:c r="CA560" s="6" t="str">
        <x:v>23552.458922780574</x:v>
      </x:c>
      <x:c r="CB560" s="6" t="str">
        <x:v>17.45892278057363</x:v>
      </x:c>
      <x:c r="CC560" s="9" t="str">
        <x:v>1.4999999999998748</x:v>
      </x:c>
      <x:c r="CD560" s="6" t="str">
        <x:v>23500.08215443885</x:v>
      </x:c>
      <x:c r="CE560" s="6" t="str">
        <x:v>34.9178455611509</x:v>
      </x:c>
      <x:c r="CF560" s="6" t="str">
        <x:v>Fixed 2.00R target</x:v>
      </x:c>
      <x:c r="CG560" s="9" t="str">
        <x:v>0.04152604425323997</x:v>
      </x:c>
      <x:c r="CH560" s="9" t="str">
        <x:v>-1.0</x:v>
      </x:c>
      <x:c r="CI560" s="9" t="str">
        <x:v>-1.04152604425324</x:v>
      </x:c>
      <x:c r="CJ560" s="6" t="str">
        <x:v>Loss</x:v>
      </x:c>
      <x:c r="CK560" s="9" t="str">
        <x:v>0.07159662802282754</x:v>
      </x:c>
      <x:c r="CL560" s="9" t="str">
        <x:v>1.1169073971561096</x:v>
      </x:c>
      <x:c r="CM560" s="7" t="str">
        <x:v>2025-12-30 07:55:00-06:00</x:v>
      </x:c>
      <x:c r="CN560" s="6" t="str">
        <x:v>23552.458922780574</x:v>
      </x:c>
      <x:c r="CO560" s="6" t="str">
        <x:v>STOP</x:v>
      </x:c>
      <x:c r="CP560" s="6" t="str">
        <x:v>F::Short::Same-bar Setup+BOS::Tolerance-only shallow touch</x:v>
      </x:c>
    </x:row>
    <x:row r="561" ht="18" customHeight="1">
      <x:c r="A561" s="6" t="str">
        <x:v>A0560</x:v>
      </x:c>
      <x:c r="B561" s="6" t="str">
        <x:v>2025-12-30</x:v>
      </x:c>
      <x:c r="C561" s="6" t="str">
        <x:v>2025</x:v>
      </x:c>
      <x:c r="D561" s="6" t="str">
        <x:v>2025-Q4</x:v>
      </x:c>
      <x:c r="E561" s="6" t="str">
        <x:v>Second 50%</x:v>
      </x:c>
      <x:c r="F561" s="6" t="str">
        <x:v>Short</x:v>
      </x:c>
      <x:c r="G561" s="6" t="str">
        <x:v>Short</x:v>
      </x:c>
      <x:c r="H561" s="6" t="str">
        <x:v>Afternoon</x:v>
      </x:c>
      <x:c r="I561" s="6" t="str">
        <x:v>Midday</x:v>
      </x:c>
      <x:c r="J561" s="6" t="str">
        <x:v>Bear</x:v>
      </x:c>
      <x:c r="K561" s="6" t="str">
        <x:v>Bear</x:v>
      </x:c>
      <x:c r="L561" s="6" t="str">
        <x:v>LOW</x:v>
      </x:c>
      <x:c r="M561" s="7" t="str">
        <x:v>2025-12-30 13:50:00-06:00</x:v>
      </x:c>
      <x:c r="N561" s="6" t="str">
        <x:v>85.0</x:v>
      </x:c>
      <x:c r="O561" s="6" t="str">
        <x:v>85-89</x:v>
      </x:c>
      <x:c r="P561" s="6" t="str">
        <x:v>Matching BOS only</x:v>
      </x:c>
      <x:c r="Q561" s="6" t="str">
        <x:v>Bear CHoCH</x:v>
      </x:c>
      <x:c r="R561" s="6" t="str">
        <x:v>True</x:v>
      </x:c>
      <x:c r="S561" s="6" t="str">
        <x:v>False</x:v>
      </x:c>
      <x:c r="T561" s="6" t="str">
        <x:v>Recent BSL</x:v>
      </x:c>
      <x:c r="U561" s="6" t="str">
        <x:v>BSL</x:v>
      </x:c>
      <x:c r="V561" s="6" t="str">
        <x:v>Swing high / buy-side</x:v>
      </x:c>
      <x:c r="W561" s="6" t="str">
        <x:v>[23578.5]</x:v>
      </x:c>
      <x:c r="X561" s="8" t="str">
        <x:v>1</x:v>
      </x:c>
      <x:c r="Y561" s="8" t="str">
        <x:v>17.0</x:v>
      </x:c>
      <x:c r="Z561" s="6" t="str">
        <x:v>None</x:v>
      </x:c>
      <x:c r="AA561" s="6" t="str">
        <x:v>23554.0</x:v>
      </x:c>
      <x:c r="AB561" s="9" t="str">
        <x:v>0.04072847531137794</x:v>
      </x:c>
      <x:c r="AC561" s="9" t="str">
        <x:v>0.24437085186826765</x:v>
      </x:c>
      <x:c r="AD561" s="9" t="str">
        <x:v>1.2014900216856492</x:v>
      </x:c>
      <x:c r="AE561" s="6" t="str">
        <x:v>With trade</x:v>
      </x:c>
      <x:c r="AF561" s="7" t="str">
        <x:v>2025-12-30 13:50:00-06:00</x:v>
      </x:c>
      <x:c r="AG561" s="6" t="str">
        <x:v>Short</x:v>
      </x:c>
      <x:c r="AH561" s="6" t="str">
        <x:v>23554.0</x:v>
      </x:c>
      <x:c r="AI561" s="8" t="str">
        <x:v>0</x:v>
      </x:c>
      <x:c r="AJ561" s="6" t="str">
        <x:v>True</x:v>
      </x:c>
      <x:c r="AK561" s="6" t="str">
        <x:v>Same-bar Setup+BOS</x:v>
      </x:c>
      <x:c r="AL561" s="9" t="str">
        <x:v>0.20364237655688971</x:v>
      </x:c>
      <x:c r="AM561" s="9" t="str">
        <x:v>0.04072847531137794</x:v>
      </x:c>
      <x:c r="AN561" s="9" t="str">
        <x:v>0.24437085186826765</x:v>
      </x:c>
      <x:c r="AO561" s="9" t="str">
        <x:v>1.2014900216856492</x:v>
      </x:c>
      <x:c r="AP561" s="10" t="str">
        <x:v>0.2033898305084746</x:v>
      </x:c>
      <x:c r="AQ561" s="6" t="str">
        <x:v>0.22033898305084745</x:v>
      </x:c>
      <x:c r="AR561" s="6" t="str">
        <x:v>0.576271186440678</x:v>
      </x:c>
      <x:c r="AS561" s="6" t="str">
        <x:v>With trade</x:v>
      </x:c>
      <x:c r="AT561" s="6" t="str">
        <x:v>1.4596491228070176</x:v>
      </x:c>
      <x:c r="AU561" s="7" t="str">
        <x:v>2025-12-30 13:55:00-06:00</x:v>
      </x:c>
      <x:c r="AV561" s="8" t="str">
        <x:v>1</x:v>
      </x:c>
      <x:c r="AW561" s="6" t="str">
        <x:v>Immediate retest (1 bar)</x:v>
      </x:c>
      <x:c r="AX561" s="6" t="str">
        <x:v>23554.25</x:v>
      </x:c>
      <x:c r="AY561" s="6" t="str">
        <x:v>0.25</x:v>
      </x:c>
      <x:c r="AZ561" s="9" t="str">
        <x:v>0.020915063694039795</x:v>
      </x:c>
      <x:c r="BA561" s="9" t="str">
        <x:v>0.20915063694039795</x:v>
      </x:c>
      <x:c r="BB561" s="9" t="str">
        <x:v>0.6483669745152336</x:v>
      </x:c>
      <x:c r="BC561" s="9" t="str">
        <x:v>0.16732050955231836</x:v>
      </x:c>
      <x:c r="BD561" s="6" t="str">
        <x:v>0.0967741935483871</x:v>
      </x:c>
      <x:c r="BE561" s="6" t="str">
        <x:v>0.6451612903225806</x:v>
      </x:c>
      <x:c r="BF561" s="9" t="str">
        <x:v>0.06274519108211939</x:v>
      </x:c>
      <x:c r="BG561" s="9" t="str">
        <x:v>0.4183012738807959</x:v>
      </x:c>
      <x:c r="BH561" s="6" t="str">
        <x:v>With trade</x:v>
      </x:c>
      <x:c r="BI561" s="6" t="str">
        <x:v>Penetration + same-bar reclaim</x:v>
      </x:c>
      <x:c r="BJ561" s="6" t="str">
        <x:v>False</x:v>
      </x:c>
      <x:c r="BK561" s="10" t="str">
        <x:v>True</x:v>
      </x:c>
      <x:c r="BL561" s="6" t="str">
        <x:v>True</x:v>
      </x:c>
      <x:c r="BM561" s="7" t="str">
        <x:v>2025-12-30 14:05:00-06:00</x:v>
      </x:c>
      <x:c r="BN561" s="8" t="str">
        <x:v>2</x:v>
      </x:c>
      <x:c r="BO561" s="6" t="str">
        <x:v>Delayed confirmation (2+ bars)</x:v>
      </x:c>
      <x:c r="BP561" s="9" t="str">
        <x:v>0.8552135914651334</x:v>
      </x:c>
      <x:c r="BQ561" s="9" t="str">
        <x:v>1.2828203871977002</x:v>
      </x:c>
      <x:c r="BR561" s="10" t="str">
        <x:v>0.6666666666666666</x:v>
      </x:c>
      <x:c r="BS561" s="9" t="str">
        <x:v>1.1759186882645585</x:v>
      </x:c>
      <x:c r="BT561" s="9" t="str">
        <x:v>0.9621152903982751</x:v>
      </x:c>
      <x:c r="BU561" s="9" t="str">
        <x:v>0.10690169893314168</x:v>
      </x:c>
      <x:c r="BV561" s="6" t="str">
        <x:v>With trade</x:v>
      </x:c>
      <x:c r="BW561" s="7" t="str">
        <x:v>2025-12-30 14:05:00-06:00</x:v>
      </x:c>
      <x:c r="BX561" s="6" t="str">
        <x:v>23540.25</x:v>
      </x:c>
      <x:c r="BY561" s="9" t="str">
        <x:v>11.692985354533732</x:v>
      </x:c>
      <x:c r="BZ561" s="9" t="str">
        <x:v>0.27</x:v>
      </x:c>
      <x:c r="CA561" s="6" t="str">
        <x:v>23557.789478031802</x:v>
      </x:c>
      <x:c r="CB561" s="6" t="str">
        <x:v>17.53947803180199</x:v>
      </x:c>
      <x:c r="CC561" s="9" t="str">
        <x:v>1.500000000000119</x:v>
      </x:c>
      <x:c r="CD561" s="6" t="str">
        <x:v>23505.1710439364</x:v>
      </x:c>
      <x:c r="CE561" s="6" t="str">
        <x:v>35.078956063600344</x:v>
      </x:c>
      <x:c r="CF561" s="6" t="str">
        <x:v>Fixed 2.00R target</x:v>
      </x:c>
      <x:c r="CG561" s="9" t="str">
        <x:v>0.04133532358747817</x:v>
      </x:c>
      <x:c r="CH561" s="9" t="str">
        <x:v>1.0690169893314168</x:v>
      </x:c>
      <x:c r="CI561" s="9" t="str">
        <x:v>1.0276816657439385</x:v>
      </x:c>
      <x:c r="CJ561" s="6" t="str">
        <x:v>Win</x:v>
      </x:c>
      <x:c r="CK561" s="9" t="str">
        <x:v>1.852962781507642</x:v>
      </x:c>
      <x:c r="CL561" s="9" t="str">
        <x:v>0.9692420703270743</x:v>
      </x:c>
      <x:c r="CM561" s="7" t="str">
        <x:v>2025-12-30 15:05:00-06:00</x:v>
      </x:c>
      <x:c r="CN561" s="6" t="str">
        <x:v>23521.5</x:v>
      </x:c>
      <x:c r="CO561" s="6" t="str">
        <x:v>TIME</x:v>
      </x:c>
      <x:c r="CP561" s="6" t="str">
        <x:v>F::Short::Same-bar Setup+BOS::Penetration + same-bar reclaim</x:v>
      </x:c>
    </x:row>
    <x:row r="562" ht="18" customHeight="1">
      <x:c r="A562" s="6" t="str">
        <x:v>A0561</x:v>
      </x:c>
      <x:c r="B562" s="6" t="str">
        <x:v>2025-12-30</x:v>
      </x:c>
      <x:c r="C562" s="6" t="str">
        <x:v>2025</x:v>
      </x:c>
      <x:c r="D562" s="6" t="str">
        <x:v>2025-Q4</x:v>
      </x:c>
      <x:c r="E562" s="6" t="str">
        <x:v>Second 50%</x:v>
      </x:c>
      <x:c r="F562" s="6" t="str">
        <x:v>Short</x:v>
      </x:c>
      <x:c r="G562" s="6" t="str">
        <x:v>Short</x:v>
      </x:c>
      <x:c r="H562" s="6" t="str">
        <x:v>Overnight</x:v>
      </x:c>
      <x:c r="I562" s="6" t="str">
        <x:v>Overnight</x:v>
      </x:c>
      <x:c r="J562" s="6" t="str">
        <x:v>Bear</x:v>
      </x:c>
      <x:c r="K562" s="6" t="str">
        <x:v>Bear</x:v>
      </x:c>
      <x:c r="L562" s="6" t="str">
        <x:v>LOW</x:v>
      </x:c>
      <x:c r="M562" s="7" t="str">
        <x:v>2025-12-30 23:35:00-06:00</x:v>
      </x:c>
      <x:c r="N562" s="6" t="str">
        <x:v>90.0</x:v>
      </x:c>
      <x:c r="O562" s="6" t="str">
        <x:v>90-94</x:v>
      </x:c>
      <x:c r="P562" s="6" t="str">
        <x:v>Matching BOS only</x:v>
      </x:c>
      <x:c r="Q562" s="6" t="str">
        <x:v>Bear BOS</x:v>
      </x:c>
      <x:c r="R562" s="6" t="str">
        <x:v>True</x:v>
      </x:c>
      <x:c r="S562" s="6" t="str">
        <x:v>False</x:v>
      </x:c>
      <x:c r="T562" s="6" t="str">
        <x:v>Recent BSL</x:v>
      </x:c>
      <x:c r="U562" s="6" t="str">
        <x:v>BSL</x:v>
      </x:c>
      <x:c r="V562" s="6" t="str">
        <x:v>Swing high / buy-side</x:v>
      </x:c>
      <x:c r="W562" s="6" t="str">
        <x:v>[23473.0]</x:v>
      </x:c>
      <x:c r="X562" s="8" t="str">
        <x:v>1</x:v>
      </x:c>
      <x:c r="Y562" s="8" t="str">
        <x:v>16.0</x:v>
      </x:c>
      <x:c r="Z562" s="6" t="str">
        <x:v>None</x:v>
      </x:c>
      <x:c r="AA562" s="6" t="str">
        <x:v>23453.5</x:v>
      </x:c>
      <x:c r="AB562" s="9" t="str">
        <x:v>0.17962617277042944</x:v>
      </x:c>
      <x:c r="AC562" s="9" t="str">
        <x:v>1.5088598512716074</x:v>
      </x:c>
      <x:c r="AD562" s="9" t="str">
        <x:v>1.8681121968124663</x:v>
      </x:c>
      <x:c r="AE562" s="6" t="str">
        <x:v>With trade</x:v>
      </x:c>
      <x:c r="AF562" s="7" t="str">
        <x:v>2025-12-30 23:35:00-06:00</x:v>
      </x:c>
      <x:c r="AG562" s="6" t="str">
        <x:v>Short</x:v>
      </x:c>
      <x:c r="AH562" s="6" t="str">
        <x:v>23453.5</x:v>
      </x:c>
      <x:c r="AI562" s="8" t="str">
        <x:v>0</x:v>
      </x:c>
      <x:c r="AJ562" s="6" t="str">
        <x:v>True</x:v>
      </x:c>
      <x:c r="AK562" s="6" t="str">
        <x:v>Same-bar Setup+BOS</x:v>
      </x:c>
      <x:c r="AL562" s="9" t="str">
        <x:v>1.7244112585961229</x:v>
      </x:c>
      <x:c r="AM562" s="9" t="str">
        <x:v>0.17962617277042944</x:v>
      </x:c>
      <x:c r="AN562" s="9" t="str">
        <x:v>1.5088598512716074</x:v>
      </x:c>
      <x:c r="AO562" s="9" t="str">
        <x:v>1.8681121968124663</x:v>
      </x:c>
      <x:c r="AP562" s="10" t="str">
        <x:v>0.8076923076923077</x:v>
      </x:c>
      <x:c r="AQ562" s="6" t="str">
        <x:v>0.09615384615384616</x:v>
      </x:c>
      <x:c r="AR562" s="6" t="str">
        <x:v>0.09615384615384616</x:v>
      </x:c>
      <x:c r="AS562" s="6" t="str">
        <x:v>With trade</x:v>
      </x:c>
      <x:c r="AT562" s="6" t="str">
        <x:v>1.4487079091620987</x:v>
      </x:c>
      <x:c r="AU562" s="7" t="str">
        <x:v>2025-12-30 23:40:00-06:00</x:v>
      </x:c>
      <x:c r="AV562" s="8" t="str">
        <x:v>1</x:v>
      </x:c>
      <x:c r="AW562" s="6" t="str">
        <x:v>Immediate retest (1 bar)</x:v>
      </x:c>
      <x:c r="AX562" s="6" t="str">
        <x:v>23455.25</x:v>
      </x:c>
      <x:c r="AY562" s="6" t="str">
        <x:v>1.75</x:v>
      </x:c>
      <x:c r="AZ562" s="9" t="str">
        <x:v>0.2500876366271675</x:v>
      </x:c>
      <x:c r="BA562" s="9" t="str">
        <x:v>0.2500876366271675</x:v>
      </x:c>
      <x:c r="BB562" s="9" t="str">
        <x:v>1.071804156973575</x:v>
      </x:c>
      <x:c r="BC562" s="9" t="str">
        <x:v>0.14290722092981</x:v>
      </x:c>
      <x:c r="BD562" s="6" t="str">
        <x:v>0.4666666666666667</x:v>
      </x:c>
      <x:c r="BE562" s="6" t="str">
        <x:v>0.4</x:v>
      </x:c>
      <x:c r="BF562" s="9" t="str">
        <x:v>0.500175273254335</x:v>
      </x:c>
      <x:c r="BG562" s="9" t="str">
        <x:v>0.42872166278942997</x:v>
      </x:c>
      <x:c r="BH562" s="6" t="str">
        <x:v>Against trade</x:v>
      </x:c>
      <x:c r="BI562" s="6" t="str">
        <x:v>Penetration + same-bar reclaim</x:v>
      </x:c>
      <x:c r="BJ562" s="6" t="str">
        <x:v>False</x:v>
      </x:c>
      <x:c r="BK562" s="10" t="str">
        <x:v>True</x:v>
      </x:c>
      <x:c r="BL562" s="6" t="str">
        <x:v>True</x:v>
      </x:c>
      <x:c r="BM562" s="7" t="str">
        <x:v>2025-12-30 23:45:00-06:00</x:v>
      </x:c>
      <x:c r="BN562" s="8" t="str">
        <x:v>1</x:v>
      </x:c>
      <x:c r="BO562" s="6" t="str">
        <x:v>Immediate confirmation (1 bar)</x:v>
      </x:c>
      <x:c r="BP562" s="9" t="str">
        <x:v>0.2559599184506266</x:v>
      </x:c>
      <x:c r="BQ562" s="9" t="str">
        <x:v>0.6947483500802722</x:v>
      </x:c>
      <x:c r="BR562" s="10" t="str">
        <x:v>0.3684210526315789</x:v>
      </x:c>
      <x:c r="BS562" s="9" t="str">
        <x:v>0.548485539537057</x:v>
      </x:c>
      <x:c r="BT562" s="9" t="str">
        <x:v>0.29252562108643043</x:v>
      </x:c>
      <x:c r="BU562" s="9" t="str">
        <x:v>0.14626281054321522</x:v>
      </x:c>
      <x:c r="BV562" s="6" t="str">
        <x:v>With trade</x:v>
      </x:c>
      <x:c r="BW562" s="7" t="str">
        <x:v>2025-12-30 23:45:00-06:00</x:v>
      </x:c>
      <x:c r="BX562" s="6" t="str">
        <x:v>23449.75</x:v>
      </x:c>
      <x:c r="BY562" s="9" t="str">
        <x:v>6.837007960438018</x:v>
      </x:c>
      <x:c r="BZ562" s="9" t="str">
        <x:v>0.06</x:v>
      </x:c>
      <x:c r="CA562" s="6" t="str">
        <x:v>23460.005511940657</x:v>
      </x:c>
      <x:c r="CB562" s="6" t="str">
        <x:v>10.255511940657016</x:v>
      </x:c>
      <x:c r="CC562" s="9" t="str">
        <x:v>1.4999999999999984</x:v>
      </x:c>
      <x:c r="CD562" s="6" t="str">
        <x:v>23429.238976118686</x:v>
      </x:c>
      <x:c r="CE562" s="6" t="str">
        <x:v>20.51102388131403</x:v>
      </x:c>
      <x:c r="CF562" s="6" t="str">
        <x:v>Fixed 2.00R target</x:v>
      </x:c>
      <x:c r="CG562" s="9" t="str">
        <x:v>0.07069369176255409</x:v>
      </x:c>
      <x:c r="CH562" s="9" t="str">
        <x:v>2.0</x:v>
      </x:c>
      <x:c r="CI562" s="9" t="str">
        <x:v>1.929306308237446</x:v>
      </x:c>
      <x:c r="CJ562" s="6" t="str">
        <x:v>Win</x:v>
      </x:c>
      <x:c r="CK562" s="9" t="str">
        <x:v>2.6814848599589483</x:v>
      </x:c>
      <x:c r="CL562" s="9" t="str">
        <x:v>0.024377135090535892</x:v>
      </x:c>
      <x:c r="CM562" s="7" t="str">
        <x:v>2025-12-31 00:15:00-06:00</x:v>
      </x:c>
      <x:c r="CN562" s="6" t="str">
        <x:v>23429.238976118686</x:v>
      </x:c>
      <x:c r="CO562" s="6" t="str">
        <x:v>TARGET</x:v>
      </x:c>
      <x:c r="CP562" s="6" t="str">
        <x:v>F::Short::Same-bar Setup+BOS::Penetration + same-bar reclaim</x:v>
      </x:c>
    </x:row>
    <x:row r="563" ht="18" customHeight="1">
      <x:c r="A563" s="6" t="str">
        <x:v>A0562</x:v>
      </x:c>
      <x:c r="B563" s="6" t="str">
        <x:v>2025-12-31</x:v>
      </x:c>
      <x:c r="C563" s="6" t="str">
        <x:v>2025</x:v>
      </x:c>
      <x:c r="D563" s="6" t="str">
        <x:v>2025-Q4</x:v>
      </x:c>
      <x:c r="E563" s="6" t="str">
        <x:v>Second 50%</x:v>
      </x:c>
      <x:c r="F563" s="6" t="str">
        <x:v>Short</x:v>
      </x:c>
      <x:c r="G563" s="6" t="str">
        <x:v>Short</x:v>
      </x:c>
      <x:c r="H563" s="6" t="str">
        <x:v>Opening</x:v>
      </x:c>
      <x:c r="I563" s="6" t="str">
        <x:v>Opening</x:v>
      </x:c>
      <x:c r="J563" s="6" t="str">
        <x:v>Bear</x:v>
      </x:c>
      <x:c r="K563" s="6" t="str">
        <x:v>Bear</x:v>
      </x:c>
      <x:c r="L563" s="6" t="str">
        <x:v>HIGH</x:v>
      </x:c>
      <x:c r="M563" s="7" t="str">
        <x:v>2025-12-31 09:50:00-06:00</x:v>
      </x:c>
      <x:c r="N563" s="6" t="str">
        <x:v>75.0</x:v>
      </x:c>
      <x:c r="O563" s="6" t="str">
        <x:v>75-79</x:v>
      </x:c>
      <x:c r="P563" s="6" t="str">
        <x:v>Matching BOS only</x:v>
      </x:c>
      <x:c r="Q563" s="6" t="str">
        <x:v>Bear BOS</x:v>
      </x:c>
      <x:c r="R563" s="6" t="str">
        <x:v>True</x:v>
      </x:c>
      <x:c r="S563" s="6" t="str">
        <x:v>False</x:v>
      </x:c>
      <x:c r="T563" s="6" t="str">
        <x:v>No recent matching sweep</x:v>
      </x:c>
      <x:c r="U563" s="6" t="str">
        <x:v>None</x:v>
      </x:c>
      <x:c r="V563" s="6" t="str">
        <x:v>None</x:v>
      </x:c>
      <x:c r="W563" s="6" t="str">
        <x:v>[]</x:v>
      </x:c>
      <x:c r="X563" s="8" t="str">
        <x:v>0</x:v>
      </x:c>
      <x:c r="Y563" s="8" t="str"/>
      <x:c r="Z563" s="6" t="str">
        <x:v>None</x:v>
      </x:c>
      <x:c r="AA563" s="6" t="str">
        <x:v>23407.5</x:v>
      </x:c>
      <x:c r="AB563" s="9" t="str">
        <x:v>0.05574209515397749</x:v>
      </x:c>
      <x:c r="AC563" s="9" t="str">
        <x:v>0.9030219414944354</x:v>
      </x:c>
      <x:c r="AD563" s="9" t="str">
        <x:v>0.9810608747100038</x:v>
      </x:c>
      <x:c r="AE563" s="6" t="str">
        <x:v>With trade</x:v>
      </x:c>
      <x:c r="AF563" s="7" t="str">
        <x:v>2025-12-31 09:50:00-06:00</x:v>
      </x:c>
      <x:c r="AG563" s="6" t="str">
        <x:v>Short</x:v>
      </x:c>
      <x:c r="AH563" s="6" t="str">
        <x:v>23407.5</x:v>
      </x:c>
      <x:c r="AI563" s="8" t="str">
        <x:v>0</x:v>
      </x:c>
      <x:c r="AJ563" s="6" t="str">
        <x:v>True</x:v>
      </x:c>
      <x:c r="AK563" s="6" t="str">
        <x:v>Same-bar Setup+BOS</x:v>
      </x:c>
      <x:c r="AL563" s="9" t="str">
        <x:v>0.9253187795560264</x:v>
      </x:c>
      <x:c r="AM563" s="9" t="str">
        <x:v>0.05574209515397749</x:v>
      </x:c>
      <x:c r="AN563" s="9" t="str">
        <x:v>0.9030219414944354</x:v>
      </x:c>
      <x:c r="AO563" s="9" t="str">
        <x:v>0.9810608747100038</x:v>
      </x:c>
      <x:c r="AP563" s="10" t="str">
        <x:v>0.9204545454545454</x:v>
      </x:c>
      <x:c r="AQ563" s="6" t="str">
        <x:v>0.0</x:v>
      </x:c>
      <x:c r="AR563" s="6" t="str">
        <x:v>0.07954545454545454</x:v>
      </x:c>
      <x:c r="AS563" s="6" t="str">
        <x:v>With trade</x:v>
      </x:c>
      <x:c r="AT563" s="6" t="str">
        <x:v>0.6824273163227288</x:v>
      </x:c>
      <x:c r="AU563" s="7" t="str">
        <x:v>2025-12-31 09:55:00-06:00</x:v>
      </x:c>
      <x:c r="AV563" s="8" t="str">
        <x:v>1</x:v>
      </x:c>
      <x:c r="AW563" s="6" t="str">
        <x:v>Immediate retest (1 bar)</x:v>
      </x:c>
      <x:c r="AX563" s="6" t="str">
        <x:v>23409.0</x:v>
      </x:c>
      <x:c r="AY563" s="6" t="str">
        <x:v>1.5</x:v>
      </x:c>
      <x:c r="AZ563" s="9" t="str">
        <x:v>0.06592968669335048</x:v>
      </x:c>
      <x:c r="BA563" s="9" t="str">
        <x:v>0.5713906180090375</x:v>
      </x:c>
      <x:c r="BB563" s="9" t="str">
        <x:v>1.1867343604803087</x:v>
      </x:c>
      <x:c r="BC563" s="9" t="str">
        <x:v>0.505460931315687</x:v>
      </x:c>
      <x:c r="BD563" s="6" t="str">
        <x:v>0.1111111111111111</x:v>
      </x:c>
      <x:c r="BE563" s="6" t="str">
        <x:v>0.46296296296296297</x:v>
      </x:c>
      <x:c r="BF563" s="9" t="str">
        <x:v>0.13185937338670095</x:v>
      </x:c>
      <x:c r="BG563" s="9" t="str">
        <x:v>0.5494140557779207</x:v>
      </x:c>
      <x:c r="BH563" s="6" t="str">
        <x:v>With trade</x:v>
      </x:c>
      <x:c r="BI563" s="6" t="str">
        <x:v>Penetration + same-bar reclaim</x:v>
      </x:c>
      <x:c r="BJ563" s="6" t="str">
        <x:v>False</x:v>
      </x:c>
      <x:c r="BK563" s="10" t="str">
        <x:v>True</x:v>
      </x:c>
      <x:c r="BL563" s="6" t="str">
        <x:v>True</x:v>
      </x:c>
      <x:c r="BM563" s="7" t="str">
        <x:v>2025-12-31 10:05:00-06:00</x:v>
      </x:c>
      <x:c r="BN563" s="8" t="str">
        <x:v>2</x:v>
      </x:c>
      <x:c r="BO563" s="6" t="str">
        <x:v>Delayed confirmation (2+ bars)</x:v>
      </x:c>
      <x:c r="BP563" s="9" t="str">
        <x:v>0.04654470425458773</x:v>
      </x:c>
      <x:c r="BQ563" s="9" t="str">
        <x:v>0.5469002749914059</x:v>
      </x:c>
      <x:c r="BR563" s="10" t="str">
        <x:v>0.0851063829787234</x:v>
      </x:c>
      <x:c r="BS563" s="9" t="str">
        <x:v>0.29090440159117337</x:v>
      </x:c>
      <x:c r="BT563" s="9" t="str">
        <x:v>-0.3141767537184672</x:v>
      </x:c>
      <x:c r="BU563" s="9" t="str">
        <x:v>0.29090440159117337</x:v>
      </x:c>
      <x:c r="BV563" s="6" t="str">
        <x:v>With trade</x:v>
      </x:c>
      <x:c r="BW563" s="7" t="str">
        <x:v>2025-12-31 10:05:00-06:00</x:v>
      </x:c>
      <x:c r="BX563" s="6" t="str">
        <x:v>23401.25</x:v>
      </x:c>
      <x:c r="BY563" s="9" t="str">
        <x:v>21.484721323617258</x:v>
      </x:c>
      <x:c r="BZ563" s="9" t="str">
        <x:v>0.85</x:v>
      </x:c>
      <x:c r="CA563" s="6" t="str">
        <x:v>23433.477081985428</x:v>
      </x:c>
      <x:c r="CB563" s="6" t="str">
        <x:v>32.2270819854275</x:v>
      </x:c>
      <x:c r="CC563" s="9" t="str">
        <x:v>1.5000000000000753</x:v>
      </x:c>
      <x:c r="CD563" s="6" t="str">
        <x:v>23336.79583602915</x:v>
      </x:c>
      <x:c r="CE563" s="6" t="str">
        <x:v>64.45416397085137</x:v>
      </x:c>
      <x:c r="CF563" s="6" t="str">
        <x:v>Fixed 2.00R target</x:v>
      </x:c>
      <x:c r="CG563" s="9" t="str">
        <x:v>0.022496607056382942</x:v>
      </x:c>
      <x:c r="CH563" s="9" t="str">
        <x:v>-1.0</x:v>
      </x:c>
      <x:c r="CI563" s="9" t="str">
        <x:v>-1.022496607056383</x:v>
      </x:c>
      <x:c r="CJ563" s="6" t="str">
        <x:v>Loss</x:v>
      </x:c>
      <x:c r="CK563" s="9" t="str">
        <x:v>0.17842136630924404</x:v>
      </x:c>
      <x:c r="CL563" s="9" t="str">
        <x:v>1.109315451400952</x:v>
      </x:c>
      <x:c r="CM563" s="7" t="str">
        <x:v>2025-12-31 10:25:00-06:00</x:v>
      </x:c>
      <x:c r="CN563" s="6" t="str">
        <x:v>23433.477081985428</x:v>
      </x:c>
      <x:c r="CO563" s="6" t="str">
        <x:v>STOP</x:v>
      </x:c>
      <x:c r="CP563" s="6" t="str">
        <x:v>F::Short::Same-bar Setup+BOS::Penetration + same-bar reclaim</x:v>
      </x:c>
    </x:row>
    <x:row r="564" ht="18" customHeight="1">
      <x:c r="A564" s="6" t="str">
        <x:v>A0563</x:v>
      </x:c>
      <x:c r="B564" s="6" t="str">
        <x:v>2026-01-02</x:v>
      </x:c>
      <x:c r="C564" s="6" t="str">
        <x:v>2026</x:v>
      </x:c>
      <x:c r="D564" s="6" t="str">
        <x:v>2026-Q1</x:v>
      </x:c>
      <x:c r="E564" s="6" t="str">
        <x:v>Second 50%</x:v>
      </x:c>
      <x:c r="F564" s="6" t="str">
        <x:v>Long</x:v>
      </x:c>
      <x:c r="G564" s="6" t="str">
        <x:v>Long</x:v>
      </x:c>
      <x:c r="H564" s="6" t="str">
        <x:v>Midday</x:v>
      </x:c>
      <x:c r="I564" s="6" t="str">
        <x:v>Midday</x:v>
      </x:c>
      <x:c r="J564" s="6" t="str">
        <x:v>Bear</x:v>
      </x:c>
      <x:c r="K564" s="6" t="str">
        <x:v>Bear</x:v>
      </x:c>
      <x:c r="L564" s="6" t="str">
        <x:v>MID</x:v>
      </x:c>
      <x:c r="M564" s="7" t="str">
        <x:v>2026-01-02 13:10:00-06:00</x:v>
      </x:c>
      <x:c r="N564" s="6" t="str">
        <x:v>100.0</x:v>
      </x:c>
      <x:c r="O564" s="6" t="str">
        <x:v>95+</x:v>
      </x:c>
      <x:c r="P564" s="6" t="str">
        <x:v>Matching BOS only</x:v>
      </x:c>
      <x:c r="Q564" s="6" t="str">
        <x:v>Bull CHoCH</x:v>
      </x:c>
      <x:c r="R564" s="6" t="str">
        <x:v>True</x:v>
      </x:c>
      <x:c r="S564" s="6" t="str">
        <x:v>False</x:v>
      </x:c>
      <x:c r="T564" s="6" t="str">
        <x:v>Recent SSL</x:v>
      </x:c>
      <x:c r="U564" s="6" t="str">
        <x:v>SSL</x:v>
      </x:c>
      <x:c r="V564" s="6" t="str">
        <x:v>Swing low / sell-side</x:v>
      </x:c>
      <x:c r="W564" s="6" t="str">
        <x:v>[23106.25,23113.25]</x:v>
      </x:c>
      <x:c r="X564" s="8" t="str">
        <x:v>2</x:v>
      </x:c>
      <x:c r="Y564" s="8" t="str">
        <x:v>4.0</x:v>
      </x:c>
      <x:c r="Z564" s="6" t="str">
        <x:v>None</x:v>
      </x:c>
      <x:c r="AA564" s="6" t="str">
        <x:v>23203.25</x:v>
      </x:c>
      <x:c r="AB564" s="9" t="str">
        <x:v>0.6045352422483918</x:v>
      </x:c>
      <x:c r="AC564" s="9" t="str">
        <x:v>0.779178756675705</x:v>
      </x:c>
      <x:c r="AD564" s="9" t="str">
        <x:v>1.195636368002375</x:v>
      </x:c>
      <x:c r="AE564" s="6" t="str">
        <x:v>With trade</x:v>
      </x:c>
      <x:c r="AF564" s="7" t="str">
        <x:v>2026-01-02 13:10:00-06:00</x:v>
      </x:c>
      <x:c r="AG564" s="6" t="str">
        <x:v>Long</x:v>
      </x:c>
      <x:c r="AH564" s="6" t="str">
        <x:v>23203.25</x:v>
      </x:c>
      <x:c r="AI564" s="8" t="str">
        <x:v>0</x:v>
      </x:c>
      <x:c r="AJ564" s="6" t="str">
        <x:v>True</x:v>
      </x:c>
      <x:c r="AK564" s="6" t="str">
        <x:v>Same-bar Setup+BOS</x:v>
      </x:c>
      <x:c r="AL564" s="9" t="str">
        <x:v>0.7388764071924788</x:v>
      </x:c>
      <x:c r="AM564" s="9" t="str">
        <x:v>0.6045352422483918</x:v>
      </x:c>
      <x:c r="AN564" s="9" t="str">
        <x:v>0.779178756675705</x:v>
      </x:c>
      <x:c r="AO564" s="9" t="str">
        <x:v>1.195636368002375</x:v>
      </x:c>
      <x:c r="AP564" s="10" t="str">
        <x:v>0.651685393258427</x:v>
      </x:c>
      <x:c r="AQ564" s="6" t="str">
        <x:v>0.1797752808988764</x:v>
      </x:c>
      <x:c r="AR564" s="6" t="str">
        <x:v>0.16853932584269662</x:v>
      </x:c>
      <x:c r="AS564" s="6" t="str">
        <x:v>With trade</x:v>
      </x:c>
      <x:c r="AT564" s="6" t="str">
        <x:v>1.2928206997084548</x:v>
      </x:c>
      <x:c r="AU564" s="7" t="str">
        <x:v>2026-01-02 13:20:00-06:00</x:v>
      </x:c>
      <x:c r="AV564" s="8" t="str">
        <x:v>2</x:v>
      </x:c>
      <x:c r="AW564" s="6" t="str">
        <x:v>Delayed retest (2+ bars)</x:v>
      </x:c>
      <x:c r="AX564" s="6" t="str">
        <x:v>23203.5</x:v>
      </x:c>
      <x:c r="AY564" s="6" t="str">
        <x:v>0.0</x:v>
      </x:c>
      <x:c r="AZ564" s="9" t="str">
        <x:v>0.0</x:v>
      </x:c>
      <x:c r="BA564" s="9" t="str">
        <x:v>1.2193653401693623</x:v>
      </x:c>
      <x:c r="BB564" s="9" t="str">
        <x:v>1.27999676592364</x:v>
      </x:c>
      <x:c r="BC564" s="9" t="str">
        <x:v>0.9296818615655911</x:v>
      </x:c>
      <x:c r="BD564" s="6" t="str">
        <x:v>0.05263157894736842</x:v>
      </x:c>
      <x:c r="BE564" s="6" t="str">
        <x:v>0.22105263157894736</x:v>
      </x:c>
      <x:c r="BF564" s="9" t="str">
        <x:v>0.2829466535199625</x:v>
      </x:c>
      <x:c r="BG564" s="9" t="str">
        <x:v>0.06736825083808631</x:v>
      </x:c>
      <x:c r="BH564" s="6" t="str">
        <x:v>With trade</x:v>
      </x:c>
      <x:c r="BI564" s="6" t="str">
        <x:v>Tolerance-only shallow touch</x:v>
      </x:c>
      <x:c r="BJ564" s="6" t="str">
        <x:v>True</x:v>
      </x:c>
      <x:c r="BK564" s="10" t="str">
        <x:v>False</x:v>
      </x:c>
      <x:c r="BL564" s="6" t="str">
        <x:v>True</x:v>
      </x:c>
      <x:c r="BM564" s="7" t="str">
        <x:v>2026-01-02 13:25:00-06:00</x:v>
      </x:c>
      <x:c r="BN564" s="8" t="str">
        <x:v>1</x:v>
      </x:c>
      <x:c r="BO564" s="6" t="str">
        <x:v>Immediate confirmation (1 bar)</x:v>
      </x:c>
      <x:c r="BP564" s="9" t="str">
        <x:v>0.06204780276606567</x:v>
      </x:c>
      <x:c r="BQ564" s="9" t="str">
        <x:v>0.6963142310414037</x:v>
      </x:c>
      <x:c r="BR564" s="10" t="str">
        <x:v>0.0891089108910891</x:v>
      </x:c>
      <x:c r="BS564" s="9" t="str">
        <x:v>1.303003858087379</x:v>
      </x:c>
      <x:c r="BT564" s="9" t="str">
        <x:v>0.05515360245872504</x:v>
      </x:c>
      <x:c r="BU564" s="9" t="str">
        <x:v>0.3860752172110753</x:v>
      </x:c>
      <x:c r="BV564" s="6" t="str">
        <x:v>With trade</x:v>
      </x:c>
      <x:c r="BW564" s="7" t="str">
        <x:v>2026-01-02 13:25:00-06:00</x:v>
      </x:c>
      <x:c r="BX564" s="6" t="str">
        <x:v>23250.5</x:v>
      </x:c>
      <x:c r="BY564" s="9" t="str">
        <x:v>36.2623638500627</x:v>
      </x:c>
      <x:c r="BZ564" s="9" t="str">
        <x:v>0.51</x:v>
      </x:c>
      <x:c r="CA564" s="6" t="str">
        <x:v>23196.106454224904</x:v>
      </x:c>
      <x:c r="CB564" s="6" t="str">
        <x:v>54.393545775095845</x:v>
      </x:c>
      <x:c r="CC564" s="9" t="str">
        <x:v>1.5000000000000495</x:v>
      </x:c>
      <x:c r="CD564" s="6" t="str">
        <x:v>23359.287091550188</x:v>
      </x:c>
      <x:c r="CE564" s="6" t="str">
        <x:v>108.78709155018805</x:v>
      </x:c>
      <x:c r="CF564" s="6" t="str">
        <x:v>Fixed 2.00R target</x:v>
      </x:c>
      <x:c r="CG564" s="9" t="str">
        <x:v>0.013328787260858111</x:v>
      </x:c>
      <x:c r="CH564" s="9" t="str">
        <x:v>0.3860752172110753</x:v>
      </x:c>
      <x:c r="CI564" s="9" t="str">
        <x:v>0.3727464299502172</x:v>
      </x:c>
      <x:c r="CJ564" s="6" t="str">
        <x:v>Win</x:v>
      </x:c>
      <x:c r="CK564" s="9" t="str">
        <x:v>0.8456885710337559</x:v>
      </x:c>
      <x:c r="CL564" s="9" t="str">
        <x:v>0.4366326861315588</x:v>
      </x:c>
      <x:c r="CM564" s="7" t="str">
        <x:v>2026-01-02 14:25:00-06:00</x:v>
      </x:c>
      <x:c r="CN564" s="6" t="str">
        <x:v>23271.5</x:v>
      </x:c>
      <x:c r="CO564" s="6" t="str">
        <x:v>TIME</x:v>
      </x:c>
      <x:c r="CP564" s="6" t="str">
        <x:v>F::Long::Same-bar Setup+BOS::Tolerance-only shallow touch</x:v>
      </x:c>
    </x:row>
    <x:row r="565" ht="18" customHeight="1">
      <x:c r="A565" s="6" t="str">
        <x:v>A0564</x:v>
      </x:c>
      <x:c r="B565" s="6" t="str">
        <x:v>2026-01-05</x:v>
      </x:c>
      <x:c r="C565" s="6" t="str">
        <x:v>2026</x:v>
      </x:c>
      <x:c r="D565" s="6" t="str">
        <x:v>2026-Q1</x:v>
      </x:c>
      <x:c r="E565" s="6" t="str">
        <x:v>Second 50%</x:v>
      </x:c>
      <x:c r="F565" s="6" t="str">
        <x:v>Long</x:v>
      </x:c>
      <x:c r="G565" s="6" t="str">
        <x:v>Long</x:v>
      </x:c>
      <x:c r="H565" s="6" t="str">
        <x:v>Overnight</x:v>
      </x:c>
      <x:c r="I565" s="6" t="str">
        <x:v>Overnight</x:v>
      </x:c>
      <x:c r="J565" s="6" t="str">
        <x:v>Neutral</x:v>
      </x:c>
      <x:c r="K565" s="6" t="str">
        <x:v>Bear</x:v>
      </x:c>
      <x:c r="L565" s="6" t="str">
        <x:v>HIGH</x:v>
      </x:c>
      <x:c r="M565" s="7" t="str">
        <x:v>2026-01-05 02:10:00-06:00</x:v>
      </x:c>
      <x:c r="N565" s="6" t="str">
        <x:v>90.0</x:v>
      </x:c>
      <x:c r="O565" s="6" t="str">
        <x:v>90-94</x:v>
      </x:c>
      <x:c r="P565" s="6" t="str">
        <x:v>Matching BOS only</x:v>
      </x:c>
      <x:c r="Q565" s="6" t="str">
        <x:v>Bull CHoCH</x:v>
      </x:c>
      <x:c r="R565" s="6" t="str">
        <x:v>True</x:v>
      </x:c>
      <x:c r="S565" s="6" t="str">
        <x:v>False</x:v>
      </x:c>
      <x:c r="T565" s="6" t="str">
        <x:v>Recent SSL</x:v>
      </x:c>
      <x:c r="U565" s="6" t="str">
        <x:v>SSL</x:v>
      </x:c>
      <x:c r="V565" s="6" t="str">
        <x:v>Equal low / sell-side | Swing low / sell-side</x:v>
      </x:c>
      <x:c r="W565" s="6" t="str">
        <x:v>[23297.0,23297.25]</x:v>
      </x:c>
      <x:c r="X565" s="8" t="str">
        <x:v>2</x:v>
      </x:c>
      <x:c r="Y565" s="8" t="str">
        <x:v>5.0</x:v>
      </x:c>
      <x:c r="Z565" s="6" t="str">
        <x:v>None</x:v>
      </x:c>
      <x:c r="AA565" s="6" t="str">
        <x:v>23348.5</x:v>
      </x:c>
      <x:c r="AB565" s="9" t="str">
        <x:v>0.8130961378654069</x:v>
      </x:c>
      <x:c r="AC565" s="9" t="str">
        <x:v>2.3468911252024247</x:v>
      </x:c>
      <x:c r="AD565" s="9" t="str">
        <x:v>2.9382337709227206</x:v>
      </x:c>
      <x:c r="AE565" s="6" t="str">
        <x:v>With trade</x:v>
      </x:c>
      <x:c r="AF565" s="7" t="str">
        <x:v>2026-01-05 02:10:00-06:00</x:v>
      </x:c>
      <x:c r="AG565" s="6" t="str">
        <x:v>Long</x:v>
      </x:c>
      <x:c r="AH565" s="6" t="str">
        <x:v>23348.5</x:v>
      </x:c>
      <x:c r="AI565" s="8" t="str">
        <x:v>0</x:v>
      </x:c>
      <x:c r="AJ565" s="6" t="str">
        <x:v>True</x:v>
      </x:c>
      <x:c r="AK565" s="6" t="str">
        <x:v>Same-bar Setup+BOS</x:v>
      </x:c>
      <x:c r="AL565" s="9" t="str">
        <x:v>2.4023294982387022</x:v>
      </x:c>
      <x:c r="AM565" s="9" t="str">
        <x:v>0.8130961378654069</x:v>
      </x:c>
      <x:c r="AN565" s="9" t="str">
        <x:v>2.3468911252024247</x:v>
      </x:c>
      <x:c r="AO565" s="9" t="str">
        <x:v>2.9382337709227206</x:v>
      </x:c>
      <x:c r="AP565" s="10" t="str">
        <x:v>0.7987421383647799</x:v>
      </x:c>
      <x:c r="AQ565" s="6" t="str">
        <x:v>0.15723270440251572</x:v>
      </x:c>
      <x:c r="AR565" s="6" t="str">
        <x:v>0.0440251572327044</x:v>
      </x:c>
      <x:c r="AS565" s="6" t="str">
        <x:v>With trade</x:v>
      </x:c>
      <x:c r="AT565" s="6" t="str">
        <x:v>3.5947192619691424</x:v>
      </x:c>
      <x:c r="AU565" s="7" t="str">
        <x:v>2026-01-05 02:55:00-06:00</x:v>
      </x:c>
      <x:c r="AV565" s="8" t="str">
        <x:v>9</x:v>
      </x:c>
      <x:c r="AW565" s="6" t="str">
        <x:v>Delayed retest (2+ bars)</x:v>
      </x:c>
      <x:c r="AX565" s="6" t="str">
        <x:v>23347.0</x:v>
      </x:c>
      <x:c r="AY565" s="6" t="str">
        <x:v>1.5</x:v>
      </x:c>
      <x:c r="AZ565" s="9" t="str">
        <x:v>0.10874735307055099</x:v>
      </x:c>
      <x:c r="BA565" s="9" t="str">
        <x:v>0.21749470614110197</x:v>
      </x:c>
      <x:c r="BB565" s="9" t="str">
        <x:v>0.9243525010996834</x:v>
      </x:c>
      <x:c r="BC565" s="9" t="str">
        <x:v>0.39874029459202026</x:v>
      </x:c>
      <x:c r="BD565" s="6" t="str">
        <x:v>0.21568627450980393</x:v>
      </x:c>
      <x:c r="BE565" s="6" t="str">
        <x:v>0.35294117647058826</x:v>
      </x:c>
      <x:c r="BF565" s="9" t="str">
        <x:v>0.32624205921165295</x:v>
      </x:c>
      <x:c r="BG565" s="9" t="str">
        <x:v>0.19937014729601013</x:v>
      </x:c>
      <x:c r="BH565" s="6" t="str">
        <x:v>Against trade</x:v>
      </x:c>
      <x:c r="BI565" s="6" t="str">
        <x:v>Penetration + same-bar reclaim</x:v>
      </x:c>
      <x:c r="BJ565" s="6" t="str">
        <x:v>False</x:v>
      </x:c>
      <x:c r="BK565" s="10" t="str">
        <x:v>True</x:v>
      </x:c>
      <x:c r="BL565" s="6" t="str">
        <x:v>True</x:v>
      </x:c>
      <x:c r="BM565" s="7" t="str">
        <x:v>2026-01-05 03:00:00-06:00</x:v>
      </x:c>
      <x:c r="BN565" s="8" t="str">
        <x:v>1</x:v>
      </x:c>
      <x:c r="BO565" s="6" t="str">
        <x:v>Immediate confirmation (1 bar)</x:v>
      </x:c>
      <x:c r="BP565" s="9" t="str">
        <x:v>1.148883863487583</x:v>
      </x:c>
      <x:c r="BQ565" s="9" t="str">
        <x:v>1.514437820051814</x:v>
      </x:c>
      <x:c r="BR565" s="10" t="str">
        <x:v>0.7586206896551724</x:v>
      </x:c>
      <x:c r="BS565" s="9" t="str">
        <x:v>1.3055498448722536</x:v>
      </x:c>
      <x:c r="BT565" s="9" t="str">
        <x:v>1.096661869692693</x:v>
      </x:c>
      <x:c r="BU565" s="9" t="str">
        <x:v>0.33073929403430424</x:v>
      </x:c>
      <x:c r="BV565" s="6" t="str">
        <x:v>With trade</x:v>
      </x:c>
      <x:c r="BW565" s="7" t="str">
        <x:v>2026-01-05 03:00:00-06:00</x:v>
      </x:c>
      <x:c r="BX565" s="6" t="str">
        <x:v>23367.25</x:v>
      </x:c>
      <x:c r="BY565" s="9" t="str">
        <x:v>14.361764948035871</x:v>
      </x:c>
      <x:c r="BZ565" s="9" t="str">
        <x:v>0.72</x:v>
      </x:c>
      <x:c r="CA565" s="6" t="str">
        <x:v>23345.707352577945</x:v>
      </x:c>
      <x:c r="CB565" s="6" t="str">
        <x:v>21.54264742205487</x:v>
      </x:c>
      <x:c r="CC565" s="9" t="str">
        <x:v>1.500000000000074</x:v>
      </x:c>
      <x:c r="CD565" s="6" t="str">
        <x:v>23410.335294844106</x:v>
      </x:c>
      <x:c r="CE565" s="6" t="str">
        <x:v>43.0852948441061</x:v>
      </x:c>
      <x:c r="CF565" s="6" t="str">
        <x:v>Fixed 2.00R target</x:v>
      </x:c>
      <x:c r="CG565" s="9" t="str">
        <x:v>0.03365417377892754</x:v>
      </x:c>
      <x:c r="CH565" s="9" t="str">
        <x:v>-1.0</x:v>
      </x:c>
      <x:c r="CI565" s="9" t="str">
        <x:v>-1.0336541737789275</x:v>
      </x:c>
      <x:c r="CJ565" s="6" t="str">
        <x:v>Loss</x:v>
      </x:c>
      <x:c r="CK565" s="9" t="str">
        <x:v>0.20888797517955027</x:v>
      </x:c>
      <x:c r="CL565" s="9" t="str">
        <x:v>1.485425601276802</x:v>
      </x:c>
      <x:c r="CM565" s="7" t="str">
        <x:v>2026-01-05 03:25:00-06:00</x:v>
      </x:c>
      <x:c r="CN565" s="6" t="str">
        <x:v>23345.707352577945</x:v>
      </x:c>
      <x:c r="CO565" s="6" t="str">
        <x:v>STOP</x:v>
      </x:c>
      <x:c r="CP565" s="6" t="str">
        <x:v>F::Long::Same-bar Setup+BOS::Penetration + same-bar reclaim</x:v>
      </x:c>
    </x:row>
    <x:row r="566" ht="18" customHeight="1">
      <x:c r="A566" s="6" t="str">
        <x:v>A0565</x:v>
      </x:c>
      <x:c r="B566" s="6" t="str">
        <x:v>2026-01-07</x:v>
      </x:c>
      <x:c r="C566" s="6" t="str">
        <x:v>2026</x:v>
      </x:c>
      <x:c r="D566" s="6" t="str">
        <x:v>2026-Q1</x:v>
      </x:c>
      <x:c r="E566" s="6" t="str">
        <x:v>Second 50%</x:v>
      </x:c>
      <x:c r="F566" s="6" t="str">
        <x:v>Short</x:v>
      </x:c>
      <x:c r="G566" s="6" t="str">
        <x:v>Short</x:v>
      </x:c>
      <x:c r="H566" s="6" t="str">
        <x:v>Overnight</x:v>
      </x:c>
      <x:c r="I566" s="6" t="str">
        <x:v>Overnight</x:v>
      </x:c>
      <x:c r="J566" s="6" t="str">
        <x:v>Neutral</x:v>
      </x:c>
      <x:c r="K566" s="6" t="str">
        <x:v>Bull</x:v>
      </x:c>
      <x:c r="L566" s="6" t="str">
        <x:v>HIGH</x:v>
      </x:c>
      <x:c r="M566" s="7" t="str">
        <x:v>2026-01-07 02:20:00-06:00</x:v>
      </x:c>
      <x:c r="N566" s="6" t="str">
        <x:v>75.0</x:v>
      </x:c>
      <x:c r="O566" s="6" t="str">
        <x:v>75-79</x:v>
      </x:c>
      <x:c r="P566" s="6" t="str">
        <x:v>Matching liquidity sweep only</x:v>
      </x:c>
      <x:c r="Q566" s="6" t="str">
        <x:v>Recent bear structure</x:v>
      </x:c>
      <x:c r="R566" s="6" t="str">
        <x:v>False</x:v>
      </x:c>
      <x:c r="S566" s="6" t="str">
        <x:v>True</x:v>
      </x:c>
      <x:c r="T566" s="6" t="str">
        <x:v>Recent BSL</x:v>
      </x:c>
      <x:c r="U566" s="6" t="str">
        <x:v>BSL</x:v>
      </x:c>
      <x:c r="V566" s="6" t="str">
        <x:v>Swing high / buy-side</x:v>
      </x:c>
      <x:c r="W566" s="6" t="str">
        <x:v>[23619.0]</x:v>
      </x:c>
      <x:c r="X566" s="8" t="str">
        <x:v>1</x:v>
      </x:c>
      <x:c r="Y566" s="8" t="str">
        <x:v>0.0</x:v>
      </x:c>
      <x:c r="Z566" s="6" t="str">
        <x:v>Sweep above CRT reference</x:v>
      </x:c>
      <x:c r="AA566" s="6" t="str">
        <x:v>23604.25</x:v>
      </x:c>
      <x:c r="AB566" s="9" t="str">
        <x:v>-1.515474464620704</x:v>
      </x:c>
      <x:c r="AC566" s="9" t="str">
        <x:v>0.094717154038794</x:v>
      </x:c>
      <x:c r="AD566" s="9" t="str">
        <x:v>1.5786192339799</x:v>
      </x:c>
      <x:c r="AE566" s="6" t="str">
        <x:v>With trade</x:v>
      </x:c>
      <x:c r="AF566" s="7" t="str">
        <x:v>2026-01-07 02:55:00-06:00</x:v>
      </x:c>
      <x:c r="AG566" s="6" t="str">
        <x:v>Short</x:v>
      </x:c>
      <x:c r="AH566" s="6" t="str">
        <x:v>23599.0</x:v>
      </x:c>
      <x:c r="AI566" s="8" t="str">
        <x:v>7</x:v>
      </x:c>
      <x:c r="AJ566" s="6" t="str">
        <x:v>False</x:v>
      </x:c>
      <x:c r="AK566" s="6" t="str">
        <x:v>Delayed BOS</x:v>
      </x:c>
      <x:c r="AL566" s="9" t="str">
        <x:v>1.5153817524815305</x:v>
      </x:c>
      <x:c r="AM566" s="9" t="str">
        <x:v>0.6702650059052924</x:v>
      </x:c>
      <x:c r="AN566" s="9" t="str">
        <x:v>1.6902334931524763</x:v>
      </x:c>
      <x:c r="AO566" s="9" t="str">
        <x:v>1.7485174067094582</x:v>
      </x:c>
      <x:c r="AP566" s="10" t="str">
        <x:v>0.9666666666666667</x:v>
      </x:c>
      <x:c r="AQ566" s="6" t="str">
        <x:v>0.016666666666666666</x:v>
      </x:c>
      <x:c r="AR566" s="6" t="str">
        <x:v>0.016666666666666666</x:v>
      </x:c>
      <x:c r="AS566" s="6" t="str">
        <x:v>With trade</x:v>
      </x:c>
      <x:c r="AT566" s="6" t="str">
        <x:v>1.7172624393748877</x:v>
      </x:c>
      <x:c r="AU566" s="7" t="str">
        <x:v>2026-01-07 03:00:00-06:00</x:v>
      </x:c>
      <x:c r="AV566" s="8" t="str">
        <x:v>1</x:v>
      </x:c>
      <x:c r="AW566" s="6" t="str">
        <x:v>Immediate retest (1 bar)</x:v>
      </x:c>
      <x:c r="AX566" s="6" t="str">
        <x:v>23598.25</x:v>
      </x:c>
      <x:c r="AY566" s="6" t="str">
        <x:v>0.0</x:v>
      </x:c>
      <x:c r="AZ566" s="9" t="str">
        <x:v>0.0</x:v>
      </x:c>
      <x:c r="BA566" s="9" t="str">
        <x:v>0.9580069562569762</x:v>
      </x:c>
      <x:c r="BB566" s="9" t="str">
        <x:v>2.1289043472377247</x:v>
      </x:c>
      <x:c r="BC566" s="9" t="str">
        <x:v>0.34594695642613027</x:v>
      </x:c>
      <x:c r="BD566" s="6" t="str">
        <x:v>0.25</x:v>
      </x:c>
      <x:c r="BE566" s="6" t="str">
        <x:v>0.5875</x:v>
      </x:c>
      <x:c r="BF566" s="9" t="str">
        <x:v>0.5322260868094312</x:v>
      </x:c>
      <x:c r="BG566" s="9" t="str">
        <x:v>1.2507313040021633</x:v>
      </x:c>
      <x:c r="BH566" s="6" t="str">
        <x:v>With trade</x:v>
      </x:c>
      <x:c r="BI566" s="6" t="str">
        <x:v>Tolerance-only shallow touch</x:v>
      </x:c>
      <x:c r="BJ566" s="6" t="str">
        <x:v>True</x:v>
      </x:c>
      <x:c r="BK566" s="10" t="str">
        <x:v>False</x:v>
      </x:c>
      <x:c r="BL566" s="6" t="str">
        <x:v>True</x:v>
      </x:c>
      <x:c r="BM566" s="7" t="str">
        <x:v>2026-01-07 03:05:00-06:00</x:v>
      </x:c>
      <x:c r="BN566" s="8" t="str">
        <x:v>1</x:v>
      </x:c>
      <x:c r="BO566" s="6" t="str">
        <x:v>Immediate confirmation (1 bar)</x:v>
      </x:c>
      <x:c r="BP566" s="9" t="str">
        <x:v>1.169748252106084</x:v>
      </x:c>
      <x:c r="BQ566" s="9" t="str">
        <x:v>1.8417312905500045</x:v>
      </x:c>
      <x:c r="BR566" s="10" t="str">
        <x:v>0.6351351351351351</x:v>
      </x:c>
      <x:c r="BS566" s="9" t="str">
        <x:v>2.065725636697978</x:v>
      </x:c>
      <x:c r="BT566" s="9" t="str">
        <x:v>1.169748252106084</x:v>
      </x:c>
      <x:c r="BU566" s="9" t="str">
        <x:v>0.0</x:v>
      </x:c>
      <x:c r="BV566" s="6" t="str">
        <x:v>With trade</x:v>
      </x:c>
      <x:c r="BW566" s="7" t="str">
        <x:v>2026-01-07 03:05:00-06:00</x:v>
      </x:c>
      <x:c r="BX566" s="6" t="str">
        <x:v>23578.25</x:v>
      </x:c>
      <x:c r="BY566" s="9" t="str">
        <x:v>10.044896394454623</x:v>
      </x:c>
      <x:c r="BZ566" s="9" t="str">
        <x:v>1.0</x:v>
      </x:c>
      <x:c r="CA566" s="6" t="str">
        <x:v>23593.317344591684</x:v>
      </x:c>
      <x:c r="CB566" s="6" t="str">
        <x:v>15.06734459168365</x:v>
      </x:c>
      <x:c r="CC566" s="9" t="str">
        <x:v>1.5000000000001708</x:v>
      </x:c>
      <x:c r="CD566" s="6" t="str">
        <x:v>23548.115310816636</x:v>
      </x:c>
      <x:c r="CE566" s="6" t="str">
        <x:v>30.134689183363662</x:v>
      </x:c>
      <x:c r="CF566" s="6" t="str">
        <x:v>Fixed 2.00R target</x:v>
      </x:c>
      <x:c r="CG566" s="9" t="str">
        <x:v>0.04811730398733698</x:v>
      </x:c>
      <x:c r="CH566" s="9" t="str">
        <x:v>-1.0</x:v>
      </x:c>
      <x:c r="CI566" s="9" t="str">
        <x:v>-1.048117303987337</x:v>
      </x:c>
      <x:c r="CJ566" s="6" t="str">
        <x:v>Loss</x:v>
      </x:c>
      <x:c r="CK566" s="9" t="str">
        <x:v>0.7798321680706338</x:v>
      </x:c>
      <x:c r="CL566" s="9" t="str">
        <x:v>1.0950834700566348</x:v>
      </x:c>
      <x:c r="CM566" s="7" t="str">
        <x:v>2026-01-07 03:30:00-06:00</x:v>
      </x:c>
      <x:c r="CN566" s="6" t="str">
        <x:v>23593.317344591684</x:v>
      </x:c>
      <x:c r="CO566" s="6" t="str">
        <x:v>STOP</x:v>
      </x:c>
      <x:c r="CP566" s="6" t="str">
        <x:v>F::Short::Delayed BOS::Tolerance-only shallow touch</x:v>
      </x:c>
    </x:row>
    <x:row r="567" ht="18" customHeight="1">
      <x:c r="A567" s="6" t="str">
        <x:v>A0566</x:v>
      </x:c>
      <x:c r="B567" s="6" t="str">
        <x:v>2026-01-08</x:v>
      </x:c>
      <x:c r="C567" s="6" t="str">
        <x:v>2026</x:v>
      </x:c>
      <x:c r="D567" s="6" t="str">
        <x:v>2026-Q1</x:v>
      </x:c>
      <x:c r="E567" s="6" t="str">
        <x:v>Second 50%</x:v>
      </x:c>
      <x:c r="F567" s="6" t="str">
        <x:v>Long</x:v>
      </x:c>
      <x:c r="G567" s="6" t="str">
        <x:v>Long</x:v>
      </x:c>
      <x:c r="H567" s="6" t="str">
        <x:v>Afternoon</x:v>
      </x:c>
      <x:c r="I567" s="6" t="str">
        <x:v>Afternoon</x:v>
      </x:c>
      <x:c r="J567" s="6" t="str">
        <x:v>Bear</x:v>
      </x:c>
      <x:c r="K567" s="6" t="str">
        <x:v>Bear</x:v>
      </x:c>
      <x:c r="L567" s="6" t="str">
        <x:v>LOW</x:v>
      </x:c>
      <x:c r="M567" s="7" t="str">
        <x:v>2026-01-08 14:30:00-06:00</x:v>
      </x:c>
      <x:c r="N567" s="6" t="str">
        <x:v>75.0</x:v>
      </x:c>
      <x:c r="O567" s="6" t="str">
        <x:v>75-79</x:v>
      </x:c>
      <x:c r="P567" s="6" t="str">
        <x:v>Matching BOS only</x:v>
      </x:c>
      <x:c r="Q567" s="6" t="str">
        <x:v>Bull CHoCH</x:v>
      </x:c>
      <x:c r="R567" s="6" t="str">
        <x:v>True</x:v>
      </x:c>
      <x:c r="S567" s="6" t="str">
        <x:v>False</x:v>
      </x:c>
      <x:c r="T567" s="6" t="str">
        <x:v>No recent matching sweep</x:v>
      </x:c>
      <x:c r="U567" s="6" t="str">
        <x:v>None</x:v>
      </x:c>
      <x:c r="V567" s="6" t="str">
        <x:v>None</x:v>
      </x:c>
      <x:c r="W567" s="6" t="str">
        <x:v>[]</x:v>
      </x:c>
      <x:c r="X567" s="8" t="str">
        <x:v>0</x:v>
      </x:c>
      <x:c r="Y567" s="8" t="str"/>
      <x:c r="Z567" s="6" t="str">
        <x:v>None</x:v>
      </x:c>
      <x:c r="AA567" s="6" t="str">
        <x:v>23515.75</x:v>
      </x:c>
      <x:c r="AB567" s="9" t="str">
        <x:v>0.7630089178319459</x:v>
      </x:c>
      <x:c r="AC567" s="9" t="str">
        <x:v>0.7745696590112179</x:v>
      </x:c>
      <x:c r="AD567" s="9" t="str">
        <x:v>0.8554948472661212</x:v>
      </x:c>
      <x:c r="AE567" s="6" t="str">
        <x:v>With trade</x:v>
      </x:c>
      <x:c r="AF567" s="7" t="str">
        <x:v>2026-01-08 14:30:00-06:00</x:v>
      </x:c>
      <x:c r="AG567" s="6" t="str">
        <x:v>Long</x:v>
      </x:c>
      <x:c r="AH567" s="6" t="str">
        <x:v>23515.75</x:v>
      </x:c>
      <x:c r="AI567" s="8" t="str">
        <x:v>0</x:v>
      </x:c>
      <x:c r="AJ567" s="6" t="str">
        <x:v>True</x:v>
      </x:c>
      <x:c r="AK567" s="6" t="str">
        <x:v>Same-bar Setup+BOS</x:v>
      </x:c>
      <x:c r="AL567" s="9" t="str">
        <x:v>0.7630089178319459</x:v>
      </x:c>
      <x:c r="AM567" s="9" t="str">
        <x:v>0.7630089178319459</x:v>
      </x:c>
      <x:c r="AN567" s="9" t="str">
        <x:v>0.7745696590112179</x:v>
      </x:c>
      <x:c r="AO567" s="9" t="str">
        <x:v>0.8554948472661212</x:v>
      </x:c>
      <x:c r="AP567" s="10" t="str">
        <x:v>0.9054054054054054</x:v>
      </x:c>
      <x:c r="AQ567" s="6" t="str">
        <x:v>0.0</x:v>
      </x:c>
      <x:c r="AR567" s="6" t="str">
        <x:v>0.0945945945945946</x:v>
      </x:c>
      <x:c r="AS567" s="6" t="str">
        <x:v>With trade</x:v>
      </x:c>
      <x:c r="AT567" s="6" t="str">
        <x:v>1.2958041958041957</x:v>
      </x:c>
      <x:c r="AU567" s="7" t="str">
        <x:v>2026-01-08 14:40:00-06:00</x:v>
      </x:c>
      <x:c r="AV567" s="8" t="str">
        <x:v>2</x:v>
      </x:c>
      <x:c r="AW567" s="6" t="str">
        <x:v>Delayed retest (2+ bars)</x:v>
      </x:c>
      <x:c r="AX567" s="6" t="str">
        <x:v>23506.25</x:v>
      </x:c>
      <x:c r="AY567" s="6" t="str">
        <x:v>9.5</x:v>
      </x:c>
      <x:c r="AZ567" s="9" t="str">
        <x:v>0.4437972100194042</x:v>
      </x:c>
      <x:c r="BA567" s="9" t="str">
        <x:v>0.1751831092181859</x:v>
      </x:c>
      <x:c r="BB567" s="9" t="str">
        <x:v>0.9810254116218409</x:v>
      </x:c>
      <x:c r="BC567" s="9" t="str">
        <x:v>0.10510986553091152</x:v>
      </x:c>
      <x:c r="BD567" s="6" t="str">
        <x:v>0.2619047619047619</x:v>
      </x:c>
      <x:c r="BE567" s="6" t="str">
        <x:v>0.6309523809523809</x:v>
      </x:c>
      <x:c r="BF567" s="9" t="str">
        <x:v>0.6189803192375901</x:v>
      </x:c>
      <x:c r="BG567" s="9" t="str">
        <x:v>0.2569352268533393</x:v>
      </x:c>
      <x:c r="BH567" s="6" t="str">
        <x:v>Against trade</x:v>
      </x:c>
      <x:c r="BI567" s="6" t="str">
        <x:v>Penetration + same-bar reclaim</x:v>
      </x:c>
      <x:c r="BJ567" s="6" t="str">
        <x:v>False</x:v>
      </x:c>
      <x:c r="BK567" s="10" t="str">
        <x:v>True</x:v>
      </x:c>
      <x:c r="BL567" s="6" t="str">
        <x:v>True</x:v>
      </x:c>
      <x:c r="BM567" s="7" t="str">
        <x:v>2026-01-08 14:45:00-06:00</x:v>
      </x:c>
      <x:c r="BN567" s="8" t="str">
        <x:v>1</x:v>
      </x:c>
      <x:c r="BO567" s="6" t="str">
        <x:v>Immediate confirmation (1 bar)</x:v>
      </x:c>
      <x:c r="BP567" s="9" t="str">
        <x:v>0.40403319755138156</x:v>
      </x:c>
      <x:c r="BQ567" s="9" t="str">
        <x:v>0.7724164070835235</x:v>
      </x:c>
      <x:c r="BR567" s="10" t="str">
        <x:v>0.5230769230769231</x:v>
      </x:c>
      <x:c r="BS567" s="9" t="str">
        <x:v>0.5585164789680862</x:v>
      </x:c>
      <x:c r="BT567" s="9" t="str">
        <x:v>0.3802665388718885</x:v>
      </x:c>
      <x:c r="BU567" s="9" t="str">
        <x:v>0.19013326943594425</x:v>
      </x:c>
      <x:c r="BV567" s="6" t="str">
        <x:v>With trade</x:v>
      </x:c>
      <x:c r="BW567" s="7" t="str">
        <x:v>2026-01-08 14:45:00-06:00</x:v>
      </x:c>
      <x:c r="BX567" s="6" t="str">
        <x:v>23527.5</x:v>
      </x:c>
      <x:c r="BY567" s="9" t="str">
        <x:v>21.03787523281188</x:v>
      </x:c>
      <x:c r="BZ567" s="9" t="str">
        <x:v>0.25</x:v>
      </x:c>
      <x:c r="CA567" s="6" t="str">
        <x:v>23495.94318715078</x:v>
      </x:c>
      <x:c r="CB567" s="6" t="str">
        <x:v>31.55681284921957</x:v>
      </x:c>
      <x:c r="CC567" s="9" t="str">
        <x:v>1.500000000000083</x:v>
      </x:c>
      <x:c r="CD567" s="6" t="str">
        <x:v>23590.613625698435</x:v>
      </x:c>
      <x:c r="CE567" s="6" t="str">
        <x:v>63.1136256984355</x:v>
      </x:c>
      <x:c r="CF567" s="6" t="str">
        <x:v>Fixed 2.00R target</x:v>
      </x:c>
      <x:c r="CG567" s="9" t="str">
        <x:v>0.02297443672350866</x:v>
      </x:c>
      <x:c r="CH567" s="9" t="str">
        <x:v>1.315088446931948</x:v>
      </x:c>
      <x:c r="CI567" s="9" t="str">
        <x:v>1.2921140102084392</x:v>
      </x:c>
      <x:c r="CJ567" s="6" t="str">
        <x:v>Win</x:v>
      </x:c>
      <x:c r="CK567" s="9" t="str">
        <x:v>1.703277205363573</x:v>
      </x:c>
      <x:c r="CL567" s="9" t="str">
        <x:v>0.5545553691881401</x:v>
      </x:c>
      <x:c r="CM567" s="7" t="str">
        <x:v>2026-01-08 15:45:00-06:00</x:v>
      </x:c>
      <x:c r="CN567" s="6" t="str">
        <x:v>23569.0</x:v>
      </x:c>
      <x:c r="CO567" s="6" t="str">
        <x:v>TIME</x:v>
      </x:c>
      <x:c r="CP567" s="6" t="str">
        <x:v>F::Long::Same-bar Setup+BOS::Penetration + same-bar reclaim</x:v>
      </x:c>
    </x:row>
    <x:row r="568" ht="18" customHeight="1">
      <x:c r="A568" s="6" t="str">
        <x:v>A0567</x:v>
      </x:c>
      <x:c r="B568" s="6" t="str">
        <x:v>2026-01-09</x:v>
      </x:c>
      <x:c r="C568" s="6" t="str">
        <x:v>2026</x:v>
      </x:c>
      <x:c r="D568" s="6" t="str">
        <x:v>2026-Q1</x:v>
      </x:c>
      <x:c r="E568" s="6" t="str">
        <x:v>Second 50%</x:v>
      </x:c>
      <x:c r="F568" s="6" t="str">
        <x:v>Long</x:v>
      </x:c>
      <x:c r="G568" s="6" t="str">
        <x:v>Long</x:v>
      </x:c>
      <x:c r="H568" s="6" t="str">
        <x:v>Midday</x:v>
      </x:c>
      <x:c r="I568" s="6" t="str">
        <x:v>Midday</x:v>
      </x:c>
      <x:c r="J568" s="6" t="str">
        <x:v>Bull</x:v>
      </x:c>
      <x:c r="K568" s="6" t="str">
        <x:v>Bull</x:v>
      </x:c>
      <x:c r="L568" s="6" t="str">
        <x:v>MID</x:v>
      </x:c>
      <x:c r="M568" s="7" t="str">
        <x:v>2026-01-09 12:25:00-06:00</x:v>
      </x:c>
      <x:c r="N568" s="6" t="str">
        <x:v>100.0</x:v>
      </x:c>
      <x:c r="O568" s="6" t="str">
        <x:v>95+</x:v>
      </x:c>
      <x:c r="P568" s="6" t="str">
        <x:v>Matching liquidity sweep only</x:v>
      </x:c>
      <x:c r="Q568" s="6" t="str">
        <x:v>Recent bull structure</x:v>
      </x:c>
      <x:c r="R568" s="6" t="str">
        <x:v>False</x:v>
      </x:c>
      <x:c r="S568" s="6" t="str">
        <x:v>True</x:v>
      </x:c>
      <x:c r="T568" s="6" t="str">
        <x:v>Recent SSL</x:v>
      </x:c>
      <x:c r="U568" s="6" t="str">
        <x:v>SSL</x:v>
      </x:c>
      <x:c r="V568" s="6" t="str">
        <x:v>Swing low / sell-side</x:v>
      </x:c>
      <x:c r="W568" s="6" t="str">
        <x:v>[23725.0]</x:v>
      </x:c>
      <x:c r="X568" s="8" t="str">
        <x:v>1</x:v>
      </x:c>
      <x:c r="Y568" s="8" t="str">
        <x:v>0.0</x:v>
      </x:c>
      <x:c r="Z568" s="6" t="str">
        <x:v>Sweep below CRT reference</x:v>
      </x:c>
      <x:c r="AA568" s="6" t="str">
        <x:v>23775.5</x:v>
      </x:c>
      <x:c r="AB568" s="9" t="str">
        <x:v>-1.2051089990735018</x:v>
      </x:c>
      <x:c r="AC568" s="9" t="str">
        <x:v>0.7424332226434966</x:v>
      </x:c>
      <x:c r="AD568" s="9" t="str">
        <x:v>1.172829293741176</x:v>
      </x:c>
      <x:c r="AE568" s="6" t="str">
        <x:v>With trade</x:v>
      </x:c>
      <x:c r="AF568" s="7" t="str">
        <x:v>2026-01-09 12:35:00-06:00</x:v>
      </x:c>
      <x:c r="AG568" s="6" t="str">
        <x:v>Long</x:v>
      </x:c>
      <x:c r="AH568" s="6" t="str">
        <x:v>23775.5</x:v>
      </x:c>
      <x:c r="AI568" s="8" t="str">
        <x:v>2</x:v>
      </x:c>
      <x:c r="AJ568" s="6" t="str">
        <x:v>False</x:v>
      </x:c>
      <x:c r="AK568" s="6" t="str">
        <x:v>Delayed BOS</x:v>
      </x:c>
      <x:c r="AL568" s="9" t="str">
        <x:v>1.064959076283456</x:v>
      </x:c>
      <x:c r="AM568" s="9" t="str">
        <x:v>0.628325855007239</x:v>
      </x:c>
      <x:c r="AN568" s="9" t="str">
        <x:v>1.064959076283456</x:v>
      </x:c>
      <x:c r="AO568" s="9" t="str">
        <x:v>1.1821045746746361</x:v>
      </x:c>
      <x:c r="AP568" s="10" t="str">
        <x:v>0.9009009009009009</x:v>
      </x:c>
      <x:c r="AQ568" s="6" t="str">
        <x:v>0.05405405405405406</x:v>
      </x:c>
      <x:c r="AR568" s="6" t="str">
        <x:v>0.04504504504504504</x:v>
      </x:c>
      <x:c r="AS568" s="6" t="str">
        <x:v>With trade</x:v>
      </x:c>
      <x:c r="AT568" s="6" t="str">
        <x:v>1.347286984422088</x:v>
      </x:c>
      <x:c r="AU568" s="7" t="str">
        <x:v>2026-01-09 12:40:00-06:00</x:v>
      </x:c>
      <x:c r="AV568" s="8" t="str">
        <x:v>1</x:v>
      </x:c>
      <x:c r="AW568" s="6" t="str">
        <x:v>Immediate retest (1 bar)</x:v>
      </x:c>
      <x:c r="AX568" s="6" t="str">
        <x:v>23777.25</x:v>
      </x:c>
      <x:c r="AY568" s="6" t="str">
        <x:v>0.0</x:v>
      </x:c>
      <x:c r="AZ568" s="9" t="str">
        <x:v>0.0</x:v>
      </x:c>
      <x:c r="BA568" s="9" t="str">
        <x:v>0.13906886082604636</x:v>
      </x:c>
      <x:c r="BB568" s="9" t="str">
        <x:v>0.9413892117455447</x:v>
      </x:c>
      <x:c r="BC568" s="9" t="str">
        <x:v>0.48139221055169895</x:v>
      </x:c>
      <x:c r="BD568" s="6" t="str">
        <x:v>0.42045454545454547</x:v>
      </x:c>
      <x:c r="BE568" s="6" t="str">
        <x:v>0.06818181818181818</x:v>
      </x:c>
      <x:c r="BF568" s="9" t="str">
        <x:v>0.06418562807355986</x:v>
      </x:c>
      <x:c r="BG568" s="9" t="str">
        <x:v>0.3958113731202858</x:v>
      </x:c>
      <x:c r="BH568" s="6" t="str">
        <x:v>Against trade</x:v>
      </x:c>
      <x:c r="BI568" s="6" t="str">
        <x:v>Tolerance-only shallow touch</x:v>
      </x:c>
      <x:c r="BJ568" s="6" t="str">
        <x:v>True</x:v>
      </x:c>
      <x:c r="BK568" s="10" t="str">
        <x:v>False</x:v>
      </x:c>
      <x:c r="BL568" s="6" t="str">
        <x:v>True</x:v>
      </x:c>
      <x:c r="BM568" s="7" t="str">
        <x:v>2026-01-09 12:45:00-06:00</x:v>
      </x:c>
      <x:c r="BN568" s="8" t="str">
        <x:v>1</x:v>
      </x:c>
      <x:c r="BO568" s="6" t="str">
        <x:v>Immediate confirmation (1 bar)</x:v>
      </x:c>
      <x:c r="BP568" s="9" t="str">
        <x:v>0.5022518220495725</x:v>
      </x:c>
      <x:c r="BQ568" s="9" t="str">
        <x:v>0.7315406973330731</x:v>
      </x:c>
      <x:c r="BR568" s="10" t="str">
        <x:v>0.6865671641791045</x:v>
      </x:c>
      <x:c r="BS568" s="9" t="str">
        <x:v>0.6551110722385729</x:v>
      </x:c>
      <x:c r="BT568" s="9" t="str">
        <x:v>0.5131703399202154</x:v>
      </x:c>
      <x:c r="BU568" s="9" t="str">
        <x:v>0.1201036965770717</x:v>
      </x:c>
      <x:c r="BV568" s="6" t="str">
        <x:v>With trade</x:v>
      </x:c>
      <x:c r="BW568" s="7" t="str">
        <x:v>2026-01-09 12:45:00-06:00</x:v>
      </x:c>
      <x:c r="BX568" s="6" t="str">
        <x:v>23790.5</x:v>
      </x:c>
      <x:c r="BY568" s="9" t="str">
        <x:v>22.896880598802372</x:v>
      </x:c>
      <x:c r="BZ568" s="9" t="str">
        <x:v>0.48</x:v>
      </x:c>
      <x:c r="CA568" s="6" t="str">
        <x:v>23756.154679101797</x:v>
      </x:c>
      <x:c r="CB568" s="6" t="str">
        <x:v>34.34532089820277</x:v>
      </x:c>
      <x:c r="CC568" s="9" t="str">
        <x:v>1.4999999999999656</x:v>
      </x:c>
      <x:c r="CD568" s="6" t="str">
        <x:v>23859.190641796406</x:v>
      </x:c>
      <x:c r="CE568" s="6" t="str">
        <x:v>68.69064179640554</x:v>
      </x:c>
      <x:c r="CF568" s="6" t="str">
        <x:v>Fixed 2.00R target</x:v>
      </x:c>
      <x:c r="CG568" s="9" t="str">
        <x:v>0.021109134549910057</x:v>
      </x:c>
      <x:c r="CH568" s="9" t="str">
        <x:v>0.4149036790844295</x:v>
      </x:c>
      <x:c r="CI568" s="9" t="str">
        <x:v>0.39379454453451945</x:v>
      </x:c>
      <x:c r="CJ568" s="6" t="str">
        <x:v>Win</x:v>
      </x:c>
      <x:c r="CK568" s="9" t="str">
        <x:v>0.6259950245835396</x:v>
      </x:c>
      <x:c r="CL568" s="9" t="str">
        <x:v>0.17469628593029013</x:v>
      </x:c>
      <x:c r="CM568" s="7" t="str">
        <x:v>2026-01-09 13:45:00-06:00</x:v>
      </x:c>
      <x:c r="CN568" s="6" t="str">
        <x:v>23804.75</x:v>
      </x:c>
      <x:c r="CO568" s="6" t="str">
        <x:v>TIME</x:v>
      </x:c>
      <x:c r="CP568" s="6" t="str">
        <x:v>F::Long::Delayed BOS::Tolerance-only shallow touch</x:v>
      </x:c>
    </x:row>
    <x:row r="569" ht="18" customHeight="1">
      <x:c r="A569" s="6" t="str">
        <x:v>A0568</x:v>
      </x:c>
      <x:c r="B569" s="6" t="str">
        <x:v>2026-01-09</x:v>
      </x:c>
      <x:c r="C569" s="6" t="str">
        <x:v>2026</x:v>
      </x:c>
      <x:c r="D569" s="6" t="str">
        <x:v>2026-Q1</x:v>
      </x:c>
      <x:c r="E569" s="6" t="str">
        <x:v>Second 50%</x:v>
      </x:c>
      <x:c r="F569" s="6" t="str">
        <x:v>Long</x:v>
      </x:c>
      <x:c r="G569" s="6" t="str">
        <x:v>Long</x:v>
      </x:c>
      <x:c r="H569" s="6" t="str">
        <x:v>Afternoon</x:v>
      </x:c>
      <x:c r="I569" s="6" t="str">
        <x:v>Afternoon</x:v>
      </x:c>
      <x:c r="J569" s="6" t="str">
        <x:v>Bull</x:v>
      </x:c>
      <x:c r="K569" s="6" t="str">
        <x:v>Bull</x:v>
      </x:c>
      <x:c r="L569" s="6" t="str">
        <x:v>LOW</x:v>
      </x:c>
      <x:c r="M569" s="7" t="str">
        <x:v>2026-01-09 14:05:00-06:00</x:v>
      </x:c>
      <x:c r="N569" s="6" t="str">
        <x:v>85.0</x:v>
      </x:c>
      <x:c r="O569" s="6" t="str">
        <x:v>85-89</x:v>
      </x:c>
      <x:c r="P569" s="6" t="str">
        <x:v>Matching BOS only</x:v>
      </x:c>
      <x:c r="Q569" s="6" t="str">
        <x:v>Bull BOS</x:v>
      </x:c>
      <x:c r="R569" s="6" t="str">
        <x:v>True</x:v>
      </x:c>
      <x:c r="S569" s="6" t="str">
        <x:v>False</x:v>
      </x:c>
      <x:c r="T569" s="6" t="str">
        <x:v>Recent SSL</x:v>
      </x:c>
      <x:c r="U569" s="6" t="str">
        <x:v>SSL</x:v>
      </x:c>
      <x:c r="V569" s="6" t="str">
        <x:v>Swing low / sell-side</x:v>
      </x:c>
      <x:c r="W569" s="6" t="str">
        <x:v>[23725.0]</x:v>
      </x:c>
      <x:c r="X569" s="8" t="str">
        <x:v>1</x:v>
      </x:c>
      <x:c r="Y569" s="8" t="str">
        <x:v>20.0</x:v>
      </x:c>
      <x:c r="Z569" s="6" t="str">
        <x:v>None</x:v>
      </x:c>
      <x:c r="AA569" s="6" t="str">
        <x:v>23807.25</x:v>
      </x:c>
      <x:c r="AB569" s="9" t="str">
        <x:v>0.1817643334505254</x:v>
      </x:c>
      <x:c r="AC569" s="9" t="str">
        <x:v>0.4131007578421032</x:v>
      </x:c>
      <x:c r="AD569" s="9" t="str">
        <x:v>0.8757736066252587</x:v>
      </x:c>
      <x:c r="AE569" s="6" t="str">
        <x:v>With trade</x:v>
      </x:c>
      <x:c r="AF569" s="7" t="str">
        <x:v>2026-01-09 14:05:00-06:00</x:v>
      </x:c>
      <x:c r="AG569" s="6" t="str">
        <x:v>Long</x:v>
      </x:c>
      <x:c r="AH569" s="6" t="str">
        <x:v>23807.25</x:v>
      </x:c>
      <x:c r="AI569" s="8" t="str">
        <x:v>0</x:v>
      </x:c>
      <x:c r="AJ569" s="6" t="str">
        <x:v>True</x:v>
      </x:c>
      <x:c r="AK569" s="6" t="str">
        <x:v>Same-bar Setup+BOS</x:v>
      </x:c>
      <x:c r="AL569" s="9" t="str">
        <x:v>0.39657672752841905</x:v>
      </x:c>
      <x:c r="AM569" s="9" t="str">
        <x:v>0.1817643334505254</x:v>
      </x:c>
      <x:c r="AN569" s="9" t="str">
        <x:v>0.4131007578421032</x:v>
      </x:c>
      <x:c r="AO569" s="9" t="str">
        <x:v>0.8757736066252587</x:v>
      </x:c>
      <x:c r="AP569" s="10" t="str">
        <x:v>0.4716981132075472</x:v>
      </x:c>
      <x:c r="AQ569" s="6" t="str">
        <x:v>0.2641509433962264</x:v>
      </x:c>
      <x:c r="AR569" s="6" t="str">
        <x:v>0.2641509433962264</x:v>
      </x:c>
      <x:c r="AS569" s="6" t="str">
        <x:v>With trade</x:v>
      </x:c>
      <x:c r="AT569" s="6" t="str">
        <x:v>0.7158907868832899</x:v>
      </x:c>
      <x:c r="AU569" s="7" t="str">
        <x:v>2026-01-09 14:10:00-06:00</x:v>
      </x:c>
      <x:c r="AV569" s="8" t="str">
        <x:v>1</x:v>
      </x:c>
      <x:c r="AW569" s="6" t="str">
        <x:v>Immediate retest (1 bar)</x:v>
      </x:c>
      <x:c r="AX569" s="6" t="str">
        <x:v>23803.75</x:v>
      </x:c>
      <x:c r="AY569" s="6" t="str">
        <x:v>3.5</x:v>
      </x:c>
      <x:c r="AZ569" s="9" t="str">
        <x:v>0.23939428255851264</x:v>
      </x:c>
      <x:c r="BA569" s="9" t="str">
        <x:v>-0.08549795805661166</x:v>
      </x:c>
      <x:c r="BB569" s="9" t="str">
        <x:v>0.5471869315623146</x:v>
      </x:c>
      <x:c r="BC569" s="9" t="str">
        <x:v>0.30779264900380193</x:v>
      </x:c>
      <x:c r="BD569" s="6" t="str">
        <x:v>0.15625</x:v>
      </x:c>
      <x:c r="BE569" s="6" t="str">
        <x:v>0.28125</x:v>
      </x:c>
      <x:c r="BF569" s="9" t="str">
        <x:v>0.15389632450190097</x:v>
      </x:c>
      <x:c r="BG569" s="9" t="str">
        <x:v>0.08549795805661166</x:v>
      </x:c>
      <x:c r="BH569" s="6" t="str">
        <x:v>Against trade</x:v>
      </x:c>
      <x:c r="BI569" s="6" t="str">
        <x:v>Penetration without same-bar reclaim</x:v>
      </x:c>
      <x:c r="BJ569" s="6" t="str">
        <x:v>False</x:v>
      </x:c>
      <x:c r="BK569" s="10" t="str">
        <x:v>True</x:v>
      </x:c>
      <x:c r="BL569" s="6" t="str">
        <x:v>False</x:v>
      </x:c>
      <x:c r="BM569" s="7" t="str">
        <x:v>2026-01-09 14:15:00-06:00</x:v>
      </x:c>
      <x:c r="BN569" s="8" t="str">
        <x:v>1</x:v>
      </x:c>
      <x:c r="BO569" s="6" t="str">
        <x:v>Immediate confirmation (1 bar)</x:v>
      </x:c>
      <x:c r="BP569" s="9" t="str">
        <x:v>0.4008704242656744</x:v>
      </x:c>
      <x:c r="BQ569" s="9" t="str">
        <x:v>0.7494534018879999</x:v>
      </x:c>
      <x:c r="BR569" s="10" t="str">
        <x:v>0.5348837209302325</x:v>
      </x:c>
      <x:c r="BS569" s="9" t="str">
        <x:v>0.2962955309789767</x:v>
      </x:c>
      <x:c r="BT569" s="9" t="str">
        <x:v>0.38344127538455813</x:v>
      </x:c>
      <x:c r="BU569" s="9" t="str">
        <x:v>0.1568623399300465</x:v>
      </x:c>
      <x:c r="BV569" s="6" t="str">
        <x:v>With trade</x:v>
      </x:c>
      <x:c r="BW569" s="7" t="str">
        <x:v>2026-01-09 14:15:00-06:00</x:v>
      </x:c>
      <x:c r="BX569" s="6" t="str">
        <x:v>23811.5</x:v>
      </x:c>
      <x:c r="BY569" s="9" t="str">
        <x:v>14.343787049226718</x:v>
      </x:c>
      <x:c r="BZ569" s="9" t="str">
        <x:v>0.19</x:v>
      </x:c>
      <x:c r="CA569" s="6" t="str">
        <x:v>23789.98431942616</x:v>
      </x:c>
      <x:c r="CB569" s="6" t="str">
        <x:v>21.515680573840655</x:v>
      </x:c>
      <x:c r="CC569" s="9" t="str">
        <x:v>1.5000000000000404</x:v>
      </x:c>
      <x:c r="CD569" s="6" t="str">
        <x:v>23854.53136114768</x:v>
      </x:c>
      <x:c r="CE569" s="6" t="str">
        <x:v>43.03136114768131</x:v>
      </x:c>
      <x:c r="CF569" s="6" t="str">
        <x:v>Fixed 2.00R target</x:v>
      </x:c>
      <x:c r="CG569" s="9" t="str">
        <x:v>0.033696354503490566</x:v>
      </x:c>
      <x:c r="CH569" s="9" t="str">
        <x:v>-1.0</x:v>
      </x:c>
      <x:c r="CI569" s="9" t="str">
        <x:v>-1.0336963545034905</x:v>
      </x:c>
      <x:c r="CJ569" s="6" t="str">
        <x:v>Loss</x:v>
      </x:c>
      <x:c r="CK569" s="9" t="str">
        <x:v>0.6274493597201691</x:v>
      </x:c>
      <x:c r="CL569" s="9" t="str">
        <x:v>1.3710930453144436</x:v>
      </x:c>
      <x:c r="CM569" s="7" t="str">
        <x:v>2026-01-09 14:50:00-06:00</x:v>
      </x:c>
      <x:c r="CN569" s="6" t="str">
        <x:v>23789.98431942616</x:v>
      </x:c>
      <x:c r="CO569" s="6" t="str">
        <x:v>STOP</x:v>
      </x:c>
      <x:c r="CP569" s="6" t="str">
        <x:v>F::Long::Same-bar Setup+BOS::Penetration without same-bar reclaim</x:v>
      </x:c>
    </x:row>
    <x:row r="570" ht="18" customHeight="1">
      <x:c r="A570" s="6" t="str">
        <x:v>A0569</x:v>
      </x:c>
      <x:c r="B570" s="6" t="str">
        <x:v>2026-01-12</x:v>
      </x:c>
      <x:c r="C570" s="6" t="str">
        <x:v>2026</x:v>
      </x:c>
      <x:c r="D570" s="6" t="str">
        <x:v>2026-Q1</x:v>
      </x:c>
      <x:c r="E570" s="6" t="str">
        <x:v>Second 50%</x:v>
      </x:c>
      <x:c r="F570" s="6" t="str">
        <x:v>Long</x:v>
      </x:c>
      <x:c r="G570" s="6" t="str">
        <x:v>Long</x:v>
      </x:c>
      <x:c r="H570" s="6" t="str">
        <x:v>Morning</x:v>
      </x:c>
      <x:c r="I570" s="6" t="str">
        <x:v>Opening</x:v>
      </x:c>
      <x:c r="J570" s="6" t="str">
        <x:v>Bull</x:v>
      </x:c>
      <x:c r="K570" s="6" t="str">
        <x:v>Bull</x:v>
      </x:c>
      <x:c r="L570" s="6" t="str">
        <x:v>HIGH</x:v>
      </x:c>
      <x:c r="M570" s="7" t="str">
        <x:v>2026-01-12 10:10:00-06:00</x:v>
      </x:c>
      <x:c r="N570" s="6" t="str">
        <x:v>75.0</x:v>
      </x:c>
      <x:c r="O570" s="6" t="str">
        <x:v>75-79</x:v>
      </x:c>
      <x:c r="P570" s="6" t="str">
        <x:v>Matching BOS only</x:v>
      </x:c>
      <x:c r="Q570" s="6" t="str">
        <x:v>Bull BOS</x:v>
      </x:c>
      <x:c r="R570" s="6" t="str">
        <x:v>True</x:v>
      </x:c>
      <x:c r="S570" s="6" t="str">
        <x:v>False</x:v>
      </x:c>
      <x:c r="T570" s="6" t="str">
        <x:v>No recent matching sweep</x:v>
      </x:c>
      <x:c r="U570" s="6" t="str">
        <x:v>None</x:v>
      </x:c>
      <x:c r="V570" s="6" t="str">
        <x:v>None</x:v>
      </x:c>
      <x:c r="W570" s="6" t="str">
        <x:v>[]</x:v>
      </x:c>
      <x:c r="X570" s="8" t="str">
        <x:v>0</x:v>
      </x:c>
      <x:c r="Y570" s="8" t="str"/>
      <x:c r="Z570" s="6" t="str">
        <x:v>None</x:v>
      </x:c>
      <x:c r="AA570" s="6" t="str">
        <x:v>23773.0</x:v>
      </x:c>
      <x:c r="AB570" s="9" t="str">
        <x:v>0.47560226642662207</x:v>
      </x:c>
      <x:c r="AC570" s="9" t="str">
        <x:v>0.7627583518162807</x:v>
      </x:c>
      <x:c r="AD570" s="9" t="str">
        <x:v>0.798652862489988</x:v>
      </x:c>
      <x:c r="AE570" s="6" t="str">
        <x:v>With trade</x:v>
      </x:c>
      <x:c r="AF570" s="7" t="str">
        <x:v>2026-01-12 10:10:00-06:00</x:v>
      </x:c>
      <x:c r="AG570" s="6" t="str">
        <x:v>Long</x:v>
      </x:c>
      <x:c r="AH570" s="6" t="str">
        <x:v>23773.0</x:v>
      </x:c>
      <x:c r="AI570" s="8" t="str">
        <x:v>0</x:v>
      </x:c>
      <x:c r="AJ570" s="6" t="str">
        <x:v>True</x:v>
      </x:c>
      <x:c r="AK570" s="6" t="str">
        <x:v>Same-bar Setup+BOS</x:v>
      </x:c>
      <x:c r="AL570" s="9" t="str">
        <x:v>0.7627583518162807</x:v>
      </x:c>
      <x:c r="AM570" s="9" t="str">
        <x:v>0.47560226642662207</x:v>
      </x:c>
      <x:c r="AN570" s="9" t="str">
        <x:v>0.7627583518162807</x:v>
      </x:c>
      <x:c r="AO570" s="9" t="str">
        <x:v>0.798652862489988</x:v>
      </x:c>
      <x:c r="AP570" s="10" t="str">
        <x:v>0.9550561797752809</x:v>
      </x:c>
      <x:c r="AQ570" s="6" t="str">
        <x:v>0.02247191011235955</x:v>
      </x:c>
      <x:c r="AR570" s="6" t="str">
        <x:v>0.02247191011235955</x:v>
      </x:c>
      <x:c r="AS570" s="6" t="str">
        <x:v>With trade</x:v>
      </x:c>
      <x:c r="AT570" s="6" t="str">
        <x:v>0.6510619738042056</x:v>
      </x:c>
      <x:c r="AU570" s="7" t="str">
        <x:v>2026-01-12 10:20:00-06:00</x:v>
      </x:c>
      <x:c r="AV570" s="8" t="str">
        <x:v>2</x:v>
      </x:c>
      <x:c r="AW570" s="6" t="str">
        <x:v>Delayed retest (2+ bars)</x:v>
      </x:c>
      <x:c r="AX570" s="6" t="str">
        <x:v>23773.0</x:v>
      </x:c>
      <x:c r="AY570" s="6" t="str">
        <x:v>0.0</x:v>
      </x:c>
      <x:c r="AZ570" s="9" t="str">
        <x:v>0.0</x:v>
      </x:c>
      <x:c r="BA570" s="9" t="str">
        <x:v>0.39064273527336724</x:v>
      </x:c>
      <x:c r="BB570" s="9" t="str">
        <x:v>0.8835966631183306</x:v>
      </x:c>
      <x:c r="BC570" s="9" t="str">
        <x:v>0.20462238514319236</x:v>
      </x:c>
      <x:c r="BD570" s="6" t="str">
        <x:v>0.3263157894736842</x:v>
      </x:c>
      <x:c r="BE570" s="6" t="str">
        <x:v>0.4421052631578947</x:v>
      </x:c>
      <x:c r="BF570" s="9" t="str">
        <x:v>0.39064273527336724</x:v>
      </x:c>
      <x:c r="BG570" s="9" t="str">
        <x:v>0.288331542701771</x:v>
      </x:c>
      <x:c r="BH570" s="6" t="str">
        <x:v>Against trade</x:v>
      </x:c>
      <x:c r="BI570" s="6" t="str">
        <x:v>Exact BOS touch</x:v>
      </x:c>
      <x:c r="BJ570" s="6" t="str">
        <x:v>True</x:v>
      </x:c>
      <x:c r="BK570" s="10" t="str">
        <x:v>False</x:v>
      </x:c>
      <x:c r="BL570" s="6" t="str">
        <x:v>True</x:v>
      </x:c>
      <x:c r="BM570" s="7" t="str">
        <x:v>2026-01-12 10:30:00-06:00</x:v>
      </x:c>
      <x:c r="BN570" s="8" t="str">
        <x:v>2</x:v>
      </x:c>
      <x:c r="BO570" s="6" t="str">
        <x:v>Delayed confirmation (2+ bars)</x:v>
      </x:c>
      <x:c r="BP570" s="9" t="str">
        <x:v>0.10866357640266223</x:v>
      </x:c>
      <x:c r="BQ570" s="9" t="str">
        <x:v>0.5828319097960974</x:v>
      </x:c>
      <x:c r="BR570" s="10" t="str">
        <x:v>0.1864406779661017</x:v>
      </x:c>
      <x:c r="BS570" s="9" t="str">
        <x:v>0.43465430561064894</x:v>
      </x:c>
      <x:c r="BT570" s="9" t="str">
        <x:v>0.019757013891393133</x:v>
      </x:c>
      <x:c r="BU570" s="9" t="str">
        <x:v>0.3358692361536833</x:v>
      </x:c>
      <x:c r="BV570" s="6" t="str">
        <x:v>With trade</x:v>
      </x:c>
      <x:c r="BW570" s="7" t="str">
        <x:v>2026-01-12 10:30:00-06:00</x:v>
      </x:c>
      <x:c r="BX570" s="6" t="str">
        <x:v>23784.0</x:v>
      </x:c>
      <x:c r="BY570" s="9" t="str">
        <x:v>25.307468160348765</x:v>
      </x:c>
      <x:c r="BZ570" s="9" t="str">
        <x:v>0.78</x:v>
      </x:c>
      <x:c r="CA570" s="6" t="str">
        <x:v>23746.038797759476</x:v>
      </x:c>
      <x:c r="CB570" s="6" t="str">
        <x:v>37.96120224052356</x:v>
      </x:c>
      <x:c r="CC570" s="9" t="str">
        <x:v>1.5000000000000164</x:v>
      </x:c>
      <x:c r="CD570" s="6" t="str">
        <x:v>23859.922404481047</x:v>
      </x:c>
      <x:c r="CE570" s="6" t="str">
        <x:v>75.92240448104712</x:v>
      </x:c>
      <x:c r="CF570" s="6" t="str">
        <x:v>Fixed 2.00R target</x:v>
      </x:c>
      <x:c r="CG570" s="9" t="str">
        <x:v>0.01909844676167982</x:v>
      </x:c>
      <x:c r="CH570" s="9" t="str">
        <x:v>0.2107414815081934</x:v>
      </x:c>
      <x:c r="CI570" s="9" t="str">
        <x:v>0.1916430347465136</x:v>
      </x:c>
      <x:c r="CJ570" s="6" t="str">
        <x:v>Win</x:v>
      </x:c>
      <x:c r="CK570" s="9" t="str">
        <x:v>0.7771092130614548</x:v>
      </x:c>
      <x:c r="CL570" s="9" t="str">
        <x:v>0.5927104167417876</x:v>
      </x:c>
      <x:c r="CM570" s="7" t="str">
        <x:v>2026-01-12 11:30:00-06:00</x:v>
      </x:c>
      <x:c r="CN570" s="6" t="str">
        <x:v>23792.0</x:v>
      </x:c>
      <x:c r="CO570" s="6" t="str">
        <x:v>TIME</x:v>
      </x:c>
      <x:c r="CP570" s="6" t="str">
        <x:v>F::Long::Same-bar Setup+BOS::Exact BOS touch</x:v>
      </x:c>
    </x:row>
    <x:row r="571" ht="18" customHeight="1">
      <x:c r="A571" s="6" t="str">
        <x:v>A0570</x:v>
      </x:c>
      <x:c r="B571" s="6" t="str">
        <x:v>2026-01-12</x:v>
      </x:c>
      <x:c r="C571" s="6" t="str">
        <x:v>2026</x:v>
      </x:c>
      <x:c r="D571" s="6" t="str">
        <x:v>2026-Q1</x:v>
      </x:c>
      <x:c r="E571" s="6" t="str">
        <x:v>Second 50%</x:v>
      </x:c>
      <x:c r="F571" s="6" t="str">
        <x:v>Short</x:v>
      </x:c>
      <x:c r="G571" s="6" t="str">
        <x:v>Short</x:v>
      </x:c>
      <x:c r="H571" s="6" t="str">
        <x:v>After-hours</x:v>
      </x:c>
      <x:c r="I571" s="6" t="str">
        <x:v>Afternoon</x:v>
      </x:c>
      <x:c r="J571" s="6" t="str">
        <x:v>Bull</x:v>
      </x:c>
      <x:c r="K571" s="6" t="str">
        <x:v>Bull</x:v>
      </x:c>
      <x:c r="L571" s="6" t="str">
        <x:v>MID</x:v>
      </x:c>
      <x:c r="M571" s="7" t="str">
        <x:v>2026-01-12 15:45:00-06:00</x:v>
      </x:c>
      <x:c r="N571" s="6" t="str">
        <x:v>75.0</x:v>
      </x:c>
      <x:c r="O571" s="6" t="str">
        <x:v>75-79</x:v>
      </x:c>
      <x:c r="P571" s="6" t="str">
        <x:v>Matching BOS only</x:v>
      </x:c>
      <x:c r="Q571" s="6" t="str">
        <x:v>Bear BOS</x:v>
      </x:c>
      <x:c r="R571" s="6" t="str">
        <x:v>True</x:v>
      </x:c>
      <x:c r="S571" s="6" t="str">
        <x:v>False</x:v>
      </x:c>
      <x:c r="T571" s="6" t="str">
        <x:v>No recent matching sweep</x:v>
      </x:c>
      <x:c r="U571" s="6" t="str">
        <x:v>None</x:v>
      </x:c>
      <x:c r="V571" s="6" t="str">
        <x:v>None</x:v>
      </x:c>
      <x:c r="W571" s="6" t="str">
        <x:v>[]</x:v>
      </x:c>
      <x:c r="X571" s="8" t="str">
        <x:v>0</x:v>
      </x:c>
      <x:c r="Y571" s="8" t="str"/>
      <x:c r="Z571" s="6" t="str">
        <x:v>None</x:v>
      </x:c>
      <x:c r="AA571" s="6" t="str">
        <x:v>23788.0</x:v>
      </x:c>
      <x:c r="AB571" s="9" t="str">
        <x:v>0.19303589036628696</x:v>
      </x:c>
      <x:c r="AC571" s="9" t="str">
        <x:v>1.823116742348266</x:v>
      </x:c>
      <x:c r="AD571" s="9" t="str">
        <x:v>1.9303589036628697</x:v>
      </x:c>
      <x:c r="AE571" s="6" t="str">
        <x:v>With trade</x:v>
      </x:c>
      <x:c r="AF571" s="7" t="str">
        <x:v>2026-01-12 15:45:00-06:00</x:v>
      </x:c>
      <x:c r="AG571" s="6" t="str">
        <x:v>Short</x:v>
      </x:c>
      <x:c r="AH571" s="6" t="str">
        <x:v>23788.0</x:v>
      </x:c>
      <x:c r="AI571" s="8" t="str">
        <x:v>0</x:v>
      </x:c>
      <x:c r="AJ571" s="6" t="str">
        <x:v>True</x:v>
      </x:c>
      <x:c r="AK571" s="6" t="str">
        <x:v>Same-bar Setup+BOS</x:v>
      </x:c>
      <x:c r="AL571" s="9" t="str">
        <x:v>1.823116742348266</x:v>
      </x:c>
      <x:c r="AM571" s="9" t="str">
        <x:v>0.19303589036628696</x:v>
      </x:c>
      <x:c r="AN571" s="9" t="str">
        <x:v>1.823116742348266</x:v>
      </x:c>
      <x:c r="AO571" s="9" t="str">
        <x:v>1.9303589036628697</x:v>
      </x:c>
      <x:c r="AP571" s="10" t="str">
        <x:v>0.9444444444444444</x:v>
      </x:c>
      <x:c r="AQ571" s="6" t="str">
        <x:v>0.022222222222222223</x:v>
      </x:c>
      <x:c r="AR571" s="6" t="str">
        <x:v>0.03333333333333333</x:v>
      </x:c>
      <x:c r="AS571" s="6" t="str">
        <x:v>With trade</x:v>
      </x:c>
      <x:c r="AT571" s="6" t="str">
        <x:v>0.3749655362558588</x:v>
      </x:c>
      <x:c r="AU571" s="7" t="str">
        <x:v>2026-01-12 15:50:00-06:00</x:v>
      </x:c>
      <x:c r="AV571" s="8" t="str">
        <x:v>1</x:v>
      </x:c>
      <x:c r="AW571" s="6" t="str">
        <x:v>Immediate retest (1 bar)</x:v>
      </x:c>
      <x:c r="AX571" s="6" t="str">
        <x:v>23787.5</x:v>
      </x:c>
      <x:c r="AY571" s="6" t="str">
        <x:v>0.0</x:v>
      </x:c>
      <x:c r="AZ571" s="9" t="str">
        <x:v>0.0</x:v>
      </x:c>
      <x:c r="BA571" s="9" t="str">
        <x:v>0.8394481823895791</x:v>
      </x:c>
      <x:c r="BB571" s="9" t="str">
        <x:v>1.280158478144108</x:v>
      </x:c>
      <x:c r="BC571" s="9" t="str">
        <x:v>0.6505723413519238</x:v>
      </x:c>
      <x:c r="BD571" s="6" t="str">
        <x:v>0.11475409836065574</x:v>
      </x:c>
      <x:c r="BE571" s="6" t="str">
        <x:v>0.3770491803278688</x:v>
      </x:c>
      <x:c r="BF571" s="9" t="str">
        <x:v>0.14690343191817634</x:v>
      </x:c>
      <x:c r="BG571" s="9" t="str">
        <x:v>0.48268270487400794</x:v>
      </x:c>
      <x:c r="BH571" s="6" t="str">
        <x:v>With trade</x:v>
      </x:c>
      <x:c r="BI571" s="6" t="str">
        <x:v>Tolerance-only shallow touch</x:v>
      </x:c>
      <x:c r="BJ571" s="6" t="str">
        <x:v>True</x:v>
      </x:c>
      <x:c r="BK571" s="10" t="str">
        <x:v>False</x:v>
      </x:c>
      <x:c r="BL571" s="6" t="str">
        <x:v>True</x:v>
      </x:c>
      <x:c r="BM571" s="7" t="str">
        <x:v>2026-01-12 17:00:00-06:00</x:v>
      </x:c>
      <x:c r="BN571" s="8" t="str">
        <x:v>2</x:v>
      </x:c>
      <x:c r="BO571" s="6" t="str">
        <x:v>Delayed confirmation (2+ bars)</x:v>
      </x:c>
      <x:c r="BP571" s="9" t="str">
        <x:v>2.3757773824424944</x:v>
      </x:c>
      <x:c r="BQ571" s="9" t="str">
        <x:v>2.8617318470330044</x:v>
      </x:c>
      <x:c r="BR571" s="10" t="str">
        <x:v>0.8301886792452831</x:v>
      </x:c>
      <x:c r="BS571" s="9" t="str">
        <x:v>2.0158111123754496</x:v>
      </x:c>
      <x:c r="BT571" s="9" t="str">
        <x:v>1.2958785722413606</x:v>
      </x:c>
      <x:c r="BU571" s="9" t="str">
        <x:v>0.03599662700670446</x:v>
      </x:c>
      <x:c r="BV571" s="6" t="str">
        <x:v>With trade</x:v>
      </x:c>
      <x:c r="BW571" s="7" t="str">
        <x:v>2026-01-12 17:00:00-06:00</x:v>
      </x:c>
      <x:c r="BX571" s="6" t="str">
        <x:v>23760.0</x:v>
      </x:c>
      <x:c r="BY571" s="9" t="str">
        <x:v>13.890190319967306</x:v>
      </x:c>
      <x:c r="BZ571" s="9" t="str">
        <x:v>0.34</x:v>
      </x:c>
      <x:c r="CA571" s="6" t="str">
        <x:v>23780.835285479952</x:v>
      </x:c>
      <x:c r="CB571" s="6" t="str">
        <x:v>20.83528547995229</x:v>
      </x:c>
      <x:c r="CC571" s="9" t="str">
        <x:v>1.5000000000000957</x:v>
      </x:c>
      <x:c r="CD571" s="6" t="str">
        <x:v>23718.3294290401</x:v>
      </x:c>
      <x:c r="CE571" s="6" t="str">
        <x:v>41.67057095990094</x:v>
      </x:c>
      <x:c r="CF571" s="6" t="str">
        <x:v>Fixed 2.00R target</x:v>
      </x:c>
      <x:c r="CG571" s="9" t="str">
        <x:v>0.03479673943981209</x:v>
      </x:c>
      <x:c r="CH571" s="9" t="str">
        <x:v>1.703840344984011</x:v>
      </x:c>
      <x:c r="CI571" s="9" t="str">
        <x:v>1.6690436055441988</x:v>
      </x:c>
      <x:c r="CJ571" s="6" t="str">
        <x:v>Win</x:v>
      </x:c>
      <x:c r="CK571" s="9" t="str">
        <x:v>1.847826853010711</x:v>
      </x:c>
      <x:c r="CL571" s="9" t="str">
        <x:v>0.8639190481608519</x:v>
      </x:c>
      <x:c r="CM571" s="7" t="str">
        <x:v>2026-01-12 18:00:00-06:00</x:v>
      </x:c>
      <x:c r="CN571" s="6" t="str">
        <x:v>23724.5</x:v>
      </x:c>
      <x:c r="CO571" s="6" t="str">
        <x:v>TIME</x:v>
      </x:c>
      <x:c r="CP571" s="6" t="str">
        <x:v>F::Short::Same-bar Setup+BOS::Tolerance-only shallow touch</x:v>
      </x:c>
    </x:row>
    <x:row r="572" ht="18" customHeight="1">
      <x:c r="A572" s="6" t="str">
        <x:v>A0571</x:v>
      </x:c>
      <x:c r="B572" s="6" t="str">
        <x:v>2026-01-13</x:v>
      </x:c>
      <x:c r="C572" s="6" t="str">
        <x:v>2026</x:v>
      </x:c>
      <x:c r="D572" s="6" t="str">
        <x:v>2026-Q1</x:v>
      </x:c>
      <x:c r="E572" s="6" t="str">
        <x:v>Second 50%</x:v>
      </x:c>
      <x:c r="F572" s="6" t="str">
        <x:v>Short</x:v>
      </x:c>
      <x:c r="G572" s="6" t="str">
        <x:v>Short</x:v>
      </x:c>
      <x:c r="H572" s="6" t="str">
        <x:v>Premarket</x:v>
      </x:c>
      <x:c r="I572" s="6" t="str">
        <x:v>Premarket</x:v>
      </x:c>
      <x:c r="J572" s="6" t="str">
        <x:v>Bull</x:v>
      </x:c>
      <x:c r="K572" s="6" t="str">
        <x:v>Bull</x:v>
      </x:c>
      <x:c r="L572" s="6" t="str">
        <x:v>HIGH</x:v>
      </x:c>
      <x:c r="M572" s="7" t="str">
        <x:v>2026-01-13 09:00:00-06:00</x:v>
      </x:c>
      <x:c r="N572" s="6" t="str">
        <x:v>75.0</x:v>
      </x:c>
      <x:c r="O572" s="6" t="str">
        <x:v>75-79</x:v>
      </x:c>
      <x:c r="P572" s="6" t="str">
        <x:v>Matching BOS only</x:v>
      </x:c>
      <x:c r="Q572" s="6" t="str">
        <x:v>Bear CHoCH</x:v>
      </x:c>
      <x:c r="R572" s="6" t="str">
        <x:v>True</x:v>
      </x:c>
      <x:c r="S572" s="6" t="str">
        <x:v>False</x:v>
      </x:c>
      <x:c r="T572" s="6" t="str">
        <x:v>Recent BSL</x:v>
      </x:c>
      <x:c r="U572" s="6" t="str">
        <x:v>BSL</x:v>
      </x:c>
      <x:c r="V572" s="6" t="str">
        <x:v>Swing high / buy-side</x:v>
      </x:c>
      <x:c r="W572" s="6" t="str">
        <x:v>[23860.0]</x:v>
      </x:c>
      <x:c r="X572" s="8" t="str">
        <x:v>1</x:v>
      </x:c>
      <x:c r="Y572" s="8" t="str">
        <x:v>18.0</x:v>
      </x:c>
      <x:c r="Z572" s="6" t="str">
        <x:v>None</x:v>
      </x:c>
      <x:c r="AA572" s="6" t="str">
        <x:v>23770.25</x:v>
      </x:c>
      <x:c r="AB572" s="9" t="str">
        <x:v>0.03361835322791277</x:v>
      </x:c>
      <x:c r="AC572" s="9" t="str">
        <x:v>0.4773806158363613</x:v>
      </x:c>
      <x:c r="AD572" s="9" t="str">
        <x:v>2.0708905588394266</x:v>
      </x:c>
      <x:c r="AE572" s="6" t="str">
        <x:v>With trade</x:v>
      </x:c>
      <x:c r="AF572" s="7" t="str">
        <x:v>2026-01-13 09:00:00-06:00</x:v>
      </x:c>
      <x:c r="AG572" s="6" t="str">
        <x:v>Short</x:v>
      </x:c>
      <x:c r="AH572" s="6" t="str">
        <x:v>23770.25</x:v>
      </x:c>
      <x:c r="AI572" s="8" t="str">
        <x:v>0</x:v>
      </x:c>
      <x:c r="AJ572" s="6" t="str">
        <x:v>True</x:v>
      </x:c>
      <x:c r="AK572" s="6" t="str">
        <x:v>Same-bar Setup+BOS</x:v>
      </x:c>
      <x:c r="AL572" s="9" t="str">
        <x:v>0.5177226397098567</x:v>
      </x:c>
      <x:c r="AM572" s="9" t="str">
        <x:v>0.03361835322791277</x:v>
      </x:c>
      <x:c r="AN572" s="9" t="str">
        <x:v>0.4773806158363613</x:v>
      </x:c>
      <x:c r="AO572" s="9" t="str">
        <x:v>2.0708905588394266</x:v>
      </x:c>
      <x:c r="AP572" s="10" t="str">
        <x:v>0.2305194805194805</x:v>
      </x:c>
      <x:c r="AQ572" s="6" t="str">
        <x:v>0.2922077922077922</x:v>
      </x:c>
      <x:c r="AR572" s="6" t="str">
        <x:v>0.4772727272727273</x:v>
      </x:c>
      <x:c r="AS572" s="6" t="str">
        <x:v>With trade</x:v>
      </x:c>
      <x:c r="AT572" s="6" t="str">
        <x:v>2.4990399299818704</x:v>
      </x:c>
      <x:c r="AU572" s="7" t="str">
        <x:v>2026-01-13 09:05:00-06:00</x:v>
      </x:c>
      <x:c r="AV572" s="8" t="str">
        <x:v>1</x:v>
      </x:c>
      <x:c r="AW572" s="6" t="str">
        <x:v>Immediate retest (1 bar)</x:v>
      </x:c>
      <x:c r="AX572" s="6" t="str">
        <x:v>23797.25</x:v>
      </x:c>
      <x:c r="AY572" s="6" t="str">
        <x:v>27.0</x:v>
      </x:c>
      <x:c r="AZ572" s="9" t="str">
        <x:v>0.7097033209988992</x:v>
      </x:c>
      <x:c r="BA572" s="9" t="str">
        <x:v>0.440278912101169</x:v>
      </x:c>
      <x:c r="BB572" s="9" t="str">
        <x:v>1.2945514281183625</x:v>
      </x:c>
      <x:c r="BC572" s="9" t="str">
        <x:v>0.4337075850548829</x:v>
      </x:c>
      <x:c r="BD572" s="6" t="str">
        <x:v>0.5532994923857868</x:v>
      </x:c>
      <x:c r="BE572" s="6" t="str">
        <x:v>0.1116751269035533</x:v>
      </x:c>
      <x:c r="BF572" s="9" t="str">
        <x:v>0.7162746480451854</x:v>
      </x:c>
      <x:c r="BG572" s="9" t="str">
        <x:v>0.1445691950182943</x:v>
      </x:c>
      <x:c r="BH572" s="6" t="str">
        <x:v>With trade</x:v>
      </x:c>
      <x:c r="BI572" s="6" t="str">
        <x:v>Penetration + same-bar reclaim</x:v>
      </x:c>
      <x:c r="BJ572" s="6" t="str">
        <x:v>False</x:v>
      </x:c>
      <x:c r="BK572" s="10" t="str">
        <x:v>True</x:v>
      </x:c>
      <x:c r="BL572" s="6" t="str">
        <x:v>True</x:v>
      </x:c>
      <x:c r="BM572" s="7" t="str">
        <x:v>2026-01-13 09:15:00-06:00</x:v>
      </x:c>
      <x:c r="BN572" s="8" t="str">
        <x:v>2</x:v>
      </x:c>
      <x:c r="BO572" s="6" t="str">
        <x:v>Delayed confirmation (2+ bars)</x:v>
      </x:c>
      <x:c r="BP572" s="9" t="str">
        <x:v>0.813661850588981</x:v>
      </x:c>
      <x:c r="BQ572" s="9" t="str">
        <x:v>1.3409147297706405</x:v>
      </x:c>
      <x:c r="BR572" s="10" t="str">
        <x:v>0.6067961165048543</x:v>
      </x:c>
      <x:c r="BS572" s="9" t="str">
        <x:v>1.2367660128952511</x:v>
      </x:c>
      <x:c r="BT572" s="9" t="str">
        <x:v>0.8006432609795573</x:v>
      </x:c>
      <x:c r="BU572" s="9" t="str">
        <x:v>0.0</x:v>
      </x:c>
      <x:c r="BV572" s="6" t="str">
        <x:v>With trade</x:v>
      </x:c>
      <x:c r="BW572" s="7" t="str">
        <x:v>2026-01-13 09:15:00-06:00</x:v>
      </x:c>
      <x:c r="BX572" s="6" t="str">
        <x:v>23722.75</x:v>
      </x:c>
      <x:c r="BY572" s="9" t="str">
        <x:v>38.406618151482995</x:v>
      </x:c>
      <x:c r="BZ572" s="9" t="str">
        <x:v>1.0</x:v>
      </x:c>
      <x:c r="CA572" s="6" t="str">
        <x:v>23780.359927227226</x:v>
      </x:c>
      <x:c r="CB572" s="6" t="str">
        <x:v>57.60992722722585</x:v>
      </x:c>
      <x:c r="CC572" s="9" t="str">
        <x:v>1.5000000000000355</x:v>
      </x:c>
      <x:c r="CD572" s="6" t="str">
        <x:v>23607.530145545552</x:v>
      </x:c>
      <x:c r="CE572" s="6" t="str">
        <x:v>115.21985445444807</x:v>
      </x:c>
      <x:c r="CF572" s="6" t="str">
        <x:v>Fixed 2.00R target</x:v>
      </x:c>
      <x:c r="CG572" s="9" t="str">
        <x:v>0.012584636622442608</x:v>
      </x:c>
      <x:c r="CH572" s="9" t="str">
        <x:v>-0.5467807635957952</x:v>
      </x:c>
      <x:c r="CI572" s="9" t="str">
        <x:v>-0.5593654002182378</x:v>
      </x:c>
      <x:c r="CJ572" s="6" t="str">
        <x:v>Loss</x:v>
      </x:c>
      <x:c r="CK572" s="9" t="str">
        <x:v>1.2845008414631076</x:v>
      </x:c>
      <x:c r="CL572" s="9" t="str">
        <x:v>0.7160224285182863</x:v>
      </x:c>
      <x:c r="CM572" s="7" t="str">
        <x:v>2026-01-13 10:15:00-06:00</x:v>
      </x:c>
      <x:c r="CN572" s="6" t="str">
        <x:v>23754.25</x:v>
      </x:c>
      <x:c r="CO572" s="6" t="str">
        <x:v>TIME</x:v>
      </x:c>
      <x:c r="CP572" s="6" t="str">
        <x:v>F::Short::Same-bar Setup+BOS::Penetration + same-bar reclaim</x:v>
      </x:c>
    </x:row>
    <x:row r="573" ht="18" customHeight="1">
      <x:c r="A573" s="6" t="str">
        <x:v>A0572</x:v>
      </x:c>
      <x:c r="B573" s="6" t="str">
        <x:v>2026-01-14</x:v>
      </x:c>
      <x:c r="C573" s="6" t="str">
        <x:v>2026</x:v>
      </x:c>
      <x:c r="D573" s="6" t="str">
        <x:v>2026-Q1</x:v>
      </x:c>
      <x:c r="E573" s="6" t="str">
        <x:v>Second 50%</x:v>
      </x:c>
      <x:c r="F573" s="6" t="str">
        <x:v>Short</x:v>
      </x:c>
      <x:c r="G573" s="6" t="str">
        <x:v>Short</x:v>
      </x:c>
      <x:c r="H573" s="6" t="str">
        <x:v>Opening</x:v>
      </x:c>
      <x:c r="I573" s="6" t="str">
        <x:v>Opening</x:v>
      </x:c>
      <x:c r="J573" s="6" t="str">
        <x:v>Bear</x:v>
      </x:c>
      <x:c r="K573" s="6" t="str">
        <x:v>Bear</x:v>
      </x:c>
      <x:c r="L573" s="6" t="str">
        <x:v>HIGH</x:v>
      </x:c>
      <x:c r="M573" s="7" t="str">
        <x:v>2026-01-14 09:45:00-06:00</x:v>
      </x:c>
      <x:c r="N573" s="6" t="str">
        <x:v>75.0</x:v>
      </x:c>
      <x:c r="O573" s="6" t="str">
        <x:v>75-79</x:v>
      </x:c>
      <x:c r="P573" s="6" t="str">
        <x:v>Matching BOS only</x:v>
      </x:c>
      <x:c r="Q573" s="6" t="str">
        <x:v>Bear BOS</x:v>
      </x:c>
      <x:c r="R573" s="6" t="str">
        <x:v>True</x:v>
      </x:c>
      <x:c r="S573" s="6" t="str">
        <x:v>False</x:v>
      </x:c>
      <x:c r="T573" s="6" t="str">
        <x:v>No recent matching sweep</x:v>
      </x:c>
      <x:c r="U573" s="6" t="str">
        <x:v>None</x:v>
      </x:c>
      <x:c r="V573" s="6" t="str">
        <x:v>None</x:v>
      </x:c>
      <x:c r="W573" s="6" t="str">
        <x:v>[]</x:v>
      </x:c>
      <x:c r="X573" s="8" t="str">
        <x:v>0</x:v>
      </x:c>
      <x:c r="Y573" s="8" t="str"/>
      <x:c r="Z573" s="6" t="str">
        <x:v>None</x:v>
      </x:c>
      <x:c r="AA573" s="6" t="str">
        <x:v>23370.0</x:v>
      </x:c>
      <x:c r="AB573" s="9" t="str">
        <x:v>0.9016724044175622</x:v>
      </x:c>
      <x:c r="AC573" s="9" t="str">
        <x:v>1.4189476258992164</x:v>
      </x:c>
      <x:c r="AD573" s="9" t="str">
        <x:v>1.7131775683933683</x:v>
      </x:c>
      <x:c r="AE573" s="6" t="str">
        <x:v>With trade</x:v>
      </x:c>
      <x:c r="AF573" s="7" t="str">
        <x:v>2026-01-14 09:45:00-06:00</x:v>
      </x:c>
      <x:c r="AG573" s="6" t="str">
        <x:v>Short</x:v>
      </x:c>
      <x:c r="AH573" s="6" t="str">
        <x:v>23370.0</x:v>
      </x:c>
      <x:c r="AI573" s="8" t="str">
        <x:v>0</x:v>
      </x:c>
      <x:c r="AJ573" s="6" t="str">
        <x:v>True</x:v>
      </x:c>
      <x:c r="AK573" s="6" t="str">
        <x:v>Same-bar Setup+BOS</x:v>
      </x:c>
      <x:c r="AL573" s="9" t="str">
        <x:v>1.4284389143667697</x:v>
      </x:c>
      <x:c r="AM573" s="9" t="str">
        <x:v>0.9016724044175622</x:v>
      </x:c>
      <x:c r="AN573" s="9" t="str">
        <x:v>1.4189476258992164</x:v>
      </x:c>
      <x:c r="AO573" s="9" t="str">
        <x:v>1.7131775683933683</x:v>
      </x:c>
      <x:c r="AP573" s="10" t="str">
        <x:v>0.8282548476454293</x:v>
      </x:c>
      <x:c r="AQ573" s="6" t="str">
        <x:v>0.14127423822714683</x:v>
      </x:c>
      <x:c r="AR573" s="6" t="str">
        <x:v>0.030470914127423823</x:v>
      </x:c>
      <x:c r="AS573" s="6" t="str">
        <x:v>With trade</x:v>
      </x:c>
      <x:c r="AT573" s="6" t="str">
        <x:v>1.3233603001997296</x:v>
      </x:c>
      <x:c r="AU573" s="7" t="str">
        <x:v>2026-01-14 10:00:00-06:00</x:v>
      </x:c>
      <x:c r="AV573" s="8" t="str">
        <x:v>3</x:v>
      </x:c>
      <x:c r="AW573" s="6" t="str">
        <x:v>Delayed retest (2+ bars)</x:v>
      </x:c>
      <x:c r="AX573" s="6" t="str">
        <x:v>23370.5</x:v>
      </x:c>
      <x:c r="AY573" s="6" t="str">
        <x:v>0.5</x:v>
      </x:c>
      <x:c r="AZ573" s="9" t="str">
        <x:v>0.010180177958836717</x:v>
      </x:c>
      <x:c r="BA573" s="9" t="str">
        <x:v>-0.010180177958836717</x:v>
      </x:c>
      <x:c r="BB573" s="9" t="str">
        <x:v>0.9009457493570494</x:v>
      </x:c>
      <x:c r="BC573" s="9" t="str">
        <x:v>0.7991439697686822</x:v>
      </x:c>
      <x:c r="BD573" s="6" t="str">
        <x:v>0.0</x:v>
      </x:c>
      <x:c r="BE573" s="6" t="str">
        <x:v>0.11299435028248588</x:v>
      </x:c>
      <x:c r="BF573" s="9" t="str">
        <x:v>0.0</x:v>
      </x:c>
      <x:c r="BG573" s="9" t="str">
        <x:v>0.10180177958836716</x:v>
      </x:c>
      <x:c r="BH573" s="6" t="str">
        <x:v>Against trade</x:v>
      </x:c>
      <x:c r="BI573" s="6" t="str">
        <x:v>Penetration without same-bar reclaim</x:v>
      </x:c>
      <x:c r="BJ573" s="6" t="str">
        <x:v>False</x:v>
      </x:c>
      <x:c r="BK573" s="10" t="str">
        <x:v>True</x:v>
      </x:c>
      <x:c r="BL573" s="6" t="str">
        <x:v>False</x:v>
      </x:c>
      <x:c r="BM573" s="7" t="str">
        <x:v>2026-01-14 10:05:00-06:00</x:v>
      </x:c>
      <x:c r="BN573" s="8" t="str">
        <x:v>1</x:v>
      </x:c>
      <x:c r="BO573" s="6" t="str">
        <x:v>Immediate confirmation (1 bar)</x:v>
      </x:c>
      <x:c r="BP573" s="9" t="str">
        <x:v>0.5694429319506489</x:v>
      </x:c>
      <x:c r="BQ573" s="9" t="str">
        <x:v>0.8977703882104825</x:v>
      </x:c>
      <x:c r="BR573" s="10" t="str">
        <x:v>0.6342857142857142</x:v>
      </x:c>
      <x:c r="BS573" s="9" t="str">
        <x:v>0.5386622329262895</x:v>
      </x:c>
      <x:c r="BT573" s="9" t="str">
        <x:v>0.5489224659344093</x:v>
      </x:c>
      <x:c r="BU573" s="9" t="str">
        <x:v>0.0923420970730782</x:v>
      </x:c>
      <x:c r="BV573" s="6" t="str">
        <x:v>With trade</x:v>
      </x:c>
      <x:c r="BW573" s="7" t="str">
        <x:v>2026-01-14 10:05:00-06:00</x:v>
      </x:c>
      <x:c r="BX573" s="6" t="str">
        <x:v>23343.75</x:v>
      </x:c>
      <x:c r="BY573" s="9" t="str">
        <x:v>48.73183675305495</x:v>
      </x:c>
      <x:c r="BZ573" s="9" t="str">
        <x:v>0.95</x:v>
      </x:c>
      <x:c r="CA573" s="6" t="str">
        <x:v>23416.847755129584</x:v>
      </x:c>
      <x:c r="CB573" s="6" t="str">
        <x:v>73.09775512958367</x:v>
      </x:c>
      <x:c r="CC573" s="9" t="str">
        <x:v>1.5000000000000258</x:v>
      </x:c>
      <x:c r="CD573" s="6" t="str">
        <x:v>23197.554489740836</x:v>
      </x:c>
      <x:c r="CE573" s="6" t="str">
        <x:v>146.1955102591637</x:v>
      </x:c>
      <x:c r="CF573" s="6" t="str">
        <x:v>Fixed 2.00R target</x:v>
      </x:c>
      <x:c r="CG573" s="9" t="str">
        <x:v>0.009918225241182304</x:v>
      </x:c>
      <x:c r="CH573" s="9" t="str">
        <x:v>-1.0</x:v>
      </x:c>
      <x:c r="CI573" s="9" t="str">
        <x:v>-1.0099182252411822</x:v>
      </x:c>
      <x:c r="CJ573" s="6" t="str">
        <x:v>Loss</x:v>
      </x:c>
      <x:c r="CK573" s="9" t="str">
        <x:v>0.19152434948489966</x:v>
      </x:c>
      <x:c r="CL573" s="9" t="str">
        <x:v>1.166246485256264</x:v>
      </x:c>
      <x:c r="CM573" s="7" t="str">
        <x:v>2026-01-14 10:25:00-06:00</x:v>
      </x:c>
      <x:c r="CN573" s="6" t="str">
        <x:v>23416.847755129584</x:v>
      </x:c>
      <x:c r="CO573" s="6" t="str">
        <x:v>STOP</x:v>
      </x:c>
      <x:c r="CP573" s="6" t="str">
        <x:v>F::Short::Same-bar Setup+BOS::Penetration without same-bar reclaim</x:v>
      </x:c>
    </x:row>
    <x:row r="574" ht="18" customHeight="1">
      <x:c r="A574" s="6" t="str">
        <x:v>A0573</x:v>
      </x:c>
      <x:c r="B574" s="6" t="str">
        <x:v>2026-01-14</x:v>
      </x:c>
      <x:c r="C574" s="6" t="str">
        <x:v>2026</x:v>
      </x:c>
      <x:c r="D574" s="6" t="str">
        <x:v>2026-Q1</x:v>
      </x:c>
      <x:c r="E574" s="6" t="str">
        <x:v>Second 50%</x:v>
      </x:c>
      <x:c r="F574" s="6" t="str">
        <x:v>Long</x:v>
      </x:c>
      <x:c r="G574" s="6" t="str">
        <x:v>Long</x:v>
      </x:c>
      <x:c r="H574" s="6" t="str">
        <x:v>Afternoon</x:v>
      </x:c>
      <x:c r="I574" s="6" t="str">
        <x:v>Afternoon</x:v>
      </x:c>
      <x:c r="J574" s="6" t="str">
        <x:v>Bear</x:v>
      </x:c>
      <x:c r="K574" s="6" t="str">
        <x:v>Bear</x:v>
      </x:c>
      <x:c r="L574" s="6" t="str">
        <x:v>MID</x:v>
      </x:c>
      <x:c r="M574" s="7" t="str">
        <x:v>2026-01-14 14:05:00-06:00</x:v>
      </x:c>
      <x:c r="N574" s="6" t="str">
        <x:v>100.0</x:v>
      </x:c>
      <x:c r="O574" s="6" t="str">
        <x:v>95+</x:v>
      </x:c>
      <x:c r="P574" s="6" t="str">
        <x:v>Matching BOS only</x:v>
      </x:c>
      <x:c r="Q574" s="6" t="str">
        <x:v>Bull BOS</x:v>
      </x:c>
      <x:c r="R574" s="6" t="str">
        <x:v>True</x:v>
      </x:c>
      <x:c r="S574" s="6" t="str">
        <x:v>False</x:v>
      </x:c>
      <x:c r="T574" s="6" t="str">
        <x:v>Recent SSL</x:v>
      </x:c>
      <x:c r="U574" s="6" t="str">
        <x:v>SSL</x:v>
      </x:c>
      <x:c r="V574" s="6" t="str">
        <x:v>Swing low / sell-side</x:v>
      </x:c>
      <x:c r="W574" s="6" t="str">
        <x:v>[23272.75]</x:v>
      </x:c>
      <x:c r="X574" s="8" t="str">
        <x:v>1</x:v>
      </x:c>
      <x:c r="Y574" s="8" t="str">
        <x:v>18.0</x:v>
      </x:c>
      <x:c r="Z574" s="6" t="str">
        <x:v>None</x:v>
      </x:c>
      <x:c r="AA574" s="6" t="str">
        <x:v>23365.5</x:v>
      </x:c>
      <x:c r="AB574" s="9" t="str">
        <x:v>1.2677370583232488</x:v>
      </x:c>
      <x:c r="AC574" s="9" t="str">
        <x:v>1.3613767274039432</x:v>
      </x:c>
      <x:c r="AD574" s="9" t="str">
        <x:v>2.1825245947269565</x:v>
      </x:c>
      <x:c r="AE574" s="6" t="str">
        <x:v>With trade</x:v>
      </x:c>
      <x:c r="AF574" s="7" t="str">
        <x:v>2026-01-14 14:05:00-06:00</x:v>
      </x:c>
      <x:c r="AG574" s="6" t="str">
        <x:v>Long</x:v>
      </x:c>
      <x:c r="AH574" s="6" t="str">
        <x:v>23365.5</x:v>
      </x:c>
      <x:c r="AI574" s="8" t="str">
        <x:v>0</x:v>
      </x:c>
      <x:c r="AJ574" s="6" t="str">
        <x:v>True</x:v>
      </x:c>
      <x:c r="AK574" s="6" t="str">
        <x:v>Same-bar Setup+BOS</x:v>
      </x:c>
      <x:c r="AL574" s="9" t="str">
        <x:v>1.3397675730007061</x:v>
      </x:c>
      <x:c r="AM574" s="9" t="str">
        <x:v>1.2677370583232488</x:v>
      </x:c>
      <x:c r="AN574" s="9" t="str">
        <x:v>1.3613767274039432</x:v>
      </x:c>
      <x:c r="AO574" s="9" t="str">
        <x:v>2.1825245947269565</x:v>
      </x:c>
      <x:c r="AP574" s="10" t="str">
        <x:v>0.6237623762376238</x:v>
      </x:c>
      <x:c r="AQ574" s="6" t="str">
        <x:v>0.31683168316831684</x:v>
      </x:c>
      <x:c r="AR574" s="6" t="str">
        <x:v>0.0594059405940594</x:v>
      </x:c>
      <x:c r="AS574" s="6" t="str">
        <x:v>With trade</x:v>
      </x:c>
      <x:c r="AT574" s="6" t="str">
        <x:v>2.5436760973193833</x:v>
      </x:c>
      <x:c r="AU574" s="7" t="str">
        <x:v>2026-01-14 14:15:00-06:00</x:v>
      </x:c>
      <x:c r="AV574" s="8" t="str">
        <x:v>2</x:v>
      </x:c>
      <x:c r="AW574" s="6" t="str">
        <x:v>Delayed retest (2+ bars)</x:v>
      </x:c>
      <x:c r="AX574" s="6" t="str">
        <x:v>23359.5</x:v>
      </x:c>
      <x:c r="AY574" s="6" t="str">
        <x:v>6.0</x:v>
      </x:c>
      <x:c r="AZ574" s="9" t="str">
        <x:v>0.1706680378471881</x:v>
      </x:c>
      <x:c r="BA574" s="9" t="str">
        <x:v>0.4053365898870717</x:v>
      </x:c>
      <x:c r="BB574" s="9" t="str">
        <x:v>1.1448980872248868</x:v>
      </x:c>
      <x:c r="BC574" s="9" t="str">
        <x:v>0.39111425339980604</x:v>
      </x:c>
      <x:c r="BD574" s="6" t="str">
        <x:v>0.15527950310559005</x:v>
      </x:c>
      <x:c r="BE574" s="6" t="str">
        <x:v>0.5031055900621118</x:v>
      </x:c>
      <x:c r="BF574" s="9" t="str">
        <x:v>0.5760046277342598</x:v>
      </x:c>
      <x:c r="BG574" s="9" t="str">
        <x:v>0.17777920609082093</x:v>
      </x:c>
      <x:c r="BH574" s="6" t="str">
        <x:v>Against trade</x:v>
      </x:c>
      <x:c r="BI574" s="6" t="str">
        <x:v>Penetration + same-bar reclaim</x:v>
      </x:c>
      <x:c r="BJ574" s="6" t="str">
        <x:v>False</x:v>
      </x:c>
      <x:c r="BK574" s="10" t="str">
        <x:v>True</x:v>
      </x:c>
      <x:c r="BL574" s="6" t="str">
        <x:v>True</x:v>
      </x:c>
      <x:c r="BM574" s="7" t="str">
        <x:v>2026-01-14 14:20:00-06:00</x:v>
      </x:c>
      <x:c r="BN574" s="8" t="str">
        <x:v>1</x:v>
      </x:c>
      <x:c r="BO574" s="6" t="str">
        <x:v>Immediate confirmation (1 bar)</x:v>
      </x:c>
      <x:c r="BP574" s="9" t="str">
        <x:v>0.4081611123956372</x:v>
      </x:c>
      <x:c r="BQ574" s="9" t="str">
        <x:v>0.90941160130256</x:v>
      </x:c>
      <x:c r="BR574" s="10" t="str">
        <x:v>0.44881889763779526</x:v>
      </x:c>
      <x:c r="BS574" s="9" t="str">
        <x:v>0.8234829460613733</x:v>
      </x:c>
      <x:c r="BT574" s="9" t="str">
        <x:v>0.41532183366573605</x:v>
      </x:c>
      <x:c r="BU574" s="9" t="str">
        <x:v>0.350875342234846</x:v>
      </x:c>
      <x:c r="BV574" s="6" t="str">
        <x:v>With trade</x:v>
      </x:c>
      <x:c r="BW574" s="7" t="str">
        <x:v>2026-01-14 14:20:00-06:00</x:v>
      </x:c>
      <x:c r="BX574" s="6" t="str">
        <x:v>23394.25</x:v>
      </x:c>
      <x:c r="BY574" s="9" t="str">
        <x:v>34.91268415151526</x:v>
      </x:c>
      <x:c r="BZ574" s="9" t="str">
        <x:v>0.46</x:v>
      </x:c>
      <x:c r="CA574" s="6" t="str">
        <x:v>23341.880973772728</x:v>
      </x:c>
      <x:c r="CB574" s="6" t="str">
        <x:v>52.369026227272116</x:v>
      </x:c>
      <x:c r="CC574" s="9" t="str">
        <x:v>1.499999999999978</x:v>
      </x:c>
      <x:c r="CD574" s="6" t="str">
        <x:v>23498.988052454544</x:v>
      </x:c>
      <x:c r="CE574" s="6" t="str">
        <x:v>104.73805245454423</x:v>
      </x:c>
      <x:c r="CF574" s="6" t="str">
        <x:v>Fixed 2.00R target</x:v>
      </x:c>
      <x:c r="CG574" s="9" t="str">
        <x:v>0.013844061122191406</x:v>
      </x:c>
      <x:c r="CH574" s="9" t="str">
        <x:v>1.2316440584570105</x:v>
      </x:c>
      <x:c r="CI574" s="9" t="str">
        <x:v>1.217799997334819</x:v>
      </x:c>
      <x:c r="CJ574" s="6" t="str">
        <x:v>Win</x:v>
      </x:c>
      <x:c r="CK574" s="9" t="str">
        <x:v>1.990680513087523</x:v>
      </x:c>
      <x:c r="CL574" s="9" t="str">
        <x:v>0.2195954522830361</x:v>
      </x:c>
      <x:c r="CM574" s="7" t="str">
        <x:v>2026-01-14 15:20:00-06:00</x:v>
      </x:c>
      <x:c r="CN574" s="6" t="str">
        <x:v>23458.75</x:v>
      </x:c>
      <x:c r="CO574" s="6" t="str">
        <x:v>TIME</x:v>
      </x:c>
      <x:c r="CP574" s="6" t="str">
        <x:v>F::Long::Same-bar Setup+BOS::Penetration + same-bar reclaim</x:v>
      </x:c>
    </x:row>
    <x:row r="575" ht="18" customHeight="1">
      <x:c r="A575" s="6" t="str">
        <x:v>A0574</x:v>
      </x:c>
      <x:c r="B575" s="6" t="str">
        <x:v>2026-01-14</x:v>
      </x:c>
      <x:c r="C575" s="6" t="str">
        <x:v>2026</x:v>
      </x:c>
      <x:c r="D575" s="6" t="str">
        <x:v>2026-Q1</x:v>
      </x:c>
      <x:c r="E575" s="6" t="str">
        <x:v>Second 50%</x:v>
      </x:c>
      <x:c r="F575" s="6" t="str">
        <x:v>Long</x:v>
      </x:c>
      <x:c r="G575" s="6" t="str">
        <x:v>Long</x:v>
      </x:c>
      <x:c r="H575" s="6" t="str">
        <x:v>Overnight</x:v>
      </x:c>
      <x:c r="I575" s="6" t="str">
        <x:v>Overnight</x:v>
      </x:c>
      <x:c r="J575" s="6" t="str">
        <x:v>Bear</x:v>
      </x:c>
      <x:c r="K575" s="6" t="str">
        <x:v>Bear</x:v>
      </x:c>
      <x:c r="L575" s="6" t="str">
        <x:v>LOW</x:v>
      </x:c>
      <x:c r="M575" s="7" t="str">
        <x:v>2026-01-14 23:05:00-06:00</x:v>
      </x:c>
      <x:c r="N575" s="6" t="str">
        <x:v>90.0</x:v>
      </x:c>
      <x:c r="O575" s="6" t="str">
        <x:v>90-94</x:v>
      </x:c>
      <x:c r="P575" s="6" t="str">
        <x:v>Matching BOS only</x:v>
      </x:c>
      <x:c r="Q575" s="6" t="str">
        <x:v>Bull CHoCH</x:v>
      </x:c>
      <x:c r="R575" s="6" t="str">
        <x:v>True</x:v>
      </x:c>
      <x:c r="S575" s="6" t="str">
        <x:v>False</x:v>
      </x:c>
      <x:c r="T575" s="6" t="str">
        <x:v>Recent SSL</x:v>
      </x:c>
      <x:c r="U575" s="6" t="str">
        <x:v>SSL</x:v>
      </x:c>
      <x:c r="V575" s="6" t="str">
        <x:v>Swing low / sell-side</x:v>
      </x:c>
      <x:c r="W575" s="6" t="str">
        <x:v>[23417.0]</x:v>
      </x:c>
      <x:c r="X575" s="8" t="str">
        <x:v>1</x:v>
      </x:c>
      <x:c r="Y575" s="8" t="str">
        <x:v>7.0</x:v>
      </x:c>
      <x:c r="Z575" s="6" t="str">
        <x:v>None</x:v>
      </x:c>
      <x:c r="AA575" s="6" t="str">
        <x:v>23439.25</x:v>
      </x:c>
      <x:c r="AB575" s="9" t="str">
        <x:v>0.4124235268897634</x:v>
      </x:c>
      <x:c r="AC575" s="9" t="str">
        <x:v>1.1390745028383942</x:v>
      </x:c>
      <x:c r="AD575" s="9" t="str">
        <x:v>1.2372705806692903</x:v>
      </x:c>
      <x:c r="AE575" s="6" t="str">
        <x:v>With trade</x:v>
      </x:c>
      <x:c r="AF575" s="7" t="str">
        <x:v>2026-01-14 23:05:00-06:00</x:v>
      </x:c>
      <x:c r="AG575" s="6" t="str">
        <x:v>Long</x:v>
      </x:c>
      <x:c r="AH575" s="6" t="str">
        <x:v>23439.25</x:v>
      </x:c>
      <x:c r="AI575" s="8" t="str">
        <x:v>0</x:v>
      </x:c>
      <x:c r="AJ575" s="6" t="str">
        <x:v>True</x:v>
      </x:c>
      <x:c r="AK575" s="6" t="str">
        <x:v>Same-bar Setup+BOS</x:v>
      </x:c>
      <x:c r="AL575" s="9" t="str">
        <x:v>1.217631365103111</x:v>
      </x:c>
      <x:c r="AM575" s="9" t="str">
        <x:v>0.4124235268897634</x:v>
      </x:c>
      <x:c r="AN575" s="9" t="str">
        <x:v>1.1390745028383942</x:v>
      </x:c>
      <x:c r="AO575" s="9" t="str">
        <x:v>1.2372705806692903</x:v>
      </x:c>
      <x:c r="AP575" s="10" t="str">
        <x:v>0.9206349206349206</x:v>
      </x:c>
      <x:c r="AQ575" s="6" t="str">
        <x:v>0.031746031746031744</x:v>
      </x:c>
      <x:c r="AR575" s="6" t="str">
        <x:v>0.047619047619047616</x:v>
      </x:c>
      <x:c r="AS575" s="6" t="str">
        <x:v>With trade</x:v>
      </x:c>
      <x:c r="AT575" s="6" t="str">
        <x:v>1.263482280431433</x:v>
      </x:c>
      <x:c r="AU575" s="7" t="str">
        <x:v>2026-01-14 23:10:00-06:00</x:v>
      </x:c>
      <x:c r="AV575" s="8" t="str">
        <x:v>1</x:v>
      </x:c>
      <x:c r="AW575" s="6" t="str">
        <x:v>Immediate retest (1 bar)</x:v>
      </x:c>
      <x:c r="AX575" s="6" t="str">
        <x:v>23438.25</x:v>
      </x:c>
      <x:c r="AY575" s="6" t="str">
        <x:v>1.0</x:v>
      </x:c>
      <x:c r="AZ575" s="9" t="str">
        <x:v>0.07778416271059706</x:v>
      </x:c>
      <x:c r="BA575" s="9" t="str">
        <x:v>0.661165383040075</x:v>
      </x:c>
      <x:c r="BB575" s="9" t="str">
        <x:v>1.1278703593036572</x:v>
      </x:c>
      <x:c r="BC575" s="9" t="str">
        <x:v>0.29169061016473896</x:v>
      </x:c>
      <x:c r="BD575" s="6" t="str">
        <x:v>0.3448275862068966</x:v>
      </x:c>
      <x:c r="BE575" s="6" t="str">
        <x:v>0.39655172413793105</x:v>
      </x:c>
      <x:c r="BF575" s="9" t="str">
        <x:v>0.44725893558593305</x:v>
      </x:c>
      <x:c r="BG575" s="9" t="str">
        <x:v>0.3889208135529853</x:v>
      </x:c>
      <x:c r="BH575" s="6" t="str">
        <x:v>With trade</x:v>
      </x:c>
      <x:c r="BI575" s="6" t="str">
        <x:v>Penetration + same-bar reclaim</x:v>
      </x:c>
      <x:c r="BJ575" s="6" t="str">
        <x:v>False</x:v>
      </x:c>
      <x:c r="BK575" s="10" t="str">
        <x:v>True</x:v>
      </x:c>
      <x:c r="BL575" s="6" t="str">
        <x:v>True</x:v>
      </x:c>
      <x:c r="BM575" s="7" t="str">
        <x:v>2026-01-14 23:15:00-06:00</x:v>
      </x:c>
      <x:c r="BN575" s="8" t="str">
        <x:v>1</x:v>
      </x:c>
      <x:c r="BO575" s="6" t="str">
        <x:v>Immediate confirmation (1 bar)</x:v>
      </x:c>
      <x:c r="BP575" s="9" t="str">
        <x:v>0.7063606315893309</x:v>
      </x:c>
      <x:c r="BQ575" s="9" t="str">
        <x:v>0.8437085321761453</x:v>
      </x:c>
      <x:c r="BR575" s="10" t="str">
        <x:v>0.8372093023255814</x:v>
      </x:c>
      <x:c r="BS575" s="9" t="str">
        <x:v>1.432342391833921</x:v>
      </x:c>
      <x:c r="BT575" s="9" t="str">
        <x:v>0.7652240175551085</x:v>
      </x:c>
      <x:c r="BU575" s="9" t="str">
        <x:v>0.019621128655259192</x:v>
      </x:c>
      <x:c r="BV575" s="6" t="str">
        <x:v>With trade</x:v>
      </x:c>
      <x:c r="BW575" s="7" t="str">
        <x:v>2026-01-14 23:15:00-06:00</x:v>
      </x:c>
      <x:c r="BX575" s="6" t="str">
        <x:v>23457.5</x:v>
      </x:c>
      <x:c r="BY575" s="9" t="str">
        <x:v>12.741366941345175</x:v>
      </x:c>
      <x:c r="BZ575" s="9" t="str">
        <x:v>0.05</x:v>
      </x:c>
      <x:c r="CA575" s="6" t="str">
        <x:v>23438.38794958798</x:v>
      </x:c>
      <x:c r="CB575" s="6" t="str">
        <x:v>19.112050412019016</x:v>
      </x:c>
      <x:c r="CC575" s="9" t="str">
        <x:v>1.5000000000000984</x:v>
      </x:c>
      <x:c r="CD575" s="6" t="str">
        <x:v>23495.724100824034</x:v>
      </x:c>
      <x:c r="CE575" s="6" t="str">
        <x:v>38.224100824034394</x:v>
      </x:c>
      <x:c r="CF575" s="6" t="str">
        <x:v>Fixed 2.00R target</x:v>
      </x:c>
      <x:c r="CG575" s="9" t="str">
        <x:v>0.037934182066831953</x:v>
      </x:c>
      <x:c r="CH575" s="9" t="str">
        <x:v>2.0</x:v>
      </x:c>
      <x:c r="CI575" s="9" t="str">
        <x:v>1.962065817933168</x:v>
      </x:c>
      <x:c r="CJ575" s="6" t="str">
        <x:v>Win</x:v>
      </x:c>
      <x:c r="CK575" s="9" t="str">
        <x:v>4.68290937238822</x:v>
      </x:c>
      <x:c r="CL575" s="9" t="str">
        <x:v>0.693279879152446</x:v>
      </x:c>
      <x:c r="CM575" s="7" t="str">
        <x:v>2026-01-15 00:15:00-06:00</x:v>
      </x:c>
      <x:c r="CN575" s="6" t="str">
        <x:v>23495.724100824034</x:v>
      </x:c>
      <x:c r="CO575" s="6" t="str">
        <x:v>TARGET</x:v>
      </x:c>
      <x:c r="CP575" s="6" t="str">
        <x:v>F::Long::Same-bar Setup+BOS::Penetration + same-bar reclaim</x:v>
      </x:c>
    </x:row>
    <x:row r="576" ht="18" customHeight="1">
      <x:c r="A576" s="6" t="str">
        <x:v>A0575</x:v>
      </x:c>
      <x:c r="B576" s="6" t="str">
        <x:v>2026-01-15</x:v>
      </x:c>
      <x:c r="C576" s="6" t="str">
        <x:v>2026</x:v>
      </x:c>
      <x:c r="D576" s="6" t="str">
        <x:v>2026-Q1</x:v>
      </x:c>
      <x:c r="E576" s="6" t="str">
        <x:v>Second 50%</x:v>
      </x:c>
      <x:c r="F576" s="6" t="str">
        <x:v>Short</x:v>
      </x:c>
      <x:c r="G576" s="6" t="str">
        <x:v>Short</x:v>
      </x:c>
      <x:c r="H576" s="6" t="str">
        <x:v>Morning</x:v>
      </x:c>
      <x:c r="I576" s="6" t="str">
        <x:v>Morning</x:v>
      </x:c>
      <x:c r="J576" s="6" t="str">
        <x:v>Bull</x:v>
      </x:c>
      <x:c r="K576" s="6" t="str">
        <x:v>Bull</x:v>
      </x:c>
      <x:c r="L576" s="6" t="str">
        <x:v>MID</x:v>
      </x:c>
      <x:c r="M576" s="7" t="str">
        <x:v>2026-01-15 11:25:00-06:00</x:v>
      </x:c>
      <x:c r="N576" s="6" t="str">
        <x:v>100.0</x:v>
      </x:c>
      <x:c r="O576" s="6" t="str">
        <x:v>95+</x:v>
      </x:c>
      <x:c r="P576" s="6" t="str">
        <x:v>Matching BOS only</x:v>
      </x:c>
      <x:c r="Q576" s="6" t="str">
        <x:v>Bear CHoCH</x:v>
      </x:c>
      <x:c r="R576" s="6" t="str">
        <x:v>True</x:v>
      </x:c>
      <x:c r="S576" s="6" t="str">
        <x:v>False</x:v>
      </x:c>
      <x:c r="T576" s="6" t="str">
        <x:v>Recent BSL</x:v>
      </x:c>
      <x:c r="U576" s="6" t="str">
        <x:v>BSL</x:v>
      </x:c>
      <x:c r="V576" s="6" t="str">
        <x:v>Swing high / buy-side</x:v>
      </x:c>
      <x:c r="W576" s="6" t="str">
        <x:v>[23771.5]</x:v>
      </x:c>
      <x:c r="X576" s="8" t="str">
        <x:v>1</x:v>
      </x:c>
      <x:c r="Y576" s="8" t="str">
        <x:v>7.0</x:v>
      </x:c>
      <x:c r="Z576" s="6" t="str">
        <x:v>None</x:v>
      </x:c>
      <x:c r="AA576" s="6" t="str">
        <x:v>23721.5</x:v>
      </x:c>
      <x:c r="AB576" s="9" t="str">
        <x:v>0.051229827762717194</x:v>
      </x:c>
      <x:c r="AC576" s="9" t="str">
        <x:v>0.7342941979322797</x:v>
      </x:c>
      <x:c r="AD576" s="9" t="str">
        <x:v>0.9306752043560289</x:v>
      </x:c>
      <x:c r="AE576" s="6" t="str">
        <x:v>With trade</x:v>
      </x:c>
      <x:c r="AF576" s="7" t="str">
        <x:v>2026-01-15 11:25:00-06:00</x:v>
      </x:c>
      <x:c r="AG576" s="6" t="str">
        <x:v>Short</x:v>
      </x:c>
      <x:c r="AH576" s="6" t="str">
        <x:v>23721.5</x:v>
      </x:c>
      <x:c r="AI576" s="8" t="str">
        <x:v>0</x:v>
      </x:c>
      <x:c r="AJ576" s="6" t="str">
        <x:v>True</x:v>
      </x:c>
      <x:c r="AK576" s="6" t="str">
        <x:v>Same-bar Setup+BOS</x:v>
      </x:c>
      <x:c r="AL576" s="9" t="str">
        <x:v>0.7257558933051602</x:v>
      </x:c>
      <x:c r="AM576" s="9" t="str">
        <x:v>0.051229827762717194</x:v>
      </x:c>
      <x:c r="AN576" s="9" t="str">
        <x:v>0.7342941979322797</x:v>
      </x:c>
      <x:c r="AO576" s="9" t="str">
        <x:v>0.9306752043560289</x:v>
      </x:c>
      <x:c r="AP576" s="10" t="str">
        <x:v>0.7889908256880734</x:v>
      </x:c>
      <x:c r="AQ576" s="6" t="str">
        <x:v>0.10091743119266056</x:v>
      </x:c>
      <x:c r="AR576" s="6" t="str">
        <x:v>0.11009174311926606</x:v>
      </x:c>
      <x:c r="AS576" s="6" t="str">
        <x:v>With trade</x:v>
      </x:c>
      <x:c r="AT576" s="6" t="str">
        <x:v>0.7128523260907211</x:v>
      </x:c>
      <x:c r="AU576" s="7" t="str">
        <x:v>2026-01-15 11:30:00-06:00</x:v>
      </x:c>
      <x:c r="AV576" s="8" t="str">
        <x:v>1</x:v>
      </x:c>
      <x:c r="AW576" s="6" t="str">
        <x:v>Immediate retest (1 bar)</x:v>
      </x:c>
      <x:c r="AX576" s="6" t="str">
        <x:v>23728.5</x:v>
      </x:c>
      <x:c r="AY576" s="6" t="str">
        <x:v>7.0</x:v>
      </x:c>
      <x:c r="AZ576" s="9" t="str">
        <x:v>0.24159494537192874</x:v>
      </x:c>
      <x:c r="BA576" s="9" t="str">
        <x:v>0.4055343725885947</x:v>
      </x:c>
      <x:c r="BB576" s="9" t="str">
        <x:v>0.8628390906140313</x:v>
      </x:c>
      <x:c r="BC576" s="9" t="str">
        <x:v>0.37102080896403344</x:v>
      </x:c>
      <x:c r="BD576" s="6" t="str">
        <x:v>0.32</x:v>
      </x:c>
      <x:c r="BE576" s="6" t="str">
        <x:v>0.25</x:v>
      </x:c>
      <x:c r="BF576" s="9" t="str">
        <x:v>0.27610850899649</x:v>
      </x:c>
      <x:c r="BG576" s="9" t="str">
        <x:v>0.21570977265350783</x:v>
      </x:c>
      <x:c r="BH576" s="6" t="str">
        <x:v>With trade</x:v>
      </x:c>
      <x:c r="BI576" s="6" t="str">
        <x:v>Penetration + same-bar reclaim</x:v>
      </x:c>
      <x:c r="BJ576" s="6" t="str">
        <x:v>False</x:v>
      </x:c>
      <x:c r="BK576" s="10" t="str">
        <x:v>True</x:v>
      </x:c>
      <x:c r="BL576" s="6" t="str">
        <x:v>True</x:v>
      </x:c>
      <x:c r="BM576" s="7" t="str">
        <x:v>2026-01-15 11:45:00-06:00</x:v>
      </x:c>
      <x:c r="BN576" s="8" t="str">
        <x:v>3</x:v>
      </x:c>
      <x:c r="BO576" s="6" t="str">
        <x:v>Delayed confirmation (2+ bars)</x:v>
      </x:c>
      <x:c r="BP576" s="9" t="str">
        <x:v>0.33934228860552923</x:v>
      </x:c>
      <x:c r="BQ576" s="9" t="str">
        <x:v>0.9721697997888135</x:v>
      </x:c>
      <x:c r="BR576" s="10" t="str">
        <x:v>0.3490566037735849</x:v>
      </x:c>
      <x:c r="BS576" s="9" t="str">
        <x:v>0.3760279414277486</x:v>
      </x:c>
      <x:c r="BT576" s="9" t="str">
        <x:v>-0.05502847923332906</x:v>
      </x:c>
      <x:c r="BU576" s="9" t="str">
        <x:v>0.5044277263055164</x:v>
      </x:c>
      <x:c r="BV576" s="6" t="str">
        <x:v>With trade</x:v>
      </x:c>
      <x:c r="BW576" s="7" t="str">
        <x:v>2026-01-15 11:45:00-06:00</x:v>
      </x:c>
      <x:c r="BX576" s="6" t="str">
        <x:v>23711.25</x:v>
      </x:c>
      <x:c r="BY576" s="9" t="str">
        <x:v>27.258612647457937</x:v>
      </x:c>
      <x:c r="BZ576" s="9" t="str">
        <x:v>0.64</x:v>
      </x:c>
      <x:c r="CA576" s="6" t="str">
        <x:v>23752.137918971188</x:v>
      </x:c>
      <x:c r="CB576" s="6" t="str">
        <x:v>40.8879189711879</x:v>
      </x:c>
      <x:c r="CC576" s="9" t="str">
        <x:v>1.5000000000000364</x:v>
      </x:c>
      <x:c r="CD576" s="6" t="str">
        <x:v>23629.474162057628</x:v>
      </x:c>
      <x:c r="CE576" s="6" t="str">
        <x:v>81.77583794237216</x:v>
      </x:c>
      <x:c r="CF576" s="6" t="str">
        <x:v>Fixed 2.00R target</x:v>
      </x:c>
      <x:c r="CG576" s="9" t="str">
        <x:v>0.017731398864072268</x:v>
      </x:c>
      <x:c r="CH576" s="9" t="str">
        <x:v>-0.4341135583962626</x:v>
      </x:c>
      <x:c r="CI576" s="9" t="str">
        <x:v>-0.45184495726033486</x:v>
      </x:c>
      <x:c r="CJ576" s="6" t="str">
        <x:v>Loss</x:v>
      </x:c>
      <x:c r="CK576" s="9" t="str">
        <x:v>0.5625133432740167</x:v>
      </x:c>
      <x:c r="CL576" s="9" t="str">
        <x:v>0.9599412488480502</x:v>
      </x:c>
      <x:c r="CM576" s="7" t="str">
        <x:v>2026-01-15 12:45:00-06:00</x:v>
      </x:c>
      <x:c r="CN576" s="6" t="str">
        <x:v>23729.0</x:v>
      </x:c>
      <x:c r="CO576" s="6" t="str">
        <x:v>TIME</x:v>
      </x:c>
      <x:c r="CP576" s="6" t="str">
        <x:v>F::Short::Same-bar Setup+BOS::Penetration + same-bar reclaim</x:v>
      </x:c>
    </x:row>
    <x:row r="577" ht="18" customHeight="1">
      <x:c r="A577" s="6" t="str">
        <x:v>A0576</x:v>
      </x:c>
      <x:c r="B577" s="6" t="str">
        <x:v>2026-01-16</x:v>
      </x:c>
      <x:c r="C577" s="6" t="str">
        <x:v>2026</x:v>
      </x:c>
      <x:c r="D577" s="6" t="str">
        <x:v>2026-Q1</x:v>
      </x:c>
      <x:c r="E577" s="6" t="str">
        <x:v>Second 50%</x:v>
      </x:c>
      <x:c r="F577" s="6" t="str">
        <x:v>Long</x:v>
      </x:c>
      <x:c r="G577" s="6" t="str">
        <x:v>Long</x:v>
      </x:c>
      <x:c r="H577" s="6" t="str">
        <x:v>Premarket</x:v>
      </x:c>
      <x:c r="I577" s="6" t="str">
        <x:v>Premarket</x:v>
      </x:c>
      <x:c r="J577" s="6" t="str">
        <x:v>Bull</x:v>
      </x:c>
      <x:c r="K577" s="6" t="str">
        <x:v>Bull</x:v>
      </x:c>
      <x:c r="L577" s="6" t="str">
        <x:v>HIGH</x:v>
      </x:c>
      <x:c r="M577" s="7" t="str">
        <x:v>2026-01-16 08:10:00-06:00</x:v>
      </x:c>
      <x:c r="N577" s="6" t="str">
        <x:v>75.0</x:v>
      </x:c>
      <x:c r="O577" s="6" t="str">
        <x:v>75-79</x:v>
      </x:c>
      <x:c r="P577" s="6" t="str">
        <x:v>Matching BOS only</x:v>
      </x:c>
      <x:c r="Q577" s="6" t="str">
        <x:v>Bull CHoCH</x:v>
      </x:c>
      <x:c r="R577" s="6" t="str">
        <x:v>True</x:v>
      </x:c>
      <x:c r="S577" s="6" t="str">
        <x:v>False</x:v>
      </x:c>
      <x:c r="T577" s="6" t="str">
        <x:v>Recent SSL</x:v>
      </x:c>
      <x:c r="U577" s="6" t="str">
        <x:v>SSL</x:v>
      </x:c>
      <x:c r="V577" s="6" t="str">
        <x:v>Equal low / sell-side | Swing low / sell-side</x:v>
      </x:c>
      <x:c r="W577" s="6" t="str">
        <x:v>[23649.5,23649.75]</x:v>
      </x:c>
      <x:c r="X577" s="8" t="str">
        <x:v>2</x:v>
      </x:c>
      <x:c r="Y577" s="8" t="str">
        <x:v>15.0</x:v>
      </x:c>
      <x:c r="Z577" s="6" t="str">
        <x:v>Sweep above CRT reference</x:v>
      </x:c>
      <x:c r="AA577" s="6" t="str">
        <x:v>23678.0</x:v>
      </x:c>
      <x:c r="AB577" s="9" t="str">
        <x:v>0.035475318134063176</x:v>
      </x:c>
      <x:c r="AC577" s="9" t="str">
        <x:v>0.3370155222736002</x:v>
      </x:c>
      <x:c r="AD577" s="9" t="str">
        <x:v>0.7449816808153267</x:v>
      </x:c>
      <x:c r="AE577" s="6" t="str">
        <x:v>With trade</x:v>
      </x:c>
      <x:c r="AF577" s="7" t="str">
        <x:v>2026-01-16 08:10:00-06:00</x:v>
      </x:c>
      <x:c r="AG577" s="6" t="str">
        <x:v>Long</x:v>
      </x:c>
      <x:c r="AH577" s="6" t="str">
        <x:v>23678.0</x:v>
      </x:c>
      <x:c r="AI577" s="8" t="str">
        <x:v>0</x:v>
      </x:c>
      <x:c r="AJ577" s="6" t="str">
        <x:v>True</x:v>
      </x:c>
      <x:c r="AK577" s="6" t="str">
        <x:v>Same-bar Setup+BOS</x:v>
      </x:c>
      <x:c r="AL577" s="9" t="str">
        <x:v>0.3192778632065686</x:v>
      </x:c>
      <x:c r="AM577" s="9" t="str">
        <x:v>0.035475318134063176</x:v>
      </x:c>
      <x:c r="AN577" s="9" t="str">
        <x:v>0.3370155222736002</x:v>
      </x:c>
      <x:c r="AO577" s="9" t="str">
        <x:v>0.7449816808153267</x:v>
      </x:c>
      <x:c r="AP577" s="10" t="str">
        <x:v>0.4523809523809524</x:v>
      </x:c>
      <x:c r="AQ577" s="6" t="str">
        <x:v>0.2857142857142857</x:v>
      </x:c>
      <x:c r="AR577" s="6" t="str">
        <x:v>0.2619047619047619</x:v>
      </x:c>
      <x:c r="AS577" s="6" t="str">
        <x:v>With trade</x:v>
      </x:c>
      <x:c r="AT577" s="6" t="str">
        <x:v>1.1415231981324774</x:v>
      </x:c>
      <x:c r="AU577" s="7" t="str">
        <x:v>2026-01-16 08:15:00-06:00</x:v>
      </x:c>
      <x:c r="AV577" s="8" t="str">
        <x:v>1</x:v>
      </x:c>
      <x:c r="AW577" s="6" t="str">
        <x:v>Immediate retest (1 bar)</x:v>
      </x:c>
      <x:c r="AX577" s="6" t="str">
        <x:v>23671.5</x:v>
      </x:c>
      <x:c r="AY577" s="6" t="str">
        <x:v>6.5</x:v>
      </x:c>
      <x:c r="AZ577" s="9" t="str">
        <x:v>0.4412635068617905</x:v>
      </x:c>
      <x:c r="BA577" s="9" t="str">
        <x:v>0.865555340382743</x:v>
      </x:c>
      <x:c r="BB577" s="9" t="str">
        <x:v>1.5613939473571048</x:v>
      </x:c>
      <x:c r="BC577" s="9" t="str">
        <x:v>0.8146403203602286</x:v>
      </x:c>
      <x:c r="BD577" s="6" t="str">
        <x:v>0.16304347826086957</x:v>
      </x:c>
      <x:c r="BE577" s="6" t="str">
        <x:v>0.31521739130434784</x:v>
      </x:c>
      <x:c r="BF577" s="9" t="str">
        <x:v>0.4921785268843048</x:v>
      </x:c>
      <x:c r="BG577" s="9" t="str">
        <x:v>0.25457510011257145</x:v>
      </x:c>
      <x:c r="BH577" s="6" t="str">
        <x:v>With trade</x:v>
      </x:c>
      <x:c r="BI577" s="6" t="str">
        <x:v>Penetration + same-bar reclaim</x:v>
      </x:c>
      <x:c r="BJ577" s="6" t="str">
        <x:v>False</x:v>
      </x:c>
      <x:c r="BK577" s="10" t="str">
        <x:v>True</x:v>
      </x:c>
      <x:c r="BL577" s="6" t="str">
        <x:v>True</x:v>
      </x:c>
      <x:c r="BM577" s="7" t="str">
        <x:v>2026-01-16 08:25:00-06:00</x:v>
      </x:c>
      <x:c r="BN577" s="8" t="str">
        <x:v>2</x:v>
      </x:c>
      <x:c r="BO577" s="6" t="str">
        <x:v>Delayed confirmation (2+ bars)</x:v>
      </x:c>
      <x:c r="BP577" s="9" t="str">
        <x:v>1.5049614539665812</x:v>
      </x:c>
      <x:c r="BQ577" s="9" t="str">
        <x:v>2.966924009248403</x:v>
      </x:c>
      <x:c r="BR577" s="10" t="str">
        <x:v>0.5072463768115942</x:v>
      </x:c>
      <x:c r="BS577" s="9" t="str">
        <x:v>1.7199559473903785</x:v>
      </x:c>
      <x:c r="BT577" s="9" t="str">
        <x:v>0.9889746697494676</x:v>
      </x:c>
      <x:c r="BU577" s="9" t="str">
        <x:v>0.9173098386082018</x:v>
      </x:c>
      <x:c r="BV577" s="6" t="str">
        <x:v>With trade</x:v>
      </x:c>
      <x:c r="BW577" s="7" t="str">
        <x:v>2026-01-16 08:25:00-06:00</x:v>
      </x:c>
      <x:c r="BX577" s="6" t="str">
        <x:v>23708.0</x:v>
      </x:c>
      <x:c r="BY577" s="9" t="str">
        <x:v>17.44230719718015</x:v>
      </x:c>
      <x:c r="BZ577" s="9" t="str">
        <x:v>1.0</x:v>
      </x:c>
      <x:c r="CA577" s="6" t="str">
        <x:v>23681.83653920423</x:v>
      </x:c>
      <x:c r="CB577" s="6" t="str">
        <x:v>26.163460795771243</x:v>
      </x:c>
      <x:c r="CC577" s="9" t="str">
        <x:v>1.5000000000000584</x:v>
      </x:c>
      <x:c r="CD577" s="6" t="str">
        <x:v>23760.32692159154</x:v>
      </x:c>
      <x:c r="CE577" s="6" t="str">
        <x:v>52.32692159153885</x:v>
      </x:c>
      <x:c r="CF577" s="6" t="str">
        <x:v>Fixed 2.00R target</x:v>
      </x:c>
      <x:c r="CG577" s="9" t="str">
        <x:v>0.027710401374621683</x:v>
      </x:c>
      <x:c r="CH577" s="9" t="str">
        <x:v>-1.0</x:v>
      </x:c>
      <x:c r="CI577" s="9" t="str">
        <x:v>-1.0277104013746217</x:v>
      </x:c>
      <x:c r="CJ577" s="6" t="str">
        <x:v>Loss</x:v>
      </x:c>
      <x:c r="CK577" s="9" t="str">
        <x:v>0.8599779736951557</x:v>
      </x:c>
      <x:c r="CL577" s="9" t="str">
        <x:v>1.2899669605427335</x:v>
      </x:c>
      <x:c r="CM577" s="7" t="str">
        <x:v>2026-01-16 08:30:00-06:00</x:v>
      </x:c>
      <x:c r="CN577" s="6" t="str">
        <x:v>23681.83653920423</x:v>
      </x:c>
      <x:c r="CO577" s="6" t="str">
        <x:v>STOP</x:v>
      </x:c>
      <x:c r="CP577" s="6" t="str">
        <x:v>F::Long::Same-bar Setup+BOS::Penetration + same-bar reclaim</x:v>
      </x:c>
    </x:row>
    <x:row r="578" ht="18" customHeight="1">
      <x:c r="A578" s="6" t="str">
        <x:v>A0577</x:v>
      </x:c>
      <x:c r="B578" s="6" t="str">
        <x:v>2026-01-20</x:v>
      </x:c>
      <x:c r="C578" s="6" t="str">
        <x:v>2026</x:v>
      </x:c>
      <x:c r="D578" s="6" t="str">
        <x:v>2026-Q1</x:v>
      </x:c>
      <x:c r="E578" s="6" t="str">
        <x:v>Second 50%</x:v>
      </x:c>
      <x:c r="F578" s="6" t="str">
        <x:v>Short</x:v>
      </x:c>
      <x:c r="G578" s="6" t="str">
        <x:v>Short</x:v>
      </x:c>
      <x:c r="H578" s="6" t="str">
        <x:v>Midday</x:v>
      </x:c>
      <x:c r="I578" s="6" t="str">
        <x:v>Midday</x:v>
      </x:c>
      <x:c r="J578" s="6" t="str">
        <x:v>Bear</x:v>
      </x:c>
      <x:c r="K578" s="6" t="str">
        <x:v>Bear</x:v>
      </x:c>
      <x:c r="L578" s="6" t="str">
        <x:v>MID</x:v>
      </x:c>
      <x:c r="M578" s="7" t="str">
        <x:v>2026-01-20 12:20:00-06:00</x:v>
      </x:c>
      <x:c r="N578" s="6" t="str">
        <x:v>100.0</x:v>
      </x:c>
      <x:c r="O578" s="6" t="str">
        <x:v>95+</x:v>
      </x:c>
      <x:c r="P578" s="6" t="str">
        <x:v>Matching BOS only</x:v>
      </x:c>
      <x:c r="Q578" s="6" t="str">
        <x:v>Bear BOS</x:v>
      </x:c>
      <x:c r="R578" s="6" t="str">
        <x:v>True</x:v>
      </x:c>
      <x:c r="S578" s="6" t="str">
        <x:v>False</x:v>
      </x:c>
      <x:c r="T578" s="6" t="str">
        <x:v>Recent BSL</x:v>
      </x:c>
      <x:c r="U578" s="6" t="str">
        <x:v>BSL</x:v>
      </x:c>
      <x:c r="V578" s="6" t="str">
        <x:v>Swing high / buy-side</x:v>
      </x:c>
      <x:c r="W578" s="6" t="str">
        <x:v>[23267.75]</x:v>
      </x:c>
      <x:c r="X578" s="8" t="str">
        <x:v>1</x:v>
      </x:c>
      <x:c r="Y578" s="8" t="str">
        <x:v>20.0</x:v>
      </x:c>
      <x:c r="Z578" s="6" t="str">
        <x:v>None</x:v>
      </x:c>
      <x:c r="AA578" s="6" t="str">
        <x:v>23097.0</x:v>
      </x:c>
      <x:c r="AB578" s="9" t="str">
        <x:v>0.058566981068563</x:v>
      </x:c>
      <x:c r="AC578" s="9" t="str">
        <x:v>0.6222741738534818</x:v>
      </x:c>
      <x:c r="AD578" s="9" t="str">
        <x:v>0.7613707538913189</x:v>
      </x:c>
      <x:c r="AE578" s="6" t="str">
        <x:v>With trade</x:v>
      </x:c>
      <x:c r="AF578" s="7" t="str">
        <x:v>2026-01-20 12:20:00-06:00</x:v>
      </x:c>
      <x:c r="AG578" s="6" t="str">
        <x:v>Short</x:v>
      </x:c>
      <x:c r="AH578" s="6" t="str">
        <x:v>23097.0</x:v>
      </x:c>
      <x:c r="AI578" s="8" t="str">
        <x:v>0</x:v>
      </x:c>
      <x:c r="AJ578" s="6" t="str">
        <x:v>True</x:v>
      </x:c>
      <x:c r="AK578" s="6" t="str">
        <x:v>Same-bar Setup+BOS</x:v>
      </x:c>
      <x:c r="AL578" s="9" t="str">
        <x:v>0.6003115559527707</x:v>
      </x:c>
      <x:c r="AM578" s="9" t="str">
        <x:v>0.058566981068563</x:v>
      </x:c>
      <x:c r="AN578" s="9" t="str">
        <x:v>0.6222741738534818</x:v>
      </x:c>
      <x:c r="AO578" s="9" t="str">
        <x:v>0.7613707538913189</x:v>
      </x:c>
      <x:c r="AP578" s="10" t="str">
        <x:v>0.8173076923076923</x:v>
      </x:c>
      <x:c r="AQ578" s="6" t="str">
        <x:v>0.0</x:v>
      </x:c>
      <x:c r="AR578" s="6" t="str">
        <x:v>0.18269230769230768</x:v>
      </x:c>
      <x:c r="AS578" s="6" t="str">
        <x:v>With trade</x:v>
      </x:c>
      <x:c r="AT578" s="6" t="str">
        <x:v>0.6635396407733669</x:v>
      </x:c>
      <x:c r="AU578" s="7" t="str">
        <x:v>2026-01-20 12:25:00-06:00</x:v>
      </x:c>
      <x:c r="AV578" s="8" t="str">
        <x:v>1</x:v>
      </x:c>
      <x:c r="AW578" s="6" t="str">
        <x:v>Immediate retest (1 bar)</x:v>
      </x:c>
      <x:c r="AX578" s="6" t="str">
        <x:v>23101.25</x:v>
      </x:c>
      <x:c r="AY578" s="6" t="str">
        <x:v>4.25</x:v>
      </x:c>
      <x:c r="AZ578" s="9" t="str">
        <x:v>0.12887542804562377</x:v>
      </x:c>
      <x:c r="BA578" s="9" t="str">
        <x:v>0.2956553937517251</x:v>
      </x:c>
      <x:c r="BB578" s="9" t="str">
        <x:v>0.5382444347787816</x:v>
      </x:c>
      <x:c r="BC578" s="9" t="str">
        <x:v>0.25016994855915203</x:v>
      </x:c>
      <x:c r="BD578" s="6" t="str">
        <x:v>0.323943661971831</x:v>
      </x:c>
      <x:c r="BE578" s="6" t="str">
        <x:v>0.2112676056338028</x:v>
      </x:c>
      <x:c r="BF578" s="9" t="str">
        <x:v>0.17436087323819685</x:v>
      </x:c>
      <x:c r="BG578" s="9" t="str">
        <x:v>0.11371361298143273</x:v>
      </x:c>
      <x:c r="BH578" s="6" t="str">
        <x:v>With trade</x:v>
      </x:c>
      <x:c r="BI578" s="6" t="str">
        <x:v>Penetration + same-bar reclaim</x:v>
      </x:c>
      <x:c r="BJ578" s="6" t="str">
        <x:v>False</x:v>
      </x:c>
      <x:c r="BK578" s="10" t="str">
        <x:v>True</x:v>
      </x:c>
      <x:c r="BL578" s="6" t="str">
        <x:v>True</x:v>
      </x:c>
      <x:c r="BM578" s="7" t="str">
        <x:v>2026-01-20 12:30:00-06:00</x:v>
      </x:c>
      <x:c r="BN578" s="8" t="str">
        <x:v>1</x:v>
      </x:c>
      <x:c r="BO578" s="6" t="str">
        <x:v>Immediate confirmation (1 bar)</x:v>
      </x:c>
      <x:c r="BP578" s="9" t="str">
        <x:v>0.6009117981688002</x:v>
      </x:c>
      <x:c r="BQ578" s="9" t="str">
        <x:v>1.1191982240893903</x:v>
      </x:c>
      <x:c r="BR578" s="10" t="str">
        <x:v>0.5369127516778524</x:v>
      </x:c>
      <x:c r="BS578" s="9" t="str">
        <x:v>0.9013676972532003</x:v>
      </x:c>
      <x:c r="BT578" s="9" t="str">
        <x:v>0.6084231956459102</x:v>
      </x:c>
      <x:c r="BU578" s="9" t="str">
        <x:v>0.2553875142217401</x:v>
      </x:c>
      <x:c r="BV578" s="6" t="str">
        <x:v>With trade</x:v>
      </x:c>
      <x:c r="BW578" s="7" t="str">
        <x:v>2026-01-20 12:30:00-06:00</x:v>
      </x:c>
      <x:c r="BX578" s="6" t="str">
        <x:v>23067.0</x:v>
      </x:c>
      <x:c r="BY578" s="9" t="str">
        <x:v>33.2827547419561</x:v>
      </x:c>
      <x:c r="BZ578" s="9" t="str">
        <x:v>0.53</x:v>
      </x:c>
      <x:c r="CA578" s="6" t="str">
        <x:v>23116.924132112934</x:v>
      </x:c>
      <x:c r="CB578" s="6" t="str">
        <x:v>49.924132112933876</x:v>
      </x:c>
      <x:c r="CC578" s="9" t="str">
        <x:v>1.4999999999999918</x:v>
      </x:c>
      <x:c r="CD578" s="6" t="str">
        <x:v>22967.151735774132</x:v>
      </x:c>
      <x:c r="CE578" s="6" t="str">
        <x:v>99.84826422586775</x:v>
      </x:c>
      <x:c r="CF578" s="6" t="str">
        <x:v>Fixed 2.00R target</x:v>
      </x:c>
      <x:c r="CG578" s="9" t="str">
        <x:v>0.01452203512241275</x:v>
      </x:c>
      <x:c r="CH578" s="9" t="str">
        <x:v>1.8177581894606205</x:v>
      </x:c>
      <x:c r="CI578" s="9" t="str">
        <x:v>1.8032361543382078</x:v>
      </x:c>
      <x:c r="CJ578" s="6" t="str">
        <x:v>Win</x:v>
      </x:c>
      <x:c r="CK578" s="9" t="str">
        <x:v>1.8928721642317308</x:v>
      </x:c>
      <x:c r="CL578" s="9" t="str">
        <x:v>0.20531153104100786</x:v>
      </x:c>
      <x:c r="CM578" s="7" t="str">
        <x:v>2026-01-20 13:30:00-06:00</x:v>
      </x:c>
      <x:c r="CN578" s="6" t="str">
        <x:v>22976.25</x:v>
      </x:c>
      <x:c r="CO578" s="6" t="str">
        <x:v>TIME</x:v>
      </x:c>
      <x:c r="CP578" s="6" t="str">
        <x:v>F::Short::Same-bar Setup+BOS::Penetration + same-bar reclaim</x:v>
      </x:c>
    </x:row>
    <x:row r="579" ht="18" customHeight="1">
      <x:c r="A579" s="6" t="str">
        <x:v>A0578</x:v>
      </x:c>
      <x:c r="B579" s="6" t="str">
        <x:v>2026-01-23</x:v>
      </x:c>
      <x:c r="C579" s="6" t="str">
        <x:v>2026</x:v>
      </x:c>
      <x:c r="D579" s="6" t="str">
        <x:v>2026-Q1</x:v>
      </x:c>
      <x:c r="E579" s="6" t="str">
        <x:v>Second 50%</x:v>
      </x:c>
      <x:c r="F579" s="6" t="str">
        <x:v>Short</x:v>
      </x:c>
      <x:c r="G579" s="6" t="str">
        <x:v>Short</x:v>
      </x:c>
      <x:c r="H579" s="6" t="str">
        <x:v>Midday</x:v>
      </x:c>
      <x:c r="I579" s="6" t="str">
        <x:v>Morning</x:v>
      </x:c>
      <x:c r="J579" s="6" t="str">
        <x:v>Bull</x:v>
      </x:c>
      <x:c r="K579" s="6" t="str">
        <x:v>Bull</x:v>
      </x:c>
      <x:c r="L579" s="6" t="str">
        <x:v>HIGH</x:v>
      </x:c>
      <x:c r="M579" s="7" t="str">
        <x:v>2026-01-23 11:40:00-06:00</x:v>
      </x:c>
      <x:c r="N579" s="6" t="str">
        <x:v>75.0</x:v>
      </x:c>
      <x:c r="O579" s="6" t="str">
        <x:v>75-79</x:v>
      </x:c>
      <x:c r="P579" s="6" t="str">
        <x:v>Matching BOS only</x:v>
      </x:c>
      <x:c r="Q579" s="6" t="str">
        <x:v>Bear CHoCH</x:v>
      </x:c>
      <x:c r="R579" s="6" t="str">
        <x:v>True</x:v>
      </x:c>
      <x:c r="S579" s="6" t="str">
        <x:v>False</x:v>
      </x:c>
      <x:c r="T579" s="6" t="str">
        <x:v>No recent matching sweep</x:v>
      </x:c>
      <x:c r="U579" s="6" t="str">
        <x:v>None</x:v>
      </x:c>
      <x:c r="V579" s="6" t="str">
        <x:v>None</x:v>
      </x:c>
      <x:c r="W579" s="6" t="str">
        <x:v>[]</x:v>
      </x:c>
      <x:c r="X579" s="8" t="str">
        <x:v>0</x:v>
      </x:c>
      <x:c r="Y579" s="8" t="str"/>
      <x:c r="Z579" s="6" t="str">
        <x:v>None</x:v>
      </x:c>
      <x:c r="AA579" s="6" t="str">
        <x:v>23600.5</x:v>
      </x:c>
      <x:c r="AB579" s="9" t="str">
        <x:v>1.016776510383108</x:v>
      </x:c>
      <x:c r="AC579" s="9" t="str">
        <x:v>1.4595662810338164</x:v>
      </x:c>
      <x:c r="AD579" s="9" t="str">
        <x:v>1.8121581354408618</x:v>
      </x:c>
      <x:c r="AE579" s="6" t="str">
        <x:v>With trade</x:v>
      </x:c>
      <x:c r="AF579" s="7" t="str">
        <x:v>2026-01-23 11:40:00-06:00</x:v>
      </x:c>
      <x:c r="AG579" s="6" t="str">
        <x:v>Short</x:v>
      </x:c>
      <x:c r="AH579" s="6" t="str">
        <x:v>23600.5</x:v>
      </x:c>
      <x:c r="AI579" s="8" t="str">
        <x:v>0</x:v>
      </x:c>
      <x:c r="AJ579" s="6" t="str">
        <x:v>True</x:v>
      </x:c>
      <x:c r="AK579" s="6" t="str">
        <x:v>Same-bar Setup+BOS</x:v>
      </x:c>
      <x:c r="AL579" s="9" t="str">
        <x:v>1.4759659021690277</x:v>
      </x:c>
      <x:c r="AM579" s="9" t="str">
        <x:v>1.016776510383108</x:v>
      </x:c>
      <x:c r="AN579" s="9" t="str">
        <x:v>1.4595662810338164</x:v>
      </x:c>
      <x:c r="AO579" s="9" t="str">
        <x:v>1.8121581354408618</x:v>
      </x:c>
      <x:c r="AP579" s="10" t="str">
        <x:v>0.8054298642533937</x:v>
      </x:c>
      <x:c r="AQ579" s="6" t="str">
        <x:v>0.05429864253393665</x:v>
      </x:c>
      <x:c r="AR579" s="6" t="str">
        <x:v>0.14027149321266968</x:v>
      </x:c>
      <x:c r="AS579" s="6" t="str">
        <x:v>With trade</x:v>
      </x:c>
      <x:c r="AT579" s="6" t="str">
        <x:v>1.7051325019935972</x:v>
      </x:c>
      <x:c r="AU579" s="7" t="str">
        <x:v>2026-01-23 12:10:00-06:00</x:v>
      </x:c>
      <x:c r="AV579" s="8" t="str">
        <x:v>6</x:v>
      </x:c>
      <x:c r="AW579" s="6" t="str">
        <x:v>Delayed retest (2+ bars)</x:v>
      </x:c>
      <x:c r="AX579" s="6" t="str">
        <x:v>23598.5</x:v>
      </x:c>
      <x:c r="AY579" s="6" t="str">
        <x:v>0.0</x:v>
      </x:c>
      <x:c r="AZ579" s="9" t="str">
        <x:v>0.0</x:v>
      </x:c>
      <x:c r="BA579" s="9" t="str">
        <x:v>0.9593721571097443</x:v>
      </x:c>
      <x:c r="BB579" s="9" t="str">
        <x:v>0.9893525370194238</x:v>
      </x:c>
      <x:c r="BC579" s="9" t="str">
        <x:v>0.5846174082387504</x:v>
      </x:c>
      <x:c r="BD579" s="6" t="str">
        <x:v>0.3181818181818182</x:v>
      </x:c>
      <x:c r="BE579" s="6" t="str">
        <x:v>0.09090909090909091</x:v>
      </x:c>
      <x:c r="BF579" s="9" t="str">
        <x:v>0.31479398905163486</x:v>
      </x:c>
      <x:c r="BG579" s="9" t="str">
        <x:v>0.08994113972903853</x:v>
      </x:c>
      <x:c r="BH579" s="6" t="str">
        <x:v>With trade</x:v>
      </x:c>
      <x:c r="BI579" s="6" t="str">
        <x:v>Tolerance-only shallow touch</x:v>
      </x:c>
      <x:c r="BJ579" s="6" t="str">
        <x:v>True</x:v>
      </x:c>
      <x:c r="BK579" s="10" t="str">
        <x:v>False</x:v>
      </x:c>
      <x:c r="BL579" s="6" t="str">
        <x:v>True</x:v>
      </x:c>
      <x:c r="BM579" s="7" t="str">
        <x:v>2026-01-23 12:30:00-06:00</x:v>
      </x:c>
      <x:c r="BN579" s="8" t="str">
        <x:v>4</x:v>
      </x:c>
      <x:c r="BO579" s="6" t="str">
        <x:v>Delayed confirmation (2+ bars)</x:v>
      </x:c>
      <x:c r="BP579" s="9" t="str">
        <x:v>0.6063122119370182</x:v>
      </x:c>
      <x:c r="BQ579" s="9" t="str">
        <x:v>1.1659850229558044</x:v>
      </x:c>
      <x:c r="BR579" s="10" t="str">
        <x:v>0.52</x:v>
      </x:c>
      <x:c r="BS579" s="9" t="str">
        <x:v>0.8628289169872952</x:v>
      </x:c>
      <x:c r="BT579" s="9" t="str">
        <x:v>-0.1321449692683245</x:v>
      </x:c>
      <x:c r="BU579" s="9" t="str">
        <x:v>0.31092933945488116</x:v>
      </x:c>
      <x:c r="BV579" s="6" t="str">
        <x:v>With trade</x:v>
      </x:c>
      <x:c r="BW579" s="7" t="str">
        <x:v>2026-01-23 12:30:00-06:00</x:v>
      </x:c>
      <x:c r="BX579" s="6" t="str">
        <x:v>23572.75</x:v>
      </x:c>
      <x:c r="BY579" s="9" t="str">
        <x:v>32.1616481015652</x:v>
      </x:c>
      <x:c r="BZ579" s="9" t="str">
        <x:v>0.75</x:v>
      </x:c>
      <x:c r="CA579" s="6" t="str">
        <x:v>23620.99247215235</x:v>
      </x:c>
      <x:c r="CB579" s="6" t="str">
        <x:v>48.242472152349364</x:v>
      </x:c>
      <x:c r="CC579" s="9" t="str">
        <x:v>1.5000000000000486</x:v>
      </x:c>
      <x:c r="CD579" s="6" t="str">
        <x:v>23476.265055695305</x:v>
      </x:c>
      <x:c r="CE579" s="6" t="str">
        <x:v>96.48494430469509</x:v>
      </x:c>
      <x:c r="CF579" s="6" t="str">
        <x:v>Fixed 2.00R target</x:v>
      </x:c>
      <x:c r="CG579" s="9" t="str">
        <x:v>0.015028251406985434</x:v>
      </x:c>
      <x:c r="CH579" s="9" t="str">
        <x:v>-0.24356131590632357</x:v>
      </x:c>
      <x:c r="CI579" s="9" t="str">
        <x:v>-0.258589567313309</x:v>
      </x:c>
      <x:c r="CJ579" s="6" t="str">
        <x:v>Loss</x:v>
      </x:c>
      <x:c r="CK579" s="9" t="str">
        <x:v>0.39384382997617</x:v>
      </x:c>
      <x:c r="CL579" s="9" t="str">
        <x:v>0.8602378391584766</x:v>
      </x:c>
      <x:c r="CM579" s="7" t="str">
        <x:v>2026-01-23 13:30:00-06:00</x:v>
      </x:c>
      <x:c r="CN579" s="6" t="str">
        <x:v>23584.5</x:v>
      </x:c>
      <x:c r="CO579" s="6" t="str">
        <x:v>TIME</x:v>
      </x:c>
      <x:c r="CP579" s="6" t="str">
        <x:v>F::Short::Same-bar Setup+BOS::Tolerance-only shallow touch</x:v>
      </x:c>
    </x:row>
    <x:row r="580" ht="18" customHeight="1">
      <x:c r="A580" s="6" t="str">
        <x:v>A0579</x:v>
      </x:c>
      <x:c r="B580" s="6" t="str">
        <x:v>2026-01-23</x:v>
      </x:c>
      <x:c r="C580" s="6" t="str">
        <x:v>2026</x:v>
      </x:c>
      <x:c r="D580" s="6" t="str">
        <x:v>2026-Q1</x:v>
      </x:c>
      <x:c r="E580" s="6" t="str">
        <x:v>Second 50%</x:v>
      </x:c>
      <x:c r="F580" s="6" t="str">
        <x:v>Short</x:v>
      </x:c>
      <x:c r="G580" s="6" t="str">
        <x:v>Short</x:v>
      </x:c>
      <x:c r="H580" s="6" t="str">
        <x:v>Afternoon</x:v>
      </x:c>
      <x:c r="I580" s="6" t="str">
        <x:v>Afternoon</x:v>
      </x:c>
      <x:c r="J580" s="6" t="str">
        <x:v>Bull</x:v>
      </x:c>
      <x:c r="K580" s="6" t="str">
        <x:v>Bull</x:v>
      </x:c>
      <x:c r="L580" s="6" t="str">
        <x:v>LOW</x:v>
      </x:c>
      <x:c r="M580" s="7" t="str">
        <x:v>2026-01-23 15:15:00-06:00</x:v>
      </x:c>
      <x:c r="N580" s="6" t="str">
        <x:v>75.0</x:v>
      </x:c>
      <x:c r="O580" s="6" t="str">
        <x:v>75-79</x:v>
      </x:c>
      <x:c r="P580" s="6" t="str">
        <x:v>Matching BOS only</x:v>
      </x:c>
      <x:c r="Q580" s="6" t="str">
        <x:v>Bear BOS</x:v>
      </x:c>
      <x:c r="R580" s="6" t="str">
        <x:v>True</x:v>
      </x:c>
      <x:c r="S580" s="6" t="str">
        <x:v>False</x:v>
      </x:c>
      <x:c r="T580" s="6" t="str">
        <x:v>No recent matching sweep</x:v>
      </x:c>
      <x:c r="U580" s="6" t="str">
        <x:v>None</x:v>
      </x:c>
      <x:c r="V580" s="6" t="str">
        <x:v>None</x:v>
      </x:c>
      <x:c r="W580" s="6" t="str">
        <x:v>[]</x:v>
      </x:c>
      <x:c r="X580" s="8" t="str">
        <x:v>0</x:v>
      </x:c>
      <x:c r="Y580" s="8" t="str"/>
      <x:c r="Z580" s="6" t="str">
        <x:v>None</x:v>
      </x:c>
      <x:c r="AA580" s="6" t="str">
        <x:v>23530.75</x:v>
      </x:c>
      <x:c r="AB580" s="9" t="str">
        <x:v>0.49059960994868607</x:v>
      </x:c>
      <x:c r="AC580" s="9" t="str">
        <x:v>1.0034992021677671</x:v>
      </x:c>
      <x:c r="AD580" s="9" t="str">
        <x:v>1.0926991312493464</x:v>
      </x:c>
      <x:c r="AE580" s="6" t="str">
        <x:v>With trade</x:v>
      </x:c>
      <x:c r="AF580" s="7" t="str">
        <x:v>2026-01-23 15:15:00-06:00</x:v>
      </x:c>
      <x:c r="AG580" s="6" t="str">
        <x:v>Short</x:v>
      </x:c>
      <x:c r="AH580" s="6" t="str">
        <x:v>23530.75</x:v>
      </x:c>
      <x:c r="AI580" s="8" t="str">
        <x:v>0</x:v>
      </x:c>
      <x:c r="AJ580" s="6" t="str">
        <x:v>True</x:v>
      </x:c>
      <x:c r="AK580" s="6" t="str">
        <x:v>Same-bar Setup+BOS</x:v>
      </x:c>
      <x:c r="AL580" s="9" t="str">
        <x:v>1.0146491933029644</x:v>
      </x:c>
      <x:c r="AM580" s="9" t="str">
        <x:v>0.49059960994868607</x:v>
      </x:c>
      <x:c r="AN580" s="9" t="str">
        <x:v>1.0034992021677671</x:v>
      </x:c>
      <x:c r="AO580" s="9" t="str">
        <x:v>1.0926991312493464</x:v>
      </x:c>
      <x:c r="AP580" s="10" t="str">
        <x:v>0.9183673469387755</x:v>
      </x:c>
      <x:c r="AQ580" s="6" t="str">
        <x:v>0.02040816326530612</x:v>
      </x:c>
      <x:c r="AR580" s="6" t="str">
        <x:v>0.061224489795918366</x:v>
      </x:c>
      <x:c r="AS580" s="6" t="str">
        <x:v>With trade</x:v>
      </x:c>
      <x:c r="AT580" s="6" t="str">
        <x:v>0.46661649285023116</x:v>
      </x:c>
      <x:c r="AU580" s="7" t="str">
        <x:v>2026-01-23 15:20:00-06:00</x:v>
      </x:c>
      <x:c r="AV580" s="8" t="str">
        <x:v>1</x:v>
      </x:c>
      <x:c r="AW580" s="6" t="str">
        <x:v>Immediate retest (1 bar)</x:v>
      </x:c>
      <x:c r="AX580" s="6" t="str">
        <x:v>23534.25</x:v>
      </x:c>
      <x:c r="AY580" s="6" t="str">
        <x:v>3.5</x:v>
      </x:c>
      <x:c r="AZ580" s="9" t="str">
        <x:v>0.15606086956897094</x:v>
      </x:c>
      <x:c r="BA580" s="9" t="str">
        <x:v>-0.06688322981527327</x:v>
      </x:c>
      <x:c r="BB580" s="9" t="str">
        <x:v>1.003248447229099</x:v>
      </x:c>
      <x:c r="BC580" s="9" t="str">
        <x:v>0.579654658399035</x:v>
      </x:c>
      <x:c r="BD580" s="6" t="str">
        <x:v>0.08888888888888889</x:v>
      </x:c>
      <x:c r="BE580" s="6" t="str">
        <x:v>0.3333333333333333</x:v>
      </x:c>
      <x:c r="BF580" s="9" t="str">
        <x:v>0.08917763975369769</x:v>
      </x:c>
      <x:c r="BG580" s="9" t="str">
        <x:v>0.3344161490763663</x:v>
      </x:c>
      <x:c r="BH580" s="6" t="str">
        <x:v>Against trade</x:v>
      </x:c>
      <x:c r="BI580" s="6" t="str">
        <x:v>Penetration without same-bar reclaim</x:v>
      </x:c>
      <x:c r="BJ580" s="6" t="str">
        <x:v>False</x:v>
      </x:c>
      <x:c r="BK580" s="10" t="str">
        <x:v>True</x:v>
      </x:c>
      <x:c r="BL580" s="6" t="str">
        <x:v>False</x:v>
      </x:c>
      <x:c r="BM580" s="7" t="str">
        <x:v>2026-01-23 15:25:00-06:00</x:v>
      </x:c>
      <x:c r="BN580" s="8" t="str">
        <x:v>1</x:v>
      </x:c>
      <x:c r="BO580" s="6" t="str">
        <x:v>Immediate confirmation (1 bar)</x:v>
      </x:c>
      <x:c r="BP580" s="9" t="str">
        <x:v>0.22125888229023974</x:v>
      </x:c>
      <x:c r="BQ580" s="9" t="str">
        <x:v>0.3959369472562185</x:v>
      </x:c>
      <x:c r="BR580" s="10" t="str">
        <x:v>0.5588235294117647</x:v>
      </x:c>
      <x:c r="BS580" s="9" t="str">
        <x:v>0.17467806496597874</x:v>
      </x:c>
      <x:c r="BT580" s="9" t="str">
        <x:v>0.24454929095237024</x:v>
      </x:c>
      <x:c r="BU580" s="9" t="str">
        <x:v>0.0</x:v>
      </x:c>
      <x:c r="BV580" s="6" t="str">
        <x:v>With trade</x:v>
      </x:c>
      <x:c r="BW580" s="7" t="str">
        <x:v>2026-01-23 15:25:00-06:00</x:v>
      </x:c>
      <x:c r="BX580" s="6" t="str">
        <x:v>23527.0</x:v>
      </x:c>
      <x:c r="BY580" s="9" t="str">
        <x:v>21.468064697936576</x:v>
      </x:c>
      <x:c r="BZ580" s="9" t="str">
        <x:v>0.17</x:v>
      </x:c>
      <x:c r="CA580" s="6" t="str">
        <x:v>23559.202097046906</x:v>
      </x:c>
      <x:c r="CB580" s="6" t="str">
        <x:v>32.20209704690569</x:v>
      </x:c>
      <x:c r="CC580" s="9" t="str">
        <x:v>1.5000000000000386</x:v>
      </x:c>
      <x:c r="CD580" s="6" t="str">
        <x:v>23462.59580590619</x:v>
      </x:c>
      <x:c r="CE580" s="6" t="str">
        <x:v>64.40419409381138</x:v>
      </x:c>
      <x:c r="CF580" s="6" t="str">
        <x:v>Fixed 2.00R target</x:v>
      </x:c>
      <x:c r="CG580" s="9" t="str">
        <x:v>0.02251406170672557</x:v>
      </x:c>
      <x:c r="CH580" s="9" t="str">
        <x:v>2.0</x:v>
      </x:c>
      <x:c r="CI580" s="9" t="str">
        <x:v>1.9774859382932743</x:v>
      </x:c>
      <x:c r="CJ580" s="6" t="str">
        <x:v>Win</x:v>
      </x:c>
      <x:c r="CK580" s="9" t="str">
        <x:v>10.007112255161815</x:v>
      </x:c>
      <x:c r="CL580" s="9" t="str">
        <x:v>0.2717214343915155</x:v>
      </x:c>
      <x:c r="CM580" s="7" t="str">
        <x:v>2026-01-25 17:00:00-06:00</x:v>
      </x:c>
      <x:c r="CN580" s="6" t="str">
        <x:v>23462.59580590619</x:v>
      </x:c>
      <x:c r="CO580" s="6" t="str">
        <x:v>TARGET</x:v>
      </x:c>
      <x:c r="CP580" s="6" t="str">
        <x:v>F::Short::Same-bar Setup+BOS::Penetration without same-bar reclaim</x:v>
      </x:c>
    </x:row>
    <x:row r="581" ht="18" customHeight="1">
      <x:c r="A581" s="6" t="str">
        <x:v>A0580</x:v>
      </x:c>
      <x:c r="B581" s="6" t="str">
        <x:v>2026-01-27</x:v>
      </x:c>
      <x:c r="C581" s="6" t="str">
        <x:v>2026</x:v>
      </x:c>
      <x:c r="D581" s="6" t="str">
        <x:v>2026-Q1</x:v>
      </x:c>
      <x:c r="E581" s="6" t="str">
        <x:v>Second 50%</x:v>
      </x:c>
      <x:c r="F581" s="6" t="str">
        <x:v>Short</x:v>
      </x:c>
      <x:c r="G581" s="6" t="str">
        <x:v>Short</x:v>
      </x:c>
      <x:c r="H581" s="6" t="str">
        <x:v>Afternoon</x:v>
      </x:c>
      <x:c r="I581" s="6" t="str">
        <x:v>Afternoon</x:v>
      </x:c>
      <x:c r="J581" s="6" t="str">
        <x:v>Bull</x:v>
      </x:c>
      <x:c r="K581" s="6" t="str">
        <x:v>Bull</x:v>
      </x:c>
      <x:c r="L581" s="6" t="str">
        <x:v>MID</x:v>
      </x:c>
      <x:c r="M581" s="7" t="str">
        <x:v>2026-01-27 14:55:00-06:00</x:v>
      </x:c>
      <x:c r="N581" s="6" t="str">
        <x:v>85.0</x:v>
      </x:c>
      <x:c r="O581" s="6" t="str">
        <x:v>85-89</x:v>
      </x:c>
      <x:c r="P581" s="6" t="str">
        <x:v>Matching BOS only</x:v>
      </x:c>
      <x:c r="Q581" s="6" t="str">
        <x:v>Bear CHoCH</x:v>
      </x:c>
      <x:c r="R581" s="6" t="str">
        <x:v>True</x:v>
      </x:c>
      <x:c r="S581" s="6" t="str">
        <x:v>False</x:v>
      </x:c>
      <x:c r="T581" s="6" t="str">
        <x:v>Recent BSL</x:v>
      </x:c>
      <x:c r="U581" s="6" t="str">
        <x:v>BSL</x:v>
      </x:c>
      <x:c r="V581" s="6" t="str">
        <x:v>Swing high / buy-side</x:v>
      </x:c>
      <x:c r="W581" s="6" t="str">
        <x:v>[23937.25]</x:v>
      </x:c>
      <x:c r="X581" s="8" t="str">
        <x:v>1</x:v>
      </x:c>
      <x:c r="Y581" s="8" t="str">
        <x:v>17.0</x:v>
      </x:c>
      <x:c r="Z581" s="6" t="str">
        <x:v>Sweep below CRT reference</x:v>
      </x:c>
      <x:c r="AA581" s="6" t="str">
        <x:v>23917.25</x:v>
      </x:c>
      <x:c r="AB581" s="9" t="str">
        <x:v>0.13470599571320546</x:v>
      </x:c>
      <x:c r="AC581" s="9" t="str">
        <x:v>0.1154622820398904</x:v>
      </x:c>
      <x:c r="AD581" s="9" t="str">
        <x:v>1.0584042520323287</x:v>
      </x:c>
      <x:c r="AE581" s="6" t="str">
        <x:v>With trade</x:v>
      </x:c>
      <x:c r="AF581" s="7" t="str">
        <x:v>2026-01-27 14:55:00-06:00</x:v>
      </x:c>
      <x:c r="AG581" s="6" t="str">
        <x:v>Short</x:v>
      </x:c>
      <x:c r="AH581" s="6" t="str">
        <x:v>23917.25</x:v>
      </x:c>
      <x:c r="AI581" s="8" t="str">
        <x:v>0</x:v>
      </x:c>
      <x:c r="AJ581" s="6" t="str">
        <x:v>True</x:v>
      </x:c>
      <x:c r="AK581" s="6" t="str">
        <x:v>Same-bar Setup+BOS</x:v>
      </x:c>
      <x:c r="AL581" s="9" t="str">
        <x:v>0.13470599571320546</x:v>
      </x:c>
      <x:c r="AM581" s="9" t="str">
        <x:v>0.13470599571320546</x:v>
      </x:c>
      <x:c r="AN581" s="9" t="str">
        <x:v>0.1154622820398904</x:v>
      </x:c>
      <x:c r="AO581" s="9" t="str">
        <x:v>1.0584042520323287</x:v>
      </x:c>
      <x:c r="AP581" s="10" t="str">
        <x:v>0.10909090909090909</x:v>
      </x:c>
      <x:c r="AQ581" s="6" t="str">
        <x:v>0.32727272727272727</x:v>
      </x:c>
      <x:c r="AR581" s="6" t="str">
        <x:v>0.5636363636363636</x:v>
      </x:c>
      <x:c r="AS581" s="6" t="str">
        <x:v>With trade</x:v>
      </x:c>
      <x:c r="AT581" s="6" t="str">
        <x:v>5.350766708650713</x:v>
      </x:c>
      <x:c r="AU581" s="7" t="str">
        <x:v>2026-01-27 15:00:00-06:00</x:v>
      </x:c>
      <x:c r="AV581" s="8" t="str">
        <x:v>1</x:v>
      </x:c>
      <x:c r="AW581" s="6" t="str">
        <x:v>Immediate retest (1 bar)</x:v>
      </x:c>
      <x:c r="AX581" s="6" t="str">
        <x:v>23927.0</x:v>
      </x:c>
      <x:c r="AY581" s="6" t="str">
        <x:v>9.75</x:v>
      </x:c>
      <x:c r="AZ581" s="9" t="str">
        <x:v>0.6906625233495272</x:v>
      </x:c>
      <x:c r="BA581" s="9" t="str">
        <x:v>-0.017709295470500697</x:v>
      </x:c>
      <x:c r="BB581" s="9" t="str">
        <x:v>2.0365689791075803</x:v>
      </x:c>
      <x:c r="BC581" s="9" t="str">
        <x:v>0.14167436376400558</x:v>
      </x:c>
      <x:c r="BD581" s="6" t="str">
        <x:v>0.33043478260869563</x:v>
      </x:c>
      <x:c r="BE581" s="6" t="str">
        <x:v>0.6</x:v>
      </x:c>
      <x:c r="BF581" s="9" t="str">
        <x:v>0.6729532278790264</x:v>
      </x:c>
      <x:c r="BG581" s="9" t="str">
        <x:v>1.2219413874645482</x:v>
      </x:c>
      <x:c r="BH581" s="6" t="str">
        <x:v>Against trade</x:v>
      </x:c>
      <x:c r="BI581" s="6" t="str">
        <x:v>Penetration without same-bar reclaim</x:v>
      </x:c>
      <x:c r="BJ581" s="6" t="str">
        <x:v>False</x:v>
      </x:c>
      <x:c r="BK581" s="10" t="str">
        <x:v>True</x:v>
      </x:c>
      <x:c r="BL581" s="6" t="str">
        <x:v>False</x:v>
      </x:c>
      <x:c r="BM581" s="7" t="str">
        <x:v>2026-01-27 15:05:00-06:00</x:v>
      </x:c>
      <x:c r="BN581" s="8" t="str">
        <x:v>1</x:v>
      </x:c>
      <x:c r="BO581" s="6" t="str">
        <x:v>Immediate confirmation (1 bar)</x:v>
      </x:c>
      <x:c r="BP581" s="9" t="str">
        <x:v>0.07052206046110647</x:v>
      </x:c>
      <x:c r="BQ581" s="9" t="str">
        <x:v>1.057830906916597</x:v>
      </x:c>
      <x:c r="BR581" s="10" t="str">
        <x:v>0.06666666666666667</x:v>
      </x:c>
      <x:c r="BS581" s="9" t="str">
        <x:v>0.05289154534582985</x:v>
      </x:c>
      <x:c r="BT581" s="9" t="str">
        <x:v>0.07052206046110647</x:v>
      </x:c>
      <x:c r="BU581" s="9" t="str">
        <x:v>0.7052206046110646</x:v>
      </x:c>
      <x:c r="BV581" s="6" t="str">
        <x:v>With trade</x:v>
      </x:c>
      <x:c r="BW581" s="7" t="str">
        <x:v>2026-01-27 15:05:00-06:00</x:v>
      </x:c>
      <x:c r="BX581" s="6" t="str">
        <x:v>23916.5</x:v>
      </x:c>
      <x:c r="BY581" s="9" t="str">
        <x:v>14.179960050252769</x:v>
      </x:c>
      <x:c r="BZ581" s="9" t="str">
        <x:v>0.48</x:v>
      </x:c>
      <x:c r="CA581" s="6" t="str">
        <x:v>23937.76994007538</x:v>
      </x:c>
      <x:c r="CB581" s="6" t="str">
        <x:v>21.269940075380873</x:v>
      </x:c>
      <x:c r="CC581" s="9" t="str">
        <x:v>1.5000000000001212</x:v>
      </x:c>
      <x:c r="CD581" s="6" t="str">
        <x:v>23873.960119849242</x:v>
      </x:c>
      <x:c r="CE581" s="6" t="str">
        <x:v>42.53988015075811</x:v>
      </x:c>
      <x:c r="CF581" s="6" t="str">
        <x:v>Fixed 2.00R target</x:v>
      </x:c>
      <x:c r="CG581" s="9" t="str">
        <x:v>0.0340856625561987</x:v>
      </x:c>
      <x:c r="CH581" s="9" t="str">
        <x:v>-1.0</x:v>
      </x:c>
      <x:c r="CI581" s="9" t="str">
        <x:v>-1.0340856625561987</x:v>
      </x:c>
      <x:c r="CJ581" s="6" t="str">
        <x:v>Loss</x:v>
      </x:c>
      <x:c r="CK581" s="9" t="str">
        <x:v>0.11753676743516793</x:v>
      </x:c>
      <x:c r="CL581" s="9" t="str">
        <x:v>1.363426502247948</x:v>
      </x:c>
      <x:c r="CM581" s="7" t="str">
        <x:v>2026-01-27 15:15:00-06:00</x:v>
      </x:c>
      <x:c r="CN581" s="6" t="str">
        <x:v>23937.76994007538</x:v>
      </x:c>
      <x:c r="CO581" s="6" t="str">
        <x:v>STOP</x:v>
      </x:c>
      <x:c r="CP581" s="6" t="str">
        <x:v>F::Short::Same-bar Setup+BOS::Penetration without same-bar reclaim</x:v>
      </x:c>
    </x:row>
    <x:row r="582" ht="18" customHeight="1">
      <x:c r="A582" s="6" t="str">
        <x:v>A0581</x:v>
      </x:c>
      <x:c r="B582" s="6" t="str">
        <x:v>2026-01-28</x:v>
      </x:c>
      <x:c r="C582" s="6" t="str">
        <x:v>2026</x:v>
      </x:c>
      <x:c r="D582" s="6" t="str">
        <x:v>2026-Q1</x:v>
      </x:c>
      <x:c r="E582" s="6" t="str">
        <x:v>Second 50%</x:v>
      </x:c>
      <x:c r="F582" s="6" t="str">
        <x:v>Short</x:v>
      </x:c>
      <x:c r="G582" s="6" t="str">
        <x:v>Short</x:v>
      </x:c>
      <x:c r="H582" s="6" t="str">
        <x:v>Premarket</x:v>
      </x:c>
      <x:c r="I582" s="6" t="str">
        <x:v>Premarket</x:v>
      </x:c>
      <x:c r="J582" s="6" t="str">
        <x:v>Bull</x:v>
      </x:c>
      <x:c r="K582" s="6" t="str">
        <x:v>Bull</x:v>
      </x:c>
      <x:c r="L582" s="6" t="str">
        <x:v>HIGH</x:v>
      </x:c>
      <x:c r="M582" s="7" t="str">
        <x:v>2026-01-28 06:15:00-06:00</x:v>
      </x:c>
      <x:c r="N582" s="6" t="str">
        <x:v>90.0</x:v>
      </x:c>
      <x:c r="O582" s="6" t="str">
        <x:v>90-94</x:v>
      </x:c>
      <x:c r="P582" s="6" t="str">
        <x:v>Matching BOS only</x:v>
      </x:c>
      <x:c r="Q582" s="6" t="str">
        <x:v>Bear BOS</x:v>
      </x:c>
      <x:c r="R582" s="6" t="str">
        <x:v>True</x:v>
      </x:c>
      <x:c r="S582" s="6" t="str">
        <x:v>False</x:v>
      </x:c>
      <x:c r="T582" s="6" t="str">
        <x:v>Recent BSL</x:v>
      </x:c>
      <x:c r="U582" s="6" t="str">
        <x:v>BSL</x:v>
      </x:c>
      <x:c r="V582" s="6" t="str">
        <x:v>Swing high / buy-side</x:v>
      </x:c>
      <x:c r="W582" s="6" t="str">
        <x:v>[24160.25]</x:v>
      </x:c>
      <x:c r="X582" s="8" t="str">
        <x:v>1</x:v>
      </x:c>
      <x:c r="Y582" s="8" t="str">
        <x:v>5.0</x:v>
      </x:c>
      <x:c r="Z582" s="6" t="str">
        <x:v>None</x:v>
      </x:c>
      <x:c r="AA582" s="6" t="str">
        <x:v>24127.0</x:v>
      </x:c>
      <x:c r="AB582" s="9" t="str">
        <x:v>0.9002703161616159</x:v>
      </x:c>
      <x:c r="AC582" s="9" t="str">
        <x:v>1.2153649268181814</x:v>
      </x:c>
      <x:c r="AD582" s="9" t="str">
        <x:v>1.6655000848989894</x:v>
      </x:c>
      <x:c r="AE582" s="6" t="str">
        <x:v>With trade</x:v>
      </x:c>
      <x:c r="AF582" s="7" t="str">
        <x:v>2026-01-28 06:15:00-06:00</x:v>
      </x:c>
      <x:c r="AG582" s="6" t="str">
        <x:v>Short</x:v>
      </x:c>
      <x:c r="AH582" s="6" t="str">
        <x:v>24127.0</x:v>
      </x:c>
      <x:c r="AI582" s="8" t="str">
        <x:v>0</x:v>
      </x:c>
      <x:c r="AJ582" s="6" t="str">
        <x:v>True</x:v>
      </x:c>
      <x:c r="AK582" s="6" t="str">
        <x:v>Same-bar Setup+BOS</x:v>
      </x:c>
      <x:c r="AL582" s="9" t="str">
        <x:v>1.0803243793939392</x:v>
      </x:c>
      <x:c r="AM582" s="9" t="str">
        <x:v>0.9002703161616159</x:v>
      </x:c>
      <x:c r="AN582" s="9" t="str">
        <x:v>1.2153649268181814</x:v>
      </x:c>
      <x:c r="AO582" s="9" t="str">
        <x:v>1.6655000848989894</x:v>
      </x:c>
      <x:c r="AP582" s="10" t="str">
        <x:v>0.7297297297297297</x:v>
      </x:c>
      <x:c r="AQ582" s="6" t="str">
        <x:v>0.14414414414414414</x:v>
      </x:c>
      <x:c r="AR582" s="6" t="str">
        <x:v>0.12612612612612611</x:v>
      </x:c>
      <x:c r="AS582" s="6" t="str">
        <x:v>With trade</x:v>
      </x:c>
      <x:c r="AT582" s="6" t="str">
        <x:v>1.6867058923850942</x:v>
      </x:c>
      <x:c r="AU582" s="7" t="str">
        <x:v>2026-01-28 06:20:00-06:00</x:v>
      </x:c>
      <x:c r="AV582" s="8" t="str">
        <x:v>1</x:v>
      </x:c>
      <x:c r="AW582" s="6" t="str">
        <x:v>Immediate retest (1 bar)</x:v>
      </x:c>
      <x:c r="AX582" s="6" t="str">
        <x:v>24132.25</x:v>
      </x:c>
      <x:c r="AY582" s="6" t="str">
        <x:v>5.25</x:v>
      </x:c>
      <x:c r="AZ582" s="9" t="str">
        <x:v>0.3004886189093403</x:v>
      </x:c>
      <x:c r="BA582" s="9" t="str">
        <x:v>0.7011401107884606</x:v>
      </x:c>
      <x:c r="BB582" s="9" t="str">
        <x:v>1.6026059675164814</x:v>
      </x:c>
      <x:c r="BC582" s="9" t="str">
        <x:v>0.10016287296978009</x:v>
      </x:c>
      <x:c r="BD582" s="6" t="str">
        <x:v>0.625</x:v>
      </x:c>
      <x:c r="BE582" s="6" t="str">
        <x:v>0.3125</x:v>
      </x:c>
      <x:c r="BF582" s="9" t="str">
        <x:v>1.001628729697801</x:v>
      </x:c>
      <x:c r="BG582" s="9" t="str">
        <x:v>0.5008143648489005</x:v>
      </x:c>
      <x:c r="BH582" s="6" t="str">
        <x:v>Against trade</x:v>
      </x:c>
      <x:c r="BI582" s="6" t="str">
        <x:v>Penetration + same-bar reclaim</x:v>
      </x:c>
      <x:c r="BJ582" s="6" t="str">
        <x:v>False</x:v>
      </x:c>
      <x:c r="BK582" s="10" t="str">
        <x:v>True</x:v>
      </x:c>
      <x:c r="BL582" s="6" t="str">
        <x:v>True</x:v>
      </x:c>
      <x:c r="BM582" s="7" t="str">
        <x:v>2026-01-28 06:30:00-06:00</x:v>
      </x:c>
      <x:c r="BN582" s="8" t="str">
        <x:v>2</x:v>
      </x:c>
      <x:c r="BO582" s="6" t="str">
        <x:v>Delayed confirmation (2+ bars)</x:v>
      </x:c>
      <x:c r="BP582" s="9" t="str">
        <x:v>0.17443201278236847</x:v>
      </x:c>
      <x:c r="BQ582" s="9" t="str">
        <x:v>0.8866960649770398</x:v>
      </x:c>
      <x:c r="BR582" s="10" t="str">
        <x:v>0.19672131147540983</x:v>
      </x:c>
      <x:c r="BS582" s="9" t="str">
        <x:v>0.7268000532598687</x:v>
      </x:c>
      <x:c r="BT582" s="9" t="str">
        <x:v>0.014536001065197373</x:v>
      </x:c>
      <x:c r="BU582" s="9" t="str">
        <x:v>0.5232960383471055</x:v>
      </x:c>
      <x:c r="BV582" s="6" t="str">
        <x:v>With trade</x:v>
      </x:c>
      <x:c r="BW582" s="7" t="str">
        <x:v>2026-01-28 06:30:00-06:00</x:v>
      </x:c>
      <x:c r="BX582" s="6" t="str">
        <x:v>24114.5</x:v>
      </x:c>
      <x:c r="BY582" s="9" t="str">
        <x:v>17.198677881123658</x:v>
      </x:c>
      <x:c r="BZ582" s="9" t="str">
        <x:v>0.94</x:v>
      </x:c>
      <x:c r="CA582" s="6" t="str">
        <x:v>24140.298016821685</x:v>
      </x:c>
      <x:c r="CB582" s="6" t="str">
        <x:v>25.79801682168545</x:v>
      </x:c>
      <x:c r="CC582" s="9" t="str">
        <x:v>1.499999999999998</x:v>
      </x:c>
      <x:c r="CD582" s="6" t="str">
        <x:v>24062.90396635663</x:v>
      </x:c>
      <x:c r="CE582" s="6" t="str">
        <x:v>51.5960336433709</x:v>
      </x:c>
      <x:c r="CF582" s="6" t="str">
        <x:v>Fixed 2.00R target</x:v>
      </x:c>
      <x:c r="CG582" s="9" t="str">
        <x:v>0.02810293539271496</x:v>
      </x:c>
      <x:c r="CH582" s="9" t="str">
        <x:v>-1.0</x:v>
      </x:c>
      <x:c r="CI582" s="9" t="str">
        <x:v>-1.028102935392715</x:v>
      </x:c>
      <x:c r="CJ582" s="6" t="str">
        <x:v>Loss</x:v>
      </x:c>
      <x:c r="CK582" s="9" t="str">
        <x:v>0.184122680159167</x:v>
      </x:c>
      <x:c r="CL582" s="9" t="str">
        <x:v>1.0272107419406158</x:v>
      </x:c>
      <x:c r="CM582" s="7" t="str">
        <x:v>2026-01-28 06:55:00-06:00</x:v>
      </x:c>
      <x:c r="CN582" s="6" t="str">
        <x:v>24140.298016821685</x:v>
      </x:c>
      <x:c r="CO582" s="6" t="str">
        <x:v>STOP</x:v>
      </x:c>
      <x:c r="CP582" s="6" t="str">
        <x:v>F::Short::Same-bar Setup+BOS::Penetration + same-bar reclaim</x:v>
      </x:c>
    </x:row>
    <x:row r="583" ht="18" customHeight="1">
      <x:c r="A583" s="6" t="str">
        <x:v>A0582</x:v>
      </x:c>
      <x:c r="B583" s="6" t="str">
        <x:v>2026-01-29</x:v>
      </x:c>
      <x:c r="C583" s="6" t="str">
        <x:v>2026</x:v>
      </x:c>
      <x:c r="D583" s="6" t="str">
        <x:v>2026-Q1</x:v>
      </x:c>
      <x:c r="E583" s="6" t="str">
        <x:v>Second 50%</x:v>
      </x:c>
      <x:c r="F583" s="6" t="str">
        <x:v>Short</x:v>
      </x:c>
      <x:c r="G583" s="6" t="str">
        <x:v>Short</x:v>
      </x:c>
      <x:c r="H583" s="6" t="str">
        <x:v>Overnight</x:v>
      </x:c>
      <x:c r="I583" s="6" t="str">
        <x:v>Overnight</x:v>
      </x:c>
      <x:c r="J583" s="6" t="str">
        <x:v>Bear</x:v>
      </x:c>
      <x:c r="K583" s="6" t="str">
        <x:v>Bear</x:v>
      </x:c>
      <x:c r="L583" s="6" t="str">
        <x:v>LOW</x:v>
      </x:c>
      <x:c r="M583" s="7" t="str">
        <x:v>2026-01-29 19:10:00-06:00</x:v>
      </x:c>
      <x:c r="N583" s="6" t="str">
        <x:v>90.0</x:v>
      </x:c>
      <x:c r="O583" s="6" t="str">
        <x:v>90-94</x:v>
      </x:c>
      <x:c r="P583" s="6" t="str">
        <x:v>Matching BOS only</x:v>
      </x:c>
      <x:c r="Q583" s="6" t="str">
        <x:v>Bear BOS</x:v>
      </x:c>
      <x:c r="R583" s="6" t="str">
        <x:v>True</x:v>
      </x:c>
      <x:c r="S583" s="6" t="str">
        <x:v>False</x:v>
      </x:c>
      <x:c r="T583" s="6" t="str">
        <x:v>Recent BSL</x:v>
      </x:c>
      <x:c r="U583" s="6" t="str">
        <x:v>BSL</x:v>
      </x:c>
      <x:c r="V583" s="6" t="str">
        <x:v>Swing high / buy-side</x:v>
      </x:c>
      <x:c r="W583" s="6" t="str">
        <x:v>[23850.0]</x:v>
      </x:c>
      <x:c r="X583" s="8" t="str">
        <x:v>1</x:v>
      </x:c>
      <x:c r="Y583" s="8" t="str">
        <x:v>19.0</x:v>
      </x:c>
      <x:c r="Z583" s="6" t="str">
        <x:v>None</x:v>
      </x:c>
      <x:c r="AA583" s="6" t="str">
        <x:v>23746.75</x:v>
      </x:c>
      <x:c r="AB583" s="9" t="str">
        <x:v>0.07195634597864366</x:v>
      </x:c>
      <x:c r="AC583" s="9" t="str">
        <x:v>0.4877041227441403</x:v>
      </x:c>
      <x:c r="AD583" s="9" t="str">
        <x:v>0.9114470490628197</x:v>
      </x:c>
      <x:c r="AE583" s="6" t="str">
        <x:v>With trade</x:v>
      </x:c>
      <x:c r="AF583" s="7" t="str">
        <x:v>2026-01-29 19:10:00-06:00</x:v>
      </x:c>
      <x:c r="AG583" s="6" t="str">
        <x:v>Short</x:v>
      </x:c>
      <x:c r="AH583" s="6" t="str">
        <x:v>23746.75</x:v>
      </x:c>
      <x:c r="AI583" s="8" t="str">
        <x:v>0</x:v>
      </x:c>
      <x:c r="AJ583" s="6" t="str">
        <x:v>True</x:v>
      </x:c>
      <x:c r="AK583" s="6" t="str">
        <x:v>Same-bar Setup+BOS</x:v>
      </x:c>
      <x:c r="AL583" s="9" t="str">
        <x:v>0.39975747765913144</x:v>
      </x:c>
      <x:c r="AM583" s="9" t="str">
        <x:v>0.07195634597864366</x:v>
      </x:c>
      <x:c r="AN583" s="9" t="str">
        <x:v>0.4877041227441403</x:v>
      </x:c>
      <x:c r="AO583" s="9" t="str">
        <x:v>0.9114470490628197</x:v>
      </x:c>
      <x:c r="AP583" s="10" t="str">
        <x:v>0.5350877192982456</x:v>
      </x:c>
      <x:c r="AQ583" s="6" t="str">
        <x:v>0.14035087719298245</x:v>
      </x:c>
      <x:c r="AR583" s="6" t="str">
        <x:v>0.32456140350877194</x:v>
      </x:c>
      <x:c r="AS583" s="6" t="str">
        <x:v>With trade</x:v>
      </x:c>
      <x:c r="AT583" s="6" t="str">
        <x:v>0.8686537831641009</x:v>
      </x:c>
      <x:c r="AU583" s="7" t="str">
        <x:v>2026-01-29 19:15:00-06:00</x:v>
      </x:c>
      <x:c r="AV583" s="8" t="str">
        <x:v>1</x:v>
      </x:c>
      <x:c r="AW583" s="6" t="str">
        <x:v>Immediate retest (1 bar)</x:v>
      </x:c>
      <x:c r="AX583" s="6" t="str">
        <x:v>23748.75</x:v>
      </x:c>
      <x:c r="AY583" s="6" t="str">
        <x:v>2.0</x:v>
      </x:c>
      <x:c r="AZ583" s="9" t="str">
        <x:v>0.0665879563438092</x:v>
      </x:c>
      <x:c r="BA583" s="9" t="str">
        <x:v>0.0998819345157138</x:v>
      </x:c>
      <x:c r="BB583" s="9" t="str">
        <x:v>0.4661156944066644</x:v>
      </x:c>
      <x:c r="BC583" s="9" t="str">
        <x:v>0.09155843997273765</x:v>
      </x:c>
      <x:c r="BD583" s="6" t="str">
        <x:v>0.35714285714285715</x:v>
      </x:c>
      <x:c r="BE583" s="6" t="str">
        <x:v>0.44642857142857145</x:v>
      </x:c>
      <x:c r="BF583" s="9" t="str">
        <x:v>0.166469890859523</x:v>
      </x:c>
      <x:c r="BG583" s="9" t="str">
        <x:v>0.20808736357440374</x:v>
      </x:c>
      <x:c r="BH583" s="6" t="str">
        <x:v>Against trade</x:v>
      </x:c>
      <x:c r="BI583" s="6" t="str">
        <x:v>Penetration + same-bar reclaim</x:v>
      </x:c>
      <x:c r="BJ583" s="6" t="str">
        <x:v>False</x:v>
      </x:c>
      <x:c r="BK583" s="10" t="str">
        <x:v>True</x:v>
      </x:c>
      <x:c r="BL583" s="6" t="str">
        <x:v>True</x:v>
      </x:c>
      <x:c r="BM583" s="7" t="str">
        <x:v>2026-01-29 19:20:00-06:00</x:v>
      </x:c>
      <x:c r="BN583" s="8" t="str">
        <x:v>1</x:v>
      </x:c>
      <x:c r="BO583" s="6" t="str">
        <x:v>Immediate confirmation (1 bar)</x:v>
      </x:c>
      <x:c r="BP583" s="9" t="str">
        <x:v>0.4586489278366736</x:v>
      </x:c>
      <x:c r="BQ583" s="9" t="str">
        <x:v>0.975671355579833</x:v>
      </x:c>
      <x:c r="BR583" s="10" t="str">
        <x:v>0.4700854700854701</x:v>
      </x:c>
      <x:c r="BS583" s="9" t="str">
        <x:v>0.5086833563279471</x:v>
      </x:c>
      <x:c r="BT583" s="9" t="str">
        <x:v>0.4086144993454001</x:v>
      </x:c>
      <x:c r="BU583" s="9" t="str">
        <x:v>0.11674699981297147</x:v>
      </x:c>
      <x:c r="BV583" s="6" t="str">
        <x:v>With trade</x:v>
      </x:c>
      <x:c r="BW583" s="7" t="str">
        <x:v>2026-01-29 19:20:00-06:00</x:v>
      </x:c>
      <x:c r="BX583" s="6" t="str">
        <x:v>23731.5</x:v>
      </x:c>
      <x:c r="BY583" s="9" t="str">
        <x:v>29.97935711930067</x:v>
      </x:c>
      <x:c r="BZ583" s="9" t="str">
        <x:v>0.09</x:v>
      </x:c>
      <x:c r="CA583" s="6" t="str">
        <x:v>23776.46903567895</x:v>
      </x:c>
      <x:c r="CB583" s="6" t="str">
        <x:v>44.969035678950604</x:v>
      </x:c>
      <x:c r="CC583" s="9" t="str">
        <x:v>1.4999999999999867</x:v>
      </x:c>
      <x:c r="CD583" s="6" t="str">
        <x:v>23641.5619286421</x:v>
      </x:c>
      <x:c r="CE583" s="6" t="str">
        <x:v>89.93807135790121</x:v>
      </x:c>
      <x:c r="CF583" s="6" t="str">
        <x:v>Fixed 2.00R target</x:v>
      </x:c>
      <x:c r="CG583" s="9" t="str">
        <x:v>0.016122204736077155</x:v>
      </x:c>
      <x:c r="CH583" s="9" t="str">
        <x:v>2.0</x:v>
      </x:c>
      <x:c r="CI583" s="9" t="str">
        <x:v>1.9838777952639228</x:v>
      </x:c>
      <x:c r="CJ583" s="6" t="str">
        <x:v>Win</x:v>
      </x:c>
      <x:c r="CK583" s="9" t="str">
        <x:v>2.1181241394639296</x:v>
      </x:c>
      <x:c r="CL583" s="9" t="str">
        <x:v>0.3335628566084929</x:v>
      </x:c>
      <x:c r="CM583" s="7" t="str">
        <x:v>2026-01-29 19:40:00-06:00</x:v>
      </x:c>
      <x:c r="CN583" s="6" t="str">
        <x:v>23641.5619286421</x:v>
      </x:c>
      <x:c r="CO583" s="6" t="str">
        <x:v>TARGET</x:v>
      </x:c>
      <x:c r="CP583" s="6" t="str">
        <x:v>F::Short::Same-bar Setup+BOS::Penetration + same-bar reclaim</x:v>
      </x:c>
    </x:row>
    <x:row r="584" ht="18" customHeight="1">
      <x:c r="A584" s="6" t="str">
        <x:v>A0583</x:v>
      </x:c>
      <x:c r="B584" s="6" t="str">
        <x:v>2026-02-02</x:v>
      </x:c>
      <x:c r="C584" s="6" t="str">
        <x:v>2026</x:v>
      </x:c>
      <x:c r="D584" s="6" t="str">
        <x:v>2026-Q1</x:v>
      </x:c>
      <x:c r="E584" s="6" t="str">
        <x:v>Second 50%</x:v>
      </x:c>
      <x:c r="F584" s="6" t="str">
        <x:v>Short</x:v>
      </x:c>
      <x:c r="G584" s="6" t="str">
        <x:v>Short</x:v>
      </x:c>
      <x:c r="H584" s="6" t="str">
        <x:v>Overnight</x:v>
      </x:c>
      <x:c r="I584" s="6" t="str">
        <x:v>Overnight</x:v>
      </x:c>
      <x:c r="J584" s="6" t="str">
        <x:v>Bull</x:v>
      </x:c>
      <x:c r="K584" s="6" t="str">
        <x:v>Bull</x:v>
      </x:c>
      <x:c r="L584" s="6" t="str">
        <x:v>LOW</x:v>
      </x:c>
      <x:c r="M584" s="7" t="str">
        <x:v>2026-02-02 20:00:00-06:00</x:v>
      </x:c>
      <x:c r="N584" s="6" t="str">
        <x:v>90.0</x:v>
      </x:c>
      <x:c r="O584" s="6" t="str">
        <x:v>90-94</x:v>
      </x:c>
      <x:c r="P584" s="6" t="str">
        <x:v>Matching BOS only</x:v>
      </x:c>
      <x:c r="Q584" s="6" t="str">
        <x:v>Bear CHoCH</x:v>
      </x:c>
      <x:c r="R584" s="6" t="str">
        <x:v>True</x:v>
      </x:c>
      <x:c r="S584" s="6" t="str">
        <x:v>False</x:v>
      </x:c>
      <x:c r="T584" s="6" t="str">
        <x:v>Recent BSL</x:v>
      </x:c>
      <x:c r="U584" s="6" t="str">
        <x:v>BSL</x:v>
      </x:c>
      <x:c r="V584" s="6" t="str">
        <x:v>Swing high / buy-side</x:v>
      </x:c>
      <x:c r="W584" s="6" t="str">
        <x:v>[23824.25]</x:v>
      </x:c>
      <x:c r="X584" s="8" t="str">
        <x:v>1</x:v>
      </x:c>
      <x:c r="Y584" s="8" t="str">
        <x:v>9.0</x:v>
      </x:c>
      <x:c r="Z584" s="6" t="str">
        <x:v>None</x:v>
      </x:c>
      <x:c r="AA584" s="6" t="str">
        <x:v>23783.0</x:v>
      </x:c>
      <x:c r="AB584" s="9" t="str">
        <x:v>0.2677098926756287</x:v>
      </x:c>
      <x:c r="AC584" s="9" t="str">
        <x:v>1.244063618904392</x:v>
      </x:c>
      <x:c r="AD584" s="9" t="str">
        <x:v>1.3857923856150192</x:v>
      </x:c>
      <x:c r="AE584" s="6" t="str">
        <x:v>With trade</x:v>
      </x:c>
      <x:c r="AF584" s="7" t="str">
        <x:v>2026-02-02 20:00:00-06:00</x:v>
      </x:c>
      <x:c r="AG584" s="6" t="str">
        <x:v>Short</x:v>
      </x:c>
      <x:c r="AH584" s="6" t="str">
        <x:v>23783.0</x:v>
      </x:c>
      <x:c r="AI584" s="8" t="str">
        <x:v>0</x:v>
      </x:c>
      <x:c r="AJ584" s="6" t="str">
        <x:v>True</x:v>
      </x:c>
      <x:c r="AK584" s="6" t="str">
        <x:v>Same-bar Setup+BOS</x:v>
      </x:c>
      <x:c r="AL584" s="9" t="str">
        <x:v>1.3228018226325182</x:v>
      </x:c>
      <x:c r="AM584" s="9" t="str">
        <x:v>0.2677098926756287</x:v>
      </x:c>
      <x:c r="AN584" s="9" t="str">
        <x:v>1.244063618904392</x:v>
      </x:c>
      <x:c r="AO584" s="9" t="str">
        <x:v>1.3857923856150192</x:v>
      </x:c>
      <x:c r="AP584" s="10" t="str">
        <x:v>0.8977272727272727</x:v>
      </x:c>
      <x:c r="AQ584" s="6" t="str">
        <x:v>0.045454545454545456</x:v>
      </x:c>
      <x:c r="AR584" s="6" t="str">
        <x:v>0.056818181818181816</x:v>
      </x:c>
      <x:c r="AS584" s="6" t="str">
        <x:v>With trade</x:v>
      </x:c>
      <x:c r="AT584" s="6" t="str">
        <x:v>1.2251655629139073</x:v>
      </x:c>
      <x:c r="AU584" s="7" t="str">
        <x:v>2026-02-02 20:05:00-06:00</x:v>
      </x:c>
      <x:c r="AV584" s="8" t="str">
        <x:v>1</x:v>
      </x:c>
      <x:c r="AW584" s="6" t="str">
        <x:v>Immediate retest (1 bar)</x:v>
      </x:c>
      <x:c r="AX584" s="6" t="str">
        <x:v>23784.25</x:v>
      </x:c>
      <x:c r="AY584" s="6" t="str">
        <x:v>1.25</x:v>
      </x:c>
      <x:c r="AZ584" s="9" t="str">
        <x:v>0.08078285666038089</x:v>
      </x:c>
      <x:c r="BA584" s="9" t="str">
        <x:v>0.37160114063775207</x:v>
      </x:c>
      <x:c r="BB584" s="9" t="str">
        <x:v>0.6624194246151233</x:v>
      </x:c>
      <x:c r="BC584" s="9" t="str">
        <x:v>0.08078285666038089</x:v>
      </x:c>
      <x:c r="BD584" s="6" t="str">
        <x:v>0.5609756097560976</x:v>
      </x:c>
      <x:c r="BE584" s="6" t="str">
        <x:v>0.3170731707317073</x:v>
      </x:c>
      <x:c r="BF584" s="9" t="str">
        <x:v>0.37160114063775207</x:v>
      </x:c>
      <x:c r="BG584" s="9" t="str">
        <x:v>0.21003542731699032</x:v>
      </x:c>
      <x:c r="BH584" s="6" t="str">
        <x:v>With trade</x:v>
      </x:c>
      <x:c r="BI584" s="6" t="str">
        <x:v>Penetration + same-bar reclaim</x:v>
      </x:c>
      <x:c r="BJ584" s="6" t="str">
        <x:v>False</x:v>
      </x:c>
      <x:c r="BK584" s="10" t="str">
        <x:v>True</x:v>
      </x:c>
      <x:c r="BL584" s="6" t="str">
        <x:v>True</x:v>
      </x:c>
      <x:c r="BM584" s="7" t="str">
        <x:v>2026-02-02 20:10:00-06:00</x:v>
      </x:c>
      <x:c r="BN584" s="8" t="str">
        <x:v>1</x:v>
      </x:c>
      <x:c r="BO584" s="6" t="str">
        <x:v>Immediate confirmation (1 bar)</x:v>
      </x:c>
      <x:c r="BP584" s="9" t="str">
        <x:v>0.8783675783358954</x:v>
      </x:c>
      <x:c r="BQ584" s="9" t="str">
        <x:v>1.1498630116397175</x:v>
      </x:c>
      <x:c r="BR584" s="10" t="str">
        <x:v>0.7638888888888888</x:v>
      </x:c>
      <x:c r="BS584" s="9" t="str">
        <x:v>1.2137442900641464</x:v>
      </x:c>
      <x:c r="BT584" s="9" t="str">
        <x:v>0.8464269391236809</x:v>
      </x:c>
      <x:c r="BU584" s="9" t="str">
        <x:v>0.0</x:v>
      </x:c>
      <x:c r="BV584" s="6" t="str">
        <x:v>With trade</x:v>
      </x:c>
      <x:c r="BW584" s="7" t="str">
        <x:v>2026-02-02 20:10:00-06:00</x:v>
      </x:c>
      <x:c r="BX584" s="6" t="str">
        <x:v>23764.0</x:v>
      </x:c>
      <x:c r="BY584" s="9" t="str">
        <x:v>15.654038627028969</x:v>
      </x:c>
      <x:c r="BZ584" s="9" t="str">
        <x:v>0.06</x:v>
      </x:c>
      <x:c r="CA584" s="6" t="str">
        <x:v>23787.481057940542</x:v>
      </x:c>
      <x:c r="CB584" s="6" t="str">
        <x:v>23.481057940542087</x:v>
      </x:c>
      <x:c r="CC584" s="9" t="str">
        <x:v>1.4999999999999127</x:v>
      </x:c>
      <x:c r="CD584" s="6" t="str">
        <x:v>23717.037884118912</x:v>
      </x:c>
      <x:c r="CE584" s="6" t="str">
        <x:v>46.96211588108781</x:v>
      </x:c>
      <x:c r="CF584" s="6" t="str">
        <x:v>Fixed 2.00R target</x:v>
      </x:c>
      <x:c r="CG584" s="9" t="str">
        <x:v>0.030875951238475696</x:v>
      </x:c>
      <x:c r="CH584" s="9" t="str">
        <x:v>-1.0</x:v>
      </x:c>
      <x:c r="CI584" s="9" t="str">
        <x:v>-1.0308759512384758</x:v>
      </x:c>
      <x:c r="CJ584" s="6" t="str">
        <x:v>Loss</x:v>
      </x:c>
      <x:c r="CK584" s="9" t="str">
        <x:v>0.10646879737405412</x:v>
      </x:c>
      <x:c r="CL584" s="9" t="str">
        <x:v>1.0540410940031357</x:v>
      </x:c>
      <x:c r="CM584" s="7" t="str">
        <x:v>2026-02-02 20:15:00-06:00</x:v>
      </x:c>
      <x:c r="CN584" s="6" t="str">
        <x:v>23787.481057940542</x:v>
      </x:c>
      <x:c r="CO584" s="6" t="str">
        <x:v>STOP</x:v>
      </x:c>
      <x:c r="CP584" s="6" t="str">
        <x:v>F::Short::Same-bar Setup+BOS::Penetration + same-bar reclaim</x:v>
      </x:c>
    </x:row>
    <x:row r="585" ht="18" customHeight="1">
      <x:c r="A585" s="6" t="str">
        <x:v>A0584</x:v>
      </x:c>
      <x:c r="B585" s="6" t="str">
        <x:v>2026-02-04</x:v>
      </x:c>
      <x:c r="C585" s="6" t="str">
        <x:v>2026</x:v>
      </x:c>
      <x:c r="D585" s="6" t="str">
        <x:v>2026-Q1</x:v>
      </x:c>
      <x:c r="E585" s="6" t="str">
        <x:v>Second 50%</x:v>
      </x:c>
      <x:c r="F585" s="6" t="str">
        <x:v>Long</x:v>
      </x:c>
      <x:c r="G585" s="6" t="str">
        <x:v>Long</x:v>
      </x:c>
      <x:c r="H585" s="6" t="str">
        <x:v>Overnight</x:v>
      </x:c>
      <x:c r="I585" s="6" t="str">
        <x:v>Overnight</x:v>
      </x:c>
      <x:c r="J585" s="6" t="str">
        <x:v>Bear</x:v>
      </x:c>
      <x:c r="K585" s="6" t="str">
        <x:v>Bear</x:v>
      </x:c>
      <x:c r="L585" s="6" t="str">
        <x:v>LOW</x:v>
      </x:c>
      <x:c r="M585" s="7" t="str">
        <x:v>2026-02-04 00:00:00-06:00</x:v>
      </x:c>
      <x:c r="N585" s="6" t="str">
        <x:v>75.0</x:v>
      </x:c>
      <x:c r="O585" s="6" t="str">
        <x:v>75-79</x:v>
      </x:c>
      <x:c r="P585" s="6" t="str">
        <x:v>Matching BOS only</x:v>
      </x:c>
      <x:c r="Q585" s="6" t="str">
        <x:v>Bull BOS</x:v>
      </x:c>
      <x:c r="R585" s="6" t="str">
        <x:v>True</x:v>
      </x:c>
      <x:c r="S585" s="6" t="str">
        <x:v>False</x:v>
      </x:c>
      <x:c r="T585" s="6" t="str">
        <x:v>Recent SSL</x:v>
      </x:c>
      <x:c r="U585" s="6" t="str">
        <x:v>SSL</x:v>
      </x:c>
      <x:c r="V585" s="6" t="str">
        <x:v>Swing low / sell-side</x:v>
      </x:c>
      <x:c r="W585" s="6" t="str">
        <x:v>[23257.5]</x:v>
      </x:c>
      <x:c r="X585" s="8" t="str">
        <x:v>1</x:v>
      </x:c>
      <x:c r="Y585" s="8" t="str">
        <x:v>11.0</x:v>
      </x:c>
      <x:c r="Z585" s="6" t="str">
        <x:v>None</x:v>
      </x:c>
      <x:c r="AA585" s="6" t="str">
        <x:v>23287.5</x:v>
      </x:c>
      <x:c r="AB585" s="9" t="str">
        <x:v>0.17049561285715767</x:v>
      </x:c>
      <x:c r="AC585" s="9" t="str">
        <x:v>0.5872626665079875</x:v>
      </x:c>
      <x:c r="AD585" s="9" t="str">
        <x:v>1.1176934620635892</x:v>
      </x:c>
      <x:c r="AE585" s="6" t="str">
        <x:v>With trade</x:v>
      </x:c>
      <x:c r="AF585" s="7" t="str">
        <x:v>2026-02-04 00:00:00-06:00</x:v>
      </x:c>
      <x:c r="AG585" s="6" t="str">
        <x:v>Long</x:v>
      </x:c>
      <x:c r="AH585" s="6" t="str">
        <x:v>23287.5</x:v>
      </x:c>
      <x:c r="AI585" s="8" t="str">
        <x:v>0</x:v>
      </x:c>
      <x:c r="AJ585" s="6" t="str">
        <x:v>True</x:v>
      </x:c>
      <x:c r="AK585" s="6" t="str">
        <x:v>Same-bar Setup+BOS</x:v>
      </x:c>
      <x:c r="AL585" s="9" t="str">
        <x:v>0.5493747525397302</x:v>
      </x:c>
      <x:c r="AM585" s="9" t="str">
        <x:v>0.17049561285715767</x:v>
      </x:c>
      <x:c r="AN585" s="9" t="str">
        <x:v>0.5872626665079875</x:v>
      </x:c>
      <x:c r="AO585" s="9" t="str">
        <x:v>1.1176934620635892</x:v>
      </x:c>
      <x:c r="AP585" s="10" t="str">
        <x:v>0.5254237288135594</x:v>
      </x:c>
      <x:c r="AQ585" s="6" t="str">
        <x:v>0.0</x:v>
      </x:c>
      <x:c r="AR585" s="6" t="str">
        <x:v>0.4745762711864407</x:v>
      </x:c>
      <x:c r="AS585" s="6" t="str">
        <x:v>With trade</x:v>
      </x:c>
      <x:c r="AT585" s="6" t="str">
        <x:v>1.6069699903194579</x:v>
      </x:c>
      <x:c r="AU585" s="7" t="str">
        <x:v>2026-02-04 00:05:00-06:00</x:v>
      </x:c>
      <x:c r="AV585" s="8" t="str">
        <x:v>1</x:v>
      </x:c>
      <x:c r="AW585" s="6" t="str">
        <x:v>Immediate retest (1 bar)</x:v>
      </x:c>
      <x:c r="AX585" s="6" t="str">
        <x:v>23285.5</x:v>
      </x:c>
      <x:c r="AY585" s="6" t="str">
        <x:v>2.0</x:v>
      </x:c>
      <x:c r="AZ585" s="9" t="str">
        <x:v>0.15253978753088124</x:v>
      </x:c>
      <x:c r="BA585" s="9" t="str">
        <x:v>0.0</x:v>
      </x:c>
      <x:c r="BB585" s="9" t="str">
        <x:v>0.9152387251852874</x:v>
      </x:c>
      <x:c r="BC585" s="9" t="str">
        <x:v>0.17160726097224138</x:v>
      </x:c>
      <x:c r="BD585" s="6" t="str">
        <x:v>0.6458333333333334</x:v>
      </x:c>
      <x:c r="BE585" s="6" t="str">
        <x:v>0.16666666666666666</x:v>
      </x:c>
      <x:c r="BF585" s="9" t="str">
        <x:v>0.15253978753088124</x:v>
      </x:c>
      <x:c r="BG585" s="9" t="str">
        <x:v>0.5910916766821648</x:v>
      </x:c>
      <x:c r="BH585" s="6" t="str">
        <x:v>Against trade</x:v>
      </x:c>
      <x:c r="BI585" s="6" t="str">
        <x:v>Penetration without same-bar reclaim</x:v>
      </x:c>
      <x:c r="BJ585" s="6" t="str">
        <x:v>False</x:v>
      </x:c>
      <x:c r="BK585" s="10" t="str">
        <x:v>True</x:v>
      </x:c>
      <x:c r="BL585" s="6" t="str">
        <x:v>False</x:v>
      </x:c>
      <x:c r="BM585" s="7" t="str">
        <x:v>2026-02-04 00:10:00-06:00</x:v>
      </x:c>
      <x:c r="BN585" s="8" t="str">
        <x:v>1</x:v>
      </x:c>
      <x:c r="BO585" s="6" t="str">
        <x:v>Immediate confirmation (1 bar)</x:v>
      </x:c>
      <x:c r="BP585" s="9" t="str">
        <x:v>0.9088628707210251</x:v>
      </x:c>
      <x:c r="BQ585" s="9" t="str">
        <x:v>1.3540201951558128</x:v>
      </x:c>
      <x:c r="BR585" s="10" t="str">
        <x:v>0.6712328767123288</x:v>
      </x:c>
      <x:c r="BS585" s="9" t="str">
        <x:v>0.9274110925724746</x:v>
      </x:c>
      <x:c r="BT585" s="9" t="str">
        <x:v>0.9274110925724746</x:v>
      </x:c>
      <x:c r="BU585" s="9" t="str">
        <x:v>0.09274110925724746</x:v>
      </x:c>
      <x:c r="BV585" s="6" t="str">
        <x:v>With trade</x:v>
      </x:c>
      <x:c r="BW585" s="7" t="str">
        <x:v>2026-02-04 00:10:00-06:00</x:v>
      </x:c>
      <x:c r="BX585" s="6" t="str">
        <x:v>23300.0</x:v>
      </x:c>
      <x:c r="BY585" s="9" t="str">
        <x:v>13.478380946821767</x:v>
      </x:c>
      <x:c r="BZ585" s="9" t="str">
        <x:v>0.09</x:v>
      </x:c>
      <x:c r="CA585" s="6" t="str">
        <x:v>23279.78242857977</x:v>
      </x:c>
      <x:c r="CB585" s="6" t="str">
        <x:v>20.217571420231252</x:v>
      </x:c>
      <x:c r="CC585" s="9" t="str">
        <x:v>1.4999999999998963</x:v>
      </x:c>
      <x:c r="CD585" s="6" t="str">
        <x:v>23340.435142840466</x:v>
      </x:c>
      <x:c r="CE585" s="6" t="str">
        <x:v>40.43514284046614</x:v>
      </x:c>
      <x:c r="CF585" s="6" t="str">
        <x:v>Fixed 2.00R target</x:v>
      </x:c>
      <x:c r="CG585" s="9" t="str">
        <x:v>0.0358598955794715</x:v>
      </x:c>
      <x:c r="CH585" s="9" t="str">
        <x:v>-1.0</x:v>
      </x:c>
      <x:c r="CI585" s="9" t="str">
        <x:v>-1.0358598955794716</x:v>
      </x:c>
      <x:c r="CJ585" s="6" t="str">
        <x:v>Loss</x:v>
      </x:c>
      <x:c r="CK585" s="9" t="str">
        <x:v>0.12365481234300517</x:v>
      </x:c>
      <x:c r="CL585" s="9" t="str">
        <x:v>1.1623552360242486</x:v>
      </x:c>
      <x:c r="CM585" s="7" t="str">
        <x:v>2026-02-04 00:20:00-06:00</x:v>
      </x:c>
      <x:c r="CN585" s="6" t="str">
        <x:v>23279.78242857977</x:v>
      </x:c>
      <x:c r="CO585" s="6" t="str">
        <x:v>STOP</x:v>
      </x:c>
      <x:c r="CP585" s="6" t="str">
        <x:v>F::Long::Same-bar Setup+BOS::Penetration without same-bar reclaim</x:v>
      </x:c>
    </x:row>
    <x:row r="586" ht="18" customHeight="1">
      <x:c r="A586" s="6" t="str">
        <x:v>A0585</x:v>
      </x:c>
      <x:c r="B586" s="6" t="str">
        <x:v>2026-02-04</x:v>
      </x:c>
      <x:c r="C586" s="6" t="str">
        <x:v>2026</x:v>
      </x:c>
      <x:c r="D586" s="6" t="str">
        <x:v>2026-Q1</x:v>
      </x:c>
      <x:c r="E586" s="6" t="str">
        <x:v>Second 50%</x:v>
      </x:c>
      <x:c r="F586" s="6" t="str">
        <x:v>Short</x:v>
      </x:c>
      <x:c r="G586" s="6" t="str">
        <x:v>Short</x:v>
      </x:c>
      <x:c r="H586" s="6" t="str">
        <x:v>Opening</x:v>
      </x:c>
      <x:c r="I586" s="6" t="str">
        <x:v>Opening</x:v>
      </x:c>
      <x:c r="J586" s="6" t="str">
        <x:v>Bear</x:v>
      </x:c>
      <x:c r="K586" s="6" t="str">
        <x:v>Bear</x:v>
      </x:c>
      <x:c r="L586" s="6" t="str">
        <x:v>HIGH</x:v>
      </x:c>
      <x:c r="M586" s="7" t="str">
        <x:v>2026-02-04 10:00:00-06:00</x:v>
      </x:c>
      <x:c r="N586" s="6" t="str">
        <x:v>75.0</x:v>
      </x:c>
      <x:c r="O586" s="6" t="str">
        <x:v>75-79</x:v>
      </x:c>
      <x:c r="P586" s="6" t="str">
        <x:v>Matching BOS only</x:v>
      </x:c>
      <x:c r="Q586" s="6" t="str">
        <x:v>Bear BOS</x:v>
      </x:c>
      <x:c r="R586" s="6" t="str">
        <x:v>True</x:v>
      </x:c>
      <x:c r="S586" s="6" t="str">
        <x:v>False</x:v>
      </x:c>
      <x:c r="T586" s="6" t="str">
        <x:v>No recent matching sweep</x:v>
      </x:c>
      <x:c r="U586" s="6" t="str">
        <x:v>None</x:v>
      </x:c>
      <x:c r="V586" s="6" t="str">
        <x:v>None</x:v>
      </x:c>
      <x:c r="W586" s="6" t="str">
        <x:v>[]</x:v>
      </x:c>
      <x:c r="X586" s="8" t="str">
        <x:v>0</x:v>
      </x:c>
      <x:c r="Y586" s="8" t="str"/>
      <x:c r="Z586" s="6" t="str">
        <x:v>None</x:v>
      </x:c>
      <x:c r="AA586" s="6" t="str">
        <x:v>22947.5</x:v>
      </x:c>
      <x:c r="AB586" s="9" t="str">
        <x:v>0.48325622618880554</x:v>
      </x:c>
      <x:c r="AC586" s="9" t="str">
        <x:v>1.0898970207662424</x:v>
      </x:c>
      <x:c r="AD586" s="9" t="str">
        <x:v>1.3640849505187562</x:v>
      </x:c>
      <x:c r="AE586" s="6" t="str">
        <x:v>With trade</x:v>
      </x:c>
      <x:c r="AF586" s="7" t="str">
        <x:v>2026-02-04 10:00:00-06:00</x:v>
      </x:c>
      <x:c r="AG586" s="6" t="str">
        <x:v>Short</x:v>
      </x:c>
      <x:c r="AH586" s="6" t="str">
        <x:v>22947.5</x:v>
      </x:c>
      <x:c r="AI586" s="8" t="str">
        <x:v>0</x:v>
      </x:c>
      <x:c r="AJ586" s="6" t="str">
        <x:v>True</x:v>
      </x:c>
      <x:c r="AK586" s="6" t="str">
        <x:v>Same-bar Setup+BOS</x:v>
      </x:c>
      <x:c r="AL586" s="9" t="str">
        <x:v>1.0796149734005231</x:v>
      </x:c>
      <x:c r="AM586" s="9" t="str">
        <x:v>0.48325622618880554</x:v>
      </x:c>
      <x:c r="AN586" s="9" t="str">
        <x:v>1.0898970207662424</x:v>
      </x:c>
      <x:c r="AO586" s="9" t="str">
        <x:v>1.3640849505187562</x:v>
      </x:c>
      <x:c r="AP586" s="10" t="str">
        <x:v>0.7989949748743719</x:v>
      </x:c>
      <x:c r="AQ586" s="6" t="str">
        <x:v>0.1934673366834171</x:v>
      </x:c>
      <x:c r="AR586" s="6" t="str">
        <x:v>0.007537688442211055</x:v>
      </x:c>
      <x:c r="AS586" s="6" t="str">
        <x:v>With trade</x:v>
      </x:c>
      <x:c r="AT586" s="6" t="str">
        <x:v>0.9885794374366873</x:v>
      </x:c>
      <x:c r="AU586" s="7" t="str">
        <x:v>2026-02-04 10:05:00-06:00</x:v>
      </x:c>
      <x:c r="AV586" s="8" t="str">
        <x:v>1</x:v>
      </x:c>
      <x:c r="AW586" s="6" t="str">
        <x:v>Immediate retest (1 bar)</x:v>
      </x:c>
      <x:c r="AX586" s="6" t="str">
        <x:v>22947.0</x:v>
      </x:c>
      <x:c r="AY586" s="6" t="str">
        <x:v>0.0</x:v>
      </x:c>
      <x:c r="AZ586" s="9" t="str">
        <x:v>0.0</x:v>
      </x:c>
      <x:c r="BA586" s="9" t="str">
        <x:v>0.5860924301566288</x:v>
      </x:c>
      <x:c r="BB586" s="9" t="str">
        <x:v>0.7675019918717758</x:v>
      </x:c>
      <x:c r="BC586" s="9" t="str">
        <x:v>0.11512529878076638</x:v>
      </x:c>
      <x:c r="BD586" s="6" t="str">
        <x:v>0.6045454545454545</x:v>
      </x:c>
      <x:c r="BE586" s="6" t="str">
        <x:v>0.24545454545454545</x:v>
      </x:c>
      <x:c r="BF586" s="9" t="str">
        <x:v>0.4639898405406645</x:v>
      </x:c>
      <x:c r="BG586" s="9" t="str">
        <x:v>0.18838685255034499</x:v>
      </x:c>
      <x:c r="BH586" s="6" t="str">
        <x:v>With trade</x:v>
      </x:c>
      <x:c r="BI586" s="6" t="str">
        <x:v>Tolerance-only shallow touch</x:v>
      </x:c>
      <x:c r="BJ586" s="6" t="str">
        <x:v>True</x:v>
      </x:c>
      <x:c r="BK586" s="10" t="str">
        <x:v>False</x:v>
      </x:c>
      <x:c r="BL586" s="6" t="str">
        <x:v>True</x:v>
      </x:c>
      <x:c r="BM586" s="7" t="str">
        <x:v>2026-02-04 10:15:00-06:00</x:v>
      </x:c>
      <x:c r="BN586" s="8" t="str">
        <x:v>2</x:v>
      </x:c>
      <x:c r="BO586" s="6" t="str">
        <x:v>Delayed confirmation (2+ bars)</x:v>
      </x:c>
      <x:c r="BP586" s="9" t="str">
        <x:v>0.7885171787634968</x:v>
      </x:c>
      <x:c r="BQ586" s="9" t="str">
        <x:v>1.2198428150101959</x:v>
      </x:c>
      <x:c r="BR586" s="10" t="str">
        <x:v>0.6464088397790055</x:v>
      </x:c>
      <x:c r="BS586" s="9" t="str">
        <x:v>0.7447106688321914</x:v>
      </x:c>
      <x:c r="BT586" s="9" t="str">
        <x:v>0.17859577125839884</x:v>
      </x:c>
      <x:c r="BU586" s="9" t="str">
        <x:v>0.27968771725371894</x:v>
      </x:c>
      <x:c r="BV586" s="6" t="str">
        <x:v>With trade</x:v>
      </x:c>
      <x:c r="BW586" s="7" t="str">
        <x:v>2026-02-04 10:15:00-06:00</x:v>
      </x:c>
      <x:c r="BX586" s="6" t="str">
        <x:v>22892.25</x:v>
      </x:c>
      <x:c r="BY586" s="9" t="str">
        <x:v>74.18988650537206</x:v>
      </x:c>
      <x:c r="BZ586" s="9" t="str">
        <x:v>1.0</x:v>
      </x:c>
      <x:c r="CA586" s="6" t="str">
        <x:v>23003.534829758057</x:v>
      </x:c>
      <x:c r="CB586" s="6" t="str">
        <x:v>111.28482975805673</x:v>
      </x:c>
      <x:c r="CC586" s="9" t="str">
        <x:v>1.4999999999999818</x:v>
      </x:c>
      <x:c r="CD586" s="6" t="str">
        <x:v>22669.680340483883</x:v>
      </x:c>
      <x:c r="CE586" s="6" t="str">
        <x:v>222.5696595161171</x:v>
      </x:c>
      <x:c r="CF586" s="6" t="str">
        <x:v>Fixed 2.00R target</x:v>
      </x:c>
      <x:c r="CG586" s="9" t="str">
        <x:v>0.006514814297476264</x:v>
      </x:c>
      <x:c r="CH586" s="9" t="str">
        <x:v>0.6537279174364033</x:v>
      </x:c>
      <x:c r="CI586" s="9" t="str">
        <x:v>0.6472131031389271</x:v>
      </x:c>
      <x:c r="CJ586" s="6" t="str">
        <x:v>Win</x:v>
      </x:c>
      <x:c r="CK586" s="9" t="str">
        <x:v>1.1209973567036744</x:v>
      </x:c>
      <x:c r="CL586" s="9" t="str">
        <x:v>0.7772847403195818</x:v>
      </x:c>
      <x:c r="CM586" s="7" t="str">
        <x:v>2026-02-04 11:15:00-06:00</x:v>
      </x:c>
      <x:c r="CN586" s="6" t="str">
        <x:v>22819.5</x:v>
      </x:c>
      <x:c r="CO586" s="6" t="str">
        <x:v>TIME</x:v>
      </x:c>
      <x:c r="CP586" s="6" t="str">
        <x:v>F::Short::Same-bar Setup+BOS::Tolerance-only shallow touch</x:v>
      </x:c>
    </x:row>
    <x:row r="587" ht="18" customHeight="1">
      <x:c r="A587" s="6" t="str">
        <x:v>A0586</x:v>
      </x:c>
      <x:c r="B587" s="6" t="str">
        <x:v>2026-02-04</x:v>
      </x:c>
      <x:c r="C587" s="6" t="str">
        <x:v>2026</x:v>
      </x:c>
      <x:c r="D587" s="6" t="str">
        <x:v>2026-Q1</x:v>
      </x:c>
      <x:c r="E587" s="6" t="str">
        <x:v>Second 50%</x:v>
      </x:c>
      <x:c r="F587" s="6" t="str">
        <x:v>Short</x:v>
      </x:c>
      <x:c r="G587" s="6" t="str">
        <x:v>Short</x:v>
      </x:c>
      <x:c r="H587" s="6" t="str">
        <x:v>Morning</x:v>
      </x:c>
      <x:c r="I587" s="6" t="str">
        <x:v>Morning</x:v>
      </x:c>
      <x:c r="J587" s="6" t="str">
        <x:v>Bear</x:v>
      </x:c>
      <x:c r="K587" s="6" t="str">
        <x:v>Bear</x:v>
      </x:c>
      <x:c r="L587" s="6" t="str">
        <x:v>HIGH</x:v>
      </x:c>
      <x:c r="M587" s="7" t="str">
        <x:v>2026-02-04 11:25:00-06:00</x:v>
      </x:c>
      <x:c r="N587" s="6" t="str">
        <x:v>75.0</x:v>
      </x:c>
      <x:c r="O587" s="6" t="str">
        <x:v>75-79</x:v>
      </x:c>
      <x:c r="P587" s="6" t="str">
        <x:v>Matching BOS only</x:v>
      </x:c>
      <x:c r="Q587" s="6" t="str">
        <x:v>Bear BOS</x:v>
      </x:c>
      <x:c r="R587" s="6" t="str">
        <x:v>True</x:v>
      </x:c>
      <x:c r="S587" s="6" t="str">
        <x:v>False</x:v>
      </x:c>
      <x:c r="T587" s="6" t="str">
        <x:v>No recent matching sweep</x:v>
      </x:c>
      <x:c r="U587" s="6" t="str">
        <x:v>None</x:v>
      </x:c>
      <x:c r="V587" s="6" t="str">
        <x:v>None</x:v>
      </x:c>
      <x:c r="W587" s="6" t="str">
        <x:v>[]</x:v>
      </x:c>
      <x:c r="X587" s="8" t="str">
        <x:v>0</x:v>
      </x:c>
      <x:c r="Y587" s="8" t="str"/>
      <x:c r="Z587" s="6" t="str">
        <x:v>None</x:v>
      </x:c>
      <x:c r="AA587" s="6" t="str">
        <x:v>22767.5</x:v>
      </x:c>
      <x:c r="AB587" s="9" t="str">
        <x:v>0.5929506204064502</x:v>
      </x:c>
      <x:c r="AC587" s="9" t="str">
        <x:v>1.3014111019310401</x:v>
      </x:c>
      <x:c r="AD587" s="9" t="str">
        <x:v>1.686443972324839</x:v>
      </x:c>
      <x:c r="AE587" s="6" t="str">
        <x:v>With trade</x:v>
      </x:c>
      <x:c r="AF587" s="7" t="str">
        <x:v>2026-02-04 11:25:00-06:00</x:v>
      </x:c>
      <x:c r="AG587" s="6" t="str">
        <x:v>Short</x:v>
      </x:c>
      <x:c r="AH587" s="6" t="str">
        <x:v>22767.5</x:v>
      </x:c>
      <x:c r="AI587" s="8" t="str">
        <x:v>0</x:v>
      </x:c>
      <x:c r="AJ587" s="6" t="str">
        <x:v>True</x:v>
      </x:c>
      <x:c r="AK587" s="6" t="str">
        <x:v>Same-bar Setup+BOS</x:v>
      </x:c>
      <x:c r="AL587" s="9" t="str">
        <x:v>1.3014111019310401</x:v>
      </x:c>
      <x:c r="AM587" s="9" t="str">
        <x:v>0.5929506204064502</x:v>
      </x:c>
      <x:c r="AN587" s="9" t="str">
        <x:v>1.3014111019310401</x:v>
      </x:c>
      <x:c r="AO587" s="9" t="str">
        <x:v>1.686443972324839</x:v>
      </x:c>
      <x:c r="AP587" s="10" t="str">
        <x:v>0.771689497716895</x:v>
      </x:c>
      <x:c r="AQ587" s="6" t="str">
        <x:v>0.0867579908675799</x:v>
      </x:c>
      <x:c r="AR587" s="6" t="str">
        <x:v>0.1415525114155251</x:v>
      </x:c>
      <x:c r="AS587" s="6" t="str">
        <x:v>With trade</x:v>
      </x:c>
      <x:c r="AT587" s="6" t="str">
        <x:v>1.7797106542493997</x:v>
      </x:c>
      <x:c r="AU587" s="7" t="str">
        <x:v>2026-02-04 11:30:00-06:00</x:v>
      </x:c>
      <x:c r="AV587" s="8" t="str">
        <x:v>1</x:v>
      </x:c>
      <x:c r="AW587" s="6" t="str">
        <x:v>Immediate retest (1 bar)</x:v>
      </x:c>
      <x:c r="AX587" s="6" t="str">
        <x:v>22786.5</x:v>
      </x:c>
      <x:c r="AY587" s="6" t="str">
        <x:v>19.0</x:v>
      </x:c>
      <x:c r="AZ587" s="9" t="str">
        <x:v>0.28777483443043256</x:v>
      </x:c>
      <x:c r="BA587" s="9" t="str">
        <x:v>0.6664259323652122</x:v>
      </x:c>
      <x:c r="BB587" s="9" t="str">
        <x:v>1.2154700243706427</x:v>
      </x:c>
      <x:c r="BC587" s="9" t="str">
        <x:v>0.07573021958695593</x:v>
      </x:c>
      <x:c r="BD587" s="6" t="str">
        <x:v>0.7227414330218068</x:v>
      </x:c>
      <x:c r="BE587" s="6" t="str">
        <x:v>0.21495327102803738</x:v>
      </x:c>
      <x:c r="BF587" s="9" t="str">
        <x:v>0.8784705472086888</x:v>
      </x:c>
      <x:c r="BG587" s="9" t="str">
        <x:v>0.26126925757499797</x:v>
      </x:c>
      <x:c r="BH587" s="6" t="str">
        <x:v>With trade</x:v>
      </x:c>
      <x:c r="BI587" s="6" t="str">
        <x:v>Penetration + same-bar reclaim</x:v>
      </x:c>
      <x:c r="BJ587" s="6" t="str">
        <x:v>False</x:v>
      </x:c>
      <x:c r="BK587" s="10" t="str">
        <x:v>True</x:v>
      </x:c>
      <x:c r="BL587" s="6" t="str">
        <x:v>True</x:v>
      </x:c>
      <x:c r="BM587" s="7" t="str">
        <x:v>2026-02-04 11:35:00-06:00</x:v>
      </x:c>
      <x:c r="BN587" s="8" t="str">
        <x:v>1</x:v>
      </x:c>
      <x:c r="BO587" s="6" t="str">
        <x:v>Immediate confirmation (1 bar)</x:v>
      </x:c>
      <x:c r="BP587" s="9" t="str">
        <x:v>1.0118008152430353</x:v>
      </x:c>
      <x:c r="BQ587" s="9" t="str">
        <x:v>1.0306776961244353</x:v>
      </x:c>
      <x:c r="BR587" s="10" t="str">
        <x:v>0.9816849816849816</x:v>
      </x:c>
      <x:c r="BS587" s="9" t="str">
        <x:v>1.6838177746208722</x:v>
      </x:c>
      <x:c r="BT587" s="9" t="str">
        <x:v>1.0193515675955953</x:v>
      </x:c>
      <x:c r="BU587" s="9" t="str">
        <x:v>0.0</x:v>
      </x:c>
      <x:c r="BV587" s="6" t="str">
        <x:v>With trade</x:v>
      </x:c>
      <x:c r="BW587" s="7" t="str">
        <x:v>2026-02-04 11:35:00-06:00</x:v>
      </x:c>
      <x:c r="BX587" s="6" t="str">
        <x:v>22656.0</x:v>
      </x:c>
      <x:c r="BY587" s="9" t="str">
        <x:v>66.21856692604715</x:v>
      </x:c>
      <x:c r="BZ587" s="9" t="str">
        <x:v>0.82</x:v>
      </x:c>
      <x:c r="CA587" s="6" t="str">
        <x:v>22755.327850389072</x:v>
      </x:c>
      <x:c r="CB587" s="6" t="str">
        <x:v>99.32785038907241</x:v>
      </x:c>
      <x:c r="CC587" s="9" t="str">
        <x:v>1.5000000000000255</x:v>
      </x:c>
      <x:c r="CD587" s="6" t="str">
        <x:v>22457.34429922186</x:v>
      </x:c>
      <x:c r="CE587" s="6" t="str">
        <x:v>198.65570077814118</x:v>
      </x:c>
      <x:c r="CF587" s="6" t="str">
        <x:v>Fixed 2.00R target</x:v>
      </x:c>
      <x:c r="CG587" s="9" t="str">
        <x:v>0.007299060607474509</x:v>
      </x:c>
      <x:c r="CH587" s="9" t="str">
        <x:v>-1.0</x:v>
      </x:c>
      <x:c r="CI587" s="9" t="str">
        <x:v>-1.0072990606074745</x:v>
      </x:c>
      <x:c r="CJ587" s="6" t="str">
        <x:v>Loss</x:v>
      </x:c>
      <x:c r="CK587" s="9" t="str">
        <x:v>0.3322331035126328</x:v>
      </x:c>
      <x:c r="CL587" s="9" t="str">
        <x:v>1.344033918755651</x:v>
      </x:c>
      <x:c r="CM587" s="7" t="str">
        <x:v>2026-02-04 12:25:00-06:00</x:v>
      </x:c>
      <x:c r="CN587" s="6" t="str">
        <x:v>22755.327850389072</x:v>
      </x:c>
      <x:c r="CO587" s="6" t="str">
        <x:v>STOP</x:v>
      </x:c>
      <x:c r="CP587" s="6" t="str">
        <x:v>F::Short::Same-bar Setup+BOS::Penetration + same-bar reclaim</x:v>
      </x:c>
    </x:row>
    <x:row r="588" ht="18" customHeight="1">
      <x:c r="A588" s="6" t="str">
        <x:v>A0587</x:v>
      </x:c>
      <x:c r="B588" s="6" t="str">
        <x:v>2026-02-05</x:v>
      </x:c>
      <x:c r="C588" s="6" t="str">
        <x:v>2026</x:v>
      </x:c>
      <x:c r="D588" s="6" t="str">
        <x:v>2026-Q1</x:v>
      </x:c>
      <x:c r="E588" s="6" t="str">
        <x:v>Second 50%</x:v>
      </x:c>
      <x:c r="F588" s="6" t="str">
        <x:v>Long</x:v>
      </x:c>
      <x:c r="G588" s="6" t="str">
        <x:v>Long</x:v>
      </x:c>
      <x:c r="H588" s="6" t="str">
        <x:v>Premarket</x:v>
      </x:c>
      <x:c r="I588" s="6" t="str">
        <x:v>Premarket</x:v>
      </x:c>
      <x:c r="J588" s="6" t="str">
        <x:v>Bear</x:v>
      </x:c>
      <x:c r="K588" s="6" t="str">
        <x:v>Bear</x:v>
      </x:c>
      <x:c r="L588" s="6" t="str">
        <x:v>HIGH</x:v>
      </x:c>
      <x:c r="M588" s="7" t="str">
        <x:v>2026-02-05 08:35:00-06:00</x:v>
      </x:c>
      <x:c r="N588" s="6" t="str">
        <x:v>90.0</x:v>
      </x:c>
      <x:c r="O588" s="6" t="str">
        <x:v>90-94</x:v>
      </x:c>
      <x:c r="P588" s="6" t="str">
        <x:v>Matching BOS only</x:v>
      </x:c>
      <x:c r="Q588" s="6" t="str">
        <x:v>Bull CHoCH</x:v>
      </x:c>
      <x:c r="R588" s="6" t="str">
        <x:v>True</x:v>
      </x:c>
      <x:c r="S588" s="6" t="str">
        <x:v>False</x:v>
      </x:c>
      <x:c r="T588" s="6" t="str">
        <x:v>Recent SSL</x:v>
      </x:c>
      <x:c r="U588" s="6" t="str">
        <x:v>SSL</x:v>
      </x:c>
      <x:c r="V588" s="6" t="str">
        <x:v>Swing low / sell-side</x:v>
      </x:c>
      <x:c r="W588" s="6" t="str">
        <x:v>[22500.25,22547.0]</x:v>
      </x:c>
      <x:c r="X588" s="8" t="str">
        <x:v>2</x:v>
      </x:c>
      <x:c r="Y588" s="8" t="str">
        <x:v>1.0</x:v>
      </x:c>
      <x:c r="Z588" s="6" t="str">
        <x:v>None</x:v>
      </x:c>
      <x:c r="AA588" s="6" t="str">
        <x:v>22708.75</x:v>
      </x:c>
      <x:c r="AB588" s="9" t="str">
        <x:v>0.5064093482545805</x:v>
      </x:c>
      <x:c r="AC588" s="9" t="str">
        <x:v>1.376800415567141</x:v>
      </x:c>
      <x:c r="AD588" s="9" t="str">
        <x:v>2.302580005345046</x:v>
      </x:c>
      <x:c r="AE588" s="6" t="str">
        <x:v>With trade</x:v>
      </x:c>
      <x:c r="AF588" s="7" t="str">
        <x:v>2026-02-05 08:35:00-06:00</x:v>
      </x:c>
      <x:c r="AG588" s="6" t="str">
        <x:v>Long</x:v>
      </x:c>
      <x:c r="AH588" s="6" t="str">
        <x:v>22708.75</x:v>
      </x:c>
      <x:c r="AI588" s="8" t="str">
        <x:v>0</x:v>
      </x:c>
      <x:c r="AJ588" s="6" t="str">
        <x:v>True</x:v>
      </x:c>
      <x:c r="AK588" s="6" t="str">
        <x:v>Same-bar Setup+BOS</x:v>
      </x:c>
      <x:c r="AL588" s="9" t="str">
        <x:v>1.3965820307333354</x:v>
      </x:c>
      <x:c r="AM588" s="9" t="str">
        <x:v>0.5064093482545805</x:v>
      </x:c>
      <x:c r="AN588" s="9" t="str">
        <x:v>1.376800415567141</x:v>
      </x:c>
      <x:c r="AO588" s="9" t="str">
        <x:v>2.302580005345046</x:v>
      </x:c>
      <x:c r="AP588" s="10" t="str">
        <x:v>0.5979381443298969</x:v>
      </x:c>
      <x:c r="AQ588" s="6" t="str">
        <x:v>0.006872852233676976</x:v>
      </x:c>
      <x:c r="AR588" s="6" t="str">
        <x:v>0.3951890034364261</x:v>
      </x:c>
      <x:c r="AS588" s="6" t="str">
        <x:v>With trade</x:v>
      </x:c>
      <x:c r="AT588" s="6" t="str">
        <x:v>4.662341152531961</x:v>
      </x:c>
      <x:c r="AU588" s="7" t="str">
        <x:v>2026-02-05 08:40:00-06:00</x:v>
      </x:c>
      <x:c r="AV588" s="8" t="str">
        <x:v>1</x:v>
      </x:c>
      <x:c r="AW588" s="6" t="str">
        <x:v>Immediate retest (1 bar)</x:v>
      </x:c>
      <x:c r="AX588" s="6" t="str">
        <x:v>22681.75</x:v>
      </x:c>
      <x:c r="AY588" s="6" t="str">
        <x:v>27.0</x:v>
      </x:c>
      <x:c r="AZ588" s="9" t="str">
        <x:v>0.4130155276420324</x:v>
      </x:c>
      <x:c r="BA588" s="9" t="str">
        <x:v>0.6768865591911087</x:v>
      </x:c>
      <x:c r="BB588" s="9" t="str">
        <x:v>1.4340816932015015</x:v>
      </x:c>
      <x:c r="BC588" s="9" t="str">
        <x:v>0.1835624567297922</x:v>
      </x:c>
      <x:c r="BD588" s="6" t="str">
        <x:v>0.24</x:v>
      </x:c>
      <x:c r="BE588" s="6" t="str">
        <x:v>0.632</x:v>
      </x:c>
      <x:c r="BF588" s="9" t="str">
        <x:v>0.906339630103349</x:v>
      </x:c>
      <x:c r="BG588" s="9" t="str">
        <x:v>0.34417960636836037</x:v>
      </x:c>
      <x:c r="BH588" s="6" t="str">
        <x:v>With trade</x:v>
      </x:c>
      <x:c r="BI588" s="6" t="str">
        <x:v>Penetration + same-bar reclaim</x:v>
      </x:c>
      <x:c r="BJ588" s="6" t="str">
        <x:v>False</x:v>
      </x:c>
      <x:c r="BK588" s="10" t="str">
        <x:v>True</x:v>
      </x:c>
      <x:c r="BL588" s="6" t="str">
        <x:v>True</x:v>
      </x:c>
      <x:c r="BM588" s="7" t="str">
        <x:v>2026-02-05 08:45:00-06:00</x:v>
      </x:c>
      <x:c r="BN588" s="8" t="str">
        <x:v>1</x:v>
      </x:c>
      <x:c r="BO588" s="6" t="str">
        <x:v>Immediate confirmation (1 bar)</x:v>
      </x:c>
      <x:c r="BP588" s="9" t="str">
        <x:v>0.19113212832167178</x:v>
      </x:c>
      <x:c r="BQ588" s="9" t="str">
        <x:v>1.0053549949719935</x:v>
      </x:c>
      <x:c r="BR588" s="10" t="str">
        <x:v>0.19011406844106463</x:v>
      </x:c>
      <x:c r="BS588" s="9" t="str">
        <x:v>0.8677398625803899</x:v>
      </x:c>
      <x:c r="BT588" s="9" t="str">
        <x:v>0.19113212832167178</x:v>
      </x:c>
      <x:c r="BU588" s="9" t="str">
        <x:v>0.62309073832865</x:v>
      </x:c>
      <x:c r="BV588" s="6" t="str">
        <x:v>With trade</x:v>
      </x:c>
      <x:c r="BW588" s="7" t="str">
        <x:v>2026-02-05 08:45:00-06:00</x:v>
      </x:c>
      <x:c r="BX588" s="6" t="str">
        <x:v>22765.5</x:v>
      </x:c>
      <x:c r="BY588" s="9" t="str">
        <x:v>65.39978448292447</x:v>
      </x:c>
      <x:c r="BZ588" s="9" t="str">
        <x:v>1.0</x:v>
      </x:c>
      <x:c r="CA588" s="6" t="str">
        <x:v>22667.400323275615</x:v>
      </x:c>
      <x:c r="CB588" s="6" t="str">
        <x:v>98.09967672438506</x:v>
      </x:c>
      <x:c r="CC588" s="9" t="str">
        <x:v>1.4999999999999747</x:v>
      </x:c>
      <x:c r="CD588" s="6" t="str">
        <x:v>22961.699353448774</x:v>
      </x:c>
      <x:c r="CE588" s="6" t="str">
        <x:v>196.19935344877376</x:v>
      </x:c>
      <x:c r="CF588" s="6" t="str">
        <x:v>Fixed 2.00R target</x:v>
      </x:c>
      <x:c r="CG588" s="9" t="str">
        <x:v>0.007390442295104767</x:v>
      </x:c>
      <x:c r="CH588" s="9" t="str">
        <x:v>-1.0</x:v>
      </x:c>
      <x:c r="CI588" s="9" t="str">
        <x:v>-1.0073904422951048</x:v>
      </x:c>
      <x:c r="CJ588" s="6" t="str">
        <x:v>Loss</x:v>
      </x:c>
      <x:c r="CK588" s="9" t="str">
        <x:v>0.35423154448950434</x:v>
      </x:c>
      <x:c r="CL588" s="9" t="str">
        <x:v>1.697253299496474</x:v>
      </x:c>
      <x:c r="CM588" s="7" t="str">
        <x:v>2026-02-05 08:55:00-06:00</x:v>
      </x:c>
      <x:c r="CN588" s="6" t="str">
        <x:v>22667.400323275615</x:v>
      </x:c>
      <x:c r="CO588" s="6" t="str">
        <x:v>STOP</x:v>
      </x:c>
      <x:c r="CP588" s="6" t="str">
        <x:v>F::Long::Same-bar Setup+BOS::Penetration + same-bar reclaim</x:v>
      </x:c>
    </x:row>
    <x:row r="589" ht="18" customHeight="1">
      <x:c r="A589" s="6" t="str">
        <x:v>A0588</x:v>
      </x:c>
      <x:c r="B589" s="6" t="str">
        <x:v>2026-02-05</x:v>
      </x:c>
      <x:c r="C589" s="6" t="str">
        <x:v>2026</x:v>
      </x:c>
      <x:c r="D589" s="6" t="str">
        <x:v>2026-Q1</x:v>
      </x:c>
      <x:c r="E589" s="6" t="str">
        <x:v>Second 50%</x:v>
      </x:c>
      <x:c r="F589" s="6" t="str">
        <x:v>Short</x:v>
      </x:c>
      <x:c r="G589" s="6" t="str">
        <x:v>Short</x:v>
      </x:c>
      <x:c r="H589" s="6" t="str">
        <x:v>Midday</x:v>
      </x:c>
      <x:c r="I589" s="6" t="str">
        <x:v>Midday</x:v>
      </x:c>
      <x:c r="J589" s="6" t="str">
        <x:v>Bear</x:v>
      </x:c>
      <x:c r="K589" s="6" t="str">
        <x:v>Bear</x:v>
      </x:c>
      <x:c r="L589" s="6" t="str">
        <x:v>MID</x:v>
      </x:c>
      <x:c r="M589" s="7" t="str">
        <x:v>2026-02-05 12:35:00-06:00</x:v>
      </x:c>
      <x:c r="N589" s="6" t="str">
        <x:v>100.0</x:v>
      </x:c>
      <x:c r="O589" s="6" t="str">
        <x:v>95+</x:v>
      </x:c>
      <x:c r="P589" s="6" t="str">
        <x:v>Matching BOS only</x:v>
      </x:c>
      <x:c r="Q589" s="6" t="str">
        <x:v>Bear CHoCH</x:v>
      </x:c>
      <x:c r="R589" s="6" t="str">
        <x:v>True</x:v>
      </x:c>
      <x:c r="S589" s="6" t="str">
        <x:v>False</x:v>
      </x:c>
      <x:c r="T589" s="6" t="str">
        <x:v>Recent BSL</x:v>
      </x:c>
      <x:c r="U589" s="6" t="str">
        <x:v>BSL</x:v>
      </x:c>
      <x:c r="V589" s="6" t="str">
        <x:v>Swing high / buy-side</x:v>
      </x:c>
      <x:c r="W589" s="6" t="str">
        <x:v>[22696.0]</x:v>
      </x:c>
      <x:c r="X589" s="8" t="str">
        <x:v>1</x:v>
      </x:c>
      <x:c r="Y589" s="8" t="str">
        <x:v>14.0</x:v>
      </x:c>
      <x:c r="Z589" s="6" t="str">
        <x:v>None</x:v>
      </x:c>
      <x:c r="AA589" s="6" t="str">
        <x:v>22561.75</x:v>
      </x:c>
      <x:c r="AB589" s="9" t="str">
        <x:v>0.09105027202957779</x:v>
      </x:c>
      <x:c r="AC589" s="9" t="str">
        <x:v>0.5554066593804245</x:v>
      </x:c>
      <x:c r="AD589" s="9" t="str">
        <x:v>0.6646669858159179</x:v>
      </x:c>
      <x:c r="AE589" s="6" t="str">
        <x:v>With trade</x:v>
      </x:c>
      <x:c r="AF589" s="7" t="str">
        <x:v>2026-02-05 12:35:00-06:00</x:v>
      </x:c>
      <x:c r="AG589" s="6" t="str">
        <x:v>Short</x:v>
      </x:c>
      <x:c r="AH589" s="6" t="str">
        <x:v>22561.75</x:v>
      </x:c>
      <x:c r="AI589" s="8" t="str">
        <x:v>0</x:v>
      </x:c>
      <x:c r="AJ589" s="6" t="str">
        <x:v>True</x:v>
      </x:c>
      <x:c r="AK589" s="6" t="str">
        <x:v>Same-bar Setup+BOS</x:v>
      </x:c>
      <x:c r="AL589" s="9" t="str">
        <x:v>0.5508541457789456</x:v>
      </x:c>
      <x:c r="AM589" s="9" t="str">
        <x:v>0.09105027202957779</x:v>
      </x:c>
      <x:c r="AN589" s="9" t="str">
        <x:v>0.5554066593804245</x:v>
      </x:c>
      <x:c r="AO589" s="9" t="str">
        <x:v>0.6646669858159179</x:v>
      </x:c>
      <x:c r="AP589" s="10" t="str">
        <x:v>0.8356164383561644</x:v>
      </x:c>
      <x:c r="AQ589" s="6" t="str">
        <x:v>0.0136986301369863</x:v>
      </x:c>
      <x:c r="AR589" s="6" t="str">
        <x:v>0.1506849315068493</x:v>
      </x:c>
      <x:c r="AS589" s="6" t="str">
        <x:v>With trade</x:v>
      </x:c>
      <x:c r="AT589" s="6" t="str">
        <x:v>0.570900137042773</x:v>
      </x:c>
      <x:c r="AU589" s="7" t="str">
        <x:v>2026-02-05 12:40:00-06:00</x:v>
      </x:c>
      <x:c r="AV589" s="8" t="str">
        <x:v>1</x:v>
      </x:c>
      <x:c r="AW589" s="6" t="str">
        <x:v>Immediate retest (1 bar)</x:v>
      </x:c>
      <x:c r="AX589" s="6" t="str">
        <x:v>22569.75</x:v>
      </x:c>
      <x:c r="AY589" s="6" t="str">
        <x:v>8.0</x:v>
      </x:c>
      <x:c r="AZ589" s="9" t="str">
        <x:v>0.14920574605956619</x:v>
      </x:c>
      <x:c r="BA589" s="9" t="str">
        <x:v>0.14920574605956619</x:v>
      </x:c>
      <x:c r="BB589" s="9" t="str">
        <x:v>0.6854138959611321</x:v>
      </x:c>
      <x:c r="BC589" s="9" t="str">
        <x:v>0.04196411607925299</x:v>
      </x:c>
      <x:c r="BD589" s="6" t="str">
        <x:v>0.3741496598639456</x:v>
      </x:c>
      <x:c r="BE589" s="6" t="str">
        <x:v>0.564625850340136</x:v>
      </x:c>
      <x:c r="BF589" s="9" t="str">
        <x:v>0.2564473760398794</x:v>
      </x:c>
      <x:c r="BG589" s="9" t="str">
        <x:v>0.3870024038419998</x:v>
      </x:c>
      <x:c r="BH589" s="6" t="str">
        <x:v>With trade</x:v>
      </x:c>
      <x:c r="BI589" s="6" t="str">
        <x:v>Penetration + same-bar reclaim</x:v>
      </x:c>
      <x:c r="BJ589" s="6" t="str">
        <x:v>False</x:v>
      </x:c>
      <x:c r="BK589" s="10" t="str">
        <x:v>True</x:v>
      </x:c>
      <x:c r="BL589" s="6" t="str">
        <x:v>True</x:v>
      </x:c>
      <x:c r="BM589" s="7" t="str">
        <x:v>2026-02-05 12:45:00-06:00</x:v>
      </x:c>
      <x:c r="BN589" s="8" t="str">
        <x:v>1</x:v>
      </x:c>
      <x:c r="BO589" s="6" t="str">
        <x:v>Immediate confirmation (1 bar)</x:v>
      </x:c>
      <x:c r="BP589" s="9" t="str">
        <x:v>0.33693814472852224</x:v>
      </x:c>
      <x:c r="BQ589" s="9" t="str">
        <x:v>0.7687884429016987</x:v>
      </x:c>
      <x:c r="BR589" s="10" t="str">
        <x:v>0.4382716049382716</x:v>
      </x:c>
      <x:c r="BS589" s="9" t="str">
        <x:v>0.536253666962296</x:v>
      </x:c>
      <x:c r="BT589" s="9" t="str">
        <x:v>0.38439422145084934</x:v>
      </x:c>
      <x:c r="BU589" s="9" t="str">
        <x:v>0.26100842197279894</x:v>
      </x:c>
      <x:c r="BV589" s="6" t="str">
        <x:v>With trade</x:v>
      </x:c>
      <x:c r="BW589" s="7" t="str">
        <x:v>2026-02-05 12:45:00-06:00</x:v>
      </x:c>
      <x:c r="BX589" s="6" t="str">
        <x:v>22533.5</x:v>
      </x:c>
      <x:c r="BY589" s="9" t="str">
        <x:v>52.68029244448273</x:v>
      </x:c>
      <x:c r="BZ589" s="9" t="str">
        <x:v>0.48</x:v>
      </x:c>
      <x:c r="CA589" s="6" t="str">
        <x:v>22612.520438666725</x:v>
      </x:c>
      <x:c r="CB589" s="6" t="str">
        <x:v>79.02043866672466</x:v>
      </x:c>
      <x:c r="CC589" s="9" t="str">
        <x:v>1.5000000000000107</x:v>
      </x:c>
      <x:c r="CD589" s="6" t="str">
        <x:v>22375.45912266655</x:v>
      </x:c>
      <x:c r="CE589" s="6" t="str">
        <x:v>158.04087733344932</x:v>
      </x:c>
      <x:c r="CF589" s="6" t="str">
        <x:v>Fixed 2.00R target</x:v>
      </x:c>
      <x:c r="CG589" s="9" t="str">
        <x:v>0.009174841499649837</x:v>
      </x:c>
      <x:c r="CH589" s="9" t="str">
        <x:v>-1.0</x:v>
      </x:c>
      <x:c r="CI589" s="9" t="str">
        <x:v>-1.0091748414996498</x:v>
      </x:c>
      <x:c r="CJ589" s="6" t="str">
        <x:v>Loss</x:v>
      </x:c>
      <x:c r="CK589" s="9" t="str">
        <x:v>0.40495852136385485</x:v>
      </x:c>
      <x:c r="CL589" s="9" t="str">
        <x:v>1.556559316492317</x:v>
      </x:c>
      <x:c r="CM589" s="7" t="str">
        <x:v>2026-02-05 13:10:00-06:00</x:v>
      </x:c>
      <x:c r="CN589" s="6" t="str">
        <x:v>22612.520438666725</x:v>
      </x:c>
      <x:c r="CO589" s="6" t="str">
        <x:v>STOP</x:v>
      </x:c>
      <x:c r="CP589" s="6" t="str">
        <x:v>F::Short::Same-bar Setup+BOS::Penetration + same-bar reclaim</x:v>
      </x:c>
    </x:row>
    <x:row r="590" ht="18" customHeight="1">
      <x:c r="A590" s="6" t="str">
        <x:v>A0589</x:v>
      </x:c>
      <x:c r="B590" s="6" t="str">
        <x:v>2026-02-09</x:v>
      </x:c>
      <x:c r="C590" s="6" t="str">
        <x:v>2026</x:v>
      </x:c>
      <x:c r="D590" s="6" t="str">
        <x:v>2026-Q1</x:v>
      </x:c>
      <x:c r="E590" s="6" t="str">
        <x:v>Second 50%</x:v>
      </x:c>
      <x:c r="F590" s="6" t="str">
        <x:v>Short</x:v>
      </x:c>
      <x:c r="G590" s="6" t="str">
        <x:v>Short</x:v>
      </x:c>
      <x:c r="H590" s="6" t="str">
        <x:v>Overnight</x:v>
      </x:c>
      <x:c r="I590" s="6" t="str">
        <x:v>Overnight</x:v>
      </x:c>
      <x:c r="J590" s="6" t="str">
        <x:v>Bull</x:v>
      </x:c>
      <x:c r="K590" s="6" t="str">
        <x:v>Bull</x:v>
      </x:c>
      <x:c r="L590" s="6" t="str">
        <x:v>LOW</x:v>
      </x:c>
      <x:c r="M590" s="7" t="str">
        <x:v>2026-02-08 23:35:00-06:00</x:v>
      </x:c>
      <x:c r="N590" s="6" t="str">
        <x:v>75.0</x:v>
      </x:c>
      <x:c r="O590" s="6" t="str">
        <x:v>75-79</x:v>
      </x:c>
      <x:c r="P590" s="6" t="str">
        <x:v>Matching liquidity sweep only</x:v>
      </x:c>
      <x:c r="Q590" s="6" t="str">
        <x:v>Recent bear structure</x:v>
      </x:c>
      <x:c r="R590" s="6" t="str">
        <x:v>False</x:v>
      </x:c>
      <x:c r="S590" s="6" t="str">
        <x:v>True</x:v>
      </x:c>
      <x:c r="T590" s="6" t="str">
        <x:v>Recent BSL</x:v>
      </x:c>
      <x:c r="U590" s="6" t="str">
        <x:v>BSL</x:v>
      </x:c>
      <x:c r="V590" s="6" t="str">
        <x:v>Swing high / buy-side</x:v>
      </x:c>
      <x:c r="W590" s="6" t="str">
        <x:v>[23062.5]</x:v>
      </x:c>
      <x:c r="X590" s="8" t="str">
        <x:v>1</x:v>
      </x:c>
      <x:c r="Y590" s="8" t="str">
        <x:v>0.0</x:v>
      </x:c>
      <x:c r="Z590" s="6" t="str">
        <x:v>Sweep above CRT reference</x:v>
      </x:c>
      <x:c r="AA590" s="6" t="str">
        <x:v>23016.0</x:v>
      </x:c>
      <x:c r="AB590" s="9" t="str">
        <x:v>-2.2530378051743916</x:v>
      </x:c>
      <x:c r="AC590" s="9" t="str">
        <x:v>0.4166576762993738</x:v>
      </x:c>
      <x:c r="AD590" s="9" t="str">
        <x:v>1.1419506683760614</x:v>
      </x:c>
      <x:c r="AE590" s="6" t="str">
        <x:v>With trade</x:v>
      </x:c>
      <x:c r="AF590" s="7" t="str">
        <x:v>2026-02-09 00:15:00-06:00</x:v>
      </x:c>
      <x:c r="AG590" s="6" t="str">
        <x:v>Short</x:v>
      </x:c>
      <x:c r="AH590" s="6" t="str">
        <x:v>23016.0</x:v>
      </x:c>
      <x:c r="AI590" s="8" t="str">
        <x:v>8</x:v>
      </x:c>
      <x:c r="AJ590" s="6" t="str">
        <x:v>False</x:v>
      </x:c>
      <x:c r="AK590" s="6" t="str">
        <x:v>Delayed BOS</x:v>
      </x:c>
      <x:c r="AL590" s="9" t="str">
        <x:v>1.4578899072107896</x:v>
      </x:c>
      <x:c r="AM590" s="9" t="str">
        <x:v>0.548266289891237</x:v>
      </x:c>
      <x:c r="AN590" s="9" t="str">
        <x:v>1.3706657247280927</x:v>
      </x:c>
      <x:c r="AO590" s="9" t="str">
        <x:v>1.5824958821860706</x:v>
      </x:c>
      <x:c r="AP590" s="10" t="str">
        <x:v>0.8661417322834646</x:v>
      </x:c>
      <x:c r="AQ590" s="6" t="str">
        <x:v>0.031496062992125984</x:v>
      </x:c>
      <x:c r="AR590" s="6" t="str">
        <x:v>0.10236220472440945</x:v>
      </x:c>
      <x:c r="AS590" s="6" t="str">
        <x:v>With trade</x:v>
      </x:c>
      <x:c r="AT590" s="6" t="str">
        <x:v>1.6585121063856478</x:v>
      </x:c>
      <x:c r="AU590" s="7" t="str">
        <x:v>2026-02-09 00:20:00-06:00</x:v>
      </x:c>
      <x:c r="AV590" s="8" t="str">
        <x:v>1</x:v>
      </x:c>
      <x:c r="AW590" s="6" t="str">
        <x:v>Immediate retest (1 bar)</x:v>
      </x:c>
      <x:c r="AX590" s="6" t="str">
        <x:v>23020.75</x:v>
      </x:c>
      <x:c r="AY590" s="6" t="str">
        <x:v>4.75</x:v>
      </x:c>
      <x:c r="AZ590" s="9" t="str">
        <x:v>0.23492242803546856</x:v>
      </x:c>
      <x:c r="BA590" s="9" t="str">
        <x:v>-0.0</x:v>
      </x:c>
      <x:c r="BB590" s="9" t="str">
        <x:v>1.1004261102714055</x:v>
      </x:c>
      <x:c r="BC590" s="9" t="str">
        <x:v>0.5440308859768745</x:v>
      </x:c>
      <x:c r="BD590" s="6" t="str">
        <x:v>0.21348314606741572</x:v>
      </x:c>
      <x:c r="BE590" s="6" t="str">
        <x:v>0.29213483146067415</x:v>
      </x:c>
      <x:c r="BF590" s="9" t="str">
        <x:v>0.23492242803546856</x:v>
      </x:c>
      <x:c r="BG590" s="9" t="str">
        <x:v>0.3214727962590623</x:v>
      </x:c>
      <x:c r="BH590" s="6" t="str">
        <x:v>Against trade</x:v>
      </x:c>
      <x:c r="BI590" s="6" t="str">
        <x:v>Penetration without same-bar reclaim</x:v>
      </x:c>
      <x:c r="BJ590" s="6" t="str">
        <x:v>False</x:v>
      </x:c>
      <x:c r="BK590" s="10" t="str">
        <x:v>True</x:v>
      </x:c>
      <x:c r="BL590" s="6" t="str">
        <x:v>False</x:v>
      </x:c>
      <x:c r="BM590" s="7" t="str">
        <x:v>2026-02-09 00:25:00-06:00</x:v>
      </x:c>
      <x:c r="BN590" s="8" t="str">
        <x:v>1</x:v>
      </x:c>
      <x:c r="BO590" s="6" t="str">
        <x:v>Immediate confirmation (1 bar)</x:v>
      </x:c>
      <x:c r="BP590" s="9" t="str">
        <x:v>0.5266878022622974</x:v>
      </x:c>
      <x:c r="BQ590" s="9" t="str">
        <x:v>0.815112074929746</x:v>
      </x:c>
      <x:c r="BR590" s="10" t="str">
        <x:v>0.6461538461538462</x:v>
      </x:c>
      <x:c r="BS590" s="9" t="str">
        <x:v>0.4890672449578476</x:v>
      </x:c>
      <x:c r="BT590" s="9" t="str">
        <x:v>0.4890672449578476</x:v>
      </x:c>
      <x:c r="BU590" s="9" t="str">
        <x:v>0.200642972290399</x:v>
      </x:c>
      <x:c r="BV590" s="6" t="str">
        <x:v>With trade</x:v>
      </x:c>
      <x:c r="BW590" s="7" t="str">
        <x:v>2026-02-09 00:25:00-06:00</x:v>
      </x:c>
      <x:c r="BX590" s="6" t="str">
        <x:v>23006.25</x:v>
      </x:c>
      <x:c r="BY590" s="9" t="str">
        <x:v>19.935908815239397</x:v>
      </x:c>
      <x:c r="BZ590" s="9" t="str">
        <x:v>0.25</x:v>
      </x:c>
      <x:c r="CA590" s="6" t="str">
        <x:v>23036.15386322286</x:v>
      </x:c>
      <x:c r="CB590" s="6" t="str">
        <x:v>29.90386322285849</x:v>
      </x:c>
      <x:c r="CC590" s="9" t="str">
        <x:v>1.4999999999999696</x:v>
      </x:c>
      <x:c r="CD590" s="6" t="str">
        <x:v>22946.442273554283</x:v>
      </x:c>
      <x:c r="CE590" s="6" t="str">
        <x:v>59.80772644571698</x:v>
      </x:c>
      <x:c r="CF590" s="6" t="str">
        <x:v>Fixed 2.00R target</x:v>
      </x:c>
      <x:c r="CG590" s="9" t="str">
        <x:v>0.02424435915175704</x:v>
      </x:c>
      <x:c r="CH590" s="9" t="str">
        <x:v>-1.0</x:v>
      </x:c>
      <x:c r="CI590" s="9" t="str">
        <x:v>-1.024244359151757</x:v>
      </x:c>
      <x:c r="CJ590" s="6" t="str">
        <x:v>Loss</x:v>
      </x:c>
      <x:c r="CK590" s="9" t="str">
        <x:v>0.07524111460890116</x:v>
      </x:c>
      <x:c r="CL590" s="9" t="str">
        <x:v>1.1369768429789509</x:v>
      </x:c>
      <x:c r="CM590" s="7" t="str">
        <x:v>2026-02-09 00:35:00-06:00</x:v>
      </x:c>
      <x:c r="CN590" s="6" t="str">
        <x:v>23036.15386322286</x:v>
      </x:c>
      <x:c r="CO590" s="6" t="str">
        <x:v>STOP</x:v>
      </x:c>
      <x:c r="CP590" s="6" t="str">
        <x:v>F::Short::Delayed BOS::Penetration without same-bar reclaim</x:v>
      </x:c>
    </x:row>
    <x:row r="591" ht="18" customHeight="1">
      <x:c r="A591" s="6" t="str">
        <x:v>A0590</x:v>
      </x:c>
      <x:c r="B591" s="6" t="str">
        <x:v>2026-02-09</x:v>
      </x:c>
      <x:c r="C591" s="6" t="str">
        <x:v>2026</x:v>
      </x:c>
      <x:c r="D591" s="6" t="str">
        <x:v>2026-Q1</x:v>
      </x:c>
      <x:c r="E591" s="6" t="str">
        <x:v>Second 50%</x:v>
      </x:c>
      <x:c r="F591" s="6" t="str">
        <x:v>Short</x:v>
      </x:c>
      <x:c r="G591" s="6" t="str">
        <x:v>Short</x:v>
      </x:c>
      <x:c r="H591" s="6" t="str">
        <x:v>Overnight</x:v>
      </x:c>
      <x:c r="I591" s="6" t="str">
        <x:v>Overnight</x:v>
      </x:c>
      <x:c r="J591" s="6" t="str">
        <x:v>Bull</x:v>
      </x:c>
      <x:c r="K591" s="6" t="str">
        <x:v>Bull</x:v>
      </x:c>
      <x:c r="L591" s="6" t="str">
        <x:v>LOW</x:v>
      </x:c>
      <x:c r="M591" s="7" t="str">
        <x:v>2026-02-09 18:10:00-06:00</x:v>
      </x:c>
      <x:c r="N591" s="6" t="str">
        <x:v>75.0</x:v>
      </x:c>
      <x:c r="O591" s="6" t="str">
        <x:v>75-79</x:v>
      </x:c>
      <x:c r="P591" s="6" t="str">
        <x:v>Matching BOS only</x:v>
      </x:c>
      <x:c r="Q591" s="6" t="str">
        <x:v>Bear CHoCH</x:v>
      </x:c>
      <x:c r="R591" s="6" t="str">
        <x:v>True</x:v>
      </x:c>
      <x:c r="S591" s="6" t="str">
        <x:v>False</x:v>
      </x:c>
      <x:c r="T591" s="6" t="str">
        <x:v>Recent BSL</x:v>
      </x:c>
      <x:c r="U591" s="6" t="str">
        <x:v>BSL</x:v>
      </x:c>
      <x:c r="V591" s="6" t="str">
        <x:v>Swing high / buy-side</x:v>
      </x:c>
      <x:c r="W591" s="6" t="str">
        <x:v>[23231.75]</x:v>
      </x:c>
      <x:c r="X591" s="8" t="str">
        <x:v>1</x:v>
      </x:c>
      <x:c r="Y591" s="8" t="str">
        <x:v>14.0</x:v>
      </x:c>
      <x:c r="Z591" s="6" t="str">
        <x:v>None</x:v>
      </x:c>
      <x:c r="AA591" s="6" t="str">
        <x:v>23171.75</x:v>
      </x:c>
      <x:c r="AB591" s="9" t="str">
        <x:v>0.7521664060649842</x:v>
      </x:c>
      <x:c r="AC591" s="9" t="str">
        <x:v>0.842945110245241</x:v>
      </x:c>
      <x:c r="AD591" s="9" t="str">
        <x:v>1.0763760638516153</x:v>
      </x:c>
      <x:c r="AE591" s="6" t="str">
        <x:v>With trade</x:v>
      </x:c>
      <x:c r="AF591" s="7" t="str">
        <x:v>2026-02-09 18:10:00-06:00</x:v>
      </x:c>
      <x:c r="AG591" s="6" t="str">
        <x:v>Short</x:v>
      </x:c>
      <x:c r="AH591" s="6" t="str">
        <x:v>23171.75</x:v>
      </x:c>
      <x:c r="AI591" s="8" t="str">
        <x:v>0</x:v>
      </x:c>
      <x:c r="AJ591" s="6" t="str">
        <x:v>True</x:v>
      </x:c>
      <x:c r="AK591" s="6" t="str">
        <x:v>Same-bar Setup+BOS</x:v>
      </x:c>
      <x:c r="AL591" s="9" t="str">
        <x:v>0.8688818828681715</x:v>
      </x:c>
      <x:c r="AM591" s="9" t="str">
        <x:v>0.7521664060649842</x:v>
      </x:c>
      <x:c r="AN591" s="9" t="str">
        <x:v>0.842945110245241</x:v>
      </x:c>
      <x:c r="AO591" s="9" t="str">
        <x:v>1.0763760638516153</x:v>
      </x:c>
      <x:c r="AP591" s="10" t="str">
        <x:v>0.7831325301204819</x:v>
      </x:c>
      <x:c r="AQ591" s="6" t="str">
        <x:v>0.08433734939759036</x:v>
      </x:c>
      <x:c r="AR591" s="6" t="str">
        <x:v>0.13253012048192772</x:v>
      </x:c>
      <x:c r="AS591" s="6" t="str">
        <x:v>With trade</x:v>
      </x:c>
      <x:c r="AT591" s="6" t="str">
        <x:v>1.830038298312804</x:v>
      </x:c>
      <x:c r="AU591" s="7" t="str">
        <x:v>2026-02-09 18:15:00-06:00</x:v>
      </x:c>
      <x:c r="AV591" s="8" t="str">
        <x:v>1</x:v>
      </x:c>
      <x:c r="AW591" s="6" t="str">
        <x:v>Immediate retest (1 bar)</x:v>
      </x:c>
      <x:c r="AX591" s="6" t="str">
        <x:v>23175.0</x:v>
      </x:c>
      <x:c r="AY591" s="6" t="str">
        <x:v>3.25</x:v>
      </x:c>
      <x:c r="AZ591" s="9" t="str">
        <x:v>0.16939092091398616</x:v>
      </x:c>
      <x:c r="BA591" s="9" t="str">
        <x:v>0.20848113343259833</x:v>
      </x:c>
      <x:c r="BB591" s="9" t="str">
        <x:v>0.9381651004466925</x:v>
      </x:c>
      <x:c r="BC591" s="9" t="str">
        <x:v>0.5342329044210332</x:v>
      </x:c>
      <x:c r="BD591" s="6" t="str">
        <x:v>0.4027777777777778</x:v>
      </x:c>
      <x:c r="BE591" s="6" t="str">
        <x:v>0.027777777777777776</x:v>
      </x:c>
      <x:c r="BF591" s="9" t="str">
        <x:v>0.3778720543465845</x:v>
      </x:c>
      <x:c r="BG591" s="9" t="str">
        <x:v>0.02606014167907479</x:v>
      </x:c>
      <x:c r="BH591" s="6" t="str">
        <x:v>Against trade</x:v>
      </x:c>
      <x:c r="BI591" s="6" t="str">
        <x:v>Penetration + same-bar reclaim</x:v>
      </x:c>
      <x:c r="BJ591" s="6" t="str">
        <x:v>False</x:v>
      </x:c>
      <x:c r="BK591" s="10" t="str">
        <x:v>True</x:v>
      </x:c>
      <x:c r="BL591" s="6" t="str">
        <x:v>True</x:v>
      </x:c>
      <x:c r="BM591" s="7" t="str">
        <x:v>2026-02-09 18:20:00-06:00</x:v>
      </x:c>
      <x:c r="BN591" s="8" t="str">
        <x:v>1</x:v>
      </x:c>
      <x:c r="BO591" s="6" t="str">
        <x:v>Immediate confirmation (1 bar)</x:v>
      </x:c>
      <x:c r="BP591" s="9" t="str">
        <x:v>0.4504623025076222</x:v>
      </x:c>
      <x:c r="BQ591" s="9" t="str">
        <x:v>0.7816845837632268</x:v>
      </x:c>
      <x:c r="BR591" s="10" t="str">
        <x:v>0.576271186440678</x:v>
      </x:c>
      <x:c r="BS591" s="9" t="str">
        <x:v>0.6624445625112091</x:v>
      </x:c>
      <x:c r="BT591" s="9" t="str">
        <x:v>0.4504623025076222</x:v>
      </x:c>
      <x:c r="BU591" s="9" t="str">
        <x:v>0.17223558625291438</x:v>
      </x:c>
      <x:c r="BV591" s="6" t="str">
        <x:v>With trade</x:v>
      </x:c>
      <x:c r="BW591" s="7" t="str">
        <x:v>2026-02-09 18:20:00-06:00</x:v>
      </x:c>
      <x:c r="BX591" s="6" t="str">
        <x:v>23159.25</x:v>
      </x:c>
      <x:c r="BY591" s="9" t="str">
        <x:v>18.869503513795525</x:v>
      </x:c>
      <x:c r="BZ591" s="9" t="str">
        <x:v>0.18</x:v>
      </x:c>
      <x:c r="CA591" s="6" t="str">
        <x:v>23187.554255270694</x:v>
      </x:c>
      <x:c r="CB591" s="6" t="str">
        <x:v>28.30425527069383</x:v>
      </x:c>
      <x:c r="CC591" s="9" t="str">
        <x:v>1.5000000000000286</x:v>
      </x:c>
      <x:c r="CD591" s="6" t="str">
        <x:v>23102.641489458612</x:v>
      </x:c>
      <x:c r="CE591" s="6" t="str">
        <x:v>56.60851054138766</x:v>
      </x:c>
      <x:c r="CF591" s="6" t="str">
        <x:v>Fixed 2.00R target</x:v>
      </x:c>
      <x:c r="CG591" s="9" t="str">
        <x:v>0.02561452308376626</x:v>
      </x:c>
      <x:c r="CH591" s="9" t="str">
        <x:v>-0.6359467800107608</x:v>
      </x:c>
      <x:c r="CI591" s="9" t="str">
        <x:v>-0.661561303094527</x:v>
      </x:c>
      <x:c r="CJ591" s="6" t="str">
        <x:v>Loss</x:v>
      </x:c>
      <x:c r="CK591" s="9" t="str">
        <x:v>0.34447117250582215</x:v>
      </x:c>
      <x:c r="CL591" s="9" t="str">
        <x:v>0.8037660691802517</x:v>
      </x:c>
      <x:c r="CM591" s="7" t="str">
        <x:v>2026-02-09 19:20:00-06:00</x:v>
      </x:c>
      <x:c r="CN591" s="6" t="str">
        <x:v>23177.25</x:v>
      </x:c>
      <x:c r="CO591" s="6" t="str">
        <x:v>TIME</x:v>
      </x:c>
      <x:c r="CP591" s="6" t="str">
        <x:v>F::Short::Same-bar Setup+BOS::Penetration + same-bar reclaim</x:v>
      </x:c>
    </x:row>
    <x:row r="592" ht="18" customHeight="1">
      <x:c r="A592" s="6" t="str">
        <x:v>A0591</x:v>
      </x:c>
      <x:c r="B592" s="6" t="str">
        <x:v>2026-02-12</x:v>
      </x:c>
      <x:c r="C592" s="6" t="str">
        <x:v>2026</x:v>
      </x:c>
      <x:c r="D592" s="6" t="str">
        <x:v>2026-Q1</x:v>
      </x:c>
      <x:c r="E592" s="6" t="str">
        <x:v>Second 50%</x:v>
      </x:c>
      <x:c r="F592" s="6" t="str">
        <x:v>Long</x:v>
      </x:c>
      <x:c r="G592" s="6" t="str">
        <x:v>Long</x:v>
      </x:c>
      <x:c r="H592" s="6" t="str">
        <x:v>Overnight</x:v>
      </x:c>
      <x:c r="I592" s="6" t="str">
        <x:v>Overnight</x:v>
      </x:c>
      <x:c r="J592" s="6" t="str">
        <x:v>Bull</x:v>
      </x:c>
      <x:c r="K592" s="6" t="str">
        <x:v>Bull</x:v>
      </x:c>
      <x:c r="L592" s="6" t="str">
        <x:v>MID</x:v>
      </x:c>
      <x:c r="M592" s="7" t="str">
        <x:v>2026-02-12 01:20:00-06:00</x:v>
      </x:c>
      <x:c r="N592" s="6" t="str">
        <x:v>90.0</x:v>
      </x:c>
      <x:c r="O592" s="6" t="str">
        <x:v>90-94</x:v>
      </x:c>
      <x:c r="P592" s="6" t="str">
        <x:v>Matching BOS only</x:v>
      </x:c>
      <x:c r="Q592" s="6" t="str">
        <x:v>Bull CHoCH</x:v>
      </x:c>
      <x:c r="R592" s="6" t="str">
        <x:v>True</x:v>
      </x:c>
      <x:c r="S592" s="6" t="str">
        <x:v>False</x:v>
      </x:c>
      <x:c r="T592" s="6" t="str">
        <x:v>Recent SSL</x:v>
      </x:c>
      <x:c r="U592" s="6" t="str">
        <x:v>SSL</x:v>
      </x:c>
      <x:c r="V592" s="6" t="str">
        <x:v>Swing low / sell-side</x:v>
      </x:c>
      <x:c r="W592" s="6" t="str">
        <x:v>[23142.5]</x:v>
      </x:c>
      <x:c r="X592" s="8" t="str">
        <x:v>1</x:v>
      </x:c>
      <x:c r="Y592" s="8" t="str">
        <x:v>9.0</x:v>
      </x:c>
      <x:c r="Z592" s="6" t="str">
        <x:v>None</x:v>
      </x:c>
      <x:c r="AA592" s="6" t="str">
        <x:v>23184.0</x:v>
      </x:c>
      <x:c r="AB592" s="9" t="str">
        <x:v>0.43814336019835687</x:v>
      </x:c>
      <x:c r="AC592" s="9" t="str">
        <x:v>0.9675665871047048</x:v>
      </x:c>
      <x:c r="AD592" s="9" t="str">
        <x:v>1.350942027278267</x:v>
      </x:c>
      <x:c r="AE592" s="6" t="str">
        <x:v>With trade</x:v>
      </x:c>
      <x:c r="AF592" s="7" t="str">
        <x:v>2026-02-12 01:20:00-06:00</x:v>
      </x:c>
      <x:c r="AG592" s="6" t="str">
        <x:v>Long</x:v>
      </x:c>
      <x:c r="AH592" s="6" t="str">
        <x:v>23184.0</x:v>
      </x:c>
      <x:c r="AI592" s="8" t="str">
        <x:v>0</x:v>
      </x:c>
      <x:c r="AJ592" s="6" t="str">
        <x:v>True</x:v>
      </x:c>
      <x:c r="AK592" s="6" t="str">
        <x:v>Same-bar Setup+BOS</x:v>
      </x:c>
      <x:c r="AL592" s="9" t="str">
        <x:v>0.9675665871047048</x:v>
      </x:c>
      <x:c r="AM592" s="9" t="str">
        <x:v>0.43814336019835687</x:v>
      </x:c>
      <x:c r="AN592" s="9" t="str">
        <x:v>0.9675665871047048</x:v>
      </x:c>
      <x:c r="AO592" s="9" t="str">
        <x:v>1.350942027278267</x:v>
      </x:c>
      <x:c r="AP592" s="10" t="str">
        <x:v>0.7162162162162162</x:v>
      </x:c>
      <x:c r="AQ592" s="6" t="str">
        <x:v>0.0</x:v>
      </x:c>
      <x:c r="AR592" s="6" t="str">
        <x:v>0.28378378378378377</x:v>
      </x:c>
      <x:c r="AS592" s="6" t="str">
        <x:v>With trade</x:v>
      </x:c>
      <x:c r="AT592" s="6" t="str">
        <x:v>0.9424764380890478</x:v>
      </x:c>
      <x:c r="AU592" s="7" t="str">
        <x:v>2026-02-12 01:25:00-06:00</x:v>
      </x:c>
      <x:c r="AV592" s="8" t="str">
        <x:v>1</x:v>
      </x:c>
      <x:c r="AW592" s="6" t="str">
        <x:v>Immediate retest (1 bar)</x:v>
      </x:c>
      <x:c r="AX592" s="6" t="str">
        <x:v>23185.0</x:v>
      </x:c>
      <x:c r="AY592" s="6" t="str">
        <x:v>0.0</x:v>
      </x:c>
      <x:c r="AZ592" s="9" t="str">
        <x:v>0.0</x:v>
      </x:c>
      <x:c r="BA592" s="9" t="str">
        <x:v>0.497960933200452</x:v>
      </x:c>
      <x:c r="BB592" s="9" t="str">
        <x:v>0.8668208837193052</x:v>
      </x:c>
      <x:c r="BC592" s="9" t="str">
        <x:v>0.018442997525942664</x:v>
      </x:c>
      <x:c r="BD592" s="6" t="str">
        <x:v>0.5106382978723404</x:v>
      </x:c>
      <x:c r="BE592" s="6" t="str">
        <x:v>0.46808510638297873</x:v>
      </x:c>
      <x:c r="BF592" s="9" t="str">
        <x:v>0.4057459455707386</x:v>
      </x:c>
      <x:c r="BG592" s="9" t="str">
        <x:v>0.44263194062262395</x:v>
      </x:c>
      <x:c r="BH592" s="6" t="str">
        <x:v>With trade</x:v>
      </x:c>
      <x:c r="BI592" s="6" t="str">
        <x:v>Tolerance-only shallow touch</x:v>
      </x:c>
      <x:c r="BJ592" s="6" t="str">
        <x:v>True</x:v>
      </x:c>
      <x:c r="BK592" s="10" t="str">
        <x:v>False</x:v>
      </x:c>
      <x:c r="BL592" s="6" t="str">
        <x:v>True</x:v>
      </x:c>
      <x:c r="BM592" s="7" t="str">
        <x:v>2026-02-12 01:35:00-06:00</x:v>
      </x:c>
      <x:c r="BN592" s="8" t="str">
        <x:v>2</x:v>
      </x:c>
      <x:c r="BO592" s="6" t="str">
        <x:v>Delayed confirmation (2+ bars)</x:v>
      </x:c>
      <x:c r="BP592" s="9" t="str">
        <x:v>0.07747518304135044</x:v>
      </x:c>
      <x:c r="BQ592" s="9" t="str">
        <x:v>0.5616950770497907</x:v>
      </x:c>
      <x:c r="BR592" s="10" t="str">
        <x:v>0.13793103448275862</x:v>
      </x:c>
      <x:c r="BS592" s="9" t="str">
        <x:v>0.46485109824810267</x:v>
      </x:c>
      <x:c r="BT592" s="9" t="str">
        <x:v>-0.05810638728101283</x:v>
      </x:c>
      <x:c r="BU592" s="9" t="str">
        <x:v>0.01936879576033761</x:v>
      </x:c>
      <x:c r="BV592" s="6" t="str">
        <x:v>With trade</x:v>
      </x:c>
      <x:c r="BW592" s="7" t="str">
        <x:v>2026-02-12 01:35:00-06:00</x:v>
      </x:c>
      <x:c r="BX592" s="6" t="str">
        <x:v>23190.0</x:v>
      </x:c>
      <x:c r="BY592" s="9" t="str">
        <x:v>12.907358985731921</x:v>
      </x:c>
      <x:c r="BZ592" s="9" t="str">
        <x:v>0.38</x:v>
      </x:c>
      <x:c r="CA592" s="6" t="str">
        <x:v>23170.638961521403</x:v>
      </x:c>
      <x:c r="CB592" s="6" t="str">
        <x:v>19.361038478597038</x:v>
      </x:c>
      <x:c r="CC592" s="9" t="str">
        <x:v>1.4999999999999347</x:v>
      </x:c>
      <x:c r="CD592" s="6" t="str">
        <x:v>23228.722076957194</x:v>
      </x:c>
      <x:c r="CE592" s="6" t="str">
        <x:v>38.722076957194076</x:v>
      </x:c>
      <x:c r="CF592" s="6" t="str">
        <x:v>Fixed 2.00R target</x:v>
      </x:c>
      <x:c r="CG592" s="9" t="str">
        <x:v>0.037446338469987676</x:v>
      </x:c>
      <x:c r="CH592" s="9" t="str">
        <x:v>-1.0</x:v>
      </x:c>
      <x:c r="CI592" s="9" t="str">
        <x:v>-1.0374463384699877</x:v>
      </x:c>
      <x:c r="CJ592" s="6" t="str">
        <x:v>Loss</x:v>
      </x:c>
      <x:c r="CK592" s="9" t="str">
        <x:v>0.9684397880169228</x:v>
      </x:c>
      <x:c r="CL592" s="9" t="str">
        <x:v>1.149215215113415</x:v>
      </x:c>
      <x:c r="CM592" s="7" t="str">
        <x:v>2026-02-12 02:30:00-06:00</x:v>
      </x:c>
      <x:c r="CN592" s="6" t="str">
        <x:v>23170.638961521403</x:v>
      </x:c>
      <x:c r="CO592" s="6" t="str">
        <x:v>STOP</x:v>
      </x:c>
      <x:c r="CP592" s="6" t="str">
        <x:v>F::Long::Same-bar Setup+BOS::Tolerance-only shallow touch</x:v>
      </x:c>
    </x:row>
    <x:row r="593" ht="18" customHeight="1">
      <x:c r="A593" s="6" t="str">
        <x:v>A0592</x:v>
      </x:c>
      <x:c r="B593" s="6" t="str">
        <x:v>2026-02-12</x:v>
      </x:c>
      <x:c r="C593" s="6" t="str">
        <x:v>2026</x:v>
      </x:c>
      <x:c r="D593" s="6" t="str">
        <x:v>2026-Q1</x:v>
      </x:c>
      <x:c r="E593" s="6" t="str">
        <x:v>Second 50%</x:v>
      </x:c>
      <x:c r="F593" s="6" t="str">
        <x:v>Long</x:v>
      </x:c>
      <x:c r="G593" s="6" t="str">
        <x:v>Long</x:v>
      </x:c>
      <x:c r="H593" s="6" t="str">
        <x:v>Premarket</x:v>
      </x:c>
      <x:c r="I593" s="6" t="str">
        <x:v>Premarket</x:v>
      </x:c>
      <x:c r="J593" s="6" t="str">
        <x:v>Bull</x:v>
      </x:c>
      <x:c r="K593" s="6" t="str">
        <x:v>Bull</x:v>
      </x:c>
      <x:c r="L593" s="6" t="str">
        <x:v>HIGH</x:v>
      </x:c>
      <x:c r="M593" s="7" t="str">
        <x:v>2026-02-12 07:35:00-06:00</x:v>
      </x:c>
      <x:c r="N593" s="6" t="str">
        <x:v>75.0</x:v>
      </x:c>
      <x:c r="O593" s="6" t="str">
        <x:v>75-79</x:v>
      </x:c>
      <x:c r="P593" s="6" t="str">
        <x:v>Matching BOS only</x:v>
      </x:c>
      <x:c r="Q593" s="6" t="str">
        <x:v>Bull CHoCH</x:v>
      </x:c>
      <x:c r="R593" s="6" t="str">
        <x:v>True</x:v>
      </x:c>
      <x:c r="S593" s="6" t="str">
        <x:v>False</x:v>
      </x:c>
      <x:c r="T593" s="6" t="str">
        <x:v>Recent SSL</x:v>
      </x:c>
      <x:c r="U593" s="6" t="str">
        <x:v>SSL</x:v>
      </x:c>
      <x:c r="V593" s="6" t="str">
        <x:v>Swing low / sell-side</x:v>
      </x:c>
      <x:c r="W593" s="6" t="str">
        <x:v>[23164.25]</x:v>
      </x:c>
      <x:c r="X593" s="8" t="str">
        <x:v>1</x:v>
      </x:c>
      <x:c r="Y593" s="8" t="str">
        <x:v>4.0</x:v>
      </x:c>
      <x:c r="Z593" s="6" t="str">
        <x:v>None</x:v>
      </x:c>
      <x:c r="AA593" s="6" t="str">
        <x:v>23223.5</x:v>
      </x:c>
      <x:c r="AB593" s="9" t="str">
        <x:v>0.030309223105686758</x:v>
      </x:c>
      <x:c r="AC593" s="9" t="str">
        <x:v>0.8941220816177594</x:v>
      </x:c>
      <x:c r="AD593" s="9" t="str">
        <x:v>1.5457703783900247</x:v>
      </x:c>
      <x:c r="AE593" s="6" t="str">
        <x:v>With trade</x:v>
      </x:c>
      <x:c r="AF593" s="7" t="str">
        <x:v>2026-02-12 07:35:00-06:00</x:v>
      </x:c>
      <x:c r="AG593" s="6" t="str">
        <x:v>Long</x:v>
      </x:c>
      <x:c r="AH593" s="6" t="str">
        <x:v>23223.5</x:v>
      </x:c>
      <x:c r="AI593" s="8" t="str">
        <x:v>0</x:v>
      </x:c>
      <x:c r="AJ593" s="6" t="str">
        <x:v>True</x:v>
      </x:c>
      <x:c r="AK593" s="6" t="str">
        <x:v>Same-bar Setup+BOS</x:v>
      </x:c>
      <x:c r="AL593" s="9" t="str">
        <x:v>0.8941220816177594</x:v>
      </x:c>
      <x:c r="AM593" s="9" t="str">
        <x:v>0.030309223105686758</x:v>
      </x:c>
      <x:c r="AN593" s="9" t="str">
        <x:v>0.8941220816177594</x:v>
      </x:c>
      <x:c r="AO593" s="9" t="str">
        <x:v>1.5457703783900247</x:v>
      </x:c>
      <x:c r="AP593" s="10" t="str">
        <x:v>0.5784313725490197</x:v>
      </x:c>
      <x:c r="AQ593" s="6" t="str">
        <x:v>0.24509803921568626</x:v>
      </x:c>
      <x:c r="AR593" s="6" t="str">
        <x:v>0.17647058823529413</x:v>
      </x:c>
      <x:c r="AS593" s="6" t="str">
        <x:v>With trade</x:v>
      </x:c>
      <x:c r="AT593" s="6" t="str">
        <x:v>3.0726922724356034</x:v>
      </x:c>
      <x:c r="AU593" s="7" t="str">
        <x:v>2026-02-12 07:40:00-06:00</x:v>
      </x:c>
      <x:c r="AV593" s="8" t="str">
        <x:v>1</x:v>
      </x:c>
      <x:c r="AW593" s="6" t="str">
        <x:v>Immediate retest (1 bar)</x:v>
      </x:c>
      <x:c r="AX593" s="6" t="str">
        <x:v>23223.75</x:v>
      </x:c>
      <x:c r="AY593" s="6" t="str">
        <x:v>0.0</x:v>
      </x:c>
      <x:c r="AZ593" s="9" t="str">
        <x:v>0.0</x:v>
      </x:c>
      <x:c r="BA593" s="9" t="str">
        <x:v>1.5542724751373158</x:v>
      </x:c>
      <x:c r="BB593" s="9" t="str">
        <x:v>1.9883485717972869</x:v>
      </x:c>
      <x:c r="BC593" s="9" t="str">
        <x:v>1.4842602014824817</x:v>
      </x:c>
      <x:c r="BD593" s="6" t="str">
        <x:v>0.22535211267605634</x:v>
      </x:c>
      <x:c r="BE593" s="6" t="str">
        <x:v>0.028169014084507043</x:v>
      </x:c>
      <x:c r="BF593" s="9" t="str">
        <x:v>0.056009818923867236</x:v>
      </x:c>
      <x:c r="BG593" s="9" t="str">
        <x:v>0.4480785513909379</x:v>
      </x:c>
      <x:c r="BH593" s="6" t="str">
        <x:v>With trade</x:v>
      </x:c>
      <x:c r="BI593" s="6" t="str">
        <x:v>Tolerance-only shallow touch</x:v>
      </x:c>
      <x:c r="BJ593" s="6" t="str">
        <x:v>True</x:v>
      </x:c>
      <x:c r="BK593" s="10" t="str">
        <x:v>False</x:v>
      </x:c>
      <x:c r="BL593" s="6" t="str">
        <x:v>True</x:v>
      </x:c>
      <x:c r="BM593" s="7" t="str">
        <x:v>2026-02-12 07:55:00-06:00</x:v>
      </x:c>
      <x:c r="BN593" s="8" t="str">
        <x:v>3</x:v>
      </x:c>
      <x:c r="BO593" s="6" t="str">
        <x:v>Delayed confirmation (2+ bars)</x:v>
      </x:c>
      <x:c r="BP593" s="9" t="str">
        <x:v>0.08252422239526323</x:v>
      </x:c>
      <x:c r="BQ593" s="9" t="str">
        <x:v>0.93527452047965</x:v>
      </x:c>
      <x:c r="BR593" s="10" t="str">
        <x:v>0.08823529411764706</x:v>
      </x:c>
      <x:c r="BS593" s="9" t="str">
        <x:v>0.6464397420962287</x:v>
      </x:c>
      <x:c r="BT593" s="9" t="str">
        <x:v>-0.8802583722161411</x:v>
      </x:c>
      <x:c r="BU593" s="9" t="str">
        <x:v>0.11003229652701764</x:v>
      </x:c>
      <x:c r="BV593" s="6" t="str">
        <x:v>With trade</x:v>
      </x:c>
      <x:c r="BW593" s="7" t="str">
        <x:v>2026-02-12 07:55:00-06:00</x:v>
      </x:c>
      <x:c r="BX593" s="6" t="str">
        <x:v>23235.25</x:v>
      </x:c>
      <x:c r="BY593" s="9" t="str">
        <x:v>18.176481479770935</x:v>
      </x:c>
      <x:c r="BZ593" s="9" t="str">
        <x:v>0.98</x:v>
      </x:c>
      <x:c r="CA593" s="6" t="str">
        <x:v>23207.985277780343</x:v>
      </x:c>
      <x:c r="CB593" s="6" t="str">
        <x:v>27.264722219657415</x:v>
      </x:c>
      <x:c r="CC593" s="9" t="str">
        <x:v>1.5000000000000557</x:v>
      </x:c>
      <x:c r="CD593" s="6" t="str">
        <x:v>23289.77944443931</x:v>
      </x:c>
      <x:c r="CE593" s="6" t="str">
        <x:v>54.52944443931119</x:v>
      </x:c>
      <x:c r="CF593" s="6" t="str">
        <x:v>Fixed 2.00R target</x:v>
      </x:c>
      <x:c r="CG593" s="9" t="str">
        <x:v>0.02659113832736161</x:v>
      </x:c>
      <x:c r="CH593" s="9" t="str">
        <x:v>-1.0</x:v>
      </x:c>
      <x:c r="CI593" s="9" t="str">
        <x:v>-1.0265911383273616</x:v>
      </x:c>
      <x:c r="CJ593" s="6" t="str">
        <x:v>Loss</x:v>
      </x:c>
      <x:c r="CK593" s="9" t="str">
        <x:v>0.16504844479052033</x:v>
      </x:c>
      <x:c r="CL593" s="9" t="str">
        <x:v>1.1186616813579713</x:v>
      </x:c>
      <x:c r="CM593" s="7" t="str">
        <x:v>2026-02-12 08:10:00-06:00</x:v>
      </x:c>
      <x:c r="CN593" s="6" t="str">
        <x:v>23207.985277780343</x:v>
      </x:c>
      <x:c r="CO593" s="6" t="str">
        <x:v>STOP</x:v>
      </x:c>
      <x:c r="CP593" s="6" t="str">
        <x:v>F::Long::Same-bar Setup+BOS::Tolerance-only shallow touch</x:v>
      </x:c>
    </x:row>
    <x:row r="594" ht="18" customHeight="1">
      <x:c r="A594" s="6" t="str">
        <x:v>A0593</x:v>
      </x:c>
      <x:c r="B594" s="6" t="str">
        <x:v>2026-02-12</x:v>
      </x:c>
      <x:c r="C594" s="6" t="str">
        <x:v>2026</x:v>
      </x:c>
      <x:c r="D594" s="6" t="str">
        <x:v>2026-Q1</x:v>
      </x:c>
      <x:c r="E594" s="6" t="str">
        <x:v>Second 50%</x:v>
      </x:c>
      <x:c r="F594" s="6" t="str">
        <x:v>Short</x:v>
      </x:c>
      <x:c r="G594" s="6" t="str">
        <x:v>Short</x:v>
      </x:c>
      <x:c r="H594" s="6" t="str">
        <x:v>Overnight</x:v>
      </x:c>
      <x:c r="I594" s="6" t="str">
        <x:v>Overnight</x:v>
      </x:c>
      <x:c r="J594" s="6" t="str">
        <x:v>Bear</x:v>
      </x:c>
      <x:c r="K594" s="6" t="str">
        <x:v>Bear</x:v>
      </x:c>
      <x:c r="L594" s="6" t="str">
        <x:v>LOW</x:v>
      </x:c>
      <x:c r="M594" s="7" t="str">
        <x:v>2026-02-12 18:40:00-06:00</x:v>
      </x:c>
      <x:c r="N594" s="6" t="str">
        <x:v>90.0</x:v>
      </x:c>
      <x:c r="O594" s="6" t="str">
        <x:v>90-94</x:v>
      </x:c>
      <x:c r="P594" s="6" t="str">
        <x:v>Matching BOS only</x:v>
      </x:c>
      <x:c r="Q594" s="6" t="str">
        <x:v>Bear BOS</x:v>
      </x:c>
      <x:c r="R594" s="6" t="str">
        <x:v>True</x:v>
      </x:c>
      <x:c r="S594" s="6" t="str">
        <x:v>False</x:v>
      </x:c>
      <x:c r="T594" s="6" t="str">
        <x:v>Recent BSL</x:v>
      </x:c>
      <x:c r="U594" s="6" t="str">
        <x:v>BSL</x:v>
      </x:c>
      <x:c r="V594" s="6" t="str">
        <x:v>Swing high / buy-side</x:v>
      </x:c>
      <x:c r="W594" s="6" t="str">
        <x:v>[22696.25]</x:v>
      </x:c>
      <x:c r="X594" s="8" t="str">
        <x:v>1</x:v>
      </x:c>
      <x:c r="Y594" s="8" t="str">
        <x:v>8.0</x:v>
      </x:c>
      <x:c r="Z594" s="6" t="str">
        <x:v>Sweep above CRT reference</x:v>
      </x:c>
      <x:c r="AA594" s="6" t="str">
        <x:v>22584.25</x:v>
      </x:c>
      <x:c r="AB594" s="9" t="str">
        <x:v>0.06272090884596222</x:v>
      </x:c>
      <x:c r="AC594" s="9" t="str">
        <x:v>1.1916972680732822</x:v>
      </x:c>
      <x:c r="AD594" s="9" t="str">
        <x:v>1.4817814714858575</x:v>
      </x:c>
      <x:c r="AE594" s="6" t="str">
        <x:v>With trade</x:v>
      </x:c>
      <x:c r="AF594" s="7" t="str">
        <x:v>2026-02-12 18:40:00-06:00</x:v>
      </x:c>
      <x:c r="AG594" s="6" t="str">
        <x:v>Short</x:v>
      </x:c>
      <x:c r="AH594" s="6" t="str">
        <x:v>22584.25</x:v>
      </x:c>
      <x:c r="AI594" s="8" t="str">
        <x:v>0</x:v>
      </x:c>
      <x:c r="AJ594" s="6" t="str">
        <x:v>True</x:v>
      </x:c>
      <x:c r="AK594" s="6" t="str">
        <x:v>Same-bar Setup+BOS</x:v>
      </x:c>
      <x:c r="AL594" s="9" t="str">
        <x:v>1.1760170408617916</x:v>
      </x:c>
      <x:c r="AM594" s="9" t="str">
        <x:v>0.06272090884596222</x:v>
      </x:c>
      <x:c r="AN594" s="9" t="str">
        <x:v>1.1916972680732822</x:v>
      </x:c>
      <x:c r="AO594" s="9" t="str">
        <x:v>1.4817814714858575</x:v>
      </x:c>
      <x:c r="AP594" s="10" t="str">
        <x:v>0.8042328042328042</x:v>
      </x:c>
      <x:c r="AQ594" s="6" t="str">
        <x:v>0.14814814814814814</x:v>
      </x:c>
      <x:c r="AR594" s="6" t="str">
        <x:v>0.047619047619047616</x:v>
      </x:c>
      <x:c r="AS594" s="6" t="str">
        <x:v>With trade</x:v>
      </x:c>
      <x:c r="AT594" s="6" t="str">
        <x:v>1.1846245041265788</x:v>
      </x:c>
      <x:c r="AU594" s="7" t="str">
        <x:v>2026-02-12 18:45:00-06:00</x:v>
      </x:c>
      <x:c r="AV594" s="8" t="str">
        <x:v>1</x:v>
      </x:c>
      <x:c r="AW594" s="6" t="str">
        <x:v>Immediate retest (1 bar)</x:v>
      </x:c>
      <x:c r="AX594" s="6" t="str">
        <x:v>22594.75</x:v>
      </x:c>
      <x:c r="AY594" s="6" t="str">
        <x:v>10.5</x:v>
      </x:c>
      <x:c r="AZ594" s="9" t="str">
        <x:v>0.32058634798292956</x:v>
      </x:c>
      <x:c r="BA594" s="9" t="str">
        <x:v>0.4274484639772394</x:v>
      </x:c>
      <x:c r="BB594" s="9" t="str">
        <x:v>1.343409458214181</x:v>
      </x:c>
      <x:c r="BC594" s="9" t="str">
        <x:v>0.35875138940946877</x:v>
      </x:c>
      <x:c r="BD594" s="6" t="str">
        <x:v>0.2897727272727273</x:v>
      </x:c>
      <x:c r="BE594" s="6" t="str">
        <x:v>0.4431818181818182</x:v>
      </x:c>
      <x:c r="BF594" s="9" t="str">
        <x:v>0.38928342255070014</x:v>
      </x:c>
      <x:c r="BG594" s="9" t="str">
        <x:v>0.595374646254012</x:v>
      </x:c>
      <x:c r="BH594" s="6" t="str">
        <x:v>With trade</x:v>
      </x:c>
      <x:c r="BI594" s="6" t="str">
        <x:v>Penetration + same-bar reclaim</x:v>
      </x:c>
      <x:c r="BJ594" s="6" t="str">
        <x:v>False</x:v>
      </x:c>
      <x:c r="BK594" s="10" t="str">
        <x:v>True</x:v>
      </x:c>
      <x:c r="BL594" s="6" t="str">
        <x:v>True</x:v>
      </x:c>
      <x:c r="BM594" s="7" t="str">
        <x:v>2026-02-12 18:50:00-06:00</x:v>
      </x:c>
      <x:c r="BN594" s="8" t="str">
        <x:v>1</x:v>
      </x:c>
      <x:c r="BO594" s="6" t="str">
        <x:v>Immediate confirmation (1 bar)</x:v>
      </x:c>
      <x:c r="BP594" s="9" t="str">
        <x:v>0.39056318552526753</x:v>
      </x:c>
      <x:c r="BQ594" s="9" t="str">
        <x:v>0.9572627096207538</x:v>
      </x:c>
      <x:c r="BR594" s="10" t="str">
        <x:v>0.408</x:v>
      </x:c>
      <x:c r="BS594" s="9" t="str">
        <x:v>0.8730235911741274</x:v>
      </x:c>
      <x:c r="BT594" s="9" t="str">
        <x:v>0.4441698972640297</x:v>
      </x:c>
      <x:c r="BU594" s="9" t="str">
        <x:v>0.36758888049436944</x:v>
      </x:c>
      <x:c r="BV594" s="6" t="str">
        <x:v>With trade</x:v>
      </x:c>
      <x:c r="BW594" s="7" t="str">
        <x:v>2026-02-12 18:50:00-06:00</x:v>
      </x:c>
      <x:c r="BX594" s="6" t="str">
        <x:v>22555.75</x:v>
      </x:c>
      <x:c r="BY594" s="9" t="str">
        <x:v>32.64516593608933</x:v>
      </x:c>
      <x:c r="BZ594" s="9" t="str">
        <x:v>0.27</x:v>
      </x:c>
      <x:c r="CA594" s="6" t="str">
        <x:v>22604.717748904135</x:v>
      </x:c>
      <x:c r="CB594" s="6" t="str">
        <x:v>48.96774890413508</x:v>
      </x:c>
      <x:c r="CC594" s="9" t="str">
        <x:v>1.5000000000000333</x:v>
      </x:c>
      <x:c r="CD594" s="6" t="str">
        <x:v>22457.814502191733</x:v>
      </x:c>
      <x:c r="CE594" s="6" t="str">
        <x:v>97.93549780826652</x:v>
      </x:c>
      <x:c r="CF594" s="6" t="str">
        <x:v>Fixed 2.00R target</x:v>
      </x:c>
      <x:c r="CG594" s="9" t="str">
        <x:v>0.014805663242133997</x:v>
      </x:c>
      <x:c r="CH594" s="9" t="str">
        <x:v>-1.0</x:v>
      </x:c>
      <x:c r="CI594" s="9" t="str">
        <x:v>-1.014805663242134</x:v>
      </x:c>
      <x:c r="CJ594" s="6" t="str">
        <x:v>Loss</x:v>
      </x:c>
      <x:c r="CK594" s="9" t="str">
        <x:v>0.0255270055898862</x:v>
      </x:c>
      <x:c r="CL594" s="9" t="str">
        <x:v>1.1742422571347653</x:v>
      </x:c>
      <x:c r="CM594" s="7" t="str">
        <x:v>2026-02-12 19:00:00-06:00</x:v>
      </x:c>
      <x:c r="CN594" s="6" t="str">
        <x:v>22604.717748904135</x:v>
      </x:c>
      <x:c r="CO594" s="6" t="str">
        <x:v>STOP</x:v>
      </x:c>
      <x:c r="CP594" s="6" t="str">
        <x:v>F::Short::Same-bar Setup+BOS::Penetration + same-bar reclaim</x:v>
      </x:c>
    </x:row>
    <x:row r="595" ht="18" customHeight="1">
      <x:c r="A595" s="6" t="str">
        <x:v>A0594</x:v>
      </x:c>
      <x:c r="B595" s="6" t="str">
        <x:v>2026-02-13</x:v>
      </x:c>
      <x:c r="C595" s="6" t="str">
        <x:v>2026</x:v>
      </x:c>
      <x:c r="D595" s="6" t="str">
        <x:v>2026-Q1</x:v>
      </x:c>
      <x:c r="E595" s="6" t="str">
        <x:v>Second 50%</x:v>
      </x:c>
      <x:c r="F595" s="6" t="str">
        <x:v>Short</x:v>
      </x:c>
      <x:c r="G595" s="6" t="str">
        <x:v>Short</x:v>
      </x:c>
      <x:c r="H595" s="6" t="str">
        <x:v>Premarket</x:v>
      </x:c>
      <x:c r="I595" s="6" t="str">
        <x:v>Premarket</x:v>
      </x:c>
      <x:c r="J595" s="6" t="str">
        <x:v>Bear</x:v>
      </x:c>
      <x:c r="K595" s="6" t="str">
        <x:v>Bear</x:v>
      </x:c>
      <x:c r="L595" s="6" t="str">
        <x:v>MID</x:v>
      </x:c>
      <x:c r="M595" s="7" t="str">
        <x:v>2026-02-13 04:35:00-06:00</x:v>
      </x:c>
      <x:c r="N595" s="6" t="str">
        <x:v>75.0</x:v>
      </x:c>
      <x:c r="O595" s="6" t="str">
        <x:v>75-79</x:v>
      </x:c>
      <x:c r="P595" s="6" t="str">
        <x:v>Matching BOS only</x:v>
      </x:c>
      <x:c r="Q595" s="6" t="str">
        <x:v>Bear CHoCH</x:v>
      </x:c>
      <x:c r="R595" s="6" t="str">
        <x:v>True</x:v>
      </x:c>
      <x:c r="S595" s="6" t="str">
        <x:v>False</x:v>
      </x:c>
      <x:c r="T595" s="6" t="str">
        <x:v>Recent BSL</x:v>
      </x:c>
      <x:c r="U595" s="6" t="str">
        <x:v>BSL</x:v>
      </x:c>
      <x:c r="V595" s="6" t="str">
        <x:v>Swing high / buy-side</x:v>
      </x:c>
      <x:c r="W595" s="6" t="str">
        <x:v>[22642.0]</x:v>
      </x:c>
      <x:c r="X595" s="8" t="str">
        <x:v>1</x:v>
      </x:c>
      <x:c r="Y595" s="8" t="str">
        <x:v>15.0</x:v>
      </x:c>
      <x:c r="Z595" s="6" t="str">
        <x:v>None</x:v>
      </x:c>
      <x:c r="AA595" s="6" t="str">
        <x:v>22599.0</x:v>
      </x:c>
      <x:c r="AB595" s="9" t="str">
        <x:v>0.0667148273057763</x:v>
      </x:c>
      <x:c r="AC595" s="9" t="str">
        <x:v>0.5225994805619143</x:v>
      </x:c>
      <x:c r="AD595" s="9" t="str">
        <x:v>0.7449822382478353</x:v>
      </x:c>
      <x:c r="AE595" s="6" t="str">
        <x:v>With trade</x:v>
      </x:c>
      <x:c r="AF595" s="7" t="str">
        <x:v>2026-02-13 04:35:00-06:00</x:v>
      </x:c>
      <x:c r="AG595" s="6" t="str">
        <x:v>Short</x:v>
      </x:c>
      <x:c r="AH595" s="6" t="str">
        <x:v>22599.0</x:v>
      </x:c>
      <x:c r="AI595" s="8" t="str">
        <x:v>0</x:v>
      </x:c>
      <x:c r="AJ595" s="6" t="str">
        <x:v>True</x:v>
      </x:c>
      <x:c r="AK595" s="6" t="str">
        <x:v>Same-bar Setup+BOS</x:v>
      </x:c>
      <x:c r="AL595" s="9" t="str">
        <x:v>0.5337186184462104</x:v>
      </x:c>
      <x:c r="AM595" s="9" t="str">
        <x:v>0.0667148273057763</x:v>
      </x:c>
      <x:c r="AN595" s="9" t="str">
        <x:v>0.5225994805619143</x:v>
      </x:c>
      <x:c r="AO595" s="9" t="str">
        <x:v>0.7449822382478353</x:v>
      </x:c>
      <x:c r="AP595" s="10" t="str">
        <x:v>0.7014925373134329</x:v>
      </x:c>
      <x:c r="AQ595" s="6" t="str">
        <x:v>0.208955223880597</x:v>
      </x:c>
      <x:c r="AR595" s="6" t="str">
        <x:v>0.08955223880597014</x:v>
      </x:c>
      <x:c r="AS595" s="6" t="str">
        <x:v>With trade</x:v>
      </x:c>
      <x:c r="AT595" s="6" t="str">
        <x:v>0.8071348940914158</x:v>
      </x:c>
      <x:c r="AU595" s="7" t="str">
        <x:v>2026-02-13 04:40:00-06:00</x:v>
      </x:c>
      <x:c r="AV595" s="8" t="str">
        <x:v>1</x:v>
      </x:c>
      <x:c r="AW595" s="6" t="str">
        <x:v>Immediate retest (1 bar)</x:v>
      </x:c>
      <x:c r="AX595" s="6" t="str">
        <x:v>22614.75</x:v>
      </x:c>
      <x:c r="AY595" s="6" t="str">
        <x:v>15.75</x:v>
      </x:c>
      <x:c r="AZ595" s="9" t="str">
        <x:v>0.6999136823467175</x:v>
      </x:c>
      <x:c r="BA595" s="9" t="str">
        <x:v>0.03332922296889131</x:v>
      </x:c>
      <x:c r="BB595" s="9" t="str">
        <x:v>1.0109864300563698</x:v>
      </x:c>
      <x:c r="BC595" s="9" t="str">
        <x:v>0.06665844593778263</x:v>
      </x:c>
      <x:c r="BD595" s="6" t="str">
        <x:v>0.6593406593406593</x:v>
      </x:c>
      <x:c r="BE595" s="6" t="str">
        <x:v>0.27472527472527475</x:v>
      </x:c>
      <x:c r="BF595" s="9" t="str">
        <x:v>0.6665844593778262</x:v>
      </x:c>
      <x:c r="BG595" s="9" t="str">
        <x:v>0.2777435247407609</x:v>
      </x:c>
      <x:c r="BH595" s="6" t="str">
        <x:v>With trade</x:v>
      </x:c>
      <x:c r="BI595" s="6" t="str">
        <x:v>Penetration + same-bar reclaim</x:v>
      </x:c>
      <x:c r="BJ595" s="6" t="str">
        <x:v>False</x:v>
      </x:c>
      <x:c r="BK595" s="10" t="str">
        <x:v>True</x:v>
      </x:c>
      <x:c r="BL595" s="6" t="str">
        <x:v>True</x:v>
      </x:c>
      <x:c r="BM595" s="7" t="str">
        <x:v>2026-02-13 04:45:00-06:00</x:v>
      </x:c>
      <x:c r="BN595" s="8" t="str">
        <x:v>1</x:v>
      </x:c>
      <x:c r="BO595" s="6" t="str">
        <x:v>Immediate confirmation (1 bar)</x:v>
      </x:c>
      <x:c r="BP595" s="9" t="str">
        <x:v>0.05658192053760984</x:v>
      </x:c>
      <x:c r="BQ595" s="9" t="str">
        <x:v>0.7581977352039718</x:v>
      </x:c>
      <x:c r="BR595" s="10" t="str">
        <x:v>0.07462686567164178</x:v>
      </x:c>
      <x:c r="BS595" s="9" t="str">
        <x:v>0.07921468875265376</x:v>
      </x:c>
      <x:c r="BT595" s="9" t="str">
        <x:v>0.04526553643008787</x:v>
      </x:c>
      <x:c r="BU595" s="9" t="str">
        <x:v>0.4187062119783128</x:v>
      </x:c>
      <x:c r="BV595" s="6" t="str">
        <x:v>With trade</x:v>
      </x:c>
      <x:c r="BW595" s="7" t="str">
        <x:v>2026-02-13 04:45:00-06:00</x:v>
      </x:c>
      <x:c r="BX595" s="6" t="str">
        <x:v>22597.25</x:v>
      </x:c>
      <x:c r="BY595" s="9" t="str">
        <x:v>22.091862349725805</x:v>
      </x:c>
      <x:c r="BZ595" s="9" t="str">
        <x:v>0.43</x:v>
      </x:c>
      <x:c r="CA595" s="6" t="str">
        <x:v>22630.387793524587</x:v>
      </x:c>
      <x:c r="CB595" s="6" t="str">
        <x:v>33.13779352458732</x:v>
      </x:c>
      <x:c r="CC595" s="9" t="str">
        <x:v>1.4999999999999374</x:v>
      </x:c>
      <x:c r="CD595" s="6" t="str">
        <x:v>22530.97441295082</x:v>
      </x:c>
      <x:c r="CE595" s="6" t="str">
        <x:v>66.27558704917828</x:v>
      </x:c>
      <x:c r="CF595" s="6" t="str">
        <x:v>Fixed 2.00R target</x:v>
      </x:c>
      <x:c r="CG595" s="9" t="str">
        <x:v>0.021878342607876716</x:v>
      </x:c>
      <x:c r="CH595" s="9" t="str">
        <x:v>2.0</x:v>
      </x:c>
      <x:c r="CI595" s="9" t="str">
        <x:v>1.9781216573921232</x:v>
      </x:c>
      <x:c r="CJ595" s="6" t="str">
        <x:v>Win</x:v>
      </x:c>
      <x:c r="CK595" s="9" t="str">
        <x:v>2.127480212214219</x:v>
      </x:c>
      <x:c r="CL595" s="9" t="str">
        <x:v>0.0</x:v>
      </x:c>
      <x:c r="CM595" s="7" t="str">
        <x:v>2026-02-13 05:05:00-06:00</x:v>
      </x:c>
      <x:c r="CN595" s="6" t="str">
        <x:v>22530.97441295082</x:v>
      </x:c>
      <x:c r="CO595" s="6" t="str">
        <x:v>TARGET</x:v>
      </x:c>
      <x:c r="CP595" s="6" t="str">
        <x:v>F::Short::Same-bar Setup+BOS::Penetration + same-bar reclaim</x:v>
      </x:c>
    </x:row>
    <x:row r="596" ht="18" customHeight="1">
      <x:c r="A596" s="6" t="str">
        <x:v>A0595</x:v>
      </x:c>
      <x:c r="B596" s="6" t="str">
        <x:v>2026-02-13</x:v>
      </x:c>
      <x:c r="C596" s="6" t="str">
        <x:v>2026</x:v>
      </x:c>
      <x:c r="D596" s="6" t="str">
        <x:v>2026-Q1</x:v>
      </x:c>
      <x:c r="E596" s="6" t="str">
        <x:v>Second 50%</x:v>
      </x:c>
      <x:c r="F596" s="6" t="str">
        <x:v>Long</x:v>
      </x:c>
      <x:c r="G596" s="6" t="str">
        <x:v>Long</x:v>
      </x:c>
      <x:c r="H596" s="6" t="str">
        <x:v>Premarket</x:v>
      </x:c>
      <x:c r="I596" s="6" t="str">
        <x:v>Premarket</x:v>
      </x:c>
      <x:c r="J596" s="6" t="str">
        <x:v>Bear</x:v>
      </x:c>
      <x:c r="K596" s="6" t="str">
        <x:v>Bear</x:v>
      </x:c>
      <x:c r="L596" s="6" t="str">
        <x:v>HIGH</x:v>
      </x:c>
      <x:c r="M596" s="7" t="str">
        <x:v>2026-02-13 07:30:00-06:00</x:v>
      </x:c>
      <x:c r="N596" s="6" t="str">
        <x:v>90.0</x:v>
      </x:c>
      <x:c r="O596" s="6" t="str">
        <x:v>90-94</x:v>
      </x:c>
      <x:c r="P596" s="6" t="str">
        <x:v>Matching BOS only</x:v>
      </x:c>
      <x:c r="Q596" s="6" t="str">
        <x:v>Bull CHoCH</x:v>
      </x:c>
      <x:c r="R596" s="6" t="str">
        <x:v>True</x:v>
      </x:c>
      <x:c r="S596" s="6" t="str">
        <x:v>False</x:v>
      </x:c>
      <x:c r="T596" s="6" t="str">
        <x:v>Recent SSL</x:v>
      </x:c>
      <x:c r="U596" s="6" t="str">
        <x:v>SSL</x:v>
      </x:c>
      <x:c r="V596" s="6" t="str">
        <x:v>Swing low / sell-side</x:v>
      </x:c>
      <x:c r="W596" s="6" t="str">
        <x:v>[22463.5]</x:v>
      </x:c>
      <x:c r="X596" s="8" t="str">
        <x:v>1</x:v>
      </x:c>
      <x:c r="Y596" s="8" t="str">
        <x:v>3.0</x:v>
      </x:c>
      <x:c r="Z596" s="6" t="str">
        <x:v>None</x:v>
      </x:c>
      <x:c r="AA596" s="6" t="str">
        <x:v>22574.25</x:v>
      </x:c>
      <x:c r="AB596" s="9" t="str">
        <x:v>1.0872447797636617</x:v>
      </x:c>
      <x:c r="AC596" s="9" t="str">
        <x:v>1.7594660145637753</x:v>
      </x:c>
      <x:c r="AD596" s="9" t="str">
        <x:v>2.9870004433292</x:v>
      </x:c>
      <x:c r="AE596" s="6" t="str">
        <x:v>With trade</x:v>
      </x:c>
      <x:c r="AF596" s="7" t="str">
        <x:v>2026-02-13 07:30:00-06:00</x:v>
      </x:c>
      <x:c r="AG596" s="6" t="str">
        <x:v>Long</x:v>
      </x:c>
      <x:c r="AH596" s="6" t="str">
        <x:v>22574.25</x:v>
      </x:c>
      <x:c r="AI596" s="8" t="str">
        <x:v>0</x:v>
      </x:c>
      <x:c r="AJ596" s="6" t="str">
        <x:v>True</x:v>
      </x:c>
      <x:c r="AK596" s="6" t="str">
        <x:v>Same-bar Setup+BOS</x:v>
      </x:c>
      <x:c r="AL596" s="9" t="str">
        <x:v>1.7536206125220353</x:v>
      </x:c>
      <x:c r="AM596" s="9" t="str">
        <x:v>1.0872447797636617</x:v>
      </x:c>
      <x:c r="AN596" s="9" t="str">
        <x:v>1.7594660145637753</x:v>
      </x:c>
      <x:c r="AO596" s="9" t="str">
        <x:v>2.9870004433292</x:v>
      </x:c>
      <x:c r="AP596" s="10" t="str">
        <x:v>0.589041095890411</x:v>
      </x:c>
      <x:c r="AQ596" s="6" t="str">
        <x:v>0.3287671232876712</x:v>
      </x:c>
      <x:c r="AR596" s="6" t="str">
        <x:v>0.0821917808219178</x:v>
      </x:c>
      <x:c r="AS596" s="6" t="str">
        <x:v>With trade</x:v>
      </x:c>
      <x:c r="AT596" s="6" t="str">
        <x:v>7.86056577523574</x:v>
      </x:c>
      <x:c r="AU596" s="7" t="str">
        <x:v>2026-02-13 07:35:00-06:00</x:v>
      </x:c>
      <x:c r="AV596" s="8" t="str">
        <x:v>1</x:v>
      </x:c>
      <x:c r="AW596" s="6" t="str">
        <x:v>Immediate retest (1 bar)</x:v>
      </x:c>
      <x:c r="AX596" s="6" t="str">
        <x:v>22575.75</x:v>
      </x:c>
      <x:c r="AY596" s="6" t="str">
        <x:v>0.0</x:v>
      </x:c>
      <x:c r="AZ596" s="9" t="str">
        <x:v>0.0</x:v>
      </x:c>
      <x:c r="BA596" s="9" t="str">
        <x:v>0.8477914793124665</x:v>
      </x:c>
      <x:c r="BB596" s="9" t="str">
        <x:v>1.0858699084344605</x:v>
      </x:c>
      <x:c r="BC596" s="9" t="str">
        <x:v>0.23807842912199403</x:v>
      </x:c>
      <x:c r="BD596" s="6" t="str">
        <x:v>0.03208556149732621</x:v>
      </x:c>
      <x:c r="BE596" s="6" t="str">
        <x:v>0.7486631016042781</x:v>
      </x:c>
      <x:c r="BF596" s="9" t="str">
        <x:v>0.8129507335872966</x:v>
      </x:c>
      <x:c r="BG596" s="9" t="str">
        <x:v>0.034840745725169854</x:v>
      </x:c>
      <x:c r="BH596" s="6" t="str">
        <x:v>Against trade</x:v>
      </x:c>
      <x:c r="BI596" s="6" t="str">
        <x:v>Tolerance-only shallow touch</x:v>
      </x:c>
      <x:c r="BJ596" s="6" t="str">
        <x:v>True</x:v>
      </x:c>
      <x:c r="BK596" s="10" t="str">
        <x:v>False</x:v>
      </x:c>
      <x:c r="BL596" s="6" t="str">
        <x:v>True</x:v>
      </x:c>
      <x:c r="BM596" s="7" t="str">
        <x:v>2026-02-13 07:40:00-06:00</x:v>
      </x:c>
      <x:c r="BN596" s="8" t="str">
        <x:v>1</x:v>
      </x:c>
      <x:c r="BO596" s="6" t="str">
        <x:v>Immediate confirmation (1 bar)</x:v>
      </x:c>
      <x:c r="BP596" s="9" t="str">
        <x:v>0.10461822841882013</x:v>
      </x:c>
      <x:c r="BQ596" s="9" t="str">
        <x:v>0.9880610461777456</x:v>
      </x:c>
      <x:c r="BR596" s="10" t="str">
        <x:v>0.10588235294117647</x:v>
      </x:c>
      <x:c r="BS596" s="9" t="str">
        <x:v>0.9415640557693811</x:v>
      </x:c>
      <x:c r="BT596" s="9" t="str">
        <x:v>0.092993980816729</x:v>
      </x:c>
      <x:c r="BU596" s="9" t="str">
        <x:v>0.2964183138533237</x:v>
      </x:c>
      <x:c r="BV596" s="6" t="str">
        <x:v>With trade</x:v>
      </x:c>
      <x:c r="BW596" s="7" t="str">
        <x:v>2026-02-13 07:40:00-06:00</x:v>
      </x:c>
      <x:c r="BX596" s="6" t="str">
        <x:v>22614.75</x:v>
      </x:c>
      <x:c r="BY596" s="9" t="str">
        <x:v>43.013536627527905</x:v>
      </x:c>
      <x:c r="BZ596" s="9" t="str">
        <x:v>0.99</x:v>
      </x:c>
      <x:c r="CA596" s="6" t="str">
        <x:v>22550.229695058708</x:v>
      </x:c>
      <x:c r="CB596" s="6" t="str">
        <x:v>64.52030494129212</x:v>
      </x:c>
      <x:c r="CC596" s="9" t="str">
        <x:v>1.5000000000000062</x:v>
      </x:c>
      <x:c r="CD596" s="6" t="str">
        <x:v>22743.790609882584</x:v>
      </x:c>
      <x:c r="CE596" s="6" t="str">
        <x:v>129.04060988258425</x:v>
      </x:c>
      <x:c r="CF596" s="6" t="str">
        <x:v>Fixed 2.00R target</x:v>
      </x:c>
      <x:c r="CG596" s="9" t="str">
        <x:v>0.011236772682021374</x:v>
      </x:c>
      <x:c r="CH596" s="9" t="str">
        <x:v>-1.0</x:v>
      </x:c>
      <x:c r="CI596" s="9" t="str">
        <x:v>-1.0112367726820213</x:v>
      </x:c>
      <x:c r="CJ596" s="6" t="str">
        <x:v>Loss</x:v>
      </x:c>
      <x:c r="CK596" s="9" t="str">
        <x:v>0.6935801069247676</x:v>
      </x:c>
      <x:c r="CL596" s="9" t="str">
        <x:v>1.379410715448141</x:v>
      </x:c>
      <x:c r="CM596" s="7" t="str">
        <x:v>2026-02-13 08:30:00-06:00</x:v>
      </x:c>
      <x:c r="CN596" s="6" t="str">
        <x:v>22550.229695058708</x:v>
      </x:c>
      <x:c r="CO596" s="6" t="str">
        <x:v>STOP</x:v>
      </x:c>
      <x:c r="CP596" s="6" t="str">
        <x:v>F::Long::Same-bar Setup+BOS::Tolerance-only shallow touch</x:v>
      </x:c>
    </x:row>
    <x:row r="597" ht="18" customHeight="1">
      <x:c r="A597" s="6" t="str">
        <x:v>A0596</x:v>
      </x:c>
      <x:c r="B597" s="6" t="str">
        <x:v>2026-02-16</x:v>
      </x:c>
      <x:c r="C597" s="6" t="str">
        <x:v>2026</x:v>
      </x:c>
      <x:c r="D597" s="6" t="str">
        <x:v>2026-Q1</x:v>
      </x:c>
      <x:c r="E597" s="6" t="str">
        <x:v>Second 50%</x:v>
      </x:c>
      <x:c r="F597" s="6" t="str">
        <x:v>Short</x:v>
      </x:c>
      <x:c r="G597" s="6" t="str">
        <x:v>Short</x:v>
      </x:c>
      <x:c r="H597" s="6" t="str">
        <x:v>Overnight</x:v>
      </x:c>
      <x:c r="I597" s="6" t="str">
        <x:v>Overnight</x:v>
      </x:c>
      <x:c r="J597" s="6" t="str">
        <x:v>Bear</x:v>
      </x:c>
      <x:c r="K597" s="6" t="str">
        <x:v>Bear</x:v>
      </x:c>
      <x:c r="L597" s="6" t="str">
        <x:v>LOW</x:v>
      </x:c>
      <x:c r="M597" s="7" t="str">
        <x:v>2026-02-15 23:35:00-06:00</x:v>
      </x:c>
      <x:c r="N597" s="6" t="str">
        <x:v>90.0</x:v>
      </x:c>
      <x:c r="O597" s="6" t="str">
        <x:v>90-94</x:v>
      </x:c>
      <x:c r="P597" s="6" t="str">
        <x:v>Matching BOS only</x:v>
      </x:c>
      <x:c r="Q597" s="6" t="str">
        <x:v>Bear CHoCH</x:v>
      </x:c>
      <x:c r="R597" s="6" t="str">
        <x:v>True</x:v>
      </x:c>
      <x:c r="S597" s="6" t="str">
        <x:v>False</x:v>
      </x:c>
      <x:c r="T597" s="6" t="str">
        <x:v>Recent BSL</x:v>
      </x:c>
      <x:c r="U597" s="6" t="str">
        <x:v>BSL</x:v>
      </x:c>
      <x:c r="V597" s="6" t="str">
        <x:v>Swing high / buy-side</x:v>
      </x:c>
      <x:c r="W597" s="6" t="str">
        <x:v>[22676.0]</x:v>
      </x:c>
      <x:c r="X597" s="8" t="str">
        <x:v>1</x:v>
      </x:c>
      <x:c r="Y597" s="8" t="str">
        <x:v>19.0</x:v>
      </x:c>
      <x:c r="Z597" s="6" t="str">
        <x:v>None</x:v>
      </x:c>
      <x:c r="AA597" s="6" t="str">
        <x:v>22653.25</x:v>
      </x:c>
      <x:c r="AB597" s="9" t="str">
        <x:v>0.41143935774977813</x:v>
      </x:c>
      <x:c r="AC597" s="9" t="str">
        <x:v>0.9874544585994676</x:v>
      </x:c>
      <x:c r="AD597" s="9" t="str">
        <x:v>1.371464525832594</x:v>
      </x:c>
      <x:c r="AE597" s="6" t="str">
        <x:v>With trade</x:v>
      </x:c>
      <x:c r="AF597" s="7" t="str">
        <x:v>2026-02-15 23:35:00-06:00</x:v>
      </x:c>
      <x:c r="AG597" s="6" t="str">
        <x:v>Short</x:v>
      </x:c>
      <x:c r="AH597" s="6" t="str">
        <x:v>22653.25</x:v>
      </x:c>
      <x:c r="AI597" s="8" t="str">
        <x:v>0</x:v>
      </x:c>
      <x:c r="AJ597" s="6" t="str">
        <x:v>True</x:v>
      </x:c>
      <x:c r="AK597" s="6" t="str">
        <x:v>Same-bar Setup+BOS</x:v>
      </x:c>
      <x:c r="AL597" s="9" t="str">
        <x:v>0.9051665870495119</x:v>
      </x:c>
      <x:c r="AM597" s="9" t="str">
        <x:v>0.41143935774977813</x:v>
      </x:c>
      <x:c r="AN597" s="9" t="str">
        <x:v>0.9874544585994676</x:v>
      </x:c>
      <x:c r="AO597" s="9" t="str">
        <x:v>1.371464525832594</x:v>
      </x:c>
      <x:c r="AP597" s="10" t="str">
        <x:v>0.72</x:v>
      </x:c>
      <x:c r="AQ597" s="6" t="str">
        <x:v>0.22</x:v>
      </x:c>
      <x:c r="AR597" s="6" t="str">
        <x:v>0.06</x:v>
      </x:c>
      <x:c r="AS597" s="6" t="str">
        <x:v>With trade</x:v>
      </x:c>
      <x:c r="AT597" s="6" t="str">
        <x:v>1.3094170403587444</x:v>
      </x:c>
      <x:c r="AU597" s="7" t="str">
        <x:v>2026-02-15 23:55:00-06:00</x:v>
      </x:c>
      <x:c r="AV597" s="8" t="str">
        <x:v>4</x:v>
      </x:c>
      <x:c r="AW597" s="6" t="str">
        <x:v>Delayed retest (2+ bars)</x:v>
      </x:c>
      <x:c r="AX597" s="6" t="str">
        <x:v>22652.5</x:v>
      </x:c>
      <x:c r="AY597" s="6" t="str">
        <x:v>0.0</x:v>
      </x:c>
      <x:c r="AZ597" s="9" t="str">
        <x:v>0.0</x:v>
      </x:c>
      <x:c r="BA597" s="9" t="str">
        <x:v>0.2843834930601414</x:v>
      </x:c>
      <x:c r="BB597" s="9" t="str">
        <x:v>1.0082687481223196</x:v>
      </x:c>
      <x:c r="BC597" s="9" t="str">
        <x:v>0.594620030943932</x:v>
      </x:c>
      <x:c r="BD597" s="6" t="str">
        <x:v>0.20512820512820512</x:v>
      </x:c>
      <x:c r="BE597" s="6" t="str">
        <x:v>0.20512820512820512</x:v>
      </x:c>
      <x:c r="BF597" s="9" t="str">
        <x:v>0.20682435858919374</x:v>
      </x:c>
      <x:c r="BG597" s="9" t="str">
        <x:v>0.20682435858919374</x:v>
      </x:c>
      <x:c r="BH597" s="6" t="str">
        <x:v>Against trade</x:v>
      </x:c>
      <x:c r="BI597" s="6" t="str">
        <x:v>Tolerance-only shallow touch</x:v>
      </x:c>
      <x:c r="BJ597" s="6" t="str">
        <x:v>True</x:v>
      </x:c>
      <x:c r="BK597" s="10" t="str">
        <x:v>False</x:v>
      </x:c>
      <x:c r="BL597" s="6" t="str">
        <x:v>True</x:v>
      </x:c>
      <x:c r="BM597" s="7" t="str">
        <x:v>2026-02-16 00:05:00-06:00</x:v>
      </x:c>
      <x:c r="BN597" s="8" t="str">
        <x:v>2</x:v>
      </x:c>
      <x:c r="BO597" s="6" t="str">
        <x:v>Delayed confirmation (2+ bars)</x:v>
      </x:c>
      <x:c r="BP597" s="9" t="str">
        <x:v>0.3626297069056986</x:v>
      </x:c>
      <x:c r="BQ597" s="9" t="str">
        <x:v>1.0878891207170958</x:v>
      </x:c>
      <x:c r="BR597" s="10" t="str">
        <x:v>0.3333333333333333</x:v>
      </x:c>
      <x:c r="BS597" s="9" t="str">
        <x:v>0.41443395074936984</x:v>
      </x:c>
      <x:c r="BT597" s="9" t="str">
        <x:v>0.12951060960917807</x:v>
      </x:c>
      <x:c r="BU597" s="9" t="str">
        <x:v>0.5957488042022191</x:v>
      </x:c>
      <x:c r="BV597" s="6" t="str">
        <x:v>With trade</x:v>
      </x:c>
      <x:c r="BW597" s="7" t="str">
        <x:v>2026-02-16 00:05:00-06:00</x:v>
      </x:c>
      <x:c r="BX597" s="6" t="str">
        <x:v>22649.25</x:v>
      </x:c>
      <x:c r="BY597" s="9" t="str">
        <x:v>9.651718911462956</x:v>
      </x:c>
      <x:c r="BZ597" s="9" t="str">
        <x:v>0.1</x:v>
      </x:c>
      <x:c r="CA597" s="6" t="str">
        <x:v>22663.727578367194</x:v>
      </x:c>
      <x:c r="CB597" s="6" t="str">
        <x:v>14.477578367193928</x:v>
      </x:c>
      <x:c r="CC597" s="9" t="str">
        <x:v>1.4999999999999476</x:v>
      </x:c>
      <x:c r="CD597" s="6" t="str">
        <x:v>22620.294843265612</x:v>
      </x:c>
      <x:c r="CE597" s="6" t="str">
        <x:v>28.955156734387856</x:v>
      </x:c>
      <x:c r="CF597" s="6" t="str">
        <x:v>Fixed 2.00R target</x:v>
      </x:c>
      <x:c r="CG597" s="9" t="str">
        <x:v>0.0500774357155506</x:v>
      </x:c>
      <x:c r="CH597" s="9" t="str">
        <x:v>-1.0</x:v>
      </x:c>
      <x:c r="CI597" s="9" t="str">
        <x:v>-1.0500774357155507</x:v>
      </x:c>
      <x:c r="CJ597" s="6" t="str">
        <x:v>Loss</x:v>
      </x:c>
      <x:c r="CK597" s="9" t="str">
        <x:v>1.1051572019983582</x:v>
      </x:c>
      <x:c r="CL597" s="9" t="str">
        <x:v>1.2087656896857042</x:v>
      </x:c>
      <x:c r="CM597" s="7" t="str">
        <x:v>2026-02-16 00:45:00-06:00</x:v>
      </x:c>
      <x:c r="CN597" s="6" t="str">
        <x:v>22663.727578367194</x:v>
      </x:c>
      <x:c r="CO597" s="6" t="str">
        <x:v>STOP</x:v>
      </x:c>
      <x:c r="CP597" s="6" t="str">
        <x:v>F::Short::Same-bar Setup+BOS::Tolerance-only shallow touch</x:v>
      </x:c>
    </x:row>
    <x:row r="598" ht="18" customHeight="1">
      <x:c r="A598" s="6" t="str">
        <x:v>A0597</x:v>
      </x:c>
      <x:c r="B598" s="6" t="str">
        <x:v>2026-02-16</x:v>
      </x:c>
      <x:c r="C598" s="6" t="str">
        <x:v>2026</x:v>
      </x:c>
      <x:c r="D598" s="6" t="str">
        <x:v>2026-Q1</x:v>
      </x:c>
      <x:c r="E598" s="6" t="str">
        <x:v>Second 50%</x:v>
      </x:c>
      <x:c r="F598" s="6" t="str">
        <x:v>Long</x:v>
      </x:c>
      <x:c r="G598" s="6" t="str">
        <x:v>Long</x:v>
      </x:c>
      <x:c r="H598" s="6" t="str">
        <x:v>Overnight</x:v>
      </x:c>
      <x:c r="I598" s="6" t="str">
        <x:v>Overnight</x:v>
      </x:c>
      <x:c r="J598" s="6" t="str">
        <x:v>Bear</x:v>
      </x:c>
      <x:c r="K598" s="6" t="str">
        <x:v>Bear</x:v>
      </x:c>
      <x:c r="L598" s="6" t="str">
        <x:v>LOW</x:v>
      </x:c>
      <x:c r="M598" s="7" t="str">
        <x:v>2026-02-16 00:40:00-06:00</x:v>
      </x:c>
      <x:c r="N598" s="6" t="str">
        <x:v>90.0</x:v>
      </x:c>
      <x:c r="O598" s="6" t="str">
        <x:v>90-94</x:v>
      </x:c>
      <x:c r="P598" s="6" t="str">
        <x:v>Matching BOS only</x:v>
      </x:c>
      <x:c r="Q598" s="6" t="str">
        <x:v>Bull CHoCH</x:v>
      </x:c>
      <x:c r="R598" s="6" t="str">
        <x:v>True</x:v>
      </x:c>
      <x:c r="S598" s="6" t="str">
        <x:v>False</x:v>
      </x:c>
      <x:c r="T598" s="6" t="str">
        <x:v>Recent SSL</x:v>
      </x:c>
      <x:c r="U598" s="6" t="str">
        <x:v>SSL</x:v>
      </x:c>
      <x:c r="V598" s="6" t="str">
        <x:v>Swing low / sell-side</x:v>
      </x:c>
      <x:c r="W598" s="6" t="str">
        <x:v>[22633.75]</x:v>
      </x:c>
      <x:c r="X598" s="8" t="str">
        <x:v>1</x:v>
      </x:c>
      <x:c r="Y598" s="8" t="str">
        <x:v>4.0</x:v>
      </x:c>
      <x:c r="Z598" s="6" t="str">
        <x:v>None</x:v>
      </x:c>
      <x:c r="AA598" s="6" t="str">
        <x:v>22658.5</x:v>
      </x:c>
      <x:c r="AB598" s="9" t="str">
        <x:v>0.04770347645120492</x:v>
      </x:c>
      <x:c r="AC598" s="9" t="str">
        <x:v>1.0494764819265083</x:v>
      </x:c>
      <x:c r="AD598" s="9" t="str">
        <x:v>1.3834008170849428</x:v>
      </x:c>
      <x:c r="AE598" s="6" t="str">
        <x:v>With trade</x:v>
      </x:c>
      <x:c r="AF598" s="7" t="str">
        <x:v>2026-02-16 00:40:00-06:00</x:v>
      </x:c>
      <x:c r="AG598" s="6" t="str">
        <x:v>Long</x:v>
      </x:c>
      <x:c r="AH598" s="6" t="str">
        <x:v>22658.5</x:v>
      </x:c>
      <x:c r="AI598" s="8" t="str">
        <x:v>0</x:v>
      </x:c>
      <x:c r="AJ598" s="6" t="str">
        <x:v>True</x:v>
      </x:c>
      <x:c r="AK598" s="6" t="str">
        <x:v>Same-bar Setup+BOS</x:v>
      </x:c>
      <x:c r="AL598" s="9" t="str">
        <x:v>1.0494764819265083</x:v>
      </x:c>
      <x:c r="AM598" s="9" t="str">
        <x:v>0.04770347645120492</x:v>
      </x:c>
      <x:c r="AN598" s="9" t="str">
        <x:v>1.0494764819265083</x:v>
      </x:c>
      <x:c r="AO598" s="9" t="str">
        <x:v>1.3834008170849428</x:v>
      </x:c>
      <x:c r="AP598" s="10" t="str">
        <x:v>0.7586206896551724</x:v>
      </x:c>
      <x:c r="AQ598" s="6" t="str">
        <x:v>0.1206896551724138</x:v>
      </x:c>
      <x:c r="AR598" s="6" t="str">
        <x:v>0.1206896551724138</x:v>
      </x:c>
      <x:c r="AS598" s="6" t="str">
        <x:v>With trade</x:v>
      </x:c>
      <x:c r="AT598" s="6" t="str">
        <x:v>1.5550906555090656</x:v>
      </x:c>
      <x:c r="AU598" s="7" t="str">
        <x:v>2026-02-16 00:45:00-06:00</x:v>
      </x:c>
      <x:c r="AV598" s="8" t="str">
        <x:v>1</x:v>
      </x:c>
      <x:c r="AW598" s="6" t="str">
        <x:v>Immediate retest (1 bar)</x:v>
      </x:c>
      <x:c r="AX598" s="6" t="str">
        <x:v>22656.25</x:v>
      </x:c>
      <x:c r="AY598" s="6" t="str">
        <x:v>2.25</x:v>
      </x:c>
      <x:c r="AZ598" s="9" t="str">
        <x:v>0.21463846151845906</x:v>
      </x:c>
      <x:c r="BA598" s="9" t="str">
        <x:v>0.5723692307158909</x:v>
      </x:c>
      <x:c r="BB598" s="9" t="str">
        <x:v>1.001646153752809</x:v>
      </x:c>
      <x:c r="BC598" s="9" t="str">
        <x:v>0.476974358929909</x:v>
      </x:c>
      <x:c r="BD598" s="6" t="str">
        <x:v>0.21428571428571427</x:v>
      </x:c>
      <x:c r="BE598" s="6" t="str">
        <x:v>0.30952380952380953</x:v>
      </x:c>
      <x:c r="BF598" s="9" t="str">
        <x:v>0.3100333333044409</x:v>
      </x:c>
      <x:c r="BG598" s="9" t="str">
        <x:v>0.21463846151845906</x:v>
      </x:c>
      <x:c r="BH598" s="6" t="str">
        <x:v>With trade</x:v>
      </x:c>
      <x:c r="BI598" s="6" t="str">
        <x:v>Penetration + same-bar reclaim</x:v>
      </x:c>
      <x:c r="BJ598" s="6" t="str">
        <x:v>False</x:v>
      </x:c>
      <x:c r="BK598" s="10" t="str">
        <x:v>True</x:v>
      </x:c>
      <x:c r="BL598" s="6" t="str">
        <x:v>True</x:v>
      </x:c>
      <x:c r="BM598" s="7" t="str">
        <x:v>2026-02-16 00:55:00-06:00</x:v>
      </x:c>
      <x:c r="BN598" s="8" t="str">
        <x:v>2</x:v>
      </x:c>
      <x:c r="BO598" s="6" t="str">
        <x:v>Delayed confirmation (2+ bars)</x:v>
      </x:c>
      <x:c r="BP598" s="9" t="str">
        <x:v>0.0765591624654192</x:v>
      </x:c>
      <x:c r="BQ598" s="9" t="str">
        <x:v>0.5614338580797408</x:v>
      </x:c>
      <x:c r="BR598" s="10" t="str">
        <x:v>0.13636363636363635</x:v>
      </x:c>
      <x:c r="BS598" s="9" t="str">
        <x:v>0.4848746956143216</x:v>
      </x:c>
      <x:c r="BT598" s="9" t="str">
        <x:v>-0.127598604109032</x:v>
      </x:c>
      <x:c r="BU598" s="9" t="str">
        <x:v>0.1531183249308384</x:v>
      </x:c>
      <x:c r="BV598" s="6" t="str">
        <x:v>With trade</x:v>
      </x:c>
      <x:c r="BW598" s="7" t="str">
        <x:v>2026-02-16 00:55:00-06:00</x:v>
      </x:c>
      <x:c r="BX598" s="6" t="str">
        <x:v>22663.25</x:v>
      </x:c>
      <x:c r="BY598" s="9" t="str">
        <x:v>9.796345412461447</x:v>
      </x:c>
      <x:c r="BZ598" s="9" t="str">
        <x:v>0.19</x:v>
      </x:c>
      <x:c r="CA598" s="6" t="str">
        <x:v>22648.555481881307</x:v>
      </x:c>
      <x:c r="CB598" s="6" t="str">
        <x:v>14.69451811869294</x:v>
      </x:c>
      <x:c r="CC598" s="9" t="str">
        <x:v>1.5000000000000786</x:v>
      </x:c>
      <x:c r="CD598" s="6" t="str">
        <x:v>22692.639036237386</x:v>
      </x:c>
      <x:c r="CE598" s="6" t="str">
        <x:v>29.38903623738588</x:v>
      </x:c>
      <x:c r="CF598" s="6" t="str">
        <x:v>Fixed 2.00R target</x:v>
      </x:c>
      <x:c r="CG598" s="9" t="str">
        <x:v>0.04933812692215646</x:v>
      </x:c>
      <x:c r="CH598" s="9" t="str">
        <x:v>2.0</x:v>
      </x:c>
      <x:c r="CI598" s="9" t="str">
        <x:v>1.9506618730778436</x:v>
      </x:c>
      <x:c r="CJ598" s="6" t="str">
        <x:v>Win</x:v>
      </x:c>
      <x:c r="CK598" s="9" t="str">
        <x:v>2.3988537572496758</x:v>
      </x:c>
      <x:c r="CL598" s="9" t="str">
        <x:v>0.15311832493083039</x:v>
      </x:c>
      <x:c r="CM598" s="7" t="str">
        <x:v>2026-02-16 01:10:00-06:00</x:v>
      </x:c>
      <x:c r="CN598" s="6" t="str">
        <x:v>22692.639036237386</x:v>
      </x:c>
      <x:c r="CO598" s="6" t="str">
        <x:v>TARGET</x:v>
      </x:c>
      <x:c r="CP598" s="6" t="str">
        <x:v>F::Long::Same-bar Setup+BOS::Penetration + same-bar reclaim</x:v>
      </x:c>
    </x:row>
    <x:row r="599" ht="18" customHeight="1">
      <x:c r="A599" s="6" t="str">
        <x:v>A0598</x:v>
      </x:c>
      <x:c r="B599" s="6" t="str">
        <x:v>2026-02-17</x:v>
      </x:c>
      <x:c r="C599" s="6" t="str">
        <x:v>2026</x:v>
      </x:c>
      <x:c r="D599" s="6" t="str">
        <x:v>2026-Q1</x:v>
      </x:c>
      <x:c r="E599" s="6" t="str">
        <x:v>Second 50%</x:v>
      </x:c>
      <x:c r="F599" s="6" t="str">
        <x:v>Short</x:v>
      </x:c>
      <x:c r="G599" s="6" t="str">
        <x:v>Short</x:v>
      </x:c>
      <x:c r="H599" s="6" t="str">
        <x:v>Premarket</x:v>
      </x:c>
      <x:c r="I599" s="6" t="str">
        <x:v>Premarket</x:v>
      </x:c>
      <x:c r="J599" s="6" t="str">
        <x:v>Bear</x:v>
      </x:c>
      <x:c r="K599" s="6" t="str">
        <x:v>Bear</x:v>
      </x:c>
      <x:c r="L599" s="6" t="str">
        <x:v>MID</x:v>
      </x:c>
      <x:c r="M599" s="7" t="str">
        <x:v>2026-02-17 04:40:00-06:00</x:v>
      </x:c>
      <x:c r="N599" s="6" t="str">
        <x:v>90.0</x:v>
      </x:c>
      <x:c r="O599" s="6" t="str">
        <x:v>90-94</x:v>
      </x:c>
      <x:c r="P599" s="6" t="str">
        <x:v>Matching BOS only</x:v>
      </x:c>
      <x:c r="Q599" s="6" t="str">
        <x:v>Bear CHoCH</x:v>
      </x:c>
      <x:c r="R599" s="6" t="str">
        <x:v>True</x:v>
      </x:c>
      <x:c r="S599" s="6" t="str">
        <x:v>False</x:v>
      </x:c>
      <x:c r="T599" s="6" t="str">
        <x:v>Recent BSL</x:v>
      </x:c>
      <x:c r="U599" s="6" t="str">
        <x:v>BSL</x:v>
      </x:c>
      <x:c r="V599" s="6" t="str">
        <x:v>Swing high / buy-side</x:v>
      </x:c>
      <x:c r="W599" s="6" t="str">
        <x:v>[22519.5]</x:v>
      </x:c>
      <x:c r="X599" s="8" t="str">
        <x:v>1</x:v>
      </x:c>
      <x:c r="Y599" s="8" t="str">
        <x:v>14.0</x:v>
      </x:c>
      <x:c r="Z599" s="6" t="str">
        <x:v>None</x:v>
      </x:c>
      <x:c r="AA599" s="6" t="str">
        <x:v>22463.25</x:v>
      </x:c>
      <x:c r="AB599" s="9" t="str">
        <x:v>0.7936774615590023</x:v>
      </x:c>
      <x:c r="AC599" s="9" t="str">
        <x:v>0.9088887059788575</x:v>
      </x:c>
      <x:c r="AD599" s="9" t="str">
        <x:v>1.4465411799381815</x:v>
      </x:c>
      <x:c r="AE599" s="6" t="str">
        <x:v>With trade</x:v>
      </x:c>
      <x:c r="AF599" s="7" t="str">
        <x:v>2026-02-17 04:40:00-06:00</x:v>
      </x:c>
      <x:c r="AG599" s="6" t="str">
        <x:v>Short</x:v>
      </x:c>
      <x:c r="AH599" s="6" t="str">
        <x:v>22463.25</x:v>
      </x:c>
      <x:c r="AI599" s="8" t="str">
        <x:v>0</x:v>
      </x:c>
      <x:c r="AJ599" s="6" t="str">
        <x:v>True</x:v>
      </x:c>
      <x:c r="AK599" s="6" t="str">
        <x:v>Same-bar Setup+BOS</x:v>
      </x:c>
      <x:c r="AL599" s="9" t="str">
        <x:v>1.0369011997786965</x:v>
      </x:c>
      <x:c r="AM599" s="9" t="str">
        <x:v>0.7936774615590023</x:v>
      </x:c>
      <x:c r="AN599" s="9" t="str">
        <x:v>0.9088887059788575</x:v>
      </x:c>
      <x:c r="AO599" s="9" t="str">
        <x:v>1.4465411799381815</x:v>
      </x:c>
      <x:c r="AP599" s="10" t="str">
        <x:v>0.6283185840707964</x:v>
      </x:c>
      <x:c r="AQ599" s="6" t="str">
        <x:v>0.1592920353982301</x:v>
      </x:c>
      <x:c r="AR599" s="6" t="str">
        <x:v>0.21238938053097345</x:v>
      </x:c>
      <x:c r="AS599" s="6" t="str">
        <x:v>With trade</x:v>
      </x:c>
      <x:c r="AT599" s="6" t="str">
        <x:v>1.731079771773065</x:v>
      </x:c>
      <x:c r="AU599" s="7" t="str">
        <x:v>2026-02-17 04:45:00-06:00</x:v>
      </x:c>
      <x:c r="AV599" s="8" t="str">
        <x:v>1</x:v>
      </x:c>
      <x:c r="AW599" s="6" t="str">
        <x:v>Immediate retest (1 bar)</x:v>
      </x:c>
      <x:c r="AX599" s="6" t="str">
        <x:v>22464.0</x:v>
      </x:c>
      <x:c r="AY599" s="6" t="str">
        <x:v>0.75</x:v>
      </x:c>
      <x:c r="AZ599" s="9" t="str">
        <x:v>0.03802536534851499</x:v>
      </x:c>
      <x:c r="BA599" s="9" t="str">
        <x:v>0.6337560891419165</x:v>
      </x:c>
      <x:c r="BB599" s="9" t="str">
        <x:v>1.1280858386726114</x:v>
      </x:c>
      <x:c r="BC599" s="9" t="str">
        <x:v>0.20280194852541328</x:v>
      </x:c>
      <x:c r="BD599" s="6" t="str">
        <x:v>0.5955056179775281</x:v>
      </x:c>
      <x:c r="BE599" s="6" t="str">
        <x:v>0.2247191011235955</x:v>
      </x:c>
      <x:c r="BF599" s="9" t="str">
        <x:v>0.6717814544904315</x:v>
      </x:c>
      <x:c r="BG599" s="9" t="str">
        <x:v>0.2535024356567666</x:v>
      </x:c>
      <x:c r="BH599" s="6" t="str">
        <x:v>Against trade</x:v>
      </x:c>
      <x:c r="BI599" s="6" t="str">
        <x:v>Penetration + same-bar reclaim</x:v>
      </x:c>
      <x:c r="BJ599" s="6" t="str">
        <x:v>False</x:v>
      </x:c>
      <x:c r="BK599" s="10" t="str">
        <x:v>True</x:v>
      </x:c>
      <x:c r="BL599" s="6" t="str">
        <x:v>True</x:v>
      </x:c>
      <x:c r="BM599" s="7" t="str">
        <x:v>2026-02-17 04:50:00-06:00</x:v>
      </x:c>
      <x:c r="BN599" s="8" t="str">
        <x:v>1</x:v>
      </x:c>
      <x:c r="BO599" s="6" t="str">
        <x:v>Immediate confirmation (1 bar)</x:v>
      </x:c>
      <x:c r="BP599" s="9" t="str">
        <x:v>0.06302722434898339</x:v>
      </x:c>
      <x:c r="BQ599" s="9" t="str">
        <x:v>1.0336464793233275</x:v>
      </x:c>
      <x:c r="BR599" s="10" t="str">
        <x:v>0.06097560975609756</x:v>
      </x:c>
      <x:c r="BS599" s="9" t="str">
        <x:v>0.7311158024482073</x:v>
      </x:c>
      <x:c r="BT599" s="9" t="str">
        <x:v>0.10084355895837342</x:v>
      </x:c>
      <x:c r="BU599" s="9" t="str">
        <x:v>0.0</x:v>
      </x:c>
      <x:c r="BV599" s="6" t="str">
        <x:v>With trade</x:v>
      </x:c>
      <x:c r="BW599" s="7" t="str">
        <x:v>2026-02-17 04:50:00-06:00</x:v>
      </x:c>
      <x:c r="BX599" s="6" t="str">
        <x:v>22448.75</x:v>
      </x:c>
      <x:c r="BY599" s="9" t="str">
        <x:v>19.83269948679189</x:v>
      </x:c>
      <x:c r="BZ599" s="9" t="str">
        <x:v>0.37</x:v>
      </x:c>
      <x:c r="CA599" s="6" t="str">
        <x:v>22478.499049230188</x:v>
      </x:c>
      <x:c r="CB599" s="6" t="str">
        <x:v>29.749049230187666</x:v>
      </x:c>
      <x:c r="CC599" s="9" t="str">
        <x:v>1.4999999999999916</x:v>
      </x:c>
      <x:c r="CD599" s="6" t="str">
        <x:v>22389.251901539625</x:v>
      </x:c>
      <x:c r="CE599" s="6" t="str">
        <x:v>59.49809846037533</x:v>
      </x:c>
      <x:c r="CF599" s="6" t="str">
        <x:v>Fixed 2.00R target</x:v>
      </x:c>
      <x:c r="CG599" s="9" t="str">
        <x:v>0.024370526748273714</x:v>
      </x:c>
      <x:c r="CH599" s="9" t="str">
        <x:v>-0.46219964522587814</x:v>
      </x:c>
      <x:c r="CI599" s="9" t="str">
        <x:v>-0.48657017197415187</x:v>
      </x:c>
      <x:c r="CJ599" s="6" t="str">
        <x:v>Loss</x:v>
      </x:c>
      <x:c r="CK599" s="9" t="str">
        <x:v>1.2437372271532792</x:v>
      </x:c>
      <x:c r="CL599" s="9" t="str">
        <x:v>0.7059049127086179</x:v>
      </x:c>
      <x:c r="CM599" s="7" t="str">
        <x:v>2026-02-17 05:50:00-06:00</x:v>
      </x:c>
      <x:c r="CN599" s="6" t="str">
        <x:v>22462.5</x:v>
      </x:c>
      <x:c r="CO599" s="6" t="str">
        <x:v>TIME</x:v>
      </x:c>
      <x:c r="CP599" s="6" t="str">
        <x:v>F::Short::Same-bar Setup+BOS::Penetration + same-bar reclaim</x:v>
      </x:c>
    </x:row>
    <x:row r="600" ht="18" customHeight="1">
      <x:c r="A600" s="6" t="str">
        <x:v>A0599</x:v>
      </x:c>
      <x:c r="B600" s="6" t="str">
        <x:v>2026-02-18</x:v>
      </x:c>
      <x:c r="C600" s="6" t="str">
        <x:v>2026</x:v>
      </x:c>
      <x:c r="D600" s="6" t="str">
        <x:v>2026-Q1</x:v>
      </x:c>
      <x:c r="E600" s="6" t="str">
        <x:v>Second 50%</x:v>
      </x:c>
      <x:c r="F600" s="6" t="str">
        <x:v>Short</x:v>
      </x:c>
      <x:c r="G600" s="6" t="str">
        <x:v>Short</x:v>
      </x:c>
      <x:c r="H600" s="6" t="str">
        <x:v>Premarket</x:v>
      </x:c>
      <x:c r="I600" s="6" t="str">
        <x:v>Premarket</x:v>
      </x:c>
      <x:c r="J600" s="6" t="str">
        <x:v>Bull</x:v>
      </x:c>
      <x:c r="K600" s="6" t="str">
        <x:v>Bull</x:v>
      </x:c>
      <x:c r="L600" s="6" t="str">
        <x:v>HIGH</x:v>
      </x:c>
      <x:c r="M600" s="7" t="str">
        <x:v>2026-02-18 06:30:00-06:00</x:v>
      </x:c>
      <x:c r="N600" s="6" t="str">
        <x:v>90.0</x:v>
      </x:c>
      <x:c r="O600" s="6" t="str">
        <x:v>90-94</x:v>
      </x:c>
      <x:c r="P600" s="6" t="str">
        <x:v>Matching BOS only</x:v>
      </x:c>
      <x:c r="Q600" s="6" t="str">
        <x:v>Bear CHoCH</x:v>
      </x:c>
      <x:c r="R600" s="6" t="str">
        <x:v>True</x:v>
      </x:c>
      <x:c r="S600" s="6" t="str">
        <x:v>False</x:v>
      </x:c>
      <x:c r="T600" s="6" t="str">
        <x:v>Recent BSL</x:v>
      </x:c>
      <x:c r="U600" s="6" t="str">
        <x:v>BSL</x:v>
      </x:c>
      <x:c r="V600" s="6" t="str">
        <x:v>Equal high / buy-side | Swing high / buy-side</x:v>
      </x:c>
      <x:c r="W600" s="6" t="str">
        <x:v>[22781.0,22780.0]</x:v>
      </x:c>
      <x:c r="X600" s="8" t="str">
        <x:v>2</x:v>
      </x:c>
      <x:c r="Y600" s="8" t="str">
        <x:v>5.0</x:v>
      </x:c>
      <x:c r="Z600" s="6" t="str">
        <x:v>None</x:v>
      </x:c>
      <x:c r="AA600" s="6" t="str">
        <x:v>22729.25</x:v>
      </x:c>
      <x:c r="AB600" s="9" t="str">
        <x:v>1.8176637685231902</x:v>
      </x:c>
      <x:c r="AC600" s="9" t="str">
        <x:v>2.3778243009611546</x:v>
      </x:c>
      <x:c r="AD600" s="9" t="str">
        <x:v>2.732211576585173</x:v>
      </x:c>
      <x:c r="AE600" s="6" t="str">
        <x:v>With trade</x:v>
      </x:c>
      <x:c r="AF600" s="7" t="str">
        <x:v>2026-02-18 06:30:00-06:00</x:v>
      </x:c>
      <x:c r="AG600" s="6" t="str">
        <x:v>Short</x:v>
      </x:c>
      <x:c r="AH600" s="6" t="str">
        <x:v>22729.25</x:v>
      </x:c>
      <x:c r="AI600" s="8" t="str">
        <x:v>0</x:v>
      </x:c>
      <x:c r="AJ600" s="6" t="str">
        <x:v>True</x:v>
      </x:c>
      <x:c r="AK600" s="6" t="str">
        <x:v>Same-bar Setup+BOS</x:v>
      </x:c>
      <x:c r="AL600" s="9" t="str">
        <x:v>2.3206650629572807</x:v>
      </x:c>
      <x:c r="AM600" s="9" t="str">
        <x:v>1.8176637685231902</x:v>
      </x:c>
      <x:c r="AN600" s="9" t="str">
        <x:v>2.3778243009611546</x:v>
      </x:c>
      <x:c r="AO600" s="9" t="str">
        <x:v>2.732211576585173</x:v>
      </x:c>
      <x:c r="AP600" s="10" t="str">
        <x:v>0.8702928870292888</x:v>
      </x:c>
      <x:c r="AQ600" s="6" t="str">
        <x:v>0.029288702928870293</x:v>
      </x:c>
      <x:c r="AR600" s="6" t="str">
        <x:v>0.100418410041841</x:v>
      </x:c>
      <x:c r="AS600" s="6" t="str">
        <x:v>With trade</x:v>
      </x:c>
      <x:c r="AT600" s="6" t="str">
        <x:v>3.167073080617749</x:v>
      </x:c>
      <x:c r="AU600" s="7" t="str">
        <x:v>2026-02-18 06:40:00-06:00</x:v>
      </x:c>
      <x:c r="AV600" s="8" t="str">
        <x:v>2</x:v>
      </x:c>
      <x:c r="AW600" s="6" t="str">
        <x:v>Delayed retest (2+ bars)</x:v>
      </x:c>
      <x:c r="AX600" s="6" t="str">
        <x:v>22729.25</x:v>
      </x:c>
      <x:c r="AY600" s="6" t="str">
        <x:v>0.0</x:v>
      </x:c>
      <x:c r="AZ600" s="9" t="str">
        <x:v>0.0</x:v>
      </x:c>
      <x:c r="BA600" s="9" t="str">
        <x:v>0.23565431249329372</x:v>
      </x:c>
      <x:c r="BB600" s="9" t="str">
        <x:v>0.9313956160449227</x:v>
      </x:c>
      <x:c r="BC600" s="9" t="str">
        <x:v>0.415200455345327</x:v>
      </x:c>
      <x:c r="BD600" s="6" t="str">
        <x:v>0.25301204819277107</x:v>
      </x:c>
      <x:c r="BE600" s="6" t="str">
        <x:v>0.30120481927710846</x:v>
      </x:c>
      <x:c r="BF600" s="9" t="str">
        <x:v>0.23565431249329372</x:v>
      </x:c>
      <x:c r="BG600" s="9" t="str">
        <x:v>0.28054084820630204</x:v>
      </x:c>
      <x:c r="BH600" s="6" t="str">
        <x:v>Against trade</x:v>
      </x:c>
      <x:c r="BI600" s="6" t="str">
        <x:v>Exact BOS touch</x:v>
      </x:c>
      <x:c r="BJ600" s="6" t="str">
        <x:v>True</x:v>
      </x:c>
      <x:c r="BK600" s="10" t="str">
        <x:v>False</x:v>
      </x:c>
      <x:c r="BL600" s="6" t="str">
        <x:v>True</x:v>
      </x:c>
      <x:c r="BM600" s="7" t="str">
        <x:v>2026-02-18 06:45:00-06:00</x:v>
      </x:c>
      <x:c r="BN600" s="8" t="str">
        <x:v>1</x:v>
      </x:c>
      <x:c r="BO600" s="6" t="str">
        <x:v>Immediate confirmation (1 bar)</x:v>
      </x:c>
      <x:c r="BP600" s="9" t="str">
        <x:v>0.2669894756923924</x:v>
      </x:c>
      <x:c r="BQ600" s="9" t="str">
        <x:v>1.1124561487183016</x:v>
      </x:c>
      <x:c r="BR600" s="10" t="str">
        <x:v>0.24</x:v>
      </x:c>
      <x:c r="BS600" s="9" t="str">
        <x:v>0.5117298284104187</x:v>
      </x:c>
      <x:c r="BT600" s="9" t="str">
        <x:v>0.2781140371795754</x:v>
      </x:c>
      <x:c r="BU600" s="9" t="str">
        <x:v>0.30036316015394143</x:v>
      </x:c>
      <x:c r="BV600" s="6" t="str">
        <x:v>With trade</x:v>
      </x:c>
      <x:c r="BW600" s="7" t="str">
        <x:v>2026-02-18 06:45:00-06:00</x:v>
      </x:c>
      <x:c r="BX600" s="6" t="str">
        <x:v>22717.75</x:v>
      </x:c>
      <x:c r="BY600" s="9" t="str">
        <x:v>22.4727959199141</x:v>
      </x:c>
      <x:c r="BZ600" s="9" t="str">
        <x:v>1.0</x:v>
      </x:c>
      <x:c r="CA600" s="6" t="str">
        <x:v>22751.45919387987</x:v>
      </x:c>
      <x:c r="CB600" s="6" t="str">
        <x:v>33.70919387986942</x:v>
      </x:c>
      <x:c r="CC600" s="9" t="str">
        <x:v>1.499999999999923</x:v>
      </x:c>
      <x:c r="CD600" s="6" t="str">
        <x:v>22650.331612240258</x:v>
      </x:c>
      <x:c r="CE600" s="6" t="str">
        <x:v>67.41838775974247</x:v>
      </x:c>
      <x:c r="CF600" s="6" t="str">
        <x:v>Fixed 2.00R target</x:v>
      </x:c>
      <x:c r="CG600" s="9" t="str">
        <x:v>0.02150748554188827</x:v>
      </x:c>
      <x:c r="CH600" s="9" t="str">
        <x:v>-1.0</x:v>
      </x:c>
      <x:c r="CI600" s="9" t="str">
        <x:v>-1.0215074855418882</x:v>
      </x:c>
      <x:c r="CJ600" s="6" t="str">
        <x:v>Loss</x:v>
      </x:c>
      <x:c r="CK600" s="9" t="str">
        <x:v>0.3337368446155076</x:v>
      </x:c>
      <x:c r="CL600" s="9" t="str">
        <x:v>1.290449132513296</x:v>
      </x:c>
      <x:c r="CM600" s="7" t="str">
        <x:v>2026-02-18 07:30:00-06:00</x:v>
      </x:c>
      <x:c r="CN600" s="6" t="str">
        <x:v>22751.45919387987</x:v>
      </x:c>
      <x:c r="CO600" s="6" t="str">
        <x:v>STOP</x:v>
      </x:c>
      <x:c r="CP600" s="6" t="str">
        <x:v>F::Short::Same-bar Setup+BOS::Exact BOS touch</x:v>
      </x:c>
    </x:row>
    <x:row r="601" ht="18" customHeight="1">
      <x:c r="A601" s="6" t="str">
        <x:v>A0600</x:v>
      </x:c>
      <x:c r="B601" s="6" t="str">
        <x:v>2026-02-18</x:v>
      </x:c>
      <x:c r="C601" s="6" t="str">
        <x:v>2026</x:v>
      </x:c>
      <x:c r="D601" s="6" t="str">
        <x:v>2026-Q1</x:v>
      </x:c>
      <x:c r="E601" s="6" t="str">
        <x:v>Second 50%</x:v>
      </x:c>
      <x:c r="F601" s="6" t="str">
        <x:v>Short</x:v>
      </x:c>
      <x:c r="G601" s="6" t="str">
        <x:v>Short</x:v>
      </x:c>
      <x:c r="H601" s="6" t="str">
        <x:v>Premarket</x:v>
      </x:c>
      <x:c r="I601" s="6" t="str">
        <x:v>Premarket</x:v>
      </x:c>
      <x:c r="J601" s="6" t="str">
        <x:v>Bull</x:v>
      </x:c>
      <x:c r="K601" s="6" t="str">
        <x:v>Bull</x:v>
      </x:c>
      <x:c r="L601" s="6" t="str">
        <x:v>HIGH</x:v>
      </x:c>
      <x:c r="M601" s="7" t="str">
        <x:v>2026-02-18 07:45:00-06:00</x:v>
      </x:c>
      <x:c r="N601" s="6" t="str">
        <x:v>90.0</x:v>
      </x:c>
      <x:c r="O601" s="6" t="str">
        <x:v>90-94</x:v>
      </x:c>
      <x:c r="P601" s="6" t="str">
        <x:v>Matching BOS only</x:v>
      </x:c>
      <x:c r="Q601" s="6" t="str">
        <x:v>Bear BOS</x:v>
      </x:c>
      <x:c r="R601" s="6" t="str">
        <x:v>True</x:v>
      </x:c>
      <x:c r="S601" s="6" t="str">
        <x:v>False</x:v>
      </x:c>
      <x:c r="T601" s="6" t="str">
        <x:v>Recent BSL</x:v>
      </x:c>
      <x:c r="U601" s="6" t="str">
        <x:v>BSL</x:v>
      </x:c>
      <x:c r="V601" s="6" t="str">
        <x:v>Equal high / buy-side | Swing high / buy-side</x:v>
      </x:c>
      <x:c r="W601" s="6" t="str">
        <x:v>[22781.0,22780.0]</x:v>
      </x:c>
      <x:c r="X601" s="8" t="str">
        <x:v>2</x:v>
      </x:c>
      <x:c r="Y601" s="8" t="str">
        <x:v>20.0</x:v>
      </x:c>
      <x:c r="Z601" s="6" t="str">
        <x:v>None</x:v>
      </x:c>
      <x:c r="AA601" s="6" t="str">
        <x:v>22683.5</x:v>
      </x:c>
      <x:c r="AB601" s="9" t="str">
        <x:v>0.6951312819075752</x:v>
      </x:c>
      <x:c r="AC601" s="9" t="str">
        <x:v>0.8966186099967275</x:v>
      </x:c>
      <x:c r="AD601" s="9" t="str">
        <x:v>1.1988496021304558</x:v>
      </x:c>
      <x:c r="AE601" s="6" t="str">
        <x:v>With trade</x:v>
      </x:c>
      <x:c r="AF601" s="7" t="str">
        <x:v>2026-02-18 07:45:00-06:00</x:v>
      </x:c>
      <x:c r="AG601" s="6" t="str">
        <x:v>Short</x:v>
      </x:c>
      <x:c r="AH601" s="6" t="str">
        <x:v>22683.5</x:v>
      </x:c>
      <x:c r="AI601" s="8" t="str">
        <x:v>0</x:v>
      </x:c>
      <x:c r="AJ601" s="6" t="str">
        <x:v>True</x:v>
      </x:c>
      <x:c r="AK601" s="6" t="str">
        <x:v>Same-bar Setup+BOS</x:v>
      </x:c>
      <x:c r="AL601" s="9" t="str">
        <x:v>0.8462467779744394</x:v>
      </x:c>
      <x:c r="AM601" s="9" t="str">
        <x:v>0.6951312819075752</x:v>
      </x:c>
      <x:c r="AN601" s="9" t="str">
        <x:v>0.8966186099967275</x:v>
      </x:c>
      <x:c r="AO601" s="9" t="str">
        <x:v>1.1988496021304558</x:v>
      </x:c>
      <x:c r="AP601" s="10" t="str">
        <x:v>0.7478991596638656</x:v>
      </x:c>
      <x:c r="AQ601" s="6" t="str">
        <x:v>0.16806722689075632</x:v>
      </x:c>
      <x:c r="AR601" s="6" t="str">
        <x:v>0.08403361344537816</x:v>
      </x:c>
      <x:c r="AS601" s="6" t="str">
        <x:v>With trade</x:v>
      </x:c>
      <x:c r="AT601" s="6" t="str">
        <x:v>1.5301489284416998</x:v>
      </x:c>
      <x:c r="AU601" s="7" t="str">
        <x:v>2026-02-18 08:05:00-06:00</x:v>
      </x:c>
      <x:c r="AV601" s="8" t="str">
        <x:v>4</x:v>
      </x:c>
      <x:c r="AW601" s="6" t="str">
        <x:v>Delayed retest (2+ bars)</x:v>
      </x:c>
      <x:c r="AX601" s="6" t="str">
        <x:v>22681.25</x:v>
      </x:c>
      <x:c r="AY601" s="6" t="str">
        <x:v>0.0</x:v>
      </x:c>
      <x:c r="AZ601" s="9" t="str">
        <x:v>0.0</x:v>
      </x:c>
      <x:c r="BA601" s="9" t="str">
        <x:v>0.278422361901647</x:v>
      </x:c>
      <x:c r="BB601" s="9" t="str">
        <x:v>0.5033019618991311</x:v>
      </x:c>
      <x:c r="BC601" s="9" t="str">
        <x:v>0.17133683809332123</x:v>
      </x:c>
      <x:c r="BD601" s="6" t="str">
        <x:v>0.3617021276595745</x:v>
      </x:c>
      <x:c r="BE601" s="6" t="str">
        <x:v>0.2978723404255319</x:v>
      </x:c>
      <x:c r="BF601" s="9" t="str">
        <x:v>0.1820453904741538</x:v>
      </x:c>
      <x:c r="BG601" s="9" t="str">
        <x:v>0.14991973333165606</x:v>
      </x:c>
      <x:c r="BH601" s="6" t="str">
        <x:v>Against trade</x:v>
      </x:c>
      <x:c r="BI601" s="6" t="str">
        <x:v>Tolerance-only shallow touch</x:v>
      </x:c>
      <x:c r="BJ601" s="6" t="str">
        <x:v>True</x:v>
      </x:c>
      <x:c r="BK601" s="10" t="str">
        <x:v>False</x:v>
      </x:c>
      <x:c r="BL601" s="6" t="str">
        <x:v>True</x:v>
      </x:c>
      <x:c r="BM601" s="7" t="str">
        <x:v>2026-02-18 08:10:00-06:00</x:v>
      </x:c>
      <x:c r="BN601" s="8" t="str">
        <x:v>1</x:v>
      </x:c>
      <x:c r="BO601" s="6" t="str">
        <x:v>Immediate confirmation (1 bar)</x:v>
      </x:c>
      <x:c r="BP601" s="9" t="str">
        <x:v>0.23969189646673822</x:v>
      </x:c>
      <x:c r="BQ601" s="9" t="str">
        <x:v>0.7735511204153824</x:v>
      </x:c>
      <x:c r="BR601" s="10" t="str">
        <x:v>0.30985915492957744</x:v>
      </x:c>
      <x:c r="BS601" s="9" t="str">
        <x:v>0.5120690515425771</x:v>
      </x:c>
      <x:c r="BT601" s="9" t="str">
        <x:v>0.22879681026370466</x:v>
      </x:c>
      <x:c r="BU601" s="9" t="str">
        <x:v>0.18521646545157044</x:v>
      </x:c>
      <x:c r="BV601" s="6" t="str">
        <x:v>With trade</x:v>
      </x:c>
      <x:c r="BW601" s="7" t="str">
        <x:v>2026-02-18 08:10:00-06:00</x:v>
      </x:c>
      <x:c r="BX601" s="6" t="str">
        <x:v>22671.75</x:v>
      </x:c>
      <x:c r="BY601" s="9" t="str">
        <x:v>22.946124091279945</x:v>
      </x:c>
      <x:c r="BZ601" s="9" t="str">
        <x:v>0.92</x:v>
      </x:c>
      <x:c r="CA601" s="6" t="str">
        <x:v>22706.169186136918</x:v>
      </x:c>
      <x:c r="CB601" s="6" t="str">
        <x:v>34.41918613691814</x:v>
      </x:c>
      <x:c r="CC601" s="9" t="str">
        <x:v>1.4999999999999227</x:v>
      </x:c>
      <x:c r="CD601" s="6" t="str">
        <x:v>22602.91162772616</x:v>
      </x:c>
      <x:c r="CE601" s="6" t="str">
        <x:v>68.83837227383992</x:v>
      </x:c>
      <x:c r="CF601" s="6" t="str">
        <x:v>Fixed 2.00R target</x:v>
      </x:c>
      <x:c r="CG601" s="9" t="str">
        <x:v>0.02106383332586596</x:v>
      </x:c>
      <x:c r="CH601" s="9" t="str">
        <x:v>2.0</x:v>
      </x:c>
      <x:c r="CI601" s="9" t="str">
        <x:v>1.978936166674134</x:v>
      </x:c>
      <x:c r="CJ601" s="6" t="str">
        <x:v>Win</x:v>
      </x:c>
      <x:c r="CK601" s="9" t="str">
        <x:v>2.331548447449301</x:v>
      </x:c>
      <x:c r="CL601" s="9" t="str">
        <x:v>0.46485701132945567</x:v>
      </x:c>
      <x:c r="CM601" s="7" t="str">
        <x:v>2026-02-18 08:30:00-06:00</x:v>
      </x:c>
      <x:c r="CN601" s="6" t="str">
        <x:v>22602.91162772616</x:v>
      </x:c>
      <x:c r="CO601" s="6" t="str">
        <x:v>TARGET</x:v>
      </x:c>
      <x:c r="CP601" s="6" t="str">
        <x:v>F::Short::Same-bar Setup+BOS::Tolerance-only shallow touch</x:v>
      </x:c>
    </x:row>
    <x:row r="602" ht="18" customHeight="1">
      <x:c r="A602" s="6" t="str">
        <x:v>A0601</x:v>
      </x:c>
      <x:c r="B602" s="6" t="str">
        <x:v>2026-02-18</x:v>
      </x:c>
      <x:c r="C602" s="6" t="str">
        <x:v>2026</x:v>
      </x:c>
      <x:c r="D602" s="6" t="str">
        <x:v>2026-Q1</x:v>
      </x:c>
      <x:c r="E602" s="6" t="str">
        <x:v>Second 50%</x:v>
      </x:c>
      <x:c r="F602" s="6" t="str">
        <x:v>Short</x:v>
      </x:c>
      <x:c r="G602" s="6" t="str">
        <x:v>Short</x:v>
      </x:c>
      <x:c r="H602" s="6" t="str">
        <x:v>Midday</x:v>
      </x:c>
      <x:c r="I602" s="6" t="str">
        <x:v>Midday</x:v>
      </x:c>
      <x:c r="J602" s="6" t="str">
        <x:v>Bull</x:v>
      </x:c>
      <x:c r="K602" s="6" t="str">
        <x:v>Bull</x:v>
      </x:c>
      <x:c r="L602" s="6" t="str">
        <x:v>MID</x:v>
      </x:c>
      <x:c r="M602" s="7" t="str">
        <x:v>2026-02-18 12:25:00-06:00</x:v>
      </x:c>
      <x:c r="N602" s="6" t="str">
        <x:v>85.0</x:v>
      </x:c>
      <x:c r="O602" s="6" t="str">
        <x:v>85-89</x:v>
      </x:c>
      <x:c r="P602" s="6" t="str">
        <x:v>Matching BOS only</x:v>
      </x:c>
      <x:c r="Q602" s="6" t="str">
        <x:v>Bear BOS</x:v>
      </x:c>
      <x:c r="R602" s="6" t="str">
        <x:v>True</x:v>
      </x:c>
      <x:c r="S602" s="6" t="str">
        <x:v>False</x:v>
      </x:c>
      <x:c r="T602" s="6" t="str">
        <x:v>Recent BSL</x:v>
      </x:c>
      <x:c r="U602" s="6" t="str">
        <x:v>BSL</x:v>
      </x:c>
      <x:c r="V602" s="6" t="str">
        <x:v>Swing high / buy-side</x:v>
      </x:c>
      <x:c r="W602" s="6" t="str">
        <x:v>[22956.75]</x:v>
      </x:c>
      <x:c r="X602" s="8" t="str">
        <x:v>1</x:v>
      </x:c>
      <x:c r="Y602" s="8" t="str">
        <x:v>16.0</x:v>
      </x:c>
      <x:c r="Z602" s="6" t="str">
        <x:v>None</x:v>
      </x:c>
      <x:c r="AA602" s="6" t="str">
        <x:v>22909.25</x:v>
      </x:c>
      <x:c r="AB602" s="9" t="str">
        <x:v>0.2773183791738092</x:v>
      </x:c>
      <x:c r="AC602" s="9" t="str">
        <x:v>0.32867363457636645</x:v>
      </x:c>
      <x:c r="AD602" s="9" t="str">
        <x:v>1.1195445677757483</x:v>
      </x:c>
      <x:c r="AE602" s="6" t="str">
        <x:v>With trade</x:v>
      </x:c>
      <x:c r="AF602" s="7" t="str">
        <x:v>2026-02-18 12:25:00-06:00</x:v>
      </x:c>
      <x:c r="AG602" s="6" t="str">
        <x:v>Short</x:v>
      </x:c>
      <x:c r="AH602" s="6" t="str">
        <x:v>22909.25</x:v>
      </x:c>
      <x:c r="AI602" s="8" t="str">
        <x:v>0</x:v>
      </x:c>
      <x:c r="AJ602" s="6" t="str">
        <x:v>True</x:v>
      </x:c>
      <x:c r="AK602" s="6" t="str">
        <x:v>Same-bar Setup+BOS</x:v>
      </x:c>
      <x:c r="AL602" s="9" t="str">
        <x:v>0.3389446856568779</x:v>
      </x:c>
      <x:c r="AM602" s="9" t="str">
        <x:v>0.2773183791738092</x:v>
      </x:c>
      <x:c r="AN602" s="9" t="str">
        <x:v>0.32867363457636645</x:v>
      </x:c>
      <x:c r="AO602" s="9" t="str">
        <x:v>1.1195445677757483</x:v>
      </x:c>
      <x:c r="AP602" s="10" t="str">
        <x:v>0.29357798165137616</x:v>
      </x:c>
      <x:c r="AQ602" s="6" t="str">
        <x:v>0.26605504587155965</x:v>
      </x:c>
      <x:c r="AR602" s="6" t="str">
        <x:v>0.44036697247706424</x:v>
      </x:c>
      <x:c r="AS602" s="6" t="str">
        <x:v>With trade</x:v>
      </x:c>
      <x:c r="AT602" s="6" t="str">
        <x:v>1.4843565850055787</x:v>
      </x:c>
      <x:c r="AU602" s="7" t="str">
        <x:v>2026-02-18 12:30:00-06:00</x:v>
      </x:c>
      <x:c r="AV602" s="8" t="str">
        <x:v>1</x:v>
      </x:c>
      <x:c r="AW602" s="6" t="str">
        <x:v>Immediate retest (1 bar)</x:v>
      </x:c>
      <x:c r="AX602" s="6" t="str">
        <x:v>22912.25</x:v>
      </x:c>
      <x:c r="AY602" s="6" t="str">
        <x:v>3.0</x:v>
      </x:c>
      <x:c r="AZ602" s="9" t="str">
        <x:v>0.12265520055294449</x:v>
      </x:c>
      <x:c r="BA602" s="9" t="str">
        <x:v>0.4497357353607964</x:v>
      </x:c>
      <x:c r="BB602" s="9" t="str">
        <x:v>1.0630117381255189</x:v>
      </x:c>
      <x:c r="BC602" s="9" t="str">
        <x:v>0.18398280082941673</x:v>
      </x:c>
      <x:c r="BD602" s="6" t="str">
        <x:v>0.36538461538461536</x:v>
      </x:c>
      <x:c r="BE602" s="6" t="str">
        <x:v>0.46153846153846156</x:v>
      </x:c>
      <x:c r="BF602" s="9" t="str">
        <x:v>0.3884081350843242</x:v>
      </x:c>
      <x:c r="BG602" s="9" t="str">
        <x:v>0.49062080221177795</x:v>
      </x:c>
      <x:c r="BH602" s="6" t="str">
        <x:v>With trade</x:v>
      </x:c>
      <x:c r="BI602" s="6" t="str">
        <x:v>Penetration + same-bar reclaim</x:v>
      </x:c>
      <x:c r="BJ602" s="6" t="str">
        <x:v>False</x:v>
      </x:c>
      <x:c r="BK602" s="10" t="str">
        <x:v>True</x:v>
      </x:c>
      <x:c r="BL602" s="6" t="str">
        <x:v>True</x:v>
      </x:c>
      <x:c r="BM602" s="7" t="str">
        <x:v>2026-02-18 12:40:00-06:00</x:v>
      </x:c>
      <x:c r="BN602" s="8" t="str">
        <x:v>2</x:v>
      </x:c>
      <x:c r="BO602" s="6" t="str">
        <x:v>Delayed confirmation (2+ bars)</x:v>
      </x:c>
      <x:c r="BP602" s="9" t="str">
        <x:v>1.2124988171909126</x:v>
      </x:c>
      <x:c r="BQ602" s="9" t="str">
        <x:v>2.065037048028273</x:v>
      </x:c>
      <x:c r="BR602" s="10" t="str">
        <x:v>0.5871559633027523</x:v>
      </x:c>
      <x:c r="BS602" s="9" t="str">
        <x:v>1.5250961684979447</x:v>
      </x:c>
      <x:c r="BT602" s="9" t="str">
        <x:v>1.1082997000885686</x:v>
      </x:c>
      <x:c r="BU602" s="9" t="str">
        <x:v>0.09472647009304004</x:v>
      </x:c>
      <x:c r="BV602" s="6" t="str">
        <x:v>With trade</x:v>
      </x:c>
      <x:c r="BW602" s="7" t="str">
        <x:v>2026-02-18 12:40:00-06:00</x:v>
      </x:c>
      <x:c r="BX602" s="6" t="str">
        <x:v>22869.0</x:v>
      </x:c>
      <x:c r="BY602" s="9" t="str">
        <x:v>26.391778322833183</x:v>
      </x:c>
      <x:c r="BZ602" s="9" t="str">
        <x:v>0.6</x:v>
      </x:c>
      <x:c r="CA602" s="6" t="str">
        <x:v>22908.58766748425</x:v>
      </x:c>
      <x:c r="CB602" s="6" t="str">
        <x:v>39.58766748425114</x:v>
      </x:c>
      <x:c r="CC602" s="9" t="str">
        <x:v>1.5000000000000517</x:v>
      </x:c>
      <x:c r="CD602" s="6" t="str">
        <x:v>22789.8246650315</x:v>
      </x:c>
      <x:c r="CE602" s="6" t="str">
        <x:v>79.17533496849865</x:v>
      </x:c>
      <x:c r="CF602" s="6" t="str">
        <x:v>Fixed 2.00R target</x:v>
      </x:c>
      <x:c r="CG602" s="9" t="str">
        <x:v>0.01831378421798711</x:v>
      </x:c>
      <x:c r="CH602" s="9" t="str">
        <x:v>2.0</x:v>
      </x:c>
      <x:c r="CI602" s="9" t="str">
        <x:v>1.981686215782013</x:v>
      </x:c>
      <x:c r="CJ602" s="6" t="str">
        <x:v>Win</x:v>
      </x:c>
      <x:c r="CK602" s="9" t="str">
        <x:v>2.93652057288414</x:v>
      </x:c>
      <x:c r="CL602" s="9" t="str">
        <x:v>0.4799474484713863</x:v>
      </x:c>
      <x:c r="CM602" s="7" t="str">
        <x:v>2026-02-18 13:35:00-06:00</x:v>
      </x:c>
      <x:c r="CN602" s="6" t="str">
        <x:v>22789.8246650315</x:v>
      </x:c>
      <x:c r="CO602" s="6" t="str">
        <x:v>TARGET</x:v>
      </x:c>
      <x:c r="CP602" s="6" t="str">
        <x:v>F::Short::Same-bar Setup+BOS::Penetration + same-bar reclaim</x:v>
      </x:c>
    </x:row>
    <x:row r="603" ht="18" customHeight="1">
      <x:c r="A603" s="6" t="str">
        <x:v>A0602</x:v>
      </x:c>
      <x:c r="B603" s="6" t="str">
        <x:v>2026-02-18</x:v>
      </x:c>
      <x:c r="C603" s="6" t="str">
        <x:v>2026</x:v>
      </x:c>
      <x:c r="D603" s="6" t="str">
        <x:v>2026-Q1</x:v>
      </x:c>
      <x:c r="E603" s="6" t="str">
        <x:v>Second 50%</x:v>
      </x:c>
      <x:c r="F603" s="6" t="str">
        <x:v>Short</x:v>
      </x:c>
      <x:c r="G603" s="6" t="str">
        <x:v>Short</x:v>
      </x:c>
      <x:c r="H603" s="6" t="str">
        <x:v>Overnight</x:v>
      </x:c>
      <x:c r="I603" s="6" t="str">
        <x:v>Overnight</x:v>
      </x:c>
      <x:c r="J603" s="6" t="str">
        <x:v>Bull</x:v>
      </x:c>
      <x:c r="K603" s="6" t="str">
        <x:v>Bull</x:v>
      </x:c>
      <x:c r="L603" s="6" t="str">
        <x:v>LOW</x:v>
      </x:c>
      <x:c r="M603" s="7" t="str">
        <x:v>2026-02-18 22:45:00-06:00</x:v>
      </x:c>
      <x:c r="N603" s="6" t="str">
        <x:v>90.0</x:v>
      </x:c>
      <x:c r="O603" s="6" t="str">
        <x:v>90-94</x:v>
      </x:c>
      <x:c r="P603" s="6" t="str">
        <x:v>Matching BOS only</x:v>
      </x:c>
      <x:c r="Q603" s="6" t="str">
        <x:v>Bear CHoCH</x:v>
      </x:c>
      <x:c r="R603" s="6" t="str">
        <x:v>True</x:v>
      </x:c>
      <x:c r="S603" s="6" t="str">
        <x:v>False</x:v>
      </x:c>
      <x:c r="T603" s="6" t="str">
        <x:v>Recent BSL</x:v>
      </x:c>
      <x:c r="U603" s="6" t="str">
        <x:v>BSL</x:v>
      </x:c>
      <x:c r="V603" s="6" t="str">
        <x:v>Swing high / buy-side</x:v>
      </x:c>
      <x:c r="W603" s="6" t="str">
        <x:v>[22837.5]</x:v>
      </x:c>
      <x:c r="X603" s="8" t="str">
        <x:v>1</x:v>
      </x:c>
      <x:c r="Y603" s="8" t="str">
        <x:v>15.0</x:v>
      </x:c>
      <x:c r="Z603" s="6" t="str">
        <x:v>None</x:v>
      </x:c>
      <x:c r="AA603" s="6" t="str">
        <x:v>22805.5</x:v>
      </x:c>
      <x:c r="AB603" s="9" t="str">
        <x:v>0.20907065130053568</x:v>
      </x:c>
      <x:c r="AC603" s="9" t="str">
        <x:v>0.8130525328354165</x:v>
      </x:c>
      <x:c r="AD603" s="9" t="str">
        <x:v>1.3705742696368448</x:v>
      </x:c>
      <x:c r="AE603" s="6" t="str">
        <x:v>With trade</x:v>
      </x:c>
      <x:c r="AF603" s="7" t="str">
        <x:v>2026-02-18 22:45:00-06:00</x:v>
      </x:c>
      <x:c r="AG603" s="6" t="str">
        <x:v>Short</x:v>
      </x:c>
      <x:c r="AH603" s="6" t="str">
        <x:v>22805.5</x:v>
      </x:c>
      <x:c r="AI603" s="8" t="str">
        <x:v>0</x:v>
      </x:c>
      <x:c r="AJ603" s="6" t="str">
        <x:v>True</x:v>
      </x:c>
      <x:c r="AK603" s="6" t="str">
        <x:v>Same-bar Setup+BOS</x:v>
      </x:c>
      <x:c r="AL603" s="9" t="str">
        <x:v>0.8595126775688688</x:v>
      </x:c>
      <x:c r="AM603" s="9" t="str">
        <x:v>0.20907065130053568</x:v>
      </x:c>
      <x:c r="AN603" s="9" t="str">
        <x:v>0.8130525328354165</x:v>
      </x:c>
      <x:c r="AO603" s="9" t="str">
        <x:v>1.3705742696368448</x:v>
      </x:c>
      <x:c r="AP603" s="10" t="str">
        <x:v>0.5932203389830508</x:v>
      </x:c>
      <x:c r="AQ603" s="6" t="str">
        <x:v>0.1864406779661017</x:v>
      </x:c>
      <x:c r="AR603" s="6" t="str">
        <x:v>0.22033898305084745</x:v>
      </x:c>
      <x:c r="AS603" s="6" t="str">
        <x:v>With trade</x:v>
      </x:c>
      <x:c r="AT603" s="6" t="str">
        <x:v>1.3868225292242295</x:v>
      </x:c>
      <x:c r="AU603" s="7" t="str">
        <x:v>2026-02-18 22:50:00-06:00</x:v>
      </x:c>
      <x:c r="AV603" s="8" t="str">
        <x:v>1</x:v>
      </x:c>
      <x:c r="AW603" s="6" t="str">
        <x:v>Immediate retest (1 bar)</x:v>
      </x:c>
      <x:c r="AX603" s="6" t="str">
        <x:v>22805.0</x:v>
      </x:c>
      <x:c r="AY603" s="6" t="str">
        <x:v>0.0</x:v>
      </x:c>
      <x:c r="AZ603" s="9" t="str">
        <x:v>0.0</x:v>
      </x:c>
      <x:c r="BA603" s="9" t="str">
        <x:v>0.3686518018791809</x:v>
      </x:c>
      <x:c r="BB603" s="9" t="str">
        <x:v>1.1059554056375427</x:v>
      </x:c>
      <x:c r="BC603" s="9" t="str">
        <x:v>0.2995295890268345</x:v>
      </x:c>
      <x:c r="BD603" s="6" t="str">
        <x:v>0.020833333333333332</x:v>
      </x:c>
      <x:c r="BE603" s="6" t="str">
        <x:v>0.7083333333333334</x:v>
      </x:c>
      <x:c r="BF603" s="9" t="str">
        <x:v>0.023040737617448806</x:v>
      </x:c>
      <x:c r="BG603" s="9" t="str">
        <x:v>0.7833850789932595</x:v>
      </x:c>
      <x:c r="BH603" s="6" t="str">
        <x:v>With trade</x:v>
      </x:c>
      <x:c r="BI603" s="6" t="str">
        <x:v>Tolerance-only shallow touch</x:v>
      </x:c>
      <x:c r="BJ603" s="6" t="str">
        <x:v>True</x:v>
      </x:c>
      <x:c r="BK603" s="10" t="str">
        <x:v>False</x:v>
      </x:c>
      <x:c r="BL603" s="6" t="str">
        <x:v>True</x:v>
      </x:c>
      <x:c r="BM603" s="7" t="str">
        <x:v>2026-02-18 22:55:00-06:00</x:v>
      </x:c>
      <x:c r="BN603" s="8" t="str">
        <x:v>1</x:v>
      </x:c>
      <x:c r="BO603" s="6" t="str">
        <x:v>Immediate confirmation (1 bar)</x:v>
      </x:c>
      <x:c r="BP603" s="9" t="str">
        <x:v>0.6034302211038854</x:v>
      </x:c>
      <x:c r="BQ603" s="9" t="str">
        <x:v>0.9051453316558282</x:v>
      </x:c>
      <x:c r="BR603" s="10" t="str">
        <x:v>0.6666666666666666</x:v>
      </x:c>
      <x:c r="BS603" s="9" t="str">
        <x:v>0.92835418631367</x:v>
      </x:c>
      <x:c r="BT603" s="9" t="str">
        <x:v>0.557012511788202</x:v>
      </x:c>
      <x:c r="BU603" s="9" t="str">
        <x:v>0.16246198260489222</x:v>
      </x:c>
      <x:c r="BV603" s="6" t="str">
        <x:v>With trade</x:v>
      </x:c>
      <x:c r="BW603" s="7" t="str">
        <x:v>2026-02-18 22:55:00-06:00</x:v>
      </x:c>
      <x:c r="BX603" s="6" t="str">
        <x:v>22795.5</x:v>
      </x:c>
      <x:c r="BY603" s="9" t="str">
        <x:v>10.77175085482</x:v>
      </x:c>
      <x:c r="BZ603" s="9" t="str">
        <x:v>0.05</x:v>
      </x:c>
      <x:c r="CA603" s="6" t="str">
        <x:v>22811.65762628223</x:v>
      </x:c>
      <x:c r="CB603" s="6" t="str">
        <x:v>16.157626282230922</x:v>
      </x:c>
      <x:c r="CC603" s="9" t="str">
        <x:v>1.5000000000000855</x:v>
      </x:c>
      <x:c r="CD603" s="6" t="str">
        <x:v>22763.18474743554</x:v>
      </x:c>
      <x:c r="CE603" s="6" t="str">
        <x:v>32.315252564458206</x:v>
      </x:c>
      <x:c r="CF603" s="6" t="str">
        <x:v>Fixed 2.00R target</x:v>
      </x:c>
      <x:c r="CG603" s="9" t="str">
        <x:v>0.04487045233849149</x:v>
      </x:c>
      <x:c r="CH603" s="9" t="str">
        <x:v>-1.0</x:v>
      </x:c>
      <x:c r="CI603" s="9" t="str">
        <x:v>-1.0448704523384915</x:v>
      </x:c>
      <x:c r="CJ603" s="6" t="str">
        <x:v>Loss</x:v>
      </x:c>
      <x:c r="CK603" s="9" t="str">
        <x:v>0.9438267560855106</x:v>
      </x:c>
      <x:c r="CL603" s="9" t="str">
        <x:v>1.206860442207702</x:v>
      </x:c>
      <x:c r="CM603" s="7" t="str">
        <x:v>2026-02-18 23:25:00-06:00</x:v>
      </x:c>
      <x:c r="CN603" s="6" t="str">
        <x:v>22811.65762628223</x:v>
      </x:c>
      <x:c r="CO603" s="6" t="str">
        <x:v>STOP</x:v>
      </x:c>
      <x:c r="CP603" s="6" t="str">
        <x:v>F::Short::Same-bar Setup+BOS::Tolerance-only shallow touch</x:v>
      </x:c>
    </x:row>
    <x:row r="604" ht="18" customHeight="1">
      <x:c r="A604" s="6" t="str">
        <x:v>A0603</x:v>
      </x:c>
      <x:c r="B604" s="6" t="str">
        <x:v>2026-02-19</x:v>
      </x:c>
      <x:c r="C604" s="6" t="str">
        <x:v>2026</x:v>
      </x:c>
      <x:c r="D604" s="6" t="str">
        <x:v>2026-Q1</x:v>
      </x:c>
      <x:c r="E604" s="6" t="str">
        <x:v>Second 50%</x:v>
      </x:c>
      <x:c r="F604" s="6" t="str">
        <x:v>Short</x:v>
      </x:c>
      <x:c r="G604" s="6" t="str">
        <x:v>Short</x:v>
      </x:c>
      <x:c r="H604" s="6" t="str">
        <x:v>Overnight</x:v>
      </x:c>
      <x:c r="I604" s="6" t="str">
        <x:v>Overnight</x:v>
      </x:c>
      <x:c r="J604" s="6" t="str">
        <x:v>Bull</x:v>
      </x:c>
      <x:c r="K604" s="6" t="str">
        <x:v>Bull</x:v>
      </x:c>
      <x:c r="L604" s="6" t="str">
        <x:v>HIGH</x:v>
      </x:c>
      <x:c r="M604" s="7" t="str">
        <x:v>2026-02-19 02:40:00-06:00</x:v>
      </x:c>
      <x:c r="N604" s="6" t="str">
        <x:v>75.0</x:v>
      </x:c>
      <x:c r="O604" s="6" t="str">
        <x:v>75-79</x:v>
      </x:c>
      <x:c r="P604" s="6" t="str">
        <x:v>Matching BOS only</x:v>
      </x:c>
      <x:c r="Q604" s="6" t="str">
        <x:v>Bear CHoCH</x:v>
      </x:c>
      <x:c r="R604" s="6" t="str">
        <x:v>True</x:v>
      </x:c>
      <x:c r="S604" s="6" t="str">
        <x:v>False</x:v>
      </x:c>
      <x:c r="T604" s="6" t="str">
        <x:v>Recent BSL</x:v>
      </x:c>
      <x:c r="U604" s="6" t="str">
        <x:v>BSL</x:v>
      </x:c>
      <x:c r="V604" s="6" t="str">
        <x:v>Swing high / buy-side</x:v>
      </x:c>
      <x:c r="W604" s="6" t="str">
        <x:v>[22886.75]</x:v>
      </x:c>
      <x:c r="X604" s="8" t="str">
        <x:v>1</x:v>
      </x:c>
      <x:c r="Y604" s="8" t="str">
        <x:v>4.0</x:v>
      </x:c>
      <x:c r="Z604" s="6" t="str">
        <x:v>None</x:v>
      </x:c>
      <x:c r="AA604" s="6" t="str">
        <x:v>22851.25</x:v>
      </x:c>
      <x:c r="AB604" s="9" t="str">
        <x:v>0.10624805008927807</x:v>
      </x:c>
      <x:c r="AC604" s="9" t="str">
        <x:v>0.6197802921874555</x:v>
      </x:c>
      <x:c r="AD604" s="9" t="str">
        <x:v>1.1864365593302717</x:v>
      </x:c>
      <x:c r="AE604" s="6" t="str">
        <x:v>With trade</x:v>
      </x:c>
      <x:c r="AF604" s="7" t="str">
        <x:v>2026-02-19 02:40:00-06:00</x:v>
      </x:c>
      <x:c r="AG604" s="6" t="str">
        <x:v>Short</x:v>
      </x:c>
      <x:c r="AH604" s="6" t="str">
        <x:v>22851.25</x:v>
      </x:c>
      <x:c r="AI604" s="8" t="str">
        <x:v>0</x:v>
      </x:c>
      <x:c r="AJ604" s="6" t="str">
        <x:v>True</x:v>
      </x:c>
      <x:c r="AK604" s="6" t="str">
        <x:v>Same-bar Setup+BOS</x:v>
      </x:c>
      <x:c r="AL604" s="9" t="str">
        <x:v>0.6729043172320944</x:v>
      </x:c>
      <x:c r="AM604" s="9" t="str">
        <x:v>0.10624805008927807</x:v>
      </x:c>
      <x:c r="AN604" s="9" t="str">
        <x:v>0.6197802921874555</x:v>
      </x:c>
      <x:c r="AO604" s="9" t="str">
        <x:v>1.1864365593302717</x:v>
      </x:c>
      <x:c r="AP604" s="10" t="str">
        <x:v>0.5223880597014925</x:v>
      </x:c>
      <x:c r="AQ604" s="6" t="str">
        <x:v>0.16417910447761194</x:v>
      </x:c>
      <x:c r="AR604" s="6" t="str">
        <x:v>0.31343283582089554</x:v>
      </x:c>
      <x:c r="AS604" s="6" t="str">
        <x:v>With trade</x:v>
      </x:c>
      <x:c r="AT604" s="6" t="str">
        <x:v>2.2701986754966885</x:v>
      </x:c>
      <x:c r="AU604" s="7" t="str">
        <x:v>2026-02-19 02:45:00-06:00</x:v>
      </x:c>
      <x:c r="AV604" s="8" t="str">
        <x:v>1</x:v>
      </x:c>
      <x:c r="AW604" s="6" t="str">
        <x:v>Immediate retest (1 bar)</x:v>
      </x:c>
      <x:c r="AX604" s="6" t="str">
        <x:v>22849.75</x:v>
      </x:c>
      <x:c r="AY604" s="6" t="str">
        <x:v>0.0</x:v>
      </x:c>
      <x:c r="AZ604" s="9" t="str">
        <x:v>0.0</x:v>
      </x:c>
      <x:c r="BA604" s="9" t="str">
        <x:v>1.571860399302934</x:v>
      </x:c>
      <x:c r="BB604" s="9" t="str">
        <x:v>1.8531406812834592</x:v>
      </x:c>
      <x:c r="BC604" s="9" t="str">
        <x:v>1.422947308842656</x:v>
      </x:c>
      <x:c r="BD604" s="6" t="str">
        <x:v>0.026785714285714284</x:v>
      </x:c>
      <x:c r="BE604" s="6" t="str">
        <x:v>0.20535714285714285</x:v>
      </x:c>
      <x:c r="BF604" s="9" t="str">
        <x:v>0.049637696820092655</x:v>
      </x:c>
      <x:c r="BG604" s="9" t="str">
        <x:v>0.38055567562071035</x:v>
      </x:c>
      <x:c r="BH604" s="6" t="str">
        <x:v>With trade</x:v>
      </x:c>
      <x:c r="BI604" s="6" t="str">
        <x:v>Tolerance-only shallow touch</x:v>
      </x:c>
      <x:c r="BJ604" s="6" t="str">
        <x:v>True</x:v>
      </x:c>
      <x:c r="BK604" s="10" t="str">
        <x:v>False</x:v>
      </x:c>
      <x:c r="BL604" s="6" t="str">
        <x:v>True</x:v>
      </x:c>
      <x:c r="BM604" s="7" t="str">
        <x:v>2026-02-19 02:50:00-06:00</x:v>
      </x:c>
      <x:c r="BN604" s="8" t="str">
        <x:v>1</x:v>
      </x:c>
      <x:c r="BO604" s="6" t="str">
        <x:v>Immediate confirmation (1 bar)</x:v>
      </x:c>
      <x:c r="BP604" s="9" t="str">
        <x:v>1.0013745940884964</x:v>
      </x:c>
      <x:c r="BQ604" s="9" t="str">
        <x:v>2.429806000361793</x:v>
      </x:c>
      <x:c r="BR604" s="10" t="str">
        <x:v>0.4121212121212121</x:v>
      </x:c>
      <x:c r="BS604" s="9" t="str">
        <x:v>2.4592581943055722</x:v>
      </x:c>
      <x:c r="BT604" s="9" t="str">
        <x:v>1.060278981976055</x:v>
      </x:c>
      <x:c r="BU604" s="9" t="str">
        <x:v>0.07363048485944827</x:v>
      </x:c>
      <x:c r="BV604" s="6" t="str">
        <x:v>With trade</x:v>
      </x:c>
      <x:c r="BW604" s="7" t="str">
        <x:v>2026-02-19 02:50:00-06:00</x:v>
      </x:c>
      <x:c r="BX604" s="6" t="str">
        <x:v>22809.5</x:v>
      </x:c>
      <x:c r="BY604" s="9" t="str">
        <x:v>16.976663978053377</x:v>
      </x:c>
      <x:c r="BZ604" s="9" t="str">
        <x:v>0.9</x:v>
      </x:c>
      <x:c r="CA604" s="6" t="str">
        <x:v>22834.96499596708</x:v>
      </x:c>
      <x:c r="CB604" s="6" t="str">
        <x:v>25.46499596707872</x:v>
      </x:c>
      <x:c r="CC604" s="9" t="str">
        <x:v>1.4999999999999207</x:v>
      </x:c>
      <x:c r="CD604" s="6" t="str">
        <x:v>22758.57000806584</x:v>
      </x:c>
      <x:c r="CE604" s="6" t="str">
        <x:v>50.92999193416108</x:v>
      </x:c>
      <x:c r="CF604" s="6" t="str">
        <x:v>Fixed 2.00R target</x:v>
      </x:c>
      <x:c r="CG604" s="9" t="str">
        <x:v>0.028470454145654835</x:v>
      </x:c>
      <x:c r="CH604" s="9" t="str">
        <x:v>2.0</x:v>
      </x:c>
      <x:c r="CI604" s="9" t="str">
        <x:v>1.9715295458543451</x:v>
      </x:c>
      <x:c r="CJ604" s="6" t="str">
        <x:v>Win</x:v>
      </x:c>
      <x:c r="CK604" s="9" t="str">
        <x:v>2.640880056959017</x:v>
      </x:c>
      <x:c r="CL604" s="9" t="str">
        <x:v>0.11780877577512346</x:v>
      </x:c>
      <x:c r="CM604" s="7" t="str">
        <x:v>2026-02-19 03:35:00-06:00</x:v>
      </x:c>
      <x:c r="CN604" s="6" t="str">
        <x:v>22758.57000806584</x:v>
      </x:c>
      <x:c r="CO604" s="6" t="str">
        <x:v>TARGET</x:v>
      </x:c>
      <x:c r="CP604" s="6" t="str">
        <x:v>F::Short::Same-bar Setup+BOS::Tolerance-only shallow touch</x:v>
      </x:c>
    </x:row>
    <x:row r="605" ht="18" customHeight="1">
      <x:c r="A605" s="6" t="str">
        <x:v>A0604</x:v>
      </x:c>
      <x:c r="B605" s="6" t="str">
        <x:v>2026-02-23</x:v>
      </x:c>
      <x:c r="C605" s="6" t="str">
        <x:v>2026</x:v>
      </x:c>
      <x:c r="D605" s="6" t="str">
        <x:v>2026-Q1</x:v>
      </x:c>
      <x:c r="E605" s="6" t="str">
        <x:v>Second 50%</x:v>
      </x:c>
      <x:c r="F605" s="6" t="str">
        <x:v>Short</x:v>
      </x:c>
      <x:c r="G605" s="6" t="str">
        <x:v>Short</x:v>
      </x:c>
      <x:c r="H605" s="6" t="str">
        <x:v>Midday</x:v>
      </x:c>
      <x:c r="I605" s="6" t="str">
        <x:v>Midday</x:v>
      </x:c>
      <x:c r="J605" s="6" t="str">
        <x:v>Bear</x:v>
      </x:c>
      <x:c r="K605" s="6" t="str">
        <x:v>Bear</x:v>
      </x:c>
      <x:c r="L605" s="6" t="str">
        <x:v>MID</x:v>
      </x:c>
      <x:c r="M605" s="7" t="str">
        <x:v>2026-02-23 13:25:00-06:00</x:v>
      </x:c>
      <x:c r="N605" s="6" t="str">
        <x:v>85.0</x:v>
      </x:c>
      <x:c r="O605" s="6" t="str">
        <x:v>85-89</x:v>
      </x:c>
      <x:c r="P605" s="6" t="str">
        <x:v>Matching BOS only</x:v>
      </x:c>
      <x:c r="Q605" s="6" t="str">
        <x:v>Bear CHoCH</x:v>
      </x:c>
      <x:c r="R605" s="6" t="str">
        <x:v>True</x:v>
      </x:c>
      <x:c r="S605" s="6" t="str">
        <x:v>False</x:v>
      </x:c>
      <x:c r="T605" s="6" t="str">
        <x:v>Recent BSL</x:v>
      </x:c>
      <x:c r="U605" s="6" t="str">
        <x:v>BSL</x:v>
      </x:c>
      <x:c r="V605" s="6" t="str">
        <x:v>Swing high / buy-side</x:v>
      </x:c>
      <x:c r="W605" s="6" t="str">
        <x:v>[22628.75]</x:v>
      </x:c>
      <x:c r="X605" s="8" t="str">
        <x:v>1</x:v>
      </x:c>
      <x:c r="Y605" s="8" t="str">
        <x:v>14.0</x:v>
      </x:c>
      <x:c r="Z605" s="6" t="str">
        <x:v>Sweep above CRT reference</x:v>
      </x:c>
      <x:c r="AA605" s="6" t="str">
        <x:v>22559.5</x:v>
      </x:c>
      <x:c r="AB605" s="9" t="str">
        <x:v>0.18225983548157992</x:v>
      </x:c>
      <x:c r="AC605" s="9" t="str">
        <x:v>0.685644143002134</x:v>
      </x:c>
      <x:c r="AD605" s="9" t="str">
        <x:v>1.1456332515985024</x:v>
      </x:c>
      <x:c r="AE605" s="6" t="str">
        <x:v>With trade</x:v>
      </x:c>
      <x:c r="AF605" s="7" t="str">
        <x:v>2026-02-23 13:25:00-06:00</x:v>
      </x:c>
      <x:c r="AG605" s="6" t="str">
        <x:v>Short</x:v>
      </x:c>
      <x:c r="AH605" s="6" t="str">
        <x:v>22559.5</x:v>
      </x:c>
      <x:c r="AI605" s="8" t="str">
        <x:v>0</x:v>
      </x:c>
      <x:c r="AJ605" s="6" t="str">
        <x:v>True</x:v>
      </x:c>
      <x:c r="AK605" s="6" t="str">
        <x:v>Same-bar Setup+BOS</x:v>
      </x:c>
      <x:c r="AL605" s="9" t="str">
        <x:v>0.685644143002134</x:v>
      </x:c>
      <x:c r="AM605" s="9" t="str">
        <x:v>0.18225983548157992</x:v>
      </x:c>
      <x:c r="AN605" s="9" t="str">
        <x:v>0.685644143002134</x:v>
      </x:c>
      <x:c r="AO605" s="9" t="str">
        <x:v>1.1456332515985024</x:v>
      </x:c>
      <x:c r="AP605" s="10" t="str">
        <x:v>0.5984848484848485</x:v>
      </x:c>
      <x:c r="AQ605" s="6" t="str">
        <x:v>0.2196969696969697</x:v>
      </x:c>
      <x:c r="AR605" s="6" t="str">
        <x:v>0.18181818181818182</x:v>
      </x:c>
      <x:c r="AS605" s="6" t="str">
        <x:v>With trade</x:v>
      </x:c>
      <x:c r="AT605" s="6" t="str">
        <x:v>0.8614317775597693</x:v>
      </x:c>
      <x:c r="AU605" s="7" t="str">
        <x:v>2026-02-23 13:30:00-06:00</x:v>
      </x:c>
      <x:c r="AV605" s="8" t="str">
        <x:v>1</x:v>
      </x:c>
      <x:c r="AW605" s="6" t="str">
        <x:v>Immediate retest (1 bar)</x:v>
      </x:c>
      <x:c r="AX605" s="6" t="str">
        <x:v>22569.75</x:v>
      </x:c>
      <x:c r="AY605" s="6" t="str">
        <x:v>10.25</x:v>
      </x:c>
      <x:c r="AZ605" s="9" t="str">
        <x:v>0.3649399397891214</x:v>
      </x:c>
      <x:c r="BA605" s="9" t="str">
        <x:v>0.19582143110635786</x:v>
      </x:c>
      <x:c r="BB605" s="9" t="str">
        <x:v>0.6675730605898563</x:v>
      </x:c>
      <x:c r="BC605" s="9" t="str">
        <x:v>0.008900974141198083</x:v>
      </x:c>
      <x:c r="BD605" s="6" t="str">
        <x:v>0.84</x:v>
      </x:c>
      <x:c r="BE605" s="6" t="str">
        <x:v>0.14666666666666667</x:v>
      </x:c>
      <x:c r="BF605" s="9" t="str">
        <x:v>0.5607613708954793</x:v>
      </x:c>
      <x:c r="BG605" s="9" t="str">
        <x:v>0.09791071555317893</x:v>
      </x:c>
      <x:c r="BH605" s="6" t="str">
        <x:v>Against trade</x:v>
      </x:c>
      <x:c r="BI605" s="6" t="str">
        <x:v>Penetration + same-bar reclaim</x:v>
      </x:c>
      <x:c r="BJ605" s="6" t="str">
        <x:v>False</x:v>
      </x:c>
      <x:c r="BK605" s="10" t="str">
        <x:v>True</x:v>
      </x:c>
      <x:c r="BL605" s="6" t="str">
        <x:v>True</x:v>
      </x:c>
      <x:c r="BM605" s="7" t="str">
        <x:v>2026-02-23 13:35:00-06:00</x:v>
      </x:c>
      <x:c r="BN605" s="8" t="str">
        <x:v>1</x:v>
      </x:c>
      <x:c r="BO605" s="6" t="str">
        <x:v>Immediate confirmation (1 bar)</x:v>
      </x:c>
      <x:c r="BP605" s="9" t="str">
        <x:v>0.1843907563829174</x:v>
      </x:c>
      <x:c r="BQ605" s="9" t="str">
        <x:v>0.5347331935104604</x:v>
      </x:c>
      <x:c r="BR605" s="10" t="str">
        <x:v>0.3448275862068966</x:v>
      </x:c>
      <x:c r="BS605" s="9" t="str">
        <x:v>0.3964401262232724</x:v>
      </x:c>
      <x:c r="BT605" s="9" t="str">
        <x:v>0.19361029420206327</x:v>
      </x:c>
      <x:c r="BU605" s="9" t="str">
        <x:v>0.13829306728718804</x:v>
      </x:c>
      <x:c r="BV605" s="6" t="str">
        <x:v>With trade</x:v>
      </x:c>
      <x:c r="BW605" s="7" t="str">
        <x:v>2026-02-23 13:35:00-06:00</x:v>
      </x:c>
      <x:c r="BX605" s="6" t="str">
        <x:v>22548.75</x:v>
      </x:c>
      <x:c r="BY605" s="9" t="str">
        <x:v>27.116326751307895</x:v>
      </x:c>
      <x:c r="BZ605" s="9" t="str">
        <x:v>0.41</x:v>
      </x:c>
      <x:c r="CA605" s="6" t="str">
        <x:v>22589.424490126963</x:v>
      </x:c>
      <x:c r="CB605" s="6" t="str">
        <x:v>40.674490126963065</x:v>
      </x:c>
      <x:c r="CC605" s="9" t="str">
        <x:v>1.500000000000045</x:v>
      </x:c>
      <x:c r="CD605" s="6" t="str">
        <x:v>22467.401019746078</x:v>
      </x:c>
      <x:c r="CE605" s="6" t="str">
        <x:v>81.34898025392249</x:v>
      </x:c>
      <x:c r="CF605" s="6" t="str">
        <x:v>Fixed 2.00R target</x:v>
      </x:c>
      <x:c r="CG605" s="9" t="str">
        <x:v>0.01782443978368148</x:v>
      </x:c>
      <x:c r="CH605" s="9" t="str">
        <x:v>-1.0</x:v>
      </x:c>
      <x:c r="CI605" s="9" t="str">
        <x:v>-1.0178244397836815</x:v>
      </x:c>
      <x:c r="CJ605" s="6" t="str">
        <x:v>Loss</x:v>
      </x:c>
      <x:c r="CK605" s="9" t="str">
        <x:v>0.7498557426238416</x:v>
      </x:c>
      <x:c r="CL605" s="9" t="str">
        <x:v>1.0387345942904034</x:v>
      </x:c>
      <x:c r="CM605" s="7" t="str">
        <x:v>2026-02-23 14:30:00-06:00</x:v>
      </x:c>
      <x:c r="CN605" s="6" t="str">
        <x:v>22589.424490126963</x:v>
      </x:c>
      <x:c r="CO605" s="6" t="str">
        <x:v>STOP</x:v>
      </x:c>
      <x:c r="CP605" s="6" t="str">
        <x:v>F::Short::Same-bar Setup+BOS::Penetration + same-bar reclaim</x:v>
      </x:c>
    </x:row>
    <x:row r="606" ht="18" customHeight="1">
      <x:c r="A606" s="6" t="str">
        <x:v>A0605</x:v>
      </x:c>
      <x:c r="B606" s="6" t="str">
        <x:v>2026-02-24</x:v>
      </x:c>
      <x:c r="C606" s="6" t="str">
        <x:v>2026</x:v>
      </x:c>
      <x:c r="D606" s="6" t="str">
        <x:v>2026-Q1</x:v>
      </x:c>
      <x:c r="E606" s="6" t="str">
        <x:v>Second 50%</x:v>
      </x:c>
      <x:c r="F606" s="6" t="str">
        <x:v>Long</x:v>
      </x:c>
      <x:c r="G606" s="6" t="str">
        <x:v>Long</x:v>
      </x:c>
      <x:c r="H606" s="6" t="str">
        <x:v>Overnight</x:v>
      </x:c>
      <x:c r="I606" s="6" t="str">
        <x:v>Overnight</x:v>
      </x:c>
      <x:c r="J606" s="6" t="str">
        <x:v>Bull</x:v>
      </x:c>
      <x:c r="K606" s="6" t="str">
        <x:v>Bull</x:v>
      </x:c>
      <x:c r="L606" s="6" t="str">
        <x:v>LOW</x:v>
      </x:c>
      <x:c r="M606" s="7" t="str">
        <x:v>2026-02-24 18:40:00-06:00</x:v>
      </x:c>
      <x:c r="N606" s="6" t="str">
        <x:v>90.0</x:v>
      </x:c>
      <x:c r="O606" s="6" t="str">
        <x:v>90-94</x:v>
      </x:c>
      <x:c r="P606" s="6" t="str">
        <x:v>Matching BOS only</x:v>
      </x:c>
      <x:c r="Q606" s="6" t="str">
        <x:v>Bull BOS</x:v>
      </x:c>
      <x:c r="R606" s="6" t="str">
        <x:v>True</x:v>
      </x:c>
      <x:c r="S606" s="6" t="str">
        <x:v>False</x:v>
      </x:c>
      <x:c r="T606" s="6" t="str">
        <x:v>Recent SSL</x:v>
      </x:c>
      <x:c r="U606" s="6" t="str">
        <x:v>SSL</x:v>
      </x:c>
      <x:c r="V606" s="6" t="str">
        <x:v>Swing low / sell-side</x:v>
      </x:c>
      <x:c r="W606" s="6" t="str">
        <x:v>[22834.25]</x:v>
      </x:c>
      <x:c r="X606" s="8" t="str">
        <x:v>1</x:v>
      </x:c>
      <x:c r="Y606" s="8" t="str">
        <x:v>19.0</x:v>
      </x:c>
      <x:c r="Z606" s="6" t="str">
        <x:v>None</x:v>
      </x:c>
      <x:c r="AA606" s="6" t="str">
        <x:v>22890.5</x:v>
      </x:c>
      <x:c r="AB606" s="9" t="str">
        <x:v>0.6846669630746961</x:v>
      </x:c>
      <x:c r="AC606" s="9" t="str">
        <x:v>1.2152838594575854</x:v>
      </x:c>
      <x:c r="AD606" s="9" t="str">
        <x:v>1.3864506002262595</x:v>
      </x:c>
      <x:c r="AE606" s="6" t="str">
        <x:v>With trade</x:v>
      </x:c>
      <x:c r="AF606" s="7" t="str">
        <x:v>2026-02-24 18:40:00-06:00</x:v>
      </x:c>
      <x:c r="AG606" s="6" t="str">
        <x:v>Long</x:v>
      </x:c>
      <x:c r="AH606" s="6" t="str">
        <x:v>22890.5</x:v>
      </x:c>
      <x:c r="AI606" s="8" t="str">
        <x:v>0</x:v>
      </x:c>
      <x:c r="AJ606" s="6" t="str">
        <x:v>True</x:v>
      </x:c>
      <x:c r="AK606" s="6" t="str">
        <x:v>Same-bar Setup+BOS</x:v>
      </x:c>
      <x:c r="AL606" s="9" t="str">
        <x:v>1.2495172076113203</x:v>
      </x:c>
      <x:c r="AM606" s="9" t="str">
        <x:v>0.6846669630746961</x:v>
      </x:c>
      <x:c r="AN606" s="9" t="str">
        <x:v>1.2152838594575854</x:v>
      </x:c>
      <x:c r="AO606" s="9" t="str">
        <x:v>1.3864506002262595</x:v>
      </x:c>
      <x:c r="AP606" s="10" t="str">
        <x:v>0.8765432098765432</x:v>
      </x:c>
      <x:c r="AQ606" s="6" t="str">
        <x:v>0.09876543209876543</x:v>
      </x:c>
      <x:c r="AR606" s="6" t="str">
        <x:v>0.024691358024691357</x:v>
      </x:c>
      <x:c r="AS606" s="6" t="str">
        <x:v>With trade</x:v>
      </x:c>
      <x:c r="AT606" s="6" t="str">
        <x:v>1.290238836967809</x:v>
      </x:c>
      <x:c r="AU606" s="7" t="str">
        <x:v>2026-02-24 18:45:00-06:00</x:v>
      </x:c>
      <x:c r="AV606" s="8" t="str">
        <x:v>1</x:v>
      </x:c>
      <x:c r="AW606" s="6" t="str">
        <x:v>Immediate retest (1 bar)</x:v>
      </x:c>
      <x:c r="AX606" s="6" t="str">
        <x:v>22887.0</x:v>
      </x:c>
      <x:c r="AY606" s="6" t="str">
        <x:v>3.5</x:v>
      </x:c>
      <x:c r="AZ606" s="9" t="str">
        <x:v>0.23127025342531632</x:v>
      </x:c>
      <x:c r="BA606" s="9" t="str">
        <x:v>1.0572354442300174</x:v>
      </x:c>
      <x:c r="BB606" s="9" t="str">
        <x:v>1.453698735816274</x:v>
      </x:c>
      <x:c r="BC606" s="9" t="str">
        <x:v>0.37994398777016253</x:v>
      </x:c>
      <x:c r="BD606" s="6" t="str">
        <x:v>0.11363636363636363</x:v>
      </x:c>
      <x:c r="BE606" s="6" t="str">
        <x:v>0.625</x:v>
      </x:c>
      <x:c r="BF606" s="9" t="str">
        <x:v>0.9085617098851713</x:v>
      </x:c>
      <x:c r="BG606" s="9" t="str">
        <x:v>0.16519303816094022</x:v>
      </x:c>
      <x:c r="BH606" s="6" t="str">
        <x:v>With trade</x:v>
      </x:c>
      <x:c r="BI606" s="6" t="str">
        <x:v>Penetration + same-bar reclaim</x:v>
      </x:c>
      <x:c r="BJ606" s="6" t="str">
        <x:v>False</x:v>
      </x:c>
      <x:c r="BK606" s="10" t="str">
        <x:v>True</x:v>
      </x:c>
      <x:c r="BL606" s="6" t="str">
        <x:v>True</x:v>
      </x:c>
      <x:c r="BM606" s="7" t="str">
        <x:v>2026-02-24 18:50:00-06:00</x:v>
      </x:c>
      <x:c r="BN606" s="8" t="str">
        <x:v>1</x:v>
      </x:c>
      <x:c r="BO606" s="6" t="str">
        <x:v>Immediate confirmation (1 bar)</x:v>
      </x:c>
      <x:c r="BP606" s="9" t="str">
        <x:v>0.2884994995862343</x:v>
      </x:c>
      <x:c r="BQ606" s="9" t="str">
        <x:v>0.6448812343692296</x:v>
      </x:c>
      <x:c r="BR606" s="10" t="str">
        <x:v>0.4473684210526316</x:v>
      </x:c>
      <x:c r="BS606" s="9" t="str">
        <x:v>1.3237035863368396</x:v>
      </x:c>
      <x:c r="BT606" s="9" t="str">
        <x:v>0.23758782318866353</x:v>
      </x:c>
      <x:c r="BU606" s="9" t="str">
        <x:v>0.05091167639757076</x:v>
      </x:c>
      <x:c r="BV606" s="6" t="str">
        <x:v>With trade</x:v>
      </x:c>
      <x:c r="BW606" s="7" t="str">
        <x:v>2026-02-24 18:50:00-06:00</x:v>
      </x:c>
      <x:c r="BX606" s="6" t="str">
        <x:v>22910.0</x:v>
      </x:c>
      <x:c r="BY606" s="9" t="str">
        <x:v>14.731394702920962</x:v>
      </x:c>
      <x:c r="BZ606" s="9" t="str">
        <x:v>0.19</x:v>
      </x:c>
      <x:c r="CA606" s="6" t="str">
        <x:v>22887.90290794562</x:v>
      </x:c>
      <x:c r="CB606" s="6" t="str">
        <x:v>22.097092054380482</x:v>
      </x:c>
      <x:c r="CC606" s="9" t="str">
        <x:v>1.4999999999999347</x:v>
      </x:c>
      <x:c r="CD606" s="6" t="str">
        <x:v>22954.194184108765</x:v>
      </x:c>
      <x:c r="CE606" s="6" t="str">
        <x:v>44.1941841087646</x:v>
      </x:c>
      <x:c r="CF606" s="6" t="str">
        <x:v>Fixed 2.00R target</x:v>
      </x:c>
      <x:c r="CG606" s="9" t="str">
        <x:v>0.032809747011769246</x:v>
      </x:c>
      <x:c r="CH606" s="9" t="str">
        <x:v>1.7649381151157864</x:v>
      </x:c>
      <x:c r="CI606" s="9" t="str">
        <x:v>1.7321283681040172</x:v>
      </x:c>
      <x:c r="CJ606" s="6" t="str">
        <x:v>Win</x:v>
      </x:c>
      <x:c r="CK606" s="9" t="str">
        <x:v>1.9346437031077728</x:v>
      </x:c>
      <x:c r="CL606" s="9" t="str">
        <x:v>0.40729341118058376</x:v>
      </x:c>
      <x:c r="CM606" s="7" t="str">
        <x:v>2026-02-24 19:50:00-06:00</x:v>
      </x:c>
      <x:c r="CN606" s="6" t="str">
        <x:v>22949.0</x:v>
      </x:c>
      <x:c r="CO606" s="6" t="str">
        <x:v>TIME</x:v>
      </x:c>
      <x:c r="CP606" s="6" t="str">
        <x:v>F::Long::Same-bar Setup+BOS::Penetration + same-bar reclaim</x:v>
      </x:c>
    </x:row>
    <x:row r="607" ht="18" customHeight="1">
      <x:c r="A607" s="6" t="str">
        <x:v>A0606</x:v>
      </x:c>
      <x:c r="B607" s="6" t="str">
        <x:v>2026-02-25</x:v>
      </x:c>
      <x:c r="C607" s="6" t="str">
        <x:v>2026</x:v>
      </x:c>
      <x:c r="D607" s="6" t="str">
        <x:v>2026-Q1</x:v>
      </x:c>
      <x:c r="E607" s="6" t="str">
        <x:v>Second 50%</x:v>
      </x:c>
      <x:c r="F607" s="6" t="str">
        <x:v>Short</x:v>
      </x:c>
      <x:c r="G607" s="6" t="str">
        <x:v>Short</x:v>
      </x:c>
      <x:c r="H607" s="6" t="str">
        <x:v>Overnight</x:v>
      </x:c>
      <x:c r="I607" s="6" t="str">
        <x:v>Overnight</x:v>
      </x:c>
      <x:c r="J607" s="6" t="str">
        <x:v>Bull</x:v>
      </x:c>
      <x:c r="K607" s="6" t="str">
        <x:v>Bull</x:v>
      </x:c>
      <x:c r="L607" s="6" t="str">
        <x:v>LOW</x:v>
      </x:c>
      <x:c r="M607" s="7" t="str">
        <x:v>2026-02-25 23:00:00-06:00</x:v>
      </x:c>
      <x:c r="N607" s="6" t="str">
        <x:v>90.0</x:v>
      </x:c>
      <x:c r="O607" s="6" t="str">
        <x:v>90-94</x:v>
      </x:c>
      <x:c r="P607" s="6" t="str">
        <x:v>Matching BOS only</x:v>
      </x:c>
      <x:c r="Q607" s="6" t="str">
        <x:v>Bear BOS</x:v>
      </x:c>
      <x:c r="R607" s="6" t="str">
        <x:v>True</x:v>
      </x:c>
      <x:c r="S607" s="6" t="str">
        <x:v>False</x:v>
      </x:c>
      <x:c r="T607" s="6" t="str">
        <x:v>Recent BSL</x:v>
      </x:c>
      <x:c r="U607" s="6" t="str">
        <x:v>BSL</x:v>
      </x:c>
      <x:c r="V607" s="6" t="str">
        <x:v>Swing high / buy-side</x:v>
      </x:c>
      <x:c r="W607" s="6" t="str">
        <x:v>[23159.25]</x:v>
      </x:c>
      <x:c r="X607" s="8" t="str">
        <x:v>1</x:v>
      </x:c>
      <x:c r="Y607" s="8" t="str">
        <x:v>16.0</x:v>
      </x:c>
      <x:c r="Z607" s="6" t="str">
        <x:v>None</x:v>
      </x:c>
      <x:c r="AA607" s="6" t="str">
        <x:v>23132.75</x:v>
      </x:c>
      <x:c r="AB607" s="9" t="str">
        <x:v>0.13159893059246372</x:v>
      </x:c>
      <x:c r="AC607" s="9" t="str">
        <x:v>0.7895935835547824</x:v>
      </x:c>
      <x:c r="AD607" s="9" t="str">
        <x:v>1.868704814412985</x:v>
      </x:c>
      <x:c r="AE607" s="6" t="str">
        <x:v>With trade</x:v>
      </x:c>
      <x:c r="AF607" s="7" t="str">
        <x:v>2026-02-25 23:00:00-06:00</x:v>
      </x:c>
      <x:c r="AG607" s="6" t="str">
        <x:v>Short</x:v>
      </x:c>
      <x:c r="AH607" s="6" t="str">
        <x:v>23132.75</x:v>
      </x:c>
      <x:c r="AI607" s="8" t="str">
        <x:v>0</x:v>
      </x:c>
      <x:c r="AJ607" s="6" t="str">
        <x:v>True</x:v>
      </x:c>
      <x:c r="AK607" s="6" t="str">
        <x:v>Same-bar Setup+BOS</x:v>
      </x:c>
      <x:c r="AL607" s="9" t="str">
        <x:v>0.8685529419102607</x:v>
      </x:c>
      <x:c r="AM607" s="9" t="str">
        <x:v>0.13159893059246372</x:v>
      </x:c>
      <x:c r="AN607" s="9" t="str">
        <x:v>0.7895935835547824</x:v>
      </x:c>
      <x:c r="AO607" s="9" t="str">
        <x:v>1.868704814412985</x:v>
      </x:c>
      <x:c r="AP607" s="10" t="str">
        <x:v>0.4225352112676056</x:v>
      </x:c>
      <x:c r="AQ607" s="6" t="str">
        <x:v>0.1267605633802817</x:v>
      </x:c>
      <x:c r="AR607" s="6" t="str">
        <x:v>0.4507042253521127</x:v>
      </x:c>
      <x:c r="AS607" s="6" t="str">
        <x:v>With trade</x:v>
      </x:c>
      <x:c r="AT607" s="6" t="str">
        <x:v>2.308085977482088</x:v>
      </x:c>
      <x:c r="AU607" s="7" t="str">
        <x:v>2026-02-25 23:05:00-06:00</x:v>
      </x:c>
      <x:c r="AV607" s="8" t="str">
        <x:v>1</x:v>
      </x:c>
      <x:c r="AW607" s="6" t="str">
        <x:v>Immediate retest (1 bar)</x:v>
      </x:c>
      <x:c r="AX607" s="6" t="str">
        <x:v>23133.25</x:v>
      </x:c>
      <x:c r="AY607" s="6" t="str">
        <x:v>0.5</x:v>
      </x:c>
      <x:c r="AZ607" s="9" t="str">
        <x:v>0.05224611785565648</x:v>
      </x:c>
      <x:c r="BA607" s="9" t="str">
        <x:v>0.3395997660617671</x:v>
      </x:c>
      <x:c r="BB607" s="9" t="str">
        <x:v>1.097168474968786</x:v>
      </x:c>
      <x:c r="BC607" s="9" t="str">
        <x:v>0.18286141249479768</x:v>
      </x:c>
      <x:c r="BD607" s="6" t="str">
        <x:v>0.19047619047619047</x:v>
      </x:c>
      <x:c r="BE607" s="6" t="str">
        <x:v>0.6428571428571429</x:v>
      </x:c>
      <x:c r="BF607" s="9" t="str">
        <x:v>0.2089844714226259</x:v>
      </x:c>
      <x:c r="BG607" s="9" t="str">
        <x:v>0.7053225910513625</x:v>
      </x:c>
      <x:c r="BH607" s="6" t="str">
        <x:v>With trade</x:v>
      </x:c>
      <x:c r="BI607" s="6" t="str">
        <x:v>Penetration + same-bar reclaim</x:v>
      </x:c>
      <x:c r="BJ607" s="6" t="str">
        <x:v>False</x:v>
      </x:c>
      <x:c r="BK607" s="10" t="str">
        <x:v>True</x:v>
      </x:c>
      <x:c r="BL607" s="6" t="str">
        <x:v>True</x:v>
      </x:c>
      <x:c r="BM607" s="7" t="str">
        <x:v>2026-02-25 23:10:00-06:00</x:v>
      </x:c>
      <x:c r="BN607" s="8" t="str">
        <x:v>1</x:v>
      </x:c>
      <x:c r="BO607" s="6" t="str">
        <x:v>Immediate confirmation (1 bar)</x:v>
      </x:c>
      <x:c r="BP607" s="9" t="str">
        <x:v>0.5509284331902093</x:v>
      </x:c>
      <x:c r="BQ607" s="9" t="str">
        <x:v>0.9444487426117875</x:v>
      </x:c>
      <x:c r="BR607" s="10" t="str">
        <x:v>0.5833333333333334</x:v>
      </x:c>
      <x:c r="BS607" s="9" t="str">
        <x:v>0.8395099934326999</x:v>
      </x:c>
      <x:c r="BT607" s="9" t="str">
        <x:v>0.4984590586006656</x:v>
      </x:c>
      <x:c r="BU607" s="9" t="str">
        <x:v>0.34105093483203436</x:v>
      </x:c>
      <x:c r="BV607" s="6" t="str">
        <x:v>With trade</x:v>
      </x:c>
      <x:c r="BW607" s="7" t="str">
        <x:v>2026-02-25 23:10:00-06:00</x:v>
      </x:c>
      <x:c r="BX607" s="6" t="str">
        <x:v>23124.75</x:v>
      </x:c>
      <x:c r="BY607" s="9" t="str">
        <x:v>9.529368396543486</x:v>
      </x:c>
      <x:c r="BZ607" s="9" t="str">
        <x:v>0.04</x:v>
      </x:c>
      <x:c r="CA607" s="6" t="str">
        <x:v>23139.044052594814</x:v>
      </x:c>
      <x:c r="CB607" s="6" t="str">
        <x:v>14.294052594814275</x:v>
      </x:c>
      <x:c r="CC607" s="9" t="str">
        <x:v>1.4999999999998999</x:v>
      </x:c>
      <x:c r="CD607" s="6" t="str">
        <x:v>23096.161894810368</x:v>
      </x:c>
      <x:c r="CE607" s="6" t="str">
        <x:v>28.588105189632188</x:v>
      </x:c>
      <x:c r="CF607" s="6" t="str">
        <x:v>Fixed 2.00R target</x:v>
      </x:c>
      <x:c r="CG607" s="9" t="str">
        <x:v>0.050720395436562336</x:v>
      </x:c>
      <x:c r="CH607" s="9" t="str">
        <x:v>-1.0</x:v>
      </x:c>
      <x:c r="CI607" s="9" t="str">
        <x:v>-1.0507203954365623</x:v>
      </x:c>
      <x:c r="CJ607" s="6" t="str">
        <x:v>Loss</x:v>
      </x:c>
      <x:c r="CK607" s="9" t="str">
        <x:v>0.12242854070894357</x:v>
      </x:c>
      <x:c r="CL607" s="9" t="str">
        <x:v>1.0318977002610958</x:v>
      </x:c>
      <x:c r="CM607" s="7" t="str">
        <x:v>2026-02-25 23:15:00-06:00</x:v>
      </x:c>
      <x:c r="CN607" s="6" t="str">
        <x:v>23139.044052594814</x:v>
      </x:c>
      <x:c r="CO607" s="6" t="str">
        <x:v>STOP</x:v>
      </x:c>
      <x:c r="CP607" s="6" t="str">
        <x:v>F::Short::Same-bar Setup+BOS::Penetration + same-bar reclaim</x:v>
      </x:c>
    </x:row>
    <x:row r="608" ht="18" customHeight="1">
      <x:c r="A608" s="6" t="str">
        <x:v>A0607</x:v>
      </x:c>
      <x:c r="B608" s="6" t="str">
        <x:v>2026-02-27</x:v>
      </x:c>
      <x:c r="C608" s="6" t="str">
        <x:v>2026</x:v>
      </x:c>
      <x:c r="D608" s="6" t="str">
        <x:v>2026-Q1</x:v>
      </x:c>
      <x:c r="E608" s="6" t="str">
        <x:v>Second 50%</x:v>
      </x:c>
      <x:c r="F608" s="6" t="str">
        <x:v>Long</x:v>
      </x:c>
      <x:c r="G608" s="6" t="str">
        <x:v>Long</x:v>
      </x:c>
      <x:c r="H608" s="6" t="str">
        <x:v>Overnight</x:v>
      </x:c>
      <x:c r="I608" s="6" t="str">
        <x:v>Overnight</x:v>
      </x:c>
      <x:c r="J608" s="6" t="str">
        <x:v>Bear</x:v>
      </x:c>
      <x:c r="K608" s="6" t="str">
        <x:v>Bear</x:v>
      </x:c>
      <x:c r="L608" s="6" t="str">
        <x:v>LOW</x:v>
      </x:c>
      <x:c r="M608" s="7" t="str">
        <x:v>2026-02-27 01:20:00-06:00</x:v>
      </x:c>
      <x:c r="N608" s="6" t="str">
        <x:v>75.0</x:v>
      </x:c>
      <x:c r="O608" s="6" t="str">
        <x:v>75-79</x:v>
      </x:c>
      <x:c r="P608" s="6" t="str">
        <x:v>Matching BOS only</x:v>
      </x:c>
      <x:c r="Q608" s="6" t="str">
        <x:v>Bull CHoCH</x:v>
      </x:c>
      <x:c r="R608" s="6" t="str">
        <x:v>True</x:v>
      </x:c>
      <x:c r="S608" s="6" t="str">
        <x:v>False</x:v>
      </x:c>
      <x:c r="T608" s="6" t="str">
        <x:v>Recent SSL</x:v>
      </x:c>
      <x:c r="U608" s="6" t="str">
        <x:v>SSL</x:v>
      </x:c>
      <x:c r="V608" s="6" t="str">
        <x:v>Swing low / sell-side</x:v>
      </x:c>
      <x:c r="W608" s="6" t="str">
        <x:v>[22841.25]</x:v>
      </x:c>
      <x:c r="X608" s="8" t="str">
        <x:v>1</x:v>
      </x:c>
      <x:c r="Y608" s="8" t="str">
        <x:v>13.0</x:v>
      </x:c>
      <x:c r="Z608" s="6" t="str">
        <x:v>None</x:v>
      </x:c>
      <x:c r="AA608" s="6" t="str">
        <x:v>22900.5</x:v>
      </x:c>
      <x:c r="AB608" s="9" t="str">
        <x:v>0.26689120570038627</x:v>
      </x:c>
      <x:c r="AC608" s="9" t="str">
        <x:v>0.4956550963007173</x:v>
      </x:c>
      <x:c r="AD608" s="9" t="str">
        <x:v>0.8578645897512415</x:v>
      </x:c>
      <x:c r="AE608" s="6" t="str">
        <x:v>With trade</x:v>
      </x:c>
      <x:c r="AF608" s="7" t="str">
        <x:v>2026-02-27 01:20:00-06:00</x:v>
      </x:c>
      <x:c r="AG608" s="6" t="str">
        <x:v>Long</x:v>
      </x:c>
      <x:c r="AH608" s="6" t="str">
        <x:v>22900.5</x:v>
      </x:c>
      <x:c r="AI608" s="8" t="str">
        <x:v>0</x:v>
      </x:c>
      <x:c r="AJ608" s="6" t="str">
        <x:v>True</x:v>
      </x:c>
      <x:c r="AK608" s="6" t="str">
        <x:v>Same-bar Setup+BOS</x:v>
      </x:c>
      <x:c r="AL608" s="9" t="str">
        <x:v>0.43846412365063453</x:v>
      </x:c>
      <x:c r="AM608" s="9" t="str">
        <x:v>0.26689120570038627</x:v>
      </x:c>
      <x:c r="AN608" s="9" t="str">
        <x:v>0.4956550963007173</x:v>
      </x:c>
      <x:c r="AO608" s="9" t="str">
        <x:v>0.8578645897512415</x:v>
      </x:c>
      <x:c r="AP608" s="10" t="str">
        <x:v>0.5777777777777777</x:v>
      </x:c>
      <x:c r="AQ608" s="6" t="str">
        <x:v>0.15555555555555556</x:v>
      </x:c>
      <x:c r="AR608" s="6" t="str">
        <x:v>0.26666666666666666</x:v>
      </x:c>
      <x:c r="AS608" s="6" t="str">
        <x:v>With trade</x:v>
      </x:c>
      <x:c r="AT608" s="6" t="str">
        <x:v>1.2219056663501109</x:v>
      </x:c>
      <x:c r="AU608" s="7" t="str">
        <x:v>2026-02-27 01:40:00-06:00</x:v>
      </x:c>
      <x:c r="AV608" s="8" t="str">
        <x:v>4</x:v>
      </x:c>
      <x:c r="AW608" s="6" t="str">
        <x:v>Delayed retest (2+ bars)</x:v>
      </x:c>
      <x:c r="AX608" s="6" t="str">
        <x:v>22900.75</x:v>
      </x:c>
      <x:c r="AY608" s="6" t="str">
        <x:v>0.0</x:v>
      </x:c>
      <x:c r="AZ608" s="9" t="str">
        <x:v>0.0</x:v>
      </x:c>
      <x:c r="BA608" s="9" t="str">
        <x:v>0.8193481895166558</x:v>
      </x:c>
      <x:c r="BB608" s="9" t="str">
        <x:v>0.8807993037304049</x:v>
      </x:c>
      <x:c r="BC608" s="9" t="str">
        <x:v>0.3482229805445787</x:v>
      </x:c>
      <x:c r="BD608" s="6" t="str">
        <x:v>0.09302325581395349</x:v>
      </x:c>
      <x:c r="BE608" s="6" t="str">
        <x:v>0.5116279069767442</x:v>
      </x:c>
      <x:c r="BF608" s="9" t="str">
        <x:v>0.45064150423416066</x:v>
      </x:c>
      <x:c r="BG608" s="9" t="str">
        <x:v>0.08193481895166557</x:v>
      </x:c>
      <x:c r="BH608" s="6" t="str">
        <x:v>With trade</x:v>
      </x:c>
      <x:c r="BI608" s="6" t="str">
        <x:v>Tolerance-only shallow touch</x:v>
      </x:c>
      <x:c r="BJ608" s="6" t="str">
        <x:v>True</x:v>
      </x:c>
      <x:c r="BK608" s="10" t="str">
        <x:v>False</x:v>
      </x:c>
      <x:c r="BL608" s="6" t="str">
        <x:v>True</x:v>
      </x:c>
      <x:c r="BM608" s="7" t="str">
        <x:v>2026-02-27 01:45:00-06:00</x:v>
      </x:c>
      <x:c r="BN608" s="8" t="str">
        <x:v>1</x:v>
      </x:c>
      <x:c r="BO608" s="6" t="str">
        <x:v>Immediate confirmation (1 bar)</x:v>
      </x:c>
      <x:c r="BP608" s="9" t="str">
        <x:v>0.251628538560188</x:v>
      </x:c>
      <x:c r="BQ608" s="9" t="str">
        <x:v>0.691978481040517</x:v>
      </x:c>
      <x:c r="BR608" s="10" t="str">
        <x:v>0.36363636363636365</x:v>
      </x:c>
      <x:c r="BS608" s="9" t="str">
        <x:v>1.132328423520846</x:v>
      </x:c>
      <x:c r="BT608" s="9" t="str">
        <x:v>0.29356662832021935</x:v>
      </x:c>
      <x:c r="BU608" s="9" t="str">
        <x:v>0.062907134640047</x:v>
      </x:c>
      <x:c r="BV608" s="6" t="str">
        <x:v>With trade</x:v>
      </x:c>
      <x:c r="BW608" s="7" t="str">
        <x:v>2026-02-27 01:45:00-06:00</x:v>
      </x:c>
      <x:c r="BX608" s="6" t="str">
        <x:v>22914.0</x:v>
      </x:c>
      <x:c r="BY608" s="9" t="str">
        <x:v>11.922336063969224</x:v>
      </x:c>
      <x:c r="BZ608" s="9" t="str">
        <x:v>0.19</x:v>
      </x:c>
      <x:c r="CA608" s="6" t="str">
        <x:v>22896.116495904047</x:v>
      </x:c>
      <x:c r="CB608" s="6" t="str">
        <x:v>17.883504095952958</x:v>
      </x:c>
      <x:c r="CC608" s="9" t="str">
        <x:v>1.4999999999999263</x:v>
      </x:c>
      <x:c r="CD608" s="6" t="str">
        <x:v>22949.767008191906</x:v>
      </x:c>
      <x:c r="CE608" s="6" t="str">
        <x:v>35.767008191905916</x:v>
      </x:c>
      <x:c r="CF608" s="6" t="str">
        <x:v>Fixed 2.00R target</x:v>
      </x:c>
      <x:c r="CG608" s="9" t="str">
        <x:v>0.040540153434698946</x:v>
      </x:c>
      <x:c r="CH608" s="9" t="str">
        <x:v>-1.0</x:v>
      </x:c>
      <x:c r="CI608" s="9" t="str">
        <x:v>-1.040540153434699</x:v>
      </x:c>
      <x:c r="CJ608" s="6" t="str">
        <x:v>Loss</x:v>
      </x:c>
      <x:c r="CK608" s="9" t="str">
        <x:v>0.8527411584540123</x:v>
      </x:c>
      <x:c r="CL608" s="9" t="str">
        <x:v>1.6076267741346135</x:v>
      </x:c>
      <x:c r="CM608" s="7" t="str">
        <x:v>2026-02-27 02:10:00-06:00</x:v>
      </x:c>
      <x:c r="CN608" s="6" t="str">
        <x:v>22896.116495904047</x:v>
      </x:c>
      <x:c r="CO608" s="6" t="str">
        <x:v>STOP</x:v>
      </x:c>
      <x:c r="CP608" s="6" t="str">
        <x:v>F::Long::Same-bar Setup+BOS::Tolerance-only shallow touch</x:v>
      </x:c>
    </x:row>
    <x:row r="609" ht="18" customHeight="1">
      <x:c r="A609" s="6" t="str">
        <x:v>A0608</x:v>
      </x:c>
      <x:c r="B609" s="6" t="str">
        <x:v>2026-02-27</x:v>
      </x:c>
      <x:c r="C609" s="6" t="str">
        <x:v>2026</x:v>
      </x:c>
      <x:c r="D609" s="6" t="str">
        <x:v>2026-Q1</x:v>
      </x:c>
      <x:c r="E609" s="6" t="str">
        <x:v>Second 50%</x:v>
      </x:c>
      <x:c r="F609" s="6" t="str">
        <x:v>Long</x:v>
      </x:c>
      <x:c r="G609" s="6" t="str">
        <x:v>Long</x:v>
      </x:c>
      <x:c r="H609" s="6" t="str">
        <x:v>Afternoon</x:v>
      </x:c>
      <x:c r="I609" s="6" t="str">
        <x:v>Afternoon</x:v>
      </x:c>
      <x:c r="J609" s="6" t="str">
        <x:v>Bear</x:v>
      </x:c>
      <x:c r="K609" s="6" t="str">
        <x:v>Bear</x:v>
      </x:c>
      <x:c r="L609" s="6" t="str">
        <x:v>LOW</x:v>
      </x:c>
      <x:c r="M609" s="7" t="str">
        <x:v>2026-02-27 14:10:00-06:00</x:v>
      </x:c>
      <x:c r="N609" s="6" t="str">
        <x:v>100.0</x:v>
      </x:c>
      <x:c r="O609" s="6" t="str">
        <x:v>95+</x:v>
      </x:c>
      <x:c r="P609" s="6" t="str">
        <x:v>Matching BOS only</x:v>
      </x:c>
      <x:c r="Q609" s="6" t="str">
        <x:v>Bull CHoCH</x:v>
      </x:c>
      <x:c r="R609" s="6" t="str">
        <x:v>True</x:v>
      </x:c>
      <x:c r="S609" s="6" t="str">
        <x:v>False</x:v>
      </x:c>
      <x:c r="T609" s="6" t="str">
        <x:v>Recent SSL</x:v>
      </x:c>
      <x:c r="U609" s="6" t="str">
        <x:v>SSL</x:v>
      </x:c>
      <x:c r="V609" s="6" t="str">
        <x:v>Swing low / sell-side</x:v>
      </x:c>
      <x:c r="W609" s="6" t="str">
        <x:v>[22714.25,22725.5]</x:v>
      </x:c>
      <x:c r="X609" s="8" t="str">
        <x:v>2</x:v>
      </x:c>
      <x:c r="Y609" s="8" t="str">
        <x:v>6.0</x:v>
      </x:c>
      <x:c r="Z609" s="6" t="str">
        <x:v>None</x:v>
      </x:c>
      <x:c r="AA609" s="6" t="str">
        <x:v>22802.5</x:v>
      </x:c>
      <x:c r="AB609" s="9" t="str">
        <x:v>0.19377119936529627</x:v>
      </x:c>
      <x:c r="AC609" s="9" t="str">
        <x:v>1.8113394723277694</x:v>
      </x:c>
      <x:c r="AD609" s="9" t="str">
        <x:v>1.8703133156128595</x:v>
      </x:c>
      <x:c r="AE609" s="6" t="str">
        <x:v>With trade</x:v>
      </x:c>
      <x:c r="AF609" s="7" t="str">
        <x:v>2026-02-27 14:10:00-06:00</x:v>
      </x:c>
      <x:c r="AG609" s="6" t="str">
        <x:v>Long</x:v>
      </x:c>
      <x:c r="AH609" s="6" t="str">
        <x:v>22802.5</x:v>
      </x:c>
      <x:c r="AI609" s="8" t="str">
        <x:v>0</x:v>
      </x:c>
      <x:c r="AJ609" s="6" t="str">
        <x:v>True</x:v>
      </x:c>
      <x:c r="AK609" s="6" t="str">
        <x:v>Same-bar Setup+BOS</x:v>
      </x:c>
      <x:c r="AL609" s="9" t="str">
        <x:v>1.8113394723277694</x:v>
      </x:c>
      <x:c r="AM609" s="9" t="str">
        <x:v>0.19377119936529627</x:v>
      </x:c>
      <x:c r="AN609" s="9" t="str">
        <x:v>1.8113394723277694</x:v>
      </x:c>
      <x:c r="AO609" s="9" t="str">
        <x:v>1.8703133156128595</x:v>
      </x:c>
      <x:c r="AP609" s="10" t="str">
        <x:v>0.9684684684684685</x:v>
      </x:c>
      <x:c r="AQ609" s="6" t="str">
        <x:v>0.0</x:v>
      </x:c>
      <x:c r="AR609" s="6" t="str">
        <x:v>0.03153153153153153</x:v>
      </x:c>
      <x:c r="AS609" s="6" t="str">
        <x:v>With trade</x:v>
      </x:c>
      <x:c r="AT609" s="6" t="str">
        <x:v>1.862072769391995</x:v>
      </x:c>
      <x:c r="AU609" s="7" t="str">
        <x:v>2026-02-27 14:15:00-06:00</x:v>
      </x:c>
      <x:c r="AV609" s="8" t="str">
        <x:v>1</x:v>
      </x:c>
      <x:c r="AW609" s="6" t="str">
        <x:v>Immediate retest (1 bar)</x:v>
      </x:c>
      <x:c r="AX609" s="6" t="str">
        <x:v>22804.25</x:v>
      </x:c>
      <x:c r="AY609" s="6" t="str">
        <x:v>0.0</x:v>
      </x:c>
      <x:c r="AZ609" s="9" t="str">
        <x:v>0.0</x:v>
      </x:c>
      <x:c r="BA609" s="9" t="str">
        <x:v>0.61167086299809</x:v>
      </x:c>
      <x:c r="BB609" s="9" t="str">
        <x:v>0.7064367713499069</x:v>
      </x:c>
      <x:c r="BC609" s="9" t="str">
        <x:v>0.42213904629445653</x:v>
      </x:c>
      <x:c r="BD609" s="6" t="str">
        <x:v>0.21951219512195122</x:v>
      </x:c>
      <x:c r="BE609" s="6" t="str">
        <x:v>0.18292682926829268</x:v>
      </x:c>
      <x:c r="BF609" s="9" t="str">
        <x:v>0.12922623866156832</x:v>
      </x:c>
      <x:c r="BG609" s="9" t="str">
        <x:v>0.155071486393882</x:v>
      </x:c>
      <x:c r="BH609" s="6" t="str">
        <x:v>With trade</x:v>
      </x:c>
      <x:c r="BI609" s="6" t="str">
        <x:v>Tolerance-only shallow touch</x:v>
      </x:c>
      <x:c r="BJ609" s="6" t="str">
        <x:v>True</x:v>
      </x:c>
      <x:c r="BK609" s="10" t="str">
        <x:v>False</x:v>
      </x:c>
      <x:c r="BL609" s="6" t="str">
        <x:v>True</x:v>
      </x:c>
      <x:c r="BM609" s="7" t="str">
        <x:v>2026-02-27 14:20:00-06:00</x:v>
      </x:c>
      <x:c r="BN609" s="8" t="str">
        <x:v>1</x:v>
      </x:c>
      <x:c r="BO609" s="6" t="str">
        <x:v>Immediate confirmation (1 bar)</x:v>
      </x:c>
      <x:c r="BP609" s="9" t="str">
        <x:v>0.42960767703229785</x:v>
      </x:c>
      <x:c r="BQ609" s="9" t="str">
        <x:v>1.2888230310968936</x:v>
      </x:c>
      <x:c r="BR609" s="10" t="str">
        <x:v>0.3333333333333333</x:v>
      </x:c>
      <x:c r="BS609" s="9" t="str">
        <x:v>1.027688952900791</x:v>
      </x:c>
      <x:c r="BT609" s="9" t="str">
        <x:v>0.42960767703229785</x:v>
      </x:c>
      <x:c r="BU609" s="9" t="str">
        <x:v>0.4885734366249662</x:v>
      </x:c>
      <x:c r="BV609" s="6" t="str">
        <x:v>With trade</x:v>
      </x:c>
      <x:c r="BW609" s="7" t="str">
        <x:v>2026-02-27 14:20:00-06:00</x:v>
      </x:c>
      <x:c r="BX609" s="6" t="str">
        <x:v>22833.0</x:v>
      </x:c>
      <x:c r="BY609" s="9" t="str">
        <x:v>29.678240594014003</x:v>
      </x:c>
      <x:c r="BZ609" s="9" t="str">
        <x:v>0.27</x:v>
      </x:c>
      <x:c r="CA609" s="6" t="str">
        <x:v>22788.482639108977</x:v>
      </x:c>
      <x:c r="CB609" s="6" t="str">
        <x:v>44.51736089102269</x:v>
      </x:c>
      <x:c r="CC609" s="9" t="str">
        <x:v>1.5000000000000568</x:v>
      </x:c>
      <x:c r="CD609" s="6" t="str">
        <x:v>22922.03472178204</x:v>
      </x:c>
      <x:c r="CE609" s="6" t="str">
        <x:v>89.03472178204174</x:v>
      </x:c>
      <x:c r="CF609" s="6" t="str">
        <x:v>Fixed 2.00R target</x:v>
      </x:c>
      <x:c r="CG609" s="9" t="str">
        <x:v>0.016285781220831592</x:v>
      </x:c>
      <x:c r="CH609" s="9" t="str">
        <x:v>-1.0</x:v>
      </x:c>
      <x:c r="CI609" s="9" t="str">
        <x:v>-1.0162857812208317</x:v>
      </x:c>
      <x:c r="CJ609" s="6" t="str">
        <x:v>Loss</x:v>
      </x:c>
      <x:c r="CK609" s="9" t="str">
        <x:v>0.1909367453476807</x:v>
      </x:c>
      <x:c r="CL609" s="9" t="str">
        <x:v>1.61173076219954</x:v>
      </x:c>
      <x:c r="CM609" s="7" t="str">
        <x:v>2026-02-27 14:35:00-06:00</x:v>
      </x:c>
      <x:c r="CN609" s="6" t="str">
        <x:v>22788.482639108977</x:v>
      </x:c>
      <x:c r="CO609" s="6" t="str">
        <x:v>STOP</x:v>
      </x:c>
      <x:c r="CP609" s="6" t="str">
        <x:v>F::Long::Same-bar Setup+BOS::Tolerance-only shallow touch</x:v>
      </x:c>
    </x:row>
    <x:row r="610" ht="18" customHeight="1">
      <x:c r="A610" s="6" t="str">
        <x:v>A0609</x:v>
      </x:c>
      <x:c r="B610" s="6" t="str">
        <x:v>2026-03-03</x:v>
      </x:c>
      <x:c r="C610" s="6" t="str">
        <x:v>2026</x:v>
      </x:c>
      <x:c r="D610" s="6" t="str">
        <x:v>2026-Q1</x:v>
      </x:c>
      <x:c r="E610" s="6" t="str">
        <x:v>Second 50%</x:v>
      </x:c>
      <x:c r="F610" s="6" t="str">
        <x:v>Long</x:v>
      </x:c>
      <x:c r="G610" s="6" t="str">
        <x:v>Long</x:v>
      </x:c>
      <x:c r="H610" s="6" t="str">
        <x:v>Premarket</x:v>
      </x:c>
      <x:c r="I610" s="6" t="str">
        <x:v>Premarket</x:v>
      </x:c>
      <x:c r="J610" s="6" t="str">
        <x:v>Bear</x:v>
      </x:c>
      <x:c r="K610" s="6" t="str">
        <x:v>Bear</x:v>
      </x:c>
      <x:c r="L610" s="6" t="str">
        <x:v>HIGH</x:v>
      </x:c>
      <x:c r="M610" s="7" t="str">
        <x:v>2026-03-03 05:35:00-06:00</x:v>
      </x:c>
      <x:c r="N610" s="6" t="str">
        <x:v>75.0</x:v>
      </x:c>
      <x:c r="O610" s="6" t="str">
        <x:v>75-79</x:v>
      </x:c>
      <x:c r="P610" s="6" t="str">
        <x:v>Matching BOS only</x:v>
      </x:c>
      <x:c r="Q610" s="6" t="str">
        <x:v>Bull CHoCH</x:v>
      </x:c>
      <x:c r="R610" s="6" t="str">
        <x:v>True</x:v>
      </x:c>
      <x:c r="S610" s="6" t="str">
        <x:v>False</x:v>
      </x:c>
      <x:c r="T610" s="6" t="str">
        <x:v>Recent SSL</x:v>
      </x:c>
      <x:c r="U610" s="6" t="str">
        <x:v>SSL</x:v>
      </x:c>
      <x:c r="V610" s="6" t="str">
        <x:v>Swing low / sell-side</x:v>
      </x:c>
      <x:c r="W610" s="6" t="str">
        <x:v>[22232.5]</x:v>
      </x:c>
      <x:c r="X610" s="8" t="str">
        <x:v>1</x:v>
      </x:c>
      <x:c r="Y610" s="8" t="str">
        <x:v>3.0</x:v>
      </x:c>
      <x:c r="Z610" s="6" t="str">
        <x:v>None</x:v>
      </x:c>
      <x:c r="AA610" s="6" t="str">
        <x:v>22322.5</x:v>
      </x:c>
      <x:c r="AB610" s="9" t="str">
        <x:v>0.08450237733796417</x:v>
      </x:c>
      <x:c r="AC610" s="9" t="str">
        <x:v>0.4337788703348827</x:v>
      </x:c>
      <x:c r="AD610" s="9" t="str">
        <x:v>1.0872639217484723</x:v>
      </x:c>
      <x:c r="AE610" s="6" t="str">
        <x:v>With trade</x:v>
      </x:c>
      <x:c r="AF610" s="7" t="str">
        <x:v>2026-03-03 05:35:00-06:00</x:v>
      </x:c>
      <x:c r="AG610" s="6" t="str">
        <x:v>Long</x:v>
      </x:c>
      <x:c r="AH610" s="6" t="str">
        <x:v>22322.5</x:v>
      </x:c>
      <x:c r="AI610" s="8" t="str">
        <x:v>0</x:v>
      </x:c>
      <x:c r="AJ610" s="6" t="str">
        <x:v>True</x:v>
      </x:c>
      <x:c r="AK610" s="6" t="str">
        <x:v>Same-bar Setup+BOS</x:v>
      </x:c>
      <x:c r="AL610" s="9" t="str">
        <x:v>0.46194632944753744</x:v>
      </x:c>
      <x:c r="AM610" s="9" t="str">
        <x:v>0.08450237733796417</x:v>
      </x:c>
      <x:c r="AN610" s="9" t="str">
        <x:v>0.4337788703348827</x:v>
      </x:c>
      <x:c r="AO610" s="9" t="str">
        <x:v>1.0872639217484723</x:v>
      </x:c>
      <x:c r="AP610" s="10" t="str">
        <x:v>0.39896373056994816</x:v>
      </x:c>
      <x:c r="AQ610" s="6" t="str">
        <x:v>0.44559585492227977</x:v>
      </x:c>
      <x:c r="AR610" s="6" t="str">
        <x:v>0.15544041450777202</x:v>
      </x:c>
      <x:c r="AS610" s="6" t="str">
        <x:v>With trade</x:v>
      </x:c>
      <x:c r="AT610" s="6" t="str">
        <x:v>0.9905980969642049</x:v>
      </x:c>
      <x:c r="AU610" s="7" t="str">
        <x:v>2026-03-03 05:40:00-06:00</x:v>
      </x:c>
      <x:c r="AV610" s="8" t="str">
        <x:v>1</x:v>
      </x:c>
      <x:c r="AW610" s="6" t="str">
        <x:v>Immediate retest (1 bar)</x:v>
      </x:c>
      <x:c r="AX610" s="6" t="str">
        <x:v>22313.5</x:v>
      </x:c>
      <x:c r="AY610" s="6" t="str">
        <x:v>9.0</x:v>
      </x:c>
      <x:c r="AZ610" s="9" t="str">
        <x:v>0.2083826567213338</x:v>
      </x:c>
      <x:c r="BA610" s="9" t="str">
        <x:v>0.34730442786888965</x:v>
      </x:c>
      <x:c r="BB610" s="9" t="str">
        <x:v>0.6425131915574459</x:v>
      </x:c>
      <x:c r="BC610" s="9" t="str">
        <x:v>0.2604783209016672</x:v>
      </x:c>
      <x:c r="BD610" s="6" t="str">
        <x:v>0.13513513513513514</x:v>
      </x:c>
      <x:c r="BE610" s="6" t="str">
        <x:v>0.4594594594594595</x:v>
      </x:c>
      <x:c r="BF610" s="9" t="str">
        <x:v>0.2952087636885562</x:v>
      </x:c>
      <x:c r="BG610" s="9" t="str">
        <x:v>0.08682610696722241</x:v>
      </x:c>
      <x:c r="BH610" s="6" t="str">
        <x:v>With trade</x:v>
      </x:c>
      <x:c r="BI610" s="6" t="str">
        <x:v>Penetration + same-bar reclaim</x:v>
      </x:c>
      <x:c r="BJ610" s="6" t="str">
        <x:v>False</x:v>
      </x:c>
      <x:c r="BK610" s="10" t="str">
        <x:v>True</x:v>
      </x:c>
      <x:c r="BL610" s="6" t="str">
        <x:v>True</x:v>
      </x:c>
      <x:c r="BM610" s="7" t="str">
        <x:v>2026-03-03 05:50:00-06:00</x:v>
      </x:c>
      <x:c r="BN610" s="8" t="str">
        <x:v>2</x:v>
      </x:c>
      <x:c r="BO610" s="6" t="str">
        <x:v>Delayed confirmation (2+ bars)</x:v>
      </x:c>
      <x:c r="BP610" s="9" t="str">
        <x:v>0.4908037253243479</x:v>
      </x:c>
      <x:c r="BQ610" s="9" t="str">
        <x:v>0.784088878262068</x:v>
      </x:c>
      <x:c r="BR610" s="10" t="str">
        <x:v>0.6259541984732825</x:v>
      </x:c>
      <x:c r="BS610" s="9" t="str">
        <x:v>0.6045265397287699</x:v>
      </x:c>
      <x:c r="BT610" s="9" t="str">
        <x:v>0.24540186266217395</x:v>
      </x:c>
      <x:c r="BU610" s="9" t="str">
        <x:v>0.2573726852310605</x:v>
      </x:c>
      <x:c r="BV610" s="6" t="str">
        <x:v>With trade</x:v>
      </x:c>
      <x:c r="BW610" s="7" t="str">
        <x:v>2026-03-03 05:50:00-06:00</x:v>
      </x:c>
      <x:c r="BX610" s="6" t="str">
        <x:v>22347.75</x:v>
      </x:c>
      <x:c r="BY610" s="9" t="str">
        <x:v>41.768224123507956</x:v>
      </x:c>
      <x:c r="BZ610" s="9" t="str">
        <x:v>0.91</x:v>
      </x:c>
      <x:c r="CA610" s="6" t="str">
        <x:v>22285.097663814737</x:v>
      </x:c>
      <x:c r="CB610" s="6" t="str">
        <x:v>62.652336185263266</x:v>
      </x:c>
      <x:c r="CC610" s="9" t="str">
        <x:v>1.500000000000032</x:v>
      </x:c>
      <x:c r="CD610" s="6" t="str">
        <x:v>22473.054672370523</x:v>
      </x:c>
      <x:c r="CE610" s="6" t="str">
        <x:v>125.3046723705229</x:v>
      </x:c>
      <x:c r="CF610" s="6" t="str">
        <x:v>Fixed 2.00R target</x:v>
      </x:c>
      <x:c r="CG610" s="9" t="str">
        <x:v>0.011571795149923403</x:v>
      </x:c>
      <x:c r="CH610" s="9" t="str">
        <x:v>1.1212670472857054</x:v>
      </x:c>
      <x:c r="CI610" s="9" t="str">
        <x:v>1.109695252135782</x:v>
      </x:c>
      <x:c r="CJ610" s="6" t="str">
        <x:v>Win</x:v>
      </x:c>
      <x:c r="CK610" s="9" t="str">
        <x:v>1.5721680307137313</x:v>
      </x:c>
      <x:c r="CL610" s="9" t="str">
        <x:v>0.5945508542546852</x:v>
      </x:c>
      <x:c r="CM610" s="7" t="str">
        <x:v>2026-03-03 06:50:00-06:00</x:v>
      </x:c>
      <x:c r="CN610" s="6" t="str">
        <x:v>22418.0</x:v>
      </x:c>
      <x:c r="CO610" s="6" t="str">
        <x:v>TIME</x:v>
      </x:c>
      <x:c r="CP610" s="6" t="str">
        <x:v>F::Long::Same-bar Setup+BOS::Penetration + same-bar reclaim</x:v>
      </x:c>
    </x:row>
    <x:row r="611" ht="18" customHeight="1">
      <x:c r="A611" s="6" t="str">
        <x:v>A0610</x:v>
      </x:c>
      <x:c r="B611" s="6" t="str">
        <x:v>2026-03-03</x:v>
      </x:c>
      <x:c r="C611" s="6" t="str">
        <x:v>2026</x:v>
      </x:c>
      <x:c r="D611" s="6" t="str">
        <x:v>2026-Q1</x:v>
      </x:c>
      <x:c r="E611" s="6" t="str">
        <x:v>Second 50%</x:v>
      </x:c>
      <x:c r="F611" s="6" t="str">
        <x:v>Short</x:v>
      </x:c>
      <x:c r="G611" s="6" t="str">
        <x:v>Short</x:v>
      </x:c>
      <x:c r="H611" s="6" t="str">
        <x:v>Premarket</x:v>
      </x:c>
      <x:c r="I611" s="6" t="str">
        <x:v>Premarket</x:v>
      </x:c>
      <x:c r="J611" s="6" t="str">
        <x:v>Bear</x:v>
      </x:c>
      <x:c r="K611" s="6" t="str">
        <x:v>Bear</x:v>
      </x:c>
      <x:c r="L611" s="6" t="str">
        <x:v>HIGH</x:v>
      </x:c>
      <x:c r="M611" s="7" t="str">
        <x:v>2026-03-03 09:15:00-06:00</x:v>
      </x:c>
      <x:c r="N611" s="6" t="str">
        <x:v>90.0</x:v>
      </x:c>
      <x:c r="O611" s="6" t="str">
        <x:v>90-94</x:v>
      </x:c>
      <x:c r="P611" s="6" t="str">
        <x:v>Matching BOS only</x:v>
      </x:c>
      <x:c r="Q611" s="6" t="str">
        <x:v>Bear CHoCH</x:v>
      </x:c>
      <x:c r="R611" s="6" t="str">
        <x:v>True</x:v>
      </x:c>
      <x:c r="S611" s="6" t="str">
        <x:v>False</x:v>
      </x:c>
      <x:c r="T611" s="6" t="str">
        <x:v>Recent BSL</x:v>
      </x:c>
      <x:c r="U611" s="6" t="str">
        <x:v>BSL</x:v>
      </x:c>
      <x:c r="V611" s="6" t="str">
        <x:v>Swing high / buy-side</x:v>
      </x:c>
      <x:c r="W611" s="6" t="str">
        <x:v>[22446.25]</x:v>
      </x:c>
      <x:c r="X611" s="8" t="str">
        <x:v>1</x:v>
      </x:c>
      <x:c r="Y611" s="8" t="str">
        <x:v>9.0</x:v>
      </x:c>
      <x:c r="Z611" s="6" t="str">
        <x:v>None</x:v>
      </x:c>
      <x:c r="AA611" s="6" t="str">
        <x:v>22287.25</x:v>
      </x:c>
      <x:c r="AB611" s="9" t="str">
        <x:v>0.19195724584177618</x:v>
      </x:c>
      <x:c r="AC611" s="9" t="str">
        <x:v>0.9782436566936671</x:v>
      </x:c>
      <x:c r="AD611" s="9" t="str">
        <x:v>1.3437007208924332</x:v>
      </x:c>
      <x:c r="AE611" s="6" t="str">
        <x:v>With trade</x:v>
      </x:c>
      <x:c r="AF611" s="7" t="str">
        <x:v>2026-03-03 09:15:00-06:00</x:v>
      </x:c>
      <x:c r="AG611" s="6" t="str">
        <x:v>Short</x:v>
      </x:c>
      <x:c r="AH611" s="6" t="str">
        <x:v>22287.25</x:v>
      </x:c>
      <x:c r="AI611" s="8" t="str">
        <x:v>0</x:v>
      </x:c>
      <x:c r="AJ611" s="6" t="str">
        <x:v>True</x:v>
      </x:c>
      <x:c r="AK611" s="6" t="str">
        <x:v>Same-bar Setup+BOS</x:v>
      </x:c>
      <x:c r="AL611" s="9" t="str">
        <x:v>0.9819351421906243</x:v>
      </x:c>
      <x:c r="AM611" s="9" t="str">
        <x:v>0.19195724584177618</x:v>
      </x:c>
      <x:c r="AN611" s="9" t="str">
        <x:v>0.9782436566936671</x:v>
      </x:c>
      <x:c r="AO611" s="9" t="str">
        <x:v>1.3437007208924332</x:v>
      </x:c>
      <x:c r="AP611" s="10" t="str">
        <x:v>0.728021978021978</x:v>
      </x:c>
      <x:c r="AQ611" s="6" t="str">
        <x:v>0.19230769230769232</x:v>
      </x:c>
      <x:c r="AR611" s="6" t="str">
        <x:v>0.07967032967032966</x:v>
      </x:c>
      <x:c r="AS611" s="6" t="str">
        <x:v>With trade</x:v>
      </x:c>
      <x:c r="AT611" s="6" t="str">
        <x:v>1.2392712465922482</x:v>
      </x:c>
      <x:c r="AU611" s="7" t="str">
        <x:v>2026-03-03 09:20:00-06:00</x:v>
      </x:c>
      <x:c r="AV611" s="8" t="str">
        <x:v>1</x:v>
      </x:c>
      <x:c r="AW611" s="6" t="str">
        <x:v>Immediate retest (1 bar)</x:v>
      </x:c>
      <x:c r="AX611" s="6" t="str">
        <x:v>22282.0</x:v>
      </x:c>
      <x:c r="AY611" s="6" t="str">
        <x:v>0.0</x:v>
      </x:c>
      <x:c r="AZ611" s="9" t="str">
        <x:v>0.0</x:v>
      </x:c>
      <x:c r="BA611" s="9" t="str">
        <x:v>0.7455498290954531</x:v>
      </x:c>
      <x:c r="BB611" s="9" t="str">
        <x:v>0.87229330004168</x:v>
      </x:c>
      <x:c r="BC611" s="9" t="str">
        <x:v>0.5442513752396807</x:v>
      </x:c>
      <x:c r="BD611" s="6" t="str">
        <x:v>0.14102564102564102</x:v>
      </x:c>
      <x:c r="BE611" s="6" t="str">
        <x:v>0.23504273504273504</x:v>
      </x:c>
      <x:c r="BF611" s="9" t="str">
        <x:v>0.12301572180074975</x:v>
      </x:c>
      <x:c r="BG611" s="9" t="str">
        <x:v>0.2050262030012496</x:v>
      </x:c>
      <x:c r="BH611" s="6" t="str">
        <x:v>With trade</x:v>
      </x:c>
      <x:c r="BI611" s="6" t="str">
        <x:v>Tolerance-only shallow touch</x:v>
      </x:c>
      <x:c r="BJ611" s="6" t="str">
        <x:v>True</x:v>
      </x:c>
      <x:c r="BK611" s="10" t="str">
        <x:v>False</x:v>
      </x:c>
      <x:c r="BL611" s="6" t="str">
        <x:v>True</x:v>
      </x:c>
      <x:c r="BM611" s="7" t="str">
        <x:v>2026-03-03 09:25:00-06:00</x:v>
      </x:c>
      <x:c r="BN611" s="8" t="str">
        <x:v>1</x:v>
      </x:c>
      <x:c r="BO611" s="6" t="str">
        <x:v>Immediate confirmation (1 bar)</x:v>
      </x:c>
      <x:c r="BP611" s="9" t="str">
        <x:v>0.5883375035272648</x:v>
      </x:c>
      <x:c r="BQ611" s="9" t="str">
        <x:v>0.7629408916708401</x:v>
      </x:c>
      <x:c r="BR611" s="10" t="str">
        <x:v>0.7711442786069652</x:v>
      </x:c>
      <x:c r="BS611" s="9" t="str">
        <x:v>1.3550741210273132</x:v>
      </x:c>
      <x:c r="BT611" s="9" t="str">
        <x:v>0.5959289551856811</x:v>
      </x:c>
      <x:c r="BU611" s="9" t="str">
        <x:v>0.07591451658416319</x:v>
      </x:c>
      <x:c r="BV611" s="6" t="str">
        <x:v>With trade</x:v>
      </x:c>
      <x:c r="BW611" s="7" t="str">
        <x:v>2026-03-03 09:25:00-06:00</x:v>
      </x:c>
      <x:c r="BX611" s="6" t="str">
        <x:v>22198.0</x:v>
      </x:c>
      <x:c r="BY611" s="9" t="str">
        <x:v>65.86355581223668</x:v>
      </x:c>
      <x:c r="BZ611" s="9" t="str">
        <x:v>0.97</x:v>
      </x:c>
      <x:c r="CA611" s="6" t="str">
        <x:v>22296.795333718354</x:v>
      </x:c>
      <x:c r="CB611" s="6" t="str">
        <x:v>98.7953337183535</x:v>
      </x:c>
      <x:c r="CC611" s="9" t="str">
        <x:v>1.499999999999977</x:v>
      </x:c>
      <x:c r="CD611" s="6" t="str">
        <x:v>22000.40933256329</x:v>
      </x:c>
      <x:c r="CE611" s="6" t="str">
        <x:v>197.59066743671065</x:v>
      </x:c>
      <x:c r="CF611" s="6" t="str">
        <x:v>Fixed 2.00R target</x:v>
      </x:c>
      <x:c r="CG611" s="9" t="str">
        <x:v>0.007338403269802556</x:v>
      </x:c>
      <x:c r="CH611" s="9" t="str">
        <x:v>-1.0</x:v>
      </x:c>
      <x:c r="CI611" s="9" t="str">
        <x:v>-1.0073384032698025</x:v>
      </x:c>
      <x:c r="CJ611" s="6" t="str">
        <x:v>Loss</x:v>
      </x:c>
      <x:c r="CK611" s="9" t="str">
        <x:v>0.02277435497524931</x:v>
      </x:c>
      <x:c r="CL611" s="9" t="str">
        <x:v>1.024845973886219</x:v>
      </x:c>
      <x:c r="CM611" s="7" t="str">
        <x:v>2026-03-03 09:35:00-06:00</x:v>
      </x:c>
      <x:c r="CN611" s="6" t="str">
        <x:v>22296.795333718354</x:v>
      </x:c>
      <x:c r="CO611" s="6" t="str">
        <x:v>STOP</x:v>
      </x:c>
      <x:c r="CP611" s="6" t="str">
        <x:v>F::Short::Same-bar Setup+BOS::Tolerance-only shallow touch</x:v>
      </x:c>
    </x:row>
    <x:row r="612" ht="18" customHeight="1">
      <x:c r="A612" s="6" t="str">
        <x:v>A0611</x:v>
      </x:c>
      <x:c r="B612" s="6" t="str">
        <x:v>2026-03-03</x:v>
      </x:c>
      <x:c r="C612" s="6" t="str">
        <x:v>2026</x:v>
      </x:c>
      <x:c r="D612" s="6" t="str">
        <x:v>2026-Q1</x:v>
      </x:c>
      <x:c r="E612" s="6" t="str">
        <x:v>Second 50%</x:v>
      </x:c>
      <x:c r="F612" s="6" t="str">
        <x:v>Long</x:v>
      </x:c>
      <x:c r="G612" s="6" t="str">
        <x:v>Long</x:v>
      </x:c>
      <x:c r="H612" s="6" t="str">
        <x:v>Morning</x:v>
      </x:c>
      <x:c r="I612" s="6" t="str">
        <x:v>Morning</x:v>
      </x:c>
      <x:c r="J612" s="6" t="str">
        <x:v>Neutral</x:v>
      </x:c>
      <x:c r="K612" s="6" t="str">
        <x:v>Bear</x:v>
      </x:c>
      <x:c r="L612" s="6" t="str">
        <x:v>HIGH</x:v>
      </x:c>
      <x:c r="M612" s="7" t="str">
        <x:v>2026-03-03 10:45:00-06:00</x:v>
      </x:c>
      <x:c r="N612" s="6" t="str">
        <x:v>75.0</x:v>
      </x:c>
      <x:c r="O612" s="6" t="str">
        <x:v>75-79</x:v>
      </x:c>
      <x:c r="P612" s="6" t="str">
        <x:v>Matching BOS only</x:v>
      </x:c>
      <x:c r="Q612" s="6" t="str">
        <x:v>Bull CHoCH</x:v>
      </x:c>
      <x:c r="R612" s="6" t="str">
        <x:v>True</x:v>
      </x:c>
      <x:c r="S612" s="6" t="str">
        <x:v>False</x:v>
      </x:c>
      <x:c r="T612" s="6" t="str">
        <x:v>No recent matching sweep</x:v>
      </x:c>
      <x:c r="U612" s="6" t="str">
        <x:v>None</x:v>
      </x:c>
      <x:c r="V612" s="6" t="str">
        <x:v>None</x:v>
      </x:c>
      <x:c r="W612" s="6" t="str">
        <x:v>[]</x:v>
      </x:c>
      <x:c r="X612" s="8" t="str">
        <x:v>0</x:v>
      </x:c>
      <x:c r="Y612" s="8" t="str"/>
      <x:c r="Z612" s="6" t="str">
        <x:v>None</x:v>
      </x:c>
      <x:c r="AA612" s="6" t="str">
        <x:v>22500.75</x:v>
      </x:c>
      <x:c r="AB612" s="9" t="str">
        <x:v>0.454245686197819</x:v>
      </x:c>
      <x:c r="AC612" s="9" t="str">
        <x:v>0.6735367071209041</x:v>
      </x:c>
      <x:c r="AD612" s="9" t="str">
        <x:v>1.2530915481319145</x:v>
      </x:c>
      <x:c r="AE612" s="6" t="str">
        <x:v>With trade</x:v>
      </x:c>
      <x:c r="AF612" s="7" t="str">
        <x:v>2026-03-03 10:45:00-06:00</x:v>
      </x:c>
      <x:c r="AG612" s="6" t="str">
        <x:v>Long</x:v>
      </x:c>
      <x:c r="AH612" s="6" t="str">
        <x:v>22500.75</x:v>
      </x:c>
      <x:c r="AI612" s="8" t="str">
        <x:v>0</x:v>
      </x:c>
      <x:c r="AJ612" s="6" t="str">
        <x:v>True</x:v>
      </x:c>
      <x:c r="AK612" s="6" t="str">
        <x:v>Same-bar Setup+BOS</x:v>
      </x:c>
      <x:c r="AL612" s="9" t="str">
        <x:v>0.6696207960329918</x:v>
      </x:c>
      <x:c r="AM612" s="9" t="str">
        <x:v>0.454245686197819</x:v>
      </x:c>
      <x:c r="AN612" s="9" t="str">
        <x:v>0.6735367071209041</x:v>
      </x:c>
      <x:c r="AO612" s="9" t="str">
        <x:v>1.2530915481319145</x:v>
      </x:c>
      <x:c r="AP612" s="10" t="str">
        <x:v>0.5375</x:v>
      </x:c>
      <x:c r="AQ612" s="6" t="str">
        <x:v>0.43125</x:v>
      </x:c>
      <x:c r="AR612" s="6" t="str">
        <x:v>0.03125</x:v>
      </x:c>
      <x:c r="AS612" s="6" t="str">
        <x:v>With trade</x:v>
      </x:c>
      <x:c r="AT612" s="6" t="str">
        <x:v>1.3512684858408408</x:v>
      </x:c>
      <x:c r="AU612" s="7" t="str">
        <x:v>2026-03-03 10:50:00-06:00</x:v>
      </x:c>
      <x:c r="AV612" s="8" t="str">
        <x:v>1</x:v>
      </x:c>
      <x:c r="AW612" s="6" t="str">
        <x:v>Immediate retest (1 bar)</x:v>
      </x:c>
      <x:c r="AX612" s="6" t="str">
        <x:v>22505.0</x:v>
      </x:c>
      <x:c r="AY612" s="6" t="str">
        <x:v>0.0</x:v>
      </x:c>
      <x:c r="AZ612" s="9" t="str">
        <x:v>0.0</x:v>
      </x:c>
      <x:c r="BA612" s="9" t="str">
        <x:v>0.5384943387929738</x:v>
      </x:c>
      <x:c r="BB612" s="9" t="str">
        <x:v>0.5587384868678977</x:v>
      </x:c>
      <x:c r="BC612" s="9" t="str">
        <x:v>0.06478127383975625</x:v>
      </x:c>
      <x:c r="BD612" s="6" t="str">
        <x:v>0.15942028985507245</x:v>
      </x:c>
      <x:c r="BE612" s="6" t="str">
        <x:v>0.7246376811594203</x:v>
      </x:c>
      <x:c r="BF612" s="9" t="str">
        <x:v>0.4048829614984766</x:v>
      </x:c>
      <x:c r="BG612" s="9" t="str">
        <x:v>0.08907425152966485</x:v>
      </x:c>
      <x:c r="BH612" s="6" t="str">
        <x:v>With trade</x:v>
      </x:c>
      <x:c r="BI612" s="6" t="str">
        <x:v>Tolerance-only shallow touch</x:v>
      </x:c>
      <x:c r="BJ612" s="6" t="str">
        <x:v>True</x:v>
      </x:c>
      <x:c r="BK612" s="10" t="str">
        <x:v>False</x:v>
      </x:c>
      <x:c r="BL612" s="6" t="str">
        <x:v>True</x:v>
      </x:c>
      <x:c r="BM612" s="7" t="str">
        <x:v>2026-03-03 11:00:00-06:00</x:v>
      </x:c>
      <x:c r="BN612" s="8" t="str">
        <x:v>2</x:v>
      </x:c>
      <x:c r="BO612" s="6" t="str">
        <x:v>Delayed confirmation (2+ bars)</x:v>
      </x:c>
      <x:c r="BP612" s="9" t="str">
        <x:v>0.05409943640440523</x:v>
      </x:c>
      <x:c r="BQ612" s="9" t="str">
        <x:v>0.8198145362821408</x:v>
      </x:c>
      <x:c r="BR612" s="10" t="str">
        <x:v>0.06598984771573604</x:v>
      </x:c>
      <x:c r="BS612" s="9" t="str">
        <x:v>0.21639774561762093</x:v>
      </x:c>
      <x:c r="BT612" s="9" t="str">
        <x:v>-0.3370811037505249</x:v>
      </x:c>
      <x:c r="BU612" s="9" t="str">
        <x:v>0.4785719374235848</x:v>
      </x:c>
      <x:c r="BV612" s="6" t="str">
        <x:v>With trade</x:v>
      </x:c>
      <x:c r="BW612" s="7" t="str">
        <x:v>2026-03-03 11:00:00-06:00</x:v>
      </x:c>
      <x:c r="BX612" s="6" t="str">
        <x:v>22513.75</x:v>
      </x:c>
      <x:c r="BY612" s="9" t="str">
        <x:v>60.074562990001084</x:v>
      </x:c>
      <x:c r="BZ612" s="9" t="str">
        <x:v>0.74</x:v>
      </x:c>
      <x:c r="CA612" s="6" t="str">
        <x:v>22423.638155515</x:v>
      </x:c>
      <x:c r="CB612" s="6" t="str">
        <x:v>90.11184448499989</x:v>
      </x:c>
      <x:c r="CC612" s="9" t="str">
        <x:v>1.4999999999999711</x:v>
      </x:c>
      <x:c r="CD612" s="6" t="str">
        <x:v>22693.973688970003</x:v>
      </x:c>
      <x:c r="CE612" s="6" t="str">
        <x:v>180.22368897000342</x:v>
      </x:c>
      <x:c r="CF612" s="6" t="str">
        <x:v>Fixed 2.00R target</x:v>
      </x:c>
      <x:c r="CG612" s="9" t="str">
        <x:v>0.00804555720886042</x:v>
      </x:c>
      <x:c r="CH612" s="9" t="str">
        <x:v>0.10542454273678968</x:v>
      </x:c>
      <x:c r="CI612" s="9" t="str">
        <x:v>0.09737898552792926</x:v>
      </x:c>
      <x:c r="CJ612" s="6" t="str">
        <x:v>Win</x:v>
      </x:c>
      <x:c r="CK612" s="9" t="str">
        <x:v>0.4216981709471669</x:v>
      </x:c>
      <x:c r="CL612" s="9" t="str">
        <x:v>0.7962327306699796</x:v>
      </x:c>
      <x:c r="CM612" s="7" t="str">
        <x:v>2026-03-03 12:00:00-06:00</x:v>
      </x:c>
      <x:c r="CN612" s="6" t="str">
        <x:v>22523.25</x:v>
      </x:c>
      <x:c r="CO612" s="6" t="str">
        <x:v>TIME</x:v>
      </x:c>
      <x:c r="CP612" s="6" t="str">
        <x:v>F::Long::Same-bar Setup+BOS::Tolerance-only shallow touch</x:v>
      </x:c>
    </x:row>
    <x:row r="613" ht="18" customHeight="1">
      <x:c r="A613" s="6" t="str">
        <x:v>A0612</x:v>
      </x:c>
      <x:c r="B613" s="6" t="str">
        <x:v>2026-03-05</x:v>
      </x:c>
      <x:c r="C613" s="6" t="str">
        <x:v>2026</x:v>
      </x:c>
      <x:c r="D613" s="6" t="str">
        <x:v>2026-Q1</x:v>
      </x:c>
      <x:c r="E613" s="6" t="str">
        <x:v>Second 50%</x:v>
      </x:c>
      <x:c r="F613" s="6" t="str">
        <x:v>Short</x:v>
      </x:c>
      <x:c r="G613" s="6" t="str">
        <x:v>Short</x:v>
      </x:c>
      <x:c r="H613" s="6" t="str">
        <x:v>Premarket</x:v>
      </x:c>
      <x:c r="I613" s="6" t="str">
        <x:v>Premarket</x:v>
      </x:c>
      <x:c r="J613" s="6" t="str">
        <x:v>Bull</x:v>
      </x:c>
      <x:c r="K613" s="6" t="str">
        <x:v>Bull</x:v>
      </x:c>
      <x:c r="L613" s="6" t="str">
        <x:v>HIGH</x:v>
      </x:c>
      <x:c r="M613" s="7" t="str">
        <x:v>2026-03-05 06:45:00-06:00</x:v>
      </x:c>
      <x:c r="N613" s="6" t="str">
        <x:v>75.0</x:v>
      </x:c>
      <x:c r="O613" s="6" t="str">
        <x:v>75-79</x:v>
      </x:c>
      <x:c r="P613" s="6" t="str">
        <x:v>Matching BOS only</x:v>
      </x:c>
      <x:c r="Q613" s="6" t="str">
        <x:v>Bear CHoCH</x:v>
      </x:c>
      <x:c r="R613" s="6" t="str">
        <x:v>True</x:v>
      </x:c>
      <x:c r="S613" s="6" t="str">
        <x:v>False</x:v>
      </x:c>
      <x:c r="T613" s="6" t="str">
        <x:v>Recent BSL</x:v>
      </x:c>
      <x:c r="U613" s="6" t="str">
        <x:v>BSL</x:v>
      </x:c>
      <x:c r="V613" s="6" t="str">
        <x:v>Swing high / buy-side</x:v>
      </x:c>
      <x:c r="W613" s="6" t="str">
        <x:v>[22993.25]</x:v>
      </x:c>
      <x:c r="X613" s="8" t="str">
        <x:v>1</x:v>
      </x:c>
      <x:c r="Y613" s="8" t="str">
        <x:v>5.0</x:v>
      </x:c>
      <x:c r="Z613" s="6" t="str">
        <x:v>Sweep below CRT reference</x:v>
      </x:c>
      <x:c r="AA613" s="6" t="str">
        <x:v>22918.0</x:v>
      </x:c>
      <x:c r="AB613" s="9" t="str">
        <x:v>0.05961257409979645</x:v>
      </x:c>
      <x:c r="AC613" s="9" t="str">
        <x:v>0.09367690215682299</x:v>
      </x:c>
      <x:c r="AD613" s="9" t="str">
        <x:v>1.3029605481812652</x:v>
      </x:c>
      <x:c r="AE613" s="6" t="str">
        <x:v>With trade</x:v>
      </x:c>
      <x:c r="AF613" s="7" t="str">
        <x:v>2026-03-05 06:45:00-06:00</x:v>
      </x:c>
      <x:c r="AG613" s="6" t="str">
        <x:v>Short</x:v>
      </x:c>
      <x:c r="AH613" s="6" t="str">
        <x:v>22918.0</x:v>
      </x:c>
      <x:c r="AI613" s="8" t="str">
        <x:v>0</x:v>
      </x:c>
      <x:c r="AJ613" s="6" t="str">
        <x:v>True</x:v>
      </x:c>
      <x:c r="AK613" s="6" t="str">
        <x:v>Same-bar Setup+BOS</x:v>
      </x:c>
      <x:c r="AL613" s="9" t="str">
        <x:v>0.17032164028513272</x:v>
      </x:c>
      <x:c r="AM613" s="9" t="str">
        <x:v>0.05961257409979645</x:v>
      </x:c>
      <x:c r="AN613" s="9" t="str">
        <x:v>0.09367690215682299</x:v>
      </x:c>
      <x:c r="AO613" s="9" t="str">
        <x:v>1.3029605481812652</x:v>
      </x:c>
      <x:c r="AP613" s="10" t="str">
        <x:v>0.0718954248366013</x:v>
      </x:c>
      <x:c r="AQ613" s="6" t="str">
        <x:v>0.6078431372549019</x:v>
      </x:c>
      <x:c r="AR613" s="6" t="str">
        <x:v>0.3202614379084967</x:v>
      </x:c>
      <x:c r="AS613" s="6" t="str">
        <x:v>With trade</x:v>
      </x:c>
      <x:c r="AT613" s="6" t="str">
        <x:v>1.6372031662269129</x:v>
      </x:c>
      <x:c r="AU613" s="7" t="str">
        <x:v>2026-03-05 06:50:00-06:00</x:v>
      </x:c>
      <x:c r="AV613" s="8" t="str">
        <x:v>1</x:v>
      </x:c>
      <x:c r="AW613" s="6" t="str">
        <x:v>Immediate retest (1 bar)</x:v>
      </x:c>
      <x:c r="AX613" s="6" t="str">
        <x:v>22917.25</x:v>
      </x:c>
      <x:c r="AY613" s="6" t="str">
        <x:v>0.0</x:v>
      </x:c>
      <x:c r="AZ613" s="9" t="str">
        <x:v>0.0</x:v>
      </x:c>
      <x:c r="BA613" s="9" t="str">
        <x:v>0.7618941348074969</x:v>
      </x:c>
      <x:c r="BB613" s="9" t="str">
        <x:v>1.3581591098742336</x:v>
      </x:c>
      <x:c r="BC613" s="9" t="str">
        <x:v>0.6542351809760029</x:v>
      </x:c>
      <x:c r="BD613" s="6" t="str">
        <x:v>0.06097560975609756</x:v>
      </x:c>
      <x:c r="BE613" s="6" t="str">
        <x:v>0.4573170731707317</x:v>
      </x:c>
      <x:c r="BF613" s="9" t="str">
        <x:v>0.0828145798703801</x:v>
      </x:c>
      <x:c r="BG613" s="9" t="str">
        <x:v>0.6211093490278508</x:v>
      </x:c>
      <x:c r="BH613" s="6" t="str">
        <x:v>With trade</x:v>
      </x:c>
      <x:c r="BI613" s="6" t="str">
        <x:v>Tolerance-only shallow touch</x:v>
      </x:c>
      <x:c r="BJ613" s="6" t="str">
        <x:v>True</x:v>
      </x:c>
      <x:c r="BK613" s="10" t="str">
        <x:v>False</x:v>
      </x:c>
      <x:c r="BL613" s="6" t="str">
        <x:v>True</x:v>
      </x:c>
      <x:c r="BM613" s="7" t="str">
        <x:v>2026-03-05 07:00:00-06:00</x:v>
      </x:c>
      <x:c r="BN613" s="8" t="str">
        <x:v>2</x:v>
      </x:c>
      <x:c r="BO613" s="6" t="str">
        <x:v>Delayed confirmation (2+ bars)</x:v>
      </x:c>
      <x:c r="BP613" s="9" t="str">
        <x:v>0.585225657907046</x:v>
      </x:c>
      <x:c r="BQ613" s="9" t="str">
        <x:v>0.8651161899495462</x:v>
      </x:c>
      <x:c r="BR613" s="10" t="str">
        <x:v>0.6764705882352942</x:v>
      </x:c>
      <x:c r="BS613" s="9" t="str">
        <x:v>0.8905607837715918</x:v>
      </x:c>
      <x:c r="BT613" s="9" t="str">
        <x:v>0.11025990656219707</x:v>
      </x:c>
      <x:c r="BU613" s="9" t="str">
        <x:v>0.22051981312439414</x:v>
      </x:c>
      <x:c r="BV613" s="6" t="str">
        <x:v>With trade</x:v>
      </x:c>
      <x:c r="BW613" s="7" t="str">
        <x:v>2026-03-05 07:00:00-06:00</x:v>
      </x:c>
      <x:c r="BX613" s="6" t="str">
        <x:v>22891.75</x:v>
      </x:c>
      <x:c r="BY613" s="9" t="str">
        <x:v>29.47580948807254</x:v>
      </x:c>
      <x:c r="BZ613" s="9" t="str">
        <x:v>0.7</x:v>
      </x:c>
      <x:c r="CA613" s="6" t="str">
        <x:v>22935.963714232108</x:v>
      </x:c>
      <x:c r="CB613" s="6" t="str">
        <x:v>44.21371423210803</x:v>
      </x:c>
      <x:c r="CC613" s="9" t="str">
        <x:v>1.4999999999999736</x:v>
      </x:c>
      <x:c r="CD613" s="6" t="str">
        <x:v>22803.322571535784</x:v>
      </x:c>
      <x:c r="CE613" s="6" t="str">
        <x:v>88.42742846421606</x:v>
      </x:c>
      <x:c r="CF613" s="6" t="str">
        <x:v>Fixed 2.00R target</x:v>
      </x:c>
      <x:c r="CG613" s="9" t="str">
        <x:v>0.016397627129762928</x:v>
      </x:c>
      <x:c r="CH613" s="9" t="str">
        <x:v>1.4079341914865164</x:v>
      </x:c>
      <x:c r="CI613" s="9" t="str">
        <x:v>1.3915365643567534</x:v>
      </x:c>
      <x:c r="CJ613" s="6" t="str">
        <x:v>Win</x:v>
      </x:c>
      <x:c r="CK613" s="9" t="str">
        <x:v>1.679343192255031</x:v>
      </x:c>
      <x:c r="CL613" s="9" t="str">
        <x:v>0.45234833461414975</x:v>
      </x:c>
      <x:c r="CM613" s="7" t="str">
        <x:v>2026-03-05 08:00:00-06:00</x:v>
      </x:c>
      <x:c r="CN613" s="6" t="str">
        <x:v>22829.5</x:v>
      </x:c>
      <x:c r="CO613" s="6" t="str">
        <x:v>TIME</x:v>
      </x:c>
      <x:c r="CP613" s="6" t="str">
        <x:v>F::Short::Same-bar Setup+BOS::Tolerance-only shallow touch</x:v>
      </x:c>
    </x:row>
    <x:row r="614" ht="18" customHeight="1">
      <x:c r="A614" s="6" t="str">
        <x:v>A0613</x:v>
      </x:c>
      <x:c r="B614" s="6" t="str">
        <x:v>2026-03-06</x:v>
      </x:c>
      <x:c r="C614" s="6" t="str">
        <x:v>2026</x:v>
      </x:c>
      <x:c r="D614" s="6" t="str">
        <x:v>2026-Q1</x:v>
      </x:c>
      <x:c r="E614" s="6" t="str">
        <x:v>Second 50%</x:v>
      </x:c>
      <x:c r="F614" s="6" t="str">
        <x:v>Short</x:v>
      </x:c>
      <x:c r="G614" s="6" t="str">
        <x:v>Short</x:v>
      </x:c>
      <x:c r="H614" s="6" t="str">
        <x:v>Overnight</x:v>
      </x:c>
      <x:c r="I614" s="6" t="str">
        <x:v>Overnight</x:v>
      </x:c>
      <x:c r="J614" s="6" t="str">
        <x:v>Bull</x:v>
      </x:c>
      <x:c r="K614" s="6" t="str">
        <x:v>Bull</x:v>
      </x:c>
      <x:c r="L614" s="6" t="str">
        <x:v>HIGH</x:v>
      </x:c>
      <x:c r="M614" s="7" t="str">
        <x:v>2026-03-06 03:05:00-06:00</x:v>
      </x:c>
      <x:c r="N614" s="6" t="str">
        <x:v>75.0</x:v>
      </x:c>
      <x:c r="O614" s="6" t="str">
        <x:v>75-79</x:v>
      </x:c>
      <x:c r="P614" s="6" t="str">
        <x:v>Matching BOS only</x:v>
      </x:c>
      <x:c r="Q614" s="6" t="str">
        <x:v>Bear BOS</x:v>
      </x:c>
      <x:c r="R614" s="6" t="str">
        <x:v>True</x:v>
      </x:c>
      <x:c r="S614" s="6" t="str">
        <x:v>False</x:v>
      </x:c>
      <x:c r="T614" s="6" t="str">
        <x:v>Recent BSL</x:v>
      </x:c>
      <x:c r="U614" s="6" t="str">
        <x:v>BSL</x:v>
      </x:c>
      <x:c r="V614" s="6" t="str">
        <x:v>Swing high / buy-side</x:v>
      </x:c>
      <x:c r="W614" s="6" t="str">
        <x:v>[22975.0]</x:v>
      </x:c>
      <x:c r="X614" s="8" t="str">
        <x:v>1</x:v>
      </x:c>
      <x:c r="Y614" s="8" t="str">
        <x:v>20.0</x:v>
      </x:c>
      <x:c r="Z614" s="6" t="str">
        <x:v>None</x:v>
      </x:c>
      <x:c r="AA614" s="6" t="str">
        <x:v>22872.5</x:v>
      </x:c>
      <x:c r="AB614" s="9" t="str">
        <x:v>0.6155879859431542</x:v>
      </x:c>
      <x:c r="AC614" s="9" t="str">
        <x:v>1.0162087386998102</x:v>
      </x:c>
      <x:c r="AD614" s="9" t="str">
        <x:v>1.9444763365505982</x:v>
      </x:c>
      <x:c r="AE614" s="6" t="str">
        <x:v>With trade</x:v>
      </x:c>
      <x:c r="AF614" s="7" t="str">
        <x:v>2026-03-06 03:05:00-06:00</x:v>
      </x:c>
      <x:c r="AG614" s="6" t="str">
        <x:v>Short</x:v>
      </x:c>
      <x:c r="AH614" s="6" t="str">
        <x:v>22872.5</x:v>
      </x:c>
      <x:c r="AI614" s="8" t="str">
        <x:v>0</x:v>
      </x:c>
      <x:c r="AJ614" s="6" t="str">
        <x:v>True</x:v>
      </x:c>
      <x:c r="AK614" s="6" t="str">
        <x:v>Same-bar Setup+BOS</x:v>
      </x:c>
      <x:c r="AL614" s="9" t="str">
        <x:v>1.0552936901882644</x:v>
      </x:c>
      <x:c r="AM614" s="9" t="str">
        <x:v>0.6155879859431542</x:v>
      </x:c>
      <x:c r="AN614" s="9" t="str">
        <x:v>1.0162087386998102</x:v>
      </x:c>
      <x:c r="AO614" s="9" t="str">
        <x:v>1.9444763365505982</x:v>
      </x:c>
      <x:c r="AP614" s="10" t="str">
        <x:v>0.5226130653266332</x:v>
      </x:c>
      <x:c r="AQ614" s="6" t="str">
        <x:v>0.45226130653266333</x:v>
      </x:c>
      <x:c r="AR614" s="6" t="str">
        <x:v>0.02512562814070352</x:v>
      </x:c>
      <x:c r="AS614" s="6" t="str">
        <x:v>With trade</x:v>
      </x:c>
      <x:c r="AT614" s="6" t="str">
        <x:v>1.5331519214176677</x:v>
      </x:c>
      <x:c r="AU614" s="7" t="str">
        <x:v>2026-03-06 03:10:00-06:00</x:v>
      </x:c>
      <x:c r="AV614" s="8" t="str">
        <x:v>1</x:v>
      </x:c>
      <x:c r="AW614" s="6" t="str">
        <x:v>Immediate retest (1 bar)</x:v>
      </x:c>
      <x:c r="AX614" s="6" t="str">
        <x:v>22875.25</x:v>
      </x:c>
      <x:c r="AY614" s="6" t="str">
        <x:v>2.75</x:v>
      </x:c>
      <x:c r="AZ614" s="9" t="str">
        <x:v>0.10713525519709996</x:v>
      </x:c>
      <x:c r="BA614" s="9" t="str">
        <x:v>0.23374964770276355</x:v>
      </x:c>
      <x:c r="BB614" s="9" t="str">
        <x:v>1.0421338460081542</x:v>
      </x:c>
      <x:c r="BC614" s="9" t="str">
        <x:v>0.39932231482555436</x:v>
      </x:c>
      <x:c r="BD614" s="6" t="str">
        <x:v>0.32710280373831774</x:v>
      </x:c>
      <x:c r="BE614" s="6" t="str">
        <x:v>0.2897196261682243</x:v>
      </x:c>
      <x:c r="BF614" s="9" t="str">
        <x:v>0.3408849028998635</x:v>
      </x:c>
      <x:c r="BG614" s="9" t="str">
        <x:v>0.30192662828273625</x:v>
      </x:c>
      <x:c r="BH614" s="6" t="str">
        <x:v>Against trade</x:v>
      </x:c>
      <x:c r="BI614" s="6" t="str">
        <x:v>Penetration + same-bar reclaim</x:v>
      </x:c>
      <x:c r="BJ614" s="6" t="str">
        <x:v>False</x:v>
      </x:c>
      <x:c r="BK614" s="10" t="str">
        <x:v>True</x:v>
      </x:c>
      <x:c r="BL614" s="6" t="str">
        <x:v>True</x:v>
      </x:c>
      <x:c r="BM614" s="7" t="str">
        <x:v>2026-03-06 03:15:00-06:00</x:v>
      </x:c>
      <x:c r="BN614" s="8" t="str">
        <x:v>1</x:v>
      </x:c>
      <x:c r="BO614" s="6" t="str">
        <x:v>Immediate confirmation (1 bar)</x:v>
      </x:c>
      <x:c r="BP614" s="9" t="str">
        <x:v>1.012768199665628</x:v>
      </x:c>
      <x:c r="BQ614" s="9" t="str">
        <x:v>1.5981296361696147</x:v>
      </x:c>
      <x:c r="BR614" s="10" t="str">
        <x:v>0.6337209302325582</x:v>
      </x:c>
      <x:c r="BS614" s="9" t="str">
        <x:v>1.2636373867387651</x:v>
      </x:c>
      <x:c r="BT614" s="9" t="str">
        <x:v>1.0406425537848654</x:v>
      </x:c>
      <x:c r="BU614" s="9" t="str">
        <x:v>0.10220596510387071</x:v>
      </x:c>
      <x:c r="BV614" s="6" t="str">
        <x:v>With trade</x:v>
      </x:c>
      <x:c r="BW614" s="7" t="str">
        <x:v>2026-03-06 03:15:00-06:00</x:v>
      </x:c>
      <x:c r="BX614" s="6" t="str">
        <x:v>22838.5</x:v>
      </x:c>
      <x:c r="BY614" s="9" t="str">
        <x:v>26.9064530353508</x:v>
      </x:c>
      <x:c r="BZ614" s="9" t="str">
        <x:v>1.0</x:v>
      </x:c>
      <x:c r="CA614" s="6" t="str">
        <x:v>22878.859679553025</x:v>
      </x:c>
      <x:c r="CB614" s="6" t="str">
        <x:v>40.35967955302476</x:v>
      </x:c>
      <x:c r="CC614" s="9" t="str">
        <x:v>1.4999999999999465</x:v>
      </x:c>
      <x:c r="CD614" s="6" t="str">
        <x:v>22757.780640893947</x:v>
      </x:c>
      <x:c r="CE614" s="6" t="str">
        <x:v>80.71935910605316</x:v>
      </x:c>
      <x:c r="CF614" s="6" t="str">
        <x:v>Fixed 2.00R target</x:v>
      </x:c>
      <x:c r="CG614" s="9" t="str">
        <x:v>0.01796347265462034</x:v>
      </x:c>
      <x:c r="CH614" s="9" t="str">
        <x:v>2.0</x:v>
      </x:c>
      <x:c r="CI614" s="9" t="str">
        <x:v>1.9820365273453797</x:v>
      </x:c>
      <x:c r="CJ614" s="6" t="str">
        <x:v>Win</x:v>
      </x:c>
      <x:c r="CK614" s="9" t="str">
        <x:v>2.0565079039082597</x:v>
      </x:c>
      <x:c r="CL614" s="9" t="str">
        <x:v>0.07433161098463589</x:v>
      </x:c>
      <x:c r="CM614" s="7" t="str">
        <x:v>2026-03-06 03:35:00-06:00</x:v>
      </x:c>
      <x:c r="CN614" s="6" t="str">
        <x:v>22757.780640893947</x:v>
      </x:c>
      <x:c r="CO614" s="6" t="str">
        <x:v>TARGET</x:v>
      </x:c>
      <x:c r="CP614" s="6" t="str">
        <x:v>F::Short::Same-bar Setup+BOS::Penetration + same-bar reclaim</x:v>
      </x:c>
    </x:row>
    <x:row r="615" ht="18" customHeight="1">
      <x:c r="A615" s="6" t="str">
        <x:v>A0614</x:v>
      </x:c>
      <x:c r="B615" s="6" t="str">
        <x:v>2026-03-09</x:v>
      </x:c>
      <x:c r="C615" s="6" t="str">
        <x:v>2026</x:v>
      </x:c>
      <x:c r="D615" s="6" t="str">
        <x:v>2026-Q1</x:v>
      </x:c>
      <x:c r="E615" s="6" t="str">
        <x:v>Second 50%</x:v>
      </x:c>
      <x:c r="F615" s="6" t="str">
        <x:v>Long</x:v>
      </x:c>
      <x:c r="G615" s="6" t="str">
        <x:v>Long</x:v>
      </x:c>
      <x:c r="H615" s="6" t="str">
        <x:v>Opening</x:v>
      </x:c>
      <x:c r="I615" s="6" t="str">
        <x:v>Opening</x:v>
      </x:c>
      <x:c r="J615" s="6" t="str">
        <x:v>Bear</x:v>
      </x:c>
      <x:c r="K615" s="6" t="str">
        <x:v>Bear</x:v>
      </x:c>
      <x:c r="L615" s="6" t="str">
        <x:v>HIGH</x:v>
      </x:c>
      <x:c r="M615" s="7" t="str">
        <x:v>2026-03-09 09:35:00-05:00</x:v>
      </x:c>
      <x:c r="N615" s="6" t="str">
        <x:v>85.0</x:v>
      </x:c>
      <x:c r="O615" s="6" t="str">
        <x:v>85-89</x:v>
      </x:c>
      <x:c r="P615" s="6" t="str">
        <x:v>Matching BOS only</x:v>
      </x:c>
      <x:c r="Q615" s="6" t="str">
        <x:v>Bull CHoCH</x:v>
      </x:c>
      <x:c r="R615" s="6" t="str">
        <x:v>True</x:v>
      </x:c>
      <x:c r="S615" s="6" t="str">
        <x:v>False</x:v>
      </x:c>
      <x:c r="T615" s="6" t="str">
        <x:v>Recent SSL</x:v>
      </x:c>
      <x:c r="U615" s="6" t="str">
        <x:v>SSL</x:v>
      </x:c>
      <x:c r="V615" s="6" t="str">
        <x:v>Swing low / sell-side</x:v>
      </x:c>
      <x:c r="W615" s="6" t="str">
        <x:v>[22179.5]</x:v>
      </x:c>
      <x:c r="X615" s="8" t="str">
        <x:v>1</x:v>
      </x:c>
      <x:c r="Y615" s="8" t="str">
        <x:v>9.0</x:v>
      </x:c>
      <x:c r="Z615" s="6" t="str">
        <x:v>None</x:v>
      </x:c>
      <x:c r="AA615" s="6" t="str">
        <x:v>22319.25</x:v>
      </x:c>
      <x:c r="AB615" s="9" t="str">
        <x:v>0.05560763165606435</x:v>
      </x:c>
      <x:c r="AC615" s="9" t="str">
        <x:v>0.82670012395349</x:v>
      </x:c>
      <x:c r="AD615" s="9" t="str">
        <x:v>1.2493181245395792</x:v>
      </x:c>
      <x:c r="AE615" s="6" t="str">
        <x:v>With trade</x:v>
      </x:c>
      <x:c r="AF615" s="7" t="str">
        <x:v>2026-03-09 09:35:00-05:00</x:v>
      </x:c>
      <x:c r="AG615" s="6" t="str">
        <x:v>Long</x:v>
      </x:c>
      <x:c r="AH615" s="6" t="str">
        <x:v>22319.25</x:v>
      </x:c>
      <x:c r="AI615" s="8" t="str">
        <x:v>0</x:v>
      </x:c>
      <x:c r="AJ615" s="6" t="str">
        <x:v>True</x:v>
      </x:c>
      <x:c r="AK615" s="6" t="str">
        <x:v>Same-bar Setup+BOS</x:v>
      </x:c>
      <x:c r="AL615" s="9" t="str">
        <x:v>0.8081642467348019</x:v>
      </x:c>
      <x:c r="AM615" s="9" t="str">
        <x:v>0.05560763165606435</x:v>
      </x:c>
      <x:c r="AN615" s="9" t="str">
        <x:v>0.82670012395349</x:v>
      </x:c>
      <x:c r="AO615" s="9" t="str">
        <x:v>1.2493181245395792</x:v>
      </x:c>
      <x:c r="AP615" s="10" t="str">
        <x:v>0.6617210682492581</x:v>
      </x:c>
      <x:c r="AQ615" s="6" t="str">
        <x:v>0.26706231454005935</x:v>
      </x:c>
      <x:c r="AR615" s="6" t="str">
        <x:v>0.0712166172106825</x:v>
      </x:c>
      <x:c r="AS615" s="6" t="str">
        <x:v>With trade</x:v>
      </x:c>
      <x:c r="AT615" s="6" t="str">
        <x:v>1.0313931911993033</x:v>
      </x:c>
      <x:c r="AU615" s="7" t="str">
        <x:v>2026-03-09 09:40:00-05:00</x:v>
      </x:c>
      <x:c r="AV615" s="8" t="str">
        <x:v>1</x:v>
      </x:c>
      <x:c r="AW615" s="6" t="str">
        <x:v>Immediate retest (1 bar)</x:v>
      </x:c>
      <x:c r="AX615" s="6" t="str">
        <x:v>22303.0</x:v>
      </x:c>
      <x:c r="AY615" s="6" t="str">
        <x:v>16.25</x:v>
      </x:c>
      <x:c r="AZ615" s="9" t="str">
        <x:v>0.23968101376314646</x:v>
      </x:c>
      <x:c r="BA615" s="9" t="str">
        <x:v>0.8222902472181793</x:v>
      </x:c>
      <x:c r="BB615" s="9" t="str">
        <x:v>1.0693460614048071</x:v>
      </x:c>
      <x:c r="BC615" s="9" t="str">
        <x:v>0.7780414446772907</x:v>
      </x:c>
      <x:c r="BD615" s="6" t="str">
        <x:v>0.006896551724137931</x:v>
      </x:c>
      <x:c r="BE615" s="6" t="str">
        <x:v>0.2655172413793103</x:v>
      </x:c>
      <x:c r="BF615" s="9" t="str">
        <x:v>0.283929816304035</x:v>
      </x:c>
      <x:c r="BG615" s="9" t="str">
        <x:v>0.0073748004234814295</x:v>
      </x:c>
      <x:c r="BH615" s="6" t="str">
        <x:v>With trade</x:v>
      </x:c>
      <x:c r="BI615" s="6" t="str">
        <x:v>Penetration + same-bar reclaim</x:v>
      </x:c>
      <x:c r="BJ615" s="6" t="str">
        <x:v>False</x:v>
      </x:c>
      <x:c r="BK615" s="10" t="str">
        <x:v>True</x:v>
      </x:c>
      <x:c r="BL615" s="6" t="str">
        <x:v>True</x:v>
      </x:c>
      <x:c r="BM615" s="7" t="str">
        <x:v>2026-03-09 09:45:00-05:00</x:v>
      </x:c>
      <x:c r="BN615" s="8" t="str">
        <x:v>1</x:v>
      </x:c>
      <x:c r="BO615" s="6" t="str">
        <x:v>Immediate confirmation (1 bar)</x:v>
      </x:c>
      <x:c r="BP615" s="9" t="str">
        <x:v>0.5327188792690373</x:v>
      </x:c>
      <x:c r="BQ615" s="9" t="str">
        <x:v>0.680066654386005</x:v>
      </x:c>
      <x:c r="BR615" s="10" t="str">
        <x:v>0.7833333333333333</x:v>
      </x:c>
      <x:c r="BS615" s="9" t="str">
        <x:v>1.375245901091699</x:v>
      </x:c>
      <x:c r="BT615" s="9" t="str">
        <x:v>0.5327188792690373</x:v>
      </x:c>
      <x:c r="BU615" s="9" t="str">
        <x:v>0.0831192577582895</x:v>
      </x:c>
      <x:c r="BV615" s="6" t="str">
        <x:v>With trade</x:v>
      </x:c>
      <x:c r="BW615" s="7" t="str">
        <x:v>2026-03-09 09:45:00-05:00</x:v>
      </x:c>
      <x:c r="BX615" s="6" t="str">
        <x:v>22410.25</x:v>
      </x:c>
      <x:c r="BY615" s="9" t="str">
        <x:v>66.16998452986647</x:v>
      </x:c>
      <x:c r="BZ615" s="9" t="str">
        <x:v>0.97</x:v>
      </x:c>
      <x:c r="CA615" s="6" t="str">
        <x:v>22310.9950232052</x:v>
      </x:c>
      <x:c r="CB615" s="6" t="str">
        <x:v>99.25497679480031</x:v>
      </x:c>
      <x:c r="CC615" s="9" t="str">
        <x:v>1.5000000000000093</x:v>
      </x:c>
      <x:c r="CD615" s="6" t="str">
        <x:v>22608.7599535896</x:v>
      </x:c>
      <x:c r="CE615" s="6" t="str">
        <x:v>198.50995358960063</x:v>
      </x:c>
      <x:c r="CF615" s="6" t="str">
        <x:v>Fixed 2.00R target</x:v>
      </x:c>
      <x:c r="CG615" s="9" t="str">
        <x:v>0.007304419621182972</x:v>
      </x:c>
      <x:c r="CH615" s="9" t="str">
        <x:v>0.5843535696946414</x:v>
      </x:c>
      <x:c r="CI615" s="9" t="str">
        <x:v>0.5770491500734584</x:v>
      </x:c>
      <x:c r="CJ615" s="6" t="str">
        <x:v>Win</x:v>
      </x:c>
      <x:c r="CK615" s="9" t="str">
        <x:v>0.7984486275568973</x:v>
      </x:c>
      <x:c r="CL615" s="9" t="str">
        <x:v>0.40300246185837085</x:v>
      </x:c>
      <x:c r="CM615" s="7" t="str">
        <x:v>2026-03-09 10:45:00-05:00</x:v>
      </x:c>
      <x:c r="CN615" s="6" t="str">
        <x:v>22468.25</x:v>
      </x:c>
      <x:c r="CO615" s="6" t="str">
        <x:v>TIME</x:v>
      </x:c>
      <x:c r="CP615" s="6" t="str">
        <x:v>F::Long::Same-bar Setup+BOS::Penetration + same-bar reclaim</x:v>
      </x:c>
    </x:row>
    <x:row r="616" ht="18" customHeight="1">
      <x:c r="A616" s="6" t="str">
        <x:v>A0615</x:v>
      </x:c>
      <x:c r="B616" s="6" t="str">
        <x:v>2026-03-10</x:v>
      </x:c>
      <x:c r="C616" s="6" t="str">
        <x:v>2026</x:v>
      </x:c>
      <x:c r="D616" s="6" t="str">
        <x:v>2026-Q1</x:v>
      </x:c>
      <x:c r="E616" s="6" t="str">
        <x:v>Second 50%</x:v>
      </x:c>
      <x:c r="F616" s="6" t="str">
        <x:v>Long</x:v>
      </x:c>
      <x:c r="G616" s="6" t="str">
        <x:v>Long</x:v>
      </x:c>
      <x:c r="H616" s="6" t="str">
        <x:v>Overnight</x:v>
      </x:c>
      <x:c r="I616" s="6" t="str">
        <x:v>Overnight</x:v>
      </x:c>
      <x:c r="J616" s="6" t="str">
        <x:v>Bull</x:v>
      </x:c>
      <x:c r="K616" s="6" t="str">
        <x:v>Bull</x:v>
      </x:c>
      <x:c r="L616" s="6" t="str">
        <x:v>LOW</x:v>
      </x:c>
      <x:c r="M616" s="7" t="str">
        <x:v>2026-03-10 02:00:00-05:00</x:v>
      </x:c>
      <x:c r="N616" s="6" t="str">
        <x:v>90.0</x:v>
      </x:c>
      <x:c r="O616" s="6" t="str">
        <x:v>90-94</x:v>
      </x:c>
      <x:c r="P616" s="6" t="str">
        <x:v>Matching liquidity sweep only</x:v>
      </x:c>
      <x:c r="Q616" s="6" t="str">
        <x:v>Recent bull structure</x:v>
      </x:c>
      <x:c r="R616" s="6" t="str">
        <x:v>False</x:v>
      </x:c>
      <x:c r="S616" s="6" t="str">
        <x:v>True</x:v>
      </x:c>
      <x:c r="T616" s="6" t="str">
        <x:v>Recent SSL</x:v>
      </x:c>
      <x:c r="U616" s="6" t="str">
        <x:v>SSL</x:v>
      </x:c>
      <x:c r="V616" s="6" t="str">
        <x:v>Swing low / sell-side</x:v>
      </x:c>
      <x:c r="W616" s="6" t="str">
        <x:v>[22780.5]</x:v>
      </x:c>
      <x:c r="X616" s="8" t="str">
        <x:v>1</x:v>
      </x:c>
      <x:c r="Y616" s="8" t="str">
        <x:v>0.0</x:v>
      </x:c>
      <x:c r="Z616" s="6" t="str">
        <x:v>Sweep below CRT reference</x:v>
      </x:c>
      <x:c r="AA616" s="6" t="str">
        <x:v>22825.75</x:v>
      </x:c>
      <x:c r="AB616" s="9" t="str">
        <x:v>0.0</x:v>
      </x:c>
      <x:c r="AC616" s="9" t="str">
        <x:v>1.6701312202137666</x:v>
      </x:c>
      <x:c r="AD616" s="9" t="str">
        <x:v>2.4738033863316695</x:v>
      </x:c>
      <x:c r="AE616" s="6" t="str">
        <x:v>With trade</x:v>
      </x:c>
      <x:c r="AF616" s="7" t="str">
        <x:v>2026-03-10 02:05:00-05:00</x:v>
      </x:c>
      <x:c r="AG616" s="6" t="str">
        <x:v>Long</x:v>
      </x:c>
      <x:c r="AH616" s="6" t="str">
        <x:v>22825.75</x:v>
      </x:c>
      <x:c r="AI616" s="8" t="str">
        <x:v>1</x:v>
      </x:c>
      <x:c r="AJ616" s="6" t="str">
        <x:v>False</x:v>
      </x:c>
      <x:c r="AK616" s="6" t="str">
        <x:v>Delayed BOS</x:v>
      </x:c>
      <x:c r="AL616" s="9" t="str">
        <x:v>0.736687015305847</x:v>
      </x:c>
      <x:c r="AM616" s="9" t="str">
        <x:v>0.736687015305847</x:v>
      </x:c>
      <x:c r="AN616" s="9" t="str">
        <x:v>0.6772767721360207</x:v>
      </x:c>
      <x:c r="AO616" s="9" t="str">
        <x:v>1.6991329546570342</x:v>
      </x:c>
      <x:c r="AP616" s="10" t="str">
        <x:v>0.3986013986013986</x:v>
      </x:c>
      <x:c r="AQ616" s="6" t="str">
        <x:v>0.5034965034965035</x:v>
      </x:c>
      <x:c r="AR616" s="6" t="str">
        <x:v>0.0979020979020979</x:v>
      </x:c>
      <x:c r="AS616" s="6" t="str">
        <x:v>With trade</x:v>
      </x:c>
      <x:c r="AT616" s="6" t="str">
        <x:v>4.639823843976093</x:v>
      </x:c>
      <x:c r="AU616" s="7" t="str">
        <x:v>2026-03-10 02:10:00-05:00</x:v>
      </x:c>
      <x:c r="AV616" s="8" t="str">
        <x:v>1</x:v>
      </x:c>
      <x:c r="AW616" s="6" t="str">
        <x:v>Immediate retest (1 bar)</x:v>
      </x:c>
      <x:c r="AX616" s="6" t="str">
        <x:v>22820.5</x:v>
      </x:c>
      <x:c r="AY616" s="6" t="str">
        <x:v>5.25</x:v>
      </x:c>
      <x:c r="AZ616" s="9" t="str">
        <x:v>0.24518645908505837</x:v>
      </x:c>
      <x:c r="BA616" s="9" t="str">
        <x:v>0.17513318506075598</x:v>
      </x:c>
      <x:c r="BB616" s="9" t="str">
        <x:v>1.2259322954252918</x:v>
      </x:c>
      <x:c r="BC616" s="9" t="str">
        <x:v>0.5954528292065703</x:v>
      </x:c>
      <x:c r="BD616" s="6" t="str">
        <x:v>0.17142857142857143</x:v>
      </x:c>
      <x:c r="BE616" s="6" t="str">
        <x:v>0.34285714285714286</x:v>
      </x:c>
      <x:c r="BF616" s="9" t="str">
        <x:v>0.42031964414581435</x:v>
      </x:c>
      <x:c r="BG616" s="9" t="str">
        <x:v>0.21015982207290718</x:v>
      </x:c>
      <x:c r="BH616" s="6" t="str">
        <x:v>Against trade</x:v>
      </x:c>
      <x:c r="BI616" s="6" t="str">
        <x:v>Penetration + same-bar reclaim</x:v>
      </x:c>
      <x:c r="BJ616" s="6" t="str">
        <x:v>False</x:v>
      </x:c>
      <x:c r="BK616" s="10" t="str">
        <x:v>True</x:v>
      </x:c>
      <x:c r="BL616" s="6" t="str">
        <x:v>True</x:v>
      </x:c>
      <x:c r="BM616" s="7" t="str">
        <x:v>2026-03-10 02:15:00-05:00</x:v>
      </x:c>
      <x:c r="BN616" s="8" t="str">
        <x:v>1</x:v>
      </x:c>
      <x:c r="BO616" s="6" t="str">
        <x:v>Immediate confirmation (1 bar)</x:v>
      </x:c>
      <x:c r="BP616" s="9" t="str">
        <x:v>0.7906015687920926</x:v>
      </x:c>
      <x:c r="BQ616" s="9" t="str">
        <x:v>0.8614017092809368</x:v>
      </x:c>
      <x:c r="BR616" s="10" t="str">
        <x:v>0.9178082191780822</x:v>
      </x:c>
      <x:c r="BS616" s="9" t="str">
        <x:v>0.8968017795253589</x:v>
      </x:c>
      <x:c r="BT616" s="9" t="str">
        <x:v>0.7198014283032486</x:v>
      </x:c>
      <x:c r="BU616" s="9" t="str">
        <x:v>0.05900011707403677</x:v>
      </x:c>
      <x:c r="BV616" s="6" t="str">
        <x:v>With trade</x:v>
      </x:c>
      <x:c r="BW616" s="7" t="str">
        <x:v>2026-03-10 02:15:00-05:00</x:v>
      </x:c>
      <x:c r="BX616" s="6" t="str">
        <x:v>22844.75</x:v>
      </x:c>
      <x:c r="BY616" s="9" t="str">
        <x:v>21.186398637674355</x:v>
      </x:c>
      <x:c r="BZ616" s="9" t="str">
        <x:v>0.16</x:v>
      </x:c>
      <x:c r="CA616" s="6" t="str">
        <x:v>22812.970402043487</x:v>
      </x:c>
      <x:c r="CB616" s="6" t="str">
        <x:v>31.77959795651259</x:v>
      </x:c>
      <x:c r="CC616" s="9" t="str">
        <x:v>1.50000000000005</x:v>
      </x:c>
      <x:c r="CD616" s="6" t="str">
        <x:v>22908.30919591302</x:v>
      </x:c>
      <x:c r="CE616" s="6" t="str">
        <x:v>63.55919591302154</x:v>
      </x:c>
      <x:c r="CF616" s="6" t="str">
        <x:v>Fixed 2.00R target</x:v>
      </x:c>
      <x:c r="CG616" s="9" t="str">
        <x:v>0.022813378601960126</x:v>
      </x:c>
      <x:c r="CH616" s="9" t="str">
        <x:v>2.0</x:v>
      </x:c>
      <x:c r="CI616" s="9" t="str">
        <x:v>1.9771866213980398</x:v>
      </x:c>
      <x:c r="CJ616" s="6" t="str">
        <x:v>Win</x:v>
      </x:c>
      <x:c r="CK616" s="9" t="str">
        <x:v>2.2420044488133226</x:v>
      </x:c>
      <x:c r="CL616" s="9" t="str">
        <x:v>0.13373359870114557</x:v>
      </x:c>
      <x:c r="CM616" s="7" t="str">
        <x:v>2026-03-10 02:30:00-05:00</x:v>
      </x:c>
      <x:c r="CN616" s="6" t="str">
        <x:v>22908.30919591302</x:v>
      </x:c>
      <x:c r="CO616" s="6" t="str">
        <x:v>TARGET</x:v>
      </x:c>
      <x:c r="CP616" s="6" t="str">
        <x:v>F::Long::Delayed BOS::Penetration + same-bar reclaim</x:v>
      </x:c>
    </x:row>
    <x:row r="617" ht="18" customHeight="1">
      <x:c r="A617" s="6" t="str">
        <x:v>A0616</x:v>
      </x:c>
      <x:c r="B617" s="6" t="str">
        <x:v>2026-03-10</x:v>
      </x:c>
      <x:c r="C617" s="6" t="str">
        <x:v>2026</x:v>
      </x:c>
      <x:c r="D617" s="6" t="str">
        <x:v>2026-Q1</x:v>
      </x:c>
      <x:c r="E617" s="6" t="str">
        <x:v>Second 50%</x:v>
      </x:c>
      <x:c r="F617" s="6" t="str">
        <x:v>Long</x:v>
      </x:c>
      <x:c r="G617" s="6" t="str">
        <x:v>Long</x:v>
      </x:c>
      <x:c r="H617" s="6" t="str">
        <x:v>Midday</x:v>
      </x:c>
      <x:c r="I617" s="6" t="str">
        <x:v>Midday</x:v>
      </x:c>
      <x:c r="J617" s="6" t="str">
        <x:v>Bull</x:v>
      </x:c>
      <x:c r="K617" s="6" t="str">
        <x:v>Bull</x:v>
      </x:c>
      <x:c r="L617" s="6" t="str">
        <x:v>MID</x:v>
      </x:c>
      <x:c r="M617" s="7" t="str">
        <x:v>2026-03-10 12:15:00-05:00</x:v>
      </x:c>
      <x:c r="N617" s="6" t="str">
        <x:v>100.0</x:v>
      </x:c>
      <x:c r="O617" s="6" t="str">
        <x:v>95+</x:v>
      </x:c>
      <x:c r="P617" s="6" t="str">
        <x:v>Matching BOS only</x:v>
      </x:c>
      <x:c r="Q617" s="6" t="str">
        <x:v>Bull CHoCH</x:v>
      </x:c>
      <x:c r="R617" s="6" t="str">
        <x:v>True</x:v>
      </x:c>
      <x:c r="S617" s="6" t="str">
        <x:v>False</x:v>
      </x:c>
      <x:c r="T617" s="6" t="str">
        <x:v>Recent SSL</x:v>
      </x:c>
      <x:c r="U617" s="6" t="str">
        <x:v>SSL</x:v>
      </x:c>
      <x:c r="V617" s="6" t="str">
        <x:v>Swing low / sell-side</x:v>
      </x:c>
      <x:c r="W617" s="6" t="str">
        <x:v>[22949.25]</x:v>
      </x:c>
      <x:c r="X617" s="8" t="str">
        <x:v>1</x:v>
      </x:c>
      <x:c r="Y617" s="8" t="str">
        <x:v>15.0</x:v>
      </x:c>
      <x:c r="Z617" s="6" t="str">
        <x:v>None</x:v>
      </x:c>
      <x:c r="AA617" s="6" t="str">
        <x:v>23021.5</x:v>
      </x:c>
      <x:c r="AB617" s="9" t="str">
        <x:v>0.46144525854110335</x:v>
      </x:c>
      <x:c r="AC617" s="9" t="str">
        <x:v>1.1391929820233488</x:v>
      </x:c>
      <x:c r="AD617" s="9" t="str">
        <x:v>1.2617643788233295</x:v>
      </x:c>
      <x:c r="AE617" s="6" t="str">
        <x:v>With trade</x:v>
      </x:c>
      <x:c r="AF617" s="7" t="str">
        <x:v>2026-03-10 12:15:00-05:00</x:v>
      </x:c>
      <x:c r="AG617" s="6" t="str">
        <x:v>Long</x:v>
      </x:c>
      <x:c r="AH617" s="6" t="str">
        <x:v>23021.5</x:v>
      </x:c>
      <x:c r="AI617" s="8" t="str">
        <x:v>0</x:v>
      </x:c>
      <x:c r="AJ617" s="6" t="str">
        <x:v>True</x:v>
      </x:c>
      <x:c r="AK617" s="6" t="str">
        <x:v>Same-bar Setup+BOS</x:v>
      </x:c>
      <x:c r="AL617" s="9" t="str">
        <x:v>1.1752433928468726</x:v>
      </x:c>
      <x:c r="AM617" s="9" t="str">
        <x:v>0.46144525854110335</x:v>
      </x:c>
      <x:c r="AN617" s="9" t="str">
        <x:v>1.1391929820233488</x:v>
      </x:c>
      <x:c r="AO617" s="9" t="str">
        <x:v>1.2617643788233295</x:v>
      </x:c>
      <x:c r="AP617" s="10" t="str">
        <x:v>0.9028571428571428</x:v>
      </x:c>
      <x:c r="AQ617" s="6" t="str">
        <x:v>0.04</x:v>
      </x:c>
      <x:c r="AR617" s="6" t="str">
        <x:v>0.05714285714285714</x:v>
      </x:c>
      <x:c r="AS617" s="6" t="str">
        <x:v>With trade</x:v>
      </x:c>
      <x:c r="AT617" s="6" t="str">
        <x:v>1.5267588780786598</x:v>
      </x:c>
      <x:c r="AU617" s="7" t="str">
        <x:v>2026-03-10 12:20:00-05:00</x:v>
      </x:c>
      <x:c r="AV617" s="8" t="str">
        <x:v>1</x:v>
      </x:c>
      <x:c r="AW617" s="6" t="str">
        <x:v>Immediate retest (1 bar)</x:v>
      </x:c>
      <x:c r="AX617" s="6" t="str">
        <x:v>23021.0</x:v>
      </x:c>
      <x:c r="AY617" s="6" t="str">
        <x:v>0.5</x:v>
      </x:c>
      <x:c r="AZ617" s="9" t="str">
        <x:v>0.014877546340118288</x:v>
      </x:c>
      <x:c r="BA617" s="9" t="str">
        <x:v>0.41657129752331207</x:v>
      </x:c>
      <x:c r="BB617" s="9" t="str">
        <x:v>0.5876630804346724</x:v>
      </x:c>
      <x:c r="BC617" s="9" t="str">
        <x:v>0.05207141219041401</x:v>
      </x:c>
      <x:c r="BD617" s="6" t="str">
        <x:v>0.17721518987341772</x:v>
      </x:c>
      <x:c r="BE617" s="6" t="str">
        <x:v>0.7341772151898734</x:v>
      </x:c>
      <x:c r="BF617" s="9" t="str">
        <x:v>0.43144884386343035</x:v>
      </x:c>
      <x:c r="BG617" s="9" t="str">
        <x:v>0.10414282438082802</x:v>
      </x:c>
      <x:c r="BH617" s="6" t="str">
        <x:v>Against trade</x:v>
      </x:c>
      <x:c r="BI617" s="6" t="str">
        <x:v>Penetration + same-bar reclaim</x:v>
      </x:c>
      <x:c r="BJ617" s="6" t="str">
        <x:v>False</x:v>
      </x:c>
      <x:c r="BK617" s="10" t="str">
        <x:v>True</x:v>
      </x:c>
      <x:c r="BL617" s="6" t="str">
        <x:v>True</x:v>
      </x:c>
      <x:c r="BM617" s="7" t="str">
        <x:v>2026-03-10 12:25:00-05:00</x:v>
      </x:c>
      <x:c r="BN617" s="8" t="str">
        <x:v>1</x:v>
      </x:c>
      <x:c r="BO617" s="6" t="str">
        <x:v>Immediate confirmation (1 bar)</x:v>
      </x:c>
      <x:c r="BP617" s="9" t="str">
        <x:v>0.499027867500006</x:v>
      </x:c>
      <x:c r="BQ617" s="9" t="str">
        <x:v>0.7863469427272821</x:v>
      </x:c>
      <x:c r="BR617" s="10" t="str">
        <x:v>0.6346153846153846</x:v>
      </x:c>
      <x:c r="BS617" s="9" t="str">
        <x:v>0.9300064803409203</x:v>
      </x:c>
      <x:c r="BT617" s="9" t="str">
        <x:v>0.5065888957954606</x:v>
      </x:c>
      <x:c r="BU617" s="9" t="str">
        <x:v>0.1436595376136381</x:v>
      </x:c>
      <x:c r="BV617" s="6" t="str">
        <x:v>With trade</x:v>
      </x:c>
      <x:c r="BW617" s="7" t="str">
        <x:v>2026-03-10 12:25:00-05:00</x:v>
      </x:c>
      <x:c r="BX617" s="6" t="str">
        <x:v>23052.25</x:v>
      </x:c>
      <x:c r="BY617" s="9" t="str">
        <x:v>33.06428573350125</x:v>
      </x:c>
      <x:c r="BZ617" s="9" t="str">
        <x:v>0.53</x:v>
      </x:c>
      <x:c r="CA617" s="6" t="str">
        <x:v>23002.653571399747</x:v>
      </x:c>
      <x:c r="CB617" s="6" t="str">
        <x:v>49.59642860025269</x:v>
      </x:c>
      <x:c r="CC617" s="9" t="str">
        <x:v>1.5000000000000246</x:v>
      </x:c>
      <x:c r="CD617" s="6" t="str">
        <x:v>23151.442857200505</x:v>
      </x:c>
      <x:c r="CE617" s="6" t="str">
        <x:v>99.19285720050539</x:v>
      </x:c>
      <x:c r="CF617" s="6" t="str">
        <x:v>Fixed 2.00R target</x:v>
      </x:c>
      <x:c r="CG617" s="9" t="str">
        <x:v>0.014617988037878723</x:v>
      </x:c>
      <x:c r="CH617" s="9" t="str">
        <x:v>-1.0</x:v>
      </x:c>
      <x:c r="CI617" s="9" t="str">
        <x:v>-1.0146179880378787</x:v>
      </x:c>
      <x:c r="CJ617" s="6" t="str">
        <x:v>Loss</x:v>
      </x:c>
      <x:c r="CK617" s="9" t="str">
        <x:v>0.0</x:v>
      </x:c>
      <x:c r="CL617" s="9" t="str">
        <x:v>1.0837473890151466</x:v>
      </x:c>
      <x:c r="CM617" s="7" t="str">
        <x:v>2026-03-10 12:30:00-05:00</x:v>
      </x:c>
      <x:c r="CN617" s="6" t="str">
        <x:v>23002.653571399747</x:v>
      </x:c>
      <x:c r="CO617" s="6" t="str">
        <x:v>STOP</x:v>
      </x:c>
      <x:c r="CP617" s="6" t="str">
        <x:v>F::Long::Same-bar Setup+BOS::Penetration + same-bar reclaim</x:v>
      </x:c>
    </x:row>
    <x:row r="618" ht="18" customHeight="1">
      <x:c r="A618" s="6" t="str">
        <x:v>A0617</x:v>
      </x:c>
      <x:c r="B618" s="6" t="str">
        <x:v>2026-03-10</x:v>
      </x:c>
      <x:c r="C618" s="6" t="str">
        <x:v>2026</x:v>
      </x:c>
      <x:c r="D618" s="6" t="str">
        <x:v>2026-Q1</x:v>
      </x:c>
      <x:c r="E618" s="6" t="str">
        <x:v>Second 50%</x:v>
      </x:c>
      <x:c r="F618" s="6" t="str">
        <x:v>Short</x:v>
      </x:c>
      <x:c r="G618" s="6" t="str">
        <x:v>Short</x:v>
      </x:c>
      <x:c r="H618" s="6" t="str">
        <x:v>Midday</x:v>
      </x:c>
      <x:c r="I618" s="6" t="str">
        <x:v>Midday</x:v>
      </x:c>
      <x:c r="J618" s="6" t="str">
        <x:v>Bull</x:v>
      </x:c>
      <x:c r="K618" s="6" t="str">
        <x:v>Bull</x:v>
      </x:c>
      <x:c r="L618" s="6" t="str">
        <x:v>HIGH</x:v>
      </x:c>
      <x:c r="M618" s="7" t="str">
        <x:v>2026-03-10 13:10:00-05:00</x:v>
      </x:c>
      <x:c r="N618" s="6" t="str">
        <x:v>75.0</x:v>
      </x:c>
      <x:c r="O618" s="6" t="str">
        <x:v>75-79</x:v>
      </x:c>
      <x:c r="P618" s="6" t="str">
        <x:v>Matching BOS only</x:v>
      </x:c>
      <x:c r="Q618" s="6" t="str">
        <x:v>Bear CHoCH</x:v>
      </x:c>
      <x:c r="R618" s="6" t="str">
        <x:v>True</x:v>
      </x:c>
      <x:c r="S618" s="6" t="str">
        <x:v>False</x:v>
      </x:c>
      <x:c r="T618" s="6" t="str">
        <x:v>No recent matching sweep</x:v>
      </x:c>
      <x:c r="U618" s="6" t="str">
        <x:v>None</x:v>
      </x:c>
      <x:c r="V618" s="6" t="str">
        <x:v>None</x:v>
      </x:c>
      <x:c r="W618" s="6" t="str">
        <x:v>[]</x:v>
      </x:c>
      <x:c r="X618" s="8" t="str">
        <x:v>0</x:v>
      </x:c>
      <x:c r="Y618" s="8" t="str"/>
      <x:c r="Z618" s="6" t="str">
        <x:v>None</x:v>
      </x:c>
      <x:c r="AA618" s="6" t="str">
        <x:v>22941.75</x:v>
      </x:c>
      <x:c r="AB618" s="9" t="str">
        <x:v>1.5011507630243246</x:v>
      </x:c>
      <x:c r="AC618" s="9" t="str">
        <x:v>2.560786595747377</x:v>
      </x:c>
      <x:c r="AD618" s="9" t="str">
        <x:v>3.125925706533005</x:v>
      </x:c>
      <x:c r="AE618" s="6" t="str">
        <x:v>With trade</x:v>
      </x:c>
      <x:c r="AF618" s="7" t="str">
        <x:v>2026-03-10 13:10:00-05:00</x:v>
      </x:c>
      <x:c r="AG618" s="6" t="str">
        <x:v>Short</x:v>
      </x:c>
      <x:c r="AH618" s="6" t="str">
        <x:v>22941.75</x:v>
      </x:c>
      <x:c r="AI618" s="8" t="str">
        <x:v>0</x:v>
      </x:c>
      <x:c r="AJ618" s="6" t="str">
        <x:v>True</x:v>
      </x:c>
      <x:c r="AK618" s="6" t="str">
        <x:v>Same-bar Setup+BOS</x:v>
      </x:c>
      <x:c r="AL618" s="9" t="str">
        <x:v>2.560786595747377</x:v>
      </x:c>
      <x:c r="AM618" s="9" t="str">
        <x:v>1.5011507630243246</x:v>
      </x:c>
      <x:c r="AN618" s="9" t="str">
        <x:v>2.560786595747377</x:v>
      </x:c>
      <x:c r="AO618" s="9" t="str">
        <x:v>3.125925706533005</x:v>
      </x:c>
      <x:c r="AP618" s="10" t="str">
        <x:v>0.8192090395480226</x:v>
      </x:c>
      <x:c r="AQ618" s="6" t="str">
        <x:v>0.1657250470809793</x:v>
      </x:c>
      <x:c r="AR618" s="6" t="str">
        <x:v>0.015065913370998116</x:v>
      </x:c>
      <x:c r="AS618" s="6" t="str">
        <x:v>With trade</x:v>
      </x:c>
      <x:c r="AT618" s="6" t="str">
        <x:v>2.8841041998936734</x:v>
      </x:c>
      <x:c r="AU618" s="7" t="str">
        <x:v>2026-03-10 13:25:00-05:00</x:v>
      </x:c>
      <x:c r="AV618" s="8" t="str">
        <x:v>3</x:v>
      </x:c>
      <x:c r="AW618" s="6" t="str">
        <x:v>Delayed retest (2+ bars)</x:v>
      </x:c>
      <x:c r="AX618" s="6" t="str">
        <x:v>22942.75</x:v>
      </x:c>
      <x:c r="AY618" s="6" t="str">
        <x:v>1.0</x:v>
      </x:c>
      <x:c r="AZ618" s="9" t="str">
        <x:v>0.02020452340533978</x:v>
      </x:c>
      <x:c r="BA618" s="9" t="str">
        <x:v>0.6920049266328875</x:v>
      </x:c>
      <x:c r="BB618" s="9" t="str">
        <x:v>1.5153392554004834</x:v>
      </x:c>
      <x:c r="BC618" s="9" t="str">
        <x:v>0.7172605808895621</x:v>
      </x:c>
      <x:c r="BD618" s="6" t="str">
        <x:v>0.47</x:v>
      </x:c>
      <x:c r="BE618" s="6" t="str">
        <x:v>0.056666666666666664</x:v>
      </x:c>
      <x:c r="BF618" s="9" t="str">
        <x:v>0.7122094500382272</x:v>
      </x:c>
      <x:c r="BG618" s="9" t="str">
        <x:v>0.08586922447269406</x:v>
      </x:c>
      <x:c r="BH618" s="6" t="str">
        <x:v>Against trade</x:v>
      </x:c>
      <x:c r="BI618" s="6" t="str">
        <x:v>Penetration + same-bar reclaim</x:v>
      </x:c>
      <x:c r="BJ618" s="6" t="str">
        <x:v>False</x:v>
      </x:c>
      <x:c r="BK618" s="10" t="str">
        <x:v>True</x:v>
      </x:c>
      <x:c r="BL618" s="6" t="str">
        <x:v>True</x:v>
      </x:c>
      <x:c r="BM618" s="7" t="str">
        <x:v>2026-03-10 13:35:00-05:00</x:v>
      </x:c>
      <x:c r="BN618" s="8" t="str">
        <x:v>2</x:v>
      </x:c>
      <x:c r="BO618" s="6" t="str">
        <x:v>Delayed confirmation (2+ bars)</x:v>
      </x:c>
      <x:c r="BP618" s="9" t="str">
        <x:v>0.6585980127342258</x:v>
      </x:c>
      <x:c r="BQ618" s="9" t="str">
        <x:v>1.3656223499342035</x:v>
      </x:c>
      <x:c r="BR618" s="10" t="str">
        <x:v>0.48226950354609927</x:v>
      </x:c>
      <x:c r="BS618" s="9" t="str">
        <x:v>1.0556938733533914</x:v>
      </x:c>
      <x:c r="BT618" s="9" t="str">
        <x:v>0.39225322817259034</x:v>
      </x:c>
      <x:c r="BU618" s="9" t="str">
        <x:v>0.30508584413423695</x:v>
      </x:c>
      <x:c r="BV618" s="6" t="str">
        <x:v>With trade</x:v>
      </x:c>
      <x:c r="BW618" s="7" t="str">
        <x:v>2026-03-10 13:35:00-05:00</x:v>
      </x:c>
      <x:c r="BX618" s="6" t="str">
        <x:v>22887.25</x:v>
      </x:c>
      <x:c r="BY618" s="9" t="str">
        <x:v>51.62481413942642</x:v>
      </x:c>
      <x:c r="BZ618" s="9" t="str">
        <x:v>1.0</x:v>
      </x:c>
      <x:c r="CA618" s="6" t="str">
        <x:v>22964.68722120914</x:v>
      </x:c>
      <x:c r="CB618" s="6" t="str">
        <x:v>77.43722120914026</x:v>
      </x:c>
      <x:c r="CC618" s="9" t="str">
        <x:v>1.5000000000000122</x:v>
      </x:c>
      <x:c r="CD618" s="6" t="str">
        <x:v>22732.37555758172</x:v>
      </x:c>
      <x:c r="CE618" s="6" t="str">
        <x:v>154.87444241828052</x:v>
      </x:c>
      <x:c r="CF618" s="6" t="str">
        <x:v>Fixed 2.00R target</x:v>
      </x:c>
      <x:c r="CG618" s="9" t="str">
        <x:v>0.00936242273004529</x:v>
      </x:c>
      <x:c r="CH618" s="9" t="str">
        <x:v>0.6844253857826267</x:v>
      </x:c>
      <x:c r="CI618" s="9" t="str">
        <x:v>0.6750629630525814</x:v>
      </x:c>
      <x:c r="CJ618" s="6" t="str">
        <x:v>Win</x:v>
      </x:c>
      <x:c r="CK618" s="9" t="str">
        <x:v>1.1686886304401363</x:v>
      </x:c>
      <x:c r="CL618" s="9" t="str">
        <x:v>0.5068621960748657</x:v>
      </x:c>
      <x:c r="CM618" s="7" t="str">
        <x:v>2026-03-10 14:35:00-05:00</x:v>
      </x:c>
      <x:c r="CN618" s="6" t="str">
        <x:v>22834.25</x:v>
      </x:c>
      <x:c r="CO618" s="6" t="str">
        <x:v>TIME</x:v>
      </x:c>
      <x:c r="CP618" s="6" t="str">
        <x:v>F::Short::Same-bar Setup+BOS::Penetration + same-bar reclaim</x:v>
      </x:c>
    </x:row>
    <x:row r="619" ht="18" customHeight="1">
      <x:c r="A619" s="6" t="str">
        <x:v>A0618</x:v>
      </x:c>
      <x:c r="B619" s="6" t="str">
        <x:v>2026-03-12</x:v>
      </x:c>
      <x:c r="C619" s="6" t="str">
        <x:v>2026</x:v>
      </x:c>
      <x:c r="D619" s="6" t="str">
        <x:v>2026-Q1</x:v>
      </x:c>
      <x:c r="E619" s="6" t="str">
        <x:v>Second 50%</x:v>
      </x:c>
      <x:c r="F619" s="6" t="str">
        <x:v>Short</x:v>
      </x:c>
      <x:c r="G619" s="6" t="str">
        <x:v>Short</x:v>
      </x:c>
      <x:c r="H619" s="6" t="str">
        <x:v>Premarket</x:v>
      </x:c>
      <x:c r="I619" s="6" t="str">
        <x:v>Premarket</x:v>
      </x:c>
      <x:c r="J619" s="6" t="str">
        <x:v>Bear</x:v>
      </x:c>
      <x:c r="K619" s="6" t="str">
        <x:v>Bear</x:v>
      </x:c>
      <x:c r="L619" s="6" t="str">
        <x:v>HIGH</x:v>
      </x:c>
      <x:c r="M619" s="7" t="str">
        <x:v>2026-03-12 07:00:00-05:00</x:v>
      </x:c>
      <x:c r="N619" s="6" t="str">
        <x:v>90.0</x:v>
      </x:c>
      <x:c r="O619" s="6" t="str">
        <x:v>90-94</x:v>
      </x:c>
      <x:c r="P619" s="6" t="str">
        <x:v>Matching BOS only</x:v>
      </x:c>
      <x:c r="Q619" s="6" t="str">
        <x:v>Bear CHoCH</x:v>
      </x:c>
      <x:c r="R619" s="6" t="str">
        <x:v>True</x:v>
      </x:c>
      <x:c r="S619" s="6" t="str">
        <x:v>False</x:v>
      </x:c>
      <x:c r="T619" s="6" t="str">
        <x:v>Recent BSL</x:v>
      </x:c>
      <x:c r="U619" s="6" t="str">
        <x:v>BSL</x:v>
      </x:c>
      <x:c r="V619" s="6" t="str">
        <x:v>Equal high / buy-side | Swing high / buy-side</x:v>
      </x:c>
      <x:c r="W619" s="6" t="str">
        <x:v>[22766.5,22766.0]</x:v>
      </x:c>
      <x:c r="X619" s="8" t="str">
        <x:v>2</x:v>
      </x:c>
      <x:c r="Y619" s="8" t="str">
        <x:v>4.0</x:v>
      </x:c>
      <x:c r="Z619" s="6" t="str">
        <x:v>None</x:v>
      </x:c>
      <x:c r="AA619" s="6" t="str">
        <x:v>22687.0</x:v>
      </x:c>
      <x:c r="AB619" s="9" t="str">
        <x:v>0.3949016958002321</x:v>
      </x:c>
      <x:c r="AC619" s="9" t="str">
        <x:v>0.880066636354803</x:v>
      </x:c>
      <x:c r="AD619" s="9" t="str">
        <x:v>1.365231576909374</x:v>
      </x:c>
      <x:c r="AE619" s="6" t="str">
        <x:v>With trade</x:v>
      </x:c>
      <x:c r="AF619" s="7" t="str">
        <x:v>2026-03-12 07:00:00-05:00</x:v>
      </x:c>
      <x:c r="AG619" s="6" t="str">
        <x:v>Short</x:v>
      </x:c>
      <x:c r="AH619" s="6" t="str">
        <x:v>22687.0</x:v>
      </x:c>
      <x:c r="AI619" s="8" t="str">
        <x:v>0</x:v>
      </x:c>
      <x:c r="AJ619" s="6" t="str">
        <x:v>True</x:v>
      </x:c>
      <x:c r="AK619" s="6" t="str">
        <x:v>Same-bar Setup+BOS</x:v>
      </x:c>
      <x:c r="AL619" s="9" t="str">
        <x:v>0.8236521083833412</x:v>
      </x:c>
      <x:c r="AM619" s="9" t="str">
        <x:v>0.3949016958002321</x:v>
      </x:c>
      <x:c r="AN619" s="9" t="str">
        <x:v>0.880066636354803</x:v>
      </x:c>
      <x:c r="AO619" s="9" t="str">
        <x:v>1.365231576909374</x:v>
      </x:c>
      <x:c r="AP619" s="10" t="str">
        <x:v>0.6446280991735537</x:v>
      </x:c>
      <x:c r="AQ619" s="6" t="str">
        <x:v>0.1487603305785124</x:v>
      </x:c>
      <x:c r="AR619" s="6" t="str">
        <x:v>0.2066115702479339</x:v>
      </x:c>
      <x:c r="AS619" s="6" t="str">
        <x:v>With trade</x:v>
      </x:c>
      <x:c r="AT619" s="6" t="str">
        <x:v>1.8648092448947284</x:v>
      </x:c>
      <x:c r="AU619" s="7" t="str">
        <x:v>2026-03-12 07:10:00-05:00</x:v>
      </x:c>
      <x:c r="AV619" s="8" t="str">
        <x:v>2</x:v>
      </x:c>
      <x:c r="AW619" s="6" t="str">
        <x:v>Delayed retest (2+ bars)</x:v>
      </x:c>
      <x:c r="AX619" s="6" t="str">
        <x:v>22686.5</x:v>
      </x:c>
      <x:c r="AY619" s="6" t="str">
        <x:v>0.0</x:v>
      </x:c>
      <x:c r="AZ619" s="9" t="str">
        <x:v>0.0</x:v>
      </x:c>
      <x:c r="BA619" s="9" t="str">
        <x:v>0.600259947918199</x:v>
      </x:c>
      <x:c r="BB619" s="9" t="str">
        <x:v>1.3077091722503622</x:v>
      </x:c>
      <x:c r="BC619" s="9" t="str">
        <x:v>0.5252274544284241</x:v>
      </x:c>
      <x:c r="BD619" s="6" t="str">
        <x:v>0.4426229508196721</x:v>
      </x:c>
      <x:c r="BE619" s="6" t="str">
        <x:v>0.1557377049180328</x:v>
      </x:c>
      <x:c r="BF619" s="9" t="str">
        <x:v>0.5788220926354062</x:v>
      </x:c>
      <x:c r="BG619" s="9" t="str">
        <x:v>0.2036596251865318</x:v>
      </x:c>
      <x:c r="BH619" s="6" t="str">
        <x:v>Against trade</x:v>
      </x:c>
      <x:c r="BI619" s="6" t="str">
        <x:v>Tolerance-only shallow touch</x:v>
      </x:c>
      <x:c r="BJ619" s="6" t="str">
        <x:v>True</x:v>
      </x:c>
      <x:c r="BK619" s="10" t="str">
        <x:v>False</x:v>
      </x:c>
      <x:c r="BL619" s="6" t="str">
        <x:v>True</x:v>
      </x:c>
      <x:c r="BM619" s="7" t="str">
        <x:v>2026-03-12 07:15:00-05:00</x:v>
      </x:c>
      <x:c r="BN619" s="8" t="str">
        <x:v>1</x:v>
      </x:c>
      <x:c r="BO619" s="6" t="str">
        <x:v>Immediate confirmation (1 bar)</x:v>
      </x:c>
      <x:c r="BP619" s="9" t="str">
        <x:v>0.14034461203593906</x:v>
      </x:c>
      <x:c r="BQ619" s="9" t="str">
        <x:v>0.9068421085399139</x:v>
      </x:c>
      <x:c r="BR619" s="10" t="str">
        <x:v>0.15476190476190477</x:v>
      </x:c>
      <x:c r="BS619" s="9" t="str">
        <x:v>0.7125187995670752</x:v>
      </x:c>
      <x:c r="BT619" s="9" t="str">
        <x:v>0.10795739387379927</x:v>
      </x:c>
      <x:c r="BU619" s="9" t="str">
        <x:v>0.4210338361078172</x:v>
      </x:c>
      <x:c r="BV619" s="6" t="str">
        <x:v>With trade</x:v>
      </x:c>
      <x:c r="BW619" s="7" t="str">
        <x:v>2026-03-12 07:15:00-05:00</x:v>
      </x:c>
      <x:c r="BX619" s="6" t="str">
        <x:v>22670.5</x:v>
      </x:c>
      <x:c r="BY619" s="9" t="str">
        <x:v>23.157283723636993</x:v>
      </x:c>
      <x:c r="BZ619" s="9" t="str">
        <x:v>0.99</x:v>
      </x:c>
      <x:c r="CA619" s="6" t="str">
        <x:v>22705.235925585457</x:v>
      </x:c>
      <x:c r="CB619" s="6" t="str">
        <x:v>34.73592558545715</x:v>
      </x:c>
      <x:c r="CC619" s="9" t="str">
        <x:v>1.5000000000000717</x:v>
      </x:c>
      <x:c r="CD619" s="6" t="str">
        <x:v>22601.02814882909</x:v>
      </x:c>
      <x:c r="CE619" s="6" t="str">
        <x:v>69.47185117091067</x:v>
      </x:c>
      <x:c r="CF619" s="6" t="str">
        <x:v>Fixed 2.00R target</x:v>
      </x:c>
      <x:c r="CG619" s="9" t="str">
        <x:v>0.020871762815600194</x:v>
      </x:c>
      <x:c r="CH619" s="9" t="str">
        <x:v>1.3314745244435244</x:v>
      </x:c>
      <x:c r="CI619" s="9" t="str">
        <x:v>1.3106027616279243</x:v>
      </x:c>
      <x:c r="CJ619" s="6" t="str">
        <x:v>Win</x:v>
      </x:c>
      <x:c r="CK619" s="9" t="str">
        <x:v>1.604966588923739</x:v>
      </x:c>
      <x:c r="CL619" s="9" t="str">
        <x:v>0.6261528844680058</x:v>
      </x:c>
      <x:c r="CM619" s="7" t="str">
        <x:v>2026-03-12 08:15:00-05:00</x:v>
      </x:c>
      <x:c r="CN619" s="6" t="str">
        <x:v>22624.25</x:v>
      </x:c>
      <x:c r="CO619" s="6" t="str">
        <x:v>TIME</x:v>
      </x:c>
      <x:c r="CP619" s="6" t="str">
        <x:v>F::Short::Same-bar Setup+BOS::Tolerance-only shallow touch</x:v>
      </x:c>
    </x:row>
    <x:row r="620" ht="18" customHeight="1">
      <x:c r="A620" s="6" t="str">
        <x:v>A0619</x:v>
      </x:c>
      <x:c r="B620" s="6" t="str">
        <x:v>2026-03-12</x:v>
      </x:c>
      <x:c r="C620" s="6" t="str">
        <x:v>2026</x:v>
      </x:c>
      <x:c r="D620" s="6" t="str">
        <x:v>2026-Q1</x:v>
      </x:c>
      <x:c r="E620" s="6" t="str">
        <x:v>Second 50%</x:v>
      </x:c>
      <x:c r="F620" s="6" t="str">
        <x:v>Short</x:v>
      </x:c>
      <x:c r="G620" s="6" t="str">
        <x:v>Short</x:v>
      </x:c>
      <x:c r="H620" s="6" t="str">
        <x:v>Afternoon</x:v>
      </x:c>
      <x:c r="I620" s="6" t="str">
        <x:v>Afternoon</x:v>
      </x:c>
      <x:c r="J620" s="6" t="str">
        <x:v>Bear</x:v>
      </x:c>
      <x:c r="K620" s="6" t="str">
        <x:v>Bear</x:v>
      </x:c>
      <x:c r="L620" s="6" t="str">
        <x:v>LOW</x:v>
      </x:c>
      <x:c r="M620" s="7" t="str">
        <x:v>2026-03-12 14:55:00-05:00</x:v>
      </x:c>
      <x:c r="N620" s="6" t="str">
        <x:v>75.0</x:v>
      </x:c>
      <x:c r="O620" s="6" t="str">
        <x:v>75-79</x:v>
      </x:c>
      <x:c r="P620" s="6" t="str">
        <x:v>Matching BOS only</x:v>
      </x:c>
      <x:c r="Q620" s="6" t="str">
        <x:v>Bear BOS</x:v>
      </x:c>
      <x:c r="R620" s="6" t="str">
        <x:v>True</x:v>
      </x:c>
      <x:c r="S620" s="6" t="str">
        <x:v>False</x:v>
      </x:c>
      <x:c r="T620" s="6" t="str">
        <x:v>No recent matching sweep</x:v>
      </x:c>
      <x:c r="U620" s="6" t="str">
        <x:v>None</x:v>
      </x:c>
      <x:c r="V620" s="6" t="str">
        <x:v>None</x:v>
      </x:c>
      <x:c r="W620" s="6" t="str">
        <x:v>[]</x:v>
      </x:c>
      <x:c r="X620" s="8" t="str">
        <x:v>0</x:v>
      </x:c>
      <x:c r="Y620" s="8" t="str"/>
      <x:c r="Z620" s="6" t="str">
        <x:v>Both CRT sweeps</x:v>
      </x:c>
      <x:c r="AA620" s="6" t="str">
        <x:v>22409.5</x:v>
      </x:c>
      <x:c r="AB620" s="9" t="str">
        <x:v>0.43528699019185135</x:v>
      </x:c>
      <x:c r="AC620" s="9" t="str">
        <x:v>0.4943089549636278</x:v>
      </x:c>
      <x:c r="AD620" s="9" t="str">
        <x:v>1.2247057690143615</x:v>
      </x:c>
      <x:c r="AE620" s="6" t="str">
        <x:v>With trade</x:v>
      </x:c>
      <x:c r="AF620" s="7" t="str">
        <x:v>2026-03-12 14:55:00-05:00</x:v>
      </x:c>
      <x:c r="AG620" s="6" t="str">
        <x:v>Short</x:v>
      </x:c>
      <x:c r="AH620" s="6" t="str">
        <x:v>22409.5</x:v>
      </x:c>
      <x:c r="AI620" s="8" t="str">
        <x:v>0</x:v>
      </x:c>
      <x:c r="AJ620" s="6" t="str">
        <x:v>True</x:v>
      </x:c>
      <x:c r="AK620" s="6" t="str">
        <x:v>Same-bar Setup+BOS</x:v>
      </x:c>
      <x:c r="AL620" s="9" t="str">
        <x:v>0.4795534637706837</x:v>
      </x:c>
      <x:c r="AM620" s="9" t="str">
        <x:v>0.43528699019185135</x:v>
      </x:c>
      <x:c r="AN620" s="9" t="str">
        <x:v>0.4943089549636278</x:v>
      </x:c>
      <x:c r="AO620" s="9" t="str">
        <x:v>1.2247057690143615</x:v>
      </x:c>
      <x:c r="AP620" s="10" t="str">
        <x:v>0.4036144578313253</x:v>
      </x:c>
      <x:c r="AQ620" s="6" t="str">
        <x:v>0.29518072289156627</x:v>
      </x:c>
      <x:c r="AR620" s="6" t="str">
        <x:v>0.30120481927710846</x:v>
      </x:c>
      <x:c r="AS620" s="6" t="str">
        <x:v>With trade</x:v>
      </x:c>
      <x:c r="AT620" s="6" t="str">
        <x:v>4.5132616487455195</x:v>
      </x:c>
      <x:c r="AU620" s="7" t="str">
        <x:v>2026-03-12 15:00:00-05:00</x:v>
      </x:c>
      <x:c r="AV620" s="8" t="str">
        <x:v>1</x:v>
      </x:c>
      <x:c r="AW620" s="6" t="str">
        <x:v>Immediate retest (1 bar)</x:v>
      </x:c>
      <x:c r="AX620" s="6" t="str">
        <x:v>22413.5</x:v>
      </x:c>
      <x:c r="AY620" s="6" t="str">
        <x:v>4.0</x:v>
      </x:c>
      <x:c r="AZ620" s="9" t="str">
        <x:v>0.12036178094420182</x:v>
      </x:c>
      <x:c r="BA620" s="9" t="str">
        <x:v>-0.06018089047210091</x:v>
      </x:c>
      <x:c r="BB620" s="9" t="str">
        <x:v>0.7447385195922487</x:v>
      </x:c>
      <x:c r="BC620" s="9" t="str">
        <x:v>0.5040149577038451</x:v>
      </x:c>
      <x:c r="BD620" s="6" t="str">
        <x:v>0.08080808080808081</x:v>
      </x:c>
      <x:c r="BE620" s="6" t="str">
        <x:v>0.24242424242424243</x:v>
      </x:c>
      <x:c r="BF620" s="9" t="str">
        <x:v>0.06018089047210091</x:v>
      </x:c>
      <x:c r="BG620" s="9" t="str">
        <x:v>0.1805426714163027</x:v>
      </x:c>
      <x:c r="BH620" s="6" t="str">
        <x:v>Against trade</x:v>
      </x:c>
      <x:c r="BI620" s="6" t="str">
        <x:v>Penetration without same-bar reclaim</x:v>
      </x:c>
      <x:c r="BJ620" s="6" t="str">
        <x:v>False</x:v>
      </x:c>
      <x:c r="BK620" s="10" t="str">
        <x:v>True</x:v>
      </x:c>
      <x:c r="BL620" s="6" t="str">
        <x:v>False</x:v>
      </x:c>
      <x:c r="BM620" s="7" t="str">
        <x:v>2026-03-12 15:05:00-05:00</x:v>
      </x:c>
      <x:c r="BN620" s="8" t="str">
        <x:v>1</x:v>
      </x:c>
      <x:c r="BO620" s="6" t="str">
        <x:v>Immediate confirmation (1 bar)</x:v>
      </x:c>
      <x:c r="BP620" s="9" t="str">
        <x:v>0.8366578584493078</x:v>
      </x:c>
      <x:c r="BQ620" s="9" t="str">
        <x:v>1.0906432797642762</x:v>
      </x:c>
      <x:c r="BR620" s="10" t="str">
        <x:v>0.7671232876712328</x:v>
      </x:c>
      <x:c r="BS620" s="9" t="str">
        <x:v>0.8067772206475469</x:v>
      </x:c>
      <x:c r="BT620" s="9" t="str">
        <x:v>0.8665384962510688</x:v>
      </x:c>
      <x:c r="BU620" s="9" t="str">
        <x:v>0.08217175395484273</x:v>
      </x:c>
      <x:c r="BV620" s="6" t="str">
        <x:v>With trade</x:v>
      </x:c>
      <x:c r="BW620" s="7" t="str">
        <x:v>2026-03-12 15:05:00-05:00</x:v>
      </x:c>
      <x:c r="BX620" s="6" t="str">
        <x:v>22382.5</x:v>
      </x:c>
      <x:c r="BY620" s="9" t="str">
        <x:v>33.46648778497846</x:v>
      </x:c>
      <x:c r="BZ620" s="9" t="str">
        <x:v>0.27</x:v>
      </x:c>
      <x:c r="CA620" s="6" t="str">
        <x:v>22432.69973167747</x:v>
      </x:c>
      <x:c r="CB620" s="6" t="str">
        <x:v>50.19973167746866</x:v>
      </x:c>
      <x:c r="CC620" s="9" t="str">
        <x:v>1.500000000000029</x:v>
      </x:c>
      <x:c r="CD620" s="6" t="str">
        <x:v>22282.100536645066</x:v>
      </x:c>
      <x:c r="CE620" s="6" t="str">
        <x:v>100.39946335493369</x:v>
      </x:c>
      <x:c r="CF620" s="6" t="str">
        <x:v>Fixed 2.00R target</x:v>
      </x:c>
      <x:c r="CG620" s="9" t="str">
        <x:v>0.014442308270850869</x:v>
      </x:c>
      <x:c r="CH620" s="9" t="str">
        <x:v>-0.3635477599214254</x:v>
      </x:c>
      <x:c r="CI620" s="9" t="str">
        <x:v>-0.37799006819227626</x:v>
      </x:c>
      <x:c r="CJ620" s="6" t="str">
        <x:v>Loss</x:v>
      </x:c>
      <x:c r="CK620" s="9" t="str">
        <x:v>0.5029907363296336</x:v>
      </x:c>
      <x:c r="CL620" s="9" t="str">
        <x:v>0.8715186025513455</x:v>
      </x:c>
      <x:c r="CM620" s="7" t="str">
        <x:v>2026-03-12 17:05:00-05:00</x:v>
      </x:c>
      <x:c r="CN620" s="6" t="str">
        <x:v>22400.75</x:v>
      </x:c>
      <x:c r="CO620" s="6" t="str">
        <x:v>TIME</x:v>
      </x:c>
      <x:c r="CP620" s="6" t="str">
        <x:v>F::Short::Same-bar Setup+BOS::Penetration without same-bar reclaim</x:v>
      </x:c>
    </x:row>
    <x:row r="621" ht="18" customHeight="1">
      <x:c r="A621" s="6" t="str">
        <x:v>A0620</x:v>
      </x:c>
      <x:c r="B621" s="6" t="str">
        <x:v>2026-03-13</x:v>
      </x:c>
      <x:c r="C621" s="6" t="str">
        <x:v>2026</x:v>
      </x:c>
      <x:c r="D621" s="6" t="str">
        <x:v>2026-Q1</x:v>
      </x:c>
      <x:c r="E621" s="6" t="str">
        <x:v>Second 50%</x:v>
      </x:c>
      <x:c r="F621" s="6" t="str">
        <x:v>Short</x:v>
      </x:c>
      <x:c r="G621" s="6" t="str">
        <x:v>Short</x:v>
      </x:c>
      <x:c r="H621" s="6" t="str">
        <x:v>Morning</x:v>
      </x:c>
      <x:c r="I621" s="6" t="str">
        <x:v>Morning</x:v>
      </x:c>
      <x:c r="J621" s="6" t="str">
        <x:v>Bear</x:v>
      </x:c>
      <x:c r="K621" s="6" t="str">
        <x:v>Bear</x:v>
      </x:c>
      <x:c r="L621" s="6" t="str">
        <x:v>HIGH</x:v>
      </x:c>
      <x:c r="M621" s="7" t="str">
        <x:v>2026-03-13 10:40:00-05:00</x:v>
      </x:c>
      <x:c r="N621" s="6" t="str">
        <x:v>75.0</x:v>
      </x:c>
      <x:c r="O621" s="6" t="str">
        <x:v>75-79</x:v>
      </x:c>
      <x:c r="P621" s="6" t="str">
        <x:v>Matching BOS only</x:v>
      </x:c>
      <x:c r="Q621" s="6" t="str">
        <x:v>Bear BOS</x:v>
      </x:c>
      <x:c r="R621" s="6" t="str">
        <x:v>True</x:v>
      </x:c>
      <x:c r="S621" s="6" t="str">
        <x:v>False</x:v>
      </x:c>
      <x:c r="T621" s="6" t="str">
        <x:v>No recent matching sweep</x:v>
      </x:c>
      <x:c r="U621" s="6" t="str">
        <x:v>None</x:v>
      </x:c>
      <x:c r="V621" s="6" t="str">
        <x:v>None</x:v>
      </x:c>
      <x:c r="W621" s="6" t="str">
        <x:v>[]</x:v>
      </x:c>
      <x:c r="X621" s="8" t="str">
        <x:v>0</x:v>
      </x:c>
      <x:c r="Y621" s="8" t="str"/>
      <x:c r="Z621" s="6" t="str">
        <x:v>None</x:v>
      </x:c>
      <x:c r="AA621" s="6" t="str">
        <x:v>22301.25</x:v>
      </x:c>
      <x:c r="AB621" s="9" t="str">
        <x:v>0.9236655681658692</x:v>
      </x:c>
      <x:c r="AC621" s="9" t="str">
        <x:v>0.9285526875741542</x:v>
      </x:c>
      <x:c r="AD621" s="9" t="str">
        <x:v>1.3537320760949512</x:v>
      </x:c>
      <x:c r="AE621" s="6" t="str">
        <x:v>With trade</x:v>
      </x:c>
      <x:c r="AF621" s="7" t="str">
        <x:v>2026-03-13 10:40:00-05:00</x:v>
      </x:c>
      <x:c r="AG621" s="6" t="str">
        <x:v>Short</x:v>
      </x:c>
      <x:c r="AH621" s="6" t="str">
        <x:v>22301.25</x:v>
      </x:c>
      <x:c r="AI621" s="8" t="str">
        <x:v>0</x:v>
      </x:c>
      <x:c r="AJ621" s="6" t="str">
        <x:v>True</x:v>
      </x:c>
      <x:c r="AK621" s="6" t="str">
        <x:v>Same-bar Setup+BOS</x:v>
      </x:c>
      <x:c r="AL621" s="9" t="str">
        <x:v>0.9334398069824392</x:v>
      </x:c>
      <x:c r="AM621" s="9" t="str">
        <x:v>0.9236655681658692</x:v>
      </x:c>
      <x:c r="AN621" s="9" t="str">
        <x:v>0.9285526875741542</x:v>
      </x:c>
      <x:c r="AO621" s="9" t="str">
        <x:v>1.3537320760949512</x:v>
      </x:c>
      <x:c r="AP621" s="10" t="str">
        <x:v>0.6859205776173285</x:v>
      </x:c>
      <x:c r="AQ621" s="6" t="str">
        <x:v>0.1371841155234657</x:v>
      </x:c>
      <x:c r="AR621" s="6" t="str">
        <x:v>0.17689530685920576</x:v>
      </x:c>
      <x:c r="AS621" s="6" t="str">
        <x:v>With trade</x:v>
      </x:c>
      <x:c r="AT621" s="6" t="str">
        <x:v>0.9094987680653109</x:v>
      </x:c>
      <x:c r="AU621" s="7" t="str">
        <x:v>2026-03-13 10:45:00-05:00</x:v>
      </x:c>
      <x:c r="AV621" s="8" t="str">
        <x:v>1</x:v>
      </x:c>
      <x:c r="AW621" s="6" t="str">
        <x:v>Immediate retest (1 bar)</x:v>
      </x:c>
      <x:c r="AX621" s="6" t="str">
        <x:v>22315.5</x:v>
      </x:c>
      <x:c r="AY621" s="6" t="str">
        <x:v>14.25</x:v>
      </x:c>
      <x:c r="AZ621" s="9" t="str">
        <x:v>0.2676008160160201</x:v>
      </x:c>
      <x:c r="BA621" s="9" t="str">
        <x:v>0.29576932296507485</x:v>
      </x:c>
      <x:c r="BB621" s="9" t="str">
        <x:v>1.5117098729326048</x:v>
      </x:c>
      <x:c r="BC621" s="9" t="str">
        <x:v>0.5915386459301497</x:v>
      </x:c>
      <x:c r="BD621" s="6" t="str">
        <x:v>0.37267080745341613</x:v>
      </x:c>
      <x:c r="BE621" s="6" t="str">
        <x:v>0.2360248447204969</x:v>
      </x:c>
      <x:c r="BF621" s="9" t="str">
        <x:v>0.563370138981095</x:v>
      </x:c>
      <x:c r="BG621" s="9" t="str">
        <x:v>0.3568010880213602</x:v>
      </x:c>
      <x:c r="BH621" s="6" t="str">
        <x:v>Against trade</x:v>
      </x:c>
      <x:c r="BI621" s="6" t="str">
        <x:v>Penetration + same-bar reclaim</x:v>
      </x:c>
      <x:c r="BJ621" s="6" t="str">
        <x:v>False</x:v>
      </x:c>
      <x:c r="BK621" s="10" t="str">
        <x:v>True</x:v>
      </x:c>
      <x:c r="BL621" s="6" t="str">
        <x:v>True</x:v>
      </x:c>
      <x:c r="BM621" s="7" t="str">
        <x:v>2026-03-13 10:50:00-05:00</x:v>
      </x:c>
      <x:c r="BN621" s="8" t="str">
        <x:v>1</x:v>
      </x:c>
      <x:c r="BO621" s="6" t="str">
        <x:v>Immediate confirmation (1 bar)</x:v>
      </x:c>
      <x:c r="BP621" s="9" t="str">
        <x:v>0.38117008332321256</x:v>
      </x:c>
      <x:c r="BQ621" s="9" t="str">
        <x:v>0.9693955205503925</x:v>
      </x:c>
      <x:c r="BR621" s="10" t="str">
        <x:v>0.3932038834951456</x:v>
      </x:c>
      <x:c r="BS621" s="9" t="str">
        <x:v>0.696458917676981</x:v>
      </x:c>
      <x:c r="BT621" s="9" t="str">
        <x:v>0.39999329731448235</x:v>
      </x:c>
      <x:c r="BU621" s="9" t="str">
        <x:v>0.1082334804498011</x:v>
      </x:c>
      <x:c r="BV621" s="6" t="str">
        <x:v>With trade</x:v>
      </x:c>
      <x:c r="BW621" s="7" t="str">
        <x:v>2026-03-13 10:50:00-05:00</x:v>
      </x:c>
      <x:c r="BX621" s="6" t="str">
        <x:v>22264.25</x:v>
      </x:c>
      <x:c r="BY621" s="9" t="str">
        <x:v>53.1258902153374</x:v>
      </x:c>
      <x:c r="BZ621" s="9" t="str">
        <x:v>0.99</x:v>
      </x:c>
      <x:c r="CA621" s="6" t="str">
        <x:v>22343.938835323006</x:v>
      </x:c>
      <x:c r="CB621" s="6" t="str">
        <x:v>79.68883532300606</x:v>
      </x:c>
      <x:c r="CC621" s="9" t="str">
        <x:v>1.4999999999999993</x:v>
      </x:c>
      <x:c r="CD621" s="6" t="str">
        <x:v>22104.872329353988</x:v>
      </x:c>
      <x:c r="CE621" s="6" t="str">
        <x:v>159.37767064601212</x:v>
      </x:c>
      <x:c r="CF621" s="6" t="str">
        <x:v>Fixed 2.00R target</x:v>
      </x:c>
      <x:c r="CG621" s="9" t="str">
        <x:v>0.009097886762447053</x:v>
      </x:c>
      <x:c r="CH621" s="9" t="str">
        <x:v>-0.5552848127424578</x:v>
      </x:c>
      <x:c r="CI621" s="9" t="str">
        <x:v>-0.5643826995049048</x:v>
      </x:c>
      <x:c r="CJ621" s="6" t="str">
        <x:v>Loss</x:v>
      </x:c>
      <x:c r="CK621" s="9" t="str">
        <x:v>0.41411070780793485</x:v>
      </x:c>
      <x:c r="CL621" s="9" t="str">
        <x:v>0.799986594628965</x:v>
      </x:c>
      <x:c r="CM621" s="7" t="str">
        <x:v>2026-03-13 11:50:00-05:00</x:v>
      </x:c>
      <x:c r="CN621" s="6" t="str">
        <x:v>22308.5</x:v>
      </x:c>
      <x:c r="CO621" s="6" t="str">
        <x:v>TIME</x:v>
      </x:c>
      <x:c r="CP621" s="6" t="str">
        <x:v>F::Short::Same-bar Setup+BOS::Penetration + same-bar reclaim</x:v>
      </x:c>
    </x:row>
    <x:row r="622" ht="18" customHeight="1">
      <x:c r="A622" s="6" t="str">
        <x:v>A0621</x:v>
      </x:c>
      <x:c r="B622" s="6" t="str">
        <x:v>2026-03-13</x:v>
      </x:c>
      <x:c r="C622" s="6" t="str">
        <x:v>2026</x:v>
      </x:c>
      <x:c r="D622" s="6" t="str">
        <x:v>2026-Q1</x:v>
      </x:c>
      <x:c r="E622" s="6" t="str">
        <x:v>Second 50%</x:v>
      </x:c>
      <x:c r="F622" s="6" t="str">
        <x:v>Short</x:v>
      </x:c>
      <x:c r="G622" s="6" t="str">
        <x:v>Short</x:v>
      </x:c>
      <x:c r="H622" s="6" t="str">
        <x:v>Midday</x:v>
      </x:c>
      <x:c r="I622" s="6" t="str">
        <x:v>Midday</x:v>
      </x:c>
      <x:c r="J622" s="6" t="str">
        <x:v>Bear</x:v>
      </x:c>
      <x:c r="K622" s="6" t="str">
        <x:v>Bear</x:v>
      </x:c>
      <x:c r="L622" s="6" t="str">
        <x:v>MID</x:v>
      </x:c>
      <x:c r="M622" s="7" t="str">
        <x:v>2026-03-13 12:45:00-05:00</x:v>
      </x:c>
      <x:c r="N622" s="6" t="str">
        <x:v>75.0</x:v>
      </x:c>
      <x:c r="O622" s="6" t="str">
        <x:v>75-79</x:v>
      </x:c>
      <x:c r="P622" s="6" t="str">
        <x:v>Matching BOS only</x:v>
      </x:c>
      <x:c r="Q622" s="6" t="str">
        <x:v>Bear BOS</x:v>
      </x:c>
      <x:c r="R622" s="6" t="str">
        <x:v>True</x:v>
      </x:c>
      <x:c r="S622" s="6" t="str">
        <x:v>False</x:v>
      </x:c>
      <x:c r="T622" s="6" t="str">
        <x:v>No recent matching sweep</x:v>
      </x:c>
      <x:c r="U622" s="6" t="str">
        <x:v>None</x:v>
      </x:c>
      <x:c r="V622" s="6" t="str">
        <x:v>None</x:v>
      </x:c>
      <x:c r="W622" s="6" t="str">
        <x:v>[]</x:v>
      </x:c>
      <x:c r="X622" s="8" t="str">
        <x:v>0</x:v>
      </x:c>
      <x:c r="Y622" s="8" t="str"/>
      <x:c r="Z622" s="6" t="str">
        <x:v>None</x:v>
      </x:c>
      <x:c r="AA622" s="6" t="str">
        <x:v>22221.5</x:v>
      </x:c>
      <x:c r="AB622" s="9" t="str">
        <x:v>0.3134137249305045</x:v>
      </x:c>
      <x:c r="AC622" s="9" t="str">
        <x:v>1.2760415943599113</x:v>
      </x:c>
      <x:c r="AD622" s="9" t="str">
        <x:v>1.499908540738843</x:v>
      </x:c>
      <x:c r="AE622" s="6" t="str">
        <x:v>With trade</x:v>
      </x:c>
      <x:c r="AF622" s="7" t="str">
        <x:v>2026-03-13 12:45:00-05:00</x:v>
      </x:c>
      <x:c r="AG622" s="6" t="str">
        <x:v>Short</x:v>
      </x:c>
      <x:c r="AH622" s="6" t="str">
        <x:v>22221.5</x:v>
      </x:c>
      <x:c r="AI622" s="8" t="str">
        <x:v>0</x:v>
      </x:c>
      <x:c r="AJ622" s="6" t="str">
        <x:v>True</x:v>
      </x:c>
      <x:c r="AK622" s="6" t="str">
        <x:v>Same-bar Setup+BOS</x:v>
      </x:c>
      <x:c r="AL622" s="9" t="str">
        <x:v>1.2928316153383312</x:v>
      </x:c>
      <x:c r="AM622" s="9" t="str">
        <x:v>0.3134137249305045</x:v>
      </x:c>
      <x:c r="AN622" s="9" t="str">
        <x:v>1.2760415943599113</x:v>
      </x:c>
      <x:c r="AO622" s="9" t="str">
        <x:v>1.499908540738843</x:v>
      </x:c>
      <x:c r="AP622" s="10" t="str">
        <x:v>0.8507462686567164</x:v>
      </x:c>
      <x:c r="AQ622" s="6" t="str">
        <x:v>0.11940298507462686</x:v>
      </x:c>
      <x:c r="AR622" s="6" t="str">
        <x:v>0.029850746268656716</x:v>
      </x:c>
      <x:c r="AS622" s="6" t="str">
        <x:v>With trade</x:v>
      </x:c>
      <x:c r="AT622" s="6" t="str">
        <x:v>1.1285368262946374</x:v>
      </x:c>
      <x:c r="AU622" s="7" t="str">
        <x:v>2026-03-13 12:50:00-05:00</x:v>
      </x:c>
      <x:c r="AV622" s="8" t="str">
        <x:v>1</x:v>
      </x:c>
      <x:c r="AW622" s="6" t="str">
        <x:v>Immediate retest (1 bar)</x:v>
      </x:c>
      <x:c r="AX622" s="6" t="str">
        <x:v>22224.5</x:v>
      </x:c>
      <x:c r="AY622" s="6" t="str">
        <x:v>3.0</x:v>
      </x:c>
      <x:c r="AZ622" s="9" t="str">
        <x:v>0.06854881320195136</x:v>
      </x:c>
      <x:c r="BA622" s="9" t="str">
        <x:v>0.10853562090308964</x:v>
      </x:c>
      <x:c r="BB622" s="9" t="str">
        <x:v>0.7311873408208145</x:v>
      </x:c>
      <x:c r="BC622" s="9" t="str">
        <x:v>0.2170712418061793</x:v>
      </x:c>
      <x:c r="BD622" s="6" t="str">
        <x:v>0.2421875</x:v>
      </x:c>
      <x:c r="BE622" s="6" t="str">
        <x:v>0.4609375</x:v>
      </x:c>
      <x:c r="BF622" s="9" t="str">
        <x:v>0.177084434105041</x:v>
      </x:c>
      <x:c r="BG622" s="9" t="str">
        <x:v>0.3370316649095942</x:v>
      </x:c>
      <x:c r="BH622" s="6" t="str">
        <x:v>Against trade</x:v>
      </x:c>
      <x:c r="BI622" s="6" t="str">
        <x:v>Penetration + same-bar reclaim</x:v>
      </x:c>
      <x:c r="BJ622" s="6" t="str">
        <x:v>False</x:v>
      </x:c>
      <x:c r="BK622" s="10" t="str">
        <x:v>True</x:v>
      </x:c>
      <x:c r="BL622" s="6" t="str">
        <x:v>True</x:v>
      </x:c>
      <x:c r="BM622" s="7" t="str">
        <x:v>2026-03-13 12:55:00-05:00</x:v>
      </x:c>
      <x:c r="BN622" s="8" t="str">
        <x:v>1</x:v>
      </x:c>
      <x:c r="BO622" s="6" t="str">
        <x:v>Immediate confirmation (1 bar)</x:v>
      </x:c>
      <x:c r="BP622" s="9" t="str">
        <x:v>0.07006567023067534</x:v>
      </x:c>
      <x:c r="BQ622" s="9" t="str">
        <x:v>0.712334314011866</x:v>
      </x:c>
      <x:c r="BR622" s="10" t="str">
        <x:v>0.09836065573770492</x:v>
      </x:c>
      <x:c r="BS622" s="9" t="str">
        <x:v>0.18100298142924462</x:v>
      </x:c>
      <x:c r="BT622" s="9" t="str">
        <x:v>0.07006567023067534</x:v>
      </x:c>
      <x:c r="BU622" s="9" t="str">
        <x:v>0.36784476871104554</x:v>
      </x:c>
      <x:c r="BV622" s="6" t="str">
        <x:v>With trade</x:v>
      </x:c>
      <x:c r="BW622" s="7" t="str">
        <x:v>2026-03-13 12:55:00-05:00</x:v>
      </x:c>
      <x:c r="BX622" s="6" t="str">
        <x:v>22213.75</x:v>
      </x:c>
      <x:c r="BY622" s="9" t="str">
        <x:v>42.816974277462556</x:v>
      </x:c>
      <x:c r="BZ622" s="9" t="str">
        <x:v>0.52</x:v>
      </x:c>
      <x:c r="CA622" s="6" t="str">
        <x:v>22277.975461416194</x:v>
      </x:c>
      <x:c r="CB622" s="6" t="str">
        <x:v>64.22546141619387</x:v>
      </x:c>
      <x:c r="CC622" s="9" t="str">
        <x:v>1.5000000000000007</x:v>
      </x:c>
      <x:c r="CD622" s="6" t="str">
        <x:v>22085.299077167612</x:v>
      </x:c>
      <x:c r="CE622" s="6" t="str">
        <x:v>128.45092283238773</x:v>
      </x:c>
      <x:c r="CF622" s="6" t="str">
        <x:v>Fixed 2.00R target</x:v>
      </x:c>
      <x:c r="CG622" s="9" t="str">
        <x:v>0.011288357981608798</x:v>
      </x:c>
      <x:c r="CH622" s="9" t="str">
        <x:v>-1.0</x:v>
      </x:c>
      <x:c r="CI622" s="9" t="str">
        <x:v>-1.0112883579816088</x:v>
      </x:c>
      <x:c r="CJ622" s="6" t="str">
        <x:v>Loss</x:v>
      </x:c>
      <x:c r="CK622" s="9" t="str">
        <x:v>0.10899104258105047</x:v>
      </x:c>
      <x:c r="CL622" s="9" t="str">
        <x:v>1.1093731119856924</x:v>
      </x:c>
      <x:c r="CM622" s="7" t="str">
        <x:v>2026-03-13 13:30:00-05:00</x:v>
      </x:c>
      <x:c r="CN622" s="6" t="str">
        <x:v>22277.975461416194</x:v>
      </x:c>
      <x:c r="CO622" s="6" t="str">
        <x:v>STOP</x:v>
      </x:c>
      <x:c r="CP622" s="6" t="str">
        <x:v>F::Short::Same-bar Setup+BOS::Penetration + same-bar reclaim</x:v>
      </x:c>
    </x:row>
    <x:row r="623" ht="18" customHeight="1">
      <x:c r="A623" s="6" t="str">
        <x:v>A0622</x:v>
      </x:c>
      <x:c r="B623" s="6" t="str">
        <x:v>2026-03-19</x:v>
      </x:c>
      <x:c r="C623" s="6" t="str">
        <x:v>2026</x:v>
      </x:c>
      <x:c r="D623" s="6" t="str">
        <x:v>2026-Q1</x:v>
      </x:c>
      <x:c r="E623" s="6" t="str">
        <x:v>Second 50%</x:v>
      </x:c>
      <x:c r="F623" s="6" t="str">
        <x:v>Long</x:v>
      </x:c>
      <x:c r="G623" s="6" t="str">
        <x:v>Long</x:v>
      </x:c>
      <x:c r="H623" s="6" t="str">
        <x:v>Premarket</x:v>
      </x:c>
      <x:c r="I623" s="6" t="str">
        <x:v>Premarket</x:v>
      </x:c>
      <x:c r="J623" s="6" t="str">
        <x:v>Bear</x:v>
      </x:c>
      <x:c r="K623" s="6" t="str">
        <x:v>Bear</x:v>
      </x:c>
      <x:c r="L623" s="6" t="str">
        <x:v>HIGH</x:v>
      </x:c>
      <x:c r="M623" s="7" t="str">
        <x:v>2026-03-19 04:45:00-05:00</x:v>
      </x:c>
      <x:c r="N623" s="6" t="str">
        <x:v>90.0</x:v>
      </x:c>
      <x:c r="O623" s="6" t="str">
        <x:v>90-94</x:v>
      </x:c>
      <x:c r="P623" s="6" t="str">
        <x:v>Matching BOS only</x:v>
      </x:c>
      <x:c r="Q623" s="6" t="str">
        <x:v>Bull CHoCH</x:v>
      </x:c>
      <x:c r="R623" s="6" t="str">
        <x:v>True</x:v>
      </x:c>
      <x:c r="S623" s="6" t="str">
        <x:v>False</x:v>
      </x:c>
      <x:c r="T623" s="6" t="str">
        <x:v>Recent SSL</x:v>
      </x:c>
      <x:c r="U623" s="6" t="str">
        <x:v>SSL</x:v>
      </x:c>
      <x:c r="V623" s="6" t="str">
        <x:v>Swing low / sell-side</x:v>
      </x:c>
      <x:c r="W623" s="6" t="str">
        <x:v>[22127.0]</x:v>
      </x:c>
      <x:c r="X623" s="8" t="str">
        <x:v>1</x:v>
      </x:c>
      <x:c r="Y623" s="8" t="str">
        <x:v>4.0</x:v>
      </x:c>
      <x:c r="Z623" s="6" t="str">
        <x:v>None</x:v>
      </x:c>
      <x:c r="AA623" s="6" t="str">
        <x:v>22215.0</x:v>
      </x:c>
      <x:c r="AB623" s="9" t="str">
        <x:v>0.4824450188658135</x:v>
      </x:c>
      <x:c r="AC623" s="9" t="str">
        <x:v>1.7818302696777377</x:v>
      </x:c>
      <x:c r="AD623" s="9" t="str">
        <x:v>1.929780075463254</x:v>
      </x:c>
      <x:c r="AE623" s="6" t="str">
        <x:v>With trade</x:v>
      </x:c>
      <x:c r="AF623" s="7" t="str">
        <x:v>2026-03-19 04:45:00-05:00</x:v>
      </x:c>
      <x:c r="AG623" s="6" t="str">
        <x:v>Long</x:v>
      </x:c>
      <x:c r="AH623" s="6" t="str">
        <x:v>22215.0</x:v>
      </x:c>
      <x:c r="AI623" s="8" t="str">
        <x:v>0</x:v>
      </x:c>
      <x:c r="AJ623" s="6" t="str">
        <x:v>True</x:v>
      </x:c>
      <x:c r="AK623" s="6" t="str">
        <x:v>Same-bar Setup+BOS</x:v>
      </x:c>
      <x:c r="AL623" s="9" t="str">
        <x:v>1.7432346681684725</x:v>
      </x:c>
      <x:c r="AM623" s="9" t="str">
        <x:v>0.4824450188658135</x:v>
      </x:c>
      <x:c r="AN623" s="9" t="str">
        <x:v>1.7818302696777377</x:v>
      </x:c>
      <x:c r="AO623" s="9" t="str">
        <x:v>1.929780075463254</x:v>
      </x:c>
      <x:c r="AP623" s="10" t="str">
        <x:v>0.9233333333333333</x:v>
      </x:c>
      <x:c r="AQ623" s="6" t="str">
        <x:v>0.03</x:v>
      </x:c>
      <x:c r="AR623" s="6" t="str">
        <x:v>0.04666666666666667</x:v>
      </x:c>
      <x:c r="AS623" s="6" t="str">
        <x:v>With trade</x:v>
      </x:c>
      <x:c r="AT623" s="6" t="str">
        <x:v>1.5575949367088608</x:v>
      </x:c>
      <x:c r="AU623" s="7" t="str">
        <x:v>2026-03-19 05:15:00-05:00</x:v>
      </x:c>
      <x:c r="AV623" s="8" t="str">
        <x:v>6</x:v>
      </x:c>
      <x:c r="AW623" s="6" t="str">
        <x:v>Delayed retest (2+ bars)</x:v>
      </x:c>
      <x:c r="AX623" s="6" t="str">
        <x:v>22214.25</x:v>
      </x:c>
      <x:c r="AY623" s="6" t="str">
        <x:v>0.75</x:v>
      </x:c>
      <x:c r="AZ623" s="9" t="str">
        <x:v>0.021823473054163687</x:v>
      </x:c>
      <x:c r="BA623" s="9" t="str">
        <x:v>0.3055286227582916</x:v>
      </x:c>
      <x:c r="BB623" s="9" t="str">
        <x:v>0.37099904192078265</x:v>
      </x:c>
      <x:c r="BC623" s="9" t="str">
        <x:v>0.007274491018054562</x:v>
      </x:c>
      <x:c r="BD623" s="6" t="str">
        <x:v>0.11764705882352941</x:v>
      </x:c>
      <x:c r="BE623" s="6" t="str">
        <x:v>0.8627450980392157</x:v>
      </x:c>
      <x:c r="BF623" s="9" t="str">
        <x:v>0.3200776047944007</x:v>
      </x:c>
      <x:c r="BG623" s="9" t="str">
        <x:v>0.043646946108327374</x:v>
      </x:c>
      <x:c r="BH623" s="6" t="str">
        <x:v>With trade</x:v>
      </x:c>
      <x:c r="BI623" s="6" t="str">
        <x:v>Penetration + same-bar reclaim</x:v>
      </x:c>
      <x:c r="BJ623" s="6" t="str">
        <x:v>False</x:v>
      </x:c>
      <x:c r="BK623" s="10" t="str">
        <x:v>True</x:v>
      </x:c>
      <x:c r="BL623" s="6" t="str">
        <x:v>True</x:v>
      </x:c>
      <x:c r="BM623" s="7" t="str">
        <x:v>2026-03-19 05:25:00-05:00</x:v>
      </x:c>
      <x:c r="BN623" s="8" t="str">
        <x:v>2</x:v>
      </x:c>
      <x:c r="BO623" s="6" t="str">
        <x:v>Delayed confirmation (2+ bars)</x:v>
      </x:c>
      <x:c r="BP623" s="9" t="str">
        <x:v>0.35034943290152004</x:v>
      </x:c>
      <x:c r="BQ623" s="9" t="str">
        <x:v>0.6539856080828375</x:v>
      </x:c>
      <x:c r="BR623" s="10" t="str">
        <x:v>0.5357142857142857</x:v>
      </x:c>
      <x:c r="BS623" s="9" t="str">
        <x:v>0.40484823357508987</x:v>
      </x:c>
      <x:c r="BT623" s="9" t="str">
        <x:v>0.07785542953367112</x:v>
      </x:c>
      <x:c r="BU623" s="9" t="str">
        <x:v>0.10121205839377247</x:v>
      </x:c>
      <x:c r="BV623" s="6" t="str">
        <x:v>With trade</x:v>
      </x:c>
      <x:c r="BW623" s="7" t="str">
        <x:v>2026-03-19 05:25:00-05:00</x:v>
      </x:c>
      <x:c r="BX623" s="6" t="str">
        <x:v>22228.0</x:v>
      </x:c>
      <x:c r="BY623" s="9" t="str">
        <x:v>32.11079837301255</x:v>
      </x:c>
      <x:c r="BZ623" s="9" t="str">
        <x:v>0.86</x:v>
      </x:c>
      <x:c r="CA623" s="6" t="str">
        <x:v>22179.83380244048</x:v>
      </x:c>
      <x:c r="CB623" s="6" t="str">
        <x:v>48.16619755951979</x:v>
      </x:c>
      <x:c r="CC623" s="9" t="str">
        <x:v>1.50000000000003</x:v>
      </x:c>
      <x:c r="CD623" s="6" t="str">
        <x:v>22324.332395119036</x:v>
      </x:c>
      <x:c r="CE623" s="6" t="str">
        <x:v>96.33239511903594</x:v>
      </x:c>
      <x:c r="CF623" s="6" t="str">
        <x:v>Fixed 2.00R target</x:v>
      </x:c>
      <x:c r="CG623" s="9" t="str">
        <x:v>0.015052049709842783</x:v>
      </x:c>
      <x:c r="CH623" s="9" t="str">
        <x:v>-1.0</x:v>
      </x:c>
      <x:c r="CI623" s="9" t="str">
        <x:v>-1.0150520497098428</x:v>
      </x:c>
      <x:c r="CJ623" s="6" t="str">
        <x:v>Loss</x:v>
      </x:c>
      <x:c r="CK623" s="9" t="str">
        <x:v>0.2543277364766539</x:v>
      </x:c>
      <x:c r="CL623" s="9" t="str">
        <x:v>1.3702555597925845</x:v>
      </x:c>
      <x:c r="CM623" s="7" t="str">
        <x:v>2026-03-19 06:20:00-05:00</x:v>
      </x:c>
      <x:c r="CN623" s="6" t="str">
        <x:v>22179.83380244048</x:v>
      </x:c>
      <x:c r="CO623" s="6" t="str">
        <x:v>STOP</x:v>
      </x:c>
      <x:c r="CP623" s="6" t="str">
        <x:v>F::Long::Same-bar Setup+BOS::Penetration + same-bar reclaim</x:v>
      </x:c>
    </x:row>
    <x:row r="624" ht="18" customHeight="1">
      <x:c r="A624" s="6" t="str">
        <x:v>A0623</x:v>
      </x:c>
      <x:c r="B624" s="6" t="str">
        <x:v>2026-03-20</x:v>
      </x:c>
      <x:c r="C624" s="6" t="str">
        <x:v>2026</x:v>
      </x:c>
      <x:c r="D624" s="6" t="str">
        <x:v>2026-Q1</x:v>
      </x:c>
      <x:c r="E624" s="6" t="str">
        <x:v>Second 50%</x:v>
      </x:c>
      <x:c r="F624" s="6" t="str">
        <x:v>Short</x:v>
      </x:c>
      <x:c r="G624" s="6" t="str">
        <x:v>Short</x:v>
      </x:c>
      <x:c r="H624" s="6" t="str">
        <x:v>Midday</x:v>
      </x:c>
      <x:c r="I624" s="6" t="str">
        <x:v>Midday</x:v>
      </x:c>
      <x:c r="J624" s="6" t="str">
        <x:v>Bear</x:v>
      </x:c>
      <x:c r="K624" s="6" t="str">
        <x:v>Bear</x:v>
      </x:c>
      <x:c r="L624" s="6" t="str">
        <x:v>MID</x:v>
      </x:c>
      <x:c r="M624" s="7" t="str">
        <x:v>2026-03-20 13:20:00-05:00</x:v>
      </x:c>
      <x:c r="N624" s="6" t="str">
        <x:v>75.0</x:v>
      </x:c>
      <x:c r="O624" s="6" t="str">
        <x:v>75-79</x:v>
      </x:c>
      <x:c r="P624" s="6" t="str">
        <x:v>Matching BOS only</x:v>
      </x:c>
      <x:c r="Q624" s="6" t="str">
        <x:v>Bear BOS</x:v>
      </x:c>
      <x:c r="R624" s="6" t="str">
        <x:v>True</x:v>
      </x:c>
      <x:c r="S624" s="6" t="str">
        <x:v>False</x:v>
      </x:c>
      <x:c r="T624" s="6" t="str">
        <x:v>No recent matching sweep</x:v>
      </x:c>
      <x:c r="U624" s="6" t="str">
        <x:v>None</x:v>
      </x:c>
      <x:c r="V624" s="6" t="str">
        <x:v>None</x:v>
      </x:c>
      <x:c r="W624" s="6" t="str">
        <x:v>[]</x:v>
      </x:c>
      <x:c r="X624" s="8" t="str">
        <x:v>0</x:v>
      </x:c>
      <x:c r="Y624" s="8" t="str"/>
      <x:c r="Z624" s="6" t="str">
        <x:v>Sweep above CRT reference</x:v>
      </x:c>
      <x:c r="AA624" s="6" t="str">
        <x:v>21785.5</x:v>
      </x:c>
      <x:c r="AB624" s="9" t="str">
        <x:v>1.1396411794792014</x:v>
      </x:c>
      <x:c r="AC624" s="9" t="str">
        <x:v>1.6391135482632957</x:v>
      </x:c>
      <x:c r="AD624" s="9" t="str">
        <x:v>2.13858591704739</x:v>
      </x:c>
      <x:c r="AE624" s="6" t="str">
        <x:v>With trade</x:v>
      </x:c>
      <x:c r="AF624" s="7" t="str">
        <x:v>2026-03-20 13:20:00-05:00</x:v>
      </x:c>
      <x:c r="AG624" s="6" t="str">
        <x:v>Short</x:v>
      </x:c>
      <x:c r="AH624" s="6" t="str">
        <x:v>21785.5</x:v>
      </x:c>
      <x:c r="AI624" s="8" t="str">
        <x:v>0</x:v>
      </x:c>
      <x:c r="AJ624" s="6" t="str">
        <x:v>True</x:v>
      </x:c>
      <x:c r="AK624" s="6" t="str">
        <x:v>Same-bar Setup+BOS</x:v>
      </x:c>
      <x:c r="AL624" s="9" t="str">
        <x:v>1.653183192454397</x:v>
      </x:c>
      <x:c r="AM624" s="9" t="str">
        <x:v>1.1396411794792014</x:v>
      </x:c>
      <x:c r="AN624" s="9" t="str">
        <x:v>1.6391135482632957</x:v>
      </x:c>
      <x:c r="AO624" s="9" t="str">
        <x:v>2.13858591704739</x:v>
      </x:c>
      <x:c r="AP624" s="10" t="str">
        <x:v>0.7664473684210527</x:v>
      </x:c>
      <x:c r="AQ624" s="6" t="str">
        <x:v>0.11513157894736842</x:v>
      </x:c>
      <x:c r="AR624" s="6" t="str">
        <x:v>0.11842105263157894</x:v>
      </x:c>
      <x:c r="AS624" s="6" t="str">
        <x:v>With trade</x:v>
      </x:c>
      <x:c r="AT624" s="6" t="str">
        <x:v>2.568993985139757</x:v>
      </x:c>
      <x:c r="AU624" s="7" t="str">
        <x:v>2026-03-20 13:25:00-05:00</x:v>
      </x:c>
      <x:c r="AV624" s="8" t="str">
        <x:v>1</x:v>
      </x:c>
      <x:c r="AW624" s="6" t="str">
        <x:v>Immediate retest (1 bar)</x:v>
      </x:c>
      <x:c r="AX624" s="6" t="str">
        <x:v>21784.75</x:v>
      </x:c>
      <x:c r="AY624" s="6" t="str">
        <x:v>0.0</x:v>
      </x:c>
      <x:c r="AZ624" s="9" t="str">
        <x:v>0.0</x:v>
      </x:c>
      <x:c r="BA624" s="9" t="str">
        <x:v>0.4950322289975011</x:v>
      </x:c>
      <x:c r="BB624" s="9" t="str">
        <x:v>1.1155655864732419</x:v>
      </x:c>
      <x:c r="BC624" s="9" t="str">
        <x:v>0.6414502122221141</x:v>
      </x:c>
      <x:c r="BD624" s="6" t="str">
        <x:v>0.425</x:v>
      </x:c>
      <x:c r="BE624" s="6" t="str">
        <x:v>0.0</x:v>
      </x:c>
      <x:c r="BF624" s="9" t="str">
        <x:v>0.4741153742511278</x:v>
      </x:c>
      <x:c r="BG624" s="9" t="str">
        <x:v>0.0</x:v>
      </x:c>
      <x:c r="BH624" s="6" t="str">
        <x:v>Against trade</x:v>
      </x:c>
      <x:c r="BI624" s="6" t="str">
        <x:v>Tolerance-only shallow touch</x:v>
      </x:c>
      <x:c r="BJ624" s="6" t="str">
        <x:v>True</x:v>
      </x:c>
      <x:c r="BK624" s="10" t="str">
        <x:v>False</x:v>
      </x:c>
      <x:c r="BL624" s="6" t="str">
        <x:v>True</x:v>
      </x:c>
      <x:c r="BM624" s="7" t="str">
        <x:v>2026-03-20 13:30:00-05:00</x:v>
      </x:c>
      <x:c r="BN624" s="8" t="str">
        <x:v>1</x:v>
      </x:c>
      <x:c r="BO624" s="6" t="str">
        <x:v>Immediate confirmation (1 bar)</x:v>
      </x:c>
      <x:c r="BP624" s="9" t="str">
        <x:v>0.6009408216331619</x:v>
      </x:c>
      <x:c r="BQ624" s="9" t="str">
        <x:v>0.9712880721745292</x:v>
      </x:c>
      <x:c r="BR624" s="10" t="str">
        <x:v>0.6187050359712231</x:v>
      </x:c>
      <x:c r="BS624" s="9" t="str">
        <x:v>1.0970663836791443</x:v>
      </x:c>
      <x:c r="BT624" s="9" t="str">
        <x:v>0.6009408216331619</x:v>
      </x:c>
      <x:c r="BU624" s="9" t="str">
        <x:v>0.21661820314683744</x:v>
      </x:c>
      <x:c r="BV624" s="6" t="str">
        <x:v>With trade</x:v>
      </x:c>
      <x:c r="BW624" s="7" t="str">
        <x:v>2026-03-20 13:30:00-05:00</x:v>
      </x:c>
      <x:c r="BX624" s="6" t="str">
        <x:v>21746.25</x:v>
      </x:c>
      <x:c r="BY624" s="9" t="str">
        <x:v>35.777233341496064</x:v>
      </x:c>
      <x:c r="BZ624" s="9" t="str">
        <x:v>0.48</x:v>
      </x:c>
      <x:c r="CA624" s="6" t="str">
        <x:v>21799.915850012243</x:v>
      </x:c>
      <x:c r="CB624" s="6" t="str">
        <x:v>53.66585001224303</x:v>
      </x:c>
      <x:c r="CC624" s="9" t="str">
        <x:v>1.49999999999997</x:v>
      </x:c>
      <x:c r="CD624" s="6" t="str">
        <x:v>21638.91829997551</x:v>
      </x:c>
      <x:c r="CE624" s="6" t="str">
        <x:v>107.33170002448969</x:v>
      </x:c>
      <x:c r="CF624" s="6" t="str">
        <x:v>Fixed 2.00R target</x:v>
      </x:c>
      <x:c r="CG624" s="9" t="str">
        <x:v>0.013509522346792282</x:v>
      </x:c>
      <x:c r="CH624" s="9" t="str">
        <x:v>1.7515794491013092</x:v>
      </x:c>
      <x:c r="CI624" s="9" t="str">
        <x:v>1.738069926754517</x:v>
      </x:c>
      <x:c r="CJ624" s="6" t="str">
        <x:v>Win</x:v>
      </x:c>
      <x:c r="CK624" s="9" t="str">
        <x:v>1.8261147448077844</x:v>
      </x:c>
      <x:c r="CL624" s="9" t="str">
        <x:v>0.09316911963305022</x:v>
      </x:c>
      <x:c r="CM624" s="7" t="str">
        <x:v>2026-03-20 14:30:00-05:00</x:v>
      </x:c>
      <x:c r="CN624" s="6" t="str">
        <x:v>21652.25</x:v>
      </x:c>
      <x:c r="CO624" s="6" t="str">
        <x:v>TIME</x:v>
      </x:c>
      <x:c r="CP624" s="6" t="str">
        <x:v>F::Short::Same-bar Setup+BOS::Tolerance-only shallow touch</x:v>
      </x:c>
    </x:row>
    <x:row r="625" ht="18" customHeight="1">
      <x:c r="A625" s="6" t="str">
        <x:v>A0624</x:v>
      </x:c>
      <x:c r="B625" s="6" t="str">
        <x:v>2026-03-24</x:v>
      </x:c>
      <x:c r="C625" s="6" t="str">
        <x:v>2026</x:v>
      </x:c>
      <x:c r="D625" s="6" t="str">
        <x:v>2026-Q1</x:v>
      </x:c>
      <x:c r="E625" s="6" t="str">
        <x:v>Second 50%</x:v>
      </x:c>
      <x:c r="F625" s="6" t="str">
        <x:v>Long</x:v>
      </x:c>
      <x:c r="G625" s="6" t="str">
        <x:v>Long</x:v>
      </x:c>
      <x:c r="H625" s="6" t="str">
        <x:v>Opening</x:v>
      </x:c>
      <x:c r="I625" s="6" t="str">
        <x:v>Opening</x:v>
      </x:c>
      <x:c r="J625" s="6" t="str">
        <x:v>Bear</x:v>
      </x:c>
      <x:c r="K625" s="6" t="str">
        <x:v>Bear</x:v>
      </x:c>
      <x:c r="L625" s="6" t="str">
        <x:v>HIGH</x:v>
      </x:c>
      <x:c r="M625" s="7" t="str">
        <x:v>2026-03-24 10:00:00-05:00</x:v>
      </x:c>
      <x:c r="N625" s="6" t="str">
        <x:v>100.0</x:v>
      </x:c>
      <x:c r="O625" s="6" t="str">
        <x:v>95+</x:v>
      </x:c>
      <x:c r="P625" s="6" t="str">
        <x:v>Matching BOS only</x:v>
      </x:c>
      <x:c r="Q625" s="6" t="str">
        <x:v>Bull CHoCH</x:v>
      </x:c>
      <x:c r="R625" s="6" t="str">
        <x:v>True</x:v>
      </x:c>
      <x:c r="S625" s="6" t="str">
        <x:v>False</x:v>
      </x:c>
      <x:c r="T625" s="6" t="str">
        <x:v>Recent SSL</x:v>
      </x:c>
      <x:c r="U625" s="6" t="str">
        <x:v>SSL</x:v>
      </x:c>
      <x:c r="V625" s="6" t="str">
        <x:v>Swing low / sell-side</x:v>
      </x:c>
      <x:c r="W625" s="6" t="str">
        <x:v>[21826.75]</x:v>
      </x:c>
      <x:c r="X625" s="8" t="str">
        <x:v>1</x:v>
      </x:c>
      <x:c r="Y625" s="8" t="str">
        <x:v>17.0</x:v>
      </x:c>
      <x:c r="Z625" s="6" t="str">
        <x:v>None</x:v>
      </x:c>
      <x:c r="AA625" s="6" t="str">
        <x:v>21904.5</x:v>
      </x:c>
      <x:c r="AB625" s="9" t="str">
        <x:v>0.12507488262997257</x:v>
      </x:c>
      <x:c r="AC625" s="9" t="str">
        <x:v>0.675404366201852</x:v>
      </x:c>
      <x:c r="AD625" s="9" t="str">
        <x:v>1.0041726291149227</x:v>
      </x:c>
      <x:c r="AE625" s="6" t="str">
        <x:v>With trade</x:v>
      </x:c>
      <x:c r="AF625" s="7" t="str">
        <x:v>2026-03-24 10:00:00-05:00</x:v>
      </x:c>
      <x:c r="AG625" s="6" t="str">
        <x:v>Long</x:v>
      </x:c>
      <x:c r="AH625" s="6" t="str">
        <x:v>21904.5</x:v>
      </x:c>
      <x:c r="AI625" s="8" t="str">
        <x:v>0</x:v>
      </x:c>
      <x:c r="AJ625" s="6" t="str">
        <x:v>True</x:v>
      </x:c>
      <x:c r="AK625" s="6" t="str">
        <x:v>Same-bar Setup+BOS</x:v>
      </x:c>
      <x:c r="AL625" s="9" t="str">
        <x:v>0.7039929108029885</x:v>
      </x:c>
      <x:c r="AM625" s="9" t="str">
        <x:v>0.12507488262997257</x:v>
      </x:c>
      <x:c r="AN625" s="9" t="str">
        <x:v>0.675404366201852</x:v>
      </x:c>
      <x:c r="AO625" s="9" t="str">
        <x:v>1.0041726291149227</x:v>
      </x:c>
      <x:c r="AP625" s="10" t="str">
        <x:v>0.6725978647686833</x:v>
      </x:c>
      <x:c r="AQ625" s="6" t="str">
        <x:v>0.2704626334519573</x:v>
      </x:c>
      <x:c r="AR625" s="6" t="str">
        <x:v>0.05693950177935943</x:v>
      </x:c>
      <x:c r="AS625" s="6" t="str">
        <x:v>With trade</x:v>
      </x:c>
      <x:c r="AT625" s="6" t="str">
        <x:v>0.9552460174762307</x:v>
      </x:c>
      <x:c r="AU625" s="7" t="str">
        <x:v>2026-03-24 10:05:00-05:00</x:v>
      </x:c>
      <x:c r="AV625" s="8" t="str">
        <x:v>1</x:v>
      </x:c>
      <x:c r="AW625" s="6" t="str">
        <x:v>Immediate retest (1 bar)</x:v>
      </x:c>
      <x:c r="AX625" s="6" t="str">
        <x:v>21901.5</x:v>
      </x:c>
      <x:c r="AY625" s="6" t="str">
        <x:v>3.0</x:v>
      </x:c>
      <x:c r="AZ625" s="9" t="str">
        <x:v>0.044742482365652425</x:v>
      </x:c>
      <x:c r="BA625" s="9" t="str">
        <x:v>0.18642700985688512</x:v>
      </x:c>
      <x:c r="BB625" s="9" t="str">
        <x:v>0.43623920306511116</x:v>
      </x:c>
      <x:c r="BC625" s="9" t="str">
        <x:v>0.06338518335134094</x:v>
      </x:c>
      <x:c r="BD625" s="6" t="str">
        <x:v>0.4700854700854701</x:v>
      </x:c>
      <x:c r="BE625" s="6" t="str">
        <x:v>0.38461538461538464</x:v>
      </x:c>
      <x:c r="BF625" s="9" t="str">
        <x:v>0.1677843088711966</x:v>
      </x:c>
      <x:c r="BG625" s="9" t="str">
        <x:v>0.2050697108425736</x:v>
      </x:c>
      <x:c r="BH625" s="6" t="str">
        <x:v>With trade</x:v>
      </x:c>
      <x:c r="BI625" s="6" t="str">
        <x:v>Penetration + same-bar reclaim</x:v>
      </x:c>
      <x:c r="BJ625" s="6" t="str">
        <x:v>False</x:v>
      </x:c>
      <x:c r="BK625" s="10" t="str">
        <x:v>True</x:v>
      </x:c>
      <x:c r="BL625" s="6" t="str">
        <x:v>True</x:v>
      </x:c>
      <x:c r="BM625" s="7" t="str">
        <x:v>2026-03-24 10:10:00-05:00</x:v>
      </x:c>
      <x:c r="BN625" s="8" t="str">
        <x:v>1</x:v>
      </x:c>
      <x:c r="BO625" s="6" t="str">
        <x:v>Immediate confirmation (1 bar)</x:v>
      </x:c>
      <x:c r="BP625" s="9" t="str">
        <x:v>0.2405485657286534</x:v>
      </x:c>
      <x:c r="BQ625" s="9" t="str">
        <x:v>0.6872816163675812</x:v>
      </x:c>
      <x:c r="BR625" s="10" t="str">
        <x:v>0.35</x:v>
      </x:c>
      <x:c r="BS625" s="9" t="str">
        <x:v>0.43527835703280143</x:v>
      </x:c>
      <x:c r="BT625" s="9" t="str">
        <x:v>0.24436679693069555</x:v>
      </x:c>
      <x:c r="BU625" s="9" t="str">
        <x:v>0.3321861145776642</x:v>
      </x:c>
      <x:c r="BV625" s="6" t="str">
        <x:v>With trade</x:v>
      </x:c>
      <x:c r="BW625" s="7" t="str">
        <x:v>2026-03-24 10:10:00-05:00</x:v>
      </x:c>
      <x:c r="BX625" s="6" t="str">
        <x:v>21933.0</x:v>
      </x:c>
      <x:c r="BY625" s="9" t="str">
        <x:v>65.47534362672738</x:v>
      </x:c>
      <x:c r="BZ625" s="9" t="str">
        <x:v>0.97</x:v>
      </x:c>
      <x:c r="CA625" s="6" t="str">
        <x:v>21834.78698455991</x:v>
      </x:c>
      <x:c r="CB625" s="6" t="str">
        <x:v>98.21301544009111</x:v>
      </x:c>
      <x:c r="CC625" s="9" t="str">
        <x:v>1.5000000000000007</x:v>
      </x:c>
      <x:c r="CD625" s="6" t="str">
        <x:v>22129.426030880182</x:v>
      </x:c>
      <x:c r="CE625" s="6" t="str">
        <x:v>196.42603088018222</x:v>
      </x:c>
      <x:c r="CF625" s="6" t="str">
        <x:v>Fixed 2.00R target</x:v>
      </x:c>
      <x:c r="CG625" s="9" t="str">
        <x:v>0.007381913657281425</x:v>
      </x:c>
      <x:c r="CH625" s="9" t="str">
        <x:v>-0.22909387212252708</x:v>
      </x:c>
      <x:c r="CI625" s="9" t="str">
        <x:v>-0.2364757857798085</x:v>
      </x:c>
      <x:c r="CJ625" s="6" t="str">
        <x:v>Loss</x:v>
      </x:c>
      <x:c r="CK625" s="9" t="str">
        <x:v>0.7509188030682828</x:v>
      </x:c>
      <x:c r="CL625" s="9" t="str">
        <x:v>0.460733231713082</x:v>
      </x:c>
      <x:c r="CM625" s="7" t="str">
        <x:v>2026-03-24 11:10:00-05:00</x:v>
      </x:c>
      <x:c r="CN625" s="6" t="str">
        <x:v>21910.5</x:v>
      </x:c>
      <x:c r="CO625" s="6" t="str">
        <x:v>TIME</x:v>
      </x:c>
      <x:c r="CP625" s="6" t="str">
        <x:v>F::Long::Same-bar Setup+BOS::Penetration + same-bar reclaim</x:v>
      </x:c>
    </x:row>
    <x:row r="626" ht="18" customHeight="1">
      <x:c r="A626" s="6" t="str">
        <x:v>A0625</x:v>
      </x:c>
      <x:c r="B626" s="6" t="str">
        <x:v>2026-03-25</x:v>
      </x:c>
      <x:c r="C626" s="6" t="str">
        <x:v>2026</x:v>
      </x:c>
      <x:c r="D626" s="6" t="str">
        <x:v>2026-Q1</x:v>
      </x:c>
      <x:c r="E626" s="6" t="str">
        <x:v>Second 50%</x:v>
      </x:c>
      <x:c r="F626" s="6" t="str">
        <x:v>Long</x:v>
      </x:c>
      <x:c r="G626" s="6" t="str">
        <x:v>Long</x:v>
      </x:c>
      <x:c r="H626" s="6" t="str">
        <x:v>Premarket</x:v>
      </x:c>
      <x:c r="I626" s="6" t="str">
        <x:v>Premarket</x:v>
      </x:c>
      <x:c r="J626" s="6" t="str">
        <x:v>Bull</x:v>
      </x:c>
      <x:c r="K626" s="6" t="str">
        <x:v>Bull</x:v>
      </x:c>
      <x:c r="L626" s="6" t="str">
        <x:v>MID</x:v>
      </x:c>
      <x:c r="M626" s="7" t="str">
        <x:v>2026-03-25 06:20:00-05:00</x:v>
      </x:c>
      <x:c r="N626" s="6" t="str">
        <x:v>90.0</x:v>
      </x:c>
      <x:c r="O626" s="6" t="str">
        <x:v>90-94</x:v>
      </x:c>
      <x:c r="P626" s="6" t="str">
        <x:v>Matching BOS only</x:v>
      </x:c>
      <x:c r="Q626" s="6" t="str">
        <x:v>Bull BOS</x:v>
      </x:c>
      <x:c r="R626" s="6" t="str">
        <x:v>True</x:v>
      </x:c>
      <x:c r="S626" s="6" t="str">
        <x:v>False</x:v>
      </x:c>
      <x:c r="T626" s="6" t="str">
        <x:v>Recent SSL</x:v>
      </x:c>
      <x:c r="U626" s="6" t="str">
        <x:v>SSL</x:v>
      </x:c>
      <x:c r="V626" s="6" t="str">
        <x:v>Swing low / sell-side</x:v>
      </x:c>
      <x:c r="W626" s="6" t="str">
        <x:v>[22044.0]</x:v>
      </x:c>
      <x:c r="X626" s="8" t="str">
        <x:v>1</x:v>
      </x:c>
      <x:c r="Y626" s="8" t="str">
        <x:v>19.0</x:v>
      </x:c>
      <x:c r="Z626" s="6" t="str">
        <x:v>Sweep below CRT reference</x:v>
      </x:c>
      <x:c r="AA626" s="6" t="str">
        <x:v>22109.0</x:v>
      </x:c>
      <x:c r="AB626" s="9" t="str">
        <x:v>0.30420790899353767</x:v>
      </x:c>
      <x:c r="AC626" s="9" t="str">
        <x:v>1.0252933229041454</x:v>
      </x:c>
      <x:c r="AD626" s="9" t="str">
        <x:v>1.5773743429294547</x:v>
      </x:c>
      <x:c r="AE626" s="6" t="str">
        <x:v>With trade</x:v>
      </x:c>
      <x:c r="AF626" s="7" t="str">
        <x:v>2026-03-25 06:20:00-05:00</x:v>
      </x:c>
      <x:c r="AG626" s="6" t="str">
        <x:v>Long</x:v>
      </x:c>
      <x:c r="AH626" s="6" t="str">
        <x:v>22109.0</x:v>
      </x:c>
      <x:c r="AI626" s="8" t="str">
        <x:v>0</x:v>
      </x:c>
      <x:c r="AJ626" s="6" t="str">
        <x:v>True</x:v>
      </x:c>
      <x:c r="AK626" s="6" t="str">
        <x:v>Same-bar Setup+BOS</x:v>
      </x:c>
      <x:c r="AL626" s="9" t="str">
        <x:v>1.0365602824964988</x:v>
      </x:c>
      <x:c r="AM626" s="9" t="str">
        <x:v>0.30420790899353767</x:v>
      </x:c>
      <x:c r="AN626" s="9" t="str">
        <x:v>1.0252933229041454</x:v>
      </x:c>
      <x:c r="AO626" s="9" t="str">
        <x:v>1.5773743429294547</x:v>
      </x:c>
      <x:c r="AP626" s="10" t="str">
        <x:v>0.65</x:v>
      </x:c>
      <x:c r="AQ626" s="6" t="str">
        <x:v>0.17857142857142858</x:v>
      </x:c>
      <x:c r="AR626" s="6" t="str">
        <x:v>0.17142857142857143</x:v>
      </x:c>
      <x:c r="AS626" s="6" t="str">
        <x:v>With trade</x:v>
      </x:c>
      <x:c r="AT626" s="6" t="str">
        <x:v>1.5735662536393797</x:v>
      </x:c>
      <x:c r="AU626" s="7" t="str">
        <x:v>2026-03-25 06:25:00-05:00</x:v>
      </x:c>
      <x:c r="AV626" s="8" t="str">
        <x:v>1</x:v>
      </x:c>
      <x:c r="AW626" s="6" t="str">
        <x:v>Immediate retest (1 bar)</x:v>
      </x:c>
      <x:c r="AX626" s="6" t="str">
        <x:v>22100.5</x:v>
      </x:c>
      <x:c r="AY626" s="6" t="str">
        <x:v>8.5</x:v>
      </x:c>
      <x:c r="AZ626" s="9" t="str">
        <x:v>0.38642129989103013</x:v>
      </x:c>
      <x:c r="BA626" s="9" t="str">
        <x:v>-0.01136533234973618</x:v>
      </x:c>
      <x:c r="BB626" s="9" t="str">
        <x:v>0.8864959232794221</x:v>
      </x:c>
      <x:c r="BC626" s="9" t="str">
        <x:v>0.37505596754129394</x:v>
      </x:c>
      <x:c r="BD626" s="6" t="str">
        <x:v>0.15384615384615385</x:v>
      </x:c>
      <x:c r="BE626" s="6" t="str">
        <x:v>0.4230769230769231</x:v>
      </x:c>
      <x:c r="BF626" s="9" t="str">
        <x:v>0.37505596754129394</x:v>
      </x:c>
      <x:c r="BG626" s="9" t="str">
        <x:v>0.13638398819683417</x:v>
      </x:c>
      <x:c r="BH626" s="6" t="str">
        <x:v>Against trade</x:v>
      </x:c>
      <x:c r="BI626" s="6" t="str">
        <x:v>Penetration without same-bar reclaim</x:v>
      </x:c>
      <x:c r="BJ626" s="6" t="str">
        <x:v>False</x:v>
      </x:c>
      <x:c r="BK626" s="10" t="str">
        <x:v>True</x:v>
      </x:c>
      <x:c r="BL626" s="6" t="str">
        <x:v>False</x:v>
      </x:c>
      <x:c r="BM626" s="7" t="str">
        <x:v>2026-03-25 06:30:00-05:00</x:v>
      </x:c>
      <x:c r="BN626" s="8" t="str">
        <x:v>1</x:v>
      </x:c>
      <x:c r="BO626" s="6" t="str">
        <x:v>Immediate confirmation (1 bar)</x:v>
      </x:c>
      <x:c r="BP626" s="9" t="str">
        <x:v>0.1039750411501413</x:v>
      </x:c>
      <x:c r="BQ626" s="9" t="str">
        <x:v>0.7855891998010676</x:v>
      </x:c>
      <x:c r="BR626" s="10" t="str">
        <x:v>0.1323529411764706</x:v>
      </x:c>
      <x:c r="BS626" s="9" t="str">
        <x:v>0.115527823500157</x:v>
      </x:c>
      <x:c r="BT626" s="9" t="str">
        <x:v>0.1270806058501727</x:v>
      </x:c>
      <x:c r="BU626" s="9" t="str">
        <x:v>0.1386333882001884</x:v>
      </x:c>
      <x:c r="BV626" s="6" t="str">
        <x:v>With trade</x:v>
      </x:c>
      <x:c r="BW626" s="7" t="str">
        <x:v>2026-03-25 06:30:00-05:00</x:v>
      </x:c>
      <x:c r="BX626" s="6" t="str">
        <x:v>22111.5</x:v>
      </x:c>
      <x:c r="BY626" s="9" t="str">
        <x:v>21.63980869938749</x:v>
      </x:c>
      <x:c r="BZ626" s="9" t="str">
        <x:v>0.58</x:v>
      </x:c>
      <x:c r="CA626" s="6" t="str">
        <x:v>22079.04028695092</x:v>
      </x:c>
      <x:c r="CB626" s="6" t="str">
        <x:v>32.459713049080165</x:v>
      </x:c>
      <x:c r="CC626" s="9" t="str">
        <x:v>1.4999999999999505</x:v>
      </x:c>
      <x:c r="CD626" s="6" t="str">
        <x:v>22176.419426098164</x:v>
      </x:c>
      <x:c r="CE626" s="6" t="str">
        <x:v>64.91942609816397</x:v>
      </x:c>
      <x:c r="CF626" s="6" t="str">
        <x:v>Fixed 2.00R target</x:v>
      </x:c>
      <x:c r="CG626" s="9" t="str">
        <x:v>0.02233537921003109</x:v>
      </x:c>
      <x:c r="CH626" s="9" t="str">
        <x:v>-1.0</x:v>
      </x:c>
      <x:c r="CI626" s="9" t="str">
        <x:v>-1.0223353792100311</x:v>
      </x:c>
      <x:c r="CJ626" s="6" t="str">
        <x:v>Loss</x:v>
      </x:c>
      <x:c r="CK626" s="9" t="str">
        <x:v>0.9858374272013722</x:v>
      </x:c>
      <x:c r="CL626" s="9" t="str">
        <x:v>1.5326691251021334</x:v>
      </x:c>
      <x:c r="CM626" s="7" t="str">
        <x:v>2026-03-25 06:45:00-05:00</x:v>
      </x:c>
      <x:c r="CN626" s="6" t="str">
        <x:v>22079.04028695092</x:v>
      </x:c>
      <x:c r="CO626" s="6" t="str">
        <x:v>STOP</x:v>
      </x:c>
      <x:c r="CP626" s="6" t="str">
        <x:v>F::Long::Same-bar Setup+BOS::Penetration without same-bar reclaim</x:v>
      </x:c>
    </x:row>
    <x:row r="627" ht="18" customHeight="1">
      <x:c r="A627" s="6" t="str">
        <x:v>A0626</x:v>
      </x:c>
      <x:c r="B627" s="6" t="str">
        <x:v>2026-03-26</x:v>
      </x:c>
      <x:c r="C627" s="6" t="str">
        <x:v>2026</x:v>
      </x:c>
      <x:c r="D627" s="6" t="str">
        <x:v>2026-Q1</x:v>
      </x:c>
      <x:c r="E627" s="6" t="str">
        <x:v>Second 50%</x:v>
      </x:c>
      <x:c r="F627" s="6" t="str">
        <x:v>Long</x:v>
      </x:c>
      <x:c r="G627" s="6" t="str">
        <x:v>Long</x:v>
      </x:c>
      <x:c r="H627" s="6" t="str">
        <x:v>Premarket</x:v>
      </x:c>
      <x:c r="I627" s="6" t="str">
        <x:v>Premarket</x:v>
      </x:c>
      <x:c r="J627" s="6" t="str">
        <x:v>Bear</x:v>
      </x:c>
      <x:c r="K627" s="6" t="str">
        <x:v>Bear</x:v>
      </x:c>
      <x:c r="L627" s="6" t="str">
        <x:v>HIGH</x:v>
      </x:c>
      <x:c r="M627" s="7" t="str">
        <x:v>2026-03-26 08:45:00-05:00</x:v>
      </x:c>
      <x:c r="N627" s="6" t="str">
        <x:v>75.0</x:v>
      </x:c>
      <x:c r="O627" s="6" t="str">
        <x:v>75-79</x:v>
      </x:c>
      <x:c r="P627" s="6" t="str">
        <x:v>Matching BOS only</x:v>
      </x:c>
      <x:c r="Q627" s="6" t="str">
        <x:v>Bull CHoCH</x:v>
      </x:c>
      <x:c r="R627" s="6" t="str">
        <x:v>True</x:v>
      </x:c>
      <x:c r="S627" s="6" t="str">
        <x:v>False</x:v>
      </x:c>
      <x:c r="T627" s="6" t="str">
        <x:v>Recent SSL</x:v>
      </x:c>
      <x:c r="U627" s="6" t="str">
        <x:v>SSL</x:v>
      </x:c>
      <x:c r="V627" s="6" t="str">
        <x:v>Swing low / sell-side</x:v>
      </x:c>
      <x:c r="W627" s="6" t="str">
        <x:v>[21699.5]</x:v>
      </x:c>
      <x:c r="X627" s="8" t="str">
        <x:v>1</x:v>
      </x:c>
      <x:c r="Y627" s="8" t="str">
        <x:v>14.0</x:v>
      </x:c>
      <x:c r="Z627" s="6" t="str">
        <x:v>None</x:v>
      </x:c>
      <x:c r="AA627" s="6" t="str">
        <x:v>21781.25</x:v>
      </x:c>
      <x:c r="AB627" s="9" t="str">
        <x:v>0.16732900255766628</x:v>
      </x:c>
      <x:c r="AC627" s="9" t="str">
        <x:v>0.2649375873829716</x:v>
      </x:c>
      <x:c r="AD627" s="9" t="str">
        <x:v>1.4362406052866354</x:v>
      </x:c>
      <x:c r="AE627" s="6" t="str">
        <x:v>With trade</x:v>
      </x:c>
      <x:c r="AF627" s="7" t="str">
        <x:v>2026-03-26 08:45:00-05:00</x:v>
      </x:c>
      <x:c r="AG627" s="6" t="str">
        <x:v>Long</x:v>
      </x:c>
      <x:c r="AH627" s="6" t="str">
        <x:v>21781.25</x:v>
      </x:c>
      <x:c r="AI627" s="8" t="str">
        <x:v>0</x:v>
      </x:c>
      <x:c r="AJ627" s="6" t="str">
        <x:v>True</x:v>
      </x:c>
      <x:c r="AK627" s="6" t="str">
        <x:v>Same-bar Setup+BOS</x:v>
      </x:c>
      <x:c r="AL627" s="9" t="str">
        <x:v>0.2579655456097355</x:v>
      </x:c>
      <x:c r="AM627" s="9" t="str">
        <x:v>0.16732900255766628</x:v>
      </x:c>
      <x:c r="AN627" s="9" t="str">
        <x:v>0.2649375873829716</x:v>
      </x:c>
      <x:c r="AO627" s="9" t="str">
        <x:v>1.4362406052866354</x:v>
      </x:c>
      <x:c r="AP627" s="10" t="str">
        <x:v>0.18446601941747573</x:v>
      </x:c>
      <x:c r="AQ627" s="6" t="str">
        <x:v>0.5679611650485437</x:v>
      </x:c>
      <x:c r="AR627" s="6" t="str">
        <x:v>0.24757281553398058</x:v>
      </x:c>
      <x:c r="AS627" s="6" t="str">
        <x:v>With trade</x:v>
      </x:c>
      <x:c r="AT627" s="6" t="str">
        <x:v>4.0433899315974875</x:v>
      </x:c>
      <x:c r="AU627" s="7" t="str">
        <x:v>2026-03-26 08:50:00-05:00</x:v>
      </x:c>
      <x:c r="AV627" s="8" t="str">
        <x:v>1</x:v>
      </x:c>
      <x:c r="AW627" s="6" t="str">
        <x:v>Immediate retest (1 bar)</x:v>
      </x:c>
      <x:c r="AX627" s="6" t="str">
        <x:v>21783.5</x:v>
      </x:c>
      <x:c r="AY627" s="6" t="str">
        <x:v>0.0</x:v>
      </x:c>
      <x:c r="AZ627" s="9" t="str">
        <x:v>0.0</x:v>
      </x:c>
      <x:c r="BA627" s="9" t="str">
        <x:v>1.8757064512294193</x:v>
      </x:c>
      <x:c r="BB627" s="9" t="str">
        <x:v>1.8561678423624461</x:v>
      </x:c>
      <x:c r="BC627" s="9" t="str">
        <x:v>1.7259104499159585</x:v>
      </x:c>
      <x:c r="BD627" s="6" t="str">
        <x:v>0.021052631578947368</x:v>
      </x:c>
      <x:c r="BE627" s="6" t="str">
        <x:v>0.04912280701754386</x:v>
      </x:c>
      <x:c r="BF627" s="9" t="str">
        <x:v>0.09118017471254121</x:v>
      </x:c>
      <x:c r="BG627" s="9" t="str">
        <x:v>0.039077217733946235</x:v>
      </x:c>
      <x:c r="BH627" s="6" t="str">
        <x:v>With trade</x:v>
      </x:c>
      <x:c r="BI627" s="6" t="str">
        <x:v>Tolerance-only shallow touch</x:v>
      </x:c>
      <x:c r="BJ627" s="6" t="str">
        <x:v>True</x:v>
      </x:c>
      <x:c r="BK627" s="10" t="str">
        <x:v>False</x:v>
      </x:c>
      <x:c r="BL627" s="6" t="str">
        <x:v>True</x:v>
      </x:c>
      <x:c r="BM627" s="7" t="str">
        <x:v>2026-03-26 09:10:00-05:00</x:v>
      </x:c>
      <x:c r="BN627" s="8" t="str">
        <x:v>4</x:v>
      </x:c>
      <x:c r="BO627" s="6" t="str">
        <x:v>Delayed confirmation (2+ bars)</x:v>
      </x:c>
      <x:c r="BP627" s="9" t="str">
        <x:v>0.6077239640933799</x:v>
      </x:c>
      <x:c r="BQ627" s="9" t="str">
        <x:v>1.0166597156328505</x:v>
      </x:c>
      <x:c r="BR627" s="10" t="str">
        <x:v>0.5977653631284916</x:v>
      </x:c>
      <x:c r="BS627" s="9" t="str">
        <x:v>1.2211275914025859</x:v>
      </x:c>
      <x:c r="BT627" s="9" t="str">
        <x:v>-0.41461541475529656</x:v>
      </x:c>
      <x:c r="BU627" s="9" t="str">
        <x:v>0.4089357515394706</x:v>
      </x:c>
      <x:c r="BV627" s="6" t="str">
        <x:v>With trade</x:v>
      </x:c>
      <x:c r="BW627" s="7" t="str">
        <x:v>2026-03-26 09:10:00-05:00</x:v>
      </x:c>
      <x:c r="BX627" s="6" t="str">
        <x:v>21835.0</x:v>
      </x:c>
      <x:c r="BY627" s="9" t="str">
        <x:v>44.016694388391315</x:v>
      </x:c>
      <x:c r="BZ627" s="9" t="str">
        <x:v>1.0</x:v>
      </x:c>
      <x:c r="CA627" s="6" t="str">
        <x:v>21768.974958417413</x:v>
      </x:c>
      <x:c r="CB627" s="6" t="str">
        <x:v>66.02504158258671</x:v>
      </x:c>
      <x:c r="CC627" s="9" t="str">
        <x:v>1.499999999999994</x:v>
      </x:c>
      <x:c r="CD627" s="6" t="str">
        <x:v>21967.050083165173</x:v>
      </x:c>
      <x:c r="CE627" s="6" t="str">
        <x:v>132.05008316517342</x:v>
      </x:c>
      <x:c r="CF627" s="6" t="str">
        <x:v>Fixed 2.00R target</x:v>
      </x:c>
      <x:c r="CG627" s="9" t="str">
        <x:v>0.010980682217263605</x:v>
      </x:c>
      <x:c r="CH627" s="9" t="str">
        <x:v>-1.0</x:v>
      </x:c>
      <x:c r="CI627" s="9" t="str">
        <x:v>-1.0109806822172636</x:v>
      </x:c>
      <x:c r="CJ627" s="6" t="str">
        <x:v>Loss</x:v>
      </x:c>
      <x:c r="CK627" s="9" t="str">
        <x:v>0.26126450792799616</x:v>
      </x:c>
      <x:c r="CL627" s="9" t="str">
        <x:v>1.4653531096831087</x:v>
      </x:c>
      <x:c r="CM627" s="7" t="str">
        <x:v>2026-03-26 09:40:00-05:00</x:v>
      </x:c>
      <x:c r="CN627" s="6" t="str">
        <x:v>21768.974958417413</x:v>
      </x:c>
      <x:c r="CO627" s="6" t="str">
        <x:v>STOP</x:v>
      </x:c>
      <x:c r="CP627" s="6" t="str">
        <x:v>F::Long::Same-bar Setup+BOS::Tolerance-only shallow touch</x:v>
      </x:c>
    </x:row>
    <x:row r="628" ht="18" customHeight="1">
      <x:c r="A628" s="6" t="str">
        <x:v>A0627</x:v>
      </x:c>
      <x:c r="B628" s="6" t="str">
        <x:v>2026-03-26</x:v>
      </x:c>
      <x:c r="C628" s="6" t="str">
        <x:v>2026</x:v>
      </x:c>
      <x:c r="D628" s="6" t="str">
        <x:v>2026-Q1</x:v>
      </x:c>
      <x:c r="E628" s="6" t="str">
        <x:v>Second 50%</x:v>
      </x:c>
      <x:c r="F628" s="6" t="str">
        <x:v>Short</x:v>
      </x:c>
      <x:c r="G628" s="6" t="str">
        <x:v>Short</x:v>
      </x:c>
      <x:c r="H628" s="6" t="str">
        <x:v>Morning</x:v>
      </x:c>
      <x:c r="I628" s="6" t="str">
        <x:v>Morning</x:v>
      </x:c>
      <x:c r="J628" s="6" t="str">
        <x:v>Bear</x:v>
      </x:c>
      <x:c r="K628" s="6" t="str">
        <x:v>Bear</x:v>
      </x:c>
      <x:c r="L628" s="6" t="str">
        <x:v>HIGH</x:v>
      </x:c>
      <x:c r="M628" s="7" t="str">
        <x:v>2026-03-26 11:20:00-05:00</x:v>
      </x:c>
      <x:c r="N628" s="6" t="str">
        <x:v>75.0</x:v>
      </x:c>
      <x:c r="O628" s="6" t="str">
        <x:v>75-79</x:v>
      </x:c>
      <x:c r="P628" s="6" t="str">
        <x:v>Matching BOS only</x:v>
      </x:c>
      <x:c r="Q628" s="6" t="str">
        <x:v>Bear CHoCH</x:v>
      </x:c>
      <x:c r="R628" s="6" t="str">
        <x:v>True</x:v>
      </x:c>
      <x:c r="S628" s="6" t="str">
        <x:v>False</x:v>
      </x:c>
      <x:c r="T628" s="6" t="str">
        <x:v>No recent matching sweep</x:v>
      </x:c>
      <x:c r="U628" s="6" t="str">
        <x:v>None</x:v>
      </x:c>
      <x:c r="V628" s="6" t="str">
        <x:v>None</x:v>
      </x:c>
      <x:c r="W628" s="6" t="str">
        <x:v>[]</x:v>
      </x:c>
      <x:c r="X628" s="8" t="str">
        <x:v>0</x:v>
      </x:c>
      <x:c r="Y628" s="8" t="str"/>
      <x:c r="Z628" s="6" t="str">
        <x:v>None</x:v>
      </x:c>
      <x:c r="AA628" s="6" t="str">
        <x:v>21672.75</x:v>
      </x:c>
      <x:c r="AB628" s="9" t="str">
        <x:v>0.14211885294928656</x:v>
      </x:c>
      <x:c r="AC628" s="9" t="str">
        <x:v>0.4757892033519593</x:v>
      </x:c>
      <x:c r="AD628" s="9" t="str">
        <x:v>1.062801856838143</x:v>
      </x:c>
      <x:c r="AE628" s="6" t="str">
        <x:v>With trade</x:v>
      </x:c>
      <x:c r="AF628" s="7" t="str">
        <x:v>2026-03-26 11:20:00-05:00</x:v>
      </x:c>
      <x:c r="AG628" s="6" t="str">
        <x:v>Short</x:v>
      </x:c>
      <x:c r="AH628" s="6" t="str">
        <x:v>21672.75</x:v>
      </x:c>
      <x:c r="AI628" s="8" t="str">
        <x:v>0</x:v>
      </x:c>
      <x:c r="AJ628" s="6" t="str">
        <x:v>True</x:v>
      </x:c>
      <x:c r="AK628" s="6" t="str">
        <x:v>Same-bar Setup+BOS</x:v>
      </x:c>
      <x:c r="AL628" s="9" t="str">
        <x:v>0.44489380053689703</x:v>
      </x:c>
      <x:c r="AM628" s="9" t="str">
        <x:v>0.14211885294928656</x:v>
      </x:c>
      <x:c r="AN628" s="9" t="str">
        <x:v>0.4757892033519593</x:v>
      </x:c>
      <x:c r="AO628" s="9" t="str">
        <x:v>1.062801856838143</x:v>
      </x:c>
      <x:c r="AP628" s="10" t="str">
        <x:v>0.4476744186046512</x:v>
      </x:c>
      <x:c r="AQ628" s="6" t="str">
        <x:v>0.0</x:v>
      </x:c>
      <x:c r="AR628" s="6" t="str">
        <x:v>0.5523255813953488</x:v>
      </x:c>
      <x:c r="AS628" s="6" t="str">
        <x:v>With trade</x:v>
      </x:c>
      <x:c r="AT628" s="6" t="str">
        <x:v>0.7956211710354525</x:v>
      </x:c>
      <x:c r="AU628" s="7" t="str">
        <x:v>2026-03-26 11:25:00-05:00</x:v>
      </x:c>
      <x:c r="AV628" s="8" t="str">
        <x:v>1</x:v>
      </x:c>
      <x:c r="AW628" s="6" t="str">
        <x:v>Immediate retest (1 bar)</x:v>
      </x:c>
      <x:c r="AX628" s="6" t="str">
        <x:v>21671.0</x:v>
      </x:c>
      <x:c r="AY628" s="6" t="str">
        <x:v>0.0</x:v>
      </x:c>
      <x:c r="AZ628" s="9" t="str">
        <x:v>0.0</x:v>
      </x:c>
      <x:c r="BA628" s="9" t="str">
        <x:v>1.072296046004913</x:v>
      </x:c>
      <x:c r="BB628" s="9" t="str">
        <x:v>1.181962687073597</x:v>
      </x:c>
      <x:c r="BC628" s="9" t="str">
        <x:v>0.9077960844018865</x:v>
      </x:c>
      <x:c r="BD628" s="6" t="str">
        <x:v>0.10309278350515463</x:v>
      </x:c>
      <x:c r="BE628" s="6" t="str">
        <x:v>0.12886597938144329</x:v>
      </x:c>
      <x:c r="BF628" s="9" t="str">
        <x:v>0.12185182340964919</x:v>
      </x:c>
      <x:c r="BG628" s="9" t="str">
        <x:v>0.1523147792620615</x:v>
      </x:c>
      <x:c r="BH628" s="6" t="str">
        <x:v>With trade</x:v>
      </x:c>
      <x:c r="BI628" s="6" t="str">
        <x:v>Tolerance-only shallow touch</x:v>
      </x:c>
      <x:c r="BJ628" s="6" t="str">
        <x:v>True</x:v>
      </x:c>
      <x:c r="BK628" s="10" t="str">
        <x:v>False</x:v>
      </x:c>
      <x:c r="BL628" s="6" t="str">
        <x:v>True</x:v>
      </x:c>
      <x:c r="BM628" s="7" t="str">
        <x:v>2026-03-26 11:30:00-05:00</x:v>
      </x:c>
      <x:c r="BN628" s="8" t="str">
        <x:v>1</x:v>
      </x:c>
      <x:c r="BO628" s="6" t="str">
        <x:v>Immediate confirmation (1 bar)</x:v>
      </x:c>
      <x:c r="BP628" s="9" t="str">
        <x:v>0.1799055991996732</x:v>
      </x:c>
      <x:c r="BQ628" s="9" t="str">
        <x:v>0.7630478862606829</x:v>
      </x:c>
      <x:c r="BR628" s="10" t="str">
        <x:v>0.23577235772357724</x:v>
      </x:c>
      <x:c r="BS628" s="9" t="str">
        <x:v>1.2655428357494254</x:v>
      </x:c>
      <x:c r="BT628" s="9" t="str">
        <x:v>0.17370195784796033</x:v>
      </x:c>
      <x:c r="BU628" s="9" t="str">
        <x:v>0.0806473375722673</x:v>
      </x:c>
      <x:c r="BV628" s="6" t="str">
        <x:v>With trade</x:v>
      </x:c>
      <x:c r="BW628" s="7" t="str">
        <x:v>2026-03-26 11:30:00-05:00</x:v>
      </x:c>
      <x:c r="BX628" s="6" t="str">
        <x:v>21621.75</x:v>
      </x:c>
      <x:c r="BY628" s="9" t="str">
        <x:v>40.29891249773381</x:v>
      </x:c>
      <x:c r="BZ628" s="9" t="str">
        <x:v>0.73</x:v>
      </x:c>
      <x:c r="CA628" s="6" t="str">
        <x:v>21682.1983687466</x:v>
      </x:c>
      <x:c r="CB628" s="6" t="str">
        <x:v>60.44836874660177</x:v>
      </x:c>
      <x:c r="CC628" s="9" t="str">
        <x:v>1.5000000000000262</x:v>
      </x:c>
      <x:c r="CD628" s="6" t="str">
        <x:v>21500.8532625068</x:v>
      </x:c>
      <x:c r="CE628" s="6" t="str">
        <x:v>120.89673749319991</x:v>
      </x:c>
      <x:c r="CF628" s="6" t="str">
        <x:v>Fixed 2.00R target</x:v>
      </x:c>
      <x:c r="CG628" s="9" t="str">
        <x:v>0.011993706613311337</x:v>
      </x:c>
      <x:c r="CH628" s="9" t="str">
        <x:v>0.49629130813702954</x:v>
      </x:c>
      <x:c r="CI628" s="9" t="str">
        <x:v>0.4842976015237182</x:v>
      </x:c>
      <x:c r="CJ628" s="6" t="str">
        <x:v>Win</x:v>
      </x:c>
      <x:c r="CK628" s="9" t="str">
        <x:v>1.116655443308297</x:v>
      </x:c>
      <x:c r="CL628" s="9" t="str">
        <x:v>0.29363902398107067</x:v>
      </x:c>
      <x:c r="CM628" s="7" t="str">
        <x:v>2026-03-26 12:30:00-05:00</x:v>
      </x:c>
      <x:c r="CN628" s="6" t="str">
        <x:v>21591.75</x:v>
      </x:c>
      <x:c r="CO628" s="6" t="str">
        <x:v>TIME</x:v>
      </x:c>
      <x:c r="CP628" s="6" t="str">
        <x:v>F::Short::Same-bar Setup+BOS::Tolerance-only shallow touch</x:v>
      </x:c>
    </x:row>
    <x:row r="629" ht="18" customHeight="1">
      <x:c r="A629" s="6" t="str">
        <x:v>A0628</x:v>
      </x:c>
      <x:c r="B629" s="6" t="str">
        <x:v>2026-03-26</x:v>
      </x:c>
      <x:c r="C629" s="6" t="str">
        <x:v>2026</x:v>
      </x:c>
      <x:c r="D629" s="6" t="str">
        <x:v>2026-Q1</x:v>
      </x:c>
      <x:c r="E629" s="6" t="str">
        <x:v>Second 50%</x:v>
      </x:c>
      <x:c r="F629" s="6" t="str">
        <x:v>Long</x:v>
      </x:c>
      <x:c r="G629" s="6" t="str">
        <x:v>Long</x:v>
      </x:c>
      <x:c r="H629" s="6" t="str">
        <x:v>Overnight</x:v>
      </x:c>
      <x:c r="I629" s="6" t="str">
        <x:v>Overnight</x:v>
      </x:c>
      <x:c r="J629" s="6" t="str">
        <x:v>Bear</x:v>
      </x:c>
      <x:c r="K629" s="6" t="str">
        <x:v>Bear</x:v>
      </x:c>
      <x:c r="L629" s="6" t="str">
        <x:v>LOW</x:v>
      </x:c>
      <x:c r="M629" s="7" t="str">
        <x:v>2026-03-26 22:35:00-05:00</x:v>
      </x:c>
      <x:c r="N629" s="6" t="str">
        <x:v>90.0</x:v>
      </x:c>
      <x:c r="O629" s="6" t="str">
        <x:v>90-94</x:v>
      </x:c>
      <x:c r="P629" s="6" t="str">
        <x:v>Matching BOS only</x:v>
      </x:c>
      <x:c r="Q629" s="6" t="str">
        <x:v>Bull CHoCH</x:v>
      </x:c>
      <x:c r="R629" s="6" t="str">
        <x:v>True</x:v>
      </x:c>
      <x:c r="S629" s="6" t="str">
        <x:v>False</x:v>
      </x:c>
      <x:c r="T629" s="6" t="str">
        <x:v>Recent SSL</x:v>
      </x:c>
      <x:c r="U629" s="6" t="str">
        <x:v>SSL</x:v>
      </x:c>
      <x:c r="V629" s="6" t="str">
        <x:v>Swing low / sell-side</x:v>
      </x:c>
      <x:c r="W629" s="6" t="str">
        <x:v>[21466.5]</x:v>
      </x:c>
      <x:c r="X629" s="8" t="str">
        <x:v>1</x:v>
      </x:c>
      <x:c r="Y629" s="8" t="str">
        <x:v>6.0</x:v>
      </x:c>
      <x:c r="Z629" s="6" t="str">
        <x:v>None</x:v>
      </x:c>
      <x:c r="AA629" s="6" t="str">
        <x:v>21503.5</x:v>
      </x:c>
      <x:c r="AB629" s="9" t="str">
        <x:v>0.40077074667464074</x:v>
      </x:c>
      <x:c r="AC629" s="9" t="str">
        <x:v>1.5260116892611322</x:v>
      </x:c>
      <x:c r="AD629" s="9" t="str">
        <x:v>1.5722544677235906</x:v>
      </x:c>
      <x:c r="AE629" s="6" t="str">
        <x:v>With trade</x:v>
      </x:c>
      <x:c r="AF629" s="7" t="str">
        <x:v>2026-03-26 22:35:00-05:00</x:v>
      </x:c>
      <x:c r="AG629" s="6" t="str">
        <x:v>Long</x:v>
      </x:c>
      <x:c r="AH629" s="6" t="str">
        <x:v>21503.5</x:v>
      </x:c>
      <x:c r="AI629" s="8" t="str">
        <x:v>0</x:v>
      </x:c>
      <x:c r="AJ629" s="6" t="str">
        <x:v>True</x:v>
      </x:c>
      <x:c r="AK629" s="6" t="str">
        <x:v>Same-bar Setup+BOS</x:v>
      </x:c>
      <x:c r="AL629" s="9" t="str">
        <x:v>1.5260116892611322</x:v>
      </x:c>
      <x:c r="AM629" s="9" t="str">
        <x:v>0.40077074667464074</x:v>
      </x:c>
      <x:c r="AN629" s="9" t="str">
        <x:v>1.5260116892611322</x:v>
      </x:c>
      <x:c r="AO629" s="9" t="str">
        <x:v>1.5722544677235906</x:v>
      </x:c>
      <x:c r="AP629" s="10" t="str">
        <x:v>0.9705882352941176</x:v>
      </x:c>
      <x:c r="AQ629" s="6" t="str">
        <x:v>0.029411764705882353</x:v>
      </x:c>
      <x:c r="AR629" s="6" t="str">
        <x:v>0.0</x:v>
      </x:c>
      <x:c r="AS629" s="6" t="str">
        <x:v>With trade</x:v>
      </x:c>
      <x:c r="AT629" s="6" t="str">
        <x:v>1.8330757341576507</x:v>
      </x:c>
      <x:c r="AU629" s="7" t="str">
        <x:v>2026-03-26 22:40:00-05:00</x:v>
      </x:c>
      <x:c r="AV629" s="8" t="str">
        <x:v>1</x:v>
      </x:c>
      <x:c r="AW629" s="6" t="str">
        <x:v>Immediate retest (1 bar)</x:v>
      </x:c>
      <x:c r="AX629" s="6" t="str">
        <x:v>21504.75</x:v>
      </x:c>
      <x:c r="AY629" s="6" t="str">
        <x:v>0.0</x:v>
      </x:c>
      <x:c r="AZ629" s="9" t="str">
        <x:v>0.0</x:v>
      </x:c>
      <x:c r="BA629" s="9" t="str">
        <x:v>0.07933135643788816</x:v>
      </x:c>
      <x:c r="BB629" s="9" t="str">
        <x:v>0.6187845802155276</x:v>
      </x:c>
      <x:c r="BC629" s="9" t="str">
        <x:v>0.33319169703913026</x:v>
      </x:c>
      <x:c r="BD629" s="6" t="str">
        <x:v>0.46153846153846156</x:v>
      </x:c>
      <x:c r="BE629" s="6" t="str">
        <x:v>0.0</x:v>
      </x:c>
      <x:c r="BF629" s="9" t="str">
        <x:v>0.0</x:v>
      </x:c>
      <x:c r="BG629" s="9" t="str">
        <x:v>0.28559288317639736</x:v>
      </x:c>
      <x:c r="BH629" s="6" t="str">
        <x:v>Against trade</x:v>
      </x:c>
      <x:c r="BI629" s="6" t="str">
        <x:v>Tolerance-only shallow touch</x:v>
      </x:c>
      <x:c r="BJ629" s="6" t="str">
        <x:v>True</x:v>
      </x:c>
      <x:c r="BK629" s="10" t="str">
        <x:v>False</x:v>
      </x:c>
      <x:c r="BL629" s="6" t="str">
        <x:v>True</x:v>
      </x:c>
      <x:c r="BM629" s="7" t="str">
        <x:v>2026-03-26 22:50:00-05:00</x:v>
      </x:c>
      <x:c r="BN629" s="8" t="str">
        <x:v>2</x:v>
      </x:c>
      <x:c r="BO629" s="6" t="str">
        <x:v>Delayed confirmation (2+ bars)</x:v>
      </x:c>
      <x:c r="BP629" s="9" t="str">
        <x:v>0.6417852617274236</x:v>
      </x:c>
      <x:c r="BQ629" s="9" t="str">
        <x:v>0.8228016175992611</x:v>
      </x:c>
      <x:c r="BR629" s="10" t="str">
        <x:v>0.78</x:v>
      </x:c>
      <x:c r="BS629" s="9" t="str">
        <x:v>0.6417852617274236</x:v>
      </x:c>
      <x:c r="BT629" s="9" t="str">
        <x:v>0.5595050999674975</x:v>
      </x:c>
      <x:c r="BU629" s="9" t="str">
        <x:v>0.06582412940794088</x:v>
      </x:c>
      <x:c r="BV629" s="6" t="str">
        <x:v>With trade</x:v>
      </x:c>
      <x:c r="BW629" s="7" t="str">
        <x:v>2026-03-26 22:50:00-05:00</x:v>
      </x:c>
      <x:c r="BX629" s="6" t="str">
        <x:v>21513.25</x:v>
      </x:c>
      <x:c r="BY629" s="9" t="str">
        <x:v>15.191997357117527</x:v>
      </x:c>
      <x:c r="BZ629" s="9" t="str">
        <x:v>0.0</x:v>
      </x:c>
      <x:c r="CA629" s="6" t="str">
        <x:v>21490.462003964323</x:v>
      </x:c>
      <x:c r="CB629" s="6" t="str">
        <x:v>22.78799603567677</x:v>
      </x:c>
      <x:c r="CC629" s="9" t="str">
        <x:v>1.5000000000000315</x:v>
      </x:c>
      <x:c r="CD629" s="6" t="str">
        <x:v>21558.825992071354</x:v>
      </x:c>
      <x:c r="CE629" s="6" t="str">
        <x:v>45.57599207135354</x:v>
      </x:c>
      <x:c r="CF629" s="6" t="str">
        <x:v>Fixed 2.00R target</x:v>
      </x:c>
      <x:c r="CG629" s="9" t="str">
        <x:v>0.03181499588050409</x:v>
      </x:c>
      <x:c r="CH629" s="9" t="str">
        <x:v>0.592417164671468</x:v>
      </x:c>
      <x:c r="CI629" s="9" t="str">
        <x:v>0.5606021687909639</x:v>
      </x:c>
      <x:c r="CJ629" s="6" t="str">
        <x:v>Win</x:v>
      </x:c>
      <x:c r="CK629" s="9" t="str">
        <x:v>0.8008602411299306</x:v>
      </x:c>
      <x:c r="CL629" s="9" t="str">
        <x:v>0.42785684115160677</x:v>
      </x:c>
      <x:c r="CM629" s="7" t="str">
        <x:v>2026-03-26 23:50:00-05:00</x:v>
      </x:c>
      <x:c r="CN629" s="6" t="str">
        <x:v>21526.75</x:v>
      </x:c>
      <x:c r="CO629" s="6" t="str">
        <x:v>TIME</x:v>
      </x:c>
      <x:c r="CP629" s="6" t="str">
        <x:v>F::Long::Same-bar Setup+BOS::Tolerance-only shallow touch</x:v>
      </x:c>
    </x:row>
    <x:row r="630" ht="18" customHeight="1">
      <x:c r="A630" s="6" t="str">
        <x:v>A0629</x:v>
      </x:c>
      <x:c r="B630" s="6" t="str">
        <x:v>2026-03-30</x:v>
      </x:c>
      <x:c r="C630" s="6" t="str">
        <x:v>2026</x:v>
      </x:c>
      <x:c r="D630" s="6" t="str">
        <x:v>2026-Q1</x:v>
      </x:c>
      <x:c r="E630" s="6" t="str">
        <x:v>Second 50%</x:v>
      </x:c>
      <x:c r="F630" s="6" t="str">
        <x:v>Short</x:v>
      </x:c>
      <x:c r="G630" s="6" t="str">
        <x:v>Short</x:v>
      </x:c>
      <x:c r="H630" s="6" t="str">
        <x:v>Midday</x:v>
      </x:c>
      <x:c r="I630" s="6" t="str">
        <x:v>Midday</x:v>
      </x:c>
      <x:c r="J630" s="6" t="str">
        <x:v>Bear</x:v>
      </x:c>
      <x:c r="K630" s="6" t="str">
        <x:v>Bear</x:v>
      </x:c>
      <x:c r="L630" s="6" t="str">
        <x:v>MID</x:v>
      </x:c>
      <x:c r="M630" s="7" t="str">
        <x:v>2026-03-30 13:25:00-05:00</x:v>
      </x:c>
      <x:c r="N630" s="6" t="str">
        <x:v>75.0</x:v>
      </x:c>
      <x:c r="O630" s="6" t="str">
        <x:v>75-79</x:v>
      </x:c>
      <x:c r="P630" s="6" t="str">
        <x:v>Matching BOS only</x:v>
      </x:c>
      <x:c r="Q630" s="6" t="str">
        <x:v>Bear BOS</x:v>
      </x:c>
      <x:c r="R630" s="6" t="str">
        <x:v>True</x:v>
      </x:c>
      <x:c r="S630" s="6" t="str">
        <x:v>False</x:v>
      </x:c>
      <x:c r="T630" s="6" t="str">
        <x:v>No recent matching sweep</x:v>
      </x:c>
      <x:c r="U630" s="6" t="str">
        <x:v>None</x:v>
      </x:c>
      <x:c r="V630" s="6" t="str">
        <x:v>None</x:v>
      </x:c>
      <x:c r="W630" s="6" t="str">
        <x:v>[]</x:v>
      </x:c>
      <x:c r="X630" s="8" t="str">
        <x:v>0</x:v>
      </x:c>
      <x:c r="Y630" s="8" t="str"/>
      <x:c r="Z630" s="6" t="str">
        <x:v>None</x:v>
      </x:c>
      <x:c r="AA630" s="6" t="str">
        <x:v>20791.0</x:v>
      </x:c>
      <x:c r="AB630" s="9" t="str">
        <x:v>0.45323550792822076</x:v>
      </x:c>
      <x:c r="AC630" s="9" t="str">
        <x:v>0.9455430424019778</x:v>
      </x:c>
      <x:c r="AD630" s="9" t="str">
        <x:v>1.0236870954930504</x:v>
      </x:c>
      <x:c r="AE630" s="6" t="str">
        <x:v>With trade</x:v>
      </x:c>
      <x:c r="AF630" s="7" t="str">
        <x:v>2026-03-30 13:25:00-05:00</x:v>
      </x:c>
      <x:c r="AG630" s="6" t="str">
        <x:v>Short</x:v>
      </x:c>
      <x:c r="AH630" s="6" t="str">
        <x:v>20791.0</x:v>
      </x:c>
      <x:c r="AI630" s="8" t="str">
        <x:v>0</x:v>
      </x:c>
      <x:c r="AJ630" s="6" t="str">
        <x:v>True</x:v>
      </x:c>
      <x:c r="AK630" s="6" t="str">
        <x:v>Same-bar Setup+BOS</x:v>
      </x:c>
      <x:c r="AL630" s="9" t="str">
        <x:v>0.953357447711085</x:v>
      </x:c>
      <x:c r="AM630" s="9" t="str">
        <x:v>0.45323550792822076</x:v>
      </x:c>
      <x:c r="AN630" s="9" t="str">
        <x:v>0.9455430424019778</x:v>
      </x:c>
      <x:c r="AO630" s="9" t="str">
        <x:v>1.0236870954930504</x:v>
      </x:c>
      <x:c r="AP630" s="10" t="str">
        <x:v>0.9236641221374046</x:v>
      </x:c>
      <x:c r="AQ630" s="6" t="str">
        <x:v>0.03816793893129771</x:v>
      </x:c>
      <x:c r="AR630" s="6" t="str">
        <x:v>0.03816793893129771</x:v>
      </x:c>
      <x:c r="AS630" s="6" t="str">
        <x:v>With trade</x:v>
      </x:c>
      <x:c r="AT630" s="6" t="str">
        <x:v>1.0069139840904022</x:v>
      </x:c>
      <x:c r="AU630" s="7" t="str">
        <x:v>2026-03-30 13:30:00-05:00</x:v>
      </x:c>
      <x:c r="AV630" s="8" t="str">
        <x:v>1</x:v>
      </x:c>
      <x:c r="AW630" s="6" t="str">
        <x:v>Immediate retest (1 bar)</x:v>
      </x:c>
      <x:c r="AX630" s="6" t="str">
        <x:v>20794.75</x:v>
      </x:c>
      <x:c r="AY630" s="6" t="str">
        <x:v>3.75</x:v>
      </x:c>
      <x:c r="AZ630" s="9" t="str">
        <x:v>0.12037182627752253</x:v>
      </x:c>
      <x:c r="BA630" s="9" t="str">
        <x:v>0.04012394209250751</x:v>
      </x:c>
      <x:c r="BB630" s="9" t="str">
        <x:v>0.6500078618986217</x:v>
      </x:c>
      <x:c r="BC630" s="9" t="str">
        <x:v>0.4333385745990811</x:v>
      </x:c>
      <x:c r="BD630" s="6" t="str">
        <x:v>0.24691358024691357</x:v>
      </x:c>
      <x:c r="BE630" s="6" t="str">
        <x:v>0.08641975308641975</x:v>
      </x:c>
      <x:c r="BF630" s="9" t="str">
        <x:v>0.16049576837003005</x:v>
      </x:c>
      <x:c r="BG630" s="9" t="str">
        <x:v>0.056173518929510516</x:v>
      </x:c>
      <x:c r="BH630" s="6" t="str">
        <x:v>Against trade</x:v>
      </x:c>
      <x:c r="BI630" s="6" t="str">
        <x:v>Penetration + same-bar reclaim</x:v>
      </x:c>
      <x:c r="BJ630" s="6" t="str">
        <x:v>False</x:v>
      </x:c>
      <x:c r="BK630" s="10" t="str">
        <x:v>True</x:v>
      </x:c>
      <x:c r="BL630" s="6" t="str">
        <x:v>True</x:v>
      </x:c>
      <x:c r="BM630" s="7" t="str">
        <x:v>2026-03-30 13:35:00-05:00</x:v>
      </x:c>
      <x:c r="BN630" s="8" t="str">
        <x:v>1</x:v>
      </x:c>
      <x:c r="BO630" s="6" t="str">
        <x:v>Immediate confirmation (1 bar)</x:v>
      </x:c>
      <x:c r="BP630" s="9" t="str">
        <x:v>0.2701505637566253</x:v>
      </x:c>
      <x:c r="BQ630" s="9" t="str">
        <x:v>1.128275883924729</x:v>
      </x:c>
      <x:c r="BR630" s="10" t="str">
        <x:v>0.23943661971830985</x:v>
      </x:c>
      <x:c r="BS630" s="9" t="str">
        <x:v>0.3178241926548533</x:v>
      </x:c>
      <x:c r="BT630" s="9" t="str">
        <x:v>0.2780961685729966</x:v>
      </x:c>
      <x:c r="BU630" s="9" t="str">
        <x:v>0.8422341105353612</x:v>
      </x:c>
      <x:c r="BV630" s="6" t="str">
        <x:v>With trade</x:v>
      </x:c>
      <x:c r="BW630" s="7" t="str">
        <x:v>2026-03-30 13:35:00-05:00</x:v>
      </x:c>
      <x:c r="BX630" s="6" t="str">
        <x:v>20781.0</x:v>
      </x:c>
      <x:c r="BY630" s="9" t="str">
        <x:v>31.463935820831846</x:v>
      </x:c>
      <x:c r="BZ630" s="9" t="str">
        <x:v>0.43</x:v>
      </x:c>
      <x:c r="CA630" s="6" t="str">
        <x:v>20828.195903731248</x:v>
      </x:c>
      <x:c r="CB630" s="6" t="str">
        <x:v>47.19590373124811</x:v>
      </x:c>
      <x:c r="CC630" s="9" t="str">
        <x:v>1.5000000000000109</x:v>
      </x:c>
      <x:c r="CD630" s="6" t="str">
        <x:v>20686.608192537504</x:v>
      </x:c>
      <x:c r="CE630" s="6" t="str">
        <x:v>94.39180746249622</x:v>
      </x:c>
      <x:c r="CF630" s="6" t="str">
        <x:v>Fixed 2.00R target</x:v>
      </x:c>
      <x:c r="CG630" s="9" t="str">
        <x:v>0.015361502644984464</x:v>
      </x:c>
      <x:c r="CH630" s="9" t="str">
        <x:v>2.0</x:v>
      </x:c>
      <x:c r="CI630" s="9" t="str">
        <x:v>1.9846384973550155</x:v>
      </x:c>
      <x:c r="CJ630" s="6" t="str">
        <x:v>Win</x:v>
      </x:c>
      <x:c r="CK630" s="9" t="str">
        <x:v>2.569078890626712</x:v>
      </x:c>
      <x:c r="CL630" s="9" t="str">
        <x:v>0.2330710746135574</x:v>
      </x:c>
      <x:c r="CM630" s="7" t="str">
        <x:v>2026-03-30 14:10:00-05:00</x:v>
      </x:c>
      <x:c r="CN630" s="6" t="str">
        <x:v>20686.608192537504</x:v>
      </x:c>
      <x:c r="CO630" s="6" t="str">
        <x:v>TARGET</x:v>
      </x:c>
      <x:c r="CP630" s="6" t="str">
        <x:v>F::Short::Same-bar Setup+BOS::Penetration + same-bar reclaim</x:v>
      </x:c>
    </x:row>
    <x:row r="631" ht="18" customHeight="1">
      <x:c r="A631" s="6" t="str">
        <x:v>A0630</x:v>
      </x:c>
      <x:c r="B631" s="6" t="str">
        <x:v>2026-04-01</x:v>
      </x:c>
      <x:c r="C631" s="6" t="str">
        <x:v>2026</x:v>
      </x:c>
      <x:c r="D631" s="6" t="str">
        <x:v>2026-Q2</x:v>
      </x:c>
      <x:c r="E631" s="6" t="str">
        <x:v>Second 50%</x:v>
      </x:c>
      <x:c r="F631" s="6" t="str">
        <x:v>Long</x:v>
      </x:c>
      <x:c r="G631" s="6" t="str">
        <x:v>Long</x:v>
      </x:c>
      <x:c r="H631" s="6" t="str">
        <x:v>Opening</x:v>
      </x:c>
      <x:c r="I631" s="6" t="str">
        <x:v>Opening</x:v>
      </x:c>
      <x:c r="J631" s="6" t="str">
        <x:v>Bull</x:v>
      </x:c>
      <x:c r="K631" s="6" t="str">
        <x:v>Bull</x:v>
      </x:c>
      <x:c r="L631" s="6" t="str">
        <x:v>HIGH</x:v>
      </x:c>
      <x:c r="M631" s="7" t="str">
        <x:v>2026-04-01 09:35:00-05:00</x:v>
      </x:c>
      <x:c r="N631" s="6" t="str">
        <x:v>75.0</x:v>
      </x:c>
      <x:c r="O631" s="6" t="str">
        <x:v>75-79</x:v>
      </x:c>
      <x:c r="P631" s="6" t="str">
        <x:v>Matching BOS only</x:v>
      </x:c>
      <x:c r="Q631" s="6" t="str">
        <x:v>Bull BOS</x:v>
      </x:c>
      <x:c r="R631" s="6" t="str">
        <x:v>True</x:v>
      </x:c>
      <x:c r="S631" s="6" t="str">
        <x:v>False</x:v>
      </x:c>
      <x:c r="T631" s="6" t="str">
        <x:v>No recent matching sweep</x:v>
      </x:c>
      <x:c r="U631" s="6" t="str">
        <x:v>None</x:v>
      </x:c>
      <x:c r="V631" s="6" t="str">
        <x:v>None</x:v>
      </x:c>
      <x:c r="W631" s="6" t="str">
        <x:v>[]</x:v>
      </x:c>
      <x:c r="X631" s="8" t="str">
        <x:v>0</x:v>
      </x:c>
      <x:c r="Y631" s="8" t="str"/>
      <x:c r="Z631" s="6" t="str">
        <x:v>Both CRT sweeps</x:v>
      </x:c>
      <x:c r="AA631" s="6" t="str">
        <x:v>21816.25</x:v>
      </x:c>
      <x:c r="AB631" s="9" t="str">
        <x:v>0.3384832019122191</x:v>
      </x:c>
      <x:c r="AC631" s="9" t="str">
        <x:v>1.0245978003829335</x:v>
      </x:c>
      <x:c r="AD631" s="9" t="str">
        <x:v>2.0766401847046954</x:v>
      </x:c>
      <x:c r="AE631" s="6" t="str">
        <x:v>With trade</x:v>
      </x:c>
      <x:c r="AF631" s="7" t="str">
        <x:v>2026-04-01 09:35:00-05:00</x:v>
      </x:c>
      <x:c r="AG631" s="6" t="str">
        <x:v>Long</x:v>
      </x:c>
      <x:c r="AH631" s="6" t="str">
        <x:v>21816.25</x:v>
      </x:c>
      <x:c r="AI631" s="8" t="str">
        <x:v>0</x:v>
      </x:c>
      <x:c r="AJ631" s="6" t="str">
        <x:v>True</x:v>
      </x:c>
      <x:c r="AK631" s="6" t="str">
        <x:v>Same-bar Setup+BOS</x:v>
      </x:c>
      <x:c r="AL631" s="9" t="str">
        <x:v>0.9971532164441049</x:v>
      </x:c>
      <x:c r="AM631" s="9" t="str">
        <x:v>0.3384832019122191</x:v>
      </x:c>
      <x:c r="AN631" s="9" t="str">
        <x:v>1.0245978003829335</x:v>
      </x:c>
      <x:c r="AO631" s="9" t="str">
        <x:v>2.0766401847046954</x:v>
      </x:c>
      <x:c r="AP631" s="10" t="str">
        <x:v>0.4933920704845815</x:v>
      </x:c>
      <x:c r="AQ631" s="6" t="str">
        <x:v>0.2753303964757709</x:v>
      </x:c>
      <x:c r="AR631" s="6" t="str">
        <x:v>0.23127753303964757</x:v>
      </x:c>
      <x:c r="AS631" s="6" t="str">
        <x:v>With trade</x:v>
      </x:c>
      <x:c r="AT631" s="6" t="str">
        <x:v>1.750643981033323</x:v>
      </x:c>
      <x:c r="AU631" s="7" t="str">
        <x:v>2026-04-01 09:40:00-05:00</x:v>
      </x:c>
      <x:c r="AV631" s="8" t="str">
        <x:v>1</x:v>
      </x:c>
      <x:c r="AW631" s="6" t="str">
        <x:v>Immediate retest (1 bar)</x:v>
      </x:c>
      <x:c r="AX631" s="6" t="str">
        <x:v>21789.75</x:v>
      </x:c>
      <x:c r="AY631" s="6" t="str">
        <x:v>26.5</x:v>
      </x:c>
      <x:c r="AZ631" s="9" t="str">
        <x:v>0.48495292739685936</x:v>
      </x:c>
      <x:c r="BA631" s="9" t="str">
        <x:v>0.19672618752891463</x:v>
      </x:c>
      <x:c r="BB631" s="9" t="str">
        <x:v>0.9973560204954277</x:v>
      </x:c>
      <x:c r="BC631" s="9" t="str">
        <x:v>0.1464008837424481</x:v>
      </x:c>
      <x:c r="BD631" s="6" t="str">
        <x:v>0.16972477064220184</x:v>
      </x:c>
      <x:c r="BE631" s="6" t="str">
        <x:v>0.6834862385321101</x:v>
      </x:c>
      <x:c r="BF631" s="9" t="str">
        <x:v>0.6816791149257739</x:v>
      </x:c>
      <x:c r="BG631" s="9" t="str">
        <x:v>0.1692760218272056</x:v>
      </x:c>
      <x:c r="BH631" s="6" t="str">
        <x:v>Against trade</x:v>
      </x:c>
      <x:c r="BI631" s="6" t="str">
        <x:v>Penetration + same-bar reclaim</x:v>
      </x:c>
      <x:c r="BJ631" s="6" t="str">
        <x:v>False</x:v>
      </x:c>
      <x:c r="BK631" s="10" t="str">
        <x:v>True</x:v>
      </x:c>
      <x:c r="BL631" s="6" t="str">
        <x:v>True</x:v>
      </x:c>
      <x:c r="BM631" s="7" t="str">
        <x:v>2026-04-01 09:45:00-05:00</x:v>
      </x:c>
      <x:c r="BN631" s="8" t="str">
        <x:v>1</x:v>
      </x:c>
      <x:c r="BO631" s="6" t="str">
        <x:v>Immediate confirmation (1 bar)</x:v>
      </x:c>
      <x:c r="BP631" s="9" t="str">
        <x:v>0.4955731636933933</x:v>
      </x:c>
      <x:c r="BQ631" s="9" t="str">
        <x:v>1.1983860140222056</x:v>
      </x:c>
      <x:c r="BR631" s="10" t="str">
        <x:v>0.41353383458646614</x:v>
      </x:c>
      <x:c r="BS631" s="9" t="str">
        <x:v>0.7028128503288124</x:v>
      </x:c>
      <x:c r="BT631" s="9" t="str">
        <x:v>0.5090887954304859</x:v>
      </x:c>
      <x:c r="BU631" s="9" t="str">
        <x:v>0.5451304800627327</x:v>
      </x:c>
      <x:c r="BV631" s="6" t="str">
        <x:v>With trade</x:v>
      </x:c>
      <x:c r="BW631" s="7" t="str">
        <x:v>2026-04-01 09:45:00-05:00</x:v>
      </x:c>
      <x:c r="BX631" s="6" t="str">
        <x:v>21855.25</x:v>
      </x:c>
      <x:c r="BY631" s="9" t="str">
        <x:v>55.4913018191881</x:v>
      </x:c>
      <x:c r="BZ631" s="9" t="str">
        <x:v>1.0</x:v>
      </x:c>
      <x:c r="CA631" s="6" t="str">
        <x:v>21772.01304727122</x:v>
      </x:c>
      <x:c r="CB631" s="6" t="str">
        <x:v>83.23695272878103</x:v>
      </x:c>
      <x:c r="CC631" s="9" t="str">
        <x:v>1.4999999999999798</x:v>
      </x:c>
      <x:c r="CD631" s="6" t="str">
        <x:v>22021.723905457566</x:v>
      </x:c>
      <x:c r="CE631" s="6" t="str">
        <x:v>166.4739054575657</x:v>
      </x:c>
      <x:c r="CF631" s="6" t="str">
        <x:v>Fixed 2.00R target</x:v>
      </x:c>
      <x:c r="CG631" s="9" t="str">
        <x:v>0.008710073786126423</x:v>
      </x:c>
      <x:c r="CH631" s="9" t="str">
        <x:v>0.6577607445385039</x:v>
      </x:c>
      <x:c r="CI631" s="9" t="str">
        <x:v>0.6490506707523774</x:v>
      </x:c>
      <x:c r="CJ631" s="6" t="str">
        <x:v>Win</x:v>
      </x:c>
      <x:c r="CK631" s="9" t="str">
        <x:v>0.8199483253836254</x:v>
      </x:c>
      <x:c r="CL631" s="9" t="str">
        <x:v>0.23427095010960727</x:v>
      </x:c>
      <x:c r="CM631" s="7" t="str">
        <x:v>2026-04-01 10:45:00-05:00</x:v>
      </x:c>
      <x:c r="CN631" s="6" t="str">
        <x:v>21910.0</x:v>
      </x:c>
      <x:c r="CO631" s="6" t="str">
        <x:v>TIME</x:v>
      </x:c>
      <x:c r="CP631" s="6" t="str">
        <x:v>F::Long::Same-bar Setup+BOS::Penetration + same-bar reclaim</x:v>
      </x:c>
    </x:row>
    <x:row r="632" ht="18" customHeight="1">
      <x:c r="A632" s="6" t="str">
        <x:v>A0631</x:v>
      </x:c>
      <x:c r="B632" s="6" t="str">
        <x:v>2026-04-03</x:v>
      </x:c>
      <x:c r="C632" s="6" t="str">
        <x:v>2026</x:v>
      </x:c>
      <x:c r="D632" s="6" t="str">
        <x:v>2026-Q2</x:v>
      </x:c>
      <x:c r="E632" s="6" t="str">
        <x:v>Second 50%</x:v>
      </x:c>
      <x:c r="F632" s="6" t="str">
        <x:v>Short</x:v>
      </x:c>
      <x:c r="G632" s="6" t="str">
        <x:v>Short</x:v>
      </x:c>
      <x:c r="H632" s="6" t="str">
        <x:v>Overnight</x:v>
      </x:c>
      <x:c r="I632" s="6" t="str">
        <x:v>Overnight</x:v>
      </x:c>
      <x:c r="J632" s="6" t="str">
        <x:v>Bull</x:v>
      </x:c>
      <x:c r="K632" s="6" t="str">
        <x:v>Bull</x:v>
      </x:c>
      <x:c r="L632" s="6" t="str">
        <x:v>LOW</x:v>
      </x:c>
      <x:c r="M632" s="7" t="str">
        <x:v>2026-04-03 01:30:00-05:00</x:v>
      </x:c>
      <x:c r="N632" s="6" t="str">
        <x:v>90.0</x:v>
      </x:c>
      <x:c r="O632" s="6" t="str">
        <x:v>90-94</x:v>
      </x:c>
      <x:c r="P632" s="6" t="str">
        <x:v>Matching BOS only</x:v>
      </x:c>
      <x:c r="Q632" s="6" t="str">
        <x:v>Bear CHoCH</x:v>
      </x:c>
      <x:c r="R632" s="6" t="str">
        <x:v>True</x:v>
      </x:c>
      <x:c r="S632" s="6" t="str">
        <x:v>False</x:v>
      </x:c>
      <x:c r="T632" s="6" t="str">
        <x:v>Recent BSL</x:v>
      </x:c>
      <x:c r="U632" s="6" t="str">
        <x:v>BSL</x:v>
      </x:c>
      <x:c r="V632" s="6" t="str">
        <x:v>Swing high / buy-side</x:v>
      </x:c>
      <x:c r="W632" s="6" t="str">
        <x:v>[21812.5]</x:v>
      </x:c>
      <x:c r="X632" s="8" t="str">
        <x:v>1</x:v>
      </x:c>
      <x:c r="Y632" s="8" t="str">
        <x:v>10.0</x:v>
      </x:c>
      <x:c r="Z632" s="6" t="str">
        <x:v>None</x:v>
      </x:c>
      <x:c r="AA632" s="6" t="str">
        <x:v>21780.75</x:v>
      </x:c>
      <x:c r="AB632" s="9" t="str">
        <x:v>0.6337716591986391</x:v>
      </x:c>
      <x:c r="AC632" s="9" t="str">
        <x:v>1.8038116454115112</x:v>
      </x:c>
      <x:c r="AD632" s="9" t="str">
        <x:v>2.510710803748455</x:v>
      </x:c>
      <x:c r="AE632" s="6" t="str">
        <x:v>With trade</x:v>
      </x:c>
      <x:c r="AF632" s="7" t="str">
        <x:v>2026-04-03 01:30:00-05:00</x:v>
      </x:c>
      <x:c r="AG632" s="6" t="str">
        <x:v>Short</x:v>
      </x:c>
      <x:c r="AH632" s="6" t="str">
        <x:v>21780.75</x:v>
      </x:c>
      <x:c r="AI632" s="8" t="str">
        <x:v>0</x:v>
      </x:c>
      <x:c r="AJ632" s="6" t="str">
        <x:v>True</x:v>
      </x:c>
      <x:c r="AK632" s="6" t="str">
        <x:v>Same-bar Setup+BOS</x:v>
      </x:c>
      <x:c r="AL632" s="9" t="str">
        <x:v>1.8281874784576126</x:v>
      </x:c>
      <x:c r="AM632" s="9" t="str">
        <x:v>0.6337716591986391</x:v>
      </x:c>
      <x:c r="AN632" s="9" t="str">
        <x:v>1.8038116454115112</x:v>
      </x:c>
      <x:c r="AO632" s="9" t="str">
        <x:v>2.510710803748455</x:v>
      </x:c>
      <x:c r="AP632" s="10" t="str">
        <x:v>0.7184466019417476</x:v>
      </x:c>
      <x:c r="AQ632" s="6" t="str">
        <x:v>0.009708737864077669</x:v>
      </x:c>
      <x:c r="AR632" s="6" t="str">
        <x:v>0.27184466019417475</x:v>
      </x:c>
      <x:c r="AS632" s="6" t="str">
        <x:v>With trade</x:v>
      </x:c>
      <x:c r="AT632" s="6" t="str">
        <x:v>4.608208955223881</x:v>
      </x:c>
      <x:c r="AU632" s="7" t="str">
        <x:v>2026-04-03 01:35:00-05:00</x:v>
      </x:c>
      <x:c r="AV632" s="8" t="str">
        <x:v>1</x:v>
      </x:c>
      <x:c r="AW632" s="6" t="str">
        <x:v>Immediate retest (1 bar)</x:v>
      </x:c>
      <x:c r="AX632" s="6" t="str">
        <x:v>21780.5</x:v>
      </x:c>
      <x:c r="AY632" s="6" t="str">
        <x:v>0.0</x:v>
      </x:c>
      <x:c r="AZ632" s="9" t="str">
        <x:v>0.0</x:v>
      </x:c>
      <x:c r="BA632" s="9" t="str">
        <x:v>0.6996063382312584</x:v>
      </x:c>
      <x:c r="BB632" s="9" t="str">
        <x:v>0.674620397580142</x:v>
      </x:c>
      <x:c r="BC632" s="9" t="str">
        <x:v>0.2748453471622801</x:v>
      </x:c>
      <x:c r="BD632" s="6" t="str">
        <x:v>0.5925925925925926</x:v>
      </x:c>
      <x:c r="BE632" s="6" t="str">
        <x:v>0.0</x:v>
      </x:c>
      <x:c r="BF632" s="9" t="str">
        <x:v>0.39977505041786193</x:v>
      </x:c>
      <x:c r="BG632" s="9" t="str">
        <x:v>0.0</x:v>
      </x:c>
      <x:c r="BH632" s="6" t="str">
        <x:v>With trade</x:v>
      </x:c>
      <x:c r="BI632" s="6" t="str">
        <x:v>Tolerance-only shallow touch</x:v>
      </x:c>
      <x:c r="BJ632" s="6" t="str">
        <x:v>True</x:v>
      </x:c>
      <x:c r="BK632" s="10" t="str">
        <x:v>False</x:v>
      </x:c>
      <x:c r="BL632" s="6" t="str">
        <x:v>True</x:v>
      </x:c>
      <x:c r="BM632" s="7" t="str">
        <x:v>2026-04-03 01:40:00-05:00</x:v>
      </x:c>
      <x:c r="BN632" s="8" t="str">
        <x:v>1</x:v>
      </x:c>
      <x:c r="BO632" s="6" t="str">
        <x:v>Immediate confirmation (1 bar)</x:v>
      </x:c>
      <x:c r="BP632" s="9" t="str">
        <x:v>0.10176404353078335</x:v>
      </x:c>
      <x:c r="BQ632" s="9" t="str">
        <x:v>0.7377893155981793</x:v>
      </x:c>
      <x:c r="BR632" s="10" t="str">
        <x:v>0.13793103448275862</x:v>
      </x:c>
      <x:c r="BS632" s="9" t="str">
        <x:v>0.6614662829500918</x:v>
      </x:c>
      <x:c r="BT632" s="9" t="str">
        <x:v>-0.05088202176539167</x:v>
      </x:c>
      <x:c r="BU632" s="9" t="str">
        <x:v>0.6105842611847001</x:v>
      </x:c>
      <x:c r="BV632" s="6" t="str">
        <x:v>With trade</x:v>
      </x:c>
      <x:c r="BW632" s="7" t="str">
        <x:v>2026-04-03 01:40:00-05:00</x:v>
      </x:c>
      <x:c r="BX632" s="6" t="str">
        <x:v>21774.25</x:v>
      </x:c>
      <x:c r="BY632" s="9" t="str">
        <x:v>9.826653553693577</x:v>
      </x:c>
      <x:c r="BZ632" s="9" t="str">
        <x:v>0.06</x:v>
      </x:c>
      <x:c r="CA632" s="6" t="str">
        <x:v>21788.98998033054</x:v>
      </x:c>
      <x:c r="CB632" s="6" t="str">
        <x:v>14.739980330541584</x:v>
      </x:c>
      <x:c r="CC632" s="9" t="str">
        <x:v>1.5000000000001241</x:v>
      </x:c>
      <x:c r="CD632" s="6" t="str">
        <x:v>21744.77003933892</x:v>
      </x:c>
      <x:c r="CE632" s="6" t="str">
        <x:v>29.47996066107953</x:v>
      </x:c>
      <x:c r="CF632" s="6" t="str">
        <x:v>Fixed 2.00R target</x:v>
      </x:c>
      <x:c r="CG632" s="9" t="str">
        <x:v>0.04918595437320788</x:v>
      </x:c>
      <x:c r="CH632" s="9" t="str">
        <x:v>2.0</x:v>
      </x:c>
      <x:c r="CI632" s="9" t="str">
        <x:v>1.9508140456267922</x:v>
      </x:c>
      <x:c r="CJ632" s="6" t="str">
        <x:v>Win</x:v>
      </x:c>
      <x:c r="CK632" s="9" t="str">
        <x:v>2.2218482837552527</x:v>
      </x:c>
      <x:c r="CL632" s="9" t="str">
        <x:v>0.8141123482461994</x:v>
      </x:c>
      <x:c r="CM632" s="7" t="str">
        <x:v>2026-04-03 02:10:00-05:00</x:v>
      </x:c>
      <x:c r="CN632" s="6" t="str">
        <x:v>21744.77003933892</x:v>
      </x:c>
      <x:c r="CO632" s="6" t="str">
        <x:v>TARGET</x:v>
      </x:c>
      <x:c r="CP632" s="6" t="str">
        <x:v>F::Short::Same-bar Setup+BOS::Tolerance-only shallow touch</x:v>
      </x:c>
    </x:row>
    <x:row r="633" ht="18" customHeight="1">
      <x:c r="A633" s="6" t="str">
        <x:v>A0632</x:v>
      </x:c>
      <x:c r="B633" s="6" t="str">
        <x:v>2026-04-05</x:v>
      </x:c>
      <x:c r="C633" s="6" t="str">
        <x:v>2026</x:v>
      </x:c>
      <x:c r="D633" s="6" t="str">
        <x:v>2026-Q2</x:v>
      </x:c>
      <x:c r="E633" s="6" t="str">
        <x:v>Second 50%</x:v>
      </x:c>
      <x:c r="F633" s="6" t="str">
        <x:v>Long</x:v>
      </x:c>
      <x:c r="G633" s="6" t="str">
        <x:v>Long</x:v>
      </x:c>
      <x:c r="H633" s="6" t="str">
        <x:v>Overnight</x:v>
      </x:c>
      <x:c r="I633" s="6" t="str">
        <x:v>Overnight</x:v>
      </x:c>
      <x:c r="J633" s="6" t="str">
        <x:v>Bull</x:v>
      </x:c>
      <x:c r="K633" s="6" t="str">
        <x:v>Bull</x:v>
      </x:c>
      <x:c r="L633" s="6" t="str">
        <x:v>HIGH</x:v>
      </x:c>
      <x:c r="M633" s="7" t="str">
        <x:v>2026-04-05 21:05:00-05:00</x:v>
      </x:c>
      <x:c r="N633" s="6" t="str">
        <x:v>90.0</x:v>
      </x:c>
      <x:c r="O633" s="6" t="str">
        <x:v>90-94</x:v>
      </x:c>
      <x:c r="P633" s="6" t="str">
        <x:v>Matching BOS only</x:v>
      </x:c>
      <x:c r="Q633" s="6" t="str">
        <x:v>Bull CHoCH</x:v>
      </x:c>
      <x:c r="R633" s="6" t="str">
        <x:v>True</x:v>
      </x:c>
      <x:c r="S633" s="6" t="str">
        <x:v>False</x:v>
      </x:c>
      <x:c r="T633" s="6" t="str">
        <x:v>Recent SSL</x:v>
      </x:c>
      <x:c r="U633" s="6" t="str">
        <x:v>SSL</x:v>
      </x:c>
      <x:c r="V633" s="6" t="str">
        <x:v>Swing low / sell-side</x:v>
      </x:c>
      <x:c r="W633" s="6" t="str">
        <x:v>[21817.75]</x:v>
      </x:c>
      <x:c r="X633" s="8" t="str">
        <x:v>1</x:v>
      </x:c>
      <x:c r="Y633" s="8" t="str">
        <x:v>3.0</x:v>
      </x:c>
      <x:c r="Z633" s="6" t="str">
        <x:v>None</x:v>
      </x:c>
      <x:c r="AA633" s="6" t="str">
        <x:v>21861.5</x:v>
      </x:c>
      <x:c r="AB633" s="9" t="str">
        <x:v>0.05447501613019141</x:v>
      </x:c>
      <x:c r="AC633" s="9" t="str">
        <x:v>1.579775467775551</x:v>
      </x:c>
      <x:c r="AD633" s="9" t="str">
        <x:v>2.0700506129472735</x:v>
      </x:c>
      <x:c r="AE633" s="6" t="str">
        <x:v>With trade</x:v>
      </x:c>
      <x:c r="AF633" s="7" t="str">
        <x:v>2026-04-05 21:05:00-05:00</x:v>
      </x:c>
      <x:c r="AG633" s="6" t="str">
        <x:v>Long</x:v>
      </x:c>
      <x:c r="AH633" s="6" t="str">
        <x:v>21861.5</x:v>
      </x:c>
      <x:c r="AI633" s="8" t="str">
        <x:v>0</x:v>
      </x:c>
      <x:c r="AJ633" s="6" t="str">
        <x:v>True</x:v>
      </x:c>
      <x:c r="AK633" s="6" t="str">
        <x:v>Same-bar Setup+BOS</x:v>
      </x:c>
      <x:c r="AL633" s="9" t="str">
        <x:v>1.579775467775551</x:v>
      </x:c>
      <x:c r="AM633" s="9" t="str">
        <x:v>0.05447501613019141</x:v>
      </x:c>
      <x:c r="AN633" s="9" t="str">
        <x:v>1.579775467775551</x:v>
      </x:c>
      <x:c r="AO633" s="9" t="str">
        <x:v>2.0700506129472735</x:v>
      </x:c>
      <x:c r="AP633" s="10" t="str">
        <x:v>0.7631578947368421</x:v>
      </x:c>
      <x:c r="AQ633" s="6" t="str">
        <x:v>0.06842105263157895</x:v>
      </x:c>
      <x:c r="AR633" s="6" t="str">
        <x:v>0.16842105263157894</x:v>
      </x:c>
      <x:c r="AS633" s="6" t="str">
        <x:v>With trade</x:v>
      </x:c>
      <x:c r="AT633" s="6" t="str">
        <x:v>1.7373112606876477</x:v>
      </x:c>
      <x:c r="AU633" s="7" t="str">
        <x:v>2026-04-05 21:10:00-05:00</x:v>
      </x:c>
      <x:c r="AV633" s="8" t="str">
        <x:v>1</x:v>
      </x:c>
      <x:c r="AW633" s="6" t="str">
        <x:v>Immediate retest (1 bar)</x:v>
      </x:c>
      <x:c r="AX633" s="6" t="str">
        <x:v>21848.25</x:v>
      </x:c>
      <x:c r="AY633" s="6" t="str">
        <x:v>13.25</x:v>
      </x:c>
      <x:c r="AZ633" s="9" t="str">
        <x:v>0.535659804366669</x:v>
      </x:c>
      <x:c r="BA633" s="9" t="str">
        <x:v>0.8691838335006328</x:v>
      </x:c>
      <x:c r="BB633" s="9" t="str">
        <x:v>1.9405034422339709</x:v>
      </x:c>
      <x:c r="BC633" s="9" t="str">
        <x:v>0.8792906222622681</x:v>
      </x:c>
      <x:c r="BD633" s="6" t="str">
        <x:v>0.2760416666666667</x:v>
      </x:c>
      <x:c r="BE633" s="6" t="str">
        <x:v>0.2708333333333333</x:v>
      </x:c>
      <x:c r="BF633" s="9" t="str">
        <x:v>0.5255530156050338</x:v>
      </x:c>
      <x:c r="BG633" s="9" t="str">
        <x:v>0.535659804366669</x:v>
      </x:c>
      <x:c r="BH633" s="6" t="str">
        <x:v>With trade</x:v>
      </x:c>
      <x:c r="BI633" s="6" t="str">
        <x:v>Penetration + same-bar reclaim</x:v>
      </x:c>
      <x:c r="BJ633" s="6" t="str">
        <x:v>False</x:v>
      </x:c>
      <x:c r="BK633" s="10" t="str">
        <x:v>True</x:v>
      </x:c>
      <x:c r="BL633" s="6" t="str">
        <x:v>True</x:v>
      </x:c>
      <x:c r="BM633" s="7" t="str">
        <x:v>2026-04-05 21:15:00-05:00</x:v>
      </x:c>
      <x:c r="BN633" s="8" t="str">
        <x:v>1</x:v>
      </x:c>
      <x:c r="BO633" s="6" t="str">
        <x:v>Immediate confirmation (1 bar)</x:v>
      </x:c>
      <x:c r="BP633" s="9" t="str">
        <x:v>1.2863582134574876</x:v>
      </x:c>
      <x:c r="BQ633" s="9" t="str">
        <x:v>1.7437300226868166</x:v>
      </x:c>
      <x:c r="BR633" s="10" t="str">
        <x:v>0.7377049180327869</x:v>
      </x:c>
      <x:c r="BS633" s="9" t="str">
        <x:v>2.048644562173036</x:v>
      </x:c>
      <x:c r="BT633" s="9" t="str">
        <x:v>1.2291867373038214</x:v>
      </x:c>
      <x:c r="BU633" s="9" t="str">
        <x:v>0.2668002220504419</x:v>
      </x:c>
      <x:c r="BV633" s="6" t="str">
        <x:v>With trade</x:v>
      </x:c>
      <x:c r="BW633" s="7" t="str">
        <x:v>2026-04-05 21:15:00-05:00</x:v>
      </x:c>
      <x:c r="BX633" s="6" t="str">
        <x:v>21915.25</x:v>
      </x:c>
      <x:c r="BY633" s="9" t="str">
        <x:v>26.236859722989898</x:v>
      </x:c>
      <x:c r="BZ633" s="9" t="str">
        <x:v>0.73</x:v>
      </x:c>
      <x:c r="CA633" s="6" t="str">
        <x:v>21875.894710415516</x:v>
      </x:c>
      <x:c r="CB633" s="6" t="str">
        <x:v>39.355289584484126</x:v>
      </x:c>
      <x:c r="CC633" s="9" t="str">
        <x:v>1.4999999999999725</x:v>
      </x:c>
      <x:c r="CD633" s="6" t="str">
        <x:v>21993.96057916897</x:v>
      </x:c>
      <x:c r="CE633" s="6" t="str">
        <x:v>78.71057916896825</x:v>
      </x:c>
      <x:c r="CF633" s="6" t="str">
        <x:v>Fixed 2.00R target</x:v>
      </x:c>
      <x:c r="CG633" s="9" t="str">
        <x:v>0.01842192009395942</x:v>
      </x:c>
      <x:c r="CH633" s="9" t="str">
        <x:v>-1.0</x:v>
      </x:c>
      <x:c r="CI633" s="9" t="str">
        <x:v>-1.0184219200939595</x:v>
      </x:c>
      <x:c r="CJ633" s="6" t="str">
        <x:v>Loss</x:v>
      </x:c>
      <x:c r="CK633" s="9" t="str">
        <x:v>0.8385149835871184</x:v>
      </x:c>
      <x:c r="CL633" s="9" t="str">
        <x:v>1.0354389570053053</x:v>
      </x:c>
      <x:c r="CM633" s="7" t="str">
        <x:v>2026-04-05 21:40:00-05:00</x:v>
      </x:c>
      <x:c r="CN633" s="6" t="str">
        <x:v>21875.894710415516</x:v>
      </x:c>
      <x:c r="CO633" s="6" t="str">
        <x:v>STOP</x:v>
      </x:c>
      <x:c r="CP633" s="6" t="str">
        <x:v>F::Long::Same-bar Setup+BOS::Penetration + same-bar reclaim</x:v>
      </x:c>
    </x:row>
    <x:row r="634" ht="18" customHeight="1">
      <x:c r="A634" s="6" t="str">
        <x:v>A0633</x:v>
      </x:c>
      <x:c r="B634" s="6" t="str">
        <x:v>2026-04-06</x:v>
      </x:c>
      <x:c r="C634" s="6" t="str">
        <x:v>2026</x:v>
      </x:c>
      <x:c r="D634" s="6" t="str">
        <x:v>2026-Q2</x:v>
      </x:c>
      <x:c r="E634" s="6" t="str">
        <x:v>Second 50%</x:v>
      </x:c>
      <x:c r="F634" s="6" t="str">
        <x:v>Long</x:v>
      </x:c>
      <x:c r="G634" s="6" t="str">
        <x:v>Long</x:v>
      </x:c>
      <x:c r="H634" s="6" t="str">
        <x:v>Overnight</x:v>
      </x:c>
      <x:c r="I634" s="6" t="str">
        <x:v>Overnight</x:v>
      </x:c>
      <x:c r="J634" s="6" t="str">
        <x:v>Bull</x:v>
      </x:c>
      <x:c r="K634" s="6" t="str">
        <x:v>Bull</x:v>
      </x:c>
      <x:c r="L634" s="6" t="str">
        <x:v>MID</x:v>
      </x:c>
      <x:c r="M634" s="7" t="str">
        <x:v>2026-04-06 02:10:00-05:00</x:v>
      </x:c>
      <x:c r="N634" s="6" t="str">
        <x:v>75.0</x:v>
      </x:c>
      <x:c r="O634" s="6" t="str">
        <x:v>75-79</x:v>
      </x:c>
      <x:c r="P634" s="6" t="str">
        <x:v>Matching liquidity sweep only</x:v>
      </x:c>
      <x:c r="Q634" s="6" t="str">
        <x:v>Recent bull structure</x:v>
      </x:c>
      <x:c r="R634" s="6" t="str">
        <x:v>False</x:v>
      </x:c>
      <x:c r="S634" s="6" t="str">
        <x:v>True</x:v>
      </x:c>
      <x:c r="T634" s="6" t="str">
        <x:v>Recent SSL</x:v>
      </x:c>
      <x:c r="U634" s="6" t="str">
        <x:v>SSL</x:v>
      </x:c>
      <x:c r="V634" s="6" t="str">
        <x:v>Swing low / sell-side</x:v>
      </x:c>
      <x:c r="W634" s="6" t="str">
        <x:v>[21833.5,21837.25]</x:v>
      </x:c>
      <x:c r="X634" s="8" t="str">
        <x:v>2</x:v>
      </x:c>
      <x:c r="Y634" s="8" t="str">
        <x:v>0.0</x:v>
      </x:c>
      <x:c r="Z634" s="6" t="str">
        <x:v>Sweep below CRT reference</x:v>
      </x:c>
      <x:c r="AA634" s="6" t="str">
        <x:v>21898.75</x:v>
      </x:c>
      <x:c r="AB634" s="9" t="str">
        <x:v>-2.4015904063902584</x:v>
      </x:c>
      <x:c r="AC634" s="9" t="str">
        <x:v>0.3414025577711642</x:v>
      </x:c>
      <x:c r="AD634" s="9" t="str">
        <x:v>0.8947101514002923</x:v>
      </x:c>
      <x:c r="AE634" s="6" t="str">
        <x:v>With trade</x:v>
      </x:c>
      <x:c r="AF634" s="7" t="str">
        <x:v>2026-04-06 02:45:00-05:00</x:v>
      </x:c>
      <x:c r="AG634" s="6" t="str">
        <x:v>Long</x:v>
      </x:c>
      <x:c r="AH634" s="6" t="str">
        <x:v>21912.25</x:v>
      </x:c>
      <x:c r="AI634" s="8" t="str">
        <x:v>7</x:v>
      </x:c>
      <x:c r="AJ634" s="6" t="str">
        <x:v>False</x:v>
      </x:c>
      <x:c r="AK634" s="6" t="str">
        <x:v>Delayed BOS</x:v>
      </x:c>
      <x:c r="AL634" s="9" t="str">
        <x:v>0.8248178244494144</x:v>
      </x:c>
      <x:c r="AM634" s="9" t="str">
        <x:v>0.12601383429088275</x:v>
      </x:c>
      <x:c r="AN634" s="9" t="str">
        <x:v>0.8591852338014733</x:v>
      </x:c>
      <x:c r="AO634" s="9" t="str">
        <x:v>1.1226687055005917</x:v>
      </x:c>
      <x:c r="AP634" s="10" t="str">
        <x:v>0.7653061224489796</x:v>
      </x:c>
      <x:c r="AQ634" s="6" t="str">
        <x:v>0.11224489795918367</x:v>
      </x:c>
      <x:c r="AR634" s="6" t="str">
        <x:v>0.12244897959183673</x:v>
      </x:c>
      <x:c r="AS634" s="6" t="str">
        <x:v>With trade</x:v>
      </x:c>
      <x:c r="AT634" s="6" t="str">
        <x:v>0.9899607158446093</x:v>
      </x:c>
      <x:c r="AU634" s="7" t="str">
        <x:v>2026-04-06 02:50:00-05:00</x:v>
      </x:c>
      <x:c r="AV634" s="8" t="str">
        <x:v>1</x:v>
      </x:c>
      <x:c r="AW634" s="6" t="str">
        <x:v>Immediate retest (1 bar)</x:v>
      </x:c>
      <x:c r="AX634" s="6" t="str">
        <x:v>21911.5</x:v>
      </x:c>
      <x:c r="AY634" s="6" t="str">
        <x:v>0.75</x:v>
      </x:c>
      <x:c r="AZ634" s="9" t="str">
        <x:v>0.032920622669580624</x:v>
      </x:c>
      <x:c r="BA634" s="9" t="str">
        <x:v>0.7571743214003543</x:v>
      </x:c>
      <x:c r="BB634" s="9" t="str">
        <x:v>1.5472692654702893</x:v>
      </x:c>
      <x:c r="BC634" s="9" t="str">
        <x:v>0.6474389125017522</x:v>
      </x:c>
      <x:c r="BD634" s="6" t="str">
        <x:v>0.48936170212765956</x:v>
      </x:c>
      <x:c r="BE634" s="6" t="str">
        <x:v>0.09219858156028368</x:v>
      </x:c>
      <x:c r="BF634" s="9" t="str">
        <x:v>0.14265603156818268</x:v>
      </x:c>
      <x:c r="BG634" s="9" t="str">
        <x:v>0.7571743214003543</x:v>
      </x:c>
      <x:c r="BH634" s="6" t="str">
        <x:v>With trade</x:v>
      </x:c>
      <x:c r="BI634" s="6" t="str">
        <x:v>Penetration + same-bar reclaim</x:v>
      </x:c>
      <x:c r="BJ634" s="6" t="str">
        <x:v>False</x:v>
      </x:c>
      <x:c r="BK634" s="10" t="str">
        <x:v>True</x:v>
      </x:c>
      <x:c r="BL634" s="6" t="str">
        <x:v>True</x:v>
      </x:c>
      <x:c r="BM634" s="7" t="str">
        <x:v>2026-04-06 02:55:00-05:00</x:v>
      </x:c>
      <x:c r="BN634" s="8" t="str">
        <x:v>1</x:v>
      </x:c>
      <x:c r="BO634" s="6" t="str">
        <x:v>Immediate confirmation (1 bar)</x:v>
      </x:c>
      <x:c r="BP634" s="9" t="str">
        <x:v>0.02221045155707358</x:v>
      </x:c>
      <x:c r="BQ634" s="9" t="str">
        <x:v>0.8439971591687961</x:v>
      </x:c>
      <x:c r="BR634" s="10" t="str">
        <x:v>0.02631578947368421</x:v>
      </x:c>
      <x:c r="BS634" s="9" t="str">
        <x:v>0.8328919333902594</x:v>
      </x:c>
      <x:c r="BT634" s="9" t="str">
        <x:v>0.06663135467122075</x:v>
      </x:c>
      <x:c r="BU634" s="9" t="str">
        <x:v>0.11105225778536791</x:v>
      </x:c>
      <x:c r="BV634" s="6" t="str">
        <x:v>With trade</x:v>
      </x:c>
      <x:c r="BW634" s="7" t="str">
        <x:v>2026-04-06 02:55:00-05:00</x:v>
      </x:c>
      <x:c r="BX634" s="6" t="str">
        <x:v>21931.0</x:v>
      </x:c>
      <x:c r="BY634" s="9" t="str">
        <x:v>22.511924114427114</x:v>
      </x:c>
      <x:c r="BZ634" s="9" t="str">
        <x:v>0.52</x:v>
      </x:c>
      <x:c r="CA634" s="6" t="str">
        <x:v>21897.23211382836</x:v>
      </x:c>
      <x:c r="CB634" s="6" t="str">
        <x:v>33.767886171641294</x:v>
      </x:c>
      <x:c r="CC634" s="9" t="str">
        <x:v>1.5000000000000278</x:v>
      </x:c>
      <x:c r="CD634" s="6" t="str">
        <x:v>21998.535772343283</x:v>
      </x:c>
      <x:c r="CE634" s="6" t="str">
        <x:v>67.53577234328259</x:v>
      </x:c>
      <x:c r="CF634" s="6" t="str">
        <x:v>Fixed 2.00R target</x:v>
      </x:c>
      <x:c r="CG634" s="9" t="str">
        <x:v>0.0214701031718374</x:v>
      </x:c>
      <x:c r="CH634" s="9" t="str">
        <x:v>2.0</x:v>
      </x:c>
      <x:c r="CI634" s="9" t="str">
        <x:v>1.9785298968281626</x:v>
      </x:c>
      <x:c r="CJ634" s="6" t="str">
        <x:v>Win</x:v>
      </x:c>
      <x:c r="CK634" s="9" t="str">
        <x:v>2.4283427035733336</x:v>
      </x:c>
      <x:c r="CL634" s="9" t="str">
        <x:v>0.02221045155707317</x:v>
      </x:c>
      <x:c r="CM634" s="7" t="str">
        <x:v>2026-04-06 03:35:00-05:00</x:v>
      </x:c>
      <x:c r="CN634" s="6" t="str">
        <x:v>21998.535772343283</x:v>
      </x:c>
      <x:c r="CO634" s="6" t="str">
        <x:v>TARGET</x:v>
      </x:c>
      <x:c r="CP634" s="6" t="str">
        <x:v>F::Long::Delayed BOS::Penetration + same-bar reclaim</x:v>
      </x:c>
    </x:row>
    <x:row r="635" ht="18" customHeight="1">
      <x:c r="A635" s="6" t="str">
        <x:v>A0634</x:v>
      </x:c>
      <x:c r="B635" s="6" t="str">
        <x:v>2026-04-06</x:v>
      </x:c>
      <x:c r="C635" s="6" t="str">
        <x:v>2026</x:v>
      </x:c>
      <x:c r="D635" s="6" t="str">
        <x:v>2026-Q2</x:v>
      </x:c>
      <x:c r="E635" s="6" t="str">
        <x:v>Second 50%</x:v>
      </x:c>
      <x:c r="F635" s="6" t="str">
        <x:v>Short</x:v>
      </x:c>
      <x:c r="G635" s="6" t="str">
        <x:v>Short</x:v>
      </x:c>
      <x:c r="H635" s="6" t="str">
        <x:v>Midday</x:v>
      </x:c>
      <x:c r="I635" s="6" t="str">
        <x:v>Midday</x:v>
      </x:c>
      <x:c r="J635" s="6" t="str">
        <x:v>Bull</x:v>
      </x:c>
      <x:c r="K635" s="6" t="str">
        <x:v>Bull</x:v>
      </x:c>
      <x:c r="L635" s="6" t="str">
        <x:v>HIGH</x:v>
      </x:c>
      <x:c r="M635" s="7" t="str">
        <x:v>2026-04-06 12:00:00-05:00</x:v>
      </x:c>
      <x:c r="N635" s="6" t="str">
        <x:v>100.0</x:v>
      </x:c>
      <x:c r="O635" s="6" t="str">
        <x:v>95+</x:v>
      </x:c>
      <x:c r="P635" s="6" t="str">
        <x:v>Matching BOS only</x:v>
      </x:c>
      <x:c r="Q635" s="6" t="str">
        <x:v>Bear CHoCH</x:v>
      </x:c>
      <x:c r="R635" s="6" t="str">
        <x:v>True</x:v>
      </x:c>
      <x:c r="S635" s="6" t="str">
        <x:v>False</x:v>
      </x:c>
      <x:c r="T635" s="6" t="str">
        <x:v>Recent BSL</x:v>
      </x:c>
      <x:c r="U635" s="6" t="str">
        <x:v>BSL</x:v>
      </x:c>
      <x:c r="V635" s="6" t="str">
        <x:v>Swing high / buy-side</x:v>
      </x:c>
      <x:c r="W635" s="6" t="str">
        <x:v>[21954.25]</x:v>
      </x:c>
      <x:c r="X635" s="8" t="str">
        <x:v>1</x:v>
      </x:c>
      <x:c r="Y635" s="8" t="str">
        <x:v>5.0</x:v>
      </x:c>
      <x:c r="Z635" s="6" t="str">
        <x:v>None</x:v>
      </x:c>
      <x:c r="AA635" s="6" t="str">
        <x:v>21904.75</x:v>
      </x:c>
      <x:c r="AB635" s="9" t="str">
        <x:v>0.15019495935615057</x:v>
      </x:c>
      <x:c r="AC635" s="9" t="str">
        <x:v>0.9644097390237036</x:v>
      </x:c>
      <x:c r="AD635" s="9" t="str">
        <x:v>1.6916695422219064</x:v>
      </x:c>
      <x:c r="AE635" s="6" t="str">
        <x:v>With trade</x:v>
      </x:c>
      <x:c r="AF635" s="7" t="str">
        <x:v>2026-04-06 12:00:00-05:00</x:v>
      </x:c>
      <x:c r="AG635" s="6" t="str">
        <x:v>Short</x:v>
      </x:c>
      <x:c r="AH635" s="6" t="str">
        <x:v>21904.75</x:v>
      </x:c>
      <x:c r="AI635" s="8" t="str">
        <x:v>0</x:v>
      </x:c>
      <x:c r="AJ635" s="6" t="str">
        <x:v>True</x:v>
      </x:c>
      <x:c r="AK635" s="6" t="str">
        <x:v>Same-bar Setup+BOS</x:v>
      </x:c>
      <x:c r="AL635" s="9" t="str">
        <x:v>0.9723147368845536</x:v>
      </x:c>
      <x:c r="AM635" s="9" t="str">
        <x:v>0.15019495935615057</x:v>
      </x:c>
      <x:c r="AN635" s="9" t="str">
        <x:v>0.9644097390237036</x:v>
      </x:c>
      <x:c r="AO635" s="9" t="str">
        <x:v>1.6916695422219064</x:v>
      </x:c>
      <x:c r="AP635" s="10" t="str">
        <x:v>0.5700934579439252</x:v>
      </x:c>
      <x:c r="AQ635" s="6" t="str">
        <x:v>0.037383177570093455</x:v>
      </x:c>
      <x:c r="AR635" s="6" t="str">
        <x:v>0.3925233644859813</x:v>
      </x:c>
      <x:c r="AS635" s="6" t="str">
        <x:v>With trade</x:v>
      </x:c>
      <x:c r="AT635" s="6" t="str">
        <x:v>1.7707513073676986</x:v>
      </x:c>
      <x:c r="AU635" s="7" t="str">
        <x:v>2026-04-06 12:05:00-05:00</x:v>
      </x:c>
      <x:c r="AV635" s="8" t="str">
        <x:v>1</x:v>
      </x:c>
      <x:c r="AW635" s="6" t="str">
        <x:v>Immediate retest (1 bar)</x:v>
      </x:c>
      <x:c r="AX635" s="6" t="str">
        <x:v>21912.0</x:v>
      </x:c>
      <x:c r="AY635" s="6" t="str">
        <x:v>7.25</x:v>
      </x:c>
      <x:c r="AZ635" s="9" t="str">
        <x:v>0.23087475283065698</x:v>
      </x:c>
      <x:c r="BA635" s="9" t="str">
        <x:v>0.14330157072247673</x:v>
      </x:c>
      <x:c r="BB635" s="9" t="str">
        <x:v>0.9075766145756861</x:v>
      </x:c>
      <x:c r="BC635" s="9" t="str">
        <x:v>0.03184479349388372</x:v>
      </x:c>
      <x:c r="BD635" s="6" t="str">
        <x:v>0.41228070175438597</x:v>
      </x:c>
      <x:c r="BE635" s="6" t="str">
        <x:v>0.5526315789473685</x:v>
      </x:c>
      <x:c r="BF635" s="9" t="str">
        <x:v>0.37417632355313374</x:v>
      </x:c>
      <x:c r="BG635" s="9" t="str">
        <x:v>0.5015554975286686</x:v>
      </x:c>
      <x:c r="BH635" s="6" t="str">
        <x:v>Against trade</x:v>
      </x:c>
      <x:c r="BI635" s="6" t="str">
        <x:v>Penetration + same-bar reclaim</x:v>
      </x:c>
      <x:c r="BJ635" s="6" t="str">
        <x:v>False</x:v>
      </x:c>
      <x:c r="BK635" s="10" t="str">
        <x:v>True</x:v>
      </x:c>
      <x:c r="BL635" s="6" t="str">
        <x:v>True</x:v>
      </x:c>
      <x:c r="BM635" s="7" t="str">
        <x:v>2026-04-06 12:10:00-05:00</x:v>
      </x:c>
      <x:c r="BN635" s="8" t="str">
        <x:v>1</x:v>
      </x:c>
      <x:c r="BO635" s="6" t="str">
        <x:v>Immediate confirmation (1 bar)</x:v>
      </x:c>
      <x:c r="BP635" s="9" t="str">
        <x:v>1.5028866153015057</x:v>
      </x:c>
      <x:c r="BQ635" s="9" t="str">
        <x:v>2.2579253454769033</x:v>
      </x:c>
      <x:c r="BR635" s="10" t="str">
        <x:v>0.6656050955414012</x:v>
      </x:c>
      <x:c r="BS635" s="9" t="str">
        <x:v>1.6179401360901375</x:v>
      </x:c>
      <x:c r="BT635" s="9" t="str">
        <x:v>1.4885049252029265</x:v>
      </x:c>
      <x:c r="BU635" s="9" t="str">
        <x:v>0.05752676039431601</x:v>
      </x:c>
      <x:c r="BV635" s="6" t="str">
        <x:v>With trade</x:v>
      </x:c>
      <x:c r="BW635" s="7" t="str">
        <x:v>2026-04-06 12:10:00-05:00</x:v>
      </x:c>
      <x:c r="BX635" s="6" t="str">
        <x:v>21848.5</x:v>
      </x:c>
      <x:c r="BY635" s="9" t="str">
        <x:v>34.766428463745235</x:v>
      </x:c>
      <x:c r="BZ635" s="9" t="str">
        <x:v>0.68</x:v>
      </x:c>
      <x:c r="CA635" s="6" t="str">
        <x:v>21900.64964269562</x:v>
      </x:c>
      <x:c r="CB635" s="6" t="str">
        <x:v>52.14964269561824</x:v>
      </x:c>
      <x:c r="CC635" s="9" t="str">
        <x:v>1.500000000000011</x:v>
      </x:c>
      <x:c r="CD635" s="6" t="str">
        <x:v>21744.200714608764</x:v>
      </x:c>
      <x:c r="CE635" s="6" t="str">
        <x:v>104.29928539123648</x:v>
      </x:c>
      <x:c r="CF635" s="6" t="str">
        <x:v>Fixed 2.00R target</x:v>
      </x:c>
      <x:c r="CG635" s="9" t="str">
        <x:v>0.013902300428626264</x:v>
      </x:c>
      <x:c r="CH635" s="9" t="str">
        <x:v>-1.0</x:v>
      </x:c>
      <x:c r="CI635" s="9" t="str">
        <x:v>-1.0139023004286263</x:v>
      </x:c>
      <x:c r="CJ635" s="6" t="str">
        <x:v>Loss</x:v>
      </x:c>
      <x:c r="CK635" s="9" t="str">
        <x:v>0.1869619712815256</x:v>
      </x:c>
      <x:c r="CL635" s="9" t="str">
        <x:v>1.25600093527589</x:v>
      </x:c>
      <x:c r="CM635" s="7" t="str">
        <x:v>2026-04-06 12:20:00-05:00</x:v>
      </x:c>
      <x:c r="CN635" s="6" t="str">
        <x:v>21900.64964269562</x:v>
      </x:c>
      <x:c r="CO635" s="6" t="str">
        <x:v>STOP</x:v>
      </x:c>
      <x:c r="CP635" s="6" t="str">
        <x:v>F::Short::Same-bar Setup+BOS::Penetration + same-bar reclaim</x:v>
      </x:c>
    </x:row>
    <x:row r="636" ht="18" customHeight="1">
      <x:c r="A636" s="6" t="str">
        <x:v>A0635</x:v>
      </x:c>
      <x:c r="B636" s="6" t="str">
        <x:v>2026-04-07</x:v>
      </x:c>
      <x:c r="C636" s="6" t="str">
        <x:v>2026</x:v>
      </x:c>
      <x:c r="D636" s="6" t="str">
        <x:v>2026-Q2</x:v>
      </x:c>
      <x:c r="E636" s="6" t="str">
        <x:v>Second 50%</x:v>
      </x:c>
      <x:c r="F636" s="6" t="str">
        <x:v>Short</x:v>
      </x:c>
      <x:c r="G636" s="6" t="str">
        <x:v>Short</x:v>
      </x:c>
      <x:c r="H636" s="6" t="str">
        <x:v>Premarket</x:v>
      </x:c>
      <x:c r="I636" s="6" t="str">
        <x:v>Premarket</x:v>
      </x:c>
      <x:c r="J636" s="6" t="str">
        <x:v>Bull</x:v>
      </x:c>
      <x:c r="K636" s="6" t="str">
        <x:v>Bull</x:v>
      </x:c>
      <x:c r="L636" s="6" t="str">
        <x:v>HIGH</x:v>
      </x:c>
      <x:c r="M636" s="7" t="str">
        <x:v>2026-04-07 05:35:00-05:00</x:v>
      </x:c>
      <x:c r="N636" s="6" t="str">
        <x:v>90.0</x:v>
      </x:c>
      <x:c r="O636" s="6" t="str">
        <x:v>90-94</x:v>
      </x:c>
      <x:c r="P636" s="6" t="str">
        <x:v>Matching BOS only</x:v>
      </x:c>
      <x:c r="Q636" s="6" t="str">
        <x:v>Bear CHoCH</x:v>
      </x:c>
      <x:c r="R636" s="6" t="str">
        <x:v>True</x:v>
      </x:c>
      <x:c r="S636" s="6" t="str">
        <x:v>False</x:v>
      </x:c>
      <x:c r="T636" s="6" t="str">
        <x:v>Recent BSL</x:v>
      </x:c>
      <x:c r="U636" s="6" t="str">
        <x:v>BSL</x:v>
      </x:c>
      <x:c r="V636" s="6" t="str">
        <x:v>Swing high / buy-side</x:v>
      </x:c>
      <x:c r="W636" s="6" t="str">
        <x:v>[22005.5,22004.0]</x:v>
      </x:c>
      <x:c r="X636" s="8" t="str">
        <x:v>2</x:v>
      </x:c>
      <x:c r="Y636" s="8" t="str">
        <x:v>17.0</x:v>
      </x:c>
      <x:c r="Z636" s="6" t="str">
        <x:v>None</x:v>
      </x:c>
      <x:c r="AA636" s="6" t="str">
        <x:v>21916.5</x:v>
      </x:c>
      <x:c r="AB636" s="9" t="str">
        <x:v>0.04639866298237162</x:v>
      </x:c>
      <x:c r="AC636" s="9" t="str">
        <x:v>0.7501117182150079</x:v>
      </x:c>
      <x:c r="AD636" s="9" t="str">
        <x:v>1.0439699171033616</x:v>
      </x:c>
      <x:c r="AE636" s="6" t="str">
        <x:v>With trade</x:v>
      </x:c>
      <x:c r="AF636" s="7" t="str">
        <x:v>2026-04-07 05:35:00-05:00</x:v>
      </x:c>
      <x:c r="AG636" s="6" t="str">
        <x:v>Short</x:v>
      </x:c>
      <x:c r="AH636" s="6" t="str">
        <x:v>21916.5</x:v>
      </x:c>
      <x:c r="AI636" s="8" t="str">
        <x:v>0</x:v>
      </x:c>
      <x:c r="AJ636" s="6" t="str">
        <x:v>True</x:v>
      </x:c>
      <x:c r="AK636" s="6" t="str">
        <x:v>Same-bar Setup+BOS</x:v>
      </x:c>
      <x:c r="AL636" s="9" t="str">
        <x:v>0.7269123867238221</x:v>
      </x:c>
      <x:c r="AM636" s="9" t="str">
        <x:v>0.04639866298237162</x:v>
      </x:c>
      <x:c r="AN636" s="9" t="str">
        <x:v>0.7501117182150079</x:v>
      </x:c>
      <x:c r="AO636" s="9" t="str">
        <x:v>1.0439699171033616</x:v>
      </x:c>
      <x:c r="AP636" s="10" t="str">
        <x:v>0.7185185185185186</x:v>
      </x:c>
      <x:c r="AQ636" s="6" t="str">
        <x:v>0.1259259259259259</x:v>
      </x:c>
      <x:c r="AR636" s="6" t="str">
        <x:v>0.15555555555555556</x:v>
      </x:c>
      <x:c r="AS636" s="6" t="str">
        <x:v>With trade</x:v>
      </x:c>
      <x:c r="AT636" s="6" t="str">
        <x:v>1.096789043618368</x:v>
      </x:c>
      <x:c r="AU636" s="7" t="str">
        <x:v>2026-04-07 05:40:00-05:00</x:v>
      </x:c>
      <x:c r="AV636" s="8" t="str">
        <x:v>1</x:v>
      </x:c>
      <x:c r="AW636" s="6" t="str">
        <x:v>Immediate retest (1 bar)</x:v>
      </x:c>
      <x:c r="AX636" s="6" t="str">
        <x:v>21934.5</x:v>
      </x:c>
      <x:c r="AY636" s="6" t="str">
        <x:v>18.0</x:v>
      </x:c>
      <x:c r="AZ636" s="9" t="str">
        <x:v>0.5448404432837514</x:v>
      </x:c>
      <x:c r="BA636" s="9" t="str">
        <x:v>0.21944962298928875</x:v>
      </x:c>
      <x:c r="BB636" s="9" t="str">
        <x:v>1.2788615960410274</x:v>
      </x:c>
      <x:c r="BC636" s="9" t="str">
        <x:v>0.26485299326293466</x:v>
      </x:c>
      <x:c r="BD636" s="6" t="str">
        <x:v>0.3905325443786982</x:v>
      </x:c>
      <x:c r="BE636" s="6" t="str">
        <x:v>0.40236686390532544</x:v>
      </x:c>
      <x:c r="BF636" s="9" t="str">
        <x:v>0.49943707301010537</x:v>
      </x:c>
      <x:c r="BG636" s="9" t="str">
        <x:v>0.5145715297679874</x:v>
      </x:c>
      <x:c r="BH636" s="6" t="str">
        <x:v>With trade</x:v>
      </x:c>
      <x:c r="BI636" s="6" t="str">
        <x:v>Penetration + same-bar reclaim</x:v>
      </x:c>
      <x:c r="BJ636" s="6" t="str">
        <x:v>False</x:v>
      </x:c>
      <x:c r="BK636" s="10" t="str">
        <x:v>True</x:v>
      </x:c>
      <x:c r="BL636" s="6" t="str">
        <x:v>True</x:v>
      </x:c>
      <x:c r="BM636" s="7" t="str">
        <x:v>2026-04-07 05:45:00-05:00</x:v>
      </x:c>
      <x:c r="BN636" s="8" t="str">
        <x:v>1</x:v>
      </x:c>
      <x:c r="BO636" s="6" t="str">
        <x:v>Immediate confirmation (1 bar)</x:v>
      </x:c>
      <x:c r="BP636" s="9" t="str">
        <x:v>1.1709226192361464</x:v>
      </x:c>
      <x:c r="BQ636" s="9" t="str">
        <x:v>1.5829139111896053</x:v>
      </x:c>
      <x:c r="BR636" s="10" t="str">
        <x:v>0.7397260273972602</x:v>
      </x:c>
      <x:c r="BS636" s="9" t="str">
        <x:v>1.4022159761222988</x:v>
      </x:c>
      <x:c r="BT636" s="9" t="str">
        <x:v>1.1926063714442232</x:v>
      </x:c>
      <x:c r="BU636" s="9" t="str">
        <x:v>0.10841876104038393</x:v>
      </x:c>
      <x:c r="BV636" s="6" t="str">
        <x:v>With trade</x:v>
      </x:c>
      <x:c r="BW636" s="7" t="str">
        <x:v>2026-04-07 05:45:00-05:00</x:v>
      </x:c>
      <x:c r="BX636" s="6" t="str">
        <x:v>21868.0</x:v>
      </x:c>
      <x:c r="BY636" s="9" t="str">
        <x:v>34.588109696283986</x:v>
      </x:c>
      <x:c r="BZ636" s="9" t="str">
        <x:v>1.0</x:v>
      </x:c>
      <x:c r="CA636" s="6" t="str">
        <x:v>21919.882164544426</x:v>
      </x:c>
      <x:c r="CB636" s="6" t="str">
        <x:v>51.882164544425905</x:v>
      </x:c>
      <x:c r="CC636" s="9" t="str">
        <x:v>1.4999999999999978</x:v>
      </x:c>
      <x:c r="CD636" s="6" t="str">
        <x:v>21764.23567091115</x:v>
      </x:c>
      <x:c r="CE636" s="6" t="str">
        <x:v>103.76432908885181</x:v>
      </x:c>
      <x:c r="CF636" s="6" t="str">
        <x:v>Fixed 2.00R target</x:v>
      </x:c>
      <x:c r="CG636" s="9" t="str">
        <x:v>0.01397397364520506</x:v>
      </x:c>
      <x:c r="CH636" s="9" t="str">
        <x:v>0.6601497894458933</x:v>
      </x:c>
      <x:c r="CI636" s="9" t="str">
        <x:v>0.6461758158006883</x:v>
      </x:c>
      <x:c r="CJ636" s="6" t="str">
        <x:v>Win</x:v>
      </x:c>
      <x:c r="CK636" s="9" t="str">
        <x:v>1.3154809672899936</x:v>
      </x:c>
      <x:c r="CL636" s="9" t="str">
        <x:v>0.22165613368256304</x:v>
      </x:c>
      <x:c r="CM636" s="7" t="str">
        <x:v>2026-04-07 06:45:00-05:00</x:v>
      </x:c>
      <x:c r="CN636" s="6" t="str">
        <x:v>21833.75</x:v>
      </x:c>
      <x:c r="CO636" s="6" t="str">
        <x:v>TIME</x:v>
      </x:c>
      <x:c r="CP636" s="6" t="str">
        <x:v>F::Short::Same-bar Setup+BOS::Penetration + same-bar reclaim</x:v>
      </x:c>
    </x:row>
    <x:row r="637" ht="18" customHeight="1">
      <x:c r="A637" s="6" t="str">
        <x:v>A0636</x:v>
      </x:c>
      <x:c r="B637" s="6" t="str">
        <x:v>2026-04-08</x:v>
      </x:c>
      <x:c r="C637" s="6" t="str">
        <x:v>2026</x:v>
      </x:c>
      <x:c r="D637" s="6" t="str">
        <x:v>2026-Q2</x:v>
      </x:c>
      <x:c r="E637" s="6" t="str">
        <x:v>Second 50%</x:v>
      </x:c>
      <x:c r="F637" s="6" t="str">
        <x:v>Long</x:v>
      </x:c>
      <x:c r="G637" s="6" t="str">
        <x:v>Long</x:v>
      </x:c>
      <x:c r="H637" s="6" t="str">
        <x:v>Premarket</x:v>
      </x:c>
      <x:c r="I637" s="6" t="str">
        <x:v>Premarket</x:v>
      </x:c>
      <x:c r="J637" s="6" t="str">
        <x:v>Bull</x:v>
      </x:c>
      <x:c r="K637" s="6" t="str">
        <x:v>Bull</x:v>
      </x:c>
      <x:c r="L637" s="6" t="str">
        <x:v>HIGH</x:v>
      </x:c>
      <x:c r="M637" s="7" t="str">
        <x:v>2026-04-08 07:00:00-05:00</x:v>
      </x:c>
      <x:c r="N637" s="6" t="str">
        <x:v>90.0</x:v>
      </x:c>
      <x:c r="O637" s="6" t="str">
        <x:v>90-94</x:v>
      </x:c>
      <x:c r="P637" s="6" t="str">
        <x:v>Matching BOS only</x:v>
      </x:c>
      <x:c r="Q637" s="6" t="str">
        <x:v>Bull BOS</x:v>
      </x:c>
      <x:c r="R637" s="6" t="str">
        <x:v>True</x:v>
      </x:c>
      <x:c r="S637" s="6" t="str">
        <x:v>False</x:v>
      </x:c>
      <x:c r="T637" s="6" t="str">
        <x:v>Recent SSL</x:v>
      </x:c>
      <x:c r="U637" s="6" t="str">
        <x:v>SSL</x:v>
      </x:c>
      <x:c r="V637" s="6" t="str">
        <x:v>Equal low / sell-side | Swing low / sell-side</x:v>
      </x:c>
      <x:c r="W637" s="6" t="str">
        <x:v>[22806.0,22807.0]</x:v>
      </x:c>
      <x:c r="X637" s="8" t="str">
        <x:v>2</x:v>
      </x:c>
      <x:c r="Y637" s="8" t="str">
        <x:v>11.0</x:v>
      </x:c>
      <x:c r="Z637" s="6" t="str">
        <x:v>None</x:v>
      </x:c>
      <x:c r="AA637" s="6" t="str">
        <x:v>22856.5</x:v>
      </x:c>
      <x:c r="AB637" s="9" t="str">
        <x:v>0.4366457918498984</x:v>
      </x:c>
      <x:c r="AC637" s="9" t="str">
        <x:v>1.682370550951079</x:v>
      </x:c>
      <x:c r="AD637" s="9" t="str">
        <x:v>1.9649060633245425</x:v>
      </x:c>
      <x:c r="AE637" s="6" t="str">
        <x:v>With trade</x:v>
      </x:c>
      <x:c r="AF637" s="7" t="str">
        <x:v>2026-04-08 07:00:00-05:00</x:v>
      </x:c>
      <x:c r="AG637" s="6" t="str">
        <x:v>Long</x:v>
      </x:c>
      <x:c r="AH637" s="6" t="str">
        <x:v>22856.5</x:v>
      </x:c>
      <x:c r="AI637" s="8" t="str">
        <x:v>0</x:v>
      </x:c>
      <x:c r="AJ637" s="6" t="str">
        <x:v>True</x:v>
      </x:c>
      <x:c r="AK637" s="6" t="str">
        <x:v>Same-bar Setup+BOS</x:v>
      </x:c>
      <x:c r="AL637" s="9" t="str">
        <x:v>1.7594256906892964</x:v>
      </x:c>
      <x:c r="AM637" s="9" t="str">
        <x:v>0.4366457918498984</x:v>
      </x:c>
      <x:c r="AN637" s="9" t="str">
        <x:v>1.682370550951079</x:v>
      </x:c>
      <x:c r="AO637" s="9" t="str">
        <x:v>1.9649060633245425</x:v>
      </x:c>
      <x:c r="AP637" s="10" t="str">
        <x:v>0.8562091503267973</x:v>
      </x:c>
      <x:c r="AQ637" s="6" t="str">
        <x:v>0.10457516339869281</x:v>
      </x:c>
      <x:c r="AR637" s="6" t="str">
        <x:v>0.0392156862745098</x:v>
      </x:c>
      <x:c r="AS637" s="6" t="str">
        <x:v>With trade</x:v>
      </x:c>
      <x:c r="AT637" s="6" t="str">
        <x:v>2.2770253002811143</x:v>
      </x:c>
      <x:c r="AU637" s="7" t="str">
        <x:v>2026-04-08 07:05:00-05:00</x:v>
      </x:c>
      <x:c r="AV637" s="8" t="str">
        <x:v>1</x:v>
      </x:c>
      <x:c r="AW637" s="6" t="str">
        <x:v>Immediate retest (1 bar)</x:v>
      </x:c>
      <x:c r="AX637" s="6" t="str">
        <x:v>22853.0</x:v>
      </x:c>
      <x:c r="AY637" s="6" t="str">
        <x:v>3.5</x:v>
      </x:c>
      <x:c r="AZ637" s="9" t="str">
        <x:v>0.17590115866492917</x:v>
      </x:c>
      <x:c r="BA637" s="9" t="str">
        <x:v>-0.06282184238033184</x:v>
      </x:c>
      <x:c r="BB637" s="9" t="str">
        <x:v>1.2815655845587697</x:v>
      </x:c>
      <x:c r="BC637" s="9" t="str">
        <x:v>0.5025747390426547</x:v>
      </x:c>
      <x:c r="BD637" s="6" t="str">
        <x:v>0.5196078431372549</x:v>
      </x:c>
      <x:c r="BE637" s="6" t="str">
        <x:v>0.08823529411764706</x:v>
      </x:c>
      <x:c r="BF637" s="9" t="str">
        <x:v>0.11307931628459732</x:v>
      </x:c>
      <x:c r="BG637" s="9" t="str">
        <x:v>0.6659115292315175</x:v>
      </x:c>
      <x:c r="BH637" s="6" t="str">
        <x:v>Against trade</x:v>
      </x:c>
      <x:c r="BI637" s="6" t="str">
        <x:v>Penetration without same-bar reclaim</x:v>
      </x:c>
      <x:c r="BJ637" s="6" t="str">
        <x:v>False</x:v>
      </x:c>
      <x:c r="BK637" s="10" t="str">
        <x:v>True</x:v>
      </x:c>
      <x:c r="BL637" s="6" t="str">
        <x:v>False</x:v>
      </x:c>
      <x:c r="BM637" s="7" t="str">
        <x:v>2026-04-08 07:10:00-05:00</x:v>
      </x:c>
      <x:c r="BN637" s="8" t="str">
        <x:v>1</x:v>
      </x:c>
      <x:c r="BO637" s="6" t="str">
        <x:v>Immediate confirmation (1 bar)</x:v>
      </x:c>
      <x:c r="BP637" s="9" t="str">
        <x:v>0.5672241775536653</x:v>
      </x:c>
      <x:c r="BQ637" s="9" t="str">
        <x:v>0.9579786109795236</x:v>
      </x:c>
      <x:c r="BR637" s="10" t="str">
        <x:v>0.5921052631578947</x:v>
      </x:c>
      <x:c r="BS637" s="9" t="str">
        <x:v>0.4789893054897618</x:v>
      </x:c>
      <x:c r="BT637" s="9" t="str">
        <x:v>0.5420142141068357</x:v>
      </x:c>
      <x:c r="BU637" s="9" t="str">
        <x:v>0.3907544334258583</x:v>
      </x:c>
      <x:c r="BV637" s="6" t="str">
        <x:v>With trade</x:v>
      </x:c>
      <x:c r="BW637" s="7" t="str">
        <x:v>2026-04-08 07:10:00-05:00</x:v>
      </x:c>
      <x:c r="BX637" s="6" t="str">
        <x:v>22866.0</x:v>
      </x:c>
      <x:c r="BY637" s="9" t="str">
        <x:v>19.8334282020897</x:v>
      </x:c>
      <x:c r="BZ637" s="9" t="str">
        <x:v>0.8</x:v>
      </x:c>
      <x:c r="CA637" s="6" t="str">
        <x:v>22836.249857696865</x:v>
      </x:c>
      <x:c r="CB637" s="6" t="str">
        <x:v>29.750142303135362</x:v>
      </x:c>
      <x:c r="CC637" s="9" t="str">
        <x:v>1.500000000000041</x:v>
      </x:c>
      <x:c r="CD637" s="6" t="str">
        <x:v>22925.50028460627</x:v>
      </x:c>
      <x:c r="CE637" s="6" t="str">
        <x:v>59.500284606270725</x:v>
      </x:c>
      <x:c r="CF637" s="6" t="str">
        <x:v>Fixed 2.00R target</x:v>
      </x:c>
      <x:c r="CG637" s="9" t="str">
        <x:v>0.024369631331934583</x:v>
      </x:c>
      <x:c r="CH637" s="9" t="str">
        <x:v>-1.0</x:v>
      </x:c>
      <x:c r="CI637" s="9" t="str">
        <x:v>-1.0243696313319346</x:v>
      </x:c>
      <x:c r="CJ637" s="6" t="str">
        <x:v>Loss</x:v>
      </x:c>
      <x:c r="CK637" s="9" t="str">
        <x:v>0.025209963446828878</x:v>
      </x:c>
      <x:c r="CL637" s="9" t="str">
        <x:v>1.2941114569372159</x:v>
      </x:c>
      <x:c r="CM637" s="7" t="str">
        <x:v>2026-04-08 07:15:00-05:00</x:v>
      </x:c>
      <x:c r="CN637" s="6" t="str">
        <x:v>22836.249857696865</x:v>
      </x:c>
      <x:c r="CO637" s="6" t="str">
        <x:v>STOP</x:v>
      </x:c>
      <x:c r="CP637" s="6" t="str">
        <x:v>F::Long::Same-bar Setup+BOS::Penetration without same-bar reclaim</x:v>
      </x:c>
    </x:row>
    <x:row r="638" ht="18" customHeight="1">
      <x:c r="A638" s="6" t="str">
        <x:v>A0637</x:v>
      </x:c>
      <x:c r="B638" s="6" t="str">
        <x:v>2026-04-08</x:v>
      </x:c>
      <x:c r="C638" s="6" t="str">
        <x:v>2026</x:v>
      </x:c>
      <x:c r="D638" s="6" t="str">
        <x:v>2026-Q2</x:v>
      </x:c>
      <x:c r="E638" s="6" t="str">
        <x:v>Second 50%</x:v>
      </x:c>
      <x:c r="F638" s="6" t="str">
        <x:v>Short</x:v>
      </x:c>
      <x:c r="G638" s="6" t="str">
        <x:v>Short</x:v>
      </x:c>
      <x:c r="H638" s="6" t="str">
        <x:v>Premarket</x:v>
      </x:c>
      <x:c r="I638" s="6" t="str">
        <x:v>Premarket</x:v>
      </x:c>
      <x:c r="J638" s="6" t="str">
        <x:v>Bull</x:v>
      </x:c>
      <x:c r="K638" s="6" t="str">
        <x:v>Bull</x:v>
      </x:c>
      <x:c r="L638" s="6" t="str">
        <x:v>HIGH</x:v>
      </x:c>
      <x:c r="M638" s="7" t="str">
        <x:v>2026-04-08 08:35:00-05:00</x:v>
      </x:c>
      <x:c r="N638" s="6" t="str">
        <x:v>90.0</x:v>
      </x:c>
      <x:c r="O638" s="6" t="str">
        <x:v>90-94</x:v>
      </x:c>
      <x:c r="P638" s="6" t="str">
        <x:v>Matching BOS only</x:v>
      </x:c>
      <x:c r="Q638" s="6" t="str">
        <x:v>Bear BOS</x:v>
      </x:c>
      <x:c r="R638" s="6" t="str">
        <x:v>True</x:v>
      </x:c>
      <x:c r="S638" s="6" t="str">
        <x:v>False</x:v>
      </x:c>
      <x:c r="T638" s="6" t="str">
        <x:v>Recent BSL</x:v>
      </x:c>
      <x:c r="U638" s="6" t="str">
        <x:v>BSL</x:v>
      </x:c>
      <x:c r="V638" s="6" t="str">
        <x:v>Swing high / buy-side</x:v>
      </x:c>
      <x:c r="W638" s="6" t="str">
        <x:v>[22866.75]</x:v>
      </x:c>
      <x:c r="X638" s="8" t="str">
        <x:v>1</x:v>
      </x:c>
      <x:c r="Y638" s="8" t="str">
        <x:v>19.0</x:v>
      </x:c>
      <x:c r="Z638" s="6" t="str">
        <x:v>None</x:v>
      </x:c>
      <x:c r="AA638" s="6" t="str">
        <x:v>22776.5</x:v>
      </x:c>
      <x:c r="AB638" s="9" t="str">
        <x:v>0.9404468723109526</x:v>
      </x:c>
      <x:c r="AC638" s="9" t="str">
        <x:v>1.170004770276618</x:v>
      </x:c>
      <x:c r="AD638" s="9" t="str">
        <x:v>2.0956414556220437</x:v>
      </x:c>
      <x:c r="AE638" s="6" t="str">
        <x:v>With trade</x:v>
      </x:c>
      <x:c r="AF638" s="7" t="str">
        <x:v>2026-04-08 08:35:00-05:00</x:v>
      </x:c>
      <x:c r="AG638" s="6" t="str">
        <x:v>Short</x:v>
      </x:c>
      <x:c r="AH638" s="6" t="str">
        <x:v>22776.5</x:v>
      </x:c>
      <x:c r="AI638" s="8" t="str">
        <x:v>0</x:v>
      </x:c>
      <x:c r="AJ638" s="6" t="str">
        <x:v>True</x:v>
      </x:c>
      <x:c r="AK638" s="6" t="str">
        <x:v>Same-bar Setup+BOS</x:v>
      </x:c>
      <x:c r="AL638" s="9" t="str">
        <x:v>1.1922200507249083</x:v>
      </x:c>
      <x:c r="AM638" s="9" t="str">
        <x:v>0.9404468723109526</x:v>
      </x:c>
      <x:c r="AN638" s="9" t="str">
        <x:v>1.170004770276618</x:v>
      </x:c>
      <x:c r="AO638" s="9" t="str">
        <x:v>2.0956414556220437</x:v>
      </x:c>
      <x:c r="AP638" s="10" t="str">
        <x:v>0.558303886925795</x:v>
      </x:c>
      <x:c r="AQ638" s="6" t="str">
        <x:v>0.254416961130742</x:v>
      </x:c>
      <x:c r="AR638" s="6" t="str">
        <x:v>0.1872791519434629</x:v>
      </x:c>
      <x:c r="AS638" s="6" t="str">
        <x:v>With trade</x:v>
      </x:c>
      <x:c r="AT638" s="6" t="str">
        <x:v>3.7773838820148344</x:v>
      </x:c>
      <x:c r="AU638" s="7" t="str">
        <x:v>2026-04-08 08:45:00-05:00</x:v>
      </x:c>
      <x:c r="AV638" s="8" t="str">
        <x:v>2</x:v>
      </x:c>
      <x:c r="AW638" s="6" t="str">
        <x:v>Delayed retest (2+ bars)</x:v>
      </x:c>
      <x:c r="AX638" s="6" t="str">
        <x:v>22782.75</x:v>
      </x:c>
      <x:c r="AY638" s="6" t="str">
        <x:v>6.25</x:v>
      </x:c>
      <x:c r="AZ638" s="9" t="str">
        <x:v>0.17162193377187837</x:v>
      </x:c>
      <x:c r="BA638" s="9" t="str">
        <x:v>0.006864877350875135</x:v>
      </x:c>
      <x:c r="BB638" s="9" t="str">
        <x:v>1.7574086018240345</x:v>
      </x:c>
      <x:c r="BC638" s="9" t="str">
        <x:v>1.52400277189428</x:v>
      </x:c>
      <x:c r="BD638" s="6" t="str">
        <x:v>0.1015625</x:v>
      </x:c>
      <x:c r="BE638" s="6" t="str">
        <x:v>0.03125</x:v>
      </x:c>
      <x:c r="BF638" s="9" t="str">
        <x:v>0.1784868111227535</x:v>
      </x:c>
      <x:c r="BG638" s="9" t="str">
        <x:v>0.05491901880700108</x:v>
      </x:c>
      <x:c r="BH638" s="6" t="str">
        <x:v>Against trade</x:v>
      </x:c>
      <x:c r="BI638" s="6" t="str">
        <x:v>Penetration + same-bar reclaim</x:v>
      </x:c>
      <x:c r="BJ638" s="6" t="str">
        <x:v>False</x:v>
      </x:c>
      <x:c r="BK638" s="10" t="str">
        <x:v>True</x:v>
      </x:c>
      <x:c r="BL638" s="6" t="str">
        <x:v>True</x:v>
      </x:c>
      <x:c r="BM638" s="7" t="str">
        <x:v>2026-04-08 08:50:00-05:00</x:v>
      </x:c>
      <x:c r="BN638" s="8" t="str">
        <x:v>1</x:v>
      </x:c>
      <x:c r="BO638" s="6" t="str">
        <x:v>Immediate confirmation (1 bar)</x:v>
      </x:c>
      <x:c r="BP638" s="9" t="str">
        <x:v>1.8115670634713847</x:v>
      </x:c>
      <x:c r="BQ638" s="9" t="str">
        <x:v>2.0568834366498017</x:v>
      </x:c>
      <x:c r="BR638" s="10" t="str">
        <x:v>0.8807339449541285</x:v>
      </x:c>
      <x:c r="BS638" s="9" t="str">
        <x:v>1.855598207375203</x:v>
      </x:c>
      <x:c r="BT638" s="9" t="str">
        <x:v>1.849308043960372</x:v>
      </x:c>
      <x:c r="BU638" s="9" t="str">
        <x:v>0.006290163414831197</x:v>
      </x:c>
      <x:c r="BV638" s="6" t="str">
        <x:v>With trade</x:v>
      </x:c>
      <x:c r="BW638" s="7" t="str">
        <x:v>2026-04-08 08:50:00-05:00</x:v>
      </x:c>
      <x:c r="BX638" s="6" t="str">
        <x:v>22702.75</x:v>
      </x:c>
      <x:c r="BY638" s="9" t="str">
        <x:v>39.74459541234494</x:v>
      </x:c>
      <x:c r="BZ638" s="9" t="str">
        <x:v>1.0</x:v>
      </x:c>
      <x:c r="CA638" s="6" t="str">
        <x:v>22762.366893118517</x:v>
      </x:c>
      <x:c r="CB638" s="6" t="str">
        <x:v>59.6168931185166</x:v>
      </x:c>
      <x:c r="CC638" s="9" t="str">
        <x:v>1.4999999999999796</x:v>
      </x:c>
      <x:c r="CD638" s="6" t="str">
        <x:v>22583.516213762967</x:v>
      </x:c>
      <x:c r="CE638" s="6" t="str">
        <x:v>119.2337862370332</x:v>
      </x:c>
      <x:c r="CF638" s="6" t="str">
        <x:v>Fixed 2.00R target</x:v>
      </x:c>
      <x:c r="CG638" s="9" t="str">
        <x:v>0.012160982602007148</x:v>
      </x:c>
      <x:c r="CH638" s="9" t="str">
        <x:v>1.2622261252427938</x:v>
      </x:c>
      <x:c r="CI638" s="9" t="str">
        <x:v>1.2500651426407867</x:v>
      </x:c>
      <x:c r="CJ638" s="6" t="str">
        <x:v>Win</x:v>
      </x:c>
      <x:c r="CK638" s="9" t="str">
        <x:v>1.5599605268781582</x:v>
      </x:c>
      <x:c r="CL638" s="9" t="str">
        <x:v>0.39837701627264793</x:v>
      </x:c>
      <x:c r="CM638" s="7" t="str">
        <x:v>2026-04-08 09:50:00-05:00</x:v>
      </x:c>
      <x:c r="CN638" s="6" t="str">
        <x:v>22627.5</x:v>
      </x:c>
      <x:c r="CO638" s="6" t="str">
        <x:v>TIME</x:v>
      </x:c>
      <x:c r="CP638" s="6" t="str">
        <x:v>F::Short::Same-bar Setup+BOS::Penetration + same-bar reclaim</x:v>
      </x:c>
    </x:row>
    <x:row r="639" ht="18" customHeight="1">
      <x:c r="A639" s="6" t="str">
        <x:v>A0638</x:v>
      </x:c>
      <x:c r="B639" s="6" t="str">
        <x:v>2026-04-08</x:v>
      </x:c>
      <x:c r="C639" s="6" t="str">
        <x:v>2026</x:v>
      </x:c>
      <x:c r="D639" s="6" t="str">
        <x:v>2026-Q2</x:v>
      </x:c>
      <x:c r="E639" s="6" t="str">
        <x:v>Second 50%</x:v>
      </x:c>
      <x:c r="F639" s="6" t="str">
        <x:v>Short</x:v>
      </x:c>
      <x:c r="G639" s="6" t="str">
        <x:v>Short</x:v>
      </x:c>
      <x:c r="H639" s="6" t="str">
        <x:v>Midday</x:v>
      </x:c>
      <x:c r="I639" s="6" t="str">
        <x:v>Midday</x:v>
      </x:c>
      <x:c r="J639" s="6" t="str">
        <x:v>Bull</x:v>
      </x:c>
      <x:c r="K639" s="6" t="str">
        <x:v>Bull</x:v>
      </x:c>
      <x:c r="L639" s="6" t="str">
        <x:v>MID</x:v>
      </x:c>
      <x:c r="M639" s="7" t="str">
        <x:v>2026-04-08 13:15:00-05:00</x:v>
      </x:c>
      <x:c r="N639" s="6" t="str">
        <x:v>75.0</x:v>
      </x:c>
      <x:c r="O639" s="6" t="str">
        <x:v>75-79</x:v>
      </x:c>
      <x:c r="P639" s="6" t="str">
        <x:v>Matching BOS only</x:v>
      </x:c>
      <x:c r="Q639" s="6" t="str">
        <x:v>Bear CHoCH</x:v>
      </x:c>
      <x:c r="R639" s="6" t="str">
        <x:v>True</x:v>
      </x:c>
      <x:c r="S639" s="6" t="str">
        <x:v>False</x:v>
      </x:c>
      <x:c r="T639" s="6" t="str">
        <x:v>No recent matching sweep</x:v>
      </x:c>
      <x:c r="U639" s="6" t="str">
        <x:v>None</x:v>
      </x:c>
      <x:c r="V639" s="6" t="str">
        <x:v>None</x:v>
      </x:c>
      <x:c r="W639" s="6" t="str">
        <x:v>[]</x:v>
      </x:c>
      <x:c r="X639" s="8" t="str">
        <x:v>0</x:v>
      </x:c>
      <x:c r="Y639" s="8" t="str"/>
      <x:c r="Z639" s="6" t="str">
        <x:v>Sweep above CRT reference</x:v>
      </x:c>
      <x:c r="AA639" s="6" t="str">
        <x:v>22686.5</x:v>
      </x:c>
      <x:c r="AB639" s="9" t="str">
        <x:v>0.3881532647305304</x:v>
      </x:c>
      <x:c r="AC639" s="9" t="str">
        <x:v>2.355384583705719</x:v>
      </x:c>
      <x:c r="AD639" s="9" t="str">
        <x:v>3.51984437789731</x:v>
      </x:c>
      <x:c r="AE639" s="6" t="str">
        <x:v>With trade</x:v>
      </x:c>
      <x:c r="AF639" s="7" t="str">
        <x:v>2026-04-08 13:15:00-05:00</x:v>
      </x:c>
      <x:c r="AG639" s="6" t="str">
        <x:v>Short</x:v>
      </x:c>
      <x:c r="AH639" s="6" t="str">
        <x:v>22686.5</x:v>
      </x:c>
      <x:c r="AI639" s="8" t="str">
        <x:v>0</x:v>
      </x:c>
      <x:c r="AJ639" s="6" t="str">
        <x:v>True</x:v>
      </x:c>
      <x:c r="AK639" s="6" t="str">
        <x:v>Same-bar Setup+BOS</x:v>
      </x:c>
      <x:c r="AL639" s="9" t="str">
        <x:v>2.3377412534906945</x:v>
      </x:c>
      <x:c r="AM639" s="9" t="str">
        <x:v>0.3881532647305304</x:v>
      </x:c>
      <x:c r="AN639" s="9" t="str">
        <x:v>2.355384583705719</x:v>
      </x:c>
      <x:c r="AO639" s="9" t="str">
        <x:v>3.51984437789731</x:v>
      </x:c>
      <x:c r="AP639" s="10" t="str">
        <x:v>0.6691729323308271</x:v>
      </x:c>
      <x:c r="AQ639" s="6" t="str">
        <x:v>0.11027568922305764</x:v>
      </x:c>
      <x:c r="AR639" s="6" t="str">
        <x:v>0.22055137844611528</x:v>
      </x:c>
      <x:c r="AS639" s="6" t="str">
        <x:v>With trade</x:v>
      </x:c>
      <x:c r="AT639" s="6" t="str">
        <x:v>3.02732857849022</x:v>
      </x:c>
      <x:c r="AU639" s="7" t="str">
        <x:v>2026-04-08 13:20:00-05:00</x:v>
      </x:c>
      <x:c r="AV639" s="8" t="str">
        <x:v>1</x:v>
      </x:c>
      <x:c r="AW639" s="6" t="str">
        <x:v>Immediate retest (1 bar)</x:v>
      </x:c>
      <x:c r="AX639" s="6" t="str">
        <x:v>22702.5</x:v>
      </x:c>
      <x:c r="AY639" s="6" t="str">
        <x:v>16.0</x:v>
      </x:c>
      <x:c r="AZ639" s="9" t="str">
        <x:v>0.5542343360534507</x:v>
      </x:c>
      <x:c r="BA639" s="9" t="str">
        <x:v>0.03463964600334067</x:v>
      </x:c>
      <x:c r="BB639" s="9" t="str">
        <x:v>1.238367344619429</x:v>
      </x:c>
      <x:c r="BC639" s="9" t="str">
        <x:v>0.31175681403006605</x:v>
      </x:c>
      <x:c r="BD639" s="6" t="str">
        <x:v>0.4755244755244755</x:v>
      </x:c>
      <x:c r="BE639" s="6" t="str">
        <x:v>0.2727272727272727</x:v>
      </x:c>
      <x:c r="BF639" s="9" t="str">
        <x:v>0.5888739820567914</x:v>
      </x:c>
      <x:c r="BG639" s="9" t="str">
        <x:v>0.33773654853257157</x:v>
      </x:c>
      <x:c r="BH639" s="6" t="str">
        <x:v>Against trade</x:v>
      </x:c>
      <x:c r="BI639" s="6" t="str">
        <x:v>Penetration + same-bar reclaim</x:v>
      </x:c>
      <x:c r="BJ639" s="6" t="str">
        <x:v>False</x:v>
      </x:c>
      <x:c r="BK639" s="10" t="str">
        <x:v>True</x:v>
      </x:c>
      <x:c r="BL639" s="6" t="str">
        <x:v>True</x:v>
      </x:c>
      <x:c r="BM639" s="7" t="str">
        <x:v>2026-04-08 13:25:00-05:00</x:v>
      </x:c>
      <x:c r="BN639" s="8" t="str">
        <x:v>1</x:v>
      </x:c>
      <x:c r="BO639" s="6" t="str">
        <x:v>Immediate confirmation (1 bar)</x:v>
      </x:c>
      <x:c r="BP639" s="9" t="str">
        <x:v>0.3660882549326051</x:v>
      </x:c>
      <x:c r="BQ639" s="9" t="str">
        <x:v>0.9152206373315128</x:v>
      </x:c>
      <x:c r="BR639" s="10" t="str">
        <x:v>0.4</x:v>
      </x:c>
      <x:c r="BS639" s="9" t="str">
        <x:v>0.3922374159992198</x:v>
      </x:c>
      <x:c r="BT639" s="9" t="str">
        <x:v>0.35737186791040026</x:v>
      </x:c>
      <x:c r="BU639" s="9" t="str">
        <x:v>0.37480464195481</x:v>
      </x:c>
      <x:c r="BV639" s="6" t="str">
        <x:v>With trade</x:v>
      </x:c>
      <x:c r="BW639" s="7" t="str">
        <x:v>2026-04-08 13:25:00-05:00</x:v>
      </x:c>
      <x:c r="BX639" s="6" t="str">
        <x:v>22675.25</x:v>
      </x:c>
      <x:c r="BY639" s="9" t="str">
        <x:v>28.681608487912275</x:v>
      </x:c>
      <x:c r="BZ639" s="9" t="str">
        <x:v>0.62</x:v>
      </x:c>
      <x:c r="CA639" s="6" t="str">
        <x:v>22718.27241273187</x:v>
      </x:c>
      <x:c r="CB639" s="6" t="str">
        <x:v>43.022412731868826</x:v>
      </x:c>
      <x:c r="CC639" s="9" t="str">
        <x:v>1.5000000000000144</x:v>
      </x:c>
      <x:c r="CD639" s="6" t="str">
        <x:v>22589.205174536262</x:v>
      </x:c>
      <x:c r="CE639" s="6" t="str">
        <x:v>86.04482546373765</x:v>
      </x:c>
      <x:c r="CF639" s="6" t="str">
        <x:v>Fixed 2.00R target</x:v>
      </x:c>
      <x:c r="CG639" s="9" t="str">
        <x:v>0.016851681576262614</x:v>
      </x:c>
      <x:c r="CH639" s="9" t="str">
        <x:v>2.0</x:v>
      </x:c>
      <x:c r="CI639" s="9" t="str">
        <x:v>1.9831483184237373</x:v>
      </x:c>
      <x:c r="CJ639" s="6" t="str">
        <x:v>Win</x:v>
      </x:c>
      <x:c r="CK639" s="9" t="str">
        <x:v>2.440588366217344</x:v>
      </x:c>
      <x:c r="CL639" s="9" t="str">
        <x:v>0.43581935111024</x:v>
      </x:c>
      <x:c r="CM639" s="7" t="str">
        <x:v>2026-04-08 13:55:00-05:00</x:v>
      </x:c>
      <x:c r="CN639" s="6" t="str">
        <x:v>22589.205174536262</x:v>
      </x:c>
      <x:c r="CO639" s="6" t="str">
        <x:v>TARGET</x:v>
      </x:c>
      <x:c r="CP639" s="6" t="str">
        <x:v>F::Short::Same-bar Setup+BOS::Penetration + same-bar reclaim</x:v>
      </x:c>
    </x:row>
    <x:row r="640" ht="18" customHeight="1">
      <x:c r="A640" s="6" t="str">
        <x:v>A0639</x:v>
      </x:c>
      <x:c r="B640" s="6" t="str">
        <x:v>2026-04-09</x:v>
      </x:c>
      <x:c r="C640" s="6" t="str">
        <x:v>2026</x:v>
      </x:c>
      <x:c r="D640" s="6" t="str">
        <x:v>2026-Q2</x:v>
      </x:c>
      <x:c r="E640" s="6" t="str">
        <x:v>Second 50%</x:v>
      </x:c>
      <x:c r="F640" s="6" t="str">
        <x:v>Long</x:v>
      </x:c>
      <x:c r="G640" s="6" t="str">
        <x:v>Long</x:v>
      </x:c>
      <x:c r="H640" s="6" t="str">
        <x:v>Morning</x:v>
      </x:c>
      <x:c r="I640" s="6" t="str">
        <x:v>Morning</x:v>
      </x:c>
      <x:c r="J640" s="6" t="str">
        <x:v>Bull</x:v>
      </x:c>
      <x:c r="K640" s="6" t="str">
        <x:v>Bull</x:v>
      </x:c>
      <x:c r="L640" s="6" t="str">
        <x:v>HIGH</x:v>
      </x:c>
      <x:c r="M640" s="7" t="str">
        <x:v>2026-04-09 10:30:00-05:00</x:v>
      </x:c>
      <x:c r="N640" s="6" t="str">
        <x:v>100.0</x:v>
      </x:c>
      <x:c r="O640" s="6" t="str">
        <x:v>95+</x:v>
      </x:c>
      <x:c r="P640" s="6" t="str">
        <x:v>Matching BOS only</x:v>
      </x:c>
      <x:c r="Q640" s="6" t="str">
        <x:v>Bull CHoCH</x:v>
      </x:c>
      <x:c r="R640" s="6" t="str">
        <x:v>True</x:v>
      </x:c>
      <x:c r="S640" s="6" t="str">
        <x:v>False</x:v>
      </x:c>
      <x:c r="T640" s="6" t="str">
        <x:v>Recent SSL</x:v>
      </x:c>
      <x:c r="U640" s="6" t="str">
        <x:v>SSL</x:v>
      </x:c>
      <x:c r="V640" s="6" t="str">
        <x:v>Swing low / sell-side</x:v>
      </x:c>
      <x:c r="W640" s="6" t="str">
        <x:v>[22585.75]</x:v>
      </x:c>
      <x:c r="X640" s="8" t="str">
        <x:v>1</x:v>
      </x:c>
      <x:c r="Y640" s="8" t="str">
        <x:v>13.0</x:v>
      </x:c>
      <x:c r="Z640" s="6" t="str">
        <x:v>Sweep below CRT reference</x:v>
      </x:c>
      <x:c r="AA640" s="6" t="str">
        <x:v>22733.0</x:v>
      </x:c>
      <x:c r="AB640" s="9" t="str">
        <x:v>0.28178891216201873</x:v>
      </x:c>
      <x:c r="AC640" s="9" t="str">
        <x:v>1.6776270119413208</x:v>
      </x:c>
      <x:c r="AD640" s="9" t="str">
        <x:v>2.8375488131663746</x:v>
      </x:c>
      <x:c r="AE640" s="6" t="str">
        <x:v>With trade</x:v>
      </x:c>
      <x:c r="AF640" s="7" t="str">
        <x:v>2026-04-09 10:30:00-05:00</x:v>
      </x:c>
      <x:c r="AG640" s="6" t="str">
        <x:v>Long</x:v>
      </x:c>
      <x:c r="AH640" s="6" t="str">
        <x:v>22733.0</x:v>
      </x:c>
      <x:c r="AI640" s="8" t="str">
        <x:v>0</x:v>
      </x:c>
      <x:c r="AJ640" s="6" t="str">
        <x:v>True</x:v>
      </x:c>
      <x:c r="AK640" s="6" t="str">
        <x:v>Same-bar Setup+BOS</x:v>
      </x:c>
      <x:c r="AL640" s="9" t="str">
        <x:v>1.6841802424567165</x:v>
      </x:c>
      <x:c r="AM640" s="9" t="str">
        <x:v>0.28178891216201873</x:v>
      </x:c>
      <x:c r="AN640" s="9" t="str">
        <x:v>1.6776270119413208</x:v>
      </x:c>
      <x:c r="AO640" s="9" t="str">
        <x:v>2.8375488131663746</x:v>
      </x:c>
      <x:c r="AP640" s="10" t="str">
        <x:v>0.5912240184757506</x:v>
      </x:c>
      <x:c r="AQ640" s="6" t="str">
        <x:v>0.3187066974595843</x:v>
      </x:c>
      <x:c r="AR640" s="6" t="str">
        <x:v>0.09006928406466513</x:v>
      </x:c>
      <x:c r="AS640" s="6" t="str">
        <x:v>With trade</x:v>
      </x:c>
      <x:c r="AT640" s="6" t="str">
        <x:v>2.5688283541984194</x:v>
      </x:c>
      <x:c r="AU640" s="7" t="str">
        <x:v>2026-04-09 10:35:00-05:00</x:v>
      </x:c>
      <x:c r="AV640" s="8" t="str">
        <x:v>1</x:v>
      </x:c>
      <x:c r="AW640" s="6" t="str">
        <x:v>Immediate retest (1 bar)</x:v>
      </x:c>
      <x:c r="AX640" s="6" t="str">
        <x:v>22711.5</x:v>
      </x:c>
      <x:c r="AY640" s="6" t="str">
        <x:v>21.5</x:v>
      </x:c>
      <x:c r="AZ640" s="9" t="str">
        <x:v>0.5475827537012142</x:v>
      </x:c>
      <x:c r="BA640" s="9" t="str">
        <x:v>-0.05093793057685714</x:v>
      </x:c>
      <x:c r="BB640" s="9" t="str">
        <x:v>1.3689568842530355</x:v>
      </x:c>
      <x:c r="BC640" s="9" t="str">
        <x:v>0.33746379007167854</x:v>
      </x:c>
      <x:c r="BD640" s="6" t="str">
        <x:v>0.39069767441860465</x:v>
      </x:c>
      <x:c r="BE640" s="6" t="str">
        <x:v>0.3627906976744186</x:v>
      </x:c>
      <x:c r="BF640" s="9" t="str">
        <x:v>0.49664482312435704</x:v>
      </x:c>
      <x:c r="BG640" s="9" t="str">
        <x:v>0.534848271057</x:v>
      </x:c>
      <x:c r="BH640" s="6" t="str">
        <x:v>Against trade</x:v>
      </x:c>
      <x:c r="BI640" s="6" t="str">
        <x:v>Penetration without same-bar reclaim</x:v>
      </x:c>
      <x:c r="BJ640" s="6" t="str">
        <x:v>False</x:v>
      </x:c>
      <x:c r="BK640" s="10" t="str">
        <x:v>True</x:v>
      </x:c>
      <x:c r="BL640" s="6" t="str">
        <x:v>False</x:v>
      </x:c>
      <x:c r="BM640" s="7" t="str">
        <x:v>2026-04-09 10:40:00-05:00</x:v>
      </x:c>
      <x:c r="BN640" s="8" t="str">
        <x:v>1</x:v>
      </x:c>
      <x:c r="BO640" s="6" t="str">
        <x:v>Immediate confirmation (1 bar)</x:v>
      </x:c>
      <x:c r="BP640" s="9" t="str">
        <x:v>0.4178719646165682</x:v>
      </x:c>
      <x:c r="BQ640" s="9" t="str">
        <x:v>0.8743167259669735</x:v>
      </x:c>
      <x:c r="BR640" s="10" t="str">
        <x:v>0.47794117647058826</x:v>
      </x:c>
      <x:c r="BS640" s="9" t="str">
        <x:v>0.36644156897145214</x:v>
      </x:c>
      <x:c r="BT640" s="9" t="str">
        <x:v>0.4178719646165682</x:v>
      </x:c>
      <x:c r="BU640" s="9" t="str">
        <x:v>0.012857598911279022</x:v>
      </x:c>
      <x:c r="BV640" s="6" t="str">
        <x:v>With trade</x:v>
      </x:c>
      <x:c r="BW640" s="7" t="str">
        <x:v>2026-04-09 10:40:00-05:00</x:v>
      </x:c>
      <x:c r="BX640" s="6" t="str">
        <x:v>22747.25</x:v>
      </x:c>
      <x:c r="BY640" s="9" t="str">
        <x:v>38.887509514812045</x:v>
      </x:c>
      <x:c r="BZ640" s="9" t="str">
        <x:v>0.99</x:v>
      </x:c>
      <x:c r="CA640" s="6" t="str">
        <x:v>22688.91873572778</x:v>
      </x:c>
      <x:c r="CB640" s="6" t="str">
        <x:v>58.331264272219414</x:v>
      </x:c>
      <x:c r="CC640" s="9" t="str">
        <x:v>1.5000000000000346</x:v>
      </x:c>
      <x:c r="CD640" s="6" t="str">
        <x:v>22863.912528544435</x:v>
      </x:c>
      <x:c r="CE640" s="6" t="str">
        <x:v>116.66252854443519</x:v>
      </x:c>
      <x:c r="CF640" s="6" t="str">
        <x:v>Fixed 2.00R target</x:v>
      </x:c>
      <x:c r="CG640" s="9" t="str">
        <x:v>0.01242901228090277</x:v>
      </x:c>
      <x:c r="CH640" s="9" t="str">
        <x:v>2.0</x:v>
      </x:c>
      <x:c r="CI640" s="9" t="str">
        <x:v>1.9875709877190972</x:v>
      </x:c>
      <x:c r="CJ640" s="6" t="str">
        <x:v>Win</x:v>
      </x:c>
      <x:c r="CK640" s="9" t="str">
        <x:v>2.4000851301053623</x:v>
      </x:c>
      <x:c r="CL640" s="9" t="str">
        <x:v>0.30429650756692983</x:v>
      </x:c>
      <x:c r="CM640" s="7" t="str">
        <x:v>2026-04-09 11:00:00-05:00</x:v>
      </x:c>
      <x:c r="CN640" s="6" t="str">
        <x:v>22863.912528544435</x:v>
      </x:c>
      <x:c r="CO640" s="6" t="str">
        <x:v>TARGET</x:v>
      </x:c>
      <x:c r="CP640" s="6" t="str">
        <x:v>F::Long::Same-bar Setup+BOS::Penetration without same-bar reclaim</x:v>
      </x:c>
    </x:row>
    <x:row r="641" ht="18" customHeight="1">
      <x:c r="A641" s="6" t="str">
        <x:v>A0640</x:v>
      </x:c>
      <x:c r="B641" s="6" t="str">
        <x:v>2026-04-09</x:v>
      </x:c>
      <x:c r="C641" s="6" t="str">
        <x:v>2026</x:v>
      </x:c>
      <x:c r="D641" s="6" t="str">
        <x:v>2026-Q2</x:v>
      </x:c>
      <x:c r="E641" s="6" t="str">
        <x:v>Second 50%</x:v>
      </x:c>
      <x:c r="F641" s="6" t="str">
        <x:v>Short</x:v>
      </x:c>
      <x:c r="G641" s="6" t="str">
        <x:v>Short</x:v>
      </x:c>
      <x:c r="H641" s="6" t="str">
        <x:v>Midday</x:v>
      </x:c>
      <x:c r="I641" s="6" t="str">
        <x:v>Midday</x:v>
      </x:c>
      <x:c r="J641" s="6" t="str">
        <x:v>Bull</x:v>
      </x:c>
      <x:c r="K641" s="6" t="str">
        <x:v>Bull</x:v>
      </x:c>
      <x:c r="L641" s="6" t="str">
        <x:v>MID</x:v>
      </x:c>
      <x:c r="M641" s="7" t="str">
        <x:v>2026-04-09 13:00:00-05:00</x:v>
      </x:c>
      <x:c r="N641" s="6" t="str">
        <x:v>75.0</x:v>
      </x:c>
      <x:c r="O641" s="6" t="str">
        <x:v>75-79</x:v>
      </x:c>
      <x:c r="P641" s="6" t="str">
        <x:v>Matching BOS only</x:v>
      </x:c>
      <x:c r="Q641" s="6" t="str">
        <x:v>Bear CHoCH</x:v>
      </x:c>
      <x:c r="R641" s="6" t="str">
        <x:v>True</x:v>
      </x:c>
      <x:c r="S641" s="6" t="str">
        <x:v>False</x:v>
      </x:c>
      <x:c r="T641" s="6" t="str">
        <x:v>No recent matching sweep</x:v>
      </x:c>
      <x:c r="U641" s="6" t="str">
        <x:v>None</x:v>
      </x:c>
      <x:c r="V641" s="6" t="str">
        <x:v>None</x:v>
      </x:c>
      <x:c r="W641" s="6" t="str">
        <x:v>[]</x:v>
      </x:c>
      <x:c r="X641" s="8" t="str">
        <x:v>0</x:v>
      </x:c>
      <x:c r="Y641" s="8" t="str"/>
      <x:c r="Z641" s="6" t="str">
        <x:v>Sweep above CRT reference</x:v>
      </x:c>
      <x:c r="AA641" s="6" t="str">
        <x:v>22810.5</x:v>
      </x:c>
      <x:c r="AB641" s="9" t="str">
        <x:v>0.744770784372067</x:v>
      </x:c>
      <x:c r="AC641" s="9" t="str">
        <x:v>1.9364040393673743</x:v>
      </x:c>
      <x:c r="AD641" s="9" t="str">
        <x:v>2.5243809743979533</x:v>
      </x:c>
      <x:c r="AE641" s="6" t="str">
        <x:v>With trade</x:v>
      </x:c>
      <x:c r="AF641" s="7" t="str">
        <x:v>2026-04-09 13:00:00-05:00</x:v>
      </x:c>
      <x:c r="AG641" s="6" t="str">
        <x:v>Short</x:v>
      </x:c>
      <x:c r="AH641" s="6" t="str">
        <x:v>22810.5</x:v>
      </x:c>
      <x:c r="AI641" s="8" t="str">
        <x:v>0</x:v>
      </x:c>
      <x:c r="AJ641" s="6" t="str">
        <x:v>True</x:v>
      </x:c>
      <x:c r="AK641" s="6" t="str">
        <x:v>Same-bar Setup+BOS</x:v>
      </x:c>
      <x:c r="AL641" s="9" t="str">
        <x:v>1.9285643469002998</x:v>
      </x:c>
      <x:c r="AM641" s="9" t="str">
        <x:v>0.744770784372067</x:v>
      </x:c>
      <x:c r="AN641" s="9" t="str">
        <x:v>1.9364040393673743</x:v>
      </x:c>
      <x:c r="AO641" s="9" t="str">
        <x:v>2.5243809743979533</x:v>
      </x:c>
      <x:c r="AP641" s="10" t="str">
        <x:v>0.7670807453416149</x:v>
      </x:c>
      <x:c r="AQ641" s="6" t="str">
        <x:v>0.052795031055900624</x:v>
      </x:c>
      <x:c r="AR641" s="6" t="str">
        <x:v>0.18012422360248448</x:v>
      </x:c>
      <x:c r="AS641" s="6" t="str">
        <x:v>With trade</x:v>
      </x:c>
      <x:c r="AT641" s="6" t="str">
        <x:v>2.4405560297524693</x:v>
      </x:c>
      <x:c r="AU641" s="7" t="str">
        <x:v>2026-04-09 13:05:00-05:00</x:v>
      </x:c>
      <x:c r="AV641" s="8" t="str">
        <x:v>1</x:v>
      </x:c>
      <x:c r="AW641" s="6" t="str">
        <x:v>Immediate retest (1 bar)</x:v>
      </x:c>
      <x:c r="AX641" s="6" t="str">
        <x:v>22814.5</x:v>
      </x:c>
      <x:c r="AY641" s="6" t="str">
        <x:v>4.0</x:v>
      </x:c>
      <x:c r="AZ641" s="9" t="str">
        <x:v>0.1265373503422402</x:v>
      </x:c>
      <x:c r="BA641" s="9" t="str">
        <x:v>0.16608027232419026</x:v>
      </x:c>
      <x:c r="BB641" s="9" t="str">
        <x:v>0.8857614523956814</x:v>
      </x:c>
      <x:c r="BC641" s="9" t="str">
        <x:v>0.5773266609364709</x:v>
      </x:c>
      <x:c r="BD641" s="6" t="str">
        <x:v>0.33035714285714285</x:v>
      </x:c>
      <x:c r="BE641" s="6" t="str">
        <x:v>0.017857142857142856</x:v>
      </x:c>
      <x:c r="BF641" s="9" t="str">
        <x:v>0.2926176226664305</x:v>
      </x:c>
      <x:c r="BG641" s="9" t="str">
        <x:v>0.015817168792780025</x:v>
      </x:c>
      <x:c r="BH641" s="6" t="str">
        <x:v>Against trade</x:v>
      </x:c>
      <x:c r="BI641" s="6" t="str">
        <x:v>Penetration + same-bar reclaim</x:v>
      </x:c>
      <x:c r="BJ641" s="6" t="str">
        <x:v>False</x:v>
      </x:c>
      <x:c r="BK641" s="10" t="str">
        <x:v>True</x:v>
      </x:c>
      <x:c r="BL641" s="6" t="str">
        <x:v>True</x:v>
      </x:c>
      <x:c r="BM641" s="7" t="str">
        <x:v>2026-04-09 13:10:00-05:00</x:v>
      </x:c>
      <x:c r="BN641" s="8" t="str">
        <x:v>1</x:v>
      </x:c>
      <x:c r="BO641" s="6" t="str">
        <x:v>Immediate confirmation (1 bar)</x:v>
      </x:c>
      <x:c r="BP641" s="9" t="str">
        <x:v>0.20755128221309466</x:v>
      </x:c>
      <x:c r="BQ641" s="9" t="str">
        <x:v>0.878101578593862</x:v>
      </x:c>
      <x:c r="BR641" s="10" t="str">
        <x:v>0.23636363636363636</x:v>
      </x:c>
      <x:c r="BS641" s="9" t="str">
        <x:v>0.3991370811790282</x:v>
      </x:c>
      <x:c r="BT641" s="9" t="str">
        <x:v>0.23149950708383635</x:v>
      </x:c>
      <x:c r="BU641" s="9" t="str">
        <x:v>0.25544773195457804</x:v>
      </x:c>
      <x:c r="BV641" s="6" t="str">
        <x:v>With trade</x:v>
      </x:c>
      <x:c r="BW641" s="7" t="str">
        <x:v>2026-04-09 13:10:00-05:00</x:v>
      </x:c>
      <x:c r="BX641" s="6" t="str">
        <x:v>22798.0</x:v>
      </x:c>
      <x:c r="BY641" s="9" t="str">
        <x:v>31.31756128264433</x:v>
      </x:c>
      <x:c r="BZ641" s="9" t="str">
        <x:v>0.57</x:v>
      </x:c>
      <x:c r="CA641" s="6" t="str">
        <x:v>22844.976341923968</x:v>
      </x:c>
      <x:c r="CB641" s="6" t="str">
        <x:v>46.97634192396799</x:v>
      </x:c>
      <x:c r="CC641" s="9" t="str">
        <x:v>1.5000000000000477</x:v>
      </x:c>
      <x:c r="CD641" s="6" t="str">
        <x:v>22704.047316152068</x:v>
      </x:c>
      <x:c r="CE641" s="6" t="str">
        <x:v>93.95268384793235</x:v>
      </x:c>
      <x:c r="CF641" s="6" t="str">
        <x:v>Fixed 2.00R target</x:v>
      </x:c>
      <x:c r="CG641" s="9" t="str">
        <x:v>0.015433300472255265</x:v>
      </x:c>
      <x:c r="CH641" s="9" t="str">
        <x:v>-1.0</x:v>
      </x:c>
      <x:c r="CI641" s="9" t="str">
        <x:v>-1.0154333004722553</x:v>
      </x:c>
      <x:c r="CJ641" s="6" t="str">
        <x:v>Loss</x:v>
      </x:c>
      <x:c r="CK641" s="9" t="str">
        <x:v>0.6705502963807459</x:v>
      </x:c>
      <x:c r="CL641" s="9" t="str">
        <x:v>1.1441929660465109</x:v>
      </x:c>
      <x:c r="CM641" s="7" t="str">
        <x:v>2026-04-09 14:10:00-05:00</x:v>
      </x:c>
      <x:c r="CN641" s="6" t="str">
        <x:v>22844.976341923968</x:v>
      </x:c>
      <x:c r="CO641" s="6" t="str">
        <x:v>STOP</x:v>
      </x:c>
      <x:c r="CP641" s="6" t="str">
        <x:v>F::Short::Same-bar Setup+BOS::Penetration + same-bar reclaim</x:v>
      </x:c>
    </x:row>
    <x:row r="642" ht="18" customHeight="1">
      <x:c r="A642" s="6" t="str">
        <x:v>A0641</x:v>
      </x:c>
      <x:c r="B642" s="6" t="str">
        <x:v>2026-04-09</x:v>
      </x:c>
      <x:c r="C642" s="6" t="str">
        <x:v>2026</x:v>
      </x:c>
      <x:c r="D642" s="6" t="str">
        <x:v>2026-Q2</x:v>
      </x:c>
      <x:c r="E642" s="6" t="str">
        <x:v>Second 50%</x:v>
      </x:c>
      <x:c r="F642" s="6" t="str">
        <x:v>Short</x:v>
      </x:c>
      <x:c r="G642" s="6" t="str">
        <x:v>Short</x:v>
      </x:c>
      <x:c r="H642" s="6" t="str">
        <x:v>Overnight</x:v>
      </x:c>
      <x:c r="I642" s="6" t="str">
        <x:v>Overnight</x:v>
      </x:c>
      <x:c r="J642" s="6" t="str">
        <x:v>Bull</x:v>
      </x:c>
      <x:c r="K642" s="6" t="str">
        <x:v>Bull</x:v>
      </x:c>
      <x:c r="L642" s="6" t="str">
        <x:v>LOW</x:v>
      </x:c>
      <x:c r="M642" s="7" t="str">
        <x:v>2026-04-09 23:45:00-05:00</x:v>
      </x:c>
      <x:c r="N642" s="6" t="str">
        <x:v>75.0</x:v>
      </x:c>
      <x:c r="O642" s="6" t="str">
        <x:v>75-79</x:v>
      </x:c>
      <x:c r="P642" s="6" t="str">
        <x:v>Matching BOS only</x:v>
      </x:c>
      <x:c r="Q642" s="6" t="str">
        <x:v>Bear CHoCH</x:v>
      </x:c>
      <x:c r="R642" s="6" t="str">
        <x:v>True</x:v>
      </x:c>
      <x:c r="S642" s="6" t="str">
        <x:v>False</x:v>
      </x:c>
      <x:c r="T642" s="6" t="str">
        <x:v>Recent BSL</x:v>
      </x:c>
      <x:c r="U642" s="6" t="str">
        <x:v>BSL</x:v>
      </x:c>
      <x:c r="V642" s="6" t="str">
        <x:v>Swing high / buy-side</x:v>
      </x:c>
      <x:c r="W642" s="6" t="str">
        <x:v>[22920.0]</x:v>
      </x:c>
      <x:c r="X642" s="8" t="str">
        <x:v>1</x:v>
      </x:c>
      <x:c r="Y642" s="8" t="str">
        <x:v>14.0</x:v>
      </x:c>
      <x:c r="Z642" s="6" t="str">
        <x:v>None</x:v>
      </x:c>
      <x:c r="AA642" s="6" t="str">
        <x:v>22892.5</x:v>
      </x:c>
      <x:c r="AB642" s="9" t="str">
        <x:v>0.23491081815372167</x:v>
      </x:c>
      <x:c r="AC642" s="9" t="str">
        <x:v>0.23491081815372167</x:v>
      </x:c>
      <x:c r="AD642" s="9" t="str">
        <x:v>0.41109393176901293</x:v>
      </x:c>
      <x:c r="AE642" s="6" t="str">
        <x:v>With trade</x:v>
      </x:c>
      <x:c r="AF642" s="7" t="str">
        <x:v>2026-04-09 23:45:00-05:00</x:v>
      </x:c>
      <x:c r="AG642" s="6" t="str">
        <x:v>Short</x:v>
      </x:c>
      <x:c r="AH642" s="6" t="str">
        <x:v>22892.5</x:v>
      </x:c>
      <x:c r="AI642" s="8" t="str">
        <x:v>0</x:v>
      </x:c>
      <x:c r="AJ642" s="6" t="str">
        <x:v>True</x:v>
      </x:c>
      <x:c r="AK642" s="6" t="str">
        <x:v>Same-bar Setup+BOS</x:v>
      </x:c>
      <x:c r="AL642" s="9" t="str">
        <x:v>0.2642746704229369</x:v>
      </x:c>
      <x:c r="AM642" s="9" t="str">
        <x:v>0.23491081815372167</x:v>
      </x:c>
      <x:c r="AN642" s="9" t="str">
        <x:v>0.23491081815372167</x:v>
      </x:c>
      <x:c r="AO642" s="9" t="str">
        <x:v>0.41109393176901293</x:v>
      </x:c>
      <x:c r="AP642" s="10" t="str">
        <x:v>0.5714285714285714</x:v>
      </x:c>
      <x:c r="AQ642" s="6" t="str">
        <x:v>0.0</x:v>
      </x:c>
      <x:c r="AR642" s="6" t="str">
        <x:v>0.42857142857142855</x:v>
      </x:c>
      <x:c r="AS642" s="6" t="str">
        <x:v>With trade</x:v>
      </x:c>
      <x:c r="AT642" s="6" t="str">
        <x:v>0.3643157403082672</x:v>
      </x:c>
      <x:c r="AU642" s="7" t="str">
        <x:v>2026-04-09 23:50:00-05:00</x:v>
      </x:c>
      <x:c r="AV642" s="8" t="str">
        <x:v>1</x:v>
      </x:c>
      <x:c r="AW642" s="6" t="str">
        <x:v>Immediate retest (1 bar)</x:v>
      </x:c>
      <x:c r="AX642" s="6" t="str">
        <x:v>22895.25</x:v>
      </x:c>
      <x:c r="AY642" s="6" t="str">
        <x:v>2.75</x:v>
      </x:c>
      <x:c r="AZ642" s="9" t="str">
        <x:v>0.3335346070629438</x:v>
      </x:c>
      <x:c r="BA642" s="9" t="str">
        <x:v>-0.09096398374443922</x:v>
      </x:c>
      <x:c r="BB642" s="9" t="str">
        <x:v>0.5761052303814483</x:v>
      </x:c>
      <x:c r="BC642" s="9" t="str">
        <x:v>0.24257062331850457</x:v>
      </x:c>
      <x:c r="BD642" s="6" t="str">
        <x:v>0.42105263157894735</x:v>
      </x:c>
      <x:c r="BE642" s="6" t="str">
        <x:v>0.15789473684210525</x:v>
      </x:c>
      <x:c r="BF642" s="9" t="str">
        <x:v>0.24257062331850457</x:v>
      </x:c>
      <x:c r="BG642" s="9" t="str">
        <x:v>0.09096398374443922</x:v>
      </x:c>
      <x:c r="BH642" s="6" t="str">
        <x:v>Against trade</x:v>
      </x:c>
      <x:c r="BI642" s="6" t="str">
        <x:v>Penetration without same-bar reclaim</x:v>
      </x:c>
      <x:c r="BJ642" s="6" t="str">
        <x:v>False</x:v>
      </x:c>
      <x:c r="BK642" s="10" t="str">
        <x:v>True</x:v>
      </x:c>
      <x:c r="BL642" s="6" t="str">
        <x:v>False</x:v>
      </x:c>
      <x:c r="BM642" s="7" t="str">
        <x:v>2026-04-09 23:55:00-05:00</x:v>
      </x:c>
      <x:c r="BN642" s="8" t="str">
        <x:v>1</x:v>
      </x:c>
      <x:c r="BO642" s="6" t="str">
        <x:v>Immediate confirmation (1 bar)</x:v>
      </x:c>
      <x:c r="BP642" s="9" t="str">
        <x:v>0.24958711325924324</x:v>
      </x:c>
      <x:c r="BQ642" s="9" t="str">
        <x:v>0.6239677831481081</x:v>
      </x:c>
      <x:c r="BR642" s="10" t="str">
        <x:v>0.4</x:v>
      </x:c>
      <x:c r="BS642" s="9" t="str">
        <x:v>0.21838872410183782</x:v>
      </x:c>
      <x:c r="BT642" s="9" t="str">
        <x:v>0.31198389157405404</x:v>
      </x:c>
      <x:c r="BU642" s="9" t="str">
        <x:v>0.06239677831481081</x:v>
      </x:c>
      <x:c r="BV642" s="6" t="str">
        <x:v>With trade</x:v>
      </x:c>
      <x:c r="BW642" s="7" t="str">
        <x:v>2026-04-09 23:55:00-05:00</x:v>
      </x:c>
      <x:c r="BX642" s="6" t="str">
        <x:v>22890.75</x:v>
      </x:c>
      <x:c r="BY642" s="9" t="str">
        <x:v>8.013234232660976</x:v>
      </x:c>
      <x:c r="BZ642" s="9" t="str">
        <x:v>0.0</x:v>
      </x:c>
      <x:c r="CA642" s="6" t="str">
        <x:v>22902.769851348992</x:v>
      </x:c>
      <x:c r="CB642" s="6" t="str">
        <x:v>12.019851348992233</x:v>
      </x:c>
      <x:c r="CC642" s="9" t="str">
        <x:v>1.5000000000000961</x:v>
      </x:c>
      <x:c r="CD642" s="6" t="str">
        <x:v>22866.710297302016</x:v>
      </x:c>
      <x:c r="CE642" s="6" t="str">
        <x:v>24.039702697984467</x:v>
      </x:c>
      <x:c r="CF642" s="6" t="str">
        <x:v>Fixed 2.00R target</x:v>
      </x:c>
      <x:c r="CG642" s="9" t="str">
        <x:v>0.060316885704313254</x:v>
      </x:c>
      <x:c r="CH642" s="9" t="str">
        <x:v>-1.0</x:v>
      </x:c>
      <x:c r="CI642" s="9" t="str">
        <x:v>-1.0603168857043133</x:v>
      </x:c>
      <x:c r="CJ642" s="6" t="str">
        <x:v>Loss</x:v>
      </x:c>
      <x:c r="CK642" s="9" t="str">
        <x:v>0.0</x:v>
      </x:c>
      <x:c r="CL642" s="9" t="str">
        <x:v>1.2895334185060074</x:v>
      </x:c>
      <x:c r="CM642" s="7" t="str">
        <x:v>2026-04-10 00:00:00-05:00</x:v>
      </x:c>
      <x:c r="CN642" s="6" t="str">
        <x:v>22902.769851348992</x:v>
      </x:c>
      <x:c r="CO642" s="6" t="str">
        <x:v>STOP</x:v>
      </x:c>
      <x:c r="CP642" s="6" t="str">
        <x:v>F::Short::Same-bar Setup+BOS::Penetration without same-bar reclaim</x:v>
      </x:c>
    </x:row>
    <x:row r="643" ht="18" customHeight="1">
      <x:c r="A643" s="6" t="str">
        <x:v>A0642</x:v>
      </x:c>
      <x:c r="B643" s="6" t="str">
        <x:v>2026-04-10</x:v>
      </x:c>
      <x:c r="C643" s="6" t="str">
        <x:v>2026</x:v>
      </x:c>
      <x:c r="D643" s="6" t="str">
        <x:v>2026-Q2</x:v>
      </x:c>
      <x:c r="E643" s="6" t="str">
        <x:v>Second 50%</x:v>
      </x:c>
      <x:c r="F643" s="6" t="str">
        <x:v>Short</x:v>
      </x:c>
      <x:c r="G643" s="6" t="str">
        <x:v>Short</x:v>
      </x:c>
      <x:c r="H643" s="6" t="str">
        <x:v>Morning</x:v>
      </x:c>
      <x:c r="I643" s="6" t="str">
        <x:v>Morning</x:v>
      </x:c>
      <x:c r="J643" s="6" t="str">
        <x:v>Bull</x:v>
      </x:c>
      <x:c r="K643" s="6" t="str">
        <x:v>Bull</x:v>
      </x:c>
      <x:c r="L643" s="6" t="str">
        <x:v>HIGH</x:v>
      </x:c>
      <x:c r="M643" s="7" t="str">
        <x:v>2026-04-10 10:35:00-05:00</x:v>
      </x:c>
      <x:c r="N643" s="6" t="str">
        <x:v>100.0</x:v>
      </x:c>
      <x:c r="O643" s="6" t="str">
        <x:v>95+</x:v>
      </x:c>
      <x:c r="P643" s="6" t="str">
        <x:v>Matching BOS only</x:v>
      </x:c>
      <x:c r="Q643" s="6" t="str">
        <x:v>Bear CHoCH</x:v>
      </x:c>
      <x:c r="R643" s="6" t="str">
        <x:v>True</x:v>
      </x:c>
      <x:c r="S643" s="6" t="str">
        <x:v>False</x:v>
      </x:c>
      <x:c r="T643" s="6" t="str">
        <x:v>Recent BSL</x:v>
      </x:c>
      <x:c r="U643" s="6" t="str">
        <x:v>BSL</x:v>
      </x:c>
      <x:c r="V643" s="6" t="str">
        <x:v>Swing high / buy-side</x:v>
      </x:c>
      <x:c r="W643" s="6" t="str">
        <x:v>[22995.25]</x:v>
      </x:c>
      <x:c r="X643" s="8" t="str">
        <x:v>1</x:v>
      </x:c>
      <x:c r="Y643" s="8" t="str">
        <x:v>4.0</x:v>
      </x:c>
      <x:c r="Z643" s="6" t="str">
        <x:v>None</x:v>
      </x:c>
      <x:c r="AA643" s="6" t="str">
        <x:v>22927.75</x:v>
      </x:c>
      <x:c r="AB643" s="9" t="str">
        <x:v>0.13248971758254768</x:v>
      </x:c>
      <x:c r="AC643" s="9" t="str">
        <x:v>1.013156663866541</x:v>
      </x:c>
      <x:c r="AD643" s="9" t="str">
        <x:v>1.2547555606347163</x:v>
      </x:c>
      <x:c r="AE643" s="6" t="str">
        <x:v>With trade</x:v>
      </x:c>
      <x:c r="AF643" s="7" t="str">
        <x:v>2026-04-10 10:35:00-05:00</x:v>
      </x:c>
      <x:c r="AG643" s="6" t="str">
        <x:v>Short</x:v>
      </x:c>
      <x:c r="AH643" s="6" t="str">
        <x:v>22927.75</x:v>
      </x:c>
      <x:c r="AI643" s="8" t="str">
        <x:v>0</x:v>
      </x:c>
      <x:c r="AJ643" s="6" t="str">
        <x:v>True</x:v>
      </x:c>
      <x:c r="AK643" s="6" t="str">
        <x:v>Same-bar Setup+BOS</x:v>
      </x:c>
      <x:c r="AL643" s="9" t="str">
        <x:v>1.0053631510675676</x:v>
      </x:c>
      <x:c r="AM643" s="9" t="str">
        <x:v>0.13248971758254768</x:v>
      </x:c>
      <x:c r="AN643" s="9" t="str">
        <x:v>1.013156663866541</x:v>
      </x:c>
      <x:c r="AO643" s="9" t="str">
        <x:v>1.2547555606347163</x:v>
      </x:c>
      <x:c r="AP643" s="10" t="str">
        <x:v>0.8074534161490683</x:v>
      </x:c>
      <x:c r="AQ643" s="6" t="str">
        <x:v>0.10559006211180125</x:v>
      </x:c>
      <x:c r="AR643" s="6" t="str">
        <x:v>0.08695652173913043</x:v>
      </x:c>
      <x:c r="AS643" s="6" t="str">
        <x:v>With trade</x:v>
      </x:c>
      <x:c r="AT643" s="6" t="str">
        <x:v>1.0378014274664917</x:v>
      </x:c>
      <x:c r="AU643" s="7" t="str">
        <x:v>2026-04-10 10:40:00-05:00</x:v>
      </x:c>
      <x:c r="AV643" s="8" t="str">
        <x:v>1</x:v>
      </x:c>
      <x:c r="AW643" s="6" t="str">
        <x:v>Immediate retest (1 bar)</x:v>
      </x:c>
      <x:c r="AX643" s="6" t="str">
        <x:v>22929.25</x:v>
      </x:c>
      <x:c r="AY643" s="6" t="str">
        <x:v>1.5</x:v>
      </x:c>
      <x:c r="AZ643" s="9" t="str">
        <x:v>0.04788906226318273</x:v>
      </x:c>
      <x:c r="BA643" s="9" t="str">
        <x:v>0.08779661414916834</x:v>
      </x:c>
      <x:c r="BB643" s="9" t="str">
        <x:v>0.6864098924389525</x:v>
      </x:c>
      <x:c r="BC643" s="9" t="str">
        <x:v>0.04788906226318273</x:v>
      </x:c>
      <x:c r="BD643" s="6" t="str">
        <x:v>0.19767441860465115</x:v>
      </x:c>
      <x:c r="BE643" s="6" t="str">
        <x:v>0.7325581395348837</x:v>
      </x:c>
      <x:c r="BF643" s="9" t="str">
        <x:v>0.13568567641235108</x:v>
      </x:c>
      <x:c r="BG643" s="9" t="str">
        <x:v>0.5028351537634187</x:v>
      </x:c>
      <x:c r="BH643" s="6" t="str">
        <x:v>Against trade</x:v>
      </x:c>
      <x:c r="BI643" s="6" t="str">
        <x:v>Penetration + same-bar reclaim</x:v>
      </x:c>
      <x:c r="BJ643" s="6" t="str">
        <x:v>False</x:v>
      </x:c>
      <x:c r="BK643" s="10" t="str">
        <x:v>True</x:v>
      </x:c>
      <x:c r="BL643" s="6" t="str">
        <x:v>True</x:v>
      </x:c>
      <x:c r="BM643" s="7" t="str">
        <x:v>2026-04-10 10:45:00-05:00</x:v>
      </x:c>
      <x:c r="BN643" s="8" t="str">
        <x:v>1</x:v>
      </x:c>
      <x:c r="BO643" s="6" t="str">
        <x:v>Immediate confirmation (1 bar)</x:v>
      </x:c>
      <x:c r="BP643" s="9" t="str">
        <x:v>0.2019893754760496</x:v>
      </x:c>
      <x:c r="BQ643" s="9" t="str">
        <x:v>0.8402758019803662</x:v>
      </x:c>
      <x:c r="BR643" s="10" t="str">
        <x:v>0.2403846153846154</x:v>
      </x:c>
      <x:c r="BS643" s="9" t="str">
        <x:v>0.2908647006855114</x:v>
      </x:c>
      <x:c r="BT643" s="9" t="str">
        <x:v>0.2019893754760496</x:v>
      </x:c>
      <x:c r="BU643" s="9" t="str">
        <x:v>0.35550130083784726</x:v>
      </x:c>
      <x:c r="BV643" s="6" t="str">
        <x:v>With trade</x:v>
      </x:c>
      <x:c r="BW643" s="7" t="str">
        <x:v>2026-04-10 10:45:00-05:00</x:v>
      </x:c>
      <x:c r="BX643" s="6" t="str">
        <x:v>22918.75</x:v>
      </x:c>
      <x:c r="BY643" s="9" t="str">
        <x:v>30.942221516700908</x:v>
      </x:c>
      <x:c r="BZ643" s="9" t="str">
        <x:v>0.87</x:v>
      </x:c>
      <x:c r="CA643" s="6" t="str">
        <x:v>22965.163332275053</x:v>
      </x:c>
      <x:c r="CB643" s="6" t="str">
        <x:v>46.41333227505311</x:v>
      </x:c>
      <x:c r="CC643" s="9" t="str">
        <x:v>1.5000000000000564</x:v>
      </x:c>
      <x:c r="CD643" s="6" t="str">
        <x:v>22825.923335449897</x:v>
      </x:c>
      <x:c r="CE643" s="6" t="str">
        <x:v>92.82666455010258</x:v>
      </x:c>
      <x:c r="CF643" s="6" t="str">
        <x:v>Fixed 2.00R target</x:v>
      </x:c>
      <x:c r="CG643" s="9" t="str">
        <x:v>0.01562051170348058</x:v>
      </x:c>
      <x:c r="CH643" s="9" t="str">
        <x:v>1.028799219091346</x:v>
      </x:c>
      <x:c r="CI643" s="9" t="str">
        <x:v>1.0131787073878653</x:v>
      </x:c>
      <x:c r="CJ643" s="6" t="str">
        <x:v>Win</x:v>
      </x:c>
      <x:c r="CK643" s="9" t="str">
        <x:v>1.6159150038083359</x:v>
      </x:c>
      <x:c r="CL643" s="9" t="str">
        <x:v>0.1562051170348058</x:v>
      </x:c>
      <x:c r="CM643" s="7" t="str">
        <x:v>2026-04-10 11:45:00-05:00</x:v>
      </x:c>
      <x:c r="CN643" s="6" t="str">
        <x:v>22871.0</x:v>
      </x:c>
      <x:c r="CO643" s="6" t="str">
        <x:v>TIME</x:v>
      </x:c>
      <x:c r="CP643" s="6" t="str">
        <x:v>F::Short::Same-bar Setup+BOS::Penetration + same-bar reclaim</x:v>
      </x:c>
    </x:row>
    <x:row r="644" ht="18" customHeight="1">
      <x:c r="A644" s="6" t="str">
        <x:v>A0643</x:v>
      </x:c>
      <x:c r="B644" s="6" t="str">
        <x:v>2026-04-13</x:v>
      </x:c>
      <x:c r="C644" s="6" t="str">
        <x:v>2026</x:v>
      </x:c>
      <x:c r="D644" s="6" t="str">
        <x:v>2026-Q2</x:v>
      </x:c>
      <x:c r="E644" s="6" t="str">
        <x:v>Second 50%</x:v>
      </x:c>
      <x:c r="F644" s="6" t="str">
        <x:v>Long</x:v>
      </x:c>
      <x:c r="G644" s="6" t="str">
        <x:v>Long</x:v>
      </x:c>
      <x:c r="H644" s="6" t="str">
        <x:v>Premarket</x:v>
      </x:c>
      <x:c r="I644" s="6" t="str">
        <x:v>Premarket</x:v>
      </x:c>
      <x:c r="J644" s="6" t="str">
        <x:v>Bull</x:v>
      </x:c>
      <x:c r="K644" s="6" t="str">
        <x:v>Bull</x:v>
      </x:c>
      <x:c r="L644" s="6" t="str">
        <x:v>HIGH</x:v>
      </x:c>
      <x:c r="M644" s="7" t="str">
        <x:v>2026-04-13 08:20:00-05:00</x:v>
      </x:c>
      <x:c r="N644" s="6" t="str">
        <x:v>75.0</x:v>
      </x:c>
      <x:c r="O644" s="6" t="str">
        <x:v>75-79</x:v>
      </x:c>
      <x:c r="P644" s="6" t="str">
        <x:v>Matching BOS only</x:v>
      </x:c>
      <x:c r="Q644" s="6" t="str">
        <x:v>Bull CHoCH</x:v>
      </x:c>
      <x:c r="R644" s="6" t="str">
        <x:v>True</x:v>
      </x:c>
      <x:c r="S644" s="6" t="str">
        <x:v>False</x:v>
      </x:c>
      <x:c r="T644" s="6" t="str">
        <x:v>Recent SSL</x:v>
      </x:c>
      <x:c r="U644" s="6" t="str">
        <x:v>SSL</x:v>
      </x:c>
      <x:c r="V644" s="6" t="str">
        <x:v>Swing low / sell-side</x:v>
      </x:c>
      <x:c r="W644" s="6" t="str">
        <x:v>[22709.5]</x:v>
      </x:c>
      <x:c r="X644" s="8" t="str">
        <x:v>1</x:v>
      </x:c>
      <x:c r="Y644" s="8" t="str">
        <x:v>17.0</x:v>
      </x:c>
      <x:c r="Z644" s="6" t="str">
        <x:v>None</x:v>
      </x:c>
      <x:c r="AA644" s="6" t="str">
        <x:v>22816.25</x:v>
      </x:c>
      <x:c r="AB644" s="9" t="str">
        <x:v>0.4853706810639498</x:v>
      </x:c>
      <x:c r="AC644" s="9" t="str">
        <x:v>0.8597994921704254</x:v>
      </x:c>
      <x:c r="AD644" s="9" t="str">
        <x:v>1.1648896345534796</x:v>
      </x:c>
      <x:c r="AE644" s="6" t="str">
        <x:v>With trade</x:v>
      </x:c>
      <x:c r="AF644" s="7" t="str">
        <x:v>2026-04-13 08:20:00-05:00</x:v>
      </x:c>
      <x:c r="AG644" s="6" t="str">
        <x:v>Long</x:v>
      </x:c>
      <x:c r="AH644" s="6" t="str">
        <x:v>22816.25</x:v>
      </x:c>
      <x:c r="AI644" s="8" t="str">
        <x:v>0</x:v>
      </x:c>
      <x:c r="AJ644" s="6" t="str">
        <x:v>True</x:v>
      </x:c>
      <x:c r="AK644" s="6" t="str">
        <x:v>Same-bar Setup+BOS</x:v>
      </x:c>
      <x:c r="AL644" s="9" t="str">
        <x:v>0.8459317584257411</x:v>
      </x:c>
      <x:c r="AM644" s="9" t="str">
        <x:v>0.4853706810639498</x:v>
      </x:c>
      <x:c r="AN644" s="9" t="str">
        <x:v>0.8597994921704254</x:v>
      </x:c>
      <x:c r="AO644" s="9" t="str">
        <x:v>1.1648896345534796</x:v>
      </x:c>
      <x:c r="AP644" s="10" t="str">
        <x:v>0.7380952380952381</x:v>
      </x:c>
      <x:c r="AQ644" s="6" t="str">
        <x:v>0.023809523809523808</x:v>
      </x:c>
      <x:c r="AR644" s="6" t="str">
        <x:v>0.23809523809523808</x:v>
      </x:c>
      <x:c r="AS644" s="6" t="str">
        <x:v>With trade</x:v>
      </x:c>
      <x:c r="AT644" s="6" t="str">
        <x:v>1.5327606535287182</x:v>
      </x:c>
      <x:c r="AU644" s="7" t="str">
        <x:v>2026-04-13 08:25:00-05:00</x:v>
      </x:c>
      <x:c r="AV644" s="8" t="str">
        <x:v>1</x:v>
      </x:c>
      <x:c r="AW644" s="6" t="str">
        <x:v>Immediate retest (1 bar)</x:v>
      </x:c>
      <x:c r="AX644" s="6" t="str">
        <x:v>22815.0</x:v>
      </x:c>
      <x:c r="AY644" s="6" t="str">
        <x:v>1.25</x:v>
      </x:c>
      <x:c r="AZ644" s="9" t="str">
        <x:v>0.06773573903883545</x:v>
      </x:c>
      <x:c r="BA644" s="9" t="str">
        <x:v>1.1108661202369015</x:v>
      </x:c>
      <x:c r="BB644" s="9" t="str">
        <x:v>1.3005261895456408</x:v>
      </x:c>
      <x:c r="BC644" s="9" t="str">
        <x:v>0.6773573903883545</x:v>
      </x:c>
      <x:c r="BD644" s="6" t="str">
        <x:v>0.09375</x:v>
      </x:c>
      <x:c r="BE644" s="6" t="str">
        <x:v>0.3854166666666667</x:v>
      </x:c>
      <x:c r="BF644" s="9" t="str">
        <x:v>0.5012444688873824</x:v>
      </x:c>
      <x:c r="BG644" s="9" t="str">
        <x:v>0.12192433026990382</x:v>
      </x:c>
      <x:c r="BH644" s="6" t="str">
        <x:v>With trade</x:v>
      </x:c>
      <x:c r="BI644" s="6" t="str">
        <x:v>Penetration + same-bar reclaim</x:v>
      </x:c>
      <x:c r="BJ644" s="6" t="str">
        <x:v>False</x:v>
      </x:c>
      <x:c r="BK644" s="10" t="str">
        <x:v>True</x:v>
      </x:c>
      <x:c r="BL644" s="6" t="str">
        <x:v>True</x:v>
      </x:c>
      <x:c r="BM644" s="7" t="str">
        <x:v>2026-04-13 08:30:00-05:00</x:v>
      </x:c>
      <x:c r="BN644" s="8" t="str">
        <x:v>1</x:v>
      </x:c>
      <x:c r="BO644" s="6" t="str">
        <x:v>Immediate confirmation (1 bar)</x:v>
      </x:c>
      <x:c r="BP644" s="9" t="str">
        <x:v>0.26095950328393075</x:v>
      </x:c>
      <x:c r="BQ644" s="9" t="str">
        <x:v>2.0752493832579253</x:v>
      </x:c>
      <x:c r="BR644" s="10" t="str">
        <x:v>0.12574850299401197</x:v>
      </x:c>
      <x:c r="BS644" s="9" t="str">
        <x:v>1.3047975164196537</x:v>
      </x:c>
      <x:c r="BT644" s="9" t="str">
        <x:v>0.28581278931097176</x:v>
      </x:c>
      <x:c r="BU644" s="9" t="str">
        <x:v>0.9568515120410794</x:v>
      </x:c>
      <x:c r="BV644" s="6" t="str">
        <x:v>With trade</x:v>
      </x:c>
      <x:c r="BW644" s="7" t="str">
        <x:v>2026-04-13 08:30:00-05:00</x:v>
      </x:c>
      <x:c r="BX644" s="6" t="str">
        <x:v>22842.5</x:v>
      </x:c>
      <x:c r="BY644" s="9" t="str">
        <x:v>20.118064044166513</x:v>
      </x:c>
      <x:c r="BZ644" s="9" t="str">
        <x:v>1.0</x:v>
      </x:c>
      <x:c r="CA644" s="6" t="str">
        <x:v>22812.32290393375</x:v>
      </x:c>
      <x:c r="CB644" s="6" t="str">
        <x:v>30.17709606625067</x:v>
      </x:c>
      <x:c r="CC644" s="9" t="str">
        <x:v>1.5000000000000449</x:v>
      </x:c>
      <x:c r="CD644" s="6" t="str">
        <x:v>22902.8541921325</x:v>
      </x:c>
      <x:c r="CE644" s="6" t="str">
        <x:v>60.35419213250134</x:v>
      </x:c>
      <x:c r="CF644" s="6" t="str">
        <x:v>Fixed 2.00R target</x:v>
      </x:c>
      <x:c r="CG644" s="9" t="str">
        <x:v>0.024024843159472273</x:v>
      </x:c>
      <x:c r="CH644" s="9" t="str">
        <x:v>-1.0</x:v>
      </x:c>
      <x:c r="CI644" s="9" t="str">
        <x:v>-1.0240248431594723</x:v>
      </x:c>
      <x:c r="CJ644" s="6" t="str">
        <x:v>Loss</x:v>
      </x:c>
      <x:c r="CK644" s="9" t="str">
        <x:v>0.033137714702720374</x:v>
      </x:c>
      <x:c r="CL644" s="9" t="str">
        <x:v>1.5574725910278575</x:v>
      </x:c>
      <x:c r="CM644" s="7" t="str">
        <x:v>2026-04-13 08:35:00-05:00</x:v>
      </x:c>
      <x:c r="CN644" s="6" t="str">
        <x:v>22812.32290393375</x:v>
      </x:c>
      <x:c r="CO644" s="6" t="str">
        <x:v>STOP</x:v>
      </x:c>
      <x:c r="CP644" s="6" t="str">
        <x:v>F::Long::Same-bar Setup+BOS::Penetration + same-bar reclaim</x:v>
      </x:c>
    </x:row>
    <x:row r="645" ht="18" customHeight="1">
      <x:c r="A645" s="6" t="str">
        <x:v>A0644</x:v>
      </x:c>
      <x:c r="B645" s="6" t="str">
        <x:v>2026-04-13</x:v>
      </x:c>
      <x:c r="C645" s="6" t="str">
        <x:v>2026</x:v>
      </x:c>
      <x:c r="D645" s="6" t="str">
        <x:v>2026-Q2</x:v>
      </x:c>
      <x:c r="E645" s="6" t="str">
        <x:v>Second 50%</x:v>
      </x:c>
      <x:c r="F645" s="6" t="str">
        <x:v>Long</x:v>
      </x:c>
      <x:c r="G645" s="6" t="str">
        <x:v>Long</x:v>
      </x:c>
      <x:c r="H645" s="6" t="str">
        <x:v>Morning</x:v>
      </x:c>
      <x:c r="I645" s="6" t="str">
        <x:v>Morning</x:v>
      </x:c>
      <x:c r="J645" s="6" t="str">
        <x:v>Bull</x:v>
      </x:c>
      <x:c r="K645" s="6" t="str">
        <x:v>Bull</x:v>
      </x:c>
      <x:c r="L645" s="6" t="str">
        <x:v>HIGH</x:v>
      </x:c>
      <x:c r="M645" s="7" t="str">
        <x:v>2026-04-13 11:20:00-05:00</x:v>
      </x:c>
      <x:c r="N645" s="6" t="str">
        <x:v>75.0</x:v>
      </x:c>
      <x:c r="O645" s="6" t="str">
        <x:v>75-79</x:v>
      </x:c>
      <x:c r="P645" s="6" t="str">
        <x:v>Matching BOS only</x:v>
      </x:c>
      <x:c r="Q645" s="6" t="str">
        <x:v>Bull CHoCH</x:v>
      </x:c>
      <x:c r="R645" s="6" t="str">
        <x:v>True</x:v>
      </x:c>
      <x:c r="S645" s="6" t="str">
        <x:v>False</x:v>
      </x:c>
      <x:c r="T645" s="6" t="str">
        <x:v>No recent matching sweep</x:v>
      </x:c>
      <x:c r="U645" s="6" t="str">
        <x:v>None</x:v>
      </x:c>
      <x:c r="V645" s="6" t="str">
        <x:v>None</x:v>
      </x:c>
      <x:c r="W645" s="6" t="str">
        <x:v>[]</x:v>
      </x:c>
      <x:c r="X645" s="8" t="str">
        <x:v>0</x:v>
      </x:c>
      <x:c r="Y645" s="8" t="str"/>
      <x:c r="Z645" s="6" t="str">
        <x:v>None</x:v>
      </x:c>
      <x:c r="AA645" s="6" t="str">
        <x:v>22976.5</x:v>
      </x:c>
      <x:c r="AB645" s="9" t="str">
        <x:v>0.00808175839315236</x:v>
      </x:c>
      <x:c r="AC645" s="9" t="str">
        <x:v>0.8485846312809978</x:v>
      </x:c>
      <x:c r="AD645" s="9" t="str">
        <x:v>1.010219799144045</x:v>
      </x:c>
      <x:c r="AE645" s="6" t="str">
        <x:v>With trade</x:v>
      </x:c>
      <x:c r="AF645" s="7" t="str">
        <x:v>2026-04-13 11:20:00-05:00</x:v>
      </x:c>
      <x:c r="AG645" s="6" t="str">
        <x:v>Long</x:v>
      </x:c>
      <x:c r="AH645" s="6" t="str">
        <x:v>22976.5</x:v>
      </x:c>
      <x:c r="AI645" s="8" t="str">
        <x:v>0</x:v>
      </x:c>
      <x:c r="AJ645" s="6" t="str">
        <x:v>True</x:v>
      </x:c>
      <x:c r="AK645" s="6" t="str">
        <x:v>Same-bar Setup+BOS</x:v>
      </x:c>
      <x:c r="AL645" s="9" t="str">
        <x:v>0.8647481480673025</x:v>
      </x:c>
      <x:c r="AM645" s="9" t="str">
        <x:v>0.00808175839315236</x:v>
      </x:c>
      <x:c r="AN645" s="9" t="str">
        <x:v>0.8485846312809978</x:v>
      </x:c>
      <x:c r="AO645" s="9" t="str">
        <x:v>1.010219799144045</x:v>
      </x:c>
      <x:c r="AP645" s="10" t="str">
        <x:v>0.84</x:v>
      </x:c>
      <x:c r="AQ645" s="6" t="str">
        <x:v>0.144</x:v>
      </x:c>
      <x:c r="AR645" s="6" t="str">
        <x:v>0.016</x:v>
      </x:c>
      <x:c r="AS645" s="6" t="str">
        <x:v>With trade</x:v>
      </x:c>
      <x:c r="AT645" s="6" t="str">
        <x:v>1.32165822957997</x:v>
      </x:c>
      <x:c r="AU645" s="7" t="str">
        <x:v>2026-04-13 11:25:00-05:00</x:v>
      </x:c>
      <x:c r="AV645" s="8" t="str">
        <x:v>1</x:v>
      </x:c>
      <x:c r="AW645" s="6" t="str">
        <x:v>Immediate retest (1 bar)</x:v>
      </x:c>
      <x:c r="AX645" s="6" t="str">
        <x:v>22973.25</x:v>
      </x:c>
      <x:c r="AY645" s="6" t="str">
        <x:v>3.25</x:v>
      </x:c>
      <x:c r="AZ645" s="9" t="str">
        <x:v>0.10181471690574816</x:v>
      </x:c>
      <x:c r="BA645" s="9" t="str">
        <x:v>0.9398281560530598</x:v>
      </x:c>
      <x:c r="BB645" s="9" t="str">
        <x:v>1.4019103327791476</x:v>
      </x:c>
      <x:c r="BC645" s="9" t="str">
        <x:v>0.9398281560530598</x:v>
      </x:c>
      <x:c r="BD645" s="6" t="str">
        <x:v>0.2569832402234637</x:v>
      </x:c>
      <x:c r="BE645" s="6" t="str">
        <x:v>0.07262569832402235</x:v>
      </x:c>
      <x:c r="BF645" s="9" t="str">
        <x:v>0.10181471690574816</x:v>
      </x:c>
      <x:c r="BG645" s="9" t="str">
        <x:v>0.3602674598203396</x:v>
      </x:c>
      <x:c r="BH645" s="6" t="str">
        <x:v>With trade</x:v>
      </x:c>
      <x:c r="BI645" s="6" t="str">
        <x:v>Penetration + same-bar reclaim</x:v>
      </x:c>
      <x:c r="BJ645" s="6" t="str">
        <x:v>False</x:v>
      </x:c>
      <x:c r="BK645" s="10" t="str">
        <x:v>True</x:v>
      </x:c>
      <x:c r="BL645" s="6" t="str">
        <x:v>True</x:v>
      </x:c>
      <x:c r="BM645" s="7" t="str">
        <x:v>2026-04-13 11:35:00-05:00</x:v>
      </x:c>
      <x:c r="BN645" s="8" t="str">
        <x:v>2</x:v>
      </x:c>
      <x:c r="BO645" s="6" t="str">
        <x:v>Delayed confirmation (2+ bars)</x:v>
      </x:c>
      <x:c r="BP645" s="9" t="str">
        <x:v>0.1655696977073304</x:v>
      </x:c>
      <x:c r="BQ645" s="9" t="str">
        <x:v>1.31703168630831</x:v>
      </x:c>
      <x:c r="BR645" s="10" t="str">
        <x:v>0.12571428571428572</x:v>
      </x:c>
      <x:c r="BS645" s="9" t="str">
        <x:v>0.9181592327406505</x:v>
      </x:c>
      <x:c r="BT645" s="9" t="str">
        <x:v>0.0150517907006664</x:v>
      </x:c>
      <x:c r="BU645" s="9" t="str">
        <x:v>0.0075258953503332</x:v>
      </x:c>
      <x:c r="BV645" s="6" t="str">
        <x:v>With trade</x:v>
      </x:c>
      <x:c r="BW645" s="7" t="str">
        <x:v>2026-04-13 11:35:00-05:00</x:v>
      </x:c>
      <x:c r="BX645" s="6" t="str">
        <x:v>23007.0</x:v>
      </x:c>
      <x:c r="BY645" s="9" t="str">
        <x:v>33.21863889443155</x:v>
      </x:c>
      <x:c r="BZ645" s="9" t="str">
        <x:v>0.84</x:v>
      </x:c>
      <x:c r="CA645" s="6" t="str">
        <x:v>22957.172041658352</x:v>
      </x:c>
      <x:c r="CB645" s="6" t="str">
        <x:v>49.8279583416479</x:v>
      </x:c>
      <x:c r="CC645" s="9" t="str">
        <x:v>1.5000000000000173</x:v>
      </x:c>
      <x:c r="CD645" s="6" t="str">
        <x:v>23106.655916683296</x:v>
      </x:c>
      <x:c r="CE645" s="6" t="str">
        <x:v>99.6559166832958</x:v>
      </x:c>
      <x:c r="CF645" s="6" t="str">
        <x:v>Fixed 2.00R target</x:v>
      </x:c>
      <x:c r="CG645" s="9" t="str">
        <x:v>0.014550064343977353</x:v>
      </x:c>
      <x:c r="CH645" s="9" t="str">
        <x:v>0.802762170702208</x:v>
      </x:c>
      <x:c r="CI645" s="9" t="str">
        <x:v>0.7882121063582307</x:v>
      </x:c>
      <x:c r="CJ645" s="6" t="str">
        <x:v>Win</x:v>
      </x:c>
      <x:c r="CK645" s="9" t="str">
        <x:v>1.0837289304479683</x:v>
      </x:c>
      <x:c r="CL645" s="9" t="str">
        <x:v>0.8077794342690875</x:v>
      </x:c>
      <x:c r="CM645" s="7" t="str">
        <x:v>2026-04-13 12:35:00-05:00</x:v>
      </x:c>
      <x:c r="CN645" s="6" t="str">
        <x:v>23047.0</x:v>
      </x:c>
      <x:c r="CO645" s="6" t="str">
        <x:v>TIME</x:v>
      </x:c>
      <x:c r="CP645" s="6" t="str">
        <x:v>F::Long::Same-bar Setup+BOS::Penetration + same-bar reclaim</x:v>
      </x:c>
    </x:row>
    <x:row r="646" ht="18" customHeight="1">
      <x:c r="A646" s="6" t="str">
        <x:v>A0645</x:v>
      </x:c>
      <x:c r="B646" s="6" t="str">
        <x:v>2026-04-14</x:v>
      </x:c>
      <x:c r="C646" s="6" t="str">
        <x:v>2026</x:v>
      </x:c>
      <x:c r="D646" s="6" t="str">
        <x:v>2026-Q2</x:v>
      </x:c>
      <x:c r="E646" s="6" t="str">
        <x:v>Second 50%</x:v>
      </x:c>
      <x:c r="F646" s="6" t="str">
        <x:v>Long</x:v>
      </x:c>
      <x:c r="G646" s="6" t="str">
        <x:v>Long</x:v>
      </x:c>
      <x:c r="H646" s="6" t="str">
        <x:v>Premarket</x:v>
      </x:c>
      <x:c r="I646" s="6" t="str">
        <x:v>Premarket</x:v>
      </x:c>
      <x:c r="J646" s="6" t="str">
        <x:v>Bull</x:v>
      </x:c>
      <x:c r="K646" s="6" t="str">
        <x:v>Bull</x:v>
      </x:c>
      <x:c r="L646" s="6" t="str">
        <x:v>HIGH</x:v>
      </x:c>
      <x:c r="M646" s="7" t="str">
        <x:v>2026-04-14 08:40:00-05:00</x:v>
      </x:c>
      <x:c r="N646" s="6" t="str">
        <x:v>90.0</x:v>
      </x:c>
      <x:c r="O646" s="6" t="str">
        <x:v>90-94</x:v>
      </x:c>
      <x:c r="P646" s="6" t="str">
        <x:v>Matching BOS only</x:v>
      </x:c>
      <x:c r="Q646" s="6" t="str">
        <x:v>Bull BOS</x:v>
      </x:c>
      <x:c r="R646" s="6" t="str">
        <x:v>True</x:v>
      </x:c>
      <x:c r="S646" s="6" t="str">
        <x:v>False</x:v>
      </x:c>
      <x:c r="T646" s="6" t="str">
        <x:v>Recent SSL</x:v>
      </x:c>
      <x:c r="U646" s="6" t="str">
        <x:v>SSL</x:v>
      </x:c>
      <x:c r="V646" s="6" t="str">
        <x:v>Swing low / sell-side</x:v>
      </x:c>
      <x:c r="W646" s="6" t="str">
        <x:v>[23278.0]</x:v>
      </x:c>
      <x:c r="X646" s="8" t="str">
        <x:v>1</x:v>
      </x:c>
      <x:c r="Y646" s="8" t="str">
        <x:v>2.0</x:v>
      </x:c>
      <x:c r="Z646" s="6" t="str">
        <x:v>None</x:v>
      </x:c>
      <x:c r="AA646" s="6" t="str">
        <x:v>23344.5</x:v>
      </x:c>
      <x:c r="AB646" s="9" t="str">
        <x:v>1.0648088312416262</x:v>
      </x:c>
      <x:c r="AC646" s="9" t="str">
        <x:v>1.691166967266112</x:v>
      </x:c>
      <x:c r="AD646" s="9" t="str">
        <x:v>2.0252246398125044</x:v>
      </x:c>
      <x:c r="AE646" s="6" t="str">
        <x:v>With trade</x:v>
      </x:c>
      <x:c r="AF646" s="7" t="str">
        <x:v>2026-04-14 08:40:00-05:00</x:v>
      </x:c>
      <x:c r="AG646" s="6" t="str">
        <x:v>Long</x:v>
      </x:c>
      <x:c r="AH646" s="6" t="str">
        <x:v>23344.5</x:v>
      </x:c>
      <x:c r="AI646" s="8" t="str">
        <x:v>0</x:v>
      </x:c>
      <x:c r="AJ646" s="6" t="str">
        <x:v>True</x:v>
      </x:c>
      <x:c r="AK646" s="6" t="str">
        <x:v>Same-bar Setup+BOS</x:v>
      </x:c>
      <x:c r="AL646" s="9" t="str">
        <x:v>1.691166967266112</x:v>
      </x:c>
      <x:c r="AM646" s="9" t="str">
        <x:v>1.0648088312416262</x:v>
      </x:c>
      <x:c r="AN646" s="9" t="str">
        <x:v>1.691166967266112</x:v>
      </x:c>
      <x:c r="AO646" s="9" t="str">
        <x:v>2.0252246398125044</x:v>
      </x:c>
      <x:c r="AP646" s="10" t="str">
        <x:v>0.8350515463917526</x:v>
      </x:c>
      <x:c r="AQ646" s="6" t="str">
        <x:v>0.12886597938144329</x:v>
      </x:c>
      <x:c r="AR646" s="6" t="str">
        <x:v>0.03608247422680412</x:v>
      </x:c>
      <x:c r="AS646" s="6" t="str">
        <x:v>With trade</x:v>
      </x:c>
      <x:c r="AT646" s="6" t="str">
        <x:v>3.3962187765677503</x:v>
      </x:c>
      <x:c r="AU646" s="7" t="str">
        <x:v>2026-04-14 08:55:00-05:00</x:v>
      </x:c>
      <x:c r="AV646" s="8" t="str">
        <x:v>3</x:v>
      </x:c>
      <x:c r="AW646" s="6" t="str">
        <x:v>Delayed retest (2+ bars)</x:v>
      </x:c>
      <x:c r="AX646" s="6" t="str">
        <x:v>23338.75</x:v>
      </x:c>
      <x:c r="AY646" s="6" t="str">
        <x:v>5.75</x:v>
      </x:c>
      <x:c r="AZ646" s="9" t="str">
        <x:v>0.23319480428068484</x:v>
      </x:c>
      <x:c r="BA646" s="9" t="str">
        <x:v>-0.030416713601828457</x:v>
      </x:c>
      <x:c r="BB646" s="9" t="str">
        <x:v>1.0138904533942819</x:v>
      </x:c>
      <x:c r="BC646" s="9" t="str">
        <x:v>0.7705567445796543</x:v>
      </x:c>
      <x:c r="BD646" s="6" t="str">
        <x:v>0.04</x:v>
      </x:c>
      <x:c r="BE646" s="6" t="str">
        <x:v>0.2</x:v>
      </x:c>
      <x:c r="BF646" s="9" t="str">
        <x:v>0.20277809067885638</x:v>
      </x:c>
      <x:c r="BG646" s="9" t="str">
        <x:v>0.04055561813577128</x:v>
      </x:c>
      <x:c r="BH646" s="6" t="str">
        <x:v>Against trade</x:v>
      </x:c>
      <x:c r="BI646" s="6" t="str">
        <x:v>Penetration without same-bar reclaim</x:v>
      </x:c>
      <x:c r="BJ646" s="6" t="str">
        <x:v>False</x:v>
      </x:c>
      <x:c r="BK646" s="10" t="str">
        <x:v>True</x:v>
      </x:c>
      <x:c r="BL646" s="6" t="str">
        <x:v>False</x:v>
      </x:c>
      <x:c r="BM646" s="7" t="str">
        <x:v>2026-04-14 09:05:00-05:00</x:v>
      </x:c>
      <x:c r="BN646" s="8" t="str">
        <x:v>2</x:v>
      </x:c>
      <x:c r="BO646" s="6" t="str">
        <x:v>Delayed confirmation (2+ bars)</x:v>
      </x:c>
      <x:c r="BP646" s="9" t="str">
        <x:v>1.4505201402352996</x:v>
      </x:c>
      <x:c r="BQ646" s="9" t="str">
        <x:v>1.5868106232104284</x:v>
      </x:c>
      <x:c r="BR646" s="10" t="str">
        <x:v>0.9141104294478528</x:v>
      </x:c>
      <x:c r="BS646" s="9" t="str">
        <x:v>1.3921099332459588</x:v>
      </x:c>
      <x:c r="BT646" s="9" t="str">
        <x:v>1.421315036740629</x:v>
      </x:c>
      <x:c r="BU646" s="9" t="str">
        <x:v>0.09735034498223487</x:v>
      </x:c>
      <x:c r="BV646" s="6" t="str">
        <x:v>With trade</x:v>
      </x:c>
      <x:c r="BW646" s="7" t="str">
        <x:v>2026-04-14 09:05:00-05:00</x:v>
      </x:c>
      <x:c r="BX646" s="6" t="str">
        <x:v>23380.25</x:v>
      </x:c>
      <x:c r="BY646" s="9" t="str">
        <x:v>25.68044315052213</x:v>
      </x:c>
      <x:c r="BZ646" s="9" t="str">
        <x:v>1.0</x:v>
      </x:c>
      <x:c r="CA646" s="6" t="str">
        <x:v>23341.729335274216</x:v>
      </x:c>
      <x:c r="CB646" s="6" t="str">
        <x:v>38.52066472578372</x:v>
      </x:c>
      <x:c r="CC646" s="9" t="str">
        <x:v>1.5000000000000204</x:v>
      </x:c>
      <x:c r="CD646" s="6" t="str">
        <x:v>23457.291329451567</x:v>
      </x:c>
      <x:c r="CE646" s="6" t="str">
        <x:v>77.04132945156744</x:v>
      </x:c>
      <x:c r="CF646" s="6" t="str">
        <x:v>Fixed 2.00R target</x:v>
      </x:c>
      <x:c r="CG646" s="9" t="str">
        <x:v>0.018821066696565154</x:v>
      </x:c>
      <x:c r="CH646" s="9" t="str">
        <x:v>0.36993131093249254</x:v>
      </x:c>
      <x:c r="CI646" s="9" t="str">
        <x:v>0.3511102442359274</x:v>
      </x:c>
      <x:c r="CJ646" s="6" t="str">
        <x:v>Win</x:v>
      </x:c>
      <x:c r="CK646" s="9" t="str">
        <x:v>1.5965456577086303</x:v>
      </x:c>
      <x:c r="CL646" s="9" t="str">
        <x:v>0.38291135693011863</x:v>
      </x:c>
      <x:c r="CM646" s="7" t="str">
        <x:v>2026-04-14 10:05:00-05:00</x:v>
      </x:c>
      <x:c r="CN646" s="6" t="str">
        <x:v>23394.5</x:v>
      </x:c>
      <x:c r="CO646" s="6" t="str">
        <x:v>TIME</x:v>
      </x:c>
      <x:c r="CP646" s="6" t="str">
        <x:v>F::Long::Same-bar Setup+BOS::Penetration without same-bar reclaim</x:v>
      </x:c>
    </x:row>
    <x:row r="647" ht="18" customHeight="1">
      <x:c r="A647" s="6" t="str">
        <x:v>A0646</x:v>
      </x:c>
      <x:c r="B647" s="6" t="str">
        <x:v>2026-04-15</x:v>
      </x:c>
      <x:c r="C647" s="6" t="str">
        <x:v>2026</x:v>
      </x:c>
      <x:c r="D647" s="6" t="str">
        <x:v>2026-Q2</x:v>
      </x:c>
      <x:c r="E647" s="6" t="str">
        <x:v>Second 50%</x:v>
      </x:c>
      <x:c r="F647" s="6" t="str">
        <x:v>Short</x:v>
      </x:c>
      <x:c r="G647" s="6" t="str">
        <x:v>Short</x:v>
      </x:c>
      <x:c r="H647" s="6" t="str">
        <x:v>Overnight</x:v>
      </x:c>
      <x:c r="I647" s="6" t="str">
        <x:v>Overnight</x:v>
      </x:c>
      <x:c r="J647" s="6" t="str">
        <x:v>Bull</x:v>
      </x:c>
      <x:c r="K647" s="6" t="str">
        <x:v>Bull</x:v>
      </x:c>
      <x:c r="L647" s="6" t="str">
        <x:v>HIGH</x:v>
      </x:c>
      <x:c r="M647" s="7" t="str">
        <x:v>2026-04-15 00:20:00-05:00</x:v>
      </x:c>
      <x:c r="N647" s="6" t="str">
        <x:v>90.0</x:v>
      </x:c>
      <x:c r="O647" s="6" t="str">
        <x:v>90-94</x:v>
      </x:c>
      <x:c r="P647" s="6" t="str">
        <x:v>Matching BOS only</x:v>
      </x:c>
      <x:c r="Q647" s="6" t="str">
        <x:v>Bear CHoCH</x:v>
      </x:c>
      <x:c r="R647" s="6" t="str">
        <x:v>True</x:v>
      </x:c>
      <x:c r="S647" s="6" t="str">
        <x:v>False</x:v>
      </x:c>
      <x:c r="T647" s="6" t="str">
        <x:v>Recent BSL</x:v>
      </x:c>
      <x:c r="U647" s="6" t="str">
        <x:v>BSL</x:v>
      </x:c>
      <x:c r="V647" s="6" t="str">
        <x:v>Swing high / buy-side</x:v>
      </x:c>
      <x:c r="W647" s="6" t="str">
        <x:v>[23664.0,23647.75]</x:v>
      </x:c>
      <x:c r="X647" s="8" t="str">
        <x:v>2</x:v>
      </x:c>
      <x:c r="Y647" s="8" t="str">
        <x:v>4.0</x:v>
      </x:c>
      <x:c r="Z647" s="6" t="str">
        <x:v>None</x:v>
      </x:c>
      <x:c r="AA647" s="6" t="str">
        <x:v>23611.5</x:v>
      </x:c>
      <x:c r="AB647" s="9" t="str">
        <x:v>0.6027292998524236</x:v>
      </x:c>
      <x:c r="AC647" s="9" t="str">
        <x:v>2.1526046423300844</x:v>
      </x:c>
      <x:c r="AD647" s="9" t="str">
        <x:v>2.195656735176686</x:v>
      </x:c>
      <x:c r="AE647" s="6" t="str">
        <x:v>With trade</x:v>
      </x:c>
      <x:c r="AF647" s="7" t="str">
        <x:v>2026-04-15 00:20:00-05:00</x:v>
      </x:c>
      <x:c r="AG647" s="6" t="str">
        <x:v>Short</x:v>
      </x:c>
      <x:c r="AH647" s="6" t="str">
        <x:v>23611.5</x:v>
      </x:c>
      <x:c r="AI647" s="8" t="str">
        <x:v>0</x:v>
      </x:c>
      <x:c r="AJ647" s="6" t="str">
        <x:v>True</x:v>
      </x:c>
      <x:c r="AK647" s="6" t="str">
        <x:v>Same-bar Setup+BOS</x:v>
      </x:c>
      <x:c r="AL647" s="9" t="str">
        <x:v>2.1310785959067835</x:v>
      </x:c>
      <x:c r="AM647" s="9" t="str">
        <x:v>0.6027292998524236</x:v>
      </x:c>
      <x:c r="AN647" s="9" t="str">
        <x:v>2.1526046423300844</x:v>
      </x:c>
      <x:c r="AO647" s="9" t="str">
        <x:v>2.195656735176686</x:v>
      </x:c>
      <x:c r="AP647" s="10" t="str">
        <x:v>0.9803921568627451</x:v>
      </x:c>
      <x:c r="AQ647" s="6" t="str">
        <x:v>0.0</x:v>
      </x:c>
      <x:c r="AR647" s="6" t="str">
        <x:v>0.0196078431372549</x:v>
      </x:c>
      <x:c r="AS647" s="6" t="str">
        <x:v>With trade</x:v>
      </x:c>
      <x:c r="AT647" s="6" t="str">
        <x:v>2.2778088317495806</x:v>
      </x:c>
      <x:c r="AU647" s="7" t="str">
        <x:v>2026-04-15 01:00:00-05:00</x:v>
      </x:c>
      <x:c r="AV647" s="8" t="str">
        <x:v>8</x:v>
      </x:c>
      <x:c r="AW647" s="6" t="str">
        <x:v>Delayed retest (2+ bars)</x:v>
      </x:c>
      <x:c r="AX647" s="6" t="str">
        <x:v>23611.0</x:v>
      </x:c>
      <x:c r="AY647" s="6" t="str">
        <x:v>0.0</x:v>
      </x:c>
      <x:c r="AZ647" s="9" t="str">
        <x:v>0.0</x:v>
      </x:c>
      <x:c r="BA647" s="9" t="str">
        <x:v>1.0325997195351342</x:v>
      </x:c>
      <x:c r="BB647" s="9" t="str">
        <x:v>1.226212166947972</x:v>
      </x:c>
      <x:c r="BC647" s="9" t="str">
        <x:v>0.08604997662792785</x:v>
      </x:c>
      <x:c r="BD647" s="6" t="str">
        <x:v>0.7368421052631579</x:v>
      </x:c>
      <x:c r="BE647" s="6" t="str">
        <x:v>0.19298245614035087</x:v>
      </x:c>
      <x:c r="BF647" s="9" t="str">
        <x:v>0.9035247545932424</x:v>
      </x:c>
      <x:c r="BG647" s="9" t="str">
        <x:v>0.2366374357268016</x:v>
      </x:c>
      <x:c r="BH647" s="6" t="str">
        <x:v>With trade</x:v>
      </x:c>
      <x:c r="BI647" s="6" t="str">
        <x:v>Tolerance-only shallow touch</x:v>
      </x:c>
      <x:c r="BJ647" s="6" t="str">
        <x:v>True</x:v>
      </x:c>
      <x:c r="BK647" s="10" t="str">
        <x:v>False</x:v>
      </x:c>
      <x:c r="BL647" s="6" t="str">
        <x:v>True</x:v>
      </x:c>
      <x:c r="BM647" s="7" t="str">
        <x:v>2026-04-15 01:05:00-05:00</x:v>
      </x:c>
      <x:c r="BN647" s="8" t="str">
        <x:v>1</x:v>
      </x:c>
      <x:c r="BO647" s="6" t="str">
        <x:v>Immediate confirmation (1 bar)</x:v>
      </x:c>
      <x:c r="BP647" s="9" t="str">
        <x:v>0.2798708332307502</x:v>
      </x:c>
      <x:c r="BQ647" s="9" t="str">
        <x:v>0.990312179124193</x:v>
      </x:c>
      <x:c r="BR647" s="10" t="str">
        <x:v>0.2826086956521739</x:v>
      </x:c>
      <x:c r="BS647" s="9" t="str">
        <x:v>1.291711537988078</x:v>
      </x:c>
      <x:c r="BT647" s="9" t="str">
        <x:v>0.25834230759761556</x:v>
      </x:c>
      <x:c r="BU647" s="9" t="str">
        <x:v>0.3229278844970195</x:v>
      </x:c>
      <x:c r="BV647" s="6" t="str">
        <x:v>With trade</x:v>
      </x:c>
      <x:c r="BW647" s="7" t="str">
        <x:v>2026-04-15 01:05:00-05:00</x:v>
      </x:c>
      <x:c r="BX647" s="6" t="str">
        <x:v>23596.5</x:v>
      </x:c>
      <x:c r="BY647" s="9" t="str">
        <x:v>11.612499818158662</x:v>
      </x:c>
      <x:c r="BZ647" s="9" t="str">
        <x:v>0.73</x:v>
      </x:c>
      <x:c r="CA647" s="6" t="str">
        <x:v>23613.91874972724</x:v>
      </x:c>
      <x:c r="CB647" s="6" t="str">
        <x:v>17.41874972723963</x:v>
      </x:c>
      <x:c r="CC647" s="9" t="str">
        <x:v>1.5000000000001408</x:v>
      </x:c>
      <x:c r="CD647" s="6" t="str">
        <x:v>23561.662500545524</x:v>
      </x:c>
      <x:c r="CE647" s="6" t="str">
        <x:v>34.83749945447562</x:v>
      </x:c>
      <x:c r="CF647" s="6" t="str">
        <x:v>Fixed 2.00R target</x:v>
      </x:c>
      <x:c r="CG647" s="9" t="str">
        <x:v>0.04162181622405638</x:v>
      </x:c>
      <x:c r="CH647" s="9" t="str">
        <x:v>-1.0</x:v>
      </x:c>
      <x:c r="CI647" s="9" t="str">
        <x:v>-1.0416218162240565</x:v>
      </x:c>
      <x:c r="CJ647" s="6" t="str">
        <x:v>Loss</x:v>
      </x:c>
      <x:c r="CK647" s="9" t="str">
        <x:v>0.40186581181847536</x:v>
      </x:c>
      <x:c r="CL647" s="9" t="str">
        <x:v>1.0477215808124536</x:v>
      </x:c>
      <x:c r="CM647" s="7" t="str">
        <x:v>2026-04-15 01:30:00-05:00</x:v>
      </x:c>
      <x:c r="CN647" s="6" t="str">
        <x:v>23613.91874972724</x:v>
      </x:c>
      <x:c r="CO647" s="6" t="str">
        <x:v>STOP</x:v>
      </x:c>
      <x:c r="CP647" s="6" t="str">
        <x:v>F::Short::Same-bar Setup+BOS::Tolerance-only shallow touch</x:v>
      </x:c>
    </x:row>
    <x:row r="648" ht="18" customHeight="1">
      <x:c r="A648" s="6" t="str">
        <x:v>A0647</x:v>
      </x:c>
      <x:c r="B648" s="6" t="str">
        <x:v>2026-04-15</x:v>
      </x:c>
      <x:c r="C648" s="6" t="str">
        <x:v>2026</x:v>
      </x:c>
      <x:c r="D648" s="6" t="str">
        <x:v>2026-Q2</x:v>
      </x:c>
      <x:c r="E648" s="6" t="str">
        <x:v>Second 50%</x:v>
      </x:c>
      <x:c r="F648" s="6" t="str">
        <x:v>Long</x:v>
      </x:c>
      <x:c r="G648" s="6" t="str">
        <x:v>Long</x:v>
      </x:c>
      <x:c r="H648" s="6" t="str">
        <x:v>Premarket</x:v>
      </x:c>
      <x:c r="I648" s="6" t="str">
        <x:v>Premarket</x:v>
      </x:c>
      <x:c r="J648" s="6" t="str">
        <x:v>Bull</x:v>
      </x:c>
      <x:c r="K648" s="6" t="str">
        <x:v>Bull</x:v>
      </x:c>
      <x:c r="L648" s="6" t="str">
        <x:v>HIGH</x:v>
      </x:c>
      <x:c r="M648" s="7" t="str">
        <x:v>2026-04-15 08:25:00-05:00</x:v>
      </x:c>
      <x:c r="N648" s="6" t="str">
        <x:v>90.0</x:v>
      </x:c>
      <x:c r="O648" s="6" t="str">
        <x:v>90-94</x:v>
      </x:c>
      <x:c r="P648" s="6" t="str">
        <x:v>Matching BOS only</x:v>
      </x:c>
      <x:c r="Q648" s="6" t="str">
        <x:v>Bull CHoCH</x:v>
      </x:c>
      <x:c r="R648" s="6" t="str">
        <x:v>True</x:v>
      </x:c>
      <x:c r="S648" s="6" t="str">
        <x:v>False</x:v>
      </x:c>
      <x:c r="T648" s="6" t="str">
        <x:v>Recent SSL</x:v>
      </x:c>
      <x:c r="U648" s="6" t="str">
        <x:v>SSL</x:v>
      </x:c>
      <x:c r="V648" s="6" t="str">
        <x:v>Swing low / sell-side</x:v>
      </x:c>
      <x:c r="W648" s="6" t="str">
        <x:v>[23594.0]</x:v>
      </x:c>
      <x:c r="X648" s="8" t="str">
        <x:v>1</x:v>
      </x:c>
      <x:c r="Y648" s="8" t="str">
        <x:v>16.0</x:v>
      </x:c>
      <x:c r="Z648" s="6" t="str">
        <x:v>None</x:v>
      </x:c>
      <x:c r="AA648" s="6" t="str">
        <x:v>23628.75</x:v>
      </x:c>
      <x:c r="AB648" s="9" t="str">
        <x:v>0.9454405448419484</x:v>
      </x:c>
      <x:c r="AC648" s="9" t="str">
        <x:v>1.6903330953234834</x:v>
      </x:c>
      <x:c r="AD648" s="9" t="str">
        <x:v>1.8192568059837493</x:v>
      </x:c>
      <x:c r="AE648" s="6" t="str">
        <x:v>With trade</x:v>
      </x:c>
      <x:c r="AF648" s="7" t="str">
        <x:v>2026-04-15 08:25:00-05:00</x:v>
      </x:c>
      <x:c r="AG648" s="6" t="str">
        <x:v>Long</x:v>
      </x:c>
      <x:c r="AH648" s="6" t="str">
        <x:v>23628.75</x:v>
      </x:c>
      <x:c r="AI648" s="8" t="str">
        <x:v>0</x:v>
      </x:c>
      <x:c r="AJ648" s="6" t="str">
        <x:v>True</x:v>
      </x:c>
      <x:c r="AK648" s="6" t="str">
        <x:v>Same-bar Setup+BOS</x:v>
      </x:c>
      <x:c r="AL648" s="9" t="str">
        <x:v>1.7619573790236311</x:v>
      </x:c>
      <x:c r="AM648" s="9" t="str">
        <x:v>0.9454405448419484</x:v>
      </x:c>
      <x:c r="AN648" s="9" t="str">
        <x:v>1.6903330953234834</x:v>
      </x:c>
      <x:c r="AO648" s="9" t="str">
        <x:v>1.8192568059837493</x:v>
      </x:c>
      <x:c r="AP648" s="10" t="str">
        <x:v>0.9291338582677166</x:v>
      </x:c>
      <x:c r="AQ648" s="6" t="str">
        <x:v>0.07086614173228346</x:v>
      </x:c>
      <x:c r="AR648" s="6" t="str">
        <x:v>0.0</x:v>
      </x:c>
      <x:c r="AS648" s="6" t="str">
        <x:v>With trade</x:v>
      </x:c>
      <x:c r="AT648" s="6" t="str">
        <x:v>3.6334514391108086</x:v>
      </x:c>
      <x:c r="AU648" s="7" t="str">
        <x:v>2026-04-15 08:30:00-05:00</x:v>
      </x:c>
      <x:c r="AV648" s="8" t="str">
        <x:v>1</x:v>
      </x:c>
      <x:c r="AW648" s="6" t="str">
        <x:v>Immediate retest (1 bar)</x:v>
      </x:c>
      <x:c r="AX648" s="6" t="str">
        <x:v>23616.75</x:v>
      </x:c>
      <x:c r="AY648" s="6" t="str">
        <x:v>12.0</x:v>
      </x:c>
      <x:c r="AZ648" s="9" t="str">
        <x:v>0.617355722094454</x:v>
      </x:c>
      <x:c r="BA648" s="9" t="str">
        <x:v>0.6302172996380885</x:v>
      </x:c>
      <x:c r="BB648" s="9" t="str">
        <x:v>2.327945535397837</x:v>
      </x:c>
      <x:c r="BC648" s="9" t="str">
        <x:v>0.20578524069815132</x:v>
      </x:c>
      <x:c r="BD648" s="6" t="str">
        <x:v>0.3756906077348066</x:v>
      </x:c>
      <x:c r="BE648" s="6" t="str">
        <x:v>0.5359116022099447</x:v>
      </x:c>
      <x:c r="BF648" s="9" t="str">
        <x:v>1.2475730217325425</x:v>
      </x:c>
      <x:c r="BG648" s="9" t="str">
        <x:v>0.8745872729671431</x:v>
      </x:c>
      <x:c r="BH648" s="6" t="str">
        <x:v>Against trade</x:v>
      </x:c>
      <x:c r="BI648" s="6" t="str">
        <x:v>Penetration + same-bar reclaim</x:v>
      </x:c>
      <x:c r="BJ648" s="6" t="str">
        <x:v>False</x:v>
      </x:c>
      <x:c r="BK648" s="10" t="str">
        <x:v>True</x:v>
      </x:c>
      <x:c r="BL648" s="6" t="str">
        <x:v>True</x:v>
      </x:c>
      <x:c r="BM648" s="7" t="str">
        <x:v>2026-04-15 08:35:00-05:00</x:v>
      </x:c>
      <x:c r="BN648" s="8" t="str">
        <x:v>1</x:v>
      </x:c>
      <x:c r="BO648" s="6" t="str">
        <x:v>Immediate confirmation (1 bar)</x:v>
      </x:c>
      <x:c r="BP648" s="9" t="str">
        <x:v>1.5284324391450754</x:v>
      </x:c>
      <x:c r="BQ648" s="9" t="str">
        <x:v>2.1162910695854893</x:v>
      </x:c>
      <x:c r="BR648" s="10" t="str">
        <x:v>0.7222222222222222</x:v>
      </x:c>
      <x:c r="BS648" s="9" t="str">
        <x:v>2.081019551759064</x:v>
      </x:c>
      <x:c r="BT648" s="9" t="str">
        <x:v>1.504918093927459</x:v>
      </x:c>
      <x:c r="BU648" s="9" t="str">
        <x:v>0.4585297317435227</x:v>
      </x:c>
      <x:c r="BV648" s="6" t="str">
        <x:v>With trade</x:v>
      </x:c>
      <x:c r="BW648" s="7" t="str">
        <x:v>2026-04-15 08:35:00-05:00</x:v>
      </x:c>
      <x:c r="BX648" s="6" t="str">
        <x:v>23673.0</x:v>
      </x:c>
      <x:c r="BY648" s="9" t="str">
        <x:v>21.26361569385349</x:v>
      </x:c>
      <x:c r="BZ648" s="9" t="str">
        <x:v>1.0</x:v>
      </x:c>
      <x:c r="CA648" s="6" t="str">
        <x:v>23641.10457645922</x:v>
      </x:c>
      <x:c r="CB648" s="6" t="str">
        <x:v>31.89542354078003</x:v>
      </x:c>
      <x:c r="CC648" s="9" t="str">
        <x:v>1.4999999999999902</x:v>
      </x:c>
      <x:c r="CD648" s="6" t="str">
        <x:v>23736.79084708156</x:v>
      </x:c>
      <x:c r="CE648" s="6" t="str">
        <x:v>63.79084708156006</x:v>
      </x:c>
      <x:c r="CF648" s="6" t="str">
        <x:v>Fixed 2.00R target</x:v>
      </x:c>
      <x:c r="CG648" s="9" t="str">
        <x:v>0.02273053371036281</x:v>
      </x:c>
      <x:c r="CH648" s="9" t="str">
        <x:v>-1.0</x:v>
      </x:c>
      <x:c r="CI648" s="9" t="str">
        <x:v>-1.0227305337103627</x:v>
      </x:c>
      <x:c r="CJ648" s="6" t="str">
        <x:v>Loss</x:v>
      </x:c>
      <x:c r="CK648" s="9" t="str">
        <x:v>0.2586577973937837</x:v>
      </x:c>
      <x:c r="CL648" s="9" t="str">
        <x:v>2.171157875093275</x:v>
      </x:c>
      <x:c r="CM648" s="7" t="str">
        <x:v>2026-04-15 08:40:00-05:00</x:v>
      </x:c>
      <x:c r="CN648" s="6" t="str">
        <x:v>23641.10457645922</x:v>
      </x:c>
      <x:c r="CO648" s="6" t="str">
        <x:v>STOP</x:v>
      </x:c>
      <x:c r="CP648" s="6" t="str">
        <x:v>F::Long::Same-bar Setup+BOS::Penetration + same-bar reclaim</x:v>
      </x:c>
    </x:row>
    <x:row r="649" ht="18" customHeight="1">
      <x:c r="A649" s="6" t="str">
        <x:v>A0648</x:v>
      </x:c>
      <x:c r="B649" s="6" t="str">
        <x:v>2026-04-16</x:v>
      </x:c>
      <x:c r="C649" s="6" t="str">
        <x:v>2026</x:v>
      </x:c>
      <x:c r="D649" s="6" t="str">
        <x:v>2026-Q2</x:v>
      </x:c>
      <x:c r="E649" s="6" t="str">
        <x:v>Second 50%</x:v>
      </x:c>
      <x:c r="F649" s="6" t="str">
        <x:v>Long</x:v>
      </x:c>
      <x:c r="G649" s="6" t="str">
        <x:v>Long</x:v>
      </x:c>
      <x:c r="H649" s="6" t="str">
        <x:v>Morning</x:v>
      </x:c>
      <x:c r="I649" s="6" t="str">
        <x:v>Opening</x:v>
      </x:c>
      <x:c r="J649" s="6" t="str">
        <x:v>Bull</x:v>
      </x:c>
      <x:c r="K649" s="6" t="str">
        <x:v>Bull</x:v>
      </x:c>
      <x:c r="L649" s="6" t="str">
        <x:v>HIGH</x:v>
      </x:c>
      <x:c r="M649" s="7" t="str">
        <x:v>2026-04-16 10:05:00-05:00</x:v>
      </x:c>
      <x:c r="N649" s="6" t="str">
        <x:v>85.0</x:v>
      </x:c>
      <x:c r="O649" s="6" t="str">
        <x:v>85-89</x:v>
      </x:c>
      <x:c r="P649" s="6" t="str">
        <x:v>Matching BOS only</x:v>
      </x:c>
      <x:c r="Q649" s="6" t="str">
        <x:v>Bull CHoCH</x:v>
      </x:c>
      <x:c r="R649" s="6" t="str">
        <x:v>True</x:v>
      </x:c>
      <x:c r="S649" s="6" t="str">
        <x:v>False</x:v>
      </x:c>
      <x:c r="T649" s="6" t="str">
        <x:v>Recent SSL</x:v>
      </x:c>
      <x:c r="U649" s="6" t="str">
        <x:v>SSL</x:v>
      </x:c>
      <x:c r="V649" s="6" t="str">
        <x:v>Swing low / sell-side</x:v>
      </x:c>
      <x:c r="W649" s="6" t="str">
        <x:v>[24004.5,24014.25]</x:v>
      </x:c>
      <x:c r="X649" s="8" t="str">
        <x:v>2</x:v>
      </x:c>
      <x:c r="Y649" s="8" t="str">
        <x:v>19.0</x:v>
      </x:c>
      <x:c r="Z649" s="6" t="str">
        <x:v>None</x:v>
      </x:c>
      <x:c r="AA649" s="6" t="str">
        <x:v>24074.75</x:v>
      </x:c>
      <x:c r="AB649" s="9" t="str">
        <x:v>0.33177992104217063</x:v>
      </x:c>
      <x:c r="AC649" s="9" t="str">
        <x:v>0.7129738728778561</x:v>
      </x:c>
      <x:c r="AD649" s="9" t="str">
        <x:v>1.0729903829448924</x:v>
      </x:c>
      <x:c r="AE649" s="6" t="str">
        <x:v>With trade</x:v>
      </x:c>
      <x:c r="AF649" s="7" t="str">
        <x:v>2026-04-16 10:05:00-05:00</x:v>
      </x:c>
      <x:c r="AG649" s="6" t="str">
        <x:v>Long</x:v>
      </x:c>
      <x:c r="AH649" s="6" t="str">
        <x:v>24074.75</x:v>
      </x:c>
      <x:c r="AI649" s="8" t="str">
        <x:v>0</x:v>
      </x:c>
      <x:c r="AJ649" s="6" t="str">
        <x:v>True</x:v>
      </x:c>
      <x:c r="AK649" s="6" t="str">
        <x:v>Same-bar Setup+BOS</x:v>
      </x:c>
      <x:c r="AL649" s="9" t="str">
        <x:v>0.7129738728778561</x:v>
      </x:c>
      <x:c r="AM649" s="9" t="str">
        <x:v>0.33177992104217063</x:v>
      </x:c>
      <x:c r="AN649" s="9" t="str">
        <x:v>0.7129738728778561</x:v>
      </x:c>
      <x:c r="AO649" s="9" t="str">
        <x:v>1.0729903829448924</x:v>
      </x:c>
      <x:c r="AP649" s="10" t="str">
        <x:v>0.6644736842105263</x:v>
      </x:c>
      <x:c r="AQ649" s="6" t="str">
        <x:v>0.07894736842105263</x:v>
      </x:c>
      <x:c r="AR649" s="6" t="str">
        <x:v>0.2565789473684211</x:v>
      </x:c>
      <x:c r="AS649" s="6" t="str">
        <x:v>With trade</x:v>
      </x:c>
      <x:c r="AT649" s="6" t="str">
        <x:v>0.8212498552420657</x:v>
      </x:c>
      <x:c r="AU649" s="7" t="str">
        <x:v>2026-04-16 10:30:00-05:00</x:v>
      </x:c>
      <x:c r="AV649" s="8" t="str">
        <x:v>5</x:v>
      </x:c>
      <x:c r="AW649" s="6" t="str">
        <x:v>Delayed retest (2+ bars)</x:v>
      </x:c>
      <x:c r="AX649" s="6" t="str">
        <x:v>24073.75</x:v>
      </x:c>
      <x:c r="AY649" s="6" t="str">
        <x:v>1.0</x:v>
      </x:c>
      <x:c r="AZ649" s="9" t="str">
        <x:v>0.02857934873467582</x:v>
      </x:c>
      <x:c r="BA649" s="9" t="str">
        <x:v>1.0074220428973226</x:v>
      </x:c>
      <x:c r="BB649" s="9" t="str">
        <x:v>1.0717255775503434</x:v>
      </x:c>
      <x:c r="BC649" s="9" t="str">
        <x:v>0.8645252992239436</x:v>
      </x:c>
      <x:c r="BD649" s="6" t="str">
        <x:v>0.03333333333333333</x:v>
      </x:c>
      <x:c r="BE649" s="6" t="str">
        <x:v>0.16</x:v>
      </x:c>
      <x:c r="BF649" s="9" t="str">
        <x:v>0.17147609240805492</x:v>
      </x:c>
      <x:c r="BG649" s="9" t="str">
        <x:v>0.03572418591834478</x:v>
      </x:c>
      <x:c r="BH649" s="6" t="str">
        <x:v>With trade</x:v>
      </x:c>
      <x:c r="BI649" s="6" t="str">
        <x:v>Penetration + same-bar reclaim</x:v>
      </x:c>
      <x:c r="BJ649" s="6" t="str">
        <x:v>False</x:v>
      </x:c>
      <x:c r="BK649" s="10" t="str">
        <x:v>True</x:v>
      </x:c>
      <x:c r="BL649" s="6" t="str">
        <x:v>True</x:v>
      </x:c>
      <x:c r="BM649" s="7" t="str">
        <x:v>2026-04-16 10:35:00-05:00</x:v>
      </x:c>
      <x:c r="BN649" s="8" t="str">
        <x:v>1</x:v>
      </x:c>
      <x:c r="BO649" s="6" t="str">
        <x:v>Immediate confirmation (1 bar)</x:v>
      </x:c>
      <x:c r="BP649" s="9" t="str">
        <x:v>0.5219535360947952</x:v>
      </x:c>
      <x:c r="BQ649" s="9" t="str">
        <x:v>1.5040503211152652</x:v>
      </x:c>
      <x:c r="BR649" s="10" t="str">
        <x:v>0.3470319634703196</x:v>
      </x:c>
      <x:c r="BS649" s="9" t="str">
        <x:v>1.4971825114298072</x:v>
      </x:c>
      <x:c r="BT649" s="9" t="str">
        <x:v>0.528821345780253</x:v>
      </x:c>
      <x:c r="BU649" s="9" t="str">
        <x:v>0.013735619370915662</x:v>
      </x:c>
      <x:c r="BV649" s="6" t="str">
        <x:v>With trade</x:v>
      </x:c>
      <x:c r="BW649" s="7" t="str">
        <x:v>2026-04-16 10:35:00-05:00</x:v>
      </x:c>
      <x:c r="BX649" s="6" t="str">
        <x:v>24129.25</x:v>
      </x:c>
      <x:c r="BY649" s="9" t="str">
        <x:v>36.40170759672618</x:v>
      </x:c>
      <x:c r="BZ649" s="9" t="str">
        <x:v>0.94</x:v>
      </x:c>
      <x:c r="CA649" s="6" t="str">
        <x:v>24074.647438604912</x:v>
      </x:c>
      <x:c r="CB649" s="6" t="str">
        <x:v>54.60256139508783</x:v>
      </x:c>
      <x:c r="CC649" s="9" t="str">
        <x:v>1.4999999999999605</x:v>
      </x:c>
      <x:c r="CD649" s="6" t="str">
        <x:v>24238.45512279018</x:v>
      </x:c>
      <x:c r="CE649" s="6" t="str">
        <x:v>109.2051227901793</x:v>
      </x:c>
      <x:c r="CF649" s="6" t="str">
        <x:v>Fixed 2.00R target</x:v>
      </x:c>
      <x:c r="CG649" s="9" t="str">
        <x:v>0.013277765391885491</x:v>
      </x:c>
      <x:c r="CH649" s="9" t="str">
        <x:v>-1.0</x:v>
      </x:c>
      <x:c r="CI649" s="9" t="str">
        <x:v>-1.0132777653918854</x:v>
      </x:c>
      <x:c r="CJ649" s="6" t="str">
        <x:v>Loss</x:v>
      </x:c>
      <x:c r="CK649" s="9" t="str">
        <x:v>1.0301714528187018</x:v>
      </x:c>
      <x:c r="CL649" s="9" t="str">
        <x:v>1.4147687952043506</x:v>
      </x:c>
      <x:c r="CM649" s="7" t="str">
        <x:v>2026-04-16 11:30:00-05:00</x:v>
      </x:c>
      <x:c r="CN649" s="6" t="str">
        <x:v>24074.647438604912</x:v>
      </x:c>
      <x:c r="CO649" s="6" t="str">
        <x:v>STOP</x:v>
      </x:c>
      <x:c r="CP649" s="6" t="str">
        <x:v>F::Long::Same-bar Setup+BOS::Penetration + same-bar reclaim</x:v>
      </x:c>
    </x:row>
    <x:row r="650" ht="18" customHeight="1">
      <x:c r="A650" s="6" t="str">
        <x:v>A0649</x:v>
      </x:c>
      <x:c r="B650" s="6" t="str">
        <x:v>2026-04-16</x:v>
      </x:c>
      <x:c r="C650" s="6" t="str">
        <x:v>2026</x:v>
      </x:c>
      <x:c r="D650" s="6" t="str">
        <x:v>2026-Q2</x:v>
      </x:c>
      <x:c r="E650" s="6" t="str">
        <x:v>Second 50%</x:v>
      </x:c>
      <x:c r="F650" s="6" t="str">
        <x:v>Short</x:v>
      </x:c>
      <x:c r="G650" s="6" t="str">
        <x:v>Short</x:v>
      </x:c>
      <x:c r="H650" s="6" t="str">
        <x:v>Overnight</x:v>
      </x:c>
      <x:c r="I650" s="6" t="str">
        <x:v>Overnight</x:v>
      </x:c>
      <x:c r="J650" s="6" t="str">
        <x:v>Bull</x:v>
      </x:c>
      <x:c r="K650" s="6" t="str">
        <x:v>Bull</x:v>
      </x:c>
      <x:c r="L650" s="6" t="str">
        <x:v>LOW</x:v>
      </x:c>
      <x:c r="M650" s="7" t="str">
        <x:v>2026-04-16 21:05:00-05:00</x:v>
      </x:c>
      <x:c r="N650" s="6" t="str">
        <x:v>90.0</x:v>
      </x:c>
      <x:c r="O650" s="6" t="str">
        <x:v>90-94</x:v>
      </x:c>
      <x:c r="P650" s="6" t="str">
        <x:v>Matching BOS only</x:v>
      </x:c>
      <x:c r="Q650" s="6" t="str">
        <x:v>Bear CHoCH</x:v>
      </x:c>
      <x:c r="R650" s="6" t="str">
        <x:v>True</x:v>
      </x:c>
      <x:c r="S650" s="6" t="str">
        <x:v>False</x:v>
      </x:c>
      <x:c r="T650" s="6" t="str">
        <x:v>Recent BSL</x:v>
      </x:c>
      <x:c r="U650" s="6" t="str">
        <x:v>BSL</x:v>
      </x:c>
      <x:c r="V650" s="6" t="str">
        <x:v>Swing high / buy-side</x:v>
      </x:c>
      <x:c r="W650" s="6" t="str">
        <x:v>[24118.75]</x:v>
      </x:c>
      <x:c r="X650" s="8" t="str">
        <x:v>1</x:v>
      </x:c>
      <x:c r="Y650" s="8" t="str">
        <x:v>12.0</x:v>
      </x:c>
      <x:c r="Z650" s="6" t="str">
        <x:v>None</x:v>
      </x:c>
      <x:c r="AA650" s="6" t="str">
        <x:v>24102.0</x:v>
      </x:c>
      <x:c r="AB650" s="9" t="str">
        <x:v>0.5856271366990067</x:v>
      </x:c>
      <x:c r="AC650" s="9" t="str">
        <x:v>1.5372712338348924</x:v>
      </x:c>
      <x:c r="AD650" s="9" t="str">
        <x:v>2.0008927170549393</x:v>
      </x:c>
      <x:c r="AE650" s="6" t="str">
        <x:v>With trade</x:v>
      </x:c>
      <x:c r="AF650" s="7" t="str">
        <x:v>2026-04-16 21:05:00-05:00</x:v>
      </x:c>
      <x:c r="AG650" s="6" t="str">
        <x:v>Short</x:v>
      </x:c>
      <x:c r="AH650" s="6" t="str">
        <x:v>24102.0</x:v>
      </x:c>
      <x:c r="AI650" s="8" t="str">
        <x:v>0</x:v>
      </x:c>
      <x:c r="AJ650" s="6" t="str">
        <x:v>True</x:v>
      </x:c>
      <x:c r="AK650" s="6" t="str">
        <x:v>Same-bar Setup+BOS</x:v>
      </x:c>
      <x:c r="AL650" s="9" t="str">
        <x:v>1.6592768873138521</x:v>
      </x:c>
      <x:c r="AM650" s="9" t="str">
        <x:v>0.5856271366990067</x:v>
      </x:c>
      <x:c r="AN650" s="9" t="str">
        <x:v>1.5372712338348924</x:v>
      </x:c>
      <x:c r="AO650" s="9" t="str">
        <x:v>2.0008927170549393</x:v>
      </x:c>
      <x:c r="AP650" s="10" t="str">
        <x:v>0.7682926829268293</x:v>
      </x:c>
      <x:c r="AQ650" s="6" t="str">
        <x:v>0.0</x:v>
      </x:c>
      <x:c r="AR650" s="6" t="str">
        <x:v>0.23170731707317074</x:v>
      </x:c>
      <x:c r="AS650" s="6" t="str">
        <x:v>With trade</x:v>
      </x:c>
      <x:c r="AT650" s="6" t="str">
        <x:v>1.4814814814814814</x:v>
      </x:c>
      <x:c r="AU650" s="7" t="str">
        <x:v>2026-04-16 21:15:00-05:00</x:v>
      </x:c>
      <x:c r="AV650" s="8" t="str">
        <x:v>2</x:v>
      </x:c>
      <x:c r="AW650" s="6" t="str">
        <x:v>Delayed retest (2+ bars)</x:v>
      </x:c>
      <x:c r="AX650" s="6" t="str">
        <x:v>24102.75</x:v>
      </x:c>
      <x:c r="AY650" s="6" t="str">
        <x:v>0.75</x:v>
      </x:c>
      <x:c r="AZ650" s="9" t="str">
        <x:v>0.0750295853746664</x:v>
      </x:c>
      <x:c r="BA650" s="9" t="str">
        <x:v>0.47518737403955386</x:v>
      </x:c>
      <x:c r="BB650" s="9" t="str">
        <x:v>1.0003944716622186</x:v>
      </x:c>
      <x:c r="BC650" s="9" t="str">
        <x:v>0.4001577886648875</x:v>
      </x:c>
      <x:c r="BD650" s="6" t="str">
        <x:v>0.15</x:v>
      </x:c>
      <x:c r="BE650" s="6" t="str">
        <x:v>0.45</x:v>
      </x:c>
      <x:c r="BF650" s="9" t="str">
        <x:v>0.1500591707493328</x:v>
      </x:c>
      <x:c r="BG650" s="9" t="str">
        <x:v>0.4501775122479984</x:v>
      </x:c>
      <x:c r="BH650" s="6" t="str">
        <x:v>With trade</x:v>
      </x:c>
      <x:c r="BI650" s="6" t="str">
        <x:v>Penetration + same-bar reclaim</x:v>
      </x:c>
      <x:c r="BJ650" s="6" t="str">
        <x:v>False</x:v>
      </x:c>
      <x:c r="BK650" s="10" t="str">
        <x:v>True</x:v>
      </x:c>
      <x:c r="BL650" s="6" t="str">
        <x:v>True</x:v>
      </x:c>
      <x:c r="BM650" s="7" t="str">
        <x:v>2026-04-16 21:20:00-05:00</x:v>
      </x:c>
      <x:c r="BN650" s="8" t="str">
        <x:v>1</x:v>
      </x:c>
      <x:c r="BO650" s="6" t="str">
        <x:v>Immediate confirmation (1 bar)</x:v>
      </x:c>
      <x:c r="BP650" s="9" t="str">
        <x:v>1.3270255484450633</x:v>
      </x:c>
      <x:c r="BQ650" s="9" t="str">
        <x:v>1.6824788203499907</x:v>
      </x:c>
      <x:c r="BR650" s="10" t="str">
        <x:v>0.7887323943661971</x:v>
      </x:c>
      <x:c r="BS650" s="9" t="str">
        <x:v>1.7298725899373146</x:v>
      </x:c>
      <x:c r="BT650" s="9" t="str">
        <x:v>1.2796317788577396</x:v>
      </x:c>
      <x:c r="BU650" s="9" t="str">
        <x:v>0.2132719631429566</x:v>
      </x:c>
      <x:c r="BV650" s="6" t="str">
        <x:v>With trade</x:v>
      </x:c>
      <x:c r="BW650" s="7" t="str">
        <x:v>2026-04-16 21:20:00-05:00</x:v>
      </x:c>
      <x:c r="BX650" s="6" t="str">
        <x:v>24083.75</x:v>
      </x:c>
      <x:c r="BY650" s="9" t="str">
        <x:v>10.549909921782925</x:v>
      </x:c>
      <x:c r="BZ650" s="9" t="str">
        <x:v>0.16</x:v>
      </x:c>
      <x:c r="CA650" s="6" t="str">
        <x:v>24099.574864882674</x:v>
      </x:c>
      <x:c r="CB650" s="6" t="str">
        <x:v>15.824864882673864</x:v>
      </x:c>
      <x:c r="CC650" s="9" t="str">
        <x:v>1.4999999999999505</x:v>
      </x:c>
      <x:c r="CD650" s="6" t="str">
        <x:v>24052.100270234652</x:v>
      </x:c>
      <x:c r="CE650" s="6" t="str">
        <x:v>31.64972976534773</x:v>
      </x:c>
      <x:c r="CF650" s="6" t="str">
        <x:v>Fixed 2.00R target</x:v>
      </x:c>
      <x:c r="CG650" s="9" t="str">
        <x:v>0.045813977267747746</x:v>
      </x:c>
      <x:c r="CH650" s="9" t="str">
        <x:v>0.11058546237042194</x:v>
      </x:c>
      <x:c r="CI650" s="9" t="str">
        <x:v>0.06477148510267419</x:v>
      </x:c>
      <x:c r="CJ650" s="6" t="str">
        <x:v>Win</x:v>
      </x:c>
      <x:c r="CK650" s="9" t="str">
        <x:v>0.6951086206141037</x:v>
      </x:c>
      <x:c r="CL650" s="9" t="str">
        <x:v>0.9004816221591798</x:v>
      </x:c>
      <x:c r="CM650" s="7" t="str">
        <x:v>2026-04-16 22:20:00-05:00</x:v>
      </x:c>
      <x:c r="CN650" s="6" t="str">
        <x:v>24082.0</x:v>
      </x:c>
      <x:c r="CO650" s="6" t="str">
        <x:v>TIME</x:v>
      </x:c>
      <x:c r="CP650" s="6" t="str">
        <x:v>F::Short::Same-bar Setup+BOS::Penetration + same-bar reclaim</x:v>
      </x:c>
    </x:row>
    <x:row r="651" ht="18" customHeight="1">
      <x:c r="A651" s="6" t="str">
        <x:v>A0650</x:v>
      </x:c>
      <x:c r="B651" s="6" t="str">
        <x:v>2026-04-17</x:v>
      </x:c>
      <x:c r="C651" s="6" t="str">
        <x:v>2026</x:v>
      </x:c>
      <x:c r="D651" s="6" t="str">
        <x:v>2026-Q2</x:v>
      </x:c>
      <x:c r="E651" s="6" t="str">
        <x:v>Second 50%</x:v>
      </x:c>
      <x:c r="F651" s="6" t="str">
        <x:v>Long</x:v>
      </x:c>
      <x:c r="G651" s="6" t="str">
        <x:v>Long</x:v>
      </x:c>
      <x:c r="H651" s="6" t="str">
        <x:v>Premarket</x:v>
      </x:c>
      <x:c r="I651" s="6" t="str">
        <x:v>Premarket</x:v>
      </x:c>
      <x:c r="J651" s="6" t="str">
        <x:v>Bull</x:v>
      </x:c>
      <x:c r="K651" s="6" t="str">
        <x:v>Bull</x:v>
      </x:c>
      <x:c r="L651" s="6" t="str">
        <x:v>HIGH</x:v>
      </x:c>
      <x:c r="M651" s="7" t="str">
        <x:v>2026-04-17 06:30:00-05:00</x:v>
      </x:c>
      <x:c r="N651" s="6" t="str">
        <x:v>90.0</x:v>
      </x:c>
      <x:c r="O651" s="6" t="str">
        <x:v>90-94</x:v>
      </x:c>
      <x:c r="P651" s="6" t="str">
        <x:v>Matching BOS only</x:v>
      </x:c>
      <x:c r="Q651" s="6" t="str">
        <x:v>Bull BOS</x:v>
      </x:c>
      <x:c r="R651" s="6" t="str">
        <x:v>True</x:v>
      </x:c>
      <x:c r="S651" s="6" t="str">
        <x:v>False</x:v>
      </x:c>
      <x:c r="T651" s="6" t="str">
        <x:v>Recent SSL</x:v>
      </x:c>
      <x:c r="U651" s="6" t="str">
        <x:v>SSL</x:v>
      </x:c>
      <x:c r="V651" s="6" t="str">
        <x:v>Swing low / sell-side</x:v>
      </x:c>
      <x:c r="W651" s="6" t="str">
        <x:v>[24127.75]</x:v>
      </x:c>
      <x:c r="X651" s="8" t="str">
        <x:v>1</x:v>
      </x:c>
      <x:c r="Y651" s="8" t="str">
        <x:v>10.0</x:v>
      </x:c>
      <x:c r="Z651" s="6" t="str">
        <x:v>None</x:v>
      </x:c>
      <x:c r="AA651" s="6" t="str">
        <x:v>24168.5</x:v>
      </x:c>
      <x:c r="AB651" s="9" t="str">
        <x:v>0.3734483351304637</x:v>
      </x:c>
      <x:c r="AC651" s="9" t="str">
        <x:v>0.7235561493152735</x:v>
      </x:c>
      <x:c r="AD651" s="9" t="str">
        <x:v>1.0503234425544292</x:v>
      </x:c>
      <x:c r="AE651" s="6" t="str">
        <x:v>With trade</x:v>
      </x:c>
      <x:c r="AF651" s="7" t="str">
        <x:v>2026-04-17 06:30:00-05:00</x:v>
      </x:c>
      <x:c r="AG651" s="6" t="str">
        <x:v>Long</x:v>
      </x:c>
      <x:c r="AH651" s="6" t="str">
        <x:v>24168.5</x:v>
      </x:c>
      <x:c r="AI651" s="8" t="str">
        <x:v>0</x:v>
      </x:c>
      <x:c r="AJ651" s="6" t="str">
        <x:v>True</x:v>
      </x:c>
      <x:c r="AK651" s="6" t="str">
        <x:v>Same-bar Setup+BOS</x:v>
      </x:c>
      <x:c r="AL651" s="9" t="str">
        <x:v>0.7468966702609274</x:v>
      </x:c>
      <x:c r="AM651" s="9" t="str">
        <x:v>0.3734483351304637</x:v>
      </x:c>
      <x:c r="AN651" s="9" t="str">
        <x:v>0.7235561493152735</x:v>
      </x:c>
      <x:c r="AO651" s="9" t="str">
        <x:v>1.0503234425544292</x:v>
      </x:c>
      <x:c r="AP651" s="10" t="str">
        <x:v>0.6888888888888889</x:v>
      </x:c>
      <x:c r="AQ651" s="6" t="str">
        <x:v>0.2222222222222222</x:v>
      </x:c>
      <x:c r="AR651" s="6" t="str">
        <x:v>0.08888888888888889</x:v>
      </x:c>
      <x:c r="AS651" s="6" t="str">
        <x:v>With trade</x:v>
      </x:c>
      <x:c r="AT651" s="6" t="str">
        <x:v>1.7755081999410784</x:v>
      </x:c>
      <x:c r="AU651" s="7" t="str">
        <x:v>2026-04-17 06:35:00-05:00</x:v>
      </x:c>
      <x:c r="AV651" s="8" t="str">
        <x:v>1</x:v>
      </x:c>
      <x:c r="AW651" s="6" t="str">
        <x:v>Immediate retest (1 bar)</x:v>
      </x:c>
      <x:c r="AX651" s="6" t="str">
        <x:v>24168.25</x:v>
      </x:c>
      <x:c r="AY651" s="6" t="str">
        <x:v>0.25</x:v>
      </x:c>
      <x:c r="AZ651" s="9" t="str">
        <x:v>0.02377025892295104</x:v>
      </x:c>
      <x:c r="BA651" s="9" t="str">
        <x:v>0.07131077676885313</x:v>
      </x:c>
      <x:c r="BB651" s="9" t="str">
        <x:v>0.7606482855344333</x:v>
      </x:c>
      <x:c r="BC651" s="9" t="str">
        <x:v>0.19016207138360833</x:v>
      </x:c>
      <x:c r="BD651" s="6" t="str">
        <x:v>0.625</x:v>
      </x:c>
      <x:c r="BE651" s="6" t="str">
        <x:v>0.125</x:v>
      </x:c>
      <x:c r="BF651" s="9" t="str">
        <x:v>0.09508103569180416</x:v>
      </x:c>
      <x:c r="BG651" s="9" t="str">
        <x:v>0.47540517845902086</x:v>
      </x:c>
      <x:c r="BH651" s="6" t="str">
        <x:v>Against trade</x:v>
      </x:c>
      <x:c r="BI651" s="6" t="str">
        <x:v>Penetration + same-bar reclaim</x:v>
      </x:c>
      <x:c r="BJ651" s="6" t="str">
        <x:v>False</x:v>
      </x:c>
      <x:c r="BK651" s="10" t="str">
        <x:v>True</x:v>
      </x:c>
      <x:c r="BL651" s="6" t="str">
        <x:v>True</x:v>
      </x:c>
      <x:c r="BM651" s="7" t="str">
        <x:v>2026-04-17 06:40:00-05:00</x:v>
      </x:c>
      <x:c r="BN651" s="8" t="str">
        <x:v>1</x:v>
      </x:c>
      <x:c r="BO651" s="6" t="str">
        <x:v>Immediate confirmation (1 bar)</x:v>
      </x:c>
      <x:c r="BP651" s="9" t="str">
        <x:v>0.3709211651542353</x:v>
      </x:c>
      <x:c r="BQ651" s="9" t="str">
        <x:v>1.3214066508619633</x:v>
      </x:c>
      <x:c r="BR651" s="10" t="str">
        <x:v>0.2807017543859649</x:v>
      </x:c>
      <x:c r="BS651" s="9" t="str">
        <x:v>0.44046888362065445</x:v>
      </x:c>
      <x:c r="BT651" s="9" t="str">
        <x:v>0.3709211651542353</x:v>
      </x:c>
      <x:c r="BU651" s="9" t="str">
        <x:v>0.6954771846641912</x:v>
      </x:c>
      <x:c r="BV651" s="6" t="str">
        <x:v>With trade</x:v>
      </x:c>
      <x:c r="BW651" s="7" t="str">
        <x:v>2026-04-17 06:40:00-05:00</x:v>
      </x:c>
      <x:c r="BX651" s="6" t="str">
        <x:v>24173.25</x:v>
      </x:c>
      <x:c r="BY651" s="9" t="str">
        <x:v>10.78396267394645</x:v>
      </x:c>
      <x:c r="BZ651" s="9" t="str">
        <x:v>0.72</x:v>
      </x:c>
      <x:c r="CA651" s="6" t="str">
        <x:v>24157.07405598908</x:v>
      </x:c>
      <x:c r="CB651" s="6" t="str">
        <x:v>16.17594401091992</x:v>
      </x:c>
      <x:c r="CC651" s="9" t="str">
        <x:v>1.5000000000000229</x:v>
      </x:c>
      <x:c r="CD651" s="6" t="str">
        <x:v>24205.60188802184</x:v>
      </x:c>
      <x:c r="CE651" s="6" t="str">
        <x:v>32.35188802183984</x:v>
      </x:c>
      <x:c r="CF651" s="6" t="str">
        <x:v>Fixed 2.00R target</x:v>
      </x:c>
      <x:c r="CG651" s="9" t="str">
        <x:v>0.044819640789469414</x:v>
      </x:c>
      <x:c r="CH651" s="9" t="str">
        <x:v>2.0</x:v>
      </x:c>
      <x:c r="CI651" s="9" t="str">
        <x:v>1.9551803592105306</x:v>
      </x:c>
      <x:c r="CJ651" s="6" t="str">
        <x:v>Win</x:v>
      </x:c>
      <x:c r="CK651" s="9" t="str">
        <x:v>2.225526990925378</x:v>
      </x:c>
      <x:c r="CL651" s="9" t="str">
        <x:v>0.10818533983665032</x:v>
      </x:c>
      <x:c r="CM651" s="7" t="str">
        <x:v>2026-04-17 07:00:00-05:00</x:v>
      </x:c>
      <x:c r="CN651" s="6" t="str">
        <x:v>24205.60188802184</x:v>
      </x:c>
      <x:c r="CO651" s="6" t="str">
        <x:v>TARGET</x:v>
      </x:c>
      <x:c r="CP651" s="6" t="str">
        <x:v>F::Long::Same-bar Setup+BOS::Penetration + same-bar reclaim</x:v>
      </x:c>
    </x:row>
    <x:row r="652" ht="18" customHeight="1">
      <x:c r="A652" s="6" t="str">
        <x:v>A0651</x:v>
      </x:c>
      <x:c r="B652" s="6" t="str">
        <x:v>2026-04-19</x:v>
      </x:c>
      <x:c r="C652" s="6" t="str">
        <x:v>2026</x:v>
      </x:c>
      <x:c r="D652" s="6" t="str">
        <x:v>2026-Q2</x:v>
      </x:c>
      <x:c r="E652" s="6" t="str">
        <x:v>Second 50%</x:v>
      </x:c>
      <x:c r="F652" s="6" t="str">
        <x:v>Short</x:v>
      </x:c>
      <x:c r="G652" s="6" t="str">
        <x:v>Short</x:v>
      </x:c>
      <x:c r="H652" s="6" t="str">
        <x:v>Overnight</x:v>
      </x:c>
      <x:c r="I652" s="6" t="str">
        <x:v>Overnight</x:v>
      </x:c>
      <x:c r="J652" s="6" t="str">
        <x:v>Bull</x:v>
      </x:c>
      <x:c r="K652" s="6" t="str">
        <x:v>Bull</x:v>
      </x:c>
      <x:c r="L652" s="6" t="str">
        <x:v>LOW</x:v>
      </x:c>
      <x:c r="M652" s="7" t="str">
        <x:v>2026-04-19 22:45:00-05:00</x:v>
      </x:c>
      <x:c r="N652" s="6" t="str">
        <x:v>90.0</x:v>
      </x:c>
      <x:c r="O652" s="6" t="str">
        <x:v>90-94</x:v>
      </x:c>
      <x:c r="P652" s="6" t="str">
        <x:v>Matching BOS only</x:v>
      </x:c>
      <x:c r="Q652" s="6" t="str">
        <x:v>Bear CHoCH</x:v>
      </x:c>
      <x:c r="R652" s="6" t="str">
        <x:v>True</x:v>
      </x:c>
      <x:c r="S652" s="6" t="str">
        <x:v>False</x:v>
      </x:c>
      <x:c r="T652" s="6" t="str">
        <x:v>Recent BSL</x:v>
      </x:c>
      <x:c r="U652" s="6" t="str">
        <x:v>BSL</x:v>
      </x:c>
      <x:c r="V652" s="6" t="str">
        <x:v>Swing high / buy-side</x:v>
      </x:c>
      <x:c r="W652" s="6" t="str">
        <x:v>[24322.25]</x:v>
      </x:c>
      <x:c r="X652" s="8" t="str">
        <x:v>1</x:v>
      </x:c>
      <x:c r="Y652" s="8" t="str">
        <x:v>3.0</x:v>
      </x:c>
      <x:c r="Z652" s="6" t="str">
        <x:v>None</x:v>
      </x:c>
      <x:c r="AA652" s="6" t="str">
        <x:v>24303.5</x:v>
      </x:c>
      <x:c r="AB652" s="9" t="str">
        <x:v>0.15458016166832433</x:v>
      </x:c>
      <x:c r="AC652" s="9" t="str">
        <x:v>0.7986641686196757</x:v>
      </x:c>
      <x:c r="AD652" s="9" t="str">
        <x:v>0.953244330288</x:v>
      </x:c>
      <x:c r="AE652" s="6" t="str">
        <x:v>With trade</x:v>
      </x:c>
      <x:c r="AF652" s="7" t="str">
        <x:v>2026-04-19 22:45:00-05:00</x:v>
      </x:c>
      <x:c r="AG652" s="6" t="str">
        <x:v>Short</x:v>
      </x:c>
      <x:c r="AH652" s="6" t="str">
        <x:v>24303.5</x:v>
      </x:c>
      <x:c r="AI652" s="8" t="str">
        <x:v>0</x:v>
      </x:c>
      <x:c r="AJ652" s="6" t="str">
        <x:v>True</x:v>
      </x:c>
      <x:c r="AK652" s="6" t="str">
        <x:v>Same-bar Setup+BOS</x:v>
      </x:c>
      <x:c r="AL652" s="9" t="str">
        <x:v>0.8759542494538379</x:v>
      </x:c>
      <x:c r="AM652" s="9" t="str">
        <x:v>0.15458016166832433</x:v>
      </x:c>
      <x:c r="AN652" s="9" t="str">
        <x:v>0.7986641686196757</x:v>
      </x:c>
      <x:c r="AO652" s="9" t="str">
        <x:v>0.953244330288</x:v>
      </x:c>
      <x:c r="AP652" s="10" t="str">
        <x:v>0.8378378378378378</x:v>
      </x:c>
      <x:c r="AQ652" s="6" t="str">
        <x:v>0.0</x:v>
      </x:c>
      <x:c r="AR652" s="6" t="str">
        <x:v>0.16216216216216217</x:v>
      </x:c>
      <x:c r="AS652" s="6" t="str">
        <x:v>With trade</x:v>
      </x:c>
      <x:c r="AT652" s="6" t="str">
        <x:v>1.4197784160853508</x:v>
      </x:c>
      <x:c r="AU652" s="7" t="str">
        <x:v>2026-04-19 22:50:00-05:00</x:v>
      </x:c>
      <x:c r="AV652" s="8" t="str">
        <x:v>1</x:v>
      </x:c>
      <x:c r="AW652" s="6" t="str">
        <x:v>Immediate retest (1 bar)</x:v>
      </x:c>
      <x:c r="AX652" s="6" t="str">
        <x:v>24308.25</x:v>
      </x:c>
      <x:c r="AY652" s="6" t="str">
        <x:v>4.75</x:v>
      </x:c>
      <x:c r="AZ652" s="9" t="str">
        <x:v>0.5013262876944141</x:v>
      </x:c>
      <x:c r="BA652" s="9" t="str">
        <x:v>0.07915678226753907</x:v>
      </x:c>
      <x:c r="BB652" s="9" t="str">
        <x:v>0.686025446318672</x:v>
      </x:c>
      <x:c r="BC652" s="9" t="str">
        <x:v>0.07915678226753907</x:v>
      </x:c>
      <x:c r="BD652" s="6" t="str">
        <x:v>0.8461538461538461</x:v>
      </x:c>
      <x:c r="BE652" s="6" t="str">
        <x:v>0.038461538461538464</x:v>
      </x:c>
      <x:c r="BF652" s="9" t="str">
        <x:v>0.5804830699619532</x:v>
      </x:c>
      <x:c r="BG652" s="9" t="str">
        <x:v>0.026385594089179693</x:v>
      </x:c>
      <x:c r="BH652" s="6" t="str">
        <x:v>Against trade</x:v>
      </x:c>
      <x:c r="BI652" s="6" t="str">
        <x:v>Penetration + same-bar reclaim</x:v>
      </x:c>
      <x:c r="BJ652" s="6" t="str">
        <x:v>False</x:v>
      </x:c>
      <x:c r="BK652" s="10" t="str">
        <x:v>True</x:v>
      </x:c>
      <x:c r="BL652" s="6" t="str">
        <x:v>True</x:v>
      </x:c>
      <x:c r="BM652" s="7" t="str">
        <x:v>2026-04-19 22:55:00-05:00</x:v>
      </x:c>
      <x:c r="BN652" s="8" t="str">
        <x:v>1</x:v>
      </x:c>
      <x:c r="BO652" s="6" t="str">
        <x:v>Immediate confirmation (1 bar)</x:v>
      </x:c>
      <x:c r="BP652" s="9" t="str">
        <x:v>0.19040473062839686</x:v>
      </x:c>
      <x:c r="BQ652" s="9" t="str">
        <x:v>0.5984148676892472</x:v>
      </x:c>
      <x:c r="BR652" s="10" t="str">
        <x:v>0.3181818181818182</x:v>
      </x:c>
      <x:c r="BS652" s="9" t="str">
        <x:v>0.2992074338446236</x:v>
      </x:c>
      <x:c r="BT652" s="9" t="str">
        <x:v>0.21760540643245355</x:v>
      </x:c>
      <x:c r="BU652" s="9" t="str">
        <x:v>0.16320405482434017</x:v>
      </x:c>
      <x:c r="BV652" s="6" t="str">
        <x:v>With trade</x:v>
      </x:c>
      <x:c r="BW652" s="7" t="str">
        <x:v>2026-04-19 22:55:00-05:00</x:v>
      </x:c>
      <x:c r="BX652" s="6" t="str">
        <x:v>24300.75</x:v>
      </x:c>
      <x:c r="BY652" s="9" t="str">
        <x:v>9.190948114705119</x:v>
      </x:c>
      <x:c r="BZ652" s="9" t="str">
        <x:v>0.0</x:v>
      </x:c>
      <x:c r="CA652" s="6" t="str">
        <x:v>24314.53642217206</x:v>
      </x:c>
      <x:c r="CB652" s="6" t="str">
        <x:v>13.786422172059247</x:v>
      </x:c>
      <x:c r="CC652" s="9" t="str">
        <x:v>1.5000000000001708</x:v>
      </x:c>
      <x:c r="CD652" s="6" t="str">
        <x:v>24273.177155655885</x:v>
      </x:c>
      <x:c r="CE652" s="6" t="str">
        <x:v>27.572844344114856</x:v>
      </x:c>
      <x:c r="CF652" s="6" t="str">
        <x:v>Fixed 2.00R target</x:v>
      </x:c>
      <x:c r="CG652" s="9" t="str">
        <x:v>0.05258797322117029</x:v>
      </x:c>
      <x:c r="CH652" s="9" t="str">
        <x:v>0.2720067580405669</x:v>
      </x:c>
      <x:c r="CI652" s="9" t="str">
        <x:v>0.2194187848193966</x:v>
      </x:c>
      <x:c r="CJ652" s="6" t="str">
        <x:v>Win</x:v>
      </x:c>
      <x:c r="CK652" s="9" t="str">
        <x:v>1.8133783869369065</x:v>
      </x:c>
      <x:c r="CL652" s="9" t="str">
        <x:v>0.2176054064324288</x:v>
      </x:c>
      <x:c r="CM652" s="7" t="str">
        <x:v>2026-04-19 23:55:00-05:00</x:v>
      </x:c>
      <x:c r="CN652" s="6" t="str">
        <x:v>24297.0</x:v>
      </x:c>
      <x:c r="CO652" s="6" t="str">
        <x:v>TIME</x:v>
      </x:c>
      <x:c r="CP652" s="6" t="str">
        <x:v>F::Short::Same-bar Setup+BOS::Penetration + same-bar reclaim</x:v>
      </x:c>
    </x:row>
    <x:row r="653" ht="18" customHeight="1">
      <x:c r="A653" s="6" t="str">
        <x:v>A0652</x:v>
      </x:c>
      <x:c r="B653" s="6" t="str">
        <x:v>2026-04-20</x:v>
      </x:c>
      <x:c r="C653" s="6" t="str">
        <x:v>2026</x:v>
      </x:c>
      <x:c r="D653" s="6" t="str">
        <x:v>2026-Q2</x:v>
      </x:c>
      <x:c r="E653" s="6" t="str">
        <x:v>Second 50%</x:v>
      </x:c>
      <x:c r="F653" s="6" t="str">
        <x:v>Short</x:v>
      </x:c>
      <x:c r="G653" s="6" t="str">
        <x:v>Short</x:v>
      </x:c>
      <x:c r="H653" s="6" t="str">
        <x:v>Opening</x:v>
      </x:c>
      <x:c r="I653" s="6" t="str">
        <x:v>Opening</x:v>
      </x:c>
      <x:c r="J653" s="6" t="str">
        <x:v>Bull</x:v>
      </x:c>
      <x:c r="K653" s="6" t="str">
        <x:v>Bull</x:v>
      </x:c>
      <x:c r="L653" s="6" t="str">
        <x:v>HIGH</x:v>
      </x:c>
      <x:c r="M653" s="7" t="str">
        <x:v>2026-04-20 09:40:00-05:00</x:v>
      </x:c>
      <x:c r="N653" s="6" t="str">
        <x:v>75.0</x:v>
      </x:c>
      <x:c r="O653" s="6" t="str">
        <x:v>75-79</x:v>
      </x:c>
      <x:c r="P653" s="6" t="str">
        <x:v>Matching BOS only</x:v>
      </x:c>
      <x:c r="Q653" s="6" t="str">
        <x:v>Bear CHoCH</x:v>
      </x:c>
      <x:c r="R653" s="6" t="str">
        <x:v>True</x:v>
      </x:c>
      <x:c r="S653" s="6" t="str">
        <x:v>False</x:v>
      </x:c>
      <x:c r="T653" s="6" t="str">
        <x:v>No recent matching sweep</x:v>
      </x:c>
      <x:c r="U653" s="6" t="str">
        <x:v>None</x:v>
      </x:c>
      <x:c r="V653" s="6" t="str">
        <x:v>None</x:v>
      </x:c>
      <x:c r="W653" s="6" t="str">
        <x:v>[]</x:v>
      </x:c>
      <x:c r="X653" s="8" t="str">
        <x:v>0</x:v>
      </x:c>
      <x:c r="Y653" s="8" t="str"/>
      <x:c r="Z653" s="6" t="str">
        <x:v>None</x:v>
      </x:c>
      <x:c r="AA653" s="6" t="str">
        <x:v>24337.25</x:v>
      </x:c>
      <x:c r="AB653" s="9" t="str">
        <x:v>0.5659228115757252</x:v>
      </x:c>
      <x:c r="AC653" s="9" t="str">
        <x:v>0.92669860395525</x:v>
      </x:c>
      <x:c r="AD653" s="9" t="str">
        <x:v>1.1672157988749332</x:v>
      </x:c>
      <x:c r="AE653" s="6" t="str">
        <x:v>With trade</x:v>
      </x:c>
      <x:c r="AF653" s="7" t="str">
        <x:v>2026-04-20 09:40:00-05:00</x:v>
      </x:c>
      <x:c r="AG653" s="6" t="str">
        <x:v>Short</x:v>
      </x:c>
      <x:c r="AH653" s="6" t="str">
        <x:v>24337.25</x:v>
      </x:c>
      <x:c r="AI653" s="8" t="str">
        <x:v>0</x:v>
      </x:c>
      <x:c r="AJ653" s="6" t="str">
        <x:v>True</x:v>
      </x:c>
      <x:c r="AK653" s="6" t="str">
        <x:v>Same-bar Setup+BOS</x:v>
      </x:c>
      <x:c r="AL653" s="9" t="str">
        <x:v>0.9337726390999466</x:v>
      </x:c>
      <x:c r="AM653" s="9" t="str">
        <x:v>0.5659228115757252</x:v>
      </x:c>
      <x:c r="AN653" s="9" t="str">
        <x:v>0.92669860395525</x:v>
      </x:c>
      <x:c r="AO653" s="9" t="str">
        <x:v>1.1672157988749332</x:v>
      </x:c>
      <x:c r="AP653" s="10" t="str">
        <x:v>0.793939393939394</x:v>
      </x:c>
      <x:c r="AQ653" s="6" t="str">
        <x:v>0.04242424242424243</x:v>
      </x:c>
      <x:c r="AR653" s="6" t="str">
        <x:v>0.16363636363636364</x:v>
      </x:c>
      <x:c r="AS653" s="6" t="str">
        <x:v>With trade</x:v>
      </x:c>
      <x:c r="AT653" s="6" t="str">
        <x:v>1.2833830496578347</x:v>
      </x:c>
      <x:c r="AU653" s="7" t="str">
        <x:v>2026-04-20 09:45:00-05:00</x:v>
      </x:c>
      <x:c r="AV653" s="8" t="str">
        <x:v>1</x:v>
      </x:c>
      <x:c r="AW653" s="6" t="str">
        <x:v>Immediate retest (1 bar)</x:v>
      </x:c>
      <x:c r="AX653" s="6" t="str">
        <x:v>24341.75</x:v>
      </x:c>
      <x:c r="AY653" s="6" t="str">
        <x:v>4.5</x:v>
      </x:c>
      <x:c r="AZ653" s="9" t="str">
        <x:v>0.12703492506781722</x:v>
      </x:c>
      <x:c r="BA653" s="9" t="str">
        <x:v>0.042344975022605744</x:v>
      </x:c>
      <x:c r="BB653" s="9" t="str">
        <x:v>1.0303943922167398</x:v>
      </x:c>
      <x:c r="BC653" s="9" t="str">
        <x:v>0.494024708597067</x:v>
      </x:c>
      <x:c r="BD653" s="6" t="str">
        <x:v>0.1643835616438356</x:v>
      </x:c>
      <x:c r="BE653" s="6" t="str">
        <x:v>0.3561643835616438</x:v>
      </x:c>
      <x:c r="BF653" s="9" t="str">
        <x:v>0.16937990009042297</x:v>
      </x:c>
      <x:c r="BG653" s="9" t="str">
        <x:v>0.36698978352924977</x:v>
      </x:c>
      <x:c r="BH653" s="6" t="str">
        <x:v>Against trade</x:v>
      </x:c>
      <x:c r="BI653" s="6" t="str">
        <x:v>Penetration + same-bar reclaim</x:v>
      </x:c>
      <x:c r="BJ653" s="6" t="str">
        <x:v>False</x:v>
      </x:c>
      <x:c r="BK653" s="10" t="str">
        <x:v>True</x:v>
      </x:c>
      <x:c r="BL653" s="6" t="str">
        <x:v>True</x:v>
      </x:c>
      <x:c r="BM653" s="7" t="str">
        <x:v>2026-04-20 09:50:00-05:00</x:v>
      </x:c>
      <x:c r="BN653" s="8" t="str">
        <x:v>1</x:v>
      </x:c>
      <x:c r="BO653" s="6" t="str">
        <x:v>Immediate confirmation (1 bar)</x:v>
      </x:c>
      <x:c r="BP653" s="9" t="str">
        <x:v>0.9942950216852385</x:v>
      </x:c>
      <x:c r="BQ653" s="9" t="str">
        <x:v>2.6944167562951833</x:v>
      </x:c>
      <x:c r="BR653" s="10" t="str">
        <x:v>0.3690205011389522</x:v>
      </x:c>
      <x:c r="BS653" s="9" t="str">
        <x:v>1.0433960104104356</x:v>
      </x:c>
      <x:c r="BT653" s="9" t="str">
        <x:v>1.0065702688665379</x:v>
      </x:c>
      <x:c r="BU653" s="9" t="str">
        <x:v>0.177991084128839</x:v>
      </x:c>
      <x:c r="BV653" s="6" t="str">
        <x:v>With trade</x:v>
      </x:c>
      <x:c r="BW653" s="7" t="str">
        <x:v>2026-04-20 09:50:00-05:00</x:v>
      </x:c>
      <x:c r="BX653" s="6" t="str">
        <x:v>24294.75</x:v>
      </x:c>
      <x:c r="BY653" s="9" t="str">
        <x:v>40.73237732937275</x:v>
      </x:c>
      <x:c r="BZ653" s="9" t="str">
        <x:v>1.0</x:v>
      </x:c>
      <x:c r="CA653" s="6" t="str">
        <x:v>24355.84856599406</x:v>
      </x:c>
      <x:c r="CB653" s="6" t="str">
        <x:v>61.098565994059754</x:v>
      </x:c>
      <x:c r="CC653" s="9" t="str">
        <x:v>1.5000000000000153</x:v>
      </x:c>
      <x:c r="CD653" s="6" t="str">
        <x:v>24172.55286801188</x:v>
      </x:c>
      <x:c r="CE653" s="6" t="str">
        <x:v>122.19713198811951</x:v>
      </x:c>
      <x:c r="CF653" s="6" t="str">
        <x:v>Fixed 2.00R target</x:v>
      </x:c>
      <x:c r="CG653" s="9" t="str">
        <x:v>0.011866072275255811</x:v>
      </x:c>
      <x:c r="CH653" s="9" t="str">
        <x:v>0.29460593235118177</x:v>
      </x:c>
      <x:c r="CI653" s="9" t="str">
        <x:v>0.28273986007592594</x:v>
      </x:c>
      <x:c r="CJ653" s="6" t="str">
        <x:v>Win</x:v>
      </x:c>
      <x:c r="CK653" s="9" t="str">
        <x:v>1.71035110726101</x:v>
      </x:c>
      <x:c r="CL653" s="9" t="str">
        <x:v>0.6137623590649558</x:v>
      </x:c>
      <x:c r="CM653" s="7" t="str">
        <x:v>2026-04-20 10:50:00-05:00</x:v>
      </x:c>
      <x:c r="CN653" s="6" t="str">
        <x:v>24276.75</x:v>
      </x:c>
      <x:c r="CO653" s="6" t="str">
        <x:v>TIME</x:v>
      </x:c>
      <x:c r="CP653" s="6" t="str">
        <x:v>F::Short::Same-bar Setup+BOS::Penetration + same-bar reclaim</x:v>
      </x:c>
    </x:row>
    <x:row r="654" ht="18" customHeight="1">
      <x:c r="A654" s="6" t="str">
        <x:v>A0653</x:v>
      </x:c>
      <x:c r="B654" s="6" t="str">
        <x:v>2026-04-20</x:v>
      </x:c>
      <x:c r="C654" s="6" t="str">
        <x:v>2026</x:v>
      </x:c>
      <x:c r="D654" s="6" t="str">
        <x:v>2026-Q2</x:v>
      </x:c>
      <x:c r="E654" s="6" t="str">
        <x:v>Second 50%</x:v>
      </x:c>
      <x:c r="F654" s="6" t="str">
        <x:v>Long</x:v>
      </x:c>
      <x:c r="G654" s="6" t="str">
        <x:v>Long</x:v>
      </x:c>
      <x:c r="H654" s="6" t="str">
        <x:v>Overnight</x:v>
      </x:c>
      <x:c r="I654" s="6" t="str">
        <x:v>Overnight</x:v>
      </x:c>
      <x:c r="J654" s="6" t="str">
        <x:v>Bull</x:v>
      </x:c>
      <x:c r="K654" s="6" t="str">
        <x:v>Bull</x:v>
      </x:c>
      <x:c r="L654" s="6" t="str">
        <x:v>LOW</x:v>
      </x:c>
      <x:c r="M654" s="7" t="str">
        <x:v>2026-04-20 19:45:00-05:00</x:v>
      </x:c>
      <x:c r="N654" s="6" t="str">
        <x:v>90.0</x:v>
      </x:c>
      <x:c r="O654" s="6" t="str">
        <x:v>90-94</x:v>
      </x:c>
      <x:c r="P654" s="6" t="str">
        <x:v>Matching BOS only</x:v>
      </x:c>
      <x:c r="Q654" s="6" t="str">
        <x:v>Bull CHoCH</x:v>
      </x:c>
      <x:c r="R654" s="6" t="str">
        <x:v>True</x:v>
      </x:c>
      <x:c r="S654" s="6" t="str">
        <x:v>False</x:v>
      </x:c>
      <x:c r="T654" s="6" t="str">
        <x:v>Recent SSL</x:v>
      </x:c>
      <x:c r="U654" s="6" t="str">
        <x:v>SSL</x:v>
      </x:c>
      <x:c r="V654" s="6" t="str">
        <x:v>Swing low / sell-side</x:v>
      </x:c>
      <x:c r="W654" s="6" t="str">
        <x:v>[24413.0]</x:v>
      </x:c>
      <x:c r="X654" s="8" t="str">
        <x:v>1</x:v>
      </x:c>
      <x:c r="Y654" s="8" t="str">
        <x:v>3.0</x:v>
      </x:c>
      <x:c r="Z654" s="6" t="str">
        <x:v>None</x:v>
      </x:c>
      <x:c r="AA654" s="6" t="str">
        <x:v>24440.5</x:v>
      </x:c>
      <x:c r="AB654" s="9" t="str">
        <x:v>0.0363532975835429</x:v>
      </x:c>
      <x:c r="AC654" s="9" t="str">
        <x:v>1.545015147300573</x:v>
      </x:c>
      <x:c r="AD654" s="9" t="str">
        <x:v>2.9264404554752033</x:v>
      </x:c>
      <x:c r="AE654" s="6" t="str">
        <x:v>With trade</x:v>
      </x:c>
      <x:c r="AF654" s="7" t="str">
        <x:v>2026-04-20 19:45:00-05:00</x:v>
      </x:c>
      <x:c r="AG654" s="6" t="str">
        <x:v>Long</x:v>
      </x:c>
      <x:c r="AH654" s="6" t="str">
        <x:v>24440.5</x:v>
      </x:c>
      <x:c r="AI654" s="8" t="str">
        <x:v>0</x:v>
      </x:c>
      <x:c r="AJ654" s="6" t="str">
        <x:v>True</x:v>
      </x:c>
      <x:c r="AK654" s="6" t="str">
        <x:v>Same-bar Setup+BOS</x:v>
      </x:c>
      <x:c r="AL654" s="9" t="str">
        <x:v>1.5631917960923447</x:v>
      </x:c>
      <x:c r="AM654" s="9" t="str">
        <x:v>0.0363532975835429</x:v>
      </x:c>
      <x:c r="AN654" s="9" t="str">
        <x:v>1.545015147300573</x:v>
      </x:c>
      <x:c r="AO654" s="9" t="str">
        <x:v>2.9264404554752033</x:v>
      </x:c>
      <x:c r="AP654" s="10" t="str">
        <x:v>0.5279503105590062</x:v>
      </x:c>
      <x:c r="AQ654" s="6" t="str">
        <x:v>0.4720496894409938</x:v>
      </x:c>
      <x:c r="AR654" s="6" t="str">
        <x:v>0.0</x:v>
      </x:c>
      <x:c r="AS654" s="6" t="str">
        <x:v>With trade</x:v>
      </x:c>
      <x:c r="AT654" s="6" t="str">
        <x:v>6.184323858742463</x:v>
      </x:c>
      <x:c r="AU654" s="7" t="str">
        <x:v>2026-04-20 19:50:00-05:00</x:v>
      </x:c>
      <x:c r="AV654" s="8" t="str">
        <x:v>1</x:v>
      </x:c>
      <x:c r="AW654" s="6" t="str">
        <x:v>Immediate retest (1 bar)</x:v>
      </x:c>
      <x:c r="AX654" s="6" t="str">
        <x:v>24437.5</x:v>
      </x:c>
      <x:c r="AY654" s="6" t="str">
        <x:v>3.0</x:v>
      </x:c>
      <x:c r="AZ654" s="9" t="str">
        <x:v>0.2239392843636939</x:v>
      </x:c>
      <x:c r="BA654" s="9" t="str">
        <x:v>0.055984821090923474</x:v>
      </x:c>
      <x:c r="BB654" s="9" t="str">
        <x:v>0.6531562460607738</x:v>
      </x:c>
      <x:c r="BC654" s="9" t="str">
        <x:v>0.0746464281212313</x:v>
      </x:c>
      <x:c r="BD654" s="6" t="str">
        <x:v>0.45714285714285713</x:v>
      </x:c>
      <x:c r="BE654" s="6" t="str">
        <x:v>0.42857142857142855</x:v>
      </x:c>
      <x:c r="BF654" s="9" t="str">
        <x:v>0.2799241054546174</x:v>
      </x:c>
      <x:c r="BG654" s="9" t="str">
        <x:v>0.2985857124849252</x:v>
      </x:c>
      <x:c r="BH654" s="6" t="str">
        <x:v>Against trade</x:v>
      </x:c>
      <x:c r="BI654" s="6" t="str">
        <x:v>Penetration + same-bar reclaim</x:v>
      </x:c>
      <x:c r="BJ654" s="6" t="str">
        <x:v>False</x:v>
      </x:c>
      <x:c r="BK654" s="10" t="str">
        <x:v>True</x:v>
      </x:c>
      <x:c r="BL654" s="6" t="str">
        <x:v>True</x:v>
      </x:c>
      <x:c r="BM654" s="7" t="str">
        <x:v>2026-04-20 19:55:00-05:00</x:v>
      </x:c>
      <x:c r="BN654" s="8" t="str">
        <x:v>1</x:v>
      </x:c>
      <x:c r="BO654" s="6" t="str">
        <x:v>Immediate confirmation (1 bar)</x:v>
      </x:c>
      <x:c r="BP654" s="9" t="str">
        <x:v>0.20626361222088516</x:v>
      </x:c>
      <x:c r="BQ654" s="9" t="str">
        <x:v>0.8250544488835406</x:v>
      </x:c>
      <x:c r="BR654" s="10" t="str">
        <x:v>0.25</x:v>
      </x:c>
      <x:c r="BS654" s="9" t="str">
        <x:v>0.37502474949251846</x:v>
      </x:c>
      <x:c r="BT654" s="9" t="str">
        <x:v>0.3187710370686407</x:v>
      </x:c>
      <x:c r="BU654" s="9" t="str">
        <x:v>0.0</x:v>
      </x:c>
      <x:c r="BV654" s="6" t="str">
        <x:v>With trade</x:v>
      </x:c>
      <x:c r="BW654" s="7" t="str">
        <x:v>2026-04-20 19:55:00-05:00</x:v>
      </x:c>
      <x:c r="BX654" s="6" t="str">
        <x:v>24445.5</x:v>
      </x:c>
      <x:c r="BY654" s="9" t="str">
        <x:v>13.332453409450906</x:v>
      </x:c>
      <x:c r="BZ654" s="9" t="str">
        <x:v>0.2</x:v>
      </x:c>
      <x:c r="CA654" s="6" t="str">
        <x:v>24425.501319885825</x:v>
      </x:c>
      <x:c r="CB654" s="6" t="str">
        <x:v>19.99868011417493</x:v>
      </x:c>
      <x:c r="CC654" s="9" t="str">
        <x:v>1.499999999999893</x:v>
      </x:c>
      <x:c r="CD654" s="6" t="str">
        <x:v>24485.497360228354</x:v>
      </x:c>
      <x:c r="CE654" s="6" t="str">
        <x:v>39.9973602283535</x:v>
      </x:c>
      <x:c r="CF654" s="6" t="str">
        <x:v>Fixed 2.00R target</x:v>
      </x:c>
      <x:c r="CG654" s="9" t="str">
        <x:v>0.03625239245094604</x:v>
      </x:c>
      <x:c r="CH654" s="9" t="str">
        <x:v>-0.5625371242387778</x:v>
      </x:c>
      <x:c r="CI654" s="9" t="str">
        <x:v>-0.5987895166897238</x:v>
      </x:c>
      <x:c r="CJ654" s="6" t="str">
        <x:v>Loss</x:v>
      </x:c>
      <x:c r="CK654" s="9" t="str">
        <x:v>0.6625437241034966</x:v>
      </x:c>
      <x:c r="CL654" s="9" t="str">
        <x:v>0.8375552738666844</x:v>
      </x:c>
      <x:c r="CM654" s="7" t="str">
        <x:v>2026-04-20 20:55:00-05:00</x:v>
      </x:c>
      <x:c r="CN654" s="6" t="str">
        <x:v>24434.25</x:v>
      </x:c>
      <x:c r="CO654" s="6" t="str">
        <x:v>TIME</x:v>
      </x:c>
      <x:c r="CP654" s="6" t="str">
        <x:v>F::Long::Same-bar Setup+BOS::Penetration + same-bar reclaim</x:v>
      </x:c>
    </x:row>
    <x:row r="655" ht="18" customHeight="1">
      <x:c r="A655" s="6" t="str">
        <x:v>A0654</x:v>
      </x:c>
      <x:c r="B655" s="6" t="str">
        <x:v>2026-04-21</x:v>
      </x:c>
      <x:c r="C655" s="6" t="str">
        <x:v>2026</x:v>
      </x:c>
      <x:c r="D655" s="6" t="str">
        <x:v>2026-Q2</x:v>
      </x:c>
      <x:c r="E655" s="6" t="str">
        <x:v>Second 50%</x:v>
      </x:c>
      <x:c r="F655" s="6" t="str">
        <x:v>Long</x:v>
      </x:c>
      <x:c r="G655" s="6" t="str">
        <x:v>Long</x:v>
      </x:c>
      <x:c r="H655" s="6" t="str">
        <x:v>Overnight</x:v>
      </x:c>
      <x:c r="I655" s="6" t="str">
        <x:v>Overnight</x:v>
      </x:c>
      <x:c r="J655" s="6" t="str">
        <x:v>Bull</x:v>
      </x:c>
      <x:c r="K655" s="6" t="str">
        <x:v>Bull</x:v>
      </x:c>
      <x:c r="L655" s="6" t="str">
        <x:v>MID</x:v>
      </x:c>
      <x:c r="M655" s="7" t="str">
        <x:v>2026-04-21 00:50:00-05:00</x:v>
      </x:c>
      <x:c r="N655" s="6" t="str">
        <x:v>75.0</x:v>
      </x:c>
      <x:c r="O655" s="6" t="str">
        <x:v>75-79</x:v>
      </x:c>
      <x:c r="P655" s="6" t="str">
        <x:v>Matching liquidity sweep only</x:v>
      </x:c>
      <x:c r="Q655" s="6" t="str">
        <x:v>Recent bull structure</x:v>
      </x:c>
      <x:c r="R655" s="6" t="str">
        <x:v>False</x:v>
      </x:c>
      <x:c r="S655" s="6" t="str">
        <x:v>True</x:v>
      </x:c>
      <x:c r="T655" s="6" t="str">
        <x:v>Recent SSL</x:v>
      </x:c>
      <x:c r="U655" s="6" t="str">
        <x:v>SSL</x:v>
      </x:c>
      <x:c r="V655" s="6" t="str">
        <x:v>Swing low / sell-side</x:v>
      </x:c>
      <x:c r="W655" s="6" t="str">
        <x:v>[24442.25]</x:v>
      </x:c>
      <x:c r="X655" s="8" t="str">
        <x:v>1</x:v>
      </x:c>
      <x:c r="Y655" s="8" t="str">
        <x:v>0.0</x:v>
      </x:c>
      <x:c r="Z655" s="6" t="str">
        <x:v>Sweep below CRT reference</x:v>
      </x:c>
      <x:c r="AA655" s="6" t="str">
        <x:v>24458.75</x:v>
      </x:c>
      <x:c r="AB655" s="9" t="str">
        <x:v>-1.6452279393160805</x:v>
      </x:c>
      <x:c r="AC655" s="9" t="str">
        <x:v>0.4291898972128905</x:v>
      </x:c>
      <x:c r="AD655" s="9" t="str">
        <x:v>1.2875696916386716</x:v>
      </x:c>
      <x:c r="AE655" s="6" t="str">
        <x:v>With trade</x:v>
      </x:c>
      <x:c r="AF655" s="7" t="str">
        <x:v>2026-04-21 01:05:00-05:00</x:v>
      </x:c>
      <x:c r="AG655" s="6" t="str">
        <x:v>Long</x:v>
      </x:c>
      <x:c r="AH655" s="6" t="str">
        <x:v>24465.75</x:v>
      </x:c>
      <x:c r="AI655" s="8" t="str">
        <x:v>3</x:v>
      </x:c>
      <x:c r="AJ655" s="6" t="str">
        <x:v>False</x:v>
      </x:c>
      <x:c r="AK655" s="6" t="str">
        <x:v>Delayed BOS</x:v>
      </x:c>
      <x:c r="AL655" s="9" t="str">
        <x:v>2.543973233288592</x:v>
      </x:c>
      <x:c r="AM655" s="9" t="str">
        <x:v>0.6584401309688119</x:v>
      </x:c>
      <x:c r="AN655" s="9" t="str">
        <x:v>2.603831427013029</x:v>
      </x:c>
      <x:c r="AO655" s="9" t="str">
        <x:v>3.262271557981841</x:v>
      </x:c>
      <x:c r="AP655" s="10" t="str">
        <x:v>0.7981651376146789</x:v>
      </x:c>
      <x:c r="AQ655" s="6" t="str">
        <x:v>0.11009174311926606</x:v>
      </x:c>
      <x:c r="AR655" s="6" t="str">
        <x:v>0.09174311926605505</x:v>
      </x:c>
      <x:c r="AS655" s="6" t="str">
        <x:v>With trade</x:v>
      </x:c>
      <x:c r="AT655" s="6" t="str">
        <x:v>4.221218961625282</x:v>
      </x:c>
      <x:c r="AU655" s="7" t="str">
        <x:v>2026-04-21 01:25:00-05:00</x:v>
      </x:c>
      <x:c r="AV655" s="8" t="str">
        <x:v>4</x:v>
      </x:c>
      <x:c r="AW655" s="6" t="str">
        <x:v>Delayed retest (2+ bars)</x:v>
      </x:c>
      <x:c r="AX655" s="6" t="str">
        <x:v>24463.0</x:v>
      </x:c>
      <x:c r="AY655" s="6" t="str">
        <x:v>2.75</x:v>
      </x:c>
      <x:c r="AZ655" s="9" t="str">
        <x:v>0.31806596826766104</x:v>
      </x:c>
      <x:c r="BA655" s="9" t="str">
        <x:v>0.11566035209733128</x:v>
      </x:c>
      <x:c r="BB655" s="9" t="str">
        <x:v>1.2722638730706441</x:v>
      </x:c>
      <x:c r="BC655" s="9" t="str">
        <x:v>0.8385375527056518</x:v>
      </x:c>
      <x:c r="BD655" s="6" t="str">
        <x:v>0.0</x:v>
      </x:c>
      <x:c r="BE655" s="6" t="str">
        <x:v>0.3409090909090909</x:v>
      </x:c>
      <x:c r="BF655" s="9" t="str">
        <x:v>0.4337263203649923</x:v>
      </x:c>
      <x:c r="BG655" s="9" t="str">
        <x:v>0.0</x:v>
      </x:c>
      <x:c r="BH655" s="6" t="str">
        <x:v>Against trade</x:v>
      </x:c>
      <x:c r="BI655" s="6" t="str">
        <x:v>Penetration + same-bar reclaim</x:v>
      </x:c>
      <x:c r="BJ655" s="6" t="str">
        <x:v>False</x:v>
      </x:c>
      <x:c r="BK655" s="10" t="str">
        <x:v>True</x:v>
      </x:c>
      <x:c r="BL655" s="6" t="str">
        <x:v>True</x:v>
      </x:c>
      <x:c r="BM655" s="7" t="str">
        <x:v>2026-04-21 01:30:00-05:00</x:v>
      </x:c>
      <x:c r="BN655" s="8" t="str">
        <x:v>1</x:v>
      </x:c>
      <x:c r="BO655" s="6" t="str">
        <x:v>Immediate confirmation (1 bar)</x:v>
      </x:c>
      <x:c r="BP655" s="9" t="str">
        <x:v>0.2649328185444976</x:v>
      </x:c>
      <x:c r="BQ655" s="9" t="str">
        <x:v>0.7653614757952152</x:v>
      </x:c>
      <x:c r="BR655" s="10" t="str">
        <x:v>0.34615384615384615</x:v>
      </x:c>
      <x:c r="BS655" s="9" t="str">
        <x:v>0.5004286572507176</x:v>
      </x:c>
      <x:c r="BT655" s="9" t="str">
        <x:v>0.3826807378976076</x:v>
      </x:c>
      <x:c r="BU655" s="9" t="str">
        <x:v>0.20605885886794256</x:v>
      </x:c>
      <x:c r="BV655" s="6" t="str">
        <x:v>With trade</x:v>
      </x:c>
      <x:c r="BW655" s="7" t="str">
        <x:v>2026-04-21 01:30:00-05:00</x:v>
      </x:c>
      <x:c r="BX655" s="6" t="str">
        <x:v>24470.0</x:v>
      </x:c>
      <x:c r="BY655" s="9" t="str">
        <x:v>8.492719068785714</x:v>
      </x:c>
      <x:c r="BZ655" s="9" t="str">
        <x:v>0.36</x:v>
      </x:c>
      <x:c r="CA655" s="6" t="str">
        <x:v>24457.26092139682</x:v>
      </x:c>
      <x:c r="CB655" s="6" t="str">
        <x:v>12.739078603179223</x:v>
      </x:c>
      <x:c r="CC655" s="9" t="str">
        <x:v>1.5000000000000768</x:v>
      </x:c>
      <x:c r="CD655" s="6" t="str">
        <x:v>24495.47815720636</x:v>
      </x:c>
      <x:c r="CE655" s="6" t="str">
        <x:v>25.478157206358446</x:v>
      </x:c>
      <x:c r="CF655" s="6" t="str">
        <x:v>Fixed 2.00R target</x:v>
      </x:c>
      <x:c r="CG655" s="9" t="str">
        <x:v>0.05691149435400027</x:v>
      </x:c>
      <x:c r="CH655" s="9" t="str">
        <x:v>-1.0</x:v>
      </x:c>
      <x:c r="CI655" s="9" t="str">
        <x:v>-1.0569114943540003</x:v>
      </x:c>
      <x:c r="CJ655" s="6" t="str">
        <x:v>Loss</x:v>
      </x:c>
      <x:c r="CK655" s="9" t="str">
        <x:v>0.6083642499910373</x:v>
      </x:c>
      <x:c r="CL655" s="9" t="str">
        <x:v>2.5119556128662186</x:v>
      </x:c>
      <x:c r="CM655" s="7" t="str">
        <x:v>2026-04-21 02:00:00-05:00</x:v>
      </x:c>
      <x:c r="CN655" s="6" t="str">
        <x:v>24457.26092139682</x:v>
      </x:c>
      <x:c r="CO655" s="6" t="str">
        <x:v>STOP</x:v>
      </x:c>
      <x:c r="CP655" s="6" t="str">
        <x:v>F::Long::Delayed BOS::Penetration + same-bar reclaim</x:v>
      </x:c>
    </x:row>
    <x:row r="656" ht="18" customHeight="1">
      <x:c r="A656" s="6" t="str">
        <x:v>A0655</x:v>
      </x:c>
      <x:c r="B656" s="6" t="str">
        <x:v>2026-04-22</x:v>
      </x:c>
      <x:c r="C656" s="6" t="str">
        <x:v>2026</x:v>
      </x:c>
      <x:c r="D656" s="6" t="str">
        <x:v>2026-Q2</x:v>
      </x:c>
      <x:c r="E656" s="6" t="str">
        <x:v>Second 50%</x:v>
      </x:c>
      <x:c r="F656" s="6" t="str">
        <x:v>Short</x:v>
      </x:c>
      <x:c r="G656" s="6" t="str">
        <x:v>Short</x:v>
      </x:c>
      <x:c r="H656" s="6" t="str">
        <x:v>Overnight</x:v>
      </x:c>
      <x:c r="I656" s="6" t="str">
        <x:v>Overnight</x:v>
      </x:c>
      <x:c r="J656" s="6" t="str">
        <x:v>Bull</x:v>
      </x:c>
      <x:c r="K656" s="6" t="str">
        <x:v>Bull</x:v>
      </x:c>
      <x:c r="L656" s="6" t="str">
        <x:v>HIGH</x:v>
      </x:c>
      <x:c r="M656" s="7" t="str">
        <x:v>2026-04-22 03:15:00-05:00</x:v>
      </x:c>
      <x:c r="N656" s="6" t="str">
        <x:v>90.0</x:v>
      </x:c>
      <x:c r="O656" s="6" t="str">
        <x:v>90-94</x:v>
      </x:c>
      <x:c r="P656" s="6" t="str">
        <x:v>Matching BOS only</x:v>
      </x:c>
      <x:c r="Q656" s="6" t="str">
        <x:v>Bear CHoCH</x:v>
      </x:c>
      <x:c r="R656" s="6" t="str">
        <x:v>True</x:v>
      </x:c>
      <x:c r="S656" s="6" t="str">
        <x:v>False</x:v>
      </x:c>
      <x:c r="T656" s="6" t="str">
        <x:v>Recent BSL</x:v>
      </x:c>
      <x:c r="U656" s="6" t="str">
        <x:v>BSL</x:v>
      </x:c>
      <x:c r="V656" s="6" t="str">
        <x:v>Swing high / buy-side</x:v>
      </x:c>
      <x:c r="W656" s="6" t="str">
        <x:v>[24466.5]</x:v>
      </x:c>
      <x:c r="X656" s="8" t="str">
        <x:v>1</x:v>
      </x:c>
      <x:c r="Y656" s="8" t="str">
        <x:v>14.0</x:v>
      </x:c>
      <x:c r="Z656" s="6" t="str">
        <x:v>None</x:v>
      </x:c>
      <x:c r="AA656" s="6" t="str">
        <x:v>24447.25</x:v>
      </x:c>
      <x:c r="AB656" s="9" t="str">
        <x:v>0.01855163432473654</x:v>
      </x:c>
      <x:c r="AC656" s="9" t="str">
        <x:v>0.7977202759636713</x:v>
      </x:c>
      <x:c r="AD656" s="9" t="str">
        <x:v>0.9461333505615637</x:v>
      </x:c>
      <x:c r="AE656" s="6" t="str">
        <x:v>With trade</x:v>
      </x:c>
      <x:c r="AF656" s="7" t="str">
        <x:v>2026-04-22 03:15:00-05:00</x:v>
      </x:c>
      <x:c r="AG656" s="6" t="str">
        <x:v>Short</x:v>
      </x:c>
      <x:c r="AH656" s="6" t="str">
        <x:v>24447.25</x:v>
      </x:c>
      <x:c r="AI656" s="8" t="str">
        <x:v>0</x:v>
      </x:c>
      <x:c r="AJ656" s="6" t="str">
        <x:v>True</x:v>
      </x:c>
      <x:c r="AK656" s="6" t="str">
        <x:v>Same-bar Setup+BOS</x:v>
      </x:c>
      <x:c r="AL656" s="9" t="str">
        <x:v>0.7791686416389347</x:v>
      </x:c>
      <x:c r="AM656" s="9" t="str">
        <x:v>0.01855163432473654</x:v>
      </x:c>
      <x:c r="AN656" s="9" t="str">
        <x:v>0.7977202759636713</x:v>
      </x:c>
      <x:c r="AO656" s="9" t="str">
        <x:v>0.9461333505615637</x:v>
      </x:c>
      <x:c r="AP656" s="10" t="str">
        <x:v>0.8431372549019608</x:v>
      </x:c>
      <x:c r="AQ656" s="6" t="str">
        <x:v>0.0392156862745098</x:v>
      </x:c>
      <x:c r="AR656" s="6" t="str">
        <x:v>0.11764705882352941</x:v>
      </x:c>
      <x:c r="AS656" s="6" t="str">
        <x:v>With trade</x:v>
      </x:c>
      <x:c r="AT656" s="6" t="str">
        <x:v>1.342051666845321</x:v>
      </x:c>
      <x:c r="AU656" s="7" t="str">
        <x:v>2026-04-22 03:20:00-05:00</x:v>
      </x:c>
      <x:c r="AV656" s="8" t="str">
        <x:v>1</x:v>
      </x:c>
      <x:c r="AW656" s="6" t="str">
        <x:v>Immediate retest (1 bar)</x:v>
      </x:c>
      <x:c r="AX656" s="6" t="str">
        <x:v>24448.0</x:v>
      </x:c>
      <x:c r="AY656" s="6" t="str">
        <x:v>0.75</x:v>
      </x:c>
      <x:c r="AZ656" s="9" t="str">
        <x:v>0.05421125364950668</x:v>
      </x:c>
      <x:c r="BA656" s="9" t="str">
        <x:v>0.9035208941584447</x:v>
      </x:c>
      <x:c r="BB656" s="9" t="str">
        <x:v>1.3372109233544982</x:v>
      </x:c>
      <x:c r="BC656" s="9" t="str">
        <x:v>0.849309640508938</x:v>
      </x:c>
      <x:c r="BD656" s="6" t="str">
        <x:v>0.08108108108108109</x:v>
      </x:c>
      <x:c r="BE656" s="6" t="str">
        <x:v>0.28378378378378377</x:v>
      </x:c>
      <x:c r="BF656" s="9" t="str">
        <x:v>0.10842250729901336</x:v>
      </x:c>
      <x:c r="BG656" s="9" t="str">
        <x:v>0.37947877554654674</x:v>
      </x:c>
      <x:c r="BH656" s="6" t="str">
        <x:v>With trade</x:v>
      </x:c>
      <x:c r="BI656" s="6" t="str">
        <x:v>Penetration + same-bar reclaim</x:v>
      </x:c>
      <x:c r="BJ656" s="6" t="str">
        <x:v>False</x:v>
      </x:c>
      <x:c r="BK656" s="10" t="str">
        <x:v>True</x:v>
      </x:c>
      <x:c r="BL656" s="6" t="str">
        <x:v>True</x:v>
      </x:c>
      <x:c r="BM656" s="7" t="str">
        <x:v>2026-04-22 03:25:00-05:00</x:v>
      </x:c>
      <x:c r="BN656" s="8" t="str">
        <x:v>1</x:v>
      </x:c>
      <x:c r="BO656" s="6" t="str">
        <x:v>Immediate confirmation (1 bar)</x:v>
      </x:c>
      <x:c r="BP656" s="9" t="str">
        <x:v>0.2338105996540196</x:v>
      </x:c>
      <x:c r="BQ656" s="9" t="str">
        <x:v>1.0611404138143965</x:v>
      </x:c>
      <x:c r="BR656" s="10" t="str">
        <x:v>0.22033898305084745</x:v>
      </x:c>
      <x:c r="BS656" s="9" t="str">
        <x:v>1.1150967060422472</x:v>
      </x:c>
      <x:c r="BT656" s="9" t="str">
        <x:v>0.2158251689114027</x:v>
      </x:c>
      <x:c r="BU656" s="9" t="str">
        <x:v>0.7014317989620588</x:v>
      </x:c>
      <x:c r="BV656" s="6" t="str">
        <x:v>With trade</x:v>
      </x:c>
      <x:c r="BW656" s="7" t="str">
        <x:v>2026-04-22 03:25:00-05:00</x:v>
      </x:c>
      <x:c r="BX656" s="6" t="str">
        <x:v>24431.75</x:v>
      </x:c>
      <x:c r="BY656" s="9" t="str">
        <x:v>13.90013970628011</x:v>
      </x:c>
      <x:c r="BZ656" s="9" t="str">
        <x:v>0.75</x:v>
      </x:c>
      <x:c r="CA656" s="6" t="str">
        <x:v>24452.60020955942</x:v>
      </x:c>
      <x:c r="CB656" s="6" t="str">
        <x:v>20.850209559419454</x:v>
      </x:c>
      <x:c r="CC656" s="9" t="str">
        <x:v>1.499999999999949</x:v>
      </x:c>
      <x:c r="CD656" s="6" t="str">
        <x:v>24390.04958088116</x:v>
      </x:c>
      <x:c r="CE656" s="6" t="str">
        <x:v>41.70041911883891</x:v>
      </x:c>
      <x:c r="CF656" s="6" t="str">
        <x:v>Fixed 2.00R target</x:v>
      </x:c>
      <x:c r="CG656" s="9" t="str">
        <x:v>0.034771832769060505</x:v>
      </x:c>
      <x:c r="CH656" s="9" t="str">
        <x:v>-1.0</x:v>
      </x:c>
      <x:c r="CI656" s="9" t="str">
        <x:v>-1.0347718327690605</x:v>
      </x:c>
      <x:c r="CJ656" s="6" t="str">
        <x:v>Loss</x:v>
      </x:c>
      <x:c r="CK656" s="9" t="str">
        <x:v>1.4628150337328902</x:v>
      </x:c>
      <x:c r="CL656" s="9" t="str">
        <x:v>1.8944653715557103</x:v>
      </x:c>
      <x:c r="CM656" s="7" t="str">
        <x:v>2026-04-22 04:00:00-05:00</x:v>
      </x:c>
      <x:c r="CN656" s="6" t="str">
        <x:v>24452.60020955942</x:v>
      </x:c>
      <x:c r="CO656" s="6" t="str">
        <x:v>STOP</x:v>
      </x:c>
      <x:c r="CP656" s="6" t="str">
        <x:v>F::Short::Same-bar Setup+BOS::Penetration + same-bar reclaim</x:v>
      </x:c>
    </x:row>
    <x:row r="657" ht="18" customHeight="1">
      <x:c r="A657" s="6" t="str">
        <x:v>A0656</x:v>
      </x:c>
      <x:c r="B657" s="6" t="str">
        <x:v>2026-04-22</x:v>
      </x:c>
      <x:c r="C657" s="6" t="str">
        <x:v>2026</x:v>
      </x:c>
      <x:c r="D657" s="6" t="str">
        <x:v>2026-Q2</x:v>
      </x:c>
      <x:c r="E657" s="6" t="str">
        <x:v>Second 50%</x:v>
      </x:c>
      <x:c r="F657" s="6" t="str">
        <x:v>Long</x:v>
      </x:c>
      <x:c r="G657" s="6" t="str">
        <x:v>Long</x:v>
      </x:c>
      <x:c r="H657" s="6" t="str">
        <x:v>Midday</x:v>
      </x:c>
      <x:c r="I657" s="6" t="str">
        <x:v>Midday</x:v>
      </x:c>
      <x:c r="J657" s="6" t="str">
        <x:v>Bull</x:v>
      </x:c>
      <x:c r="K657" s="6" t="str">
        <x:v>Bull</x:v>
      </x:c>
      <x:c r="L657" s="6" t="str">
        <x:v>MID</x:v>
      </x:c>
      <x:c r="M657" s="7" t="str">
        <x:v>2026-04-22 12:10:00-05:00</x:v>
      </x:c>
      <x:c r="N657" s="6" t="str">
        <x:v>85.0</x:v>
      </x:c>
      <x:c r="O657" s="6" t="str">
        <x:v>85-89</x:v>
      </x:c>
      <x:c r="P657" s="6" t="str">
        <x:v>Matching BOS only</x:v>
      </x:c>
      <x:c r="Q657" s="6" t="str">
        <x:v>Bull BOS</x:v>
      </x:c>
      <x:c r="R657" s="6" t="str">
        <x:v>True</x:v>
      </x:c>
      <x:c r="S657" s="6" t="str">
        <x:v>False</x:v>
      </x:c>
      <x:c r="T657" s="6" t="str">
        <x:v>Recent SSL</x:v>
      </x:c>
      <x:c r="U657" s="6" t="str">
        <x:v>SSL</x:v>
      </x:c>
      <x:c r="V657" s="6" t="str">
        <x:v>Swing low / sell-side</x:v>
      </x:c>
      <x:c r="W657" s="6" t="str">
        <x:v>[24584.5]</x:v>
      </x:c>
      <x:c r="X657" s="8" t="str">
        <x:v>1</x:v>
      </x:c>
      <x:c r="Y657" s="8" t="str">
        <x:v>8.0</x:v>
      </x:c>
      <x:c r="Z657" s="6" t="str">
        <x:v>None</x:v>
      </x:c>
      <x:c r="AA657" s="6" t="str">
        <x:v>24626.5</x:v>
      </x:c>
      <x:c r="AB657" s="9" t="str">
        <x:v>0.492663023004042</x:v>
      </x:c>
      <x:c r="AC657" s="9" t="str">
        <x:v>0.492663023004042</x:v>
      </x:c>
      <x:c r="AD657" s="9" t="str">
        <x:v>1.1898276781984412</x:v>
      </x:c>
      <x:c r="AE657" s="6" t="str">
        <x:v>With trade</x:v>
      </x:c>
      <x:c r="AF657" s="7" t="str">
        <x:v>2026-04-22 12:10:00-05:00</x:v>
      </x:c>
      <x:c r="AG657" s="6" t="str">
        <x:v>Long</x:v>
      </x:c>
      <x:c r="AH657" s="6" t="str">
        <x:v>24626.5</x:v>
      </x:c>
      <x:c r="AI657" s="8" t="str">
        <x:v>0</x:v>
      </x:c>
      <x:c r="AJ657" s="6" t="str">
        <x:v>True</x:v>
      </x:c>
      <x:c r="AK657" s="6" t="str">
        <x:v>Same-bar Setup+BOS</x:v>
      </x:c>
      <x:c r="AL657" s="9" t="str">
        <x:v>0.492663023004042</x:v>
      </x:c>
      <x:c r="AM657" s="9" t="str">
        <x:v>0.492663023004042</x:v>
      </x:c>
      <x:c r="AN657" s="9" t="str">
        <x:v>0.492663023004042</x:v>
      </x:c>
      <x:c r="AO657" s="9" t="str">
        <x:v>1.1898276781984412</x:v>
      </x:c>
      <x:c r="AP657" s="10" t="str">
        <x:v>0.4140625</x:v>
      </x:c>
      <x:c r="AQ657" s="6" t="str">
        <x:v>0.5546875</x:v>
      </x:c>
      <x:c r="AR657" s="6" t="str">
        <x:v>0.03125</x:v>
      </x:c>
      <x:c r="AS657" s="6" t="str">
        <x:v>With trade</x:v>
      </x:c>
      <x:c r="AT657" s="6" t="str">
        <x:v>1.9607397517115992</x:v>
      </x:c>
      <x:c r="AU657" s="7" t="str">
        <x:v>2026-04-22 12:15:00-05:00</x:v>
      </x:c>
      <x:c r="AV657" s="8" t="str">
        <x:v>1</x:v>
      </x:c>
      <x:c r="AW657" s="6" t="str">
        <x:v>Immediate retest (1 bar)</x:v>
      </x:c>
      <x:c r="AX657" s="6" t="str">
        <x:v>24628.75</x:v>
      </x:c>
      <x:c r="AY657" s="6" t="str">
        <x:v>0.0</x:v>
      </x:c>
      <x:c r="AZ657" s="9" t="str">
        <x:v>0.0</x:v>
      </x:c>
      <x:c r="BA657" s="9" t="str">
        <x:v>0.3413427316594659</x:v>
      </x:c>
      <x:c r="BB657" s="9" t="str">
        <x:v>0.7395759185955094</x:v>
      </x:c>
      <x:c r="BC657" s="9" t="str">
        <x:v>0.1517078807375404</x:v>
      </x:c>
      <x:c r="BD657" s="6" t="str">
        <x:v>0.44871794871794873</x:v>
      </x:c>
      <x:c r="BE657" s="6" t="str">
        <x:v>0.34615384615384615</x:v>
      </x:c>
      <x:c r="BF657" s="9" t="str">
        <x:v>0.2560070487445994</x:v>
      </x:c>
      <x:c r="BG657" s="9" t="str">
        <x:v>0.3318609891133696</x:v>
      </x:c>
      <x:c r="BH657" s="6" t="str">
        <x:v>Against trade</x:v>
      </x:c>
      <x:c r="BI657" s="6" t="str">
        <x:v>Tolerance-only shallow touch</x:v>
      </x:c>
      <x:c r="BJ657" s="6" t="str">
        <x:v>True</x:v>
      </x:c>
      <x:c r="BK657" s="10" t="str">
        <x:v>False</x:v>
      </x:c>
      <x:c r="BL657" s="6" t="str">
        <x:v>True</x:v>
      </x:c>
      <x:c r="BM657" s="7" t="str">
        <x:v>2026-04-22 12:20:00-05:00</x:v>
      </x:c>
      <x:c r="BN657" s="8" t="str">
        <x:v>1</x:v>
      </x:c>
      <x:c r="BO657" s="6" t="str">
        <x:v>Immediate confirmation (1 bar)</x:v>
      </x:c>
      <x:c r="BP657" s="9" t="str">
        <x:v>0.8686147579750034</x:v>
      </x:c>
      <x:c r="BQ657" s="9" t="str">
        <x:v>1.321403302025803</x:v>
      </x:c>
      <x:c r="BR657" s="10" t="str">
        <x:v>0.6573426573426573</x:v>
      </x:c>
      <x:c r="BS657" s="9" t="str">
        <x:v>1.2105163116460154</x:v>
      </x:c>
      <x:c r="BT657" s="9" t="str">
        <x:v>0.8778553405066524</x:v>
      </x:c>
      <x:c r="BU657" s="9" t="str">
        <x:v>0.0</x:v>
      </x:c>
      <x:c r="BV657" s="6" t="str">
        <x:v>With trade</x:v>
      </x:c>
      <x:c r="BW657" s="7" t="str">
        <x:v>2026-04-22 12:20:00-05:00</x:v>
      </x:c>
      <x:c r="BX657" s="6" t="str">
        <x:v>24659.25</x:v>
      </x:c>
      <x:c r="BY657" s="9" t="str">
        <x:v>27.05457141297647</x:v>
      </x:c>
      <x:c r="BZ657" s="9" t="str">
        <x:v>0.58</x:v>
      </x:c>
      <x:c r="CA657" s="6" t="str">
        <x:v>24618.668142880535</x:v>
      </x:c>
      <x:c r="CB657" s="6" t="str">
        <x:v>40.581857119464985</x:v>
      </x:c>
      <x:c r="CC657" s="9" t="str">
        <x:v>1.5000000000000104</x:v>
      </x:c>
      <x:c r="CD657" s="6" t="str">
        <x:v>24740.41371423893</x:v>
      </x:c>
      <x:c r="CE657" s="6" t="str">
        <x:v>81.16371423892997</x:v>
      </x:c>
      <x:c r="CF657" s="6" t="str">
        <x:v>Fixed 2.00R target</x:v>
      </x:c>
      <x:c r="CG657" s="9" t="str">
        <x:v>0.017865126227854557</x:v>
      </x:c>
      <x:c r="CH657" s="9" t="str">
        <x:v>-1.0</x:v>
      </x:c>
      <x:c r="CI657" s="9" t="str">
        <x:v>-1.0178651262278546</x:v>
      </x:c>
      <x:c r="CJ657" s="6" t="str">
        <x:v>Loss</x:v>
      </x:c>
      <x:c r="CK657" s="9" t="str">
        <x:v>0.264896699240602</x:v>
      </x:c>
      <x:c r="CL657" s="9" t="str">
        <x:v>1.1150302921523014</x:v>
      </x:c>
      <x:c r="CM657" s="7" t="str">
        <x:v>2026-04-22 13:20:00-05:00</x:v>
      </x:c>
      <x:c r="CN657" s="6" t="str">
        <x:v>24618.668142880535</x:v>
      </x:c>
      <x:c r="CO657" s="6" t="str">
        <x:v>STOP</x:v>
      </x:c>
      <x:c r="CP657" s="6" t="str">
        <x:v>F::Long::Same-bar Setup+BOS::Tolerance-only shallow touch</x:v>
      </x:c>
    </x:row>
    <x:row r="658" ht="18" customHeight="1">
      <x:c r="A658" s="6" t="str">
        <x:v>A0657</x:v>
      </x:c>
      <x:c r="B658" s="6" t="str">
        <x:v>2026-04-30</x:v>
      </x:c>
      <x:c r="C658" s="6" t="str">
        <x:v>2026</x:v>
      </x:c>
      <x:c r="D658" s="6" t="str">
        <x:v>2026-Q2</x:v>
      </x:c>
      <x:c r="E658" s="6" t="str">
        <x:v>Second 50%</x:v>
      </x:c>
      <x:c r="F658" s="6" t="str">
        <x:v>Long</x:v>
      </x:c>
      <x:c r="G658" s="6" t="str">
        <x:v>Long</x:v>
      </x:c>
      <x:c r="H658" s="6" t="str">
        <x:v>Premarket</x:v>
      </x:c>
      <x:c r="I658" s="6" t="str">
        <x:v>Premarket</x:v>
      </x:c>
      <x:c r="J658" s="6" t="str">
        <x:v>Bull</x:v>
      </x:c>
      <x:c r="K658" s="6" t="str">
        <x:v>Bull</x:v>
      </x:c>
      <x:c r="L658" s="6" t="str">
        <x:v>HIGH</x:v>
      </x:c>
      <x:c r="M658" s="7" t="str">
        <x:v>2026-04-30 05:50:00-05:00</x:v>
      </x:c>
      <x:c r="N658" s="6" t="str">
        <x:v>75.0</x:v>
      </x:c>
      <x:c r="O658" s="6" t="str">
        <x:v>75-79</x:v>
      </x:c>
      <x:c r="P658" s="6" t="str">
        <x:v>Matching liquidity sweep only</x:v>
      </x:c>
      <x:c r="Q658" s="6" t="str">
        <x:v>Recent bull structure</x:v>
      </x:c>
      <x:c r="R658" s="6" t="str">
        <x:v>False</x:v>
      </x:c>
      <x:c r="S658" s="6" t="str">
        <x:v>True</x:v>
      </x:c>
      <x:c r="T658" s="6" t="str">
        <x:v>Recent SSL</x:v>
      </x:c>
      <x:c r="U658" s="6" t="str">
        <x:v>SSL</x:v>
      </x:c>
      <x:c r="V658" s="6" t="str">
        <x:v>Swing low / sell-side</x:v>
      </x:c>
      <x:c r="W658" s="6" t="str">
        <x:v>[24977.5]</x:v>
      </x:c>
      <x:c r="X658" s="8" t="str">
        <x:v>1</x:v>
      </x:c>
      <x:c r="Y658" s="8" t="str">
        <x:v>0.0</x:v>
      </x:c>
      <x:c r="Z658" s="6" t="str">
        <x:v>None</x:v>
      </x:c>
      <x:c r="AA658" s="6" t="str">
        <x:v>25063.5</x:v>
      </x:c>
      <x:c r="AB658" s="9" t="str">
        <x:v>-2.882942834420731</x:v>
      </x:c>
      <x:c r="AC658" s="9" t="str">
        <x:v>0.7138715589994191</x:v>
      </x:c>
      <x:c r="AD658" s="9" t="str">
        <x:v>1.217242530088753</x:v>
      </x:c>
      <x:c r="AE658" s="6" t="str">
        <x:v>Against trade</x:v>
      </x:c>
      <x:c r="AF658" s="7" t="str">
        <x:v>2026-04-30 06:15:00-05:00</x:v>
      </x:c>
      <x:c r="AG658" s="6" t="str">
        <x:v>Long</x:v>
      </x:c>
      <x:c r="AH658" s="6" t="str">
        <x:v>25054.25</x:v>
      </x:c>
      <x:c r="AI658" s="8" t="str">
        <x:v>5</x:v>
      </x:c>
      <x:c r="AJ658" s="6" t="str">
        <x:v>False</x:v>
      </x:c>
      <x:c r="AK658" s="6" t="str">
        <x:v>Delayed BOS</x:v>
      </x:c>
      <x:c r="AL658" s="9" t="str">
        <x:v>0.8891520839624294</x:v>
      </x:c>
      <x:c r="AM658" s="9" t="str">
        <x:v>0.25785410434910455</x:v>
      </x:c>
      <x:c r="AN658" s="9" t="str">
        <x:v>0.906935125641678</x:v>
      </x:c>
      <x:c r="AO658" s="9" t="str">
        <x:v>1.1381146674719096</x:v>
      </x:c>
      <x:c r="AP658" s="10" t="str">
        <x:v>0.796875</x:v>
      </x:c>
      <x:c r="AQ658" s="6" t="str">
        <x:v>0.125</x:v>
      </x:c>
      <x:c r="AR658" s="6" t="str">
        <x:v>0.078125</x:v>
      </x:c>
      <x:c r="AS658" s="6" t="str">
        <x:v>With trade</x:v>
      </x:c>
      <x:c r="AT658" s="6" t="str">
        <x:v>0.7972894277092487</x:v>
      </x:c>
      <x:c r="AU658" s="7" t="str">
        <x:v>2026-04-30 06:20:00-05:00</x:v>
      </x:c>
      <x:c r="AV658" s="8" t="str">
        <x:v>1</x:v>
      </x:c>
      <x:c r="AW658" s="6" t="str">
        <x:v>Immediate retest (1 bar)</x:v>
      </x:c>
      <x:c r="AX658" s="6" t="str">
        <x:v>25056.5</x:v>
      </x:c>
      <x:c r="AY658" s="6" t="str">
        <x:v>0.0</x:v>
      </x:c>
      <x:c r="AZ658" s="9" t="str">
        <x:v>0.0</x:v>
      </x:c>
      <x:c r="BA658" s="9" t="str">
        <x:v>0.30787797183391336</x:v>
      </x:c>
      <x:c r="BB658" s="9" t="str">
        <x:v>0.7606396951190801</x:v>
      </x:c>
      <x:c r="BC658" s="9" t="str">
        <x:v>0.018110468931406668</x:v>
      </x:c>
      <x:c r="BD658" s="6" t="str">
        <x:v>0.7023809523809523</x:v>
      </x:c>
      <x:c r="BE658" s="6" t="str">
        <x:v>0.27380952380952384</x:v>
      </x:c>
      <x:c r="BF658" s="9" t="str">
        <x:v>0.2082703927111767</x:v>
      </x:c>
      <x:c r="BG658" s="9" t="str">
        <x:v>0.5342588334764967</x:v>
      </x:c>
      <x:c r="BH658" s="6" t="str">
        <x:v>With trade</x:v>
      </x:c>
      <x:c r="BI658" s="6" t="str">
        <x:v>Tolerance-only shallow touch</x:v>
      </x:c>
      <x:c r="BJ658" s="6" t="str">
        <x:v>True</x:v>
      </x:c>
      <x:c r="BK658" s="10" t="str">
        <x:v>False</x:v>
      </x:c>
      <x:c r="BL658" s="6" t="str">
        <x:v>True</x:v>
      </x:c>
      <x:c r="BM658" s="7" t="str">
        <x:v>2026-04-30 06:25:00-05:00</x:v>
      </x:c>
      <x:c r="BN658" s="8" t="str">
        <x:v>1</x:v>
      </x:c>
      <x:c r="BO658" s="6" t="str">
        <x:v>Immediate confirmation (1 bar)</x:v>
      </x:c>
      <x:c r="BP658" s="9" t="str">
        <x:v>1.5815502319879995</x:v>
      </x:c>
      <x:c r="BQ658" s="9" t="str">
        <x:v>1.7268818749274373</x:v>
      </x:c>
      <x:c r="BR658" s="10" t="str">
        <x:v>0.9158415841584159</x:v>
      </x:c>
      <x:c r="BS658" s="9" t="str">
        <x:v>1.8807624380397832</x:v>
      </x:c>
      <x:c r="BT658" s="9" t="str">
        <x:v>1.5900991521609076</x:v>
      </x:c>
      <x:c r="BU658" s="9" t="str">
        <x:v>0.059842441210356735</x:v>
      </x:c>
      <x:c r="BV658" s="6" t="str">
        <x:v>With trade</x:v>
      </x:c>
      <x:c r="BW658" s="7" t="str">
        <x:v>2026-04-30 06:25:00-05:00</x:v>
      </x:c>
      <x:c r="BX658" s="6" t="str">
        <x:v>25109.25</x:v>
      </x:c>
      <x:c r="BY658" s="9" t="str">
        <x:v>29.243459401137084</x:v>
      </x:c>
      <x:c r="BZ658" s="9" t="str">
        <x:v>0.9</x:v>
      </x:c>
      <x:c r="CA658" s="6" t="str">
        <x:v>25065.384810898293</x:v>
      </x:c>
      <x:c r="CB658" s="6" t="str">
        <x:v>43.865189101707074</x:v>
      </x:c>
      <x:c r="CC658" s="9" t="str">
        <x:v>1.5000000000000495</x:v>
      </x:c>
      <x:c r="CD658" s="6" t="str">
        <x:v>25196.98037820341</x:v>
      </x:c>
      <x:c r="CE658" s="6" t="str">
        <x:v>87.73037820341051</x:v>
      </x:c>
      <x:c r="CF658" s="6" t="str">
        <x:v>Fixed 2.00R target</x:v>
      </x:c>
      <x:c r="CG658" s="9" t="str">
        <x:v>0.016527912334288457</x:v>
      </x:c>
      <x:c r="CH658" s="9" t="str">
        <x:v>-1.0</x:v>
      </x:c>
      <x:c r="CI658" s="9" t="str">
        <x:v>-1.0165279123342885</x:v>
      </x:c>
      <x:c r="CJ658" s="6" t="str">
        <x:v>Loss</x:v>
      </x:c>
      <x:c r="CK658" s="9" t="str">
        <x:v>0.14818128299706892</x:v>
      </x:c>
      <x:c r="CL658" s="9" t="str">
        <x:v>1.0600661014405701</x:v>
      </x:c>
      <x:c r="CM658" s="7" t="str">
        <x:v>2026-04-30 06:45:00-05:00</x:v>
      </x:c>
      <x:c r="CN658" s="6" t="str">
        <x:v>25065.384810898293</x:v>
      </x:c>
      <x:c r="CO658" s="6" t="str">
        <x:v>STOP</x:v>
      </x:c>
      <x:c r="CP658" s="6" t="str">
        <x:v>F::Long::Delayed BOS::Tolerance-only shallow touch</x:v>
      </x:c>
    </x:row>
    <x:row r="659" ht="18" customHeight="1">
      <x:c r="A659" s="6" t="str">
        <x:v>A0658</x:v>
      </x:c>
      <x:c r="B659" s="6" t="str">
        <x:v>2026-04-30</x:v>
      </x:c>
      <x:c r="C659" s="6" t="str">
        <x:v>2026</x:v>
      </x:c>
      <x:c r="D659" s="6" t="str">
        <x:v>2026-Q2</x:v>
      </x:c>
      <x:c r="E659" s="6" t="str">
        <x:v>Second 50%</x:v>
      </x:c>
      <x:c r="F659" s="6" t="str">
        <x:v>Long</x:v>
      </x:c>
      <x:c r="G659" s="6" t="str">
        <x:v>Long</x:v>
      </x:c>
      <x:c r="H659" s="6" t="str">
        <x:v>Afternoon</x:v>
      </x:c>
      <x:c r="I659" s="6" t="str">
        <x:v>Afternoon</x:v>
      </x:c>
      <x:c r="J659" s="6" t="str">
        <x:v>Bull</x:v>
      </x:c>
      <x:c r="K659" s="6" t="str">
        <x:v>Bull</x:v>
      </x:c>
      <x:c r="L659" s="6" t="str">
        <x:v>LOW</x:v>
      </x:c>
      <x:c r="M659" s="7" t="str">
        <x:v>2026-04-30 14:10:00-05:00</x:v>
      </x:c>
      <x:c r="N659" s="6" t="str">
        <x:v>75.0</x:v>
      </x:c>
      <x:c r="O659" s="6" t="str">
        <x:v>75-79</x:v>
      </x:c>
      <x:c r="P659" s="6" t="str">
        <x:v>Matching BOS only</x:v>
      </x:c>
      <x:c r="Q659" s="6" t="str">
        <x:v>Bull BOS</x:v>
      </x:c>
      <x:c r="R659" s="6" t="str">
        <x:v>True</x:v>
      </x:c>
      <x:c r="S659" s="6" t="str">
        <x:v>False</x:v>
      </x:c>
      <x:c r="T659" s="6" t="str">
        <x:v>No recent matching sweep</x:v>
      </x:c>
      <x:c r="U659" s="6" t="str">
        <x:v>None</x:v>
      </x:c>
      <x:c r="V659" s="6" t="str">
        <x:v>None</x:v>
      </x:c>
      <x:c r="W659" s="6" t="str">
        <x:v>[]</x:v>
      </x:c>
      <x:c r="X659" s="8" t="str">
        <x:v>0</x:v>
      </x:c>
      <x:c r="Y659" s="8" t="str"/>
      <x:c r="Z659" s="6" t="str">
        <x:v>None</x:v>
      </x:c>
      <x:c r="AA659" s="6" t="str">
        <x:v>25213.25</x:v>
      </x:c>
      <x:c r="AB659" s="9" t="str">
        <x:v>0.24397160017940636</x:v>
      </x:c>
      <x:c r="AC659" s="9" t="str">
        <x:v>0.75312972229295</x:v>
      </x:c>
      <x:c r="AD659" s="9" t="str">
        <x:v>0.795559565802412</x:v>
      </x:c>
      <x:c r="AE659" s="6" t="str">
        <x:v>With trade</x:v>
      </x:c>
      <x:c r="AF659" s="7" t="str">
        <x:v>2026-04-30 14:10:00-05:00</x:v>
      </x:c>
      <x:c r="AG659" s="6" t="str">
        <x:v>Long</x:v>
      </x:c>
      <x:c r="AH659" s="6" t="str">
        <x:v>25213.25</x:v>
      </x:c>
      <x:c r="AI659" s="8" t="str">
        <x:v>0</x:v>
      </x:c>
      <x:c r="AJ659" s="6" t="str">
        <x:v>True</x:v>
      </x:c>
      <x:c r="AK659" s="6" t="str">
        <x:v>Same-bar Setup+BOS</x:v>
      </x:c>
      <x:c r="AL659" s="9" t="str">
        <x:v>0.75312972229295</x:v>
      </x:c>
      <x:c r="AM659" s="9" t="str">
        <x:v>0.24397160017940636</x:v>
      </x:c>
      <x:c r="AN659" s="9" t="str">
        <x:v>0.75312972229295</x:v>
      </x:c>
      <x:c r="AO659" s="9" t="str">
        <x:v>0.795559565802412</x:v>
      </x:c>
      <x:c r="AP659" s="10" t="str">
        <x:v>0.9466666666666667</x:v>
      </x:c>
      <x:c r="AQ659" s="6" t="str">
        <x:v>0.04</x:v>
      </x:c>
      <x:c r="AR659" s="6" t="str">
        <x:v>0.013333333333333334</x:v>
      </x:c>
      <x:c r="AS659" s="6" t="str">
        <x:v>With trade</x:v>
      </x:c>
      <x:c r="AT659" s="6" t="str">
        <x:v>1.0312377466997777</x:v>
      </x:c>
      <x:c r="AU659" s="7" t="str">
        <x:v>2026-04-30 14:15:00-05:00</x:v>
      </x:c>
      <x:c r="AV659" s="8" t="str">
        <x:v>1</x:v>
      </x:c>
      <x:c r="AW659" s="6" t="str">
        <x:v>Immediate retest (1 bar)</x:v>
      </x:c>
      <x:c r="AX659" s="6" t="str">
        <x:v>25211.5</x:v>
      </x:c>
      <x:c r="AY659" s="6" t="str">
        <x:v>1.75</x:v>
      </x:c>
      <x:c r="AZ659" s="9" t="str">
        <x:v>0.07635059837233354</x:v>
      </x:c>
      <x:c r="BA659" s="9" t="str">
        <x:v>0.10907228338904791</x:v>
      </x:c>
      <x:c r="BB659" s="9" t="str">
        <x:v>0.6326192436564779</x:v>
      </x:c>
      <x:c r="BC659" s="9" t="str">
        <x:v>0.11997951172795271</x:v>
      </x:c>
      <x:c r="BD659" s="6" t="str">
        <x:v>0.5172413793103449</x:v>
      </x:c>
      <x:c r="BE659" s="6" t="str">
        <x:v>0.29310344827586204</x:v>
      </x:c>
      <x:c r="BF659" s="9" t="str">
        <x:v>0.18542288176138144</x:v>
      </x:c>
      <x:c r="BG659" s="9" t="str">
        <x:v>0.32721685016714375</x:v>
      </x:c>
      <x:c r="BH659" s="6" t="str">
        <x:v>Against trade</x:v>
      </x:c>
      <x:c r="BI659" s="6" t="str">
        <x:v>Penetration + same-bar reclaim</x:v>
      </x:c>
      <x:c r="BJ659" s="6" t="str">
        <x:v>False</x:v>
      </x:c>
      <x:c r="BK659" s="10" t="str">
        <x:v>True</x:v>
      </x:c>
      <x:c r="BL659" s="6" t="str">
        <x:v>True</x:v>
      </x:c>
      <x:c r="BM659" s="7" t="str">
        <x:v>2026-04-30 14:20:00-05:00</x:v>
      </x:c>
      <x:c r="BN659" s="8" t="str">
        <x:v>1</x:v>
      </x:c>
      <x:c r="BO659" s="6" t="str">
        <x:v>Immediate confirmation (1 bar)</x:v>
      </x:c>
      <x:c r="BP659" s="9" t="str">
        <x:v>0.2905328989656481</x:v>
      </x:c>
      <x:c r="BQ659" s="9" t="str">
        <x:v>0.681634878342482</x:v>
      </x:c>
      <x:c r="BR659" s="10" t="str">
        <x:v>0.4262295081967213</x:v>
      </x:c>
      <x:c r="BS659" s="9" t="str">
        <x:v>0.4246250061805626</x:v>
      </x:c>
      <x:c r="BT659" s="9" t="str">
        <x:v>0.31288158350146716</x:v>
      </x:c>
      <x:c r="BU659" s="9" t="str">
        <x:v>0.3464046103051958</x:v>
      </x:c>
      <x:c r="BV659" s="6" t="str">
        <x:v>With trade</x:v>
      </x:c>
      <x:c r="BW659" s="7" t="str">
        <x:v>2026-04-30 14:20:00-05:00</x:v>
      </x:c>
      <x:c r="BX659" s="6" t="str">
        <x:v>25222.75</x:v>
      </x:c>
      <x:c r="BY659" s="9" t="str">
        <x:v>22.37268145239739</x:v>
      </x:c>
      <x:c r="BZ659" s="9" t="str">
        <x:v>0.0</x:v>
      </x:c>
      <x:c r="CA659" s="6" t="str">
        <x:v>25189.190977821403</x:v>
      </x:c>
      <x:c r="CB659" s="6" t="str">
        <x:v>33.55902217859693</x:v>
      </x:c>
      <x:c r="CC659" s="9" t="str">
        <x:v>1.500000000000038</x:v>
      </x:c>
      <x:c r="CD659" s="6" t="str">
        <x:v>25289.868044357194</x:v>
      </x:c>
      <x:c r="CE659" s="6" t="str">
        <x:v>67.11804435719387</x:v>
      </x:c>
      <x:c r="CF659" s="6" t="str">
        <x:v>Fixed 2.00R target</x:v>
      </x:c>
      <x:c r="CG659" s="9" t="str">
        <x:v>0.021603728384624567</x:v>
      </x:c>
      <x:c r="CH659" s="9" t="str">
        <x:v>-1.0</x:v>
      </x:c>
      <x:c r="CI659" s="9" t="str">
        <x:v>-1.0216037283846247</x:v>
      </x:c>
      <x:c r="CJ659" s="6" t="str">
        <x:v>Loss</x:v>
      </x:c>
      <x:c r="CK659" s="9" t="str">
        <x:v>0.618313605490979</x:v>
      </x:c>
      <x:c r="CL659" s="9" t="str">
        <x:v>1.3185723876132927</x:v>
      </x:c>
      <x:c r="CM659" s="7" t="str">
        <x:v>2026-04-30 15:00:00-05:00</x:v>
      </x:c>
      <x:c r="CN659" s="6" t="str">
        <x:v>25189.190977821403</x:v>
      </x:c>
      <x:c r="CO659" s="6" t="str">
        <x:v>STOP</x:v>
      </x:c>
      <x:c r="CP659" s="6" t="str">
        <x:v>F::Long::Same-bar Setup+BOS::Penetration + same-bar reclaim</x:v>
      </x:c>
    </x:row>
    <x:row r="660" ht="18" customHeight="1">
      <x:c r="A660" s="6" t="str">
        <x:v>A0659</x:v>
      </x:c>
      <x:c r="B660" s="6" t="str">
        <x:v>2026-04-30</x:v>
      </x:c>
      <x:c r="C660" s="6" t="str">
        <x:v>2026</x:v>
      </x:c>
      <x:c r="D660" s="6" t="str">
        <x:v>2026-Q2</x:v>
      </x:c>
      <x:c r="E660" s="6" t="str">
        <x:v>Second 50%</x:v>
      </x:c>
      <x:c r="F660" s="6" t="str">
        <x:v>Long</x:v>
      </x:c>
      <x:c r="G660" s="6" t="str">
        <x:v>Long</x:v>
      </x:c>
      <x:c r="H660" s="6" t="str">
        <x:v>Overnight</x:v>
      </x:c>
      <x:c r="I660" s="6" t="str">
        <x:v>Overnight</x:v>
      </x:c>
      <x:c r="J660" s="6" t="str">
        <x:v>Bull</x:v>
      </x:c>
      <x:c r="K660" s="6" t="str">
        <x:v>Bull</x:v>
      </x:c>
      <x:c r="L660" s="6" t="str">
        <x:v>LOW</x:v>
      </x:c>
      <x:c r="M660" s="7" t="str">
        <x:v>2026-04-30 19:15:00-05:00</x:v>
      </x:c>
      <x:c r="N660" s="6" t="str">
        <x:v>90.0</x:v>
      </x:c>
      <x:c r="O660" s="6" t="str">
        <x:v>90-94</x:v>
      </x:c>
      <x:c r="P660" s="6" t="str">
        <x:v>Matching BOS only</x:v>
      </x:c>
      <x:c r="Q660" s="6" t="str">
        <x:v>Bull BOS</x:v>
      </x:c>
      <x:c r="R660" s="6" t="str">
        <x:v>True</x:v>
      </x:c>
      <x:c r="S660" s="6" t="str">
        <x:v>False</x:v>
      </x:c>
      <x:c r="T660" s="6" t="str">
        <x:v>Recent SSL</x:v>
      </x:c>
      <x:c r="U660" s="6" t="str">
        <x:v>SSL</x:v>
      </x:c>
      <x:c r="V660" s="6" t="str">
        <x:v>Swing low / sell-side</x:v>
      </x:c>
      <x:c r="W660" s="6" t="str">
        <x:v>[25178.5]</x:v>
      </x:c>
      <x:c r="X660" s="8" t="str">
        <x:v>1</x:v>
      </x:c>
      <x:c r="Y660" s="8" t="str">
        <x:v>16.0</x:v>
      </x:c>
      <x:c r="Z660" s="6" t="str">
        <x:v>None</x:v>
      </x:c>
      <x:c r="AA660" s="6" t="str">
        <x:v>25245.75</x:v>
      </x:c>
      <x:c r="AB660" s="9" t="str">
        <x:v>0.01290856236888562</x:v>
      </x:c>
      <x:c r="AC660" s="9" t="str">
        <x:v>1.265039112150791</x:v>
      </x:c>
      <x:c r="AD660" s="9" t="str">
        <x:v>1.5232103595285034</x:v>
      </x:c>
      <x:c r="AE660" s="6" t="str">
        <x:v>With trade</x:v>
      </x:c>
      <x:c r="AF660" s="7" t="str">
        <x:v>2026-04-30 19:15:00-05:00</x:v>
      </x:c>
      <x:c r="AG660" s="6" t="str">
        <x:v>Long</x:v>
      </x:c>
      <x:c r="AH660" s="6" t="str">
        <x:v>25245.75</x:v>
      </x:c>
      <x:c r="AI660" s="8" t="str">
        <x:v>0</x:v>
      </x:c>
      <x:c r="AJ660" s="6" t="str">
        <x:v>True</x:v>
      </x:c>
      <x:c r="AK660" s="6" t="str">
        <x:v>Same-bar Setup+BOS</x:v>
      </x:c>
      <x:c r="AL660" s="9" t="str">
        <x:v>1.265039112150791</x:v>
      </x:c>
      <x:c r="AM660" s="9" t="str">
        <x:v>0.01290856236888562</x:v>
      </x:c>
      <x:c r="AN660" s="9" t="str">
        <x:v>1.265039112150791</x:v>
      </x:c>
      <x:c r="AO660" s="9" t="str">
        <x:v>1.5232103595285034</x:v>
      </x:c>
      <x:c r="AP660" s="10" t="str">
        <x:v>0.8305084745762712</x:v>
      </x:c>
      <x:c r="AQ660" s="6" t="str">
        <x:v>0.1694915254237288</x:v>
      </x:c>
      <x:c r="AR660" s="6" t="str">
        <x:v>0.0</x:v>
      </x:c>
      <x:c r="AS660" s="6" t="str">
        <x:v>With trade</x:v>
      </x:c>
      <x:c r="AT660" s="6" t="str">
        <x:v>1.6337187616560984</x:v>
      </x:c>
      <x:c r="AU660" s="7" t="str">
        <x:v>2026-04-30 19:20:00-05:00</x:v>
      </x:c>
      <x:c r="AV660" s="8" t="str">
        <x:v>1</x:v>
      </x:c>
      <x:c r="AW660" s="6" t="str">
        <x:v>Immediate retest (1 bar)</x:v>
      </x:c>
      <x:c r="AX660" s="6" t="str">
        <x:v>25241.5</x:v>
      </x:c>
      <x:c r="AY660" s="6" t="str">
        <x:v>4.25</x:v>
      </x:c>
      <x:c r="AZ660" s="9" t="str">
        <x:v>0.22387705477109043</x:v>
      </x:c>
      <x:c r="BA660" s="9" t="str">
        <x:v>0.06584619257973248</x:v>
      </x:c>
      <x:c r="BB660" s="9" t="str">
        <x:v>0.7374773568930038</x:v>
      </x:c>
      <x:c r="BC660" s="9" t="str">
        <x:v>0.09218466961162547</x:v>
      </x:c>
      <x:c r="BD660" s="6" t="str">
        <x:v>0.6071428571428571</x:v>
      </x:c>
      <x:c r="BE660" s="6" t="str">
        <x:v>0.26785714285714285</x:v>
      </x:c>
      <x:c r="BF660" s="9" t="str">
        <x:v>0.19753857773919745</x:v>
      </x:c>
      <x:c r="BG660" s="9" t="str">
        <x:v>0.44775410954218087</x:v>
      </x:c>
      <x:c r="BH660" s="6" t="str">
        <x:v>With trade</x:v>
      </x:c>
      <x:c r="BI660" s="6" t="str">
        <x:v>Penetration + same-bar reclaim</x:v>
      </x:c>
      <x:c r="BJ660" s="6" t="str">
        <x:v>False</x:v>
      </x:c>
      <x:c r="BK660" s="10" t="str">
        <x:v>True</x:v>
      </x:c>
      <x:c r="BL660" s="6" t="str">
        <x:v>True</x:v>
      </x:c>
      <x:c r="BM660" s="7" t="str">
        <x:v>2026-04-30 19:25:00-05:00</x:v>
      </x:c>
      <x:c r="BN660" s="8" t="str">
        <x:v>1</x:v>
      </x:c>
      <x:c r="BO660" s="6" t="str">
        <x:v>Immediate confirmation (1 bar)</x:v>
      </x:c>
      <x:c r="BP660" s="9" t="str">
        <x:v>0.12290896825379241</x:v>
      </x:c>
      <x:c r="BQ660" s="9" t="str">
        <x:v>0.518948977071568</x:v>
      </x:c>
      <x:c r="BR660" s="10" t="str">
        <x:v>0.23684210526315788</x:v>
      </x:c>
      <x:c r="BS660" s="9" t="str">
        <x:v>0.30044414462038144</x:v>
      </x:c>
      <x:c r="BT660" s="9" t="str">
        <x:v>0.23216138447938567</x:v>
      </x:c>
      <x:c r="BU660" s="9" t="str">
        <x:v>0.35507035273317805</x:v>
      </x:c>
      <x:c r="BV660" s="6" t="str">
        <x:v>With trade</x:v>
      </x:c>
      <x:c r="BW660" s="7" t="str">
        <x:v>2026-04-30 19:25:00-05:00</x:v>
      </x:c>
      <x:c r="BX660" s="6" t="str">
        <x:v>25251.25</x:v>
      </x:c>
      <x:c r="BY660" s="9" t="str">
        <x:v>18.306231286182612</x:v>
      </x:c>
      <x:c r="BZ660" s="9" t="str">
        <x:v>0.04</x:v>
      </x:c>
      <x:c r="CA660" s="6" t="str">
        <x:v>25223.790653070726</x:v>
      </x:c>
      <x:c r="CB660" s="6" t="str">
        <x:v>27.459346929274034</x:v>
      </x:c>
      <x:c r="CC660" s="9" t="str">
        <x:v>1.5000000000000062</x:v>
      </x:c>
      <x:c r="CD660" s="6" t="str">
        <x:v>25306.168693858548</x:v>
      </x:c>
      <x:c r="CE660" s="6" t="str">
        <x:v>54.91869385854807</x:v>
      </x:c>
      <x:c r="CF660" s="6" t="str">
        <x:v>Fixed 2.00R target</x:v>
      </x:c>
      <x:c r="CG660" s="9" t="str">
        <x:v>0.02640266725451826</x:v>
      </x:c>
      <x:c r="CH660" s="9" t="str">
        <x:v>0.6099926572595623</x:v>
      </x:c>
      <x:c r="CI660" s="9" t="str">
        <x:v>0.5835899900050441</x:v>
      </x:c>
      <x:c r="CJ660" s="6" t="str">
        <x:v>Win</x:v>
      </x:c>
      <x:c r="CK660" s="9" t="str">
        <x:v>0.7647669135791495</x:v>
      </x:c>
      <x:c r="CL660" s="9" t="str">
        <x:v>0.6099926572595598</x:v>
      </x:c>
      <x:c r="CM660" s="7" t="str">
        <x:v>2026-04-30 20:25:00-05:00</x:v>
      </x:c>
      <x:c r="CN660" s="6" t="str">
        <x:v>25268.0</x:v>
      </x:c>
      <x:c r="CO660" s="6" t="str">
        <x:v>TIME</x:v>
      </x:c>
      <x:c r="CP660" s="6" t="str">
        <x:v>F::Long::Same-bar Setup+BOS::Penetration + same-bar reclaim</x:v>
      </x:c>
    </x:row>
    <x:row r="661" ht="18" customHeight="1">
      <x:c r="A661" s="6" t="str">
        <x:v>A0660</x:v>
      </x:c>
      <x:c r="B661" s="6" t="str">
        <x:v>2026-05-01</x:v>
      </x:c>
      <x:c r="C661" s="6" t="str">
        <x:v>2026</x:v>
      </x:c>
      <x:c r="D661" s="6" t="str">
        <x:v>2026-Q2</x:v>
      </x:c>
      <x:c r="E661" s="6" t="str">
        <x:v>Second 50%</x:v>
      </x:c>
      <x:c r="F661" s="6" t="str">
        <x:v>Short</x:v>
      </x:c>
      <x:c r="G661" s="6" t="str">
        <x:v>Short</x:v>
      </x:c>
      <x:c r="H661" s="6" t="str">
        <x:v>Afternoon</x:v>
      </x:c>
      <x:c r="I661" s="6" t="str">
        <x:v>Afternoon</x:v>
      </x:c>
      <x:c r="J661" s="6" t="str">
        <x:v>Bull</x:v>
      </x:c>
      <x:c r="K661" s="6" t="str">
        <x:v>Bull</x:v>
      </x:c>
      <x:c r="L661" s="6" t="str">
        <x:v>LOW</x:v>
      </x:c>
      <x:c r="M661" s="7" t="str">
        <x:v>2026-05-01 15:30:00-05:00</x:v>
      </x:c>
      <x:c r="N661" s="6" t="str">
        <x:v>85.0</x:v>
      </x:c>
      <x:c r="O661" s="6" t="str">
        <x:v>85-89</x:v>
      </x:c>
      <x:c r="P661" s="6" t="str">
        <x:v>Matching BOS only</x:v>
      </x:c>
      <x:c r="Q661" s="6" t="str">
        <x:v>Bear BOS</x:v>
      </x:c>
      <x:c r="R661" s="6" t="str">
        <x:v>True</x:v>
      </x:c>
      <x:c r="S661" s="6" t="str">
        <x:v>False</x:v>
      </x:c>
      <x:c r="T661" s="6" t="str">
        <x:v>Recent BSL</x:v>
      </x:c>
      <x:c r="U661" s="6" t="str">
        <x:v>BSL</x:v>
      </x:c>
      <x:c r="V661" s="6" t="str">
        <x:v>Swing high / buy-side</x:v>
      </x:c>
      <x:c r="W661" s="6" t="str">
        <x:v>[25518.5]</x:v>
      </x:c>
      <x:c r="X661" s="8" t="str">
        <x:v>1</x:v>
      </x:c>
      <x:c r="Y661" s="8" t="str">
        <x:v>13.0</x:v>
      </x:c>
      <x:c r="Z661" s="6" t="str">
        <x:v>None</x:v>
      </x:c>
      <x:c r="AA661" s="6" t="str">
        <x:v>25416.25</x:v>
      </x:c>
      <x:c r="AB661" s="9" t="str">
        <x:v>0.08981347578810653</x:v>
      </x:c>
      <x:c r="AC661" s="9" t="str">
        <x:v>0.32076241352895185</x:v>
      </x:c>
      <x:c r="AD661" s="9" t="str">
        <x:v>0.4105758893170584</x:v>
      </x:c>
      <x:c r="AE661" s="6" t="str">
        <x:v>With trade</x:v>
      </x:c>
      <x:c r="AF661" s="7" t="str">
        <x:v>2026-05-01 15:30:00-05:00</x:v>
      </x:c>
      <x:c r="AG661" s="6" t="str">
        <x:v>Short</x:v>
      </x:c>
      <x:c r="AH661" s="6" t="str">
        <x:v>25416.25</x:v>
      </x:c>
      <x:c r="AI661" s="8" t="str">
        <x:v>0</x:v>
      </x:c>
      <x:c r="AJ661" s="6" t="str">
        <x:v>True</x:v>
      </x:c>
      <x:c r="AK661" s="6" t="str">
        <x:v>Same-bar Setup+BOS</x:v>
      </x:c>
      <x:c r="AL661" s="9" t="str">
        <x:v>0.29510142044663573</x:v>
      </x:c>
      <x:c r="AM661" s="9" t="str">
        <x:v>0.08981347578810653</x:v>
      </x:c>
      <x:c r="AN661" s="9" t="str">
        <x:v>0.32076241352895185</x:v>
      </x:c>
      <x:c r="AO661" s="9" t="str">
        <x:v>0.4105758893170584</x:v>
      </x:c>
      <x:c r="AP661" s="10" t="str">
        <x:v>0.78125</x:v>
      </x:c>
      <x:c r="AQ661" s="6" t="str">
        <x:v>0.1875</x:v>
      </x:c>
      <x:c r="AR661" s="6" t="str">
        <x:v>0.03125</x:v>
      </x:c>
      <x:c r="AS661" s="6" t="str">
        <x:v>With trade</x:v>
      </x:c>
      <x:c r="AT661" s="6" t="str">
        <x:v>0.23811820474307213</x:v>
      </x:c>
      <x:c r="AU661" s="7" t="str">
        <x:v>2026-05-01 15:35:00-05:00</x:v>
      </x:c>
      <x:c r="AV661" s="8" t="str">
        <x:v>1</x:v>
      </x:c>
      <x:c r="AW661" s="6" t="str">
        <x:v>Immediate retest (1 bar)</x:v>
      </x:c>
      <x:c r="AX661" s="6" t="str">
        <x:v>25422.25</x:v>
      </x:c>
      <x:c r="AY661" s="6" t="str">
        <x:v>6.0</x:v>
      </x:c>
      <x:c r="AZ661" s="9" t="str">
        <x:v>0.31781735691462587</x:v>
      </x:c>
      <x:c r="BA661" s="9" t="str">
        <x:v>0.22512062781452666</x:v>
      </x:c>
      <x:c r="BB661" s="9" t="str">
        <x:v>0.5826651543434808</x:v>
      </x:c>
      <x:c r="BC661" s="9" t="str">
        <x:v>0.13242389871442745</x:v>
      </x:c>
      <x:c r="BD661" s="6" t="str">
        <x:v>0.7045454545454546</x:v>
      </x:c>
      <x:c r="BE661" s="6" t="str">
        <x:v>0.06818181818181818</x:v>
      </x:c>
      <x:c r="BF661" s="9" t="str">
        <x:v>0.4105140860147251</x:v>
      </x:c>
      <x:c r="BG661" s="9" t="str">
        <x:v>0.039727169614328234</x:v>
      </x:c>
      <x:c r="BH661" s="6" t="str">
        <x:v>With trade</x:v>
      </x:c>
      <x:c r="BI661" s="6" t="str">
        <x:v>Penetration + same-bar reclaim</x:v>
      </x:c>
      <x:c r="BJ661" s="6" t="str">
        <x:v>False</x:v>
      </x:c>
      <x:c r="BK661" s="10" t="str">
        <x:v>True</x:v>
      </x:c>
      <x:c r="BL661" s="6" t="str">
        <x:v>True</x:v>
      </x:c>
      <x:c r="BM661" s="7" t="str">
        <x:v>2026-05-01 15:40:00-05:00</x:v>
      </x:c>
      <x:c r="BN661" s="8" t="str">
        <x:v>1</x:v>
      </x:c>
      <x:c r="BO661" s="6" t="str">
        <x:v>Immediate confirmation (1 bar)</x:v>
      </x:c>
      <x:c r="BP661" s="9" t="str">
        <x:v>0.12248517618064116</x:v>
      </x:c>
      <x:c r="BQ661" s="9" t="str">
        <x:v>0.6396448089433482</x:v>
      </x:c>
      <x:c r="BR661" s="10" t="str">
        <x:v>0.19148936170212766</x:v>
      </x:c>
      <x:c r="BS661" s="9" t="str">
        <x:v>0.3538460645218522</x:v>
      </x:c>
      <x:c r="BT661" s="9" t="str">
        <x:v>0.12248517618064116</x:v>
      </x:c>
      <x:c r="BU661" s="9" t="str">
        <x:v>0.1769230322609261</x:v>
      </x:c>
      <x:c r="BV661" s="6" t="str">
        <x:v>With trade</x:v>
      </x:c>
      <x:c r="BW661" s="7" t="str">
        <x:v>2026-05-01 15:40:00-05:00</x:v>
      </x:c>
      <x:c r="BX661" s="6" t="str">
        <x:v>25409.75</x:v>
      </x:c>
      <x:c r="BY661" s="9" t="str">
        <x:v>18.369569854573257</x:v>
      </x:c>
      <x:c r="BZ661" s="9" t="str">
        <x:v>0.0</x:v>
      </x:c>
      <x:c r="CA661" s="6" t="str">
        <x:v>25437.30435478186</x:v>
      </x:c>
      <x:c r="CB661" s="6" t="str">
        <x:v>27.55435478185973</x:v>
      </x:c>
      <x:c r="CC661" s="9" t="str">
        <x:v>1.4999999999999916</x:v>
      </x:c>
      <x:c r="CD661" s="6" t="str">
        <x:v>25354.64129043628</x:v>
      </x:c>
      <x:c r="CE661" s="6" t="str">
        <x:v>55.10870956371946</x:v>
      </x:c>
      <x:c r="CF661" s="6" t="str">
        <x:v>Fixed 2.00R target</x:v>
      </x:c>
      <x:c r="CG661" s="9" t="str">
        <x:v>0.026311630438804544</x:v>
      </x:c>
      <x:c r="CH661" s="9" t="str">
        <x:v>-1.0</x:v>
      </x:c>
      <x:c r="CI661" s="9" t="str">
        <x:v>-1.0263116304388045</x:v>
      </x:c>
      <x:c r="CJ661" s="6" t="str">
        <x:v>Loss</x:v>
      </x:c>
      <x:c r="CK661" s="9" t="str">
        <x:v>1.179486881739514</x:v>
      </x:c>
      <x:c r="CL661" s="9" t="str">
        <x:v>4.999209783372863</x:v>
      </x:c>
      <x:c r="CM661" s="7" t="str">
        <x:v>2026-05-03 17:00:00-05:00</x:v>
      </x:c>
      <x:c r="CN661" s="6" t="str">
        <x:v>25437.30435478186</x:v>
      </x:c>
      <x:c r="CO661" s="6" t="str">
        <x:v>STOP</x:v>
      </x:c>
      <x:c r="CP661" s="6" t="str">
        <x:v>F::Short::Same-bar Setup+BOS::Penetration + same-bar reclaim</x:v>
      </x:c>
    </x:row>
    <x:row r="662" ht="18" customHeight="1">
      <x:c r="A662" s="6" t="str">
        <x:v>A0661</x:v>
      </x:c>
      <x:c r="B662" s="6" t="str">
        <x:v>2026-05-03</x:v>
      </x:c>
      <x:c r="C662" s="6" t="str">
        <x:v>2026</x:v>
      </x:c>
      <x:c r="D662" s="6" t="str">
        <x:v>2026-Q2</x:v>
      </x:c>
      <x:c r="E662" s="6" t="str">
        <x:v>Second 50%</x:v>
      </x:c>
      <x:c r="F662" s="6" t="str">
        <x:v>Long</x:v>
      </x:c>
      <x:c r="G662" s="6" t="str">
        <x:v>Long</x:v>
      </x:c>
      <x:c r="H662" s="6" t="str">
        <x:v>Overnight</x:v>
      </x:c>
      <x:c r="I662" s="6" t="str">
        <x:v>Overnight</x:v>
      </x:c>
      <x:c r="J662" s="6" t="str">
        <x:v>Bull</x:v>
      </x:c>
      <x:c r="K662" s="6" t="str">
        <x:v>Bull</x:v>
      </x:c>
      <x:c r="L662" s="6" t="str">
        <x:v>LOW</x:v>
      </x:c>
      <x:c r="M662" s="7" t="str">
        <x:v>2026-05-03 19:45:00-05:00</x:v>
      </x:c>
      <x:c r="N662" s="6" t="str">
        <x:v>75.0</x:v>
      </x:c>
      <x:c r="O662" s="6" t="str">
        <x:v>75-79</x:v>
      </x:c>
      <x:c r="P662" s="6" t="str">
        <x:v>Matching BOS only</x:v>
      </x:c>
      <x:c r="Q662" s="6" t="str">
        <x:v>Bull CHoCH</x:v>
      </x:c>
      <x:c r="R662" s="6" t="str">
        <x:v>True</x:v>
      </x:c>
      <x:c r="S662" s="6" t="str">
        <x:v>False</x:v>
      </x:c>
      <x:c r="T662" s="6" t="str">
        <x:v>Recent SSL</x:v>
      </x:c>
      <x:c r="U662" s="6" t="str">
        <x:v>SSL</x:v>
      </x:c>
      <x:c r="V662" s="6" t="str">
        <x:v>Swing low / sell-side</x:v>
      </x:c>
      <x:c r="W662" s="6" t="str">
        <x:v>[25436.5]</x:v>
      </x:c>
      <x:c r="X662" s="8" t="str">
        <x:v>1</x:v>
      </x:c>
      <x:c r="Y662" s="8" t="str">
        <x:v>9.0</x:v>
      </x:c>
      <x:c r="Z662" s="6" t="str">
        <x:v>None</x:v>
      </x:c>
      <x:c r="AA662" s="6" t="str">
        <x:v>25488.25</x:v>
      </x:c>
      <x:c r="AB662" s="9" t="str">
        <x:v>0.33793780951888963</x:v>
      </x:c>
      <x:c r="AC662" s="9" t="str">
        <x:v>0.5127332282355567</x:v>
      </x:c>
      <x:c r="AD662" s="9" t="str">
        <x:v>0.6758756190377793</x:v>
      </x:c>
      <x:c r="AE662" s="6" t="str">
        <x:v>With trade</x:v>
      </x:c>
      <x:c r="AF662" s="7" t="str">
        <x:v>2026-05-03 19:45:00-05:00</x:v>
      </x:c>
      <x:c r="AG662" s="6" t="str">
        <x:v>Long</x:v>
      </x:c>
      <x:c r="AH662" s="6" t="str">
        <x:v>25488.25</x:v>
      </x:c>
      <x:c r="AI662" s="8" t="str">
        <x:v>0</x:v>
      </x:c>
      <x:c r="AJ662" s="6" t="str">
        <x:v>True</x:v>
      </x:c>
      <x:c r="AK662" s="6" t="str">
        <x:v>Same-bar Setup+BOS</x:v>
      </x:c>
      <x:c r="AL662" s="9" t="str">
        <x:v>0.47777414449222333</x:v>
      </x:c>
      <x:c r="AM662" s="9" t="str">
        <x:v>0.33793780951888963</x:v>
      </x:c>
      <x:c r="AN662" s="9" t="str">
        <x:v>0.5127332282355567</x:v>
      </x:c>
      <x:c r="AO662" s="9" t="str">
        <x:v>0.6758756190377793</x:v>
      </x:c>
      <x:c r="AP662" s="10" t="str">
        <x:v>0.7586206896551724</x:v>
      </x:c>
      <x:c r="AQ662" s="6" t="str">
        <x:v>0.05172413793103448</x:v>
      </x:c>
      <x:c r="AR662" s="6" t="str">
        <x:v>0.1896551724137931</x:v>
      </x:c>
      <x:c r="AS662" s="6" t="str">
        <x:v>With trade</x:v>
      </x:c>
      <x:c r="AT662" s="6" t="str">
        <x:v>1.7699115044247788</x:v>
      </x:c>
      <x:c r="AU662" s="7" t="str">
        <x:v>2026-05-03 19:50:00-05:00</x:v>
      </x:c>
      <x:c r="AV662" s="8" t="str">
        <x:v>1</x:v>
      </x:c>
      <x:c r="AW662" s="6" t="str">
        <x:v>Immediate retest (1 bar)</x:v>
      </x:c>
      <x:c r="AX662" s="6" t="str">
        <x:v>25487.5</x:v>
      </x:c>
      <x:c r="AY662" s="6" t="str">
        <x:v>0.75</x:v>
      </x:c>
      <x:c r="AZ662" s="9" t="str">
        <x:v>0.03650301534011361</x:v>
      </x:c>
      <x:c r="BA662" s="9" t="str">
        <x:v>0.30419179450094674</x:v>
      </x:c>
      <x:c r="BB662" s="9" t="str">
        <x:v>0.42586851230132544</x:v>
      </x:c>
      <x:c r="BC662" s="9" t="str">
        <x:v>0.06083835890018935</x:v>
      </x:c>
      <x:c r="BD662" s="6" t="str">
        <x:v>0.05714285714285714</x:v>
      </x:c>
      <x:c r="BE662" s="6" t="str">
        <x:v>0.8</x:v>
      </x:c>
      <x:c r="BF662" s="9" t="str">
        <x:v>0.3406948098410604</x:v>
      </x:c>
      <x:c r="BG662" s="9" t="str">
        <x:v>0.02433534356007574</x:v>
      </x:c>
      <x:c r="BH662" s="6" t="str">
        <x:v>Against trade</x:v>
      </x:c>
      <x:c r="BI662" s="6" t="str">
        <x:v>Penetration + same-bar reclaim</x:v>
      </x:c>
      <x:c r="BJ662" s="6" t="str">
        <x:v>False</x:v>
      </x:c>
      <x:c r="BK662" s="10" t="str">
        <x:v>True</x:v>
      </x:c>
      <x:c r="BL662" s="6" t="str">
        <x:v>True</x:v>
      </x:c>
      <x:c r="BM662" s="7" t="str">
        <x:v>2026-05-03 19:55:00-05:00</x:v>
      </x:c>
      <x:c r="BN662" s="8" t="str">
        <x:v>1</x:v>
      </x:c>
      <x:c r="BO662" s="6" t="str">
        <x:v>Immediate confirmation (1 bar)</x:v>
      </x:c>
      <x:c r="BP662" s="9" t="str">
        <x:v>0.9242073755850418</x:v>
      </x:c>
      <x:c r="BQ662" s="9" t="str">
        <x:v>1.1762639325627806</x:v>
      </x:c>
      <x:c r="BR662" s="10" t="str">
        <x:v>0.7857142857142857</x:v>
      </x:c>
      <x:c r="BS662" s="9" t="str">
        <x:v>1.2482800916992773</x:v>
      </x:c>
      <x:c r="BT662" s="9" t="str">
        <x:v>0.9482127619638742</x:v>
      </x:c>
      <x:c r="BU662" s="9" t="str">
        <x:v>0.036008079568248384</x:v>
      </x:c>
      <x:c r="BV662" s="6" t="str">
        <x:v>With trade</x:v>
      </x:c>
      <x:c r="BW662" s="7" t="str">
        <x:v>2026-05-03 19:55:00-05:00</x:v>
      </x:c>
      <x:c r="BX662" s="6" t="str">
        <x:v>25514.25</x:v>
      </x:c>
      <x:c r="BY662" s="9" t="str">
        <x:v>20.828658706401647</x:v>
      </x:c>
      <x:c r="BZ662" s="9" t="str">
        <x:v>0.19</x:v>
      </x:c>
      <x:c r="CA662" s="6" t="str">
        <x:v>25483.007011940397</x:v>
      </x:c>
      <x:c r="CB662" s="6" t="str">
        <x:v>31.242988059602794</x:v>
      </x:c>
      <x:c r="CC662" s="9" t="str">
        <x:v>1.5000000000000155</x:v>
      </x:c>
      <x:c r="CD662" s="6" t="str">
        <x:v>25576.735976119206</x:v>
      </x:c>
      <x:c r="CE662" s="6" t="str">
        <x:v>62.48597611920559</x:v>
      </x:c>
      <x:c r="CF662" s="6" t="str">
        <x:v>Fixed 2.00R target</x:v>
      </x:c>
      <x:c r="CG662" s="9" t="str">
        <x:v>0.02320520683287094</x:v>
      </x:c>
      <x:c r="CH662" s="9" t="str">
        <x:v>-1.0</x:v>
      </x:c>
      <x:c r="CI662" s="9" t="str">
        <x:v>-1.023205206832871</x:v>
      </x:c>
      <x:c r="CJ662" s="6" t="str">
        <x:v>Loss</x:v>
      </x:c>
      <x:c r="CK662" s="9" t="str">
        <x:v>0.1840412955710454</x:v>
      </x:c>
      <x:c r="CL662" s="9" t="str">
        <x:v>1.0482352052089976</x:v>
      </x:c>
      <x:c r="CM662" s="7" t="str">
        <x:v>2026-05-03 20:05:00-05:00</x:v>
      </x:c>
      <x:c r="CN662" s="6" t="str">
        <x:v>25483.007011940397</x:v>
      </x:c>
      <x:c r="CO662" s="6" t="str">
        <x:v>STOP</x:v>
      </x:c>
      <x:c r="CP662" s="6" t="str">
        <x:v>F::Long::Same-bar Setup+BOS::Penetration + same-bar reclaim</x:v>
      </x:c>
    </x:row>
    <x:row r="663" ht="18" customHeight="1">
      <x:c r="A663" s="6" t="str">
        <x:v>A0662</x:v>
      </x:c>
      <x:c r="B663" s="6" t="str">
        <x:v>2026-05-03</x:v>
      </x:c>
      <x:c r="C663" s="6" t="str">
        <x:v>2026</x:v>
      </x:c>
      <x:c r="D663" s="6" t="str">
        <x:v>2026-Q2</x:v>
      </x:c>
      <x:c r="E663" s="6" t="str">
        <x:v>Second 50%</x:v>
      </x:c>
      <x:c r="F663" s="6" t="str">
        <x:v>Long</x:v>
      </x:c>
      <x:c r="G663" s="6" t="str">
        <x:v>Long</x:v>
      </x:c>
      <x:c r="H663" s="6" t="str">
        <x:v>Overnight</x:v>
      </x:c>
      <x:c r="I663" s="6" t="str">
        <x:v>Overnight</x:v>
      </x:c>
      <x:c r="J663" s="6" t="str">
        <x:v>Bull</x:v>
      </x:c>
      <x:c r="K663" s="6" t="str">
        <x:v>Bull</x:v>
      </x:c>
      <x:c r="L663" s="6" t="str">
        <x:v>LOW</x:v>
      </x:c>
      <x:c r="M663" s="7" t="str">
        <x:v>2026-05-03 20:30:00-05:00</x:v>
      </x:c>
      <x:c r="N663" s="6" t="str">
        <x:v>90.0</x:v>
      </x:c>
      <x:c r="O663" s="6" t="str">
        <x:v>90-94</x:v>
      </x:c>
      <x:c r="P663" s="6" t="str">
        <x:v>Matching BOS only</x:v>
      </x:c>
      <x:c r="Q663" s="6" t="str">
        <x:v>Bull BOS</x:v>
      </x:c>
      <x:c r="R663" s="6" t="str">
        <x:v>True</x:v>
      </x:c>
      <x:c r="S663" s="6" t="str">
        <x:v>False</x:v>
      </x:c>
      <x:c r="T663" s="6" t="str">
        <x:v>Recent SSL</x:v>
      </x:c>
      <x:c r="U663" s="6" t="str">
        <x:v>SSL</x:v>
      </x:c>
      <x:c r="V663" s="6" t="str">
        <x:v>Swing low / sell-side</x:v>
      </x:c>
      <x:c r="W663" s="6" t="str">
        <x:v>[25436.5]</x:v>
      </x:c>
      <x:c r="X663" s="8" t="str">
        <x:v>1</x:v>
      </x:c>
      <x:c r="Y663" s="8" t="str">
        <x:v>18.0</x:v>
      </x:c>
      <x:c r="Z663" s="6" t="str">
        <x:v>Sweep below CRT reference</x:v>
      </x:c>
      <x:c r="AA663" s="6" t="str">
        <x:v>25520.0</x:v>
      </x:c>
      <x:c r="AB663" s="9" t="str">
        <x:v>0.3101693712616168</x:v>
      </x:c>
      <x:c r="AC663" s="9" t="str">
        <x:v>1.4196213530820154</x:v>
      </x:c>
      <x:c r="AD663" s="9" t="str">
        <x:v>1.646283585927043</x:v>
      </x:c>
      <x:c r="AE663" s="6" t="str">
        <x:v>With trade</x:v>
      </x:c>
      <x:c r="AF663" s="7" t="str">
        <x:v>2026-05-03 20:30:00-05:00</x:v>
      </x:c>
      <x:c r="AG663" s="6" t="str">
        <x:v>Long</x:v>
      </x:c>
      <x:c r="AH663" s="6" t="str">
        <x:v>25520.0</x:v>
      </x:c>
      <x:c r="AI663" s="8" t="str">
        <x:v>0</x:v>
      </x:c>
      <x:c r="AJ663" s="6" t="str">
        <x:v>True</x:v>
      </x:c>
      <x:c r="AK663" s="6" t="str">
        <x:v>Same-bar Setup+BOS</x:v>
      </x:c>
      <x:c r="AL663" s="9" t="str">
        <x:v>1.3838325794749058</x:v>
      </x:c>
      <x:c r="AM663" s="9" t="str">
        <x:v>0.3101693712616168</x:v>
      </x:c>
      <x:c r="AN663" s="9" t="str">
        <x:v>1.4196213530820154</x:v>
      </x:c>
      <x:c r="AO663" s="9" t="str">
        <x:v>1.646283585927043</x:v>
      </x:c>
      <x:c r="AP663" s="10" t="str">
        <x:v>0.8623188405797102</x:v>
      </x:c>
      <x:c r="AQ663" s="6" t="str">
        <x:v>0.057971014492753624</x:v>
      </x:c>
      <x:c r="AR663" s="6" t="str">
        <x:v>0.07971014492753623</x:v>
      </x:c>
      <x:c r="AS663" s="6" t="str">
        <x:v>With trade</x:v>
      </x:c>
      <x:c r="AT663" s="6" t="str">
        <x:v>2.248267898383372</x:v>
      </x:c>
      <x:c r="AU663" s="7" t="str">
        <x:v>2026-05-03 20:35:00-05:00</x:v>
      </x:c>
      <x:c r="AV663" s="8" t="str">
        <x:v>1</x:v>
      </x:c>
      <x:c r="AW663" s="6" t="str">
        <x:v>Immediate retest (1 bar)</x:v>
      </x:c>
      <x:c r="AX663" s="6" t="str">
        <x:v>25520.25</x:v>
      </x:c>
      <x:c r="AY663" s="6" t="str">
        <x:v>0.0</x:v>
      </x:c>
      <x:c r="AZ663" s="9" t="str">
        <x:v>0.0</x:v>
      </x:c>
      <x:c r="BA663" s="9" t="str">
        <x:v>0.3675417899895485</x:v>
      </x:c>
      <x:c r="BB663" s="9" t="str">
        <x:v>0.6493238289815356</x:v>
      </x:c>
      <x:c r="BC663" s="9" t="str">
        <x:v>0.0735083579979097</x:v>
      </x:c>
      <x:c r="BD663" s="6" t="str">
        <x:v>0.4528301886792453</x:v>
      </x:c>
      <x:c r="BE663" s="6" t="str">
        <x:v>0.4339622641509434</x:v>
      </x:c>
      <x:c r="BF663" s="9" t="str">
        <x:v>0.28178203899198717</x:v>
      </x:c>
      <x:c r="BG663" s="9" t="str">
        <x:v>0.2940334319916388</x:v>
      </x:c>
      <x:c r="BH663" s="6" t="str">
        <x:v>With trade</x:v>
      </x:c>
      <x:c r="BI663" s="6" t="str">
        <x:v>Tolerance-only shallow touch</x:v>
      </x:c>
      <x:c r="BJ663" s="6" t="str">
        <x:v>True</x:v>
      </x:c>
      <x:c r="BK663" s="10" t="str">
        <x:v>False</x:v>
      </x:c>
      <x:c r="BL663" s="6" t="str">
        <x:v>True</x:v>
      </x:c>
      <x:c r="BM663" s="7" t="str">
        <x:v>2026-05-03 20:45:00-05:00</x:v>
      </x:c>
      <x:c r="BN663" s="8" t="str">
        <x:v>2</x:v>
      </x:c>
      <x:c r="BO663" s="6" t="str">
        <x:v>Delayed confirmation (2+ bars)</x:v>
      </x:c>
      <x:c r="BP663" s="9" t="str">
        <x:v>0.3491375528175115</x:v>
      </x:c>
      <x:c r="BQ663" s="9" t="str">
        <x:v>0.8146542899075269</x:v>
      </x:c>
      <x:c r="BR663" s="10" t="str">
        <x:v>0.42857142857142855</x:v>
      </x:c>
      <x:c r="BS663" s="9" t="str">
        <x:v>0.698275105635023</x:v>
      </x:c>
      <x:c r="BT663" s="9" t="str">
        <x:v>0.3103444913933436</x:v>
      </x:c>
      <x:c r="BU663" s="9" t="str">
        <x:v>0.258620409494453</x:v>
      </x:c>
      <x:c r="BV663" s="6" t="str">
        <x:v>With trade</x:v>
      </x:c>
      <x:c r="BW663" s="7" t="str">
        <x:v>2026-05-03 20:45:00-05:00</x:v>
      </x:c>
      <x:c r="BX663" s="6" t="str">
        <x:v>25533.5</x:v>
      </x:c>
      <x:c r="BY663" s="9" t="str">
        <x:v>19.333354276926247</x:v>
      </x:c>
      <x:c r="BZ663" s="9" t="str">
        <x:v>0.12</x:v>
      </x:c>
      <x:c r="CA663" s="6" t="str">
        <x:v>25504.499968584612</x:v>
      </x:c>
      <x:c r="CB663" s="6" t="str">
        <x:v>29.00003141538764</x:v>
      </x:c>
      <x:c r="CC663" s="9" t="str">
        <x:v>1.4999999999999105</x:v>
      </x:c>
      <x:c r="CD663" s="6" t="str">
        <x:v>25591.50006283078</x:v>
      </x:c>
      <x:c r="CE663" s="6" t="str">
        <x:v>58.000062830778916</x:v>
      </x:c>
      <x:c r="CF663" s="6" t="str">
        <x:v>Fixed 2.00R target</x:v>
      </x:c>
      <x:c r="CG663" s="9" t="str">
        <x:v>0.024999972917798614</x:v>
      </x:c>
      <x:c r="CH663" s="9" t="str">
        <x:v>-1.0</x:v>
      </x:c>
      <x:c r="CI663" s="9" t="str">
        <x:v>-1.0249999729177985</x:v>
      </x:c>
      <x:c r="CJ663" s="6" t="str">
        <x:v>Loss</x:v>
      </x:c>
      <x:c r="CK663" s="9" t="str">
        <x:v>0.4137926551911495</x:v>
      </x:c>
      <x:c r="CL663" s="9" t="str">
        <x:v>1.163791842725108</x:v>
      </x:c>
      <x:c r="CM663" s="7" t="str">
        <x:v>2026-05-03 21:25:00-05:00</x:v>
      </x:c>
      <x:c r="CN663" s="6" t="str">
        <x:v>25504.499968584612</x:v>
      </x:c>
      <x:c r="CO663" s="6" t="str">
        <x:v>STOP</x:v>
      </x:c>
      <x:c r="CP663" s="6" t="str">
        <x:v>F::Long::Same-bar Setup+BOS::Tolerance-only shallow touch</x:v>
      </x:c>
    </x:row>
    <x:row r="664" ht="18" customHeight="1">
      <x:c r="A664" s="6" t="str">
        <x:v>A0663</x:v>
      </x:c>
      <x:c r="B664" s="6" t="str">
        <x:v>2026-05-05</x:v>
      </x:c>
      <x:c r="C664" s="6" t="str">
        <x:v>2026</x:v>
      </x:c>
      <x:c r="D664" s="6" t="str">
        <x:v>2026-Q2</x:v>
      </x:c>
      <x:c r="E664" s="6" t="str">
        <x:v>Second 50%</x:v>
      </x:c>
      <x:c r="F664" s="6" t="str">
        <x:v>Short</x:v>
      </x:c>
      <x:c r="G664" s="6" t="str">
        <x:v>Short</x:v>
      </x:c>
      <x:c r="H664" s="6" t="str">
        <x:v>Premarket</x:v>
      </x:c>
      <x:c r="I664" s="6" t="str">
        <x:v>Premarket</x:v>
      </x:c>
      <x:c r="J664" s="6" t="str">
        <x:v>Bull</x:v>
      </x:c>
      <x:c r="K664" s="6" t="str">
        <x:v>Bull</x:v>
      </x:c>
      <x:c r="L664" s="6" t="str">
        <x:v>HIGH</x:v>
      </x:c>
      <x:c r="M664" s="7" t="str">
        <x:v>2026-05-05 06:00:00-05:00</x:v>
      </x:c>
      <x:c r="N664" s="6" t="str">
        <x:v>90.0</x:v>
      </x:c>
      <x:c r="O664" s="6" t="str">
        <x:v>90-94</x:v>
      </x:c>
      <x:c r="P664" s="6" t="str">
        <x:v>Matching BOS only</x:v>
      </x:c>
      <x:c r="Q664" s="6" t="str">
        <x:v>Bear CHoCH</x:v>
      </x:c>
      <x:c r="R664" s="6" t="str">
        <x:v>True</x:v>
      </x:c>
      <x:c r="S664" s="6" t="str">
        <x:v>False</x:v>
      </x:c>
      <x:c r="T664" s="6" t="str">
        <x:v>Recent BSL</x:v>
      </x:c>
      <x:c r="U664" s="6" t="str">
        <x:v>BSL</x:v>
      </x:c>
      <x:c r="V664" s="6" t="str">
        <x:v>Swing high / buy-side</x:v>
      </x:c>
      <x:c r="W664" s="6" t="str">
        <x:v>[25580.0]</x:v>
      </x:c>
      <x:c r="X664" s="8" t="str">
        <x:v>1</x:v>
      </x:c>
      <x:c r="Y664" s="8" t="str">
        <x:v>6.0</x:v>
      </x:c>
      <x:c r="Z664" s="6" t="str">
        <x:v>Sweep above CRT reference</x:v>
      </x:c>
      <x:c r="AA664" s="6" t="str">
        <x:v>25543.25</x:v>
      </x:c>
      <x:c r="AB664" s="9" t="str">
        <x:v>0.8924709168052248</x:v>
      </x:c>
      <x:c r="AC664" s="9" t="str">
        <x:v>1.702305637609966</x:v>
      </x:c>
      <x:c r="AD664" s="9" t="str">
        <x:v>2.2146500528129653</x:v>
      </x:c>
      <x:c r="AE664" s="6" t="str">
        <x:v>With trade</x:v>
      </x:c>
      <x:c r="AF664" s="7" t="str">
        <x:v>2026-05-05 06:00:00-05:00</x:v>
      </x:c>
      <x:c r="AG664" s="6" t="str">
        <x:v>Short</x:v>
      </x:c>
      <x:c r="AH664" s="6" t="str">
        <x:v>25543.25</x:v>
      </x:c>
      <x:c r="AI664" s="8" t="str">
        <x:v>0</x:v>
      </x:c>
      <x:c r="AJ664" s="6" t="str">
        <x:v>True</x:v>
      </x:c>
      <x:c r="AK664" s="6" t="str">
        <x:v>Same-bar Setup+BOS</x:v>
      </x:c>
      <x:c r="AL664" s="9" t="str">
        <x:v>1.7518873552102563</x:v>
      </x:c>
      <x:c r="AM664" s="9" t="str">
        <x:v>0.8924709168052248</x:v>
      </x:c>
      <x:c r="AN664" s="9" t="str">
        <x:v>1.702305637609966</x:v>
      </x:c>
      <x:c r="AO664" s="9" t="str">
        <x:v>2.2146500528129653</x:v>
      </x:c>
      <x:c r="AP664" s="10" t="str">
        <x:v>0.7686567164179104</x:v>
      </x:c>
      <x:c r="AQ664" s="6" t="str">
        <x:v>0.15671641791044777</x:v>
      </x:c>
      <x:c r="AR664" s="6" t="str">
        <x:v>0.07462686567164178</x:v>
      </x:c>
      <x:c r="AS664" s="6" t="str">
        <x:v>With trade</x:v>
      </x:c>
      <x:c r="AT664" s="6" t="str">
        <x:v>3.8099940746592926</x:v>
      </x:c>
      <x:c r="AU664" s="7" t="str">
        <x:v>2026-05-05 06:10:00-05:00</x:v>
      </x:c>
      <x:c r="AV664" s="8" t="str">
        <x:v>2</x:v>
      </x:c>
      <x:c r="AW664" s="6" t="str">
        <x:v>Delayed retest (2+ bars)</x:v>
      </x:c>
      <x:c r="AX664" s="6" t="str">
        <x:v>25542.5</x:v>
      </x:c>
      <x:c r="AY664" s="6" t="str">
        <x:v>0.0</x:v>
      </x:c>
      <x:c r="AZ664" s="9" t="str">
        <x:v>0.0</x:v>
      </x:c>
      <x:c r="BA664" s="9" t="str">
        <x:v>0.570644959503445</x:v>
      </x:c>
      <x:c r="BB664" s="9" t="str">
        <x:v>0.7435676745044888</x:v>
      </x:c>
      <x:c r="BC664" s="9" t="str">
        <x:v>0.10375362900062635</x:v>
      </x:c>
      <x:c r="BD664" s="6" t="str">
        <x:v>0.5581395348837209</x:v>
      </x:c>
      <x:c r="BE664" s="6" t="str">
        <x:v>0.3023255813953488</x:v>
      </x:c>
      <x:c r="BF664" s="9" t="str">
        <x:v>0.4150145160025054</x:v>
      </x:c>
      <x:c r="BG664" s="9" t="str">
        <x:v>0.2247995295013571</x:v>
      </x:c>
      <x:c r="BH664" s="6" t="str">
        <x:v>With trade</x:v>
      </x:c>
      <x:c r="BI664" s="6" t="str">
        <x:v>Tolerance-only shallow touch</x:v>
      </x:c>
      <x:c r="BJ664" s="6" t="str">
        <x:v>True</x:v>
      </x:c>
      <x:c r="BK664" s="10" t="str">
        <x:v>False</x:v>
      </x:c>
      <x:c r="BL664" s="6" t="str">
        <x:v>True</x:v>
      </x:c>
      <x:c r="BM664" s="7" t="str">
        <x:v>2026-05-05 06:15:00-05:00</x:v>
      </x:c>
      <x:c r="BN664" s="8" t="str">
        <x:v>1</x:v>
      </x:c>
      <x:c r="BO664" s="6" t="str">
        <x:v>Immediate confirmation (1 bar)</x:v>
      </x:c>
      <x:c r="BP664" s="9" t="str">
        <x:v>0.6372929460226436</x:v>
      </x:c>
      <x:c r="BQ664" s="9" t="str">
        <x:v>1.3919819610494586</x:v>
      </x:c>
      <x:c r="BR664" s="10" t="str">
        <x:v>0.4578313253012048</x:v>
      </x:c>
      <x:c r="BS664" s="9" t="str">
        <x:v>1.1739606900417119</x:v>
      </x:c>
      <x:c r="BT664" s="9" t="str">
        <x:v>0.6205220790220478</x:v>
      </x:c>
      <x:c r="BU664" s="9" t="str">
        <x:v>0.4695842760166848</x:v>
      </x:c>
      <x:c r="BV664" s="6" t="str">
        <x:v>With trade</x:v>
      </x:c>
      <x:c r="BW664" s="7" t="str">
        <x:v>2026-05-05 06:15:00-05:00</x:v>
      </x:c>
      <x:c r="BX664" s="6" t="str">
        <x:v>25525.75</x:v>
      </x:c>
      <x:c r="BY664" s="9" t="str">
        <x:v>14.906802372895644</x:v>
      </x:c>
      <x:c r="BZ664" s="9" t="str">
        <x:v>0.78</x:v>
      </x:c>
      <x:c r="CA664" s="6" t="str">
        <x:v>25548.110203559343</x:v>
      </x:c>
      <x:c r="CB664" s="6" t="str">
        <x:v>22.360203559343063</x:v>
      </x:c>
      <x:c r="CC664" s="9" t="str">
        <x:v>1.499999999999973</x:v>
      </x:c>
      <x:c r="CD664" s="6" t="str">
        <x:v>25481.029592881314</x:v>
      </x:c>
      <x:c r="CE664" s="6" t="str">
        <x:v>44.720407118686126</x:v>
      </x:c>
      <x:c r="CF664" s="6" t="str">
        <x:v>Fixed 2.00R target</x:v>
      </x:c>
      <x:c r="CG664" s="9" t="str">
        <x:v>0.03242367620115263</x:v>
      </x:c>
      <x:c r="CH664" s="9" t="str">
        <x:v>-1.0</x:v>
      </x:c>
      <x:c r="CI664" s="9" t="str">
        <x:v>-1.0324236762011527</x:v>
      </x:c>
      <x:c r="CJ664" s="6" t="str">
        <x:v>Loss</x:v>
      </x:c>
      <x:c r="CK664" s="9" t="str">
        <x:v>0.1341669360047695</x:v>
      </x:c>
      <x:c r="CL664" s="9" t="str">
        <x:v>1.5205586080540543</x:v>
      </x:c>
      <x:c r="CM664" s="7" t="str">
        <x:v>2026-05-05 06:25:00-05:00</x:v>
      </x:c>
      <x:c r="CN664" s="6" t="str">
        <x:v>25548.110203559343</x:v>
      </x:c>
      <x:c r="CO664" s="6" t="str">
        <x:v>STOP</x:v>
      </x:c>
      <x:c r="CP664" s="6" t="str">
        <x:v>F::Short::Same-bar Setup+BOS::Tolerance-only shallow touch</x:v>
      </x:c>
    </x:row>
    <x:row r="665" ht="18" customHeight="1">
      <x:c r="A665" s="6" t="str">
        <x:v>A0664</x:v>
      </x:c>
      <x:c r="B665" s="6" t="str">
        <x:v>2026-05-05</x:v>
      </x:c>
      <x:c r="C665" s="6" t="str">
        <x:v>2026</x:v>
      </x:c>
      <x:c r="D665" s="6" t="str">
        <x:v>2026-Q2</x:v>
      </x:c>
      <x:c r="E665" s="6" t="str">
        <x:v>Second 50%</x:v>
      </x:c>
      <x:c r="F665" s="6" t="str">
        <x:v>Long</x:v>
      </x:c>
      <x:c r="G665" s="6" t="str">
        <x:v>Long</x:v>
      </x:c>
      <x:c r="H665" s="6" t="str">
        <x:v>Overnight</x:v>
      </x:c>
      <x:c r="I665" s="6" t="str">
        <x:v>Overnight</x:v>
      </x:c>
      <x:c r="J665" s="6" t="str">
        <x:v>Bull</x:v>
      </x:c>
      <x:c r="K665" s="6" t="str">
        <x:v>Bull</x:v>
      </x:c>
      <x:c r="L665" s="6" t="str">
        <x:v>LOW</x:v>
      </x:c>
      <x:c r="M665" s="7" t="str">
        <x:v>2026-05-05 22:10:00-05:00</x:v>
      </x:c>
      <x:c r="N665" s="6" t="str">
        <x:v>90.0</x:v>
      </x:c>
      <x:c r="O665" s="6" t="str">
        <x:v>90-94</x:v>
      </x:c>
      <x:c r="P665" s="6" t="str">
        <x:v>Matching BOS only</x:v>
      </x:c>
      <x:c r="Q665" s="6" t="str">
        <x:v>Bull CHoCH</x:v>
      </x:c>
      <x:c r="R665" s="6" t="str">
        <x:v>True</x:v>
      </x:c>
      <x:c r="S665" s="6" t="str">
        <x:v>False</x:v>
      </x:c>
      <x:c r="T665" s="6" t="str">
        <x:v>Recent SSL</x:v>
      </x:c>
      <x:c r="U665" s="6" t="str">
        <x:v>SSL</x:v>
      </x:c>
      <x:c r="V665" s="6" t="str">
        <x:v>Swing low / sell-side</x:v>
      </x:c>
      <x:c r="W665" s="6" t="str">
        <x:v>[25892.75]</x:v>
      </x:c>
      <x:c r="X665" s="8" t="str">
        <x:v>1</x:v>
      </x:c>
      <x:c r="Y665" s="8" t="str">
        <x:v>8.0</x:v>
      </x:c>
      <x:c r="Z665" s="6" t="str">
        <x:v>None</x:v>
      </x:c>
      <x:c r="AA665" s="6" t="str">
        <x:v>25918.0</x:v>
      </x:c>
      <x:c r="AB665" s="9" t="str">
        <x:v>0.5758261827290863</x:v>
      </x:c>
      <x:c r="AC665" s="9" t="str">
        <x:v>1.1347163012602581</x:v>
      </x:c>
      <x:c r="AD665" s="9" t="str">
        <x:v>1.4226293926248013</x:v>
      </x:c>
      <x:c r="AE665" s="6" t="str">
        <x:v>With trade</x:v>
      </x:c>
      <x:c r="AF665" s="7" t="str">
        <x:v>2026-05-05 22:10:00-05:00</x:v>
      </x:c>
      <x:c r="AG665" s="6" t="str">
        <x:v>Long</x:v>
      </x:c>
      <x:c r="AH665" s="6" t="str">
        <x:v>25918.0</x:v>
      </x:c>
      <x:c r="AI665" s="8" t="str">
        <x:v>0</x:v>
      </x:c>
      <x:c r="AJ665" s="6" t="str">
        <x:v>True</x:v>
      </x:c>
      <x:c r="AK665" s="6" t="str">
        <x:v>Same-bar Setup+BOS</x:v>
      </x:c>
      <x:c r="AL665" s="9" t="str">
        <x:v>1.1516523654581725</x:v>
      </x:c>
      <x:c r="AM665" s="9" t="str">
        <x:v>0.5758261827290863</x:v>
      </x:c>
      <x:c r="AN665" s="9" t="str">
        <x:v>1.1347163012602581</x:v>
      </x:c>
      <x:c r="AO665" s="9" t="str">
        <x:v>1.4226293926248013</x:v>
      </x:c>
      <x:c r="AP665" s="10" t="str">
        <x:v>0.7976190476190477</x:v>
      </x:c>
      <x:c r="AQ665" s="6" t="str">
        <x:v>0.19047619047619047</x:v>
      </x:c>
      <x:c r="AR665" s="6" t="str">
        <x:v>0.011904761904761904</x:v>
      </x:c>
      <x:c r="AS665" s="6" t="str">
        <x:v>With trade</x:v>
      </x:c>
      <x:c r="AT665" s="6" t="str">
        <x:v>1.211087420042644</x:v>
      </x:c>
      <x:c r="AU665" s="7" t="str">
        <x:v>2026-05-05 22:20:00-05:00</x:v>
      </x:c>
      <x:c r="AV665" s="8" t="str">
        <x:v>2</x:v>
      </x:c>
      <x:c r="AW665" s="6" t="str">
        <x:v>Delayed retest (2+ bars)</x:v>
      </x:c>
      <x:c r="AX665" s="6" t="str">
        <x:v>25919.25</x:v>
      </x:c>
      <x:c r="AY665" s="6" t="str">
        <x:v>0.0</x:v>
      </x:c>
      <x:c r="AZ665" s="9" t="str">
        <x:v>0.0</x:v>
      </x:c>
      <x:c r="BA665" s="9" t="str">
        <x:v>0.7835223591075958</x:v>
      </x:c>
      <x:c r="BB665" s="9" t="str">
        <x:v>0.7122930537341781</x:v>
      </x:c>
      <x:c r="BC665" s="9" t="str">
        <x:v>0.42737583224050685</x:v>
      </x:c>
      <x:c r="BD665" s="6" t="str">
        <x:v>0.025</x:v>
      </x:c>
      <x:c r="BE665" s="6" t="str">
        <x:v>0.375</x:v>
      </x:c>
      <x:c r="BF665" s="9" t="str">
        <x:v>0.26710989515031675</x:v>
      </x:c>
      <x:c r="BG665" s="9" t="str">
        <x:v>0.01780732634335445</x:v>
      </x:c>
      <x:c r="BH665" s="6" t="str">
        <x:v>With trade</x:v>
      </x:c>
      <x:c r="BI665" s="6" t="str">
        <x:v>Tolerance-only shallow touch</x:v>
      </x:c>
      <x:c r="BJ665" s="6" t="str">
        <x:v>True</x:v>
      </x:c>
      <x:c r="BK665" s="10" t="str">
        <x:v>False</x:v>
      </x:c>
      <x:c r="BL665" s="6" t="str">
        <x:v>True</x:v>
      </x:c>
      <x:c r="BM665" s="7" t="str">
        <x:v>2026-05-05 22:25:00-05:00</x:v>
      </x:c>
      <x:c r="BN665" s="8" t="str">
        <x:v>1</x:v>
      </x:c>
      <x:c r="BO665" s="6" t="str">
        <x:v>Immediate confirmation (1 bar)</x:v>
      </x:c>
      <x:c r="BP665" s="9" t="str">
        <x:v>1.0376407300421286</x:v>
      </x:c>
      <x:c r="BQ665" s="9" t="str">
        <x:v>1.1607506471657711</x:v>
      </x:c>
      <x:c r="BR665" s="10" t="str">
        <x:v>0.8939393939393939</x:v>
      </x:c>
      <x:c r="BS665" s="9" t="str">
        <x:v>1.8114744948193093</x:v>
      </x:c>
      <x:c r="BT665" s="9" t="str">
        <x:v>1.0376407300421286</x:v>
      </x:c>
      <x:c r="BU665" s="9" t="str">
        <x:v>0.03517426203532639</x:v>
      </x:c>
      <x:c r="BV665" s="6" t="str">
        <x:v>With trade</x:v>
      </x:c>
      <x:c r="BW665" s="7" t="str">
        <x:v>2026-05-05 22:25:00-05:00</x:v>
      </x:c>
      <x:c r="BX665" s="6" t="str">
        <x:v>25943.75</x:v>
      </x:c>
      <x:c r="BY665" s="9" t="str">
        <x:v>14.214939306980696</x:v>
      </x:c>
      <x:c r="BZ665" s="9" t="str">
        <x:v>0.01</x:v>
      </x:c>
      <x:c r="CA665" s="6" t="str">
        <x:v>25922.42759103953</x:v>
      </x:c>
      <x:c r="CB665" s="6" t="str">
        <x:v>21.322408960470057</x:v>
      </x:c>
      <x:c r="CC665" s="9" t="str">
        <x:v>1.4999999999999305</x:v>
      </x:c>
      <x:c r="CD665" s="6" t="str">
        <x:v>25986.394817920944</x:v>
      </x:c>
      <x:c r="CE665" s="6" t="str">
        <x:v>42.64481792094375</x:v>
      </x:c>
      <x:c r="CF665" s="6" t="str">
        <x:v>Fixed 2.00R target</x:v>
      </x:c>
      <x:c r="CG665" s="9" t="str">
        <x:v>0.034001786634150426</x:v>
      </x:c>
      <x:c r="CH665" s="9" t="str">
        <x:v>0.25794458825906025</x:v>
      </x:c>
      <x:c r="CI665" s="9" t="str">
        <x:v>0.22394280162490982</x:v>
      </x:c>
      <x:c r="CJ665" s="6" t="str">
        <x:v>Win</x:v>
      </x:c>
      <x:c r="CK665" s="9" t="str">
        <x:v>0.5745129465770245</x:v>
      </x:c>
      <x:c r="CL665" s="9" t="str">
        <x:v>0.6800357326830084</x:v>
      </x:c>
      <x:c r="CM665" s="7" t="str">
        <x:v>2026-05-05 23:25:00-05:00</x:v>
      </x:c>
      <x:c r="CN665" s="6" t="str">
        <x:v>25949.25</x:v>
      </x:c>
      <x:c r="CO665" s="6" t="str">
        <x:v>TIME</x:v>
      </x:c>
      <x:c r="CP665" s="6" t="str">
        <x:v>F::Long::Same-bar Setup+BOS::Tolerance-only shallow touch</x:v>
      </x:c>
    </x:row>
    <x:row r="666" ht="18" customHeight="1">
      <x:c r="A666" s="6" t="str">
        <x:v>A0665</x:v>
      </x:c>
      <x:c r="B666" s="6" t="str">
        <x:v>2026-05-06</x:v>
      </x:c>
      <x:c r="C666" s="6" t="str">
        <x:v>2026</x:v>
      </x:c>
      <x:c r="D666" s="6" t="str">
        <x:v>2026-Q2</x:v>
      </x:c>
      <x:c r="E666" s="6" t="str">
        <x:v>Second 50%</x:v>
      </x:c>
      <x:c r="F666" s="6" t="str">
        <x:v>Long</x:v>
      </x:c>
      <x:c r="G666" s="6" t="str">
        <x:v>Long</x:v>
      </x:c>
      <x:c r="H666" s="6" t="str">
        <x:v>Midday</x:v>
      </x:c>
      <x:c r="I666" s="6" t="str">
        <x:v>Midday</x:v>
      </x:c>
      <x:c r="J666" s="6" t="str">
        <x:v>Bull</x:v>
      </x:c>
      <x:c r="K666" s="6" t="str">
        <x:v>Bull</x:v>
      </x:c>
      <x:c r="L666" s="6" t="str">
        <x:v>LOW</x:v>
      </x:c>
      <x:c r="M666" s="7" t="str">
        <x:v>2026-05-06 13:05:00-05:00</x:v>
      </x:c>
      <x:c r="N666" s="6" t="str">
        <x:v>100.0</x:v>
      </x:c>
      <x:c r="O666" s="6" t="str">
        <x:v>95+</x:v>
      </x:c>
      <x:c r="P666" s="6" t="str">
        <x:v>Matching BOS only</x:v>
      </x:c>
      <x:c r="Q666" s="6" t="str">
        <x:v>Bull BOS</x:v>
      </x:c>
      <x:c r="R666" s="6" t="str">
        <x:v>True</x:v>
      </x:c>
      <x:c r="S666" s="6" t="str">
        <x:v>False</x:v>
      </x:c>
      <x:c r="T666" s="6" t="str">
        <x:v>Recent SSL</x:v>
      </x:c>
      <x:c r="U666" s="6" t="str">
        <x:v>SSL</x:v>
      </x:c>
      <x:c r="V666" s="6" t="str">
        <x:v>Swing low / sell-side</x:v>
      </x:c>
      <x:c r="W666" s="6" t="str">
        <x:v>[26139.5]</x:v>
      </x:c>
      <x:c r="X666" s="8" t="str">
        <x:v>1</x:v>
      </x:c>
      <x:c r="Y666" s="8" t="str">
        <x:v>14.0</x:v>
      </x:c>
      <x:c r="Z666" s="6" t="str">
        <x:v>None</x:v>
      </x:c>
      <x:c r="AA666" s="6" t="str">
        <x:v>26231.75</x:v>
      </x:c>
      <x:c r="AB666" s="9" t="str">
        <x:v>0.32127259496606586</x:v>
      </x:c>
      <x:c r="AC666" s="9" t="str">
        <x:v>0.9523437636494095</x:v>
      </x:c>
      <x:c r="AD666" s="9" t="str">
        <x:v>1.044135933639714</x:v>
      </x:c>
      <x:c r="AE666" s="6" t="str">
        <x:v>With trade</x:v>
      </x:c>
      <x:c r="AF666" s="7" t="str">
        <x:v>2026-05-06 13:05:00-05:00</x:v>
      </x:c>
      <x:c r="AG666" s="6" t="str">
        <x:v>Long</x:v>
      </x:c>
      <x:c r="AH666" s="6" t="str">
        <x:v>26231.75</x:v>
      </x:c>
      <x:c r="AI666" s="8" t="str">
        <x:v>0</x:v>
      </x:c>
      <x:c r="AJ666" s="6" t="str">
        <x:v>True</x:v>
      </x:c>
      <x:c r="AK666" s="6" t="str">
        <x:v>Same-bar Setup+BOS</x:v>
      </x:c>
      <x:c r="AL666" s="9" t="str">
        <x:v>0.9638177848981976</x:v>
      </x:c>
      <x:c r="AM666" s="9" t="str">
        <x:v>0.32127259496606586</x:v>
      </x:c>
      <x:c r="AN666" s="9" t="str">
        <x:v>0.9523437636494095</x:v>
      </x:c>
      <x:c r="AO666" s="9" t="str">
        <x:v>1.044135933639714</x:v>
      </x:c>
      <x:c r="AP666" s="10" t="str">
        <x:v>0.9120879120879121</x:v>
      </x:c>
      <x:c r="AQ666" s="6" t="str">
        <x:v>0.06593406593406594</x:v>
      </x:c>
      <x:c r="AR666" s="6" t="str">
        <x:v>0.02197802197802198</x:v>
      </x:c>
      <x:c r="AS666" s="6" t="str">
        <x:v>With trade</x:v>
      </x:c>
      <x:c r="AT666" s="6" t="str">
        <x:v>1.0816145267936446</x:v>
      </x:c>
      <x:c r="AU666" s="7" t="str">
        <x:v>2026-05-06 13:10:00-05:00</x:v>
      </x:c>
      <x:c r="AV666" s="8" t="str">
        <x:v>1</x:v>
      </x:c>
      <x:c r="AW666" s="6" t="str">
        <x:v>Immediate retest (1 bar)</x:v>
      </x:c>
      <x:c r="AX666" s="6" t="str">
        <x:v>26231.0</x:v>
      </x:c>
      <x:c r="AY666" s="6" t="str">
        <x:v>0.75</x:v>
      </x:c>
      <x:c r="AZ666" s="9" t="str">
        <x:v>0.03523506955238829</x:v>
      </x:c>
      <x:c r="BA666" s="9" t="str">
        <x:v>0.46980092736517715</x:v>
      </x:c>
      <x:c r="BB666" s="9" t="str">
        <x:v>0.6929563678636363</x:v>
      </x:c>
      <x:c r="BC666" s="9" t="str">
        <x:v>0.15268530139368258</x:v>
      </x:c>
      <x:c r="BD666" s="6" t="str">
        <x:v>0.2711864406779661</x:v>
      </x:c>
      <x:c r="BE666" s="6" t="str">
        <x:v>0.5084745762711864</x:v>
      </x:c>
      <x:c r="BF666" s="9" t="str">
        <x:v>0.3523506955238829</x:v>
      </x:c>
      <x:c r="BG666" s="9" t="str">
        <x:v>0.18792037094607086</x:v>
      </x:c>
      <x:c r="BH666" s="6" t="str">
        <x:v>With trade</x:v>
      </x:c>
      <x:c r="BI666" s="6" t="str">
        <x:v>Penetration + same-bar reclaim</x:v>
      </x:c>
      <x:c r="BJ666" s="6" t="str">
        <x:v>False</x:v>
      </x:c>
      <x:c r="BK666" s="10" t="str">
        <x:v>True</x:v>
      </x:c>
      <x:c r="BL666" s="6" t="str">
        <x:v>True</x:v>
      </x:c>
      <x:c r="BM666" s="7" t="str">
        <x:v>2026-05-06 13:15:00-05:00</x:v>
      </x:c>
      <x:c r="BN666" s="8" t="str">
        <x:v>1</x:v>
      </x:c>
      <x:c r="BO666" s="6" t="str">
        <x:v>Immediate confirmation (1 bar)</x:v>
      </x:c>
      <x:c r="BP666" s="9" t="str">
        <x:v>0.37778751247444</x:v>
      </x:c>
      <x:c r="BQ666" s="9" t="str">
        <x:v>0.9326629214212737</x:v>
      </x:c>
      <x:c r="BR666" s="10" t="str">
        <x:v>0.4050632911392405</x:v>
      </x:c>
      <x:c r="BS666" s="9" t="str">
        <x:v>0.8736336225971425</x:v>
      </x:c>
      <x:c r="BT666" s="9" t="str">
        <x:v>0.4013992320040925</x:v>
      </x:c>
      <x:c r="BU666" s="9" t="str">
        <x:v>0.0236117195296525</x:v>
      </x:c>
      <x:c r="BV666" s="6" t="str">
        <x:v>With trade</x:v>
      </x:c>
      <x:c r="BW666" s="7" t="str">
        <x:v>2026-05-06 13:15:00-05:00</x:v>
      </x:c>
      <x:c r="BX666" s="6" t="str">
        <x:v>26250.25</x:v>
      </x:c>
      <x:c r="BY666" s="9" t="str">
        <x:v>21.17592492033801</x:v>
      </x:c>
      <x:c r="BZ666" s="9" t="str">
        <x:v>0.0</x:v>
      </x:c>
      <x:c r="CA666" s="6" t="str">
        <x:v>26218.486112619492</x:v>
      </x:c>
      <x:c r="CB666" s="6" t="str">
        <x:v>31.763887380508095</x:v>
      </x:c>
      <x:c r="CC666" s="9" t="str">
        <x:v>1.500000000000051</x:v>
      </x:c>
      <x:c r="CD666" s="6" t="str">
        <x:v>26313.777774761013</x:v>
      </x:c>
      <x:c r="CE666" s="6" t="str">
        <x:v>63.52777476101255</x:v>
      </x:c>
      <x:c r="CF666" s="6" t="str">
        <x:v>Fixed 2.00R target</x:v>
      </x:c>
      <x:c r="CG666" s="9" t="str">
        <x:v>0.022824662211996638</x:v>
      </x:c>
      <x:c r="CH666" s="9" t="str">
        <x:v>1.5819852084867174</x:v>
      </x:c>
      <x:c r="CI666" s="9" t="str">
        <x:v>1.559160546274721</x:v>
      </x:c>
      <x:c r="CJ666" s="6" t="str">
        <x:v>Win</x:v>
      </x:c>
      <x:c r="CK666" s="9" t="str">
        <x:v>1.7787495379004277</x:v>
      </x:c>
      <x:c r="CL666" s="9" t="str">
        <x:v>0.17315260988411244</x:v>
      </x:c>
      <x:c r="CM666" s="7" t="str">
        <x:v>2026-05-06 14:15:00-05:00</x:v>
      </x:c>
      <x:c r="CN666" s="6" t="str">
        <x:v>26300.5</x:v>
      </x:c>
      <x:c r="CO666" s="6" t="str">
        <x:v>TIME</x:v>
      </x:c>
      <x:c r="CP666" s="6" t="str">
        <x:v>F::Long::Same-bar Setup+BOS::Penetration + same-bar reclaim</x:v>
      </x:c>
    </x:row>
    <x:row r="667" ht="18" customHeight="1">
      <x:c r="A667" s="6" t="str">
        <x:v>A0666</x:v>
      </x:c>
      <x:c r="B667" s="6" t="str">
        <x:v>2026-05-06</x:v>
      </x:c>
      <x:c r="C667" s="6" t="str">
        <x:v>2026</x:v>
      </x:c>
      <x:c r="D667" s="6" t="str">
        <x:v>2026-Q2</x:v>
      </x:c>
      <x:c r="E667" s="6" t="str">
        <x:v>Second 50%</x:v>
      </x:c>
      <x:c r="F667" s="6" t="str">
        <x:v>Short</x:v>
      </x:c>
      <x:c r="G667" s="6" t="str">
        <x:v>Short</x:v>
      </x:c>
      <x:c r="H667" s="6" t="str">
        <x:v>Overnight</x:v>
      </x:c>
      <x:c r="I667" s="6" t="str">
        <x:v>Overnight</x:v>
      </x:c>
      <x:c r="J667" s="6" t="str">
        <x:v>Bull</x:v>
      </x:c>
      <x:c r="K667" s="6" t="str">
        <x:v>Bull</x:v>
      </x:c>
      <x:c r="L667" s="6" t="str">
        <x:v>LOW</x:v>
      </x:c>
      <x:c r="M667" s="7" t="str">
        <x:v>2026-05-06 19:00:00-05:00</x:v>
      </x:c>
      <x:c r="N667" s="6" t="str">
        <x:v>75.0</x:v>
      </x:c>
      <x:c r="O667" s="6" t="str">
        <x:v>75-79</x:v>
      </x:c>
      <x:c r="P667" s="6" t="str">
        <x:v>Matching liquidity sweep only</x:v>
      </x:c>
      <x:c r="Q667" s="6" t="str">
        <x:v>Recent bear structure</x:v>
      </x:c>
      <x:c r="R667" s="6" t="str">
        <x:v>False</x:v>
      </x:c>
      <x:c r="S667" s="6" t="str">
        <x:v>True</x:v>
      </x:c>
      <x:c r="T667" s="6" t="str">
        <x:v>Recent BSL</x:v>
      </x:c>
      <x:c r="U667" s="6" t="str">
        <x:v>BSL</x:v>
      </x:c>
      <x:c r="V667" s="6" t="str">
        <x:v>Swing high / buy-side</x:v>
      </x:c>
      <x:c r="W667" s="6" t="str">
        <x:v>[26316.0]</x:v>
      </x:c>
      <x:c r="X667" s="8" t="str">
        <x:v>1</x:v>
      </x:c>
      <x:c r="Y667" s="8" t="str">
        <x:v>0.0</x:v>
      </x:c>
      <x:c r="Z667" s="6" t="str">
        <x:v>Sweep above CRT reference</x:v>
      </x:c>
      <x:c r="AA667" s="6" t="str">
        <x:v>26273.75</x:v>
      </x:c>
      <x:c r="AB667" s="9" t="str">
        <x:v>-1.3470634810570397</x:v>
      </x:c>
      <x:c r="AC667" s="9" t="str">
        <x:v>0.3788616040472924</x:v>
      </x:c>
      <x:c r="AD667" s="9" t="str">
        <x:v>1.5996378837552345</x:v>
      </x:c>
      <x:c r="AE667" s="6" t="str">
        <x:v>Against trade</x:v>
      </x:c>
      <x:c r="AF667" s="7" t="str">
        <x:v>2026-05-06 19:20:00-05:00</x:v>
      </x:c>
      <x:c r="AG667" s="6" t="str">
        <x:v>Short</x:v>
      </x:c>
      <x:c r="AH667" s="6" t="str">
        <x:v>26275.75</x:v>
      </x:c>
      <x:c r="AI667" s="8" t="str">
        <x:v>4</x:v>
      </x:c>
      <x:c r="AJ667" s="6" t="str">
        <x:v>False</x:v>
      </x:c>
      <x:c r="AK667" s="6" t="str">
        <x:v>Delayed BOS</x:v>
      </x:c>
      <x:c r="AL667" s="9" t="str">
        <x:v>0.3228180046826423</x:v>
      </x:c>
      <x:c r="AM667" s="9" t="str">
        <x:v>0.16786536243497402</x:v>
      </x:c>
      <x:c r="AN667" s="9" t="str">
        <x:v>0.41320704599378216</x:v>
      </x:c>
      <x:c r="AO667" s="9" t="str">
        <x:v>0.9038904131113985</x:v>
      </x:c>
      <x:c r="AP667" s="10" t="str">
        <x:v>0.45714285714285713</x:v>
      </x:c>
      <x:c r="AQ667" s="6" t="str">
        <x:v>0.17142857142857143</x:v>
      </x:c>
      <x:c r="AR667" s="6" t="str">
        <x:v>0.37142857142857144</x:v>
      </x:c>
      <x:c r="AS667" s="6" t="str">
        <x:v>With trade</x:v>
      </x:c>
      <x:c r="AT667" s="6" t="str">
        <x:v>1.3268357514674938</x:v>
      </x:c>
      <x:c r="AU667" s="7" t="str">
        <x:v>2026-05-06 19:25:00-05:00</x:v>
      </x:c>
      <x:c r="AV667" s="8" t="str">
        <x:v>1</x:v>
      </x:c>
      <x:c r="AW667" s="6" t="str">
        <x:v>Immediate retest (1 bar)</x:v>
      </x:c>
      <x:c r="AX667" s="6" t="str">
        <x:v>26276.0</x:v>
      </x:c>
      <x:c r="AY667" s="6" t="str">
        <x:v>0.25</x:v>
      </x:c>
      <x:c r="AZ667" s="9" t="str">
        <x:v>0.013260599425925867</x:v>
      </x:c>
      <x:c r="BA667" s="9" t="str">
        <x:v>0.3447755850740725</x:v>
      </x:c>
      <x:c r="BB667" s="9" t="str">
        <x:v>0.6497693718703674</x:v>
      </x:c>
      <x:c r="BC667" s="9" t="str">
        <x:v>0.10608479540740694</x:v>
      </x:c>
      <x:c r="BD667" s="6" t="str">
        <x:v>0.3877551020408163</x:v>
      </x:c>
      <x:c r="BE667" s="6" t="str">
        <x:v>0.4489795918367347</x:v>
      </x:c>
      <x:c r="BF667" s="9" t="str">
        <x:v>0.25195138909259146</x:v>
      </x:c>
      <x:c r="BG667" s="9" t="str">
        <x:v>0.2917331873703691</x:v>
      </x:c>
      <x:c r="BH667" s="6" t="str">
        <x:v>With trade</x:v>
      </x:c>
      <x:c r="BI667" s="6" t="str">
        <x:v>Penetration + same-bar reclaim</x:v>
      </x:c>
      <x:c r="BJ667" s="6" t="str">
        <x:v>False</x:v>
      </x:c>
      <x:c r="BK667" s="10" t="str">
        <x:v>True</x:v>
      </x:c>
      <x:c r="BL667" s="6" t="str">
        <x:v>True</x:v>
      </x:c>
      <x:c r="BM667" s="7" t="str">
        <x:v>2026-05-06 19:40:00-05:00</x:v>
      </x:c>
      <x:c r="BN667" s="8" t="str">
        <x:v>3</x:v>
      </x:c>
      <x:c r="BO667" s="6" t="str">
        <x:v>Delayed confirmation (2+ bars)</x:v>
      </x:c>
      <x:c r="BP667" s="9" t="str">
        <x:v>0.12737330196121466</x:v>
      </x:c>
      <x:c r="BQ667" s="9" t="str">
        <x:v>1.075596772116924</x:v>
      </x:c>
      <x:c r="BR667" s="10" t="str">
        <x:v>0.11842105263157894</x:v>
      </x:c>
      <x:c r="BS667" s="9" t="str">
        <x:v>0.11322071285441304</x:v>
      </x:c>
      <x:c r="BT667" s="9" t="str">
        <x:v>-0.2547466039224293</x:v>
      </x:c>
      <x:c r="BU667" s="9" t="str">
        <x:v>0.08491553464080978</x:v>
      </x:c>
      <x:c r="BV667" s="6" t="str">
        <x:v>With trade</x:v>
      </x:c>
      <x:c r="BW667" s="7" t="str">
        <x:v>2026-05-06 19:40:00-05:00</x:v>
      </x:c>
      <x:c r="BX667" s="6" t="str">
        <x:v>26273.75</x:v>
      </x:c>
      <x:c r="BY667" s="9" t="str">
        <x:v>17.66461232735513</x:v>
      </x:c>
      <x:c r="BZ667" s="9" t="str">
        <x:v>0.09</x:v>
      </x:c>
      <x:c r="CA667" s="6" t="str">
        <x:v>26300.246918491033</x:v>
      </x:c>
      <x:c r="CB667" s="6" t="str">
        <x:v>26.496918491033284</x:v>
      </x:c>
      <x:c r="CC667" s="9" t="str">
        <x:v>1.5000000000000333</x:v>
      </x:c>
      <x:c r="CD667" s="6" t="str">
        <x:v>26220.756163017933</x:v>
      </x:c>
      <x:c r="CE667" s="6" t="str">
        <x:v>52.99383698206657</x:v>
      </x:c>
      <x:c r="CF667" s="6" t="str">
        <x:v>Fixed 2.00R target</x:v>
      </x:c>
      <x:c r="CG667" s="9" t="str">
        <x:v>0.027361672273149208</x:v>
      </x:c>
      <x:c r="CH667" s="9" t="str">
        <x:v>-1.0</x:v>
      </x:c>
      <x:c r="CI667" s="9" t="str">
        <x:v>-1.0273616722731491</x:v>
      </x:c>
      <x:c r="CJ667" s="6" t="str">
        <x:v>Loss</x:v>
      </x:c>
      <x:c r="CK667" s="9" t="str">
        <x:v>0.5283633266539157</x:v>
      </x:c>
      <x:c r="CL667" s="9" t="str">
        <x:v>1.2359927819939815</x:v>
      </x:c>
      <x:c r="CM667" s="7" t="str">
        <x:v>2026-05-06 20:35:00-05:00</x:v>
      </x:c>
      <x:c r="CN667" s="6" t="str">
        <x:v>26300.246918491033</x:v>
      </x:c>
      <x:c r="CO667" s="6" t="str">
        <x:v>STOP</x:v>
      </x:c>
      <x:c r="CP667" s="6" t="str">
        <x:v>F::Short::Delayed BOS::Penetration + same-bar reclaim</x:v>
      </x:c>
    </x:row>
    <x:row r="668" ht="18" customHeight="1">
      <x:c r="A668" s="6" t="str">
        <x:v>A0667</x:v>
      </x:c>
      <x:c r="B668" s="6" t="str">
        <x:v>2026-05-08</x:v>
      </x:c>
      <x:c r="C668" s="6" t="str">
        <x:v>2026</x:v>
      </x:c>
      <x:c r="D668" s="6" t="str">
        <x:v>2026-Q2</x:v>
      </x:c>
      <x:c r="E668" s="6" t="str">
        <x:v>Second 50%</x:v>
      </x:c>
      <x:c r="F668" s="6" t="str">
        <x:v>Long</x:v>
      </x:c>
      <x:c r="G668" s="6" t="str">
        <x:v>Long</x:v>
      </x:c>
      <x:c r="H668" s="6" t="str">
        <x:v>Premarket</x:v>
      </x:c>
      <x:c r="I668" s="6" t="str">
        <x:v>Premarket</x:v>
      </x:c>
      <x:c r="J668" s="6" t="str">
        <x:v>Bull</x:v>
      </x:c>
      <x:c r="K668" s="6" t="str">
        <x:v>Bull</x:v>
      </x:c>
      <x:c r="L668" s="6" t="str">
        <x:v>LOW</x:v>
      </x:c>
      <x:c r="M668" s="7" t="str">
        <x:v>2026-05-08 06:25:00-05:00</x:v>
      </x:c>
      <x:c r="N668" s="6" t="str">
        <x:v>75.0</x:v>
      </x:c>
      <x:c r="O668" s="6" t="str">
        <x:v>75-79</x:v>
      </x:c>
      <x:c r="P668" s="6" t="str">
        <x:v>Matching BOS only</x:v>
      </x:c>
      <x:c r="Q668" s="6" t="str">
        <x:v>Bull CHoCH</x:v>
      </x:c>
      <x:c r="R668" s="6" t="str">
        <x:v>True</x:v>
      </x:c>
      <x:c r="S668" s="6" t="str">
        <x:v>False</x:v>
      </x:c>
      <x:c r="T668" s="6" t="str">
        <x:v>Recent SSL</x:v>
      </x:c>
      <x:c r="U668" s="6" t="str">
        <x:v>SSL</x:v>
      </x:c>
      <x:c r="V668" s="6" t="str">
        <x:v>Swing low / sell-side</x:v>
      </x:c>
      <x:c r="W668" s="6" t="str">
        <x:v>[26464.25]</x:v>
      </x:c>
      <x:c r="X668" s="8" t="str">
        <x:v>1</x:v>
      </x:c>
      <x:c r="Y668" s="8" t="str">
        <x:v>20.0</x:v>
      </x:c>
      <x:c r="Z668" s="6" t="str">
        <x:v>None</x:v>
      </x:c>
      <x:c r="AA668" s="6" t="str">
        <x:v>26511.5</x:v>
      </x:c>
      <x:c r="AB668" s="9" t="str">
        <x:v>0.1618131428622975</x:v>
      </x:c>
      <x:c r="AC668" s="9" t="str">
        <x:v>0.4135224762036492</x:v>
      </x:c>
      <x:c r="AD668" s="9" t="str">
        <x:v>0.64725257144919</x:v>
      </x:c>
      <x:c r="AE668" s="6" t="str">
        <x:v>With trade</x:v>
      </x:c>
      <x:c r="AF668" s="7" t="str">
        <x:v>2026-05-08 06:25:00-05:00</x:v>
      </x:c>
      <x:c r="AG668" s="6" t="str">
        <x:v>Long</x:v>
      </x:c>
      <x:c r="AH668" s="6" t="str">
        <x:v>26511.5</x:v>
      </x:c>
      <x:c r="AI668" s="8" t="str">
        <x:v>0</x:v>
      </x:c>
      <x:c r="AJ668" s="6" t="str">
        <x:v>True</x:v>
      </x:c>
      <x:c r="AK668" s="6" t="str">
        <x:v>Same-bar Setup+BOS</x:v>
      </x:c>
      <x:c r="AL668" s="9" t="str">
        <x:v>0.3775640000120275</x:v>
      </x:c>
      <x:c r="AM668" s="9" t="str">
        <x:v>0.1618131428622975</x:v>
      </x:c>
      <x:c r="AN668" s="9" t="str">
        <x:v>0.4135224762036492</x:v>
      </x:c>
      <x:c r="AO668" s="9" t="str">
        <x:v>0.64725257144919</x:v>
      </x:c>
      <x:c r="AP668" s="10" t="str">
        <x:v>0.6388888888888888</x:v>
      </x:c>
      <x:c r="AQ668" s="6" t="str">
        <x:v>0.3333333333333333</x:v>
      </x:c>
      <x:c r="AR668" s="6" t="str">
        <x:v>0.027777777777777776</x:v>
      </x:c>
      <x:c r="AS668" s="6" t="str">
        <x:v>With trade</x:v>
      </x:c>
      <x:c r="AT668" s="6" t="str">
        <x:v>0.8893524224898075</x:v>
      </x:c>
      <x:c r="AU668" s="7" t="str">
        <x:v>2026-05-08 06:30:00-05:00</x:v>
      </x:c>
      <x:c r="AV668" s="8" t="str">
        <x:v>1</x:v>
      </x:c>
      <x:c r="AW668" s="6" t="str">
        <x:v>Immediate retest (1 bar)</x:v>
      </x:c>
      <x:c r="AX668" s="6" t="str">
        <x:v>26510.0</x:v>
      </x:c>
      <x:c r="AY668" s="6" t="str">
        <x:v>1.5</x:v>
      </x:c>
      <x:c r="AZ668" s="9" t="str">
        <x:v>0.10979585213932351</x:v>
      </x:c>
      <x:c r="BA668" s="9" t="str">
        <x:v>0.01829930868988725</x:v>
      </x:c>
      <x:c r="BB668" s="9" t="str">
        <x:v>0.7685709649752646</x:v>
      </x:c>
      <x:c r="BC668" s="9" t="str">
        <x:v>0.21959170427864702</x:v>
      </x:c>
      <x:c r="BD668" s="6" t="str">
        <x:v>0.5476190476190477</x:v>
      </x:c>
      <x:c r="BE668" s="6" t="str">
        <x:v>0.16666666666666666</x:v>
      </x:c>
      <x:c r="BF668" s="9" t="str">
        <x:v>0.12809516082921077</x:v>
      </x:c>
      <x:c r="BG668" s="9" t="str">
        <x:v>0.4208840998674068</x:v>
      </x:c>
      <x:c r="BH668" s="6" t="str">
        <x:v>Against trade</x:v>
      </x:c>
      <x:c r="BI668" s="6" t="str">
        <x:v>Penetration + same-bar reclaim</x:v>
      </x:c>
      <x:c r="BJ668" s="6" t="str">
        <x:v>False</x:v>
      </x:c>
      <x:c r="BK668" s="10" t="str">
        <x:v>True</x:v>
      </x:c>
      <x:c r="BL668" s="6" t="str">
        <x:v>True</x:v>
      </x:c>
      <x:c r="BM668" s="7" t="str">
        <x:v>2026-05-08 06:35:00-05:00</x:v>
      </x:c>
      <x:c r="BN668" s="8" t="str">
        <x:v>1</x:v>
      </x:c>
      <x:c r="BO668" s="6" t="str">
        <x:v>Immediate confirmation (1 bar)</x:v>
      </x:c>
      <x:c r="BP668" s="9" t="str">
        <x:v>0.3231898126439393</x:v>
      </x:c>
      <x:c r="BQ668" s="9" t="str">
        <x:v>0.49429030169073074</x:v>
      </x:c>
      <x:c r="BR668" s="10" t="str">
        <x:v>0.6538461538461539</x:v>
      </x:c>
      <x:c r="BS668" s="9" t="str">
        <x:v>0.3612121435432263</x:v>
      </x:c>
      <x:c r="BT668" s="9" t="str">
        <x:v>0.3422009780935828</x:v>
      </x:c>
      <x:c r="BU668" s="9" t="str">
        <x:v>0.01901116544964349</x:v>
      </x:c>
      <x:c r="BV668" s="6" t="str">
        <x:v>With trade</x:v>
      </x:c>
      <x:c r="BW668" s="7" t="str">
        <x:v>2026-05-08 06:35:00-05:00</x:v>
      </x:c>
      <x:c r="BX668" s="6" t="str">
        <x:v>26516.25</x:v>
      </x:c>
      <x:c r="BY668" s="9" t="str">
        <x:v>13.1501669722562</x:v>
      </x:c>
      <x:c r="BZ668" s="9" t="str">
        <x:v>0.1</x:v>
      </x:c>
      <x:c r="CA668" s="6" t="str">
        <x:v>26496.524749541615</x:v>
      </x:c>
      <x:c r="CB668" s="6" t="str">
        <x:v>19.725250458384835</x:v>
      </x:c>
      <x:c r="CC668" s="9" t="str">
        <x:v>1.5000000000000406</x:v>
      </x:c>
      <x:c r="CD668" s="6" t="str">
        <x:v>26555.70050091677</x:v>
      </x:c>
      <x:c r="CE668" s="6" t="str">
        <x:v>39.45050091676967</x:v>
      </x:c>
      <x:c r="CF668" s="6" t="str">
        <x:v>Fixed 2.00R target</x:v>
      </x:c>
      <x:c r="CG668" s="9" t="str">
        <x:v>0.036754919869309746</x:v>
      </x:c>
      <x:c r="CH668" s="9" t="str">
        <x:v>2.0</x:v>
      </x:c>
      <x:c r="CI668" s="9" t="str">
        <x:v>1.9632450801306902</x:v>
      </x:c>
      <x:c r="CJ668" s="6" t="str">
        <x:v>Win</x:v>
      </x:c>
      <x:c r="CK668" s="9" t="str">
        <x:v>2.4461032878540627</x:v>
      </x:c>
      <x:c r="CL668" s="9" t="str">
        <x:v>0.8998618312831007</x:v>
      </x:c>
      <x:c r="CM668" s="7" t="str">
        <x:v>2026-05-08 07:30:00-05:00</x:v>
      </x:c>
      <x:c r="CN668" s="6" t="str">
        <x:v>26555.70050091677</x:v>
      </x:c>
      <x:c r="CO668" s="6" t="str">
        <x:v>TARGET</x:v>
      </x:c>
      <x:c r="CP668" s="6" t="str">
        <x:v>F::Long::Same-bar Setup+BOS::Penetration + same-bar reclaim</x:v>
      </x:c>
    </x:row>
    <x:row r="669" ht="18" customHeight="1">
      <x:c r="A669" s="6" t="str">
        <x:v>A0668</x:v>
      </x:c>
      <x:c r="B669" s="6" t="str">
        <x:v>2026-05-11</x:v>
      </x:c>
      <x:c r="C669" s="6" t="str">
        <x:v>2026</x:v>
      </x:c>
      <x:c r="D669" s="6" t="str">
        <x:v>2026-Q2</x:v>
      </x:c>
      <x:c r="E669" s="6" t="str">
        <x:v>Second 50%</x:v>
      </x:c>
      <x:c r="F669" s="6" t="str">
        <x:v>Long</x:v>
      </x:c>
      <x:c r="G669" s="6" t="str">
        <x:v>Long</x:v>
      </x:c>
      <x:c r="H669" s="6" t="str">
        <x:v>Morning</x:v>
      </x:c>
      <x:c r="I669" s="6" t="str">
        <x:v>Opening</x:v>
      </x:c>
      <x:c r="J669" s="6" t="str">
        <x:v>Bull</x:v>
      </x:c>
      <x:c r="K669" s="6" t="str">
        <x:v>Bull</x:v>
      </x:c>
      <x:c r="L669" s="6" t="str">
        <x:v>HIGH</x:v>
      </x:c>
      <x:c r="M669" s="7" t="str">
        <x:v>2026-05-11 10:25:00-05:00</x:v>
      </x:c>
      <x:c r="N669" s="6" t="str">
        <x:v>85.0</x:v>
      </x:c>
      <x:c r="O669" s="6" t="str">
        <x:v>85-89</x:v>
      </x:c>
      <x:c r="P669" s="6" t="str">
        <x:v>Matching BOS only</x:v>
      </x:c>
      <x:c r="Q669" s="6" t="str">
        <x:v>Bull BOS</x:v>
      </x:c>
      <x:c r="R669" s="6" t="str">
        <x:v>True</x:v>
      </x:c>
      <x:c r="S669" s="6" t="str">
        <x:v>False</x:v>
      </x:c>
      <x:c r="T669" s="6" t="str">
        <x:v>Recent SSL</x:v>
      </x:c>
      <x:c r="U669" s="6" t="str">
        <x:v>SSL</x:v>
      </x:c>
      <x:c r="V669" s="6" t="str">
        <x:v>Swing low / sell-side</x:v>
      </x:c>
      <x:c r="W669" s="6" t="str">
        <x:v>[26880.75]</x:v>
      </x:c>
      <x:c r="X669" s="8" t="str">
        <x:v>1</x:v>
      </x:c>
      <x:c r="Y669" s="8" t="str">
        <x:v>11.0</x:v>
      </x:c>
      <x:c r="Z669" s="6" t="str">
        <x:v>None</x:v>
      </x:c>
      <x:c r="AA669" s="6" t="str">
        <x:v>27033.75</x:v>
      </x:c>
      <x:c r="AB669" s="9" t="str">
        <x:v>0.36613685504778426</x:v>
      </x:c>
      <x:c r="AC669" s="9" t="str">
        <x:v>0.5088681714223442</x:v>
      </x:c>
      <x:c r="AD669" s="9" t="str">
        <x:v>0.6578051972044937</x:v>
      </x:c>
      <x:c r="AE669" s="6" t="str">
        <x:v>With trade</x:v>
      </x:c>
      <x:c r="AF669" s="7" t="str">
        <x:v>2026-05-11 10:25:00-05:00</x:v>
      </x:c>
      <x:c r="AG669" s="6" t="str">
        <x:v>Long</x:v>
      </x:c>
      <x:c r="AH669" s="6" t="str">
        <x:v>27033.75</x:v>
      </x:c>
      <x:c r="AI669" s="8" t="str">
        <x:v>0</x:v>
      </x:c>
      <x:c r="AJ669" s="6" t="str">
        <x:v>True</x:v>
      </x:c>
      <x:c r="AK669" s="6" t="str">
        <x:v>Same-bar Setup+BOS</x:v>
      </x:c>
      <x:c r="AL669" s="9" t="str">
        <x:v>0.5150738808299338</x:v>
      </x:c>
      <x:c r="AM669" s="9" t="str">
        <x:v>0.36613685504778426</x:v>
      </x:c>
      <x:c r="AN669" s="9" t="str">
        <x:v>0.5088681714223442</x:v>
      </x:c>
      <x:c r="AO669" s="9" t="str">
        <x:v>0.6578051972044937</x:v>
      </x:c>
      <x:c r="AP669" s="10" t="str">
        <x:v>0.7735849056603774</x:v>
      </x:c>
      <x:c r="AQ669" s="6" t="str">
        <x:v>0.09433962264150944</x:v>
      </x:c>
      <x:c r="AR669" s="6" t="str">
        <x:v>0.1320754716981132</x:v>
      </x:c>
      <x:c r="AS669" s="6" t="str">
        <x:v>With trade</x:v>
      </x:c>
      <x:c r="AT669" s="6" t="str">
        <x:v>0.7027230317433645</x:v>
      </x:c>
      <x:c r="AU669" s="7" t="str">
        <x:v>2026-05-11 10:30:00-05:00</x:v>
      </x:c>
      <x:c r="AV669" s="8" t="str">
        <x:v>1</x:v>
      </x:c>
      <x:c r="AW669" s="6" t="str">
        <x:v>Immediate retest (1 bar)</x:v>
      </x:c>
      <x:c r="AX669" s="6" t="str">
        <x:v>27031.25</x:v>
      </x:c>
      <x:c r="AY669" s="6" t="str">
        <x:v>2.5</x:v>
      </x:c>
      <x:c r="AZ669" s="9" t="str">
        <x:v>0.06278462994520288</x:v>
      </x:c>
      <x:c r="BA669" s="9" t="str">
        <x:v>0.2071892788191695</x:v>
      </x:c>
      <x:c r="BB669" s="9" t="str">
        <x:v>0.8475925042602388</x:v>
      </x:c>
      <x:c r="BC669" s="9" t="str">
        <x:v>0.16324003785752747</x:v>
      </x:c>
      <x:c r="BD669" s="6" t="str">
        <x:v>0.4888888888888889</x:v>
      </x:c>
      <x:c r="BE669" s="6" t="str">
        <x:v>0.31851851851851853</x:v>
      </x:c>
      <x:c r="BF669" s="9" t="str">
        <x:v>0.2699739087643724</x:v>
      </x:c>
      <x:c r="BG669" s="9" t="str">
        <x:v>0.414378557638339</x:v>
      </x:c>
      <x:c r="BH669" s="6" t="str">
        <x:v>Against trade</x:v>
      </x:c>
      <x:c r="BI669" s="6" t="str">
        <x:v>Penetration + same-bar reclaim</x:v>
      </x:c>
      <x:c r="BJ669" s="6" t="str">
        <x:v>False</x:v>
      </x:c>
      <x:c r="BK669" s="10" t="str">
        <x:v>True</x:v>
      </x:c>
      <x:c r="BL669" s="6" t="str">
        <x:v>True</x:v>
      </x:c>
      <x:c r="BM669" s="7" t="str">
        <x:v>2026-05-11 10:35:00-05:00</x:v>
      </x:c>
      <x:c r="BN669" s="8" t="str">
        <x:v>1</x:v>
      </x:c>
      <x:c r="BO669" s="6" t="str">
        <x:v>Immediate confirmation (1 bar)</x:v>
      </x:c>
      <x:c r="BP669" s="9" t="str">
        <x:v>0.08455007793032356</x:v>
      </x:c>
      <x:c r="BQ669" s="9" t="str">
        <x:v>0.533315876175887</x:v>
      </x:c>
      <x:c r="BR669" s="10" t="str">
        <x:v>0.15853658536585366</x:v>
      </x:c>
      <x:c r="BS669" s="9" t="str">
        <x:v>0.30568105097886206</x:v>
      </x:c>
      <x:c r="BT669" s="9" t="str">
        <x:v>0.09105393007880998</x:v>
      </x:c>
      <x:c r="BU669" s="9" t="str">
        <x:v>0.39023112890918565</x:v>
      </x:c>
      <x:c r="BV669" s="6" t="str">
        <x:v>With trade</x:v>
      </x:c>
      <x:c r="BW669" s="7" t="str">
        <x:v>2026-05-11 10:35:00-05:00</x:v>
      </x:c>
      <x:c r="BX669" s="6" t="str">
        <x:v>27045.5</x:v>
      </x:c>
      <x:c r="BY669" s="9" t="str">
        <x:v>38.43875818397561</x:v>
      </x:c>
      <x:c r="BZ669" s="9" t="str">
        <x:v>0.79</x:v>
      </x:c>
      <x:c r="CA669" s="6" t="str">
        <x:v>26987.841862724035</x:v>
      </x:c>
      <x:c r="CB669" s="6" t="str">
        <x:v>57.65813727596469</x:v>
      </x:c>
      <x:c r="CC669" s="9" t="str">
        <x:v>1.5000000000000333</x:v>
      </x:c>
      <x:c r="CD669" s="6" t="str">
        <x:v>27160.816274551926</x:v>
      </x:c>
      <x:c r="CE669" s="6" t="str">
        <x:v>115.31627455192574</x:v>
      </x:c>
      <x:c r="CF669" s="6" t="str">
        <x:v>Fixed 2.00R target</x:v>
      </x:c>
      <x:c r="CG669" s="9" t="str">
        <x:v>0.012574114153740146</x:v>
      </x:c>
      <x:c r="CH669" s="9" t="str">
        <x:v>0.24281048021015994</x:v>
      </x:c>
      <x:c r="CI669" s="9" t="str">
        <x:v>0.23023636605641978</x:v>
      </x:c>
      <x:c r="CJ669" s="6" t="str">
        <x:v>Win</x:v>
      </x:c>
      <x:c r="CK669" s="9" t="str">
        <x:v>0.9712419208406182</x:v>
      </x:c>
      <x:c r="CL669" s="9" t="str">
        <x:v>0.229802775913182</x:v>
      </x:c>
      <x:c r="CM669" s="7" t="str">
        <x:v>2026-05-11 11:35:00-05:00</x:v>
      </x:c>
      <x:c r="CN669" s="6" t="str">
        <x:v>27059.5</x:v>
      </x:c>
      <x:c r="CO669" s="6" t="str">
        <x:v>TIME</x:v>
      </x:c>
      <x:c r="CP669" s="6" t="str">
        <x:v>F::Long::Same-bar Setup+BOS::Penetration + same-bar reclaim</x:v>
      </x:c>
    </x:row>
    <x:row r="670" ht="18" customHeight="1">
      <x:c r="A670" s="6" t="str">
        <x:v>A0669</x:v>
      </x:c>
      <x:c r="B670" s="6" t="str">
        <x:v>2026-05-15</x:v>
      </x:c>
      <x:c r="C670" s="6" t="str">
        <x:v>2026</x:v>
      </x:c>
      <x:c r="D670" s="6" t="str">
        <x:v>2026-Q2</x:v>
      </x:c>
      <x:c r="E670" s="6" t="str">
        <x:v>Second 50%</x:v>
      </x:c>
      <x:c r="F670" s="6" t="str">
        <x:v>Long</x:v>
      </x:c>
      <x:c r="G670" s="6" t="str">
        <x:v>Long</x:v>
      </x:c>
      <x:c r="H670" s="6" t="str">
        <x:v>Opening</x:v>
      </x:c>
      <x:c r="I670" s="6" t="str">
        <x:v>Premarket</x:v>
      </x:c>
      <x:c r="J670" s="6" t="str">
        <x:v>Bear</x:v>
      </x:c>
      <x:c r="K670" s="6" t="str">
        <x:v>Bear</x:v>
      </x:c>
      <x:c r="L670" s="6" t="str">
        <x:v>HIGH</x:v>
      </x:c>
      <x:c r="M670" s="7" t="str">
        <x:v>2026-05-15 09:10:00-05:00</x:v>
      </x:c>
      <x:c r="N670" s="6" t="str">
        <x:v>90.0</x:v>
      </x:c>
      <x:c r="O670" s="6" t="str">
        <x:v>90-94</x:v>
      </x:c>
      <x:c r="P670" s="6" t="str">
        <x:v>Matching BOS only</x:v>
      </x:c>
      <x:c r="Q670" s="6" t="str">
        <x:v>Bull CHoCH</x:v>
      </x:c>
      <x:c r="R670" s="6" t="str">
        <x:v>True</x:v>
      </x:c>
      <x:c r="S670" s="6" t="str">
        <x:v>False</x:v>
      </x:c>
      <x:c r="T670" s="6" t="str">
        <x:v>Recent SSL</x:v>
      </x:c>
      <x:c r="U670" s="6" t="str">
        <x:v>SSL</x:v>
      </x:c>
      <x:c r="V670" s="6" t="str">
        <x:v>Swing low / sell-side</x:v>
      </x:c>
      <x:c r="W670" s="6" t="str">
        <x:v>[26764.0]</x:v>
      </x:c>
      <x:c r="X670" s="8" t="str">
        <x:v>1</x:v>
      </x:c>
      <x:c r="Y670" s="8" t="str">
        <x:v>5.0</x:v>
      </x:c>
      <x:c r="Z670" s="6" t="str">
        <x:v>None</x:v>
      </x:c>
      <x:c r="AA670" s="6" t="str">
        <x:v>26912.5</x:v>
      </x:c>
      <x:c r="AB670" s="9" t="str">
        <x:v>0.14098858619679303</x:v>
      </x:c>
      <x:c r="AC670" s="9" t="str">
        <x:v>1.2512737024965381</x:v>
      </x:c>
      <x:c r="AD670" s="9" t="str">
        <x:v>1.5720227360942423</x:v>
      </x:c>
      <x:c r="AE670" s="6" t="str">
        <x:v>With trade</x:v>
      </x:c>
      <x:c r="AF670" s="7" t="str">
        <x:v>2026-05-15 09:10:00-05:00</x:v>
      </x:c>
      <x:c r="AG670" s="6" t="str">
        <x:v>Long</x:v>
      </x:c>
      <x:c r="AH670" s="6" t="str">
        <x:v>26912.5</x:v>
      </x:c>
      <x:c r="AI670" s="8" t="str">
        <x:v>0</x:v>
      </x:c>
      <x:c r="AJ670" s="6" t="str">
        <x:v>True</x:v>
      </x:c>
      <x:c r="AK670" s="6" t="str">
        <x:v>Same-bar Setup+BOS</x:v>
      </x:c>
      <x:c r="AL670" s="9" t="str">
        <x:v>1.2442242731866986</x:v>
      </x:c>
      <x:c r="AM670" s="9" t="str">
        <x:v>0.14098858619679303</x:v>
      </x:c>
      <x:c r="AN670" s="9" t="str">
        <x:v>1.2512737024965381</x:v>
      </x:c>
      <x:c r="AO670" s="9" t="str">
        <x:v>1.5720227360942423</x:v>
      </x:c>
      <x:c r="AP670" s="10" t="str">
        <x:v>0.7959641255605381</x:v>
      </x:c>
      <x:c r="AQ670" s="6" t="str">
        <x:v>0.033632286995515695</x:v>
      </x:c>
      <x:c r="AR670" s="6" t="str">
        <x:v>0.17040358744394618</x:v>
      </x:c>
      <x:c r="AS670" s="6" t="str">
        <x:v>With trade</x:v>
      </x:c>
      <x:c r="AT670" s="6" t="str">
        <x:v>1.5190926783437353</x:v>
      </x:c>
      <x:c r="AU670" s="7" t="str">
        <x:v>2026-05-15 09:15:00-05:00</x:v>
      </x:c>
      <x:c r="AV670" s="8" t="str">
        <x:v>1</x:v>
      </x:c>
      <x:c r="AW670" s="6" t="str">
        <x:v>Immediate retest (1 bar)</x:v>
      </x:c>
      <x:c r="AX670" s="6" t="str">
        <x:v>26895.75</x:v>
      </x:c>
      <x:c r="AY670" s="6" t="str">
        <x:v>16.75</x:v>
      </x:c>
      <x:c r="AZ670" s="9" t="str">
        <x:v>0.23193469662375432</x:v>
      </x:c>
      <x:c r="BA670" s="9" t="str">
        <x:v>0.8031171584583732</x:v>
      </x:c>
      <x:c r="BB670" s="9" t="str">
        <x:v>1.232369432806814</x:v>
      </x:c>
      <x:c r="BC670" s="9" t="str">
        <x:v>0.6681103947520087</x:v>
      </x:c>
      <x:c r="BD670" s="6" t="str">
        <x:v>0.1601123595505618</x:v>
      </x:c>
      <x:c r="BE670" s="6" t="str">
        <x:v>0.29775280898876405</x:v>
      </x:c>
      <x:c r="BF670" s="9" t="str">
        <x:v>0.36694146033011876</x:v>
      </x:c>
      <x:c r="BG670" s="9" t="str">
        <x:v>0.19731757772468653</x:v>
      </x:c>
      <x:c r="BH670" s="6" t="str">
        <x:v>With trade</x:v>
      </x:c>
      <x:c r="BI670" s="6" t="str">
        <x:v>Penetration + same-bar reclaim</x:v>
      </x:c>
      <x:c r="BJ670" s="6" t="str">
        <x:v>False</x:v>
      </x:c>
      <x:c r="BK670" s="10" t="str">
        <x:v>True</x:v>
      </x:c>
      <x:c r="BL670" s="6" t="str">
        <x:v>True</x:v>
      </x:c>
      <x:c r="BM670" s="7" t="str">
        <x:v>2026-05-15 09:30:00-05:00</x:v>
      </x:c>
      <x:c r="BN670" s="8" t="str">
        <x:v>3</x:v>
      </x:c>
      <x:c r="BO670" s="6" t="str">
        <x:v>Delayed confirmation (2+ bars)</x:v>
      </x:c>
      <x:c r="BP670" s="9" t="str">
        <x:v>0.7048858759095316</x:v>
      </x:c>
      <x:c r="BQ670" s="9" t="str">
        <x:v>0.8793273300487591</x:v>
      </x:c>
      <x:c r="BR670" s="10" t="str">
        <x:v>0.8016194331983806</x:v>
      </x:c>
      <x:c r="BS670" s="9" t="str">
        <x:v>0.7226860242910854</x:v>
      </x:c>
      <x:c r="BT670" s="9" t="str">
        <x:v>-0.1032408606130122</x:v>
      </x:c>
      <x:c r="BU670" s="9" t="str">
        <x:v>0.08900074190776913</x:v>
      </x:c>
      <x:c r="BV670" s="6" t="str">
        <x:v>With trade</x:v>
      </x:c>
      <x:c r="BW670" s="7" t="str">
        <x:v>2026-05-15 09:30:00-05:00</x:v>
      </x:c>
      <x:c r="BX670" s="6" t="str">
        <x:v>26963.25</x:v>
      </x:c>
      <x:c r="BY670" s="9" t="str">
        <x:v>70.22413370977101</x:v>
      </x:c>
      <x:c r="BZ670" s="9" t="str">
        <x:v>0.96</x:v>
      </x:c>
      <x:c r="CA670" s="6" t="str">
        <x:v>26857.913799435344</x:v>
      </x:c>
      <x:c r="CB670" s="6" t="str">
        <x:v>105.33620056465588</x:v>
      </x:c>
      <x:c r="CC670" s="9" t="str">
        <x:v>1.499999999999991</x:v>
      </x:c>
      <x:c r="CD670" s="6" t="str">
        <x:v>27173.92240112931</x:v>
      </x:c>
      <x:c r="CE670" s="6" t="str">
        <x:v>210.67240112931177</x:v>
      </x:c>
      <x:c r="CF670" s="6" t="str">
        <x:v>Fixed 2.00R target</x:v>
      </x:c>
      <x:c r="CG670" s="9" t="str">
        <x:v>0.006882724040867521</x:v>
      </x:c>
      <x:c r="CH670" s="9" t="str">
        <x:v>0.014240118705243063</x:v>
      </x:c>
      <x:c r="CI670" s="9" t="str">
        <x:v>0.007357394664375542</x:v>
      </x:c>
      <x:c r="CJ670" s="6" t="str">
        <x:v>Win</x:v>
      </x:c>
      <x:c r="CK670" s="9" t="str">
        <x:v>0.2871757272224035</x:v>
      </x:c>
      <x:c r="CL670" s="9" t="str">
        <x:v>0.9612080126039124</x:v>
      </x:c>
      <x:c r="CM670" s="7" t="str">
        <x:v>2026-05-15 10:30:00-05:00</x:v>
      </x:c>
      <x:c r="CN670" s="6" t="str">
        <x:v>26964.75</x:v>
      </x:c>
      <x:c r="CO670" s="6" t="str">
        <x:v>TIME</x:v>
      </x:c>
      <x:c r="CP670" s="6" t="str">
        <x:v>F::Long::Same-bar Setup+BOS::Penetration + same-bar reclaim</x:v>
      </x:c>
    </x:row>
    <x:row r="671" ht="18" customHeight="1">
      <x:c r="A671" s="6" t="str">
        <x:v>A0670</x:v>
      </x:c>
      <x:c r="B671" s="6" t="str">
        <x:v>2026-05-17</x:v>
      </x:c>
      <x:c r="C671" s="6" t="str">
        <x:v>2026</x:v>
      </x:c>
      <x:c r="D671" s="6" t="str">
        <x:v>2026-Q2</x:v>
      </x:c>
      <x:c r="E671" s="6" t="str">
        <x:v>Second 50%</x:v>
      </x:c>
      <x:c r="F671" s="6" t="str">
        <x:v>Long</x:v>
      </x:c>
      <x:c r="G671" s="6" t="str">
        <x:v>Long</x:v>
      </x:c>
      <x:c r="H671" s="6" t="str">
        <x:v>Overnight</x:v>
      </x:c>
      <x:c r="I671" s="6" t="str">
        <x:v>Overnight</x:v>
      </x:c>
      <x:c r="J671" s="6" t="str">
        <x:v>Bear</x:v>
      </x:c>
      <x:c r="K671" s="6" t="str">
        <x:v>Bear</x:v>
      </x:c>
      <x:c r="L671" s="6" t="str">
        <x:v>MID</x:v>
      </x:c>
      <x:c r="M671" s="7" t="str">
        <x:v>2026-05-17 21:15:00-05:00</x:v>
      </x:c>
      <x:c r="N671" s="6" t="str">
        <x:v>75.0</x:v>
      </x:c>
      <x:c r="O671" s="6" t="str">
        <x:v>75-79</x:v>
      </x:c>
      <x:c r="P671" s="6" t="str">
        <x:v>Matching BOS only</x:v>
      </x:c>
      <x:c r="Q671" s="6" t="str">
        <x:v>Bull CHoCH</x:v>
      </x:c>
      <x:c r="R671" s="6" t="str">
        <x:v>True</x:v>
      </x:c>
      <x:c r="S671" s="6" t="str">
        <x:v>False</x:v>
      </x:c>
      <x:c r="T671" s="6" t="str">
        <x:v>Recent SSL</x:v>
      </x:c>
      <x:c r="U671" s="6" t="str">
        <x:v>SSL</x:v>
      </x:c>
      <x:c r="V671" s="6" t="str">
        <x:v>Swing low / sell-side</x:v>
      </x:c>
      <x:c r="W671" s="6" t="str">
        <x:v>[26559.0]</x:v>
      </x:c>
      <x:c r="X671" s="8" t="str">
        <x:v>1</x:v>
      </x:c>
      <x:c r="Y671" s="8" t="str">
        <x:v>8.0</x:v>
      </x:c>
      <x:c r="Z671" s="6" t="str">
        <x:v>None</x:v>
      </x:c>
      <x:c r="AA671" s="6" t="str">
        <x:v>26672.5</x:v>
      </x:c>
      <x:c r="AB671" s="9" t="str">
        <x:v>0.10931564789104364</x:v>
      </x:c>
      <x:c r="AC671" s="9" t="str">
        <x:v>0.37972804004257266</x:v>
      </x:c>
      <x:c r="AD671" s="9" t="str">
        <x:v>0.7537026249329851</x:v>
      </x:c>
      <x:c r="AE671" s="6" t="str">
        <x:v>With trade</x:v>
      </x:c>
      <x:c r="AF671" s="7" t="str">
        <x:v>2026-05-17 21:15:00-05:00</x:v>
      </x:c>
      <x:c r="AG671" s="6" t="str">
        <x:v>Long</x:v>
      </x:c>
      <x:c r="AH671" s="6" t="str">
        <x:v>26672.5</x:v>
      </x:c>
      <x:c r="AI671" s="8" t="str">
        <x:v>0</x:v>
      </x:c>
      <x:c r="AJ671" s="6" t="str">
        <x:v>True</x:v>
      </x:c>
      <x:c r="AK671" s="6" t="str">
        <x:v>Same-bar Setup+BOS</x:v>
      </x:c>
      <x:c r="AL671" s="9" t="str">
        <x:v>0.3509607642817717</x:v>
      </x:c>
      <x:c r="AM671" s="9" t="str">
        <x:v>0.10931564789104364</x:v>
      </x:c>
      <x:c r="AN671" s="9" t="str">
        <x:v>0.37972804004257266</x:v>
      </x:c>
      <x:c r="AO671" s="9" t="str">
        <x:v>0.7537026249329851</x:v>
      </x:c>
      <x:c r="AP671" s="10" t="str">
        <x:v>0.5038167938931297</x:v>
      </x:c>
      <x:c r="AQ671" s="6" t="str">
        <x:v>0.4961832061068702</x:v>
      </x:c>
      <x:c r="AR671" s="6" t="str">
        <x:v>0.0</x:v>
      </x:c>
      <x:c r="AS671" s="6" t="str">
        <x:v>With trade</x:v>
      </x:c>
      <x:c r="AT671" s="6" t="str">
        <x:v>1.117443289753045</x:v>
      </x:c>
      <x:c r="AU671" s="7" t="str">
        <x:v>2026-05-17 21:20:00-05:00</x:v>
      </x:c>
      <x:c r="AV671" s="8" t="str">
        <x:v>1</x:v>
      </x:c>
      <x:c r="AW671" s="6" t="str">
        <x:v>Immediate retest (1 bar)</x:v>
      </x:c>
      <x:c r="AX671" s="6" t="str">
        <x:v>26662.25</x:v>
      </x:c>
      <x:c r="AY671" s="6" t="str">
        <x:v>10.25</x:v>
      </x:c>
      <x:c r="AZ671" s="9" t="str">
        <x:v>0.24082112449573498</x:v>
      </x:c>
      <x:c r="BA671" s="9" t="str">
        <x:v>0.48751593495478057</x:v>
      </x:c>
      <x:c r="BB671" s="9" t="str">
        <x:v>0.7283370594505155</x:v>
      </x:c>
      <x:c r="BC671" s="9" t="str">
        <x:v>0.34067378587201536</x:v>
      </x:c>
      <x:c r="BD671" s="6" t="str">
        <x:v>0.0</x:v>
      </x:c>
      <x:c r="BE671" s="6" t="str">
        <x:v>0.532258064516129</x:v>
      </x:c>
      <x:c r="BF671" s="9" t="str">
        <x:v>0.3876632735785002</x:v>
      </x:c>
      <x:c r="BG671" s="9" t="str">
        <x:v>0.0</x:v>
      </x:c>
      <x:c r="BH671" s="6" t="str">
        <x:v>With trade</x:v>
      </x:c>
      <x:c r="BI671" s="6" t="str">
        <x:v>Penetration + same-bar reclaim</x:v>
      </x:c>
      <x:c r="BJ671" s="6" t="str">
        <x:v>False</x:v>
      </x:c>
      <x:c r="BK671" s="10" t="str">
        <x:v>True</x:v>
      </x:c>
      <x:c r="BL671" s="6" t="str">
        <x:v>True</x:v>
      </x:c>
      <x:c r="BM671" s="7" t="str">
        <x:v>2026-05-17 21:25:00-05:00</x:v>
      </x:c>
      <x:c r="BN671" s="8" t="str">
        <x:v>1</x:v>
      </x:c>
      <x:c r="BO671" s="6" t="str">
        <x:v>Immediate confirmation (1 bar)</x:v>
      </x:c>
      <x:c r="BP671" s="9" t="str">
        <x:v>0.463006512339763</x:v>
      </x:c>
      <x:c r="BQ671" s="9" t="str">
        <x:v>0.6915032327152304</x:v>
      </x:c>
      <x:c r="BR671" s="10" t="str">
        <x:v>0.6695652173913044</x:v>
      </x:c>
      <x:c r="BS671" s="9" t="str">
        <x:v>0.9380391678571821</x:v>
      </x:c>
      <x:c r="BT671" s="9" t="str">
        <x:v>0.4389542259844506</x:v>
      </x:c>
      <x:c r="BU671" s="9" t="str">
        <x:v>0.14431371813187416</x:v>
      </x:c>
      <x:c r="BV671" s="6" t="str">
        <x:v>With trade</x:v>
      </x:c>
      <x:c r="BW671" s="7" t="str">
        <x:v>2026-05-17 21:25:00-05:00</x:v>
      </x:c>
      <x:c r="BX671" s="6" t="str">
        <x:v>26711.5</x:v>
      </x:c>
      <x:c r="BY671" s="9" t="str">
        <x:v>41.57608907641883</x:v>
      </x:c>
      <x:c r="BZ671" s="9" t="str">
        <x:v>0.51</x:v>
      </x:c>
      <x:c r="CA671" s="6" t="str">
        <x:v>26649.13586638537</x:v>
      </x:c>
      <x:c r="CB671" s="6" t="str">
        <x:v>62.36413361462837</x:v>
      </x:c>
      <x:c r="CC671" s="9" t="str">
        <x:v>1.5000000000000029</x:v>
      </x:c>
      <x:c r="CD671" s="6" t="str">
        <x:v>26836.228267229257</x:v>
      </x:c>
      <x:c r="CE671" s="6" t="str">
        <x:v>124.72826722925674</x:v>
      </x:c>
      <x:c r="CF671" s="6" t="str">
        <x:v>Fixed 2.00R target</x:v>
      </x:c>
      <x:c r="CG671" s="9" t="str">
        <x:v>0.011625271738400951</x:v>
      </x:c>
      <x:c r="CH671" s="9" t="str">
        <x:v>-1.0</x:v>
      </x:c>
      <x:c r="CI671" s="9" t="str">
        <x:v>-1.0116252717384009</x:v>
      </x:c>
      <x:c r="CJ671" s="6" t="str">
        <x:v>Loss</x:v>
      </x:c>
      <x:c r="CK671" s="9" t="str">
        <x:v>0.04409585831807258</x:v>
      </x:c>
      <x:c r="CL671" s="9" t="str">
        <x:v>1.1344661730922307</x:v>
      </x:c>
      <x:c r="CM671" s="7" t="str">
        <x:v>2026-05-17 21:45:00-05:00</x:v>
      </x:c>
      <x:c r="CN671" s="6" t="str">
        <x:v>26649.13586638537</x:v>
      </x:c>
      <x:c r="CO671" s="6" t="str">
        <x:v>STOP</x:v>
      </x:c>
      <x:c r="CP671" s="6" t="str">
        <x:v>F::Long::Same-bar Setup+BOS::Penetration + same-bar reclaim</x:v>
      </x:c>
    </x:row>
    <x:row r="672" ht="18" customHeight="1">
      <x:c r="A672" s="6" t="str">
        <x:v>A0671</x:v>
      </x:c>
      <x:c r="B672" s="6" t="str">
        <x:v>2026-05-18</x:v>
      </x:c>
      <x:c r="C672" s="6" t="str">
        <x:v>2026</x:v>
      </x:c>
      <x:c r="D672" s="6" t="str">
        <x:v>2026-Q2</x:v>
      </x:c>
      <x:c r="E672" s="6" t="str">
        <x:v>Second 50%</x:v>
      </x:c>
      <x:c r="F672" s="6" t="str">
        <x:v>Short</x:v>
      </x:c>
      <x:c r="G672" s="6" t="str">
        <x:v>Short</x:v>
      </x:c>
      <x:c r="H672" s="6" t="str">
        <x:v>Morning</x:v>
      </x:c>
      <x:c r="I672" s="6" t="str">
        <x:v>Morning</x:v>
      </x:c>
      <x:c r="J672" s="6" t="str">
        <x:v>Bear</x:v>
      </x:c>
      <x:c r="K672" s="6" t="str">
        <x:v>Bear</x:v>
      </x:c>
      <x:c r="L672" s="6" t="str">
        <x:v>HIGH</x:v>
      </x:c>
      <x:c r="M672" s="7" t="str">
        <x:v>2026-05-18 11:25:00-05:00</x:v>
      </x:c>
      <x:c r="N672" s="6" t="str">
        <x:v>75.0</x:v>
      </x:c>
      <x:c r="O672" s="6" t="str">
        <x:v>75-79</x:v>
      </x:c>
      <x:c r="P672" s="6" t="str">
        <x:v>Matching BOS only</x:v>
      </x:c>
      <x:c r="Q672" s="6" t="str">
        <x:v>Bear BOS</x:v>
      </x:c>
      <x:c r="R672" s="6" t="str">
        <x:v>True</x:v>
      </x:c>
      <x:c r="S672" s="6" t="str">
        <x:v>False</x:v>
      </x:c>
      <x:c r="T672" s="6" t="str">
        <x:v>No recent matching sweep</x:v>
      </x:c>
      <x:c r="U672" s="6" t="str">
        <x:v>None</x:v>
      </x:c>
      <x:c r="V672" s="6" t="str">
        <x:v>None</x:v>
      </x:c>
      <x:c r="W672" s="6" t="str">
        <x:v>[]</x:v>
      </x:c>
      <x:c r="X672" s="8" t="str">
        <x:v>0</x:v>
      </x:c>
      <x:c r="Y672" s="8" t="str"/>
      <x:c r="Z672" s="6" t="str">
        <x:v>None</x:v>
      </x:c>
      <x:c r="AA672" s="6" t="str">
        <x:v>26563.0</x:v>
      </x:c>
      <x:c r="AB672" s="9" t="str">
        <x:v>0.8763323016833783</x:v>
      </x:c>
      <x:c r="AC672" s="9" t="str">
        <x:v>1.6170417471538527</x:v>
      </x:c>
      <x:c r="AD672" s="9" t="str">
        <x:v>1.9474051148519516</x:v>
      </x:c>
      <x:c r="AE672" s="6" t="str">
        <x:v>With trade</x:v>
      </x:c>
      <x:c r="AF672" s="7" t="str">
        <x:v>2026-05-18 11:25:00-05:00</x:v>
      </x:c>
      <x:c r="AG672" s="6" t="str">
        <x:v>Short</x:v>
      </x:c>
      <x:c r="AH672" s="6" t="str">
        <x:v>26563.0</x:v>
      </x:c>
      <x:c r="AI672" s="8" t="str">
        <x:v>0</x:v>
      </x:c>
      <x:c r="AJ672" s="6" t="str">
        <x:v>True</x:v>
      </x:c>
      <x:c r="AK672" s="6" t="str">
        <x:v>Same-bar Setup+BOS</x:v>
      </x:c>
      <x:c r="AL672" s="9" t="str">
        <x:v>1.603131710619196</x:v>
      </x:c>
      <x:c r="AM672" s="9" t="str">
        <x:v>0.8763323016833783</x:v>
      </x:c>
      <x:c r="AN672" s="9" t="str">
        <x:v>1.6170417471538527</x:v>
      </x:c>
      <x:c r="AO672" s="9" t="str">
        <x:v>1.9474051148519516</x:v>
      </x:c>
      <x:c r="AP672" s="10" t="str">
        <x:v>0.8303571428571429</x:v>
      </x:c>
      <x:c r="AQ672" s="6" t="str">
        <x:v>0.03214285714285714</x:v>
      </x:c>
      <x:c r="AR672" s="6" t="str">
        <x:v>0.1375</x:v>
      </x:c>
      <x:c r="AS672" s="6" t="str">
        <x:v>With trade</x:v>
      </x:c>
      <x:c r="AT672" s="6" t="str">
        <x:v>1.9631329962014403</x:v>
      </x:c>
      <x:c r="AU672" s="7" t="str">
        <x:v>2026-05-18 11:30:00-05:00</x:v>
      </x:c>
      <x:c r="AV672" s="8" t="str">
        <x:v>1</x:v>
      </x:c>
      <x:c r="AW672" s="6" t="str">
        <x:v>Immediate retest (1 bar)</x:v>
      </x:c>
      <x:c r="AX672" s="6" t="str">
        <x:v>26561.5</x:v>
      </x:c>
      <x:c r="AY672" s="6" t="str">
        <x:v>0.0</x:v>
      </x:c>
      <x:c r="AZ672" s="9" t="str">
        <x:v>0.0</x:v>
      </x:c>
      <x:c r="BA672" s="9" t="str">
        <x:v>0.4408585859356253</x:v>
      </x:c>
      <x:c r="BB672" s="9" t="str">
        <x:v>1.322575757806876</x:v>
      </x:c>
      <x:c r="BC672" s="9" t="str">
        <x:v>0.4239024864765628</x:v>
      </x:c>
      <x:c r="BD672" s="6" t="str">
        <x:v>0.31794871794871793</x:v>
      </x:c>
      <x:c r="BE672" s="6" t="str">
        <x:v>0.36153846153846153</x:v>
      </x:c>
      <x:c r="BF672" s="9" t="str">
        <x:v>0.4205112665847503</x:v>
      </x:c>
      <x:c r="BG672" s="9" t="str">
        <x:v>0.47816200474556286</x:v>
      </x:c>
      <x:c r="BH672" s="6" t="str">
        <x:v>Against trade</x:v>
      </x:c>
      <x:c r="BI672" s="6" t="str">
        <x:v>Tolerance-only shallow touch</x:v>
      </x:c>
      <x:c r="BJ672" s="6" t="str">
        <x:v>True</x:v>
      </x:c>
      <x:c r="BK672" s="10" t="str">
        <x:v>False</x:v>
      </x:c>
      <x:c r="BL672" s="6" t="str">
        <x:v>True</x:v>
      </x:c>
      <x:c r="BM672" s="7" t="str">
        <x:v>2026-05-18 11:40:00-05:00</x:v>
      </x:c>
      <x:c r="BN672" s="8" t="str">
        <x:v>2</x:v>
      </x:c>
      <x:c r="BO672" s="6" t="str">
        <x:v>Delayed confirmation (2+ bars)</x:v>
      </x:c>
      <x:c r="BP672" s="9" t="str">
        <x:v>0.2396019189707794</x:v>
      </x:c>
      <x:c r="BQ672" s="9" t="str">
        <x:v>0.4434423574981589</x:v>
      </x:c>
      <x:c r="BR672" s="10" t="str">
        <x:v>0.5403225806451613</x:v>
      </x:c>
      <x:c r="BS672" s="9" t="str">
        <x:v>0.26821110332549936</x:v>
      </x:c>
      <x:c r="BT672" s="9" t="str">
        <x:v>-0.1966881424386995</x:v>
      </x:c>
      <x:c r="BU672" s="9" t="str">
        <x:v>0.11443673741887972</x:v>
      </x:c>
      <x:c r="BV672" s="6" t="str">
        <x:v>With trade</x:v>
      </x:c>
      <x:c r="BW672" s="7" t="str">
        <x:v>2026-05-18 11:40:00-05:00</x:v>
      </x:c>
      <x:c r="BX672" s="6" t="str">
        <x:v>26544.25</x:v>
      </x:c>
      <x:c r="BY672" s="9" t="str">
        <x:v>69.90762040617355</x:v>
      </x:c>
      <x:c r="BZ672" s="9" t="str">
        <x:v>0.78</x:v>
      </x:c>
      <x:c r="CA672" s="6" t="str">
        <x:v>26649.11143060926</x:v>
      </x:c>
      <x:c r="CB672" s="6" t="str">
        <x:v>104.86143060926042</x:v>
      </x:c>
      <x:c r="CC672" s="9" t="str">
        <x:v>1.5000000000000013</x:v>
      </x:c>
      <x:c r="CD672" s="6" t="str">
        <x:v>26334.52713878148</x:v>
      </x:c>
      <x:c r="CE672" s="6" t="str">
        <x:v>209.72286121852085</x:v>
      </x:c>
      <x:c r="CF672" s="6" t="str">
        <x:v>Fixed 2.00R target</x:v>
      </x:c>
      <x:c r="CG672" s="9" t="str">
        <x:v>0.00691388621905731</x:v>
      </x:c>
      <x:c r="CH672" s="9" t="str">
        <x:v>-1.0</x:v>
      </x:c>
      <x:c r="CI672" s="9" t="str">
        <x:v>-1.0069138862190574</x:v>
      </x:c>
      <x:c r="CJ672" s="6" t="str">
        <x:v>Loss</x:v>
      </x:c>
      <x:c r="CK672" s="9" t="str">
        <x:v>0.1430459217735995</x:v>
      </x:c>
      <x:c r="CL672" s="9" t="str">
        <x:v>1.1705924598472894</x:v>
      </x:c>
      <x:c r="CM672" s="7" t="str">
        <x:v>2026-05-18 11:55:00-05:00</x:v>
      </x:c>
      <x:c r="CN672" s="6" t="str">
        <x:v>26649.11143060926</x:v>
      </x:c>
      <x:c r="CO672" s="6" t="str">
        <x:v>STOP</x:v>
      </x:c>
      <x:c r="CP672" s="6" t="str">
        <x:v>F::Short::Same-bar Setup+BOS::Tolerance-only shallow touch</x:v>
      </x:c>
    </x:row>
    <x:row r="673" ht="18" customHeight="1">
      <x:c r="A673" s="6" t="str">
        <x:v>A0672</x:v>
      </x:c>
      <x:c r="B673" s="6" t="str">
        <x:v>2026-05-18</x:v>
      </x:c>
      <x:c r="C673" s="6" t="str">
        <x:v>2026</x:v>
      </x:c>
      <x:c r="D673" s="6" t="str">
        <x:v>2026-Q2</x:v>
      </x:c>
      <x:c r="E673" s="6" t="str">
        <x:v>Second 50%</x:v>
      </x:c>
      <x:c r="F673" s="6" t="str">
        <x:v>Short</x:v>
      </x:c>
      <x:c r="G673" s="6" t="str">
        <x:v>Short</x:v>
      </x:c>
      <x:c r="H673" s="6" t="str">
        <x:v>Overnight</x:v>
      </x:c>
      <x:c r="I673" s="6" t="str">
        <x:v>Overnight</x:v>
      </x:c>
      <x:c r="J673" s="6" t="str">
        <x:v>Bear</x:v>
      </x:c>
      <x:c r="K673" s="6" t="str">
        <x:v>Bear</x:v>
      </x:c>
      <x:c r="L673" s="6" t="str">
        <x:v>MID</x:v>
      </x:c>
      <x:c r="M673" s="7" t="str">
        <x:v>2026-05-18 21:00:00-05:00</x:v>
      </x:c>
      <x:c r="N673" s="6" t="str">
        <x:v>90.0</x:v>
      </x:c>
      <x:c r="O673" s="6" t="str">
        <x:v>90-94</x:v>
      </x:c>
      <x:c r="P673" s="6" t="str">
        <x:v>Matching BOS only</x:v>
      </x:c>
      <x:c r="Q673" s="6" t="str">
        <x:v>Bear BOS</x:v>
      </x:c>
      <x:c r="R673" s="6" t="str">
        <x:v>True</x:v>
      </x:c>
      <x:c r="S673" s="6" t="str">
        <x:v>False</x:v>
      </x:c>
      <x:c r="T673" s="6" t="str">
        <x:v>Recent BSL</x:v>
      </x:c>
      <x:c r="U673" s="6" t="str">
        <x:v>BSL</x:v>
      </x:c>
      <x:c r="V673" s="6" t="str">
        <x:v>Swing high / buy-side</x:v>
      </x:c>
      <x:c r="W673" s="6" t="str">
        <x:v>[26806.5]</x:v>
      </x:c>
      <x:c r="X673" s="8" t="str">
        <x:v>1</x:v>
      </x:c>
      <x:c r="Y673" s="8" t="str">
        <x:v>20.0</x:v>
      </x:c>
      <x:c r="Z673" s="6" t="str">
        <x:v>None</x:v>
      </x:c>
      <x:c r="AA673" s="6" t="str">
        <x:v>26611.0</x:v>
      </x:c>
      <x:c r="AB673" s="9" t="str">
        <x:v>0.35920818181141867</x:v>
      </x:c>
      <x:c r="AC673" s="9" t="str">
        <x:v>1.0071915686084876</x:v>
      </x:c>
      <x:c r="AD673" s="9" t="str">
        <x:v>1.3523131550547527</x:v>
      </x:c>
      <x:c r="AE673" s="6" t="str">
        <x:v>With trade</x:v>
      </x:c>
      <x:c r="AF673" s="7" t="str">
        <x:v>2026-05-18 21:00:00-05:00</x:v>
      </x:c>
      <x:c r="AG673" s="6" t="str">
        <x:v>Short</x:v>
      </x:c>
      <x:c r="AH673" s="6" t="str">
        <x:v>26611.0</x:v>
      </x:c>
      <x:c r="AI673" s="8" t="str">
        <x:v>0</x:v>
      </x:c>
      <x:c r="AJ673" s="6" t="str">
        <x:v>True</x:v>
      </x:c>
      <x:c r="AK673" s="6" t="str">
        <x:v>Same-bar Setup+BOS</x:v>
      </x:c>
      <x:c r="AL673" s="9" t="str">
        <x:v>1.035364759338795</x:v>
      </x:c>
      <x:c r="AM673" s="9" t="str">
        <x:v>0.35920818181141867</x:v>
      </x:c>
      <x:c r="AN673" s="9" t="str">
        <x:v>1.0071915686084876</x:v>
      </x:c>
      <x:c r="AO673" s="9" t="str">
        <x:v>1.3523131550547527</x:v>
      </x:c>
      <x:c r="AP673" s="10" t="str">
        <x:v>0.7447916666666666</x:v>
      </x:c>
      <x:c r="AQ673" s="6" t="str">
        <x:v>0.0</x:v>
      </x:c>
      <x:c r="AR673" s="6" t="str">
        <x:v>0.2552083333333333</x:v>
      </x:c>
      <x:c r="AS673" s="6" t="str">
        <x:v>With trade</x:v>
      </x:c>
      <x:c r="AT673" s="6" t="str">
        <x:v>1.535540789547155</x:v>
      </x:c>
      <x:c r="AU673" s="7" t="str">
        <x:v>2026-05-18 21:05:00-05:00</x:v>
      </x:c>
      <x:c r="AV673" s="8" t="str">
        <x:v>1</x:v>
      </x:c>
      <x:c r="AW673" s="6" t="str">
        <x:v>Immediate retest (1 bar)</x:v>
      </x:c>
      <x:c r="AX673" s="6" t="str">
        <x:v>26616.5</x:v>
      </x:c>
      <x:c r="AY673" s="6" t="str">
        <x:v>5.5</x:v>
      </x:c>
      <x:c r="AZ673" s="9" t="str">
        <x:v>0.1471764345029074</x:v>
      </x:c>
      <x:c r="BA673" s="9" t="str">
        <x:v>1.39148628984567</x:v>
      </x:c>
      <x:c r="BB673" s="9" t="str">
        <x:v>1.6523899691917332</x:v>
      </x:c>
      <x:c r="BC673" s="9" t="str">
        <x:v>1.0168553656564512</x:v>
      </x:c>
      <x:c r="BD673" s="6" t="str">
        <x:v>0.3157894736842105</x:v>
      </x:c>
      <x:c r="BE673" s="6" t="str">
        <x:v>0.06882591093117409</x:v>
      </x:c>
      <x:c r="BF673" s="9" t="str">
        <x:v>0.5218073586921262</x:v>
      </x:c>
      <x:c r="BG673" s="9" t="str">
        <x:v>0.11372724484315572</x:v>
      </x:c>
      <x:c r="BH673" s="6" t="str">
        <x:v>With trade</x:v>
      </x:c>
      <x:c r="BI673" s="6" t="str">
        <x:v>Penetration + same-bar reclaim</x:v>
      </x:c>
      <x:c r="BJ673" s="6" t="str">
        <x:v>False</x:v>
      </x:c>
      <x:c r="BK673" s="10" t="str">
        <x:v>True</x:v>
      </x:c>
      <x:c r="BL673" s="6" t="str">
        <x:v>True</x:v>
      </x:c>
      <x:c r="BM673" s="7" t="str">
        <x:v>2026-05-18 21:15:00-05:00</x:v>
      </x:c>
      <x:c r="BN673" s="8" t="str">
        <x:v>2</x:v>
      </x:c>
      <x:c r="BO673" s="6" t="str">
        <x:v>Delayed confirmation (2+ bars)</x:v>
      </x:c>
      <x:c r="BP673" s="9" t="str">
        <x:v>0.0813891622871962</x:v>
      </x:c>
      <x:c r="BQ673" s="9" t="str">
        <x:v>0.7664146115377642</x:v>
      </x:c>
      <x:c r="BR673" s="10" t="str">
        <x:v>0.10619469026548672</x:v>
      </x:c>
      <x:c r="BS673" s="9" t="str">
        <x:v>0.8206740530625617</x:v>
      </x:c>
      <x:c r="BT673" s="9" t="str">
        <x:v>-0.5900714265821725</x:v>
      </x:c>
      <x:c r="BU673" s="9" t="str">
        <x:v>0.027129720762398734</x:v>
      </x:c>
      <x:c r="BV673" s="6" t="str">
        <x:v>With trade</x:v>
      </x:c>
      <x:c r="BW673" s="7" t="str">
        <x:v>2026-05-18 21:15:00-05:00</x:v>
      </x:c>
      <x:c r="BX673" s="6" t="str">
        <x:v>26580.75</x:v>
      </x:c>
      <x:c r="BY673" s="9" t="str">
        <x:v>36.859944440931386</x:v>
      </x:c>
      <x:c r="BZ673" s="9" t="str">
        <x:v>0.52</x:v>
      </x:c>
      <x:c r="CA673" s="6" t="str">
        <x:v>26636.039916661397</x:v>
      </x:c>
      <x:c r="CB673" s="6" t="str">
        <x:v>55.289916661397</x:v>
      </x:c>
      <x:c r="CC673" s="9" t="str">
        <x:v>1.4999999999999978</x:v>
      </x:c>
      <x:c r="CD673" s="6" t="str">
        <x:v>26470.170166677206</x:v>
      </x:c>
      <x:c r="CE673" s="6" t="str">
        <x:v>110.579833322794</x:v>
      </x:c>
      <x:c r="CF673" s="6" t="str">
        <x:v>Fixed 2.00R target</x:v>
      </x:c>
      <x:c r="CG673" s="9" t="str">
        <x:v>0.01311269836849274</x:v>
      </x:c>
      <x:c r="CH673" s="9" t="str">
        <x:v>-0.6737213989329018</x:v>
      </x:c>
      <x:c r="CI673" s="9" t="str">
        <x:v>-0.6868340973013946</x:v>
      </x:c>
      <x:c r="CJ673" s="6" t="str">
        <x:v>Loss</x:v>
      </x:c>
      <x:c r="CK673" s="9" t="str">
        <x:v>0.2622539673698548</x:v>
      </x:c>
      <x:c r="CL673" s="9" t="str">
        <x:v>0.9992780480816881</x:v>
      </x:c>
      <x:c r="CM673" s="7" t="str">
        <x:v>2026-05-18 22:15:00-05:00</x:v>
      </x:c>
      <x:c r="CN673" s="6" t="str">
        <x:v>26618.0</x:v>
      </x:c>
      <x:c r="CO673" s="6" t="str">
        <x:v>TIME</x:v>
      </x:c>
      <x:c r="CP673" s="6" t="str">
        <x:v>F::Short::Same-bar Setup+BOS::Penetration + same-bar reclaim</x:v>
      </x:c>
    </x:row>
    <x:row r="674" ht="18" customHeight="1">
      <x:c r="A674" s="6" t="str">
        <x:v>A0673</x:v>
      </x:c>
      <x:c r="B674" s="6" t="str">
        <x:v>2026-05-19</x:v>
      </x:c>
      <x:c r="C674" s="6" t="str">
        <x:v>2026</x:v>
      </x:c>
      <x:c r="D674" s="6" t="str">
        <x:v>2026-Q2</x:v>
      </x:c>
      <x:c r="E674" s="6" t="str">
        <x:v>Second 50%</x:v>
      </x:c>
      <x:c r="F674" s="6" t="str">
        <x:v>Long</x:v>
      </x:c>
      <x:c r="G674" s="6" t="str">
        <x:v>Long</x:v>
      </x:c>
      <x:c r="H674" s="6" t="str">
        <x:v>Overnight</x:v>
      </x:c>
      <x:c r="I674" s="6" t="str">
        <x:v>Overnight</x:v>
      </x:c>
      <x:c r="J674" s="6" t="str">
        <x:v>Bear</x:v>
      </x:c>
      <x:c r="K674" s="6" t="str">
        <x:v>Bear</x:v>
      </x:c>
      <x:c r="L674" s="6" t="str">
        <x:v>MID</x:v>
      </x:c>
      <x:c r="M674" s="7" t="str">
        <x:v>2026-05-19 01:15:00-05:00</x:v>
      </x:c>
      <x:c r="N674" s="6" t="str">
        <x:v>75.0</x:v>
      </x:c>
      <x:c r="O674" s="6" t="str">
        <x:v>75-79</x:v>
      </x:c>
      <x:c r="P674" s="6" t="str">
        <x:v>Matching BOS only</x:v>
      </x:c>
      <x:c r="Q674" s="6" t="str">
        <x:v>Bull CHoCH</x:v>
      </x:c>
      <x:c r="R674" s="6" t="str">
        <x:v>True</x:v>
      </x:c>
      <x:c r="S674" s="6" t="str">
        <x:v>False</x:v>
      </x:c>
      <x:c r="T674" s="6" t="str">
        <x:v>Recent SSL</x:v>
      </x:c>
      <x:c r="U674" s="6" t="str">
        <x:v>SSL</x:v>
      </x:c>
      <x:c r="V674" s="6" t="str">
        <x:v>Swing low / sell-side</x:v>
      </x:c>
      <x:c r="W674" s="6" t="str">
        <x:v>[26526.5]</x:v>
      </x:c>
      <x:c r="X674" s="8" t="str">
        <x:v>1</x:v>
      </x:c>
      <x:c r="Y674" s="8" t="str">
        <x:v>11.0</x:v>
      </x:c>
      <x:c r="Z674" s="6" t="str">
        <x:v>None</x:v>
      </x:c>
      <x:c r="AA674" s="6" t="str">
        <x:v>26591.5</x:v>
      </x:c>
      <x:c r="AB674" s="9" t="str">
        <x:v>0.2564591366853336</x:v>
      </x:c>
      <x:c r="AC674" s="9" t="str">
        <x:v>0.3394312103188239</x:v>
      </x:c>
      <x:c r="AD674" s="9" t="str">
        <x:v>1.0182936309564716</x:v>
      </x:c>
      <x:c r="AE674" s="6" t="str">
        <x:v>With trade</x:v>
      </x:c>
      <x:c r="AF674" s="7" t="str">
        <x:v>2026-05-19 01:15:00-05:00</x:v>
      </x:c>
      <x:c r="AG674" s="6" t="str">
        <x:v>Long</x:v>
      </x:c>
      <x:c r="AH674" s="6" t="str">
        <x:v>26591.5</x:v>
      </x:c>
      <x:c r="AI674" s="8" t="str">
        <x:v>0</x:v>
      </x:c>
      <x:c r="AJ674" s="6" t="str">
        <x:v>True</x:v>
      </x:c>
      <x:c r="AK674" s="6" t="str">
        <x:v>Same-bar Setup+BOS</x:v>
      </x:c>
      <x:c r="AL674" s="9" t="str">
        <x:v>0.3545170418885494</x:v>
      </x:c>
      <x:c r="AM674" s="9" t="str">
        <x:v>0.2564591366853336</x:v>
      </x:c>
      <x:c r="AN674" s="9" t="str">
        <x:v>0.3394312103188239</x:v>
      </x:c>
      <x:c r="AO674" s="9" t="str">
        <x:v>1.0182936309564716</x:v>
      </x:c>
      <x:c r="AP674" s="10" t="str">
        <x:v>0.3333333333333333</x:v>
      </x:c>
      <x:c r="AQ674" s="6" t="str">
        <x:v>0.037037037037037035</x:v>
      </x:c>
      <x:c r="AR674" s="6" t="str">
        <x:v>0.6296296296296297</x:v>
      </x:c>
      <x:c r="AS674" s="6" t="str">
        <x:v>With trade</x:v>
      </x:c>
      <x:c r="AT674" s="6" t="str">
        <x:v>1.2265208858985142</x:v>
      </x:c>
      <x:c r="AU674" s="7" t="str">
        <x:v>2026-05-19 01:30:00-05:00</x:v>
      </x:c>
      <x:c r="AV674" s="8" t="str">
        <x:v>3</x:v>
      </x:c>
      <x:c r="AW674" s="6" t="str">
        <x:v>Delayed retest (2+ bars)</x:v>
      </x:c>
      <x:c r="AX674" s="6" t="str">
        <x:v>26588.0</x:v>
      </x:c>
      <x:c r="AY674" s="6" t="str">
        <x:v>3.5</x:v>
      </x:c>
      <x:c r="AZ674" s="9" t="str">
        <x:v>0.11400026427841307</x:v>
      </x:c>
      <x:c r="BA674" s="9" t="str">
        <x:v>0.138428892338073</x:v>
      </x:c>
      <x:c r="BB674" s="9" t="str">
        <x:v>0.903859238207418</x:v>
      </x:c>
      <x:c r="BC674" s="9" t="str">
        <x:v>0.2931435367159193</x:v>
      </x:c>
      <x:c r="BD674" s="6" t="str">
        <x:v>0.3963963963963964</x:v>
      </x:c>
      <x:c r="BE674" s="6" t="str">
        <x:v>0.27927927927927926</x:v>
      </x:c>
      <x:c r="BF674" s="9" t="str">
        <x:v>0.2524291566164861</x:v>
      </x:c>
      <x:c r="BG674" s="9" t="str">
        <x:v>0.3582865448750125</x:v>
      </x:c>
      <x:c r="BH674" s="6" t="str">
        <x:v>Against trade</x:v>
      </x:c>
      <x:c r="BI674" s="6" t="str">
        <x:v>Penetration + same-bar reclaim</x:v>
      </x:c>
      <x:c r="BJ674" s="6" t="str">
        <x:v>False</x:v>
      </x:c>
      <x:c r="BK674" s="10" t="str">
        <x:v>True</x:v>
      </x:c>
      <x:c r="BL674" s="6" t="str">
        <x:v>True</x:v>
      </x:c>
      <x:c r="BM674" s="7" t="str">
        <x:v>2026-05-19 01:35:00-05:00</x:v>
      </x:c>
      <x:c r="BN674" s="8" t="str">
        <x:v>1</x:v>
      </x:c>
      <x:c r="BO674" s="6" t="str">
        <x:v>Immediate confirmation (1 bar)</x:v>
      </x:c>
      <x:c r="BP674" s="9" t="str">
        <x:v>0.7824406953805424</x:v>
      </x:c>
      <x:c r="BQ674" s="9" t="str">
        <x:v>1.2535019303545423</x:v>
      </x:c>
      <x:c r="BR674" s="10" t="str">
        <x:v>0.6242038216560509</x:v>
      </x:c>
      <x:c r="BS674" s="9" t="str">
        <x:v>0.9261542924912542</x:v>
      </x:c>
      <x:c r="BT674" s="9" t="str">
        <x:v>0.7904247841089153</x:v>
      </x:c>
      <x:c r="BU674" s="9" t="str">
        <x:v>0.27944310549305085</x:v>
      </x:c>
      <x:c r="BV674" s="6" t="str">
        <x:v>With trade</x:v>
      </x:c>
      <x:c r="BW674" s="7" t="str">
        <x:v>2026-05-19 01:35:00-05:00</x:v>
      </x:c>
      <x:c r="BX674" s="6" t="str">
        <x:v>26620.5</x:v>
      </x:c>
      <x:c r="BY674" s="9" t="str">
        <x:v>31.312277268610565</x:v>
      </x:c>
      <x:c r="BZ674" s="9" t="str">
        <x:v>0.53</x:v>
      </x:c>
      <x:c r="CA674" s="6" t="str">
        <x:v>26573.531584097083</x:v>
      </x:c>
      <x:c r="CB674" s="6" t="str">
        <x:v>46.968415902916604</x:v>
      </x:c>
      <x:c r="CC674" s="9" t="str">
        <x:v>1.5000000000000242</x:v>
      </x:c>
      <x:c r="CD674" s="6" t="str">
        <x:v>26714.436831805833</x:v>
      </x:c>
      <x:c r="CE674" s="6" t="str">
        <x:v>93.93683180583321</x:v>
      </x:c>
      <x:c r="CF674" s="6" t="str">
        <x:v>Fixed 2.00R target</x:v>
      </x:c>
      <x:c r="CG674" s="9" t="str">
        <x:v>0.015435904874853988</x:v>
      </x:c>
      <x:c r="CH674" s="9" t="str">
        <x:v>1.6713359071393896</x:v>
      </x:c>
      <x:c r="CI674" s="9" t="str">
        <x:v>1.6559000022645356</x:v>
      </x:c>
      <x:c r="CJ674" s="6" t="str">
        <x:v>Win</x:v>
      </x:c>
      <x:c r="CK674" s="9" t="str">
        <x:v>1.8150495042500725</x:v>
      </x:c>
      <x:c r="CL674" s="9" t="str">
        <x:v>0.2554908393079281</x:v>
      </x:c>
      <x:c r="CM674" s="7" t="str">
        <x:v>2026-05-19 02:35:00-05:00</x:v>
      </x:c>
      <x:c r="CN674" s="6" t="str">
        <x:v>26699.0</x:v>
      </x:c>
      <x:c r="CO674" s="6" t="str">
        <x:v>TIME</x:v>
      </x:c>
      <x:c r="CP674" s="6" t="str">
        <x:v>F::Long::Same-bar Setup+BOS::Penetration + same-bar reclaim</x:v>
      </x:c>
    </x:row>
    <x:row r="675" ht="18" customHeight="1">
      <x:c r="A675" s="6" t="str">
        <x:v>A0674</x:v>
      </x:c>
      <x:c r="B675" s="6" t="str">
        <x:v>2026-05-19</x:v>
      </x:c>
      <x:c r="C675" s="6" t="str">
        <x:v>2026</x:v>
      </x:c>
      <x:c r="D675" s="6" t="str">
        <x:v>2026-Q2</x:v>
      </x:c>
      <x:c r="E675" s="6" t="str">
        <x:v>Second 50%</x:v>
      </x:c>
      <x:c r="F675" s="6" t="str">
        <x:v>Long</x:v>
      </x:c>
      <x:c r="G675" s="6" t="str">
        <x:v>Long</x:v>
      </x:c>
      <x:c r="H675" s="6" t="str">
        <x:v>Overnight</x:v>
      </x:c>
      <x:c r="I675" s="6" t="str">
        <x:v>Overnight</x:v>
      </x:c>
      <x:c r="J675" s="6" t="str">
        <x:v>Bear</x:v>
      </x:c>
      <x:c r="K675" s="6" t="str">
        <x:v>Bear</x:v>
      </x:c>
      <x:c r="L675" s="6" t="str">
        <x:v>LOW</x:v>
      </x:c>
      <x:c r="M675" s="7" t="str">
        <x:v>2026-05-19 18:15:00-05:00</x:v>
      </x:c>
      <x:c r="N675" s="6" t="str">
        <x:v>75.0</x:v>
      </x:c>
      <x:c r="O675" s="6" t="str">
        <x:v>75-79</x:v>
      </x:c>
      <x:c r="P675" s="6" t="str">
        <x:v>Matching BOS only</x:v>
      </x:c>
      <x:c r="Q675" s="6" t="str">
        <x:v>Bull CHoCH</x:v>
      </x:c>
      <x:c r="R675" s="6" t="str">
        <x:v>True</x:v>
      </x:c>
      <x:c r="S675" s="6" t="str">
        <x:v>False</x:v>
      </x:c>
      <x:c r="T675" s="6" t="str">
        <x:v>Recent SSL</x:v>
      </x:c>
      <x:c r="U675" s="6" t="str">
        <x:v>SSL</x:v>
      </x:c>
      <x:c r="V675" s="6" t="str">
        <x:v>Swing low / sell-side</x:v>
      </x:c>
      <x:c r="W675" s="6" t="str">
        <x:v>[26488.5]</x:v>
      </x:c>
      <x:c r="X675" s="8" t="str">
        <x:v>1</x:v>
      </x:c>
      <x:c r="Y675" s="8" t="str">
        <x:v>10.0</x:v>
      </x:c>
      <x:c r="Z675" s="6" t="str">
        <x:v>None</x:v>
      </x:c>
      <x:c r="AA675" s="6" t="str">
        <x:v>26578.0</x:v>
      </x:c>
      <x:c r="AB675" s="9" t="str">
        <x:v>0.22188835525483805</x:v>
      </x:c>
      <x:c r="AC675" s="9" t="str">
        <x:v>0.5917022806795681</x:v>
      </x:c>
      <x:c r="AD675" s="9" t="str">
        <x:v>1.1649138650878998</x:v>
      </x:c>
      <x:c r="AE675" s="6" t="str">
        <x:v>With trade</x:v>
      </x:c>
      <x:c r="AF675" s="7" t="str">
        <x:v>2026-05-19 18:15:00-05:00</x:v>
      </x:c>
      <x:c r="AG675" s="6" t="str">
        <x:v>Long</x:v>
      </x:c>
      <x:c r="AH675" s="6" t="str">
        <x:v>26578.0</x:v>
      </x:c>
      <x:c r="AI675" s="8" t="str">
        <x:v>0</x:v>
      </x:c>
      <x:c r="AJ675" s="6" t="str">
        <x:v>True</x:v>
      </x:c>
      <x:c r="AK675" s="6" t="str">
        <x:v>Same-bar Setup+BOS</x:v>
      </x:c>
      <x:c r="AL675" s="9" t="str">
        <x:v>0.6471743694932777</x:v>
      </x:c>
      <x:c r="AM675" s="9" t="str">
        <x:v>0.22188835525483805</x:v>
      </x:c>
      <x:c r="AN675" s="9" t="str">
        <x:v>0.5917022806795681</x:v>
      </x:c>
      <x:c r="AO675" s="9" t="str">
        <x:v>1.1649138650878998</x:v>
      </x:c>
      <x:c r="AP675" s="10" t="str">
        <x:v>0.5079365079365079</x:v>
      </x:c>
      <x:c r="AQ675" s="6" t="str">
        <x:v>0.2777777777777778</x:v>
      </x:c>
      <x:c r="AR675" s="6" t="str">
        <x:v>0.21428571428571427</x:v>
      </x:c>
      <x:c r="AS675" s="6" t="str">
        <x:v>With trade</x:v>
      </x:c>
      <x:c r="AT675" s="6" t="str">
        <x:v>1.128386699507389</x:v>
      </x:c>
      <x:c r="AU675" s="7" t="str">
        <x:v>2026-05-19 18:20:00-05:00</x:v>
      </x:c>
      <x:c r="AV675" s="8" t="str">
        <x:v>1</x:v>
      </x:c>
      <x:c r="AW675" s="6" t="str">
        <x:v>Immediate retest (1 bar)</x:v>
      </x:c>
      <x:c r="AX675" s="6" t="str">
        <x:v>26577.5</x:v>
      </x:c>
      <x:c r="AY675" s="6" t="str">
        <x:v>0.5</x:v>
      </x:c>
      <x:c r="AZ675" s="9" t="str">
        <x:v>0.018943077161011103</x:v>
      </x:c>
      <x:c r="BA675" s="9" t="str">
        <x:v>0.009471538580505551</x:v>
      </x:c>
      <x:c r="BB675" s="9" t="str">
        <x:v>0.6819507777963997</x:v>
      </x:c>
      <x:c r="BC675" s="9" t="str">
        <x:v>0.23678846451263877</x:v>
      </x:c>
      <x:c r="BD675" s="6" t="str">
        <x:v>0.6111111111111112</x:v>
      </x:c>
      <x:c r="BE675" s="6" t="str">
        <x:v>0.041666666666666664</x:v>
      </x:c>
      <x:c r="BF675" s="9" t="str">
        <x:v>0.02841461574151665</x:v>
      </x:c>
      <x:c r="BG675" s="9" t="str">
        <x:v>0.4167476975422442</x:v>
      </x:c>
      <x:c r="BH675" s="6" t="str">
        <x:v>Against trade</x:v>
      </x:c>
      <x:c r="BI675" s="6" t="str">
        <x:v>Penetration + same-bar reclaim</x:v>
      </x:c>
      <x:c r="BJ675" s="6" t="str">
        <x:v>False</x:v>
      </x:c>
      <x:c r="BK675" s="10" t="str">
        <x:v>True</x:v>
      </x:c>
      <x:c r="BL675" s="6" t="str">
        <x:v>True</x:v>
      </x:c>
      <x:c r="BM675" s="7" t="str">
        <x:v>2026-05-19 18:25:00-05:00</x:v>
      </x:c>
      <x:c r="BN675" s="8" t="str">
        <x:v>1</x:v>
      </x:c>
      <x:c r="BO675" s="6" t="str">
        <x:v>Immediate confirmation (1 bar)</x:v>
      </x:c>
      <x:c r="BP675" s="9" t="str">
        <x:v>0.46584720330676066</x:v>
      </x:c>
      <x:c r="BQ675" s="9" t="str">
        <x:v>0.6793605048223593</x:v>
      </x:c>
      <x:c r="BR675" s="10" t="str">
        <x:v>0.6857142857142857</x:v>
      </x:c>
      <x:c r="BS675" s="9" t="str">
        <x:v>0.5240781037201058</x:v>
      </x:c>
      <x:c r="BT675" s="9" t="str">
        <x:v>0.5143729536512149</x:v>
      </x:c>
      <x:c r="BU675" s="9" t="str">
        <x:v>0.1649875511711444</x:v>
      </x:c>
      <x:c r="BV675" s="6" t="str">
        <x:v>With trade</x:v>
      </x:c>
      <x:c r="BW675" s="7" t="str">
        <x:v>2026-05-19 18:25:00-05:00</x:v>
      </x:c>
      <x:c r="BX675" s="6" t="str">
        <x:v>26591.5</x:v>
      </x:c>
      <x:c r="BY675" s="9" t="str">
        <x:v>25.75951924755464</x:v>
      </x:c>
      <x:c r="BZ675" s="9" t="str">
        <x:v>0.0</x:v>
      </x:c>
      <x:c r="CA675" s="6" t="str">
        <x:v>26552.86072112867</x:v>
      </x:c>
      <x:c r="CB675" s="6" t="str">
        <x:v>38.639278871331044</x:v>
      </x:c>
      <x:c r="CC675" s="9" t="str">
        <x:v>1.4999999999999645</x:v>
      </x:c>
      <x:c r="CD675" s="6" t="str">
        <x:v>26668.778557742666</x:v>
      </x:c>
      <x:c r="CE675" s="6" t="str">
        <x:v>77.27855774266573</x:v>
      </x:c>
      <x:c r="CF675" s="6" t="str">
        <x:v>Fixed 2.00R target</x:v>
      </x:c>
      <x:c r="CG675" s="9" t="str">
        <x:v>0.018763290133189416</x:v>
      </x:c>
      <x:c r="CH675" s="9" t="str">
        <x:v>-1.0</x:v>
      </x:c>
      <x:c r="CI675" s="9" t="str">
        <x:v>-1.0187632901331893</x:v>
      </x:c>
      <x:c r="CJ675" s="6" t="str">
        <x:v>Loss</x:v>
      </x:c>
      <x:c r="CK675" s="9" t="str">
        <x:v>1.4040117099662424</x:v>
      </x:c>
      <x:c r="CL675" s="9" t="str">
        <x:v>1.649875511711483</x:v>
      </x:c>
      <x:c r="CM675" s="7" t="str">
        <x:v>2026-05-19 19:00:00-05:00</x:v>
      </x:c>
      <x:c r="CN675" s="6" t="str">
        <x:v>26552.86072112867</x:v>
      </x:c>
      <x:c r="CO675" s="6" t="str">
        <x:v>STOP</x:v>
      </x:c>
      <x:c r="CP675" s="6" t="str">
        <x:v>F::Long::Same-bar Setup+BOS::Penetration + same-bar reclaim</x:v>
      </x:c>
    </x:row>
    <x:row r="676" ht="18" customHeight="1">
      <x:c r="A676" s="6" t="str">
        <x:v>A0675</x:v>
      </x:c>
      <x:c r="B676" s="6" t="str">
        <x:v>2026-05-20</x:v>
      </x:c>
      <x:c r="C676" s="6" t="str">
        <x:v>2026</x:v>
      </x:c>
      <x:c r="D676" s="6" t="str">
        <x:v>2026-Q2</x:v>
      </x:c>
      <x:c r="E676" s="6" t="str">
        <x:v>Second 50%</x:v>
      </x:c>
      <x:c r="F676" s="6" t="str">
        <x:v>Long</x:v>
      </x:c>
      <x:c r="G676" s="6" t="str">
        <x:v>Long</x:v>
      </x:c>
      <x:c r="H676" s="6" t="str">
        <x:v>Afternoon</x:v>
      </x:c>
      <x:c r="I676" s="6" t="str">
        <x:v>Afternoon</x:v>
      </x:c>
      <x:c r="J676" s="6" t="str">
        <x:v>Bull</x:v>
      </x:c>
      <x:c r="K676" s="6" t="str">
        <x:v>Bull</x:v>
      </x:c>
      <x:c r="L676" s="6" t="str">
        <x:v>LOW</x:v>
      </x:c>
      <x:c r="M676" s="7" t="str">
        <x:v>2026-05-20 14:35:00-05:00</x:v>
      </x:c>
      <x:c r="N676" s="6" t="str">
        <x:v>75.0</x:v>
      </x:c>
      <x:c r="O676" s="6" t="str">
        <x:v>75-79</x:v>
      </x:c>
      <x:c r="P676" s="6" t="str">
        <x:v>Matching BOS only</x:v>
      </x:c>
      <x:c r="Q676" s="6" t="str">
        <x:v>Bull BOS</x:v>
      </x:c>
      <x:c r="R676" s="6" t="str">
        <x:v>True</x:v>
      </x:c>
      <x:c r="S676" s="6" t="str">
        <x:v>False</x:v>
      </x:c>
      <x:c r="T676" s="6" t="str">
        <x:v>No recent matching sweep</x:v>
      </x:c>
      <x:c r="U676" s="6" t="str">
        <x:v>None</x:v>
      </x:c>
      <x:c r="V676" s="6" t="str">
        <x:v>None</x:v>
      </x:c>
      <x:c r="W676" s="6" t="str">
        <x:v>[]</x:v>
      </x:c>
      <x:c r="X676" s="8" t="str">
        <x:v>0</x:v>
      </x:c>
      <x:c r="Y676" s="8" t="str"/>
      <x:c r="Z676" s="6" t="str">
        <x:v>None</x:v>
      </x:c>
      <x:c r="AA676" s="6" t="str">
        <x:v>26966.5</x:v>
      </x:c>
      <x:c r="AB676" s="9" t="str">
        <x:v>0.5400672919087318</x:v>
      </x:c>
      <x:c r="AC676" s="9" t="str">
        <x:v>0.7171385351574963</x:v>
      </x:c>
      <x:c r="AD676" s="9" t="str">
        <x:v>1.5936411892388807</x:v>
      </x:c>
      <x:c r="AE676" s="6" t="str">
        <x:v>With trade</x:v>
      </x:c>
      <x:c r="AF676" s="7" t="str">
        <x:v>2026-05-20 14:35:00-05:00</x:v>
      </x:c>
      <x:c r="AG676" s="6" t="str">
        <x:v>Long</x:v>
      </x:c>
      <x:c r="AH676" s="6" t="str">
        <x:v>26966.5</x:v>
      </x:c>
      <x:c r="AI676" s="8" t="str">
        <x:v>0</x:v>
      </x:c>
      <x:c r="AJ676" s="6" t="str">
        <x:v>True</x:v>
      </x:c>
      <x:c r="AK676" s="6" t="str">
        <x:v>Same-bar Setup+BOS</x:v>
      </x:c>
      <x:c r="AL676" s="9" t="str">
        <x:v>0.7259920973199345</x:v>
      </x:c>
      <x:c r="AM676" s="9" t="str">
        <x:v>0.5400672919087318</x:v>
      </x:c>
      <x:c r="AN676" s="9" t="str">
        <x:v>0.7171385351574963</x:v>
      </x:c>
      <x:c r="AO676" s="9" t="str">
        <x:v>1.5936411892388807</x:v>
      </x:c>
      <x:c r="AP676" s="10" t="str">
        <x:v>0.45</x:v>
      </x:c>
      <x:c r="AQ676" s="6" t="str">
        <x:v>0.37222222222222223</x:v>
      </x:c>
      <x:c r="AR676" s="6" t="str">
        <x:v>0.17777777777777778</x:v>
      </x:c>
      <x:c r="AS676" s="6" t="str">
        <x:v>With trade</x:v>
      </x:c>
      <x:c r="AT676" s="6" t="str">
        <x:v>1.8275774653380392</x:v>
      </x:c>
      <x:c r="AU676" s="7" t="str">
        <x:v>2026-05-20 14:45:00-05:00</x:v>
      </x:c>
      <x:c r="AV676" s="8" t="str">
        <x:v>2</x:v>
      </x:c>
      <x:c r="AW676" s="6" t="str">
        <x:v>Delayed retest (2+ bars)</x:v>
      </x:c>
      <x:c r="AX676" s="6" t="str">
        <x:v>26966.75</x:v>
      </x:c>
      <x:c r="AY676" s="6" t="str">
        <x:v>0.0</x:v>
      </x:c>
      <x:c r="AZ676" s="9" t="str">
        <x:v>0.0</x:v>
      </x:c>
      <x:c r="BA676" s="9" t="str">
        <x:v>0.5063561779841846</x:v>
      </x:c>
      <x:c r="BB676" s="9" t="str">
        <x:v>0.9942994040416717</x:v>
      </x:c>
      <x:c r="BC676" s="9" t="str">
        <x:v>0.20254247119367386</x:v>
      </x:c>
      <x:c r="BD676" s="6" t="str">
        <x:v>0.5</x:v>
      </x:c>
      <x:c r="BE676" s="6" t="str">
        <x:v>0.2962962962962963</x:v>
      </x:c>
      <x:c r="BF676" s="9" t="str">
        <x:v>0.29460723082716195</x:v>
      </x:c>
      <x:c r="BG676" s="9" t="str">
        <x:v>0.49714970202083586</x:v>
      </x:c>
      <x:c r="BH676" s="6" t="str">
        <x:v>With trade</x:v>
      </x:c>
      <x:c r="BI676" s="6" t="str">
        <x:v>Tolerance-only shallow touch</x:v>
      </x:c>
      <x:c r="BJ676" s="6" t="str">
        <x:v>True</x:v>
      </x:c>
      <x:c r="BK676" s="10" t="str">
        <x:v>False</x:v>
      </x:c>
      <x:c r="BL676" s="6" t="str">
        <x:v>True</x:v>
      </x:c>
      <x:c r="BM676" s="7" t="str">
        <x:v>2026-05-20 14:50:00-05:00</x:v>
      </x:c>
      <x:c r="BN676" s="8" t="str">
        <x:v>1</x:v>
      </x:c>
      <x:c r="BO676" s="6" t="str">
        <x:v>Immediate confirmation (1 bar)</x:v>
      </x:c>
      <x:c r="BP676" s="9" t="str">
        <x:v>0.1834004474805876</x:v>
      </x:c>
      <x:c r="BQ676" s="9" t="str">
        <x:v>1.6680707366091536</x:v>
      </x:c>
      <x:c r="BR676" s="10" t="str">
        <x:v>0.1099476439790576</x:v>
      </x:c>
      <x:c r="BS676" s="9" t="str">
        <x:v>0.6462682435030229</x:v>
      </x:c>
      <x:c r="BT676" s="9" t="str">
        <x:v>0.1659337381967221</x:v>
      </x:c>
      <x:c r="BU676" s="9" t="str">
        <x:v>0.7685352084900813</x:v>
      </x:c>
      <x:c r="BV676" s="6" t="str">
        <x:v>With trade</x:v>
      </x:c>
      <x:c r="BW676" s="7" t="str">
        <x:v>2026-05-20 14:50:00-05:00</x:v>
      </x:c>
      <x:c r="BX676" s="6" t="str">
        <x:v>26985.0</x:v>
      </x:c>
      <x:c r="BY676" s="9" t="str">
        <x:v>28.625884353721098</x:v>
      </x:c>
      <x:c r="BZ676" s="9" t="str">
        <x:v>0.3</x:v>
      </x:c>
      <x:c r="CA676" s="6" t="str">
        <x:v>26942.061173469418</x:v>
      </x:c>
      <x:c r="CB676" s="6" t="str">
        <x:v>42.938826530582446</x:v>
      </x:c>
      <x:c r="CC676" s="9" t="str">
        <x:v>1.500000000000028</x:v>
      </x:c>
      <x:c r="CD676" s="6" t="str">
        <x:v>27070.877653061165</x:v>
      </x:c>
      <x:c r="CE676" s="6" t="str">
        <x:v>85.87765306116489</x:v>
      </x:c>
      <x:c r="CF676" s="6" t="str">
        <x:v>Fixed 2.00R target</x:v>
      </x:c>
      <x:c r="CG676" s="9" t="str">
        <x:v>0.016884485641069653</x:v>
      </x:c>
      <x:c r="CH676" s="9" t="str">
        <x:v>-1.0</x:v>
      </x:c>
      <x:c r="CI676" s="9" t="str">
        <x:v>-1.0168844856410697</x:v>
      </x:c>
      <x:c r="CJ676" s="6" t="str">
        <x:v>Loss</x:v>
      </x:c>
      <x:c r="CK676" s="9" t="str">
        <x:v>0.7918241542018872</x:v>
      </x:c>
      <x:c r="CL676" s="9" t="str">
        <x:v>1.758315401242426</x:v>
      </x:c>
      <x:c r="CM676" s="7" t="str">
        <x:v>2026-05-20 15:15:00-05:00</x:v>
      </x:c>
      <x:c r="CN676" s="6" t="str">
        <x:v>26942.061173469418</x:v>
      </x:c>
      <x:c r="CO676" s="6" t="str">
        <x:v>STOP</x:v>
      </x:c>
      <x:c r="CP676" s="6" t="str">
        <x:v>F::Long::Same-bar Setup+BOS::Tolerance-only shallow touch</x:v>
      </x:c>
    </x:row>
    <x:row r="677" ht="18" customHeight="1">
      <x:c r="A677" s="6" t="str">
        <x:v>A0676</x:v>
      </x:c>
      <x:c r="B677" s="6" t="str">
        <x:v>2026-05-21</x:v>
      </x:c>
      <x:c r="C677" s="6" t="str">
        <x:v>2026</x:v>
      </x:c>
      <x:c r="D677" s="6" t="str">
        <x:v>2026-Q2</x:v>
      </x:c>
      <x:c r="E677" s="6" t="str">
        <x:v>Second 50%</x:v>
      </x:c>
      <x:c r="F677" s="6" t="str">
        <x:v>Short</x:v>
      </x:c>
      <x:c r="G677" s="6" t="str">
        <x:v>Short</x:v>
      </x:c>
      <x:c r="H677" s="6" t="str">
        <x:v>Afternoon</x:v>
      </x:c>
      <x:c r="I677" s="6" t="str">
        <x:v>Midday</x:v>
      </x:c>
      <x:c r="J677" s="6" t="str">
        <x:v>Bull</x:v>
      </x:c>
      <x:c r="K677" s="6" t="str">
        <x:v>Bull</x:v>
      </x:c>
      <x:c r="L677" s="6" t="str">
        <x:v>MID</x:v>
      </x:c>
      <x:c r="M677" s="7" t="str">
        <x:v>2026-05-21 13:45:00-05:00</x:v>
      </x:c>
      <x:c r="N677" s="6" t="str">
        <x:v>100.0</x:v>
      </x:c>
      <x:c r="O677" s="6" t="str">
        <x:v>95+</x:v>
      </x:c>
      <x:c r="P677" s="6" t="str">
        <x:v>Matching BOS only</x:v>
      </x:c>
      <x:c r="Q677" s="6" t="str">
        <x:v>Bear CHoCH</x:v>
      </x:c>
      <x:c r="R677" s="6" t="str">
        <x:v>True</x:v>
      </x:c>
      <x:c r="S677" s="6" t="str">
        <x:v>False</x:v>
      </x:c>
      <x:c r="T677" s="6" t="str">
        <x:v>Recent BSL</x:v>
      </x:c>
      <x:c r="U677" s="6" t="str">
        <x:v>BSL</x:v>
      </x:c>
      <x:c r="V677" s="6" t="str">
        <x:v>Swing high / buy-side</x:v>
      </x:c>
      <x:c r="W677" s="6" t="str">
        <x:v>[27086.0]</x:v>
      </x:c>
      <x:c r="X677" s="8" t="str">
        <x:v>1</x:v>
      </x:c>
      <x:c r="Y677" s="8" t="str">
        <x:v>17.0</x:v>
      </x:c>
      <x:c r="Z677" s="6" t="str">
        <x:v>None</x:v>
      </x:c>
      <x:c r="AA677" s="6" t="str">
        <x:v>27049.5</x:v>
      </x:c>
      <x:c r="AB677" s="9" t="str">
        <x:v>0.49426147039834056</x:v>
      </x:c>
      <x:c r="AC677" s="9" t="str">
        <x:v>1.1289381312507552</x:v>
      </x:c>
      <x:c r="AD677" s="9" t="str">
        <x:v>1.8197808682847993</x:v>
      </x:c>
      <x:c r="AE677" s="6" t="str">
        <x:v>With trade</x:v>
      </x:c>
      <x:c r="AF677" s="7" t="str">
        <x:v>2026-05-21 13:45:00-05:00</x:v>
      </x:c>
      <x:c r="AG677" s="6" t="str">
        <x:v>Short</x:v>
      </x:c>
      <x:c r="AH677" s="6" t="str">
        <x:v>27049.5</x:v>
      </x:c>
      <x:c r="AI677" s="8" t="str">
        <x:v>0</x:v>
      </x:c>
      <x:c r="AJ677" s="6" t="str">
        <x:v>True</x:v>
      </x:c>
      <x:c r="AK677" s="6" t="str">
        <x:v>Same-bar Setup+BOS</x:v>
      </x:c>
      <x:c r="AL677" s="9" t="str">
        <x:v>1.15702116934157</x:v>
      </x:c>
      <x:c r="AM677" s="9" t="str">
        <x:v>0.49426147039834056</x:v>
      </x:c>
      <x:c r="AN677" s="9" t="str">
        <x:v>1.1289381312507552</x:v>
      </x:c>
      <x:c r="AO677" s="9" t="str">
        <x:v>1.8197808682847993</x:v>
      </x:c>
      <x:c r="AP677" s="10" t="str">
        <x:v>0.6203703703703703</x:v>
      </x:c>
      <x:c r="AQ677" s="6" t="str">
        <x:v>0.11728395061728394</x:v>
      </x:c>
      <x:c r="AR677" s="6" t="str">
        <x:v>0.2623456790123457</x:v>
      </x:c>
      <x:c r="AS677" s="6" t="str">
        <x:v>With trade</x:v>
      </x:c>
      <x:c r="AT677" s="6" t="str">
        <x:v>1.3406752231574877</x:v>
      </x:c>
      <x:c r="AU677" s="7" t="str">
        <x:v>2026-05-21 13:50:00-05:00</x:v>
      </x:c>
      <x:c r="AV677" s="8" t="str">
        <x:v>1</x:v>
      </x:c>
      <x:c r="AW677" s="6" t="str">
        <x:v>Immediate retest (1 bar)</x:v>
      </x:c>
      <x:c r="AX677" s="6" t="str">
        <x:v>27052.75</x:v>
      </x:c>
      <x:c r="AY677" s="6" t="str">
        <x:v>3.25</x:v>
      </x:c>
      <x:c r="AZ677" s="9" t="str">
        <x:v>0.06468663041125068</x:v>
      </x:c>
      <x:c r="BA677" s="9" t="str">
        <x:v>2.36354995733416</x:v>
      </x:c>
      <x:c r="BB677" s="9" t="str">
        <x:v>2.4829714288626223</x:v>
      </x:c>
      <x:c r="BC677" s="9" t="str">
        <x:v>1.930647123043482</x:v>
      </x:c>
      <x:c r="BD677" s="6" t="str">
        <x:v>0.20040080160320642</x:v>
      </x:c>
      <x:c r="BE677" s="6" t="str">
        <x:v>0.022044088176352707</x:v>
      </x:c>
      <x:c r="BF677" s="9" t="str">
        <x:v>0.49758946470192833</x:v>
      </x:c>
      <x:c r="BG677" s="9" t="str">
        <x:v>0.05473484111721212</x:v>
      </x:c>
      <x:c r="BH677" s="6" t="str">
        <x:v>With trade</x:v>
      </x:c>
      <x:c r="BI677" s="6" t="str">
        <x:v>Penetration + same-bar reclaim</x:v>
      </x:c>
      <x:c r="BJ677" s="6" t="str">
        <x:v>False</x:v>
      </x:c>
      <x:c r="BK677" s="10" t="str">
        <x:v>True</x:v>
      </x:c>
      <x:c r="BL677" s="6" t="str">
        <x:v>True</x:v>
      </x:c>
      <x:c r="BM677" s="7" t="str">
        <x:v>2026-05-21 14:20:00-05:00</x:v>
      </x:c>
      <x:c r="BN677" s="8" t="str">
        <x:v>6</x:v>
      </x:c>
      <x:c r="BO677" s="6" t="str">
        <x:v>Delayed confirmation (2+ bars)</x:v>
      </x:c>
      <x:c r="BP677" s="9" t="str">
        <x:v>0.10366651961918905</x:v>
      </x:c>
      <x:c r="BQ677" s="9" t="str">
        <x:v>0.6383675155497431</x:v>
      </x:c>
      <x:c r="BR677" s="10" t="str">
        <x:v>0.1623931623931624</x:v>
      </x:c>
      <x:c r="BS677" s="9" t="str">
        <x:v>0.08184198917304399</x:v>
      </x:c>
      <x:c r="BT677" s="9" t="str">
        <x:v>-2.5098210013066824</x:v>
      </x:c>
      <x:c r="BU677" s="9" t="str">
        <x:v>0.12003491745379785</x:v>
      </x:c>
      <x:c r="BV677" s="6" t="str">
        <x:v>With trade</x:v>
      </x:c>
      <x:c r="BW677" s="7" t="str">
        <x:v>2026-05-21 14:20:00-05:00</x:v>
      </x:c>
      <x:c r="BX677" s="6" t="str">
        <x:v>27045.75</x:v>
      </x:c>
      <x:c r="BY677" s="9" t="str">
        <x:v>45.820000685358764</x:v>
      </x:c>
      <x:c r="BZ677" s="9" t="str">
        <x:v>0.48</x:v>
      </x:c>
      <x:c r="CA677" s="6" t="str">
        <x:v>27114.480001028038</x:v>
      </x:c>
      <x:c r="CB677" s="6" t="str">
        <x:v>68.7300010280378</x:v>
      </x:c>
      <x:c r="CC677" s="9" t="str">
        <x:v>1.4999999999999925</x:v>
      </x:c>
      <x:c r="CD677" s="6" t="str">
        <x:v>26908.289997943924</x:v>
      </x:c>
      <x:c r="CE677" s="6" t="str">
        <x:v>137.4600020560756</x:v>
      </x:c>
      <x:c r="CF677" s="6" t="str">
        <x:v>Fixed 2.00R target</x:v>
      </x:c>
      <x:c r="CG677" s="9" t="str">
        <x:v>0.010548523048970165</x:v>
      </x:c>
      <x:c r="CH677" s="9" t="str">
        <x:v>-0.3237305349511518</x:v>
      </x:c>
      <x:c r="CI677" s="9" t="str">
        <x:v>-0.3342790580001219</x:v>
      </x:c>
      <x:c r="CJ677" s="6" t="str">
        <x:v>Loss</x:v>
      </x:c>
      <x:c r="CK677" s="9" t="str">
        <x:v>0.3673795958434437</x:v>
      </x:c>
      <x:c r="CL677" s="9" t="str">
        <x:v>0.6801978655715245</x:v>
      </x:c>
      <x:c r="CM677" s="7" t="str">
        <x:v>2026-05-21 15:20:00-05:00</x:v>
      </x:c>
      <x:c r="CN677" s="6" t="str">
        <x:v>27068.0</x:v>
      </x:c>
      <x:c r="CO677" s="6" t="str">
        <x:v>TIME</x:v>
      </x:c>
      <x:c r="CP677" s="6" t="str">
        <x:v>F::Short::Same-bar Setup+BOS::Penetration + same-bar reclaim</x:v>
      </x:c>
    </x:row>
    <x:row r="678" ht="18" customHeight="1">
      <x:c r="A678" s="6" t="str">
        <x:v>A0677</x:v>
      </x:c>
      <x:c r="B678" s="6" t="str">
        <x:v>2026-05-22</x:v>
      </x:c>
      <x:c r="C678" s="6" t="str">
        <x:v>2026</x:v>
      </x:c>
      <x:c r="D678" s="6" t="str">
        <x:v>2026-Q2</x:v>
      </x:c>
      <x:c r="E678" s="6" t="str">
        <x:v>Second 50%</x:v>
      </x:c>
      <x:c r="F678" s="6" t="str">
        <x:v>Long</x:v>
      </x:c>
      <x:c r="G678" s="6" t="str">
        <x:v>Long</x:v>
      </x:c>
      <x:c r="H678" s="6" t="str">
        <x:v>Overnight</x:v>
      </x:c>
      <x:c r="I678" s="6" t="str">
        <x:v>Overnight</x:v>
      </x:c>
      <x:c r="J678" s="6" t="str">
        <x:v>Bull</x:v>
      </x:c>
      <x:c r="K678" s="6" t="str">
        <x:v>Bull</x:v>
      </x:c>
      <x:c r="L678" s="6" t="str">
        <x:v>HIGH</x:v>
      </x:c>
      <x:c r="M678" s="7" t="str">
        <x:v>2026-05-22 02:55:00-05:00</x:v>
      </x:c>
      <x:c r="N678" s="6" t="str">
        <x:v>75.0</x:v>
      </x:c>
      <x:c r="O678" s="6" t="str">
        <x:v>75-79</x:v>
      </x:c>
      <x:c r="P678" s="6" t="str">
        <x:v>Matching BOS only</x:v>
      </x:c>
      <x:c r="Q678" s="6" t="str">
        <x:v>Bull CHoCH</x:v>
      </x:c>
      <x:c r="R678" s="6" t="str">
        <x:v>True</x:v>
      </x:c>
      <x:c r="S678" s="6" t="str">
        <x:v>False</x:v>
      </x:c>
      <x:c r="T678" s="6" t="str">
        <x:v>Recent SSL</x:v>
      </x:c>
      <x:c r="U678" s="6" t="str">
        <x:v>SSL</x:v>
      </x:c>
      <x:c r="V678" s="6" t="str">
        <x:v>Swing low / sell-side</x:v>
      </x:c>
      <x:c r="W678" s="6" t="str">
        <x:v>[27154.75]</x:v>
      </x:c>
      <x:c r="X678" s="8" t="str">
        <x:v>1</x:v>
      </x:c>
      <x:c r="Y678" s="8" t="str">
        <x:v>11.0</x:v>
      </x:c>
      <x:c r="Z678" s="6" t="str">
        <x:v>Sweep below CRT reference</x:v>
      </x:c>
      <x:c r="AA678" s="6" t="str">
        <x:v>27202.0</x:v>
      </x:c>
      <x:c r="AB678" s="9" t="str">
        <x:v>0.1477258579479394</x:v>
      </x:c>
      <x:c r="AC678" s="9" t="str">
        <x:v>0.6818116520674127</x:v>
      </x:c>
      <x:c r="AD678" s="9" t="str">
        <x:v>1.1590798085146015</x:v>
      </x:c>
      <x:c r="AE678" s="6" t="str">
        <x:v>With trade</x:v>
      </x:c>
      <x:c r="AF678" s="7" t="str">
        <x:v>2026-05-22 02:55:00-05:00</x:v>
      </x:c>
      <x:c r="AG678" s="6" t="str">
        <x:v>Long</x:v>
      </x:c>
      <x:c r="AH678" s="6" t="str">
        <x:v>27202.0</x:v>
      </x:c>
      <x:c r="AI678" s="8" t="str">
        <x:v>0</x:v>
      </x:c>
      <x:c r="AJ678" s="6" t="str">
        <x:v>True</x:v>
      </x:c>
      <x:c r="AK678" s="6" t="str">
        <x:v>Same-bar Setup+BOS</x:v>
      </x:c>
      <x:c r="AL678" s="9" t="str">
        <x:v>0.659084596998499</x:v>
      </x:c>
      <x:c r="AM678" s="9" t="str">
        <x:v>0.1477258579479394</x:v>
      </x:c>
      <x:c r="AN678" s="9" t="str">
        <x:v>0.6818116520674127</x:v>
      </x:c>
      <x:c r="AO678" s="9" t="str">
        <x:v>1.1590798085146015</x:v>
      </x:c>
      <x:c r="AP678" s="10" t="str">
        <x:v>0.5882352941176471</x:v>
      </x:c>
      <x:c r="AQ678" s="6" t="str">
        <x:v>0.14705882352941177</x:v>
      </x:c>
      <x:c r="AR678" s="6" t="str">
        <x:v>0.2647058823529412</x:v>
      </x:c>
      <x:c r="AS678" s="6" t="str">
        <x:v>With trade</x:v>
      </x:c>
      <x:c r="AT678" s="6" t="str">
        <x:v>0.8541552008805724</x:v>
      </x:c>
      <x:c r="AU678" s="7" t="str">
        <x:v>2026-05-22 03:00:00-05:00</x:v>
      </x:c>
      <x:c r="AV678" s="8" t="str">
        <x:v>1</x:v>
      </x:c>
      <x:c r="AW678" s="6" t="str">
        <x:v>Immediate retest (1 bar)</x:v>
      </x:c>
      <x:c r="AX678" s="6" t="str">
        <x:v>27204.25</x:v>
      </x:c>
      <x:c r="AY678" s="6" t="str">
        <x:v>0.0</x:v>
      </x:c>
      <x:c r="AZ678" s="9" t="str">
        <x:v>0.0</x:v>
      </x:c>
      <x:c r="BA678" s="9" t="str">
        <x:v>1.2207279069242072</x:v>
      </x:c>
      <x:c r="BB678" s="9" t="str">
        <x:v>1.4186837837227273</x:v>
      </x:c>
      <x:c r="BC678" s="9" t="str">
        <x:v>1.0667622249698028</x:v>
      </x:c>
      <x:c r="BD678" s="6" t="str">
        <x:v>0.20930232558139536</x:v>
      </x:c>
      <x:c r="BE678" s="6" t="str">
        <x:v>0.03875968992248062</x:v>
      </x:c>
      <x:c r="BF678" s="9" t="str">
        <x:v>0.05498774355514447</x:v>
      </x:c>
      <x:c r="BG678" s="9" t="str">
        <x:v>0.29693381519778017</x:v>
      </x:c>
      <x:c r="BH678" s="6" t="str">
        <x:v>With trade</x:v>
      </x:c>
      <x:c r="BI678" s="6" t="str">
        <x:v>Tolerance-only shallow touch</x:v>
      </x:c>
      <x:c r="BJ678" s="6" t="str">
        <x:v>True</x:v>
      </x:c>
      <x:c r="BK678" s="10" t="str">
        <x:v>False</x:v>
      </x:c>
      <x:c r="BL678" s="6" t="str">
        <x:v>True</x:v>
      </x:c>
      <x:c r="BM678" s="7" t="str">
        <x:v>2026-05-22 03:15:00-05:00</x:v>
      </x:c>
      <x:c r="BN678" s="8" t="str">
        <x:v>3</x:v>
      </x:c>
      <x:c r="BO678" s="6" t="str">
        <x:v>Delayed confirmation (2+ bars)</x:v>
      </x:c>
      <x:c r="BP678" s="9" t="str">
        <x:v>1.3751639427567617</x:v>
      </x:c>
      <x:c r="BQ678" s="9" t="str">
        <x:v>2.1697031096828905</x:v>
      </x:c>
      <x:c r="BR678" s="10" t="str">
        <x:v>0.6338028169014085</x:v>
      </x:c>
      <x:c r="BS678" s="9" t="str">
        <x:v>1.9863479173153225</x:v>
      </x:c>
      <x:c r="BT678" s="9" t="str">
        <x:v>0.855657564381985</x:v>
      </x:c>
      <x:c r="BU678" s="9" t="str">
        <x:v>0.0</x:v>
      </x:c>
      <x:c r="BV678" s="6" t="str">
        <x:v>With trade</x:v>
      </x:c>
      <x:c r="BW678" s="7" t="str">
        <x:v>2026-05-22 03:15:00-05:00</x:v>
      </x:c>
      <x:c r="BX678" s="6" t="str">
        <x:v>27250.75</x:v>
      </x:c>
      <x:c r="BY678" s="9" t="str">
        <x:v>24.54252831290944</x:v>
      </x:c>
      <x:c r="BZ678" s="9" t="str">
        <x:v>1.0</x:v>
      </x:c>
      <x:c r="CA678" s="6" t="str">
        <x:v>27213.936207530634</x:v>
      </x:c>
      <x:c r="CB678" s="6" t="str">
        <x:v>36.81379246936558</x:v>
      </x:c>
      <x:c r="CC678" s="9" t="str">
        <x:v>1.500000000000058</x:v>
      </x:c>
      <x:c r="CD678" s="6" t="str">
        <x:v>27324.377584938728</x:v>
      </x:c>
      <x:c r="CE678" s="6" t="str">
        <x:v>73.62758493872752</x:v>
      </x:c>
      <x:c r="CF678" s="6" t="str">
        <x:v>Fixed 2.00R target</x:v>
      </x:c>
      <x:c r="CG678" s="9" t="str">
        <x:v>0.0196937058468862</x:v>
      </x:c>
      <x:c r="CH678" s="9" t="str">
        <x:v>-1.0</x:v>
      </x:c>
      <x:c r="CI678" s="9" t="str">
        <x:v>-1.0196937058468862</x:v>
      </x:c>
      <x:c r="CJ678" s="6" t="str">
        <x:v>Loss</x:v>
      </x:c>
      <x:c r="CK678" s="9" t="str">
        <x:v>0.9778943592936594</x:v>
      </x:c>
      <x:c r="CL678" s="9" t="str">
        <x:v>1.134085819458619</x:v>
      </x:c>
      <x:c r="CM678" s="7" t="str">
        <x:v>2026-05-22 03:30:00-05:00</x:v>
      </x:c>
      <x:c r="CN678" s="6" t="str">
        <x:v>27213.936207530634</x:v>
      </x:c>
      <x:c r="CO678" s="6" t="str">
        <x:v>STOP</x:v>
      </x:c>
      <x:c r="CP678" s="6" t="str">
        <x:v>F::Long::Same-bar Setup+BOS::Tolerance-only shallow touch</x:v>
      </x:c>
    </x:row>
    <x:row r="679" ht="18" customHeight="1">
      <x:c r="A679" s="6" t="str">
        <x:v>A0678</x:v>
      </x:c>
      <x:c r="B679" s="6" t="str">
        <x:v>2026-05-26</x:v>
      </x:c>
      <x:c r="C679" s="6" t="str">
        <x:v>2026</x:v>
      </x:c>
      <x:c r="D679" s="6" t="str">
        <x:v>2026-Q2</x:v>
      </x:c>
      <x:c r="E679" s="6" t="str">
        <x:v>Second 50%</x:v>
      </x:c>
      <x:c r="F679" s="6" t="str">
        <x:v>Long</x:v>
      </x:c>
      <x:c r="G679" s="6" t="str">
        <x:v>Long</x:v>
      </x:c>
      <x:c r="H679" s="6" t="str">
        <x:v>Overnight</x:v>
      </x:c>
      <x:c r="I679" s="6" t="str">
        <x:v>Overnight</x:v>
      </x:c>
      <x:c r="J679" s="6" t="str">
        <x:v>Bull</x:v>
      </x:c>
      <x:c r="K679" s="6" t="str">
        <x:v>Bull</x:v>
      </x:c>
      <x:c r="L679" s="6" t="str">
        <x:v>LOW</x:v>
      </x:c>
      <x:c r="M679" s="7" t="str">
        <x:v>2026-05-26 18:20:00-05:00</x:v>
      </x:c>
      <x:c r="N679" s="6" t="str">
        <x:v>90.0</x:v>
      </x:c>
      <x:c r="O679" s="6" t="str">
        <x:v>90-94</x:v>
      </x:c>
      <x:c r="P679" s="6" t="str">
        <x:v>Matching BOS only</x:v>
      </x:c>
      <x:c r="Q679" s="6" t="str">
        <x:v>Bull CHoCH</x:v>
      </x:c>
      <x:c r="R679" s="6" t="str">
        <x:v>True</x:v>
      </x:c>
      <x:c r="S679" s="6" t="str">
        <x:v>False</x:v>
      </x:c>
      <x:c r="T679" s="6" t="str">
        <x:v>Recent SSL</x:v>
      </x:c>
      <x:c r="U679" s="6" t="str">
        <x:v>SSL</x:v>
      </x:c>
      <x:c r="V679" s="6" t="str">
        <x:v>Swing low / sell-side</x:v>
      </x:c>
      <x:c r="W679" s="6" t="str">
        <x:v>[27652.25]</x:v>
      </x:c>
      <x:c r="X679" s="8" t="str">
        <x:v>1</x:v>
      </x:c>
      <x:c r="Y679" s="8" t="str">
        <x:v>7.0</x:v>
      </x:c>
      <x:c r="Z679" s="6" t="str">
        <x:v>None</x:v>
      </x:c>
      <x:c r="AA679" s="6" t="str">
        <x:v>27684.25</x:v>
      </x:c>
      <x:c r="AB679" s="9" t="str">
        <x:v>0.12364583819043634</x:v>
      </x:c>
      <x:c r="AC679" s="9" t="str">
        <x:v>0.8346094077854453</x:v>
      </x:c>
      <x:c r="AD679" s="9" t="str">
        <x:v>1.1282682734877316</x:v>
      </x:c>
      <x:c r="AE679" s="6" t="str">
        <x:v>With trade</x:v>
      </x:c>
      <x:c r="AF679" s="7" t="str">
        <x:v>2026-05-26 18:20:00-05:00</x:v>
      </x:c>
      <x:c r="AG679" s="6" t="str">
        <x:v>Long</x:v>
      </x:c>
      <x:c r="AH679" s="6" t="str">
        <x:v>27684.25</x:v>
      </x:c>
      <x:c r="AI679" s="8" t="str">
        <x:v>0</x:v>
      </x:c>
      <x:c r="AJ679" s="6" t="str">
        <x:v>True</x:v>
      </x:c>
      <x:c r="AK679" s="6" t="str">
        <x:v>Same-bar Setup+BOS</x:v>
      </x:c>
      <x:c r="AL679" s="9" t="str">
        <x:v>0.7573307589164227</x:v>
      </x:c>
      <x:c r="AM679" s="9" t="str">
        <x:v>0.12364583819043634</x:v>
      </x:c>
      <x:c r="AN679" s="9" t="str">
        <x:v>0.8346094077854453</x:v>
      </x:c>
      <x:c r="AO679" s="9" t="str">
        <x:v>1.1282682734877316</x:v>
      </x:c>
      <x:c r="AP679" s="10" t="str">
        <x:v>0.7397260273972602</x:v>
      </x:c>
      <x:c r="AQ679" s="6" t="str">
        <x:v>0.2465753424657534</x:v>
      </x:c>
      <x:c r="AR679" s="6" t="str">
        <x:v>0.0136986301369863</x:v>
      </x:c>
      <x:c r="AS679" s="6" t="str">
        <x:v>With trade</x:v>
      </x:c>
      <x:c r="AT679" s="6" t="str">
        <x:v>1.1906407345246324</x:v>
      </x:c>
      <x:c r="AU679" s="7" t="str">
        <x:v>2026-05-26 18:25:00-05:00</x:v>
      </x:c>
      <x:c r="AV679" s="8" t="str">
        <x:v>1</x:v>
      </x:c>
      <x:c r="AW679" s="6" t="str">
        <x:v>Immediate retest (1 bar)</x:v>
      </x:c>
      <x:c r="AX679" s="6" t="str">
        <x:v>27683.5</x:v>
      </x:c>
      <x:c r="AY679" s="6" t="str">
        <x:v>0.75</x:v>
      </x:c>
      <x:c r="AZ679" s="9" t="str">
        <x:v>0.04671275585202692</x:v>
      </x:c>
      <x:c r="BA679" s="9" t="str">
        <x:v>0.762975012249773</x:v>
      </x:c>
      <x:c r="BB679" s="9" t="str">
        <x:v>0.9031132798058538</x:v>
      </x:c>
      <x:c r="BC679" s="9" t="str">
        <x:v>0.6072658260763499</x:v>
      </x:c>
      <x:c r="BD679" s="6" t="str">
        <x:v>0.10344827586206896</x:v>
      </x:c>
      <x:c r="BE679" s="6" t="str">
        <x:v>0.22413793103448276</x:v>
      </x:c>
      <x:c r="BF679" s="9" t="str">
        <x:v>0.20242194202545</x:v>
      </x:c>
      <x:c r="BG679" s="9" t="str">
        <x:v>0.09342551170405385</x:v>
      </x:c>
      <x:c r="BH679" s="6" t="str">
        <x:v>With trade</x:v>
      </x:c>
      <x:c r="BI679" s="6" t="str">
        <x:v>Penetration + same-bar reclaim</x:v>
      </x:c>
      <x:c r="BJ679" s="6" t="str">
        <x:v>False</x:v>
      </x:c>
      <x:c r="BK679" s="10" t="str">
        <x:v>True</x:v>
      </x:c>
      <x:c r="BL679" s="6" t="str">
        <x:v>True</x:v>
      </x:c>
      <x:c r="BM679" s="7" t="str">
        <x:v>2026-05-26 18:40:00-05:00</x:v>
      </x:c>
      <x:c r="BN679" s="8" t="str">
        <x:v>3</x:v>
      </x:c>
      <x:c r="BO679" s="6" t="str">
        <x:v>Delayed confirmation (2+ bars)</x:v>
      </x:c>
      <x:c r="BP679" s="9" t="str">
        <x:v>1.3294842850298936</x:v>
      </x:c>
      <x:c r="BQ679" s="9" t="str">
        <x:v>1.4058914278477035</x:v>
      </x:c>
      <x:c r="BR679" s="10" t="str">
        <x:v>0.9456521739130435</x:v>
      </x:c>
      <x:c r="BS679" s="9" t="str">
        <x:v>1.8184899990638774</x:v>
      </x:c>
      <x:c r="BT679" s="9" t="str">
        <x:v>1.0696999994493397</x:v>
      </x:c>
      <x:c r="BU679" s="9" t="str">
        <x:v>0.045844285690685986</x:v>
      </x:c>
      <x:c r="BV679" s="6" t="str">
        <x:v>With trade</x:v>
      </x:c>
      <x:c r="BW679" s="7" t="str">
        <x:v>2026-05-26 18:40:00-05:00</x:v>
      </x:c>
      <x:c r="BX679" s="6" t="str">
        <x:v>27714.0</x:v>
      </x:c>
      <x:c r="BY679" s="9" t="str">
        <x:v>16.35972703469071</x:v>
      </x:c>
      <x:c r="BZ679" s="9" t="str">
        <x:v>0.06</x:v>
      </x:c>
      <x:c r="CA679" s="6" t="str">
        <x:v>27689.460409447966</x:v>
      </x:c>
      <x:c r="CB679" s="6" t="str">
        <x:v>24.539590552034497</x:v>
      </x:c>
      <x:c r="CC679" s="9" t="str">
        <x:v>1.499999999999904</x:v>
      </x:c>
      <x:c r="CD679" s="6" t="str">
        <x:v>27763.079181104073</x:v>
      </x:c>
      <x:c r="CE679" s="6" t="str">
        <x:v>49.07918110407263</x:v>
      </x:c>
      <x:c r="CF679" s="6" t="str">
        <x:v>Fixed 2.00R target</x:v>
      </x:c>
      <x:c r="CG679" s="9" t="str">
        <x:v>0.029544095222888412</x:v>
      </x:c>
      <x:c r="CH679" s="9" t="str">
        <x:v>0.876135237644221</x:v>
      </x:c>
      <x:c r="CI679" s="9" t="str">
        <x:v>0.8465911424213326</x:v>
      </x:c>
      <x:c r="CJ679" s="6" t="str">
        <x:v>Win</x:v>
      </x:c>
      <x:c r="CK679" s="9" t="str">
        <x:v>1.324390475508791</x:v>
      </x:c>
      <x:c r="CL679" s="9" t="str">
        <x:v>0.876135237644277</x:v>
      </x:c>
      <x:c r="CM679" s="7" t="str">
        <x:v>2026-05-26 19:40:00-05:00</x:v>
      </x:c>
      <x:c r="CN679" s="6" t="str">
        <x:v>27735.5</x:v>
      </x:c>
      <x:c r="CO679" s="6" t="str">
        <x:v>TIME</x:v>
      </x:c>
      <x:c r="CP679" s="6" t="str">
        <x:v>F::Long::Same-bar Setup+BOS::Penetration + same-bar reclaim</x:v>
      </x:c>
    </x:row>
    <x:row r="680" ht="18" customHeight="1">
      <x:c r="A680" s="6" t="str">
        <x:v>A0679</x:v>
      </x:c>
      <x:c r="B680" s="6" t="str">
        <x:v>2026-05-29</x:v>
      </x:c>
      <x:c r="C680" s="6" t="str">
        <x:v>2026</x:v>
      </x:c>
      <x:c r="D680" s="6" t="str">
        <x:v>2026-Q2</x:v>
      </x:c>
      <x:c r="E680" s="6" t="str">
        <x:v>Second 50%</x:v>
      </x:c>
      <x:c r="F680" s="6" t="str">
        <x:v>Long</x:v>
      </x:c>
      <x:c r="G680" s="6" t="str">
        <x:v>Long</x:v>
      </x:c>
      <x:c r="H680" s="6" t="str">
        <x:v>Premarket</x:v>
      </x:c>
      <x:c r="I680" s="6" t="str">
        <x:v>Premarket</x:v>
      </x:c>
      <x:c r="J680" s="6" t="str">
        <x:v>Bull</x:v>
      </x:c>
      <x:c r="K680" s="6" t="str">
        <x:v>Bull</x:v>
      </x:c>
      <x:c r="L680" s="6" t="str">
        <x:v>HIGH</x:v>
      </x:c>
      <x:c r="M680" s="7" t="str">
        <x:v>2026-05-29 08:25:00-05:00</x:v>
      </x:c>
      <x:c r="N680" s="6" t="str">
        <x:v>90.0</x:v>
      </x:c>
      <x:c r="O680" s="6" t="str">
        <x:v>90-94</x:v>
      </x:c>
      <x:c r="P680" s="6" t="str">
        <x:v>Matching BOS only</x:v>
      </x:c>
      <x:c r="Q680" s="6" t="str">
        <x:v>Bull BOS</x:v>
      </x:c>
      <x:c r="R680" s="6" t="str">
        <x:v>True</x:v>
      </x:c>
      <x:c r="S680" s="6" t="str">
        <x:v>False</x:v>
      </x:c>
      <x:c r="T680" s="6" t="str">
        <x:v>Recent SSL</x:v>
      </x:c>
      <x:c r="U680" s="6" t="str">
        <x:v>SSL</x:v>
      </x:c>
      <x:c r="V680" s="6" t="str">
        <x:v>Swing low / sell-side</x:v>
      </x:c>
      <x:c r="W680" s="6" t="str">
        <x:v>[27920.25]</x:v>
      </x:c>
      <x:c r="X680" s="8" t="str">
        <x:v>1</x:v>
      </x:c>
      <x:c r="Y680" s="8" t="str">
        <x:v>11.0</x:v>
      </x:c>
      <x:c r="Z680" s="6" t="str">
        <x:v>None</x:v>
      </x:c>
      <x:c r="AA680" s="6" t="str">
        <x:v>27993.75</x:v>
      </x:c>
      <x:c r="AB680" s="9" t="str">
        <x:v>0.5241127029184985</x:v>
      </x:c>
      <x:c r="AC680" s="9" t="str">
        <x:v>1.80818882506882</x:v>
      </x:c>
      <x:c r="AD680" s="9" t="str">
        <x:v>1.9261141832254822</x:v>
      </x:c>
      <x:c r="AE680" s="6" t="str">
        <x:v>With trade</x:v>
      </x:c>
      <x:c r="AF680" s="7" t="str">
        <x:v>2026-05-29 08:25:00-05:00</x:v>
      </x:c>
      <x:c r="AG680" s="6" t="str">
        <x:v>Long</x:v>
      </x:c>
      <x:c r="AH680" s="6" t="str">
        <x:v>27993.75</x:v>
      </x:c>
      <x:c r="AI680" s="8" t="str">
        <x:v>0</x:v>
      </x:c>
      <x:c r="AJ680" s="6" t="str">
        <x:v>True</x:v>
      </x:c>
      <x:c r="AK680" s="6" t="str">
        <x:v>Same-bar Setup+BOS</x:v>
      </x:c>
      <x:c r="AL680" s="9" t="str">
        <x:v>1.8474972777877074</x:v>
      </x:c>
      <x:c r="AM680" s="9" t="str">
        <x:v>0.5241127029184985</x:v>
      </x:c>
      <x:c r="AN680" s="9" t="str">
        <x:v>1.80818882506882</x:v>
      </x:c>
      <x:c r="AO680" s="9" t="str">
        <x:v>1.9261141832254822</x:v>
      </x:c>
      <x:c r="AP680" s="10" t="str">
        <x:v>0.9387755102040817</x:v>
      </x:c>
      <x:c r="AQ680" s="6" t="str">
        <x:v>0.061224489795918366</x:v>
      </x:c>
      <x:c r="AR680" s="6" t="str">
        <x:v>0.0</x:v>
      </x:c>
      <x:c r="AS680" s="6" t="str">
        <x:v>With trade</x:v>
      </x:c>
      <x:c r="AT680" s="6" t="str">
        <x:v>4.570940353500293</x:v>
      </x:c>
      <x:c r="AU680" s="7" t="str">
        <x:v>2026-05-29 08:30:00-05:00</x:v>
      </x:c>
      <x:c r="AV680" s="8" t="str">
        <x:v>1</x:v>
      </x:c>
      <x:c r="AW680" s="6" t="str">
        <x:v>Immediate retest (1 bar)</x:v>
      </x:c>
      <x:c r="AX680" s="6" t="str">
        <x:v>27986.25</x:v>
      </x:c>
      <x:c r="AY680" s="6" t="str">
        <x:v>7.5</x:v>
      </x:c>
      <x:c r="AZ680" s="9" t="str">
        <x:v>0.3394891285649625</x:v>
      </x:c>
      <x:c r="BA680" s="9" t="str">
        <x:v>0.12447934714048625</x:v>
      </x:c>
      <x:c r="BB680" s="9" t="str">
        <x:v>2.7724945499471936</x:v>
      </x:c>
      <x:c r="BC680" s="9" t="str">
        <x:v>0.36212173713596</x:v>
      </x:c>
      <x:c r="BD680" s="6" t="str">
        <x:v>0.7020408163265306</x:v>
      </x:c>
      <x:c r="BE680" s="6" t="str">
        <x:v>0.1673469387755102</x:v>
      </x:c>
      <x:c r="BF680" s="9" t="str">
        <x:v>0.46396847570544875</x:v>
      </x:c>
      <x:c r="BG680" s="9" t="str">
        <x:v>1.9464043371057849</x:v>
      </x:c>
      <x:c r="BH680" s="6" t="str">
        <x:v>Against trade</x:v>
      </x:c>
      <x:c r="BI680" s="6" t="str">
        <x:v>Penetration + same-bar reclaim</x:v>
      </x:c>
      <x:c r="BJ680" s="6" t="str">
        <x:v>False</x:v>
      </x:c>
      <x:c r="BK680" s="10" t="str">
        <x:v>True</x:v>
      </x:c>
      <x:c r="BL680" s="6" t="str">
        <x:v>True</x:v>
      </x:c>
      <x:c r="BM680" s="7" t="str">
        <x:v>2026-05-29 08:35:00-05:00</x:v>
      </x:c>
      <x:c r="BN680" s="8" t="str">
        <x:v>1</x:v>
      </x:c>
      <x:c r="BO680" s="6" t="str">
        <x:v>Immediate confirmation (1 bar)</x:v>
      </x:c>
      <x:c r="BP680" s="9" t="str">
        <x:v>2.1337492083730742</x:v>
      </x:c>
      <x:c r="BQ680" s="9" t="str">
        <x:v>2.704060056693988</x:v>
      </x:c>
      <x:c r="BR680" s="10" t="str">
        <x:v>0.7890909090909091</x:v>
      </x:c>
      <x:c r="BS680" s="9" t="str">
        <x:v>2.2419116106408334</x:v>
      </x:c>
      <x:c r="BT680" s="9" t="str">
        <x:v>2.1337492083730742</x:v>
      </x:c>
      <x:c r="BU680" s="9" t="str">
        <x:v>0.2064918588748136</x:v>
      </x:c>
      <x:c r="BV680" s="6" t="str">
        <x:v>With trade</x:v>
      </x:c>
      <x:c r="BW680" s="7" t="str">
        <x:v>2026-05-29 08:35:00-05:00</x:v>
      </x:c>
      <x:c r="BX680" s="6" t="str">
        <x:v>28050.75</x:v>
      </x:c>
      <x:c r="BY680" s="9" t="str">
        <x:v>25.424731166679216</x:v>
      </x:c>
      <x:c r="BZ680" s="9" t="str">
        <x:v>1.0</x:v>
      </x:c>
      <x:c r="CA680" s="6" t="str">
        <x:v>28012.61290324998</x:v>
      </x:c>
      <x:c r="CB680" s="6" t="str">
        <x:v>38.13709675001883</x:v>
      </x:c>
      <x:c r="CC680" s="9" t="str">
        <x:v>1.5000000000000002</x:v>
      </x:c>
      <x:c r="CD680" s="6" t="str">
        <x:v>28127.024193500038</x:v>
      </x:c>
      <x:c r="CE680" s="6" t="str">
        <x:v>76.27419350003765</x:v>
      </x:c>
      <x:c r="CF680" s="6" t="str">
        <x:v>Fixed 2.00R target</x:v>
      </x:c>
      <x:c r="CG680" s="9" t="str">
        <x:v>0.019010361610697125</x:v>
      </x:c>
      <x:c r="CH680" s="9" t="str">
        <x:v>2.0</x:v>
      </x:c>
      <x:c r="CI680" s="9" t="str">
        <x:v>1.9809896383893029</x:v>
      </x:c>
      <x:c r="CJ680" s="6" t="str">
        <x:v>Win</x:v>
      </x:c>
      <x:c r="CK680" s="9" t="str">
        <x:v>2.2091351251051488</x:v>
      </x:c>
      <x:c r="CL680" s="9" t="str">
        <x:v>0.16388242767842348</x:v>
      </x:c>
      <x:c r="CM680" s="7" t="str">
        <x:v>2026-05-29 08:50:00-05:00</x:v>
      </x:c>
      <x:c r="CN680" s="6" t="str">
        <x:v>28127.024193500038</x:v>
      </x:c>
      <x:c r="CO680" s="6" t="str">
        <x:v>TARGET</x:v>
      </x:c>
      <x:c r="CP680" s="6" t="str">
        <x:v>F::Long::Same-bar Setup+BOS::Penetration + same-bar reclaim</x:v>
      </x:c>
    </x:row>
    <x:row r="681" ht="18" customHeight="1">
      <x:c r="A681" s="6" t="str">
        <x:v>A0680</x:v>
      </x:c>
      <x:c r="B681" s="6" t="str">
        <x:v>2026-06-01</x:v>
      </x:c>
      <x:c r="C681" s="6" t="str">
        <x:v>2026</x:v>
      </x:c>
      <x:c r="D681" s="6" t="str">
        <x:v>2026-Q2</x:v>
      </x:c>
      <x:c r="E681" s="6" t="str">
        <x:v>Second 50%</x:v>
      </x:c>
      <x:c r="F681" s="6" t="str">
        <x:v>Short</x:v>
      </x:c>
      <x:c r="G681" s="6" t="str">
        <x:v>Short</x:v>
      </x:c>
      <x:c r="H681" s="6" t="str">
        <x:v>Midday</x:v>
      </x:c>
      <x:c r="I681" s="6" t="str">
        <x:v>Midday</x:v>
      </x:c>
      <x:c r="J681" s="6" t="str">
        <x:v>Bull</x:v>
      </x:c>
      <x:c r="K681" s="6" t="str">
        <x:v>Bull</x:v>
      </x:c>
      <x:c r="L681" s="6" t="str">
        <x:v>LOW</x:v>
      </x:c>
      <x:c r="M681" s="7" t="str">
        <x:v>2026-06-01 13:45:00-05:00</x:v>
      </x:c>
      <x:c r="N681" s="6" t="str">
        <x:v>75.0</x:v>
      </x:c>
      <x:c r="O681" s="6" t="str">
        <x:v>75-79</x:v>
      </x:c>
      <x:c r="P681" s="6" t="str">
        <x:v>Matching BOS only</x:v>
      </x:c>
      <x:c r="Q681" s="6" t="str">
        <x:v>Bear CHoCH</x:v>
      </x:c>
      <x:c r="R681" s="6" t="str">
        <x:v>True</x:v>
      </x:c>
      <x:c r="S681" s="6" t="str">
        <x:v>False</x:v>
      </x:c>
      <x:c r="T681" s="6" t="str">
        <x:v>No recent matching sweep</x:v>
      </x:c>
      <x:c r="U681" s="6" t="str">
        <x:v>None</x:v>
      </x:c>
      <x:c r="V681" s="6" t="str">
        <x:v>None</x:v>
      </x:c>
      <x:c r="W681" s="6" t="str">
        <x:v>[]</x:v>
      </x:c>
      <x:c r="X681" s="8" t="str">
        <x:v>0</x:v>
      </x:c>
      <x:c r="Y681" s="8" t="str"/>
      <x:c r="Z681" s="6" t="str">
        <x:v>None</x:v>
      </x:c>
      <x:c r="AA681" s="6" t="str">
        <x:v>28248.25</x:v>
      </x:c>
      <x:c r="AB681" s="9" t="str">
        <x:v>0.12733859830548158</x:v>
      </x:c>
      <x:c r="AC681" s="9" t="str">
        <x:v>0.6912666765154715</x:v>
      </x:c>
      <x:c r="AD681" s="9" t="str">
        <x:v>0.8186052748209531</x:v>
      </x:c>
      <x:c r="AE681" s="6" t="str">
        <x:v>With trade</x:v>
      </x:c>
      <x:c r="AF681" s="7" t="str">
        <x:v>2026-06-01 13:45:00-05:00</x:v>
      </x:c>
      <x:c r="AG681" s="6" t="str">
        <x:v>Short</x:v>
      </x:c>
      <x:c r="AH681" s="6" t="str">
        <x:v>28248.25</x:v>
      </x:c>
      <x:c r="AI681" s="8" t="str">
        <x:v>0</x:v>
      </x:c>
      <x:c r="AJ681" s="6" t="str">
        <x:v>True</x:v>
      </x:c>
      <x:c r="AK681" s="6" t="str">
        <x:v>Same-bar Setup+BOS</x:v>
      </x:c>
      <x:c r="AL681" s="9" t="str">
        <x:v>0.6912666765154715</x:v>
      </x:c>
      <x:c r="AM681" s="9" t="str">
        <x:v>0.12733859830548158</x:v>
      </x:c>
      <x:c r="AN681" s="9" t="str">
        <x:v>0.6912666765154715</x:v>
      </x:c>
      <x:c r="AO681" s="9" t="str">
        <x:v>0.8186052748209531</x:v>
      </x:c>
      <x:c r="AP681" s="10" t="str">
        <x:v>0.8444444444444444</x:v>
      </x:c>
      <x:c r="AQ681" s="6" t="str">
        <x:v>0.03333333333333333</x:v>
      </x:c>
      <x:c r="AR681" s="6" t="str">
        <x:v>0.12222222222222222</x:v>
      </x:c>
      <x:c r="AS681" s="6" t="str">
        <x:v>With trade</x:v>
      </x:c>
      <x:c r="AT681" s="6" t="str">
        <x:v>0.603261807131388</x:v>
      </x:c>
      <x:c r="AU681" s="7" t="str">
        <x:v>2026-06-01 13:50:00-05:00</x:v>
      </x:c>
      <x:c r="AV681" s="8" t="str">
        <x:v>1</x:v>
      </x:c>
      <x:c r="AW681" s="6" t="str">
        <x:v>Immediate retest (1 bar)</x:v>
      </x:c>
      <x:c r="AX681" s="6" t="str">
        <x:v>28251.5</x:v>
      </x:c>
      <x:c r="AY681" s="6" t="str">
        <x:v>3.25</x:v>
      </x:c>
      <x:c r="AZ681" s="9" t="str">
        <x:v>0.12188096280189788</x:v>
      </x:c>
      <x:c r="BA681" s="9" t="str">
        <x:v>0.009375458677069067</x:v>
      </x:c>
      <x:c r="BB681" s="9" t="str">
        <x:v>0.6000293553324203</x:v>
      </x:c>
      <x:c r="BC681" s="9" t="str">
        <x:v>0.12188096280189788</x:v>
      </x:c>
      <x:c r="BD681" s="6" t="str">
        <x:v>0.21875</x:v>
      </x:c>
      <x:c r="BE681" s="6" t="str">
        <x:v>0.578125</x:v>
      </x:c>
      <x:c r="BF681" s="9" t="str">
        <x:v>0.13125642147896696</x:v>
      </x:c>
      <x:c r="BG681" s="9" t="str">
        <x:v>0.3468919710515555</x:v>
      </x:c>
      <x:c r="BH681" s="6" t="str">
        <x:v>Against trade</x:v>
      </x:c>
      <x:c r="BI681" s="6" t="str">
        <x:v>Penetration + same-bar reclaim</x:v>
      </x:c>
      <x:c r="BJ681" s="6" t="str">
        <x:v>False</x:v>
      </x:c>
      <x:c r="BK681" s="10" t="str">
        <x:v>True</x:v>
      </x:c>
      <x:c r="BL681" s="6" t="str">
        <x:v>True</x:v>
      </x:c>
      <x:c r="BM681" s="7" t="str">
        <x:v>2026-06-01 13:55:00-05:00</x:v>
      </x:c>
      <x:c r="BN681" s="8" t="str">
        <x:v>1</x:v>
      </x:c>
      <x:c r="BO681" s="6" t="str">
        <x:v>Immediate confirmation (1 bar)</x:v>
      </x:c>
      <x:c r="BP681" s="9" t="str">
        <x:v>0.13246833971672073</x:v>
      </x:c>
      <x:c r="BQ681" s="9" t="str">
        <x:v>0.8799682566896447</x:v>
      </x:c>
      <x:c r="BR681" s="10" t="str">
        <x:v>0.15053763440860216</x:v>
      </x:c>
      <x:c r="BS681" s="9" t="str">
        <x:v>0.12300631545124067</x:v>
      </x:c>
      <x:c r="BT681" s="9" t="str">
        <x:v>0.11354429118576062</x:v>
      </x:c>
      <x:c r="BU681" s="9" t="str">
        <x:v>0.6907277713800437</x:v>
      </x:c>
      <x:c r="BV681" s="6" t="str">
        <x:v>With trade</x:v>
      </x:c>
      <x:c r="BW681" s="7" t="str">
        <x:v>2026-06-01 13:55:00-05:00</x:v>
      </x:c>
      <x:c r="BX681" s="6" t="str">
        <x:v>28245.0</x:v>
      </x:c>
      <x:c r="BY681" s="9" t="str">
        <x:v>26.421407616979554</x:v>
      </x:c>
      <x:c r="BZ681" s="9" t="str">
        <x:v>0.31</x:v>
      </x:c>
      <x:c r="CA681" s="6" t="str">
        <x:v>28284.632111425468</x:v>
      </x:c>
      <x:c r="CB681" s="6" t="str">
        <x:v>39.63211142546788</x:v>
      </x:c>
      <x:c r="CC681" s="9" t="str">
        <x:v>1.4999999999999452</x:v>
      </x:c>
      <x:c r="CD681" s="6" t="str">
        <x:v>28165.73577714906</x:v>
      </x:c>
      <x:c r="CE681" s="6" t="str">
        <x:v>79.2642228509394</x:v>
      </x:c>
      <x:c r="CF681" s="6" t="str">
        <x:v>Fixed 2.00R target</x:v>
      </x:c>
      <x:c r="CG681" s="9" t="str">
        <x:v>0.0182932469132621</x:v>
      </x:c>
      <x:c r="CH681" s="9" t="str">
        <x:v>1.3183753809902203</x:v>
      </x:c>
      <x:c r="CI681" s="9" t="str">
        <x:v>1.3000821340769582</x:v>
      </x:c>
      <x:c r="CJ681" s="6" t="str">
        <x:v>Win</x:v>
      </x:c>
      <x:c r="CK681" s="9" t="str">
        <x:v>1.7094723839634585</x:v>
      </x:c>
      <x:c r="CL681" s="9" t="str">
        <x:v>0.6371096338756801</x:v>
      </x:c>
      <x:c r="CM681" s="7" t="str">
        <x:v>2026-06-01 14:55:00-05:00</x:v>
      </x:c>
      <x:c r="CN681" s="6" t="str">
        <x:v>28192.75</x:v>
      </x:c>
      <x:c r="CO681" s="6" t="str">
        <x:v>TIME</x:v>
      </x:c>
      <x:c r="CP681" s="6" t="str">
        <x:v>F::Short::Same-bar Setup+BOS::Penetration + same-bar reclaim</x:v>
      </x:c>
    </x:row>
    <x:row r="682" ht="18" customHeight="1">
      <x:c r="A682" s="6" t="str">
        <x:v>A0681</x:v>
      </x:c>
      <x:c r="B682" s="6" t="str">
        <x:v>2026-06-02</x:v>
      </x:c>
      <x:c r="C682" s="6" t="str">
        <x:v>2026</x:v>
      </x:c>
      <x:c r="D682" s="6" t="str">
        <x:v>2026-Q2</x:v>
      </x:c>
      <x:c r="E682" s="6" t="str">
        <x:v>Second 50%</x:v>
      </x:c>
      <x:c r="F682" s="6" t="str">
        <x:v>Long</x:v>
      </x:c>
      <x:c r="G682" s="6" t="str">
        <x:v>Long</x:v>
      </x:c>
      <x:c r="H682" s="6" t="str">
        <x:v>Opening</x:v>
      </x:c>
      <x:c r="I682" s="6" t="str">
        <x:v>Opening</x:v>
      </x:c>
      <x:c r="J682" s="6" t="str">
        <x:v>Bull</x:v>
      </x:c>
      <x:c r="K682" s="6" t="str">
        <x:v>Bull</x:v>
      </x:c>
      <x:c r="L682" s="6" t="str">
        <x:v>HIGH</x:v>
      </x:c>
      <x:c r="M682" s="7" t="str">
        <x:v>2026-06-02 10:05:00-05:00</x:v>
      </x:c>
      <x:c r="N682" s="6" t="str">
        <x:v>85.0</x:v>
      </x:c>
      <x:c r="O682" s="6" t="str">
        <x:v>85-89</x:v>
      </x:c>
      <x:c r="P682" s="6" t="str">
        <x:v>Matching BOS only</x:v>
      </x:c>
      <x:c r="Q682" s="6" t="str">
        <x:v>Bull BOS</x:v>
      </x:c>
      <x:c r="R682" s="6" t="str">
        <x:v>True</x:v>
      </x:c>
      <x:c r="S682" s="6" t="str">
        <x:v>False</x:v>
      </x:c>
      <x:c r="T682" s="6" t="str">
        <x:v>Recent SSL</x:v>
      </x:c>
      <x:c r="U682" s="6" t="str">
        <x:v>SSL</x:v>
      </x:c>
      <x:c r="V682" s="6" t="str">
        <x:v>Swing low / sell-side</x:v>
      </x:c>
      <x:c r="W682" s="6" t="str">
        <x:v>[28079.25]</x:v>
      </x:c>
      <x:c r="X682" s="8" t="str">
        <x:v>1</x:v>
      </x:c>
      <x:c r="Y682" s="8" t="str">
        <x:v>18.0</x:v>
      </x:c>
      <x:c r="Z682" s="6" t="str">
        <x:v>Sweep below CRT reference</x:v>
      </x:c>
      <x:c r="AA682" s="6" t="str">
        <x:v>28268.75</x:v>
      </x:c>
      <x:c r="AB682" s="9" t="str">
        <x:v>0.17214851372764434</x:v>
      </x:c>
      <x:c r="AC682" s="9" t="str">
        <x:v>0.7084573449560747</x:v>
      </x:c>
      <x:c r="AD682" s="9" t="str">
        <x:v>1.2050395960935103</x:v>
      </x:c>
      <x:c r="AE682" s="6" t="str">
        <x:v>With trade</x:v>
      </x:c>
      <x:c r="AF682" s="7" t="str">
        <x:v>2026-06-02 10:05:00-05:00</x:v>
      </x:c>
      <x:c r="AG682" s="6" t="str">
        <x:v>Long</x:v>
      </x:c>
      <x:c r="AH682" s="6" t="str">
        <x:v>28268.75</x:v>
      </x:c>
      <x:c r="AI682" s="8" t="str">
        <x:v>0</x:v>
      </x:c>
      <x:c r="AJ682" s="6" t="str">
        <x:v>True</x:v>
      </x:c>
      <x:c r="AK682" s="6" t="str">
        <x:v>Same-bar Setup+BOS</x:v>
      </x:c>
      <x:c r="AL682" s="9" t="str">
        <x:v>0.7084573449560747</x:v>
      </x:c>
      <x:c r="AM682" s="9" t="str">
        <x:v>0.17214851372764434</x:v>
      </x:c>
      <x:c r="AN682" s="9" t="str">
        <x:v>0.7084573449560747</x:v>
      </x:c>
      <x:c r="AO682" s="9" t="str">
        <x:v>1.2050395960935103</x:v>
      </x:c>
      <x:c r="AP682" s="10" t="str">
        <x:v>0.5879120879120879</x:v>
      </x:c>
      <x:c r="AQ682" s="6" t="str">
        <x:v>0.07692307692307693</x:v>
      </x:c>
      <x:c r="AR682" s="6" t="str">
        <x:v>0.33516483516483514</x:v>
      </x:c>
      <x:c r="AS682" s="6" t="str">
        <x:v>With trade</x:v>
      </x:c>
      <x:c r="AT682" s="6" t="str">
        <x:v>0.6742722014508037</x:v>
      </x:c>
      <x:c r="AU682" s="7" t="str">
        <x:v>2026-06-02 10:10:00-05:00</x:v>
      </x:c>
      <x:c r="AV682" s="8" t="str">
        <x:v>1</x:v>
      </x:c>
      <x:c r="AW682" s="6" t="str">
        <x:v>Immediate retest (1 bar)</x:v>
      </x:c>
      <x:c r="AX682" s="6" t="str">
        <x:v>28260.25</x:v>
      </x:c>
      <x:c r="AY682" s="6" t="str">
        <x:v>8.5</x:v>
      </x:c>
      <x:c r="AZ682" s="9" t="str">
        <x:v>0.2296830659898114</x:v>
      </x:c>
      <x:c r="BA682" s="9" t="str">
        <x:v>0.5066538220363487</x:v>
      </x:c>
      <x:c r="BB682" s="9" t="str">
        <x:v>0.73633688802616</x:v>
      </x:c>
      <x:c r="BC682" s="9" t="str">
        <x:v>0.3310138303970811</x:v>
      </x:c>
      <x:c r="BD682" s="6" t="str">
        <x:v>0.0</x:v>
      </x:c>
      <x:c r="BE682" s="6" t="str">
        <x:v>0.5504587155963303</x:v>
      </x:c>
      <x:c r="BF682" s="9" t="str">
        <x:v>0.40532305762907894</x:v>
      </x:c>
      <x:c r="BG682" s="9" t="str">
        <x:v>0.0</x:v>
      </x:c>
      <x:c r="BH682" s="6" t="str">
        <x:v>With trade</x:v>
      </x:c>
      <x:c r="BI682" s="6" t="str">
        <x:v>Penetration + same-bar reclaim</x:v>
      </x:c>
      <x:c r="BJ682" s="6" t="str">
        <x:v>False</x:v>
      </x:c>
      <x:c r="BK682" s="10" t="str">
        <x:v>True</x:v>
      </x:c>
      <x:c r="BL682" s="6" t="str">
        <x:v>True</x:v>
      </x:c>
      <x:c r="BM682" s="7" t="str">
        <x:v>2026-06-02 10:15:00-05:00</x:v>
      </x:c>
      <x:c r="BN682" s="8" t="str">
        <x:v>1</x:v>
      </x:c>
      <x:c r="BO682" s="6" t="str">
        <x:v>Immediate confirmation (1 bar)</x:v>
      </x:c>
      <x:c r="BP682" s="9" t="str">
        <x:v>0.1202997855917931</x:v>
      </x:c>
      <x:c r="BQ682" s="9" t="str">
        <x:v>0.3821287307033428</x:v>
      </x:c>
      <x:c r="BR682" s="10" t="str">
        <x:v>0.3148148148148148</x:v>
      </x:c>
      <x:c r="BS682" s="9" t="str">
        <x:v>0.6510341337908803</x:v>
      </x:c>
      <x:c r="BT682" s="9" t="str">
        <x:v>0.1202997855917931</x:v>
      </x:c>
      <x:c r="BU682" s="9" t="str">
        <x:v>0.13445270154376876</x:v>
      </x:c>
      <x:c r="BV682" s="6" t="str">
        <x:v>With trade</x:v>
      </x:c>
      <x:c r="BW682" s="7" t="str">
        <x:v>2026-06-02 10:15:00-05:00</x:v>
      </x:c>
      <x:c r="BX682" s="6" t="str">
        <x:v>28291.75</x:v>
      </x:c>
      <x:c r="BY682" s="9" t="str">
        <x:v>35.328408767255</x:v>
      </x:c>
      <x:c r="BZ682" s="9" t="str">
        <x:v>0.84</x:v>
      </x:c>
      <x:c r="CA682" s="6" t="str">
        <x:v>28238.757386849116</x:v>
      </x:c>
      <x:c r="CB682" s="6" t="str">
        <x:v>52.9926131508837</x:v>
      </x:c>
      <x:c r="CC682" s="9" t="str">
        <x:v>1.500000000000034</x:v>
      </x:c>
      <x:c r="CD682" s="6" t="str">
        <x:v>28397.735226301764</x:v>
      </x:c>
      <x:c r="CE682" s="6" t="str">
        <x:v>105.98522630176376</x:v>
      </x:c>
      <x:c r="CF682" s="6" t="str">
        <x:v>Fixed 2.00R target</x:v>
      </x:c>
      <x:c r="CG682" s="9" t="str">
        <x:v>0.013681152086909494</x:v>
      </x:c>
      <x:c r="CH682" s="9" t="str">
        <x:v>0.09435277301317106</x:v>
      </x:c>
      <x:c r="CI682" s="9" t="str">
        <x:v>0.08067162092626157</x:v>
      </x:c>
      <x:c r="CJ682" s="6" t="str">
        <x:v>Win</x:v>
      </x:c>
      <x:c r="CK682" s="9" t="str">
        <x:v>0.8114338479132527</x:v>
      </x:c>
      <x:c r="CL682" s="9" t="str">
        <x:v>0.38212873070333414</x:v>
      </x:c>
      <x:c r="CM682" s="7" t="str">
        <x:v>2026-06-02 11:15:00-05:00</x:v>
      </x:c>
      <x:c r="CN682" s="6" t="str">
        <x:v>28296.75</x:v>
      </x:c>
      <x:c r="CO682" s="6" t="str">
        <x:v>TIME</x:v>
      </x:c>
      <x:c r="CP682" s="6" t="str">
        <x:v>F::Long::Same-bar Setup+BOS::Penetration + same-bar reclaim</x:v>
      </x:c>
    </x:row>
    <x:row r="683" ht="18" customHeight="1">
      <x:c r="A683" s="6" t="str">
        <x:v>A0682</x:v>
      </x:c>
      <x:c r="B683" s="6" t="str">
        <x:v>2026-06-02</x:v>
      </x:c>
      <x:c r="C683" s="6" t="str">
        <x:v>2026</x:v>
      </x:c>
      <x:c r="D683" s="6" t="str">
        <x:v>2026-Q2</x:v>
      </x:c>
      <x:c r="E683" s="6" t="str">
        <x:v>Second 50%</x:v>
      </x:c>
      <x:c r="F683" s="6" t="str">
        <x:v>Long</x:v>
      </x:c>
      <x:c r="G683" s="6" t="str">
        <x:v>Long</x:v>
      </x:c>
      <x:c r="H683" s="6" t="str">
        <x:v>Afternoon</x:v>
      </x:c>
      <x:c r="I683" s="6" t="str">
        <x:v>Afternoon</x:v>
      </x:c>
      <x:c r="J683" s="6" t="str">
        <x:v>Bull</x:v>
      </x:c>
      <x:c r="K683" s="6" t="str">
        <x:v>Bull</x:v>
      </x:c>
      <x:c r="L683" s="6" t="str">
        <x:v>LOW</x:v>
      </x:c>
      <x:c r="M683" s="7" t="str">
        <x:v>2026-06-02 14:00:00-05:00</x:v>
      </x:c>
      <x:c r="N683" s="6" t="str">
        <x:v>100.0</x:v>
      </x:c>
      <x:c r="O683" s="6" t="str">
        <x:v>95+</x:v>
      </x:c>
      <x:c r="P683" s="6" t="str">
        <x:v>Matching BOS only</x:v>
      </x:c>
      <x:c r="Q683" s="6" t="str">
        <x:v>Bull CHoCH</x:v>
      </x:c>
      <x:c r="R683" s="6" t="str">
        <x:v>True</x:v>
      </x:c>
      <x:c r="S683" s="6" t="str">
        <x:v>False</x:v>
      </x:c>
      <x:c r="T683" s="6" t="str">
        <x:v>Recent SSL</x:v>
      </x:c>
      <x:c r="U683" s="6" t="str">
        <x:v>SSL</x:v>
      </x:c>
      <x:c r="V683" s="6" t="str">
        <x:v>Swing low / sell-side</x:v>
      </x:c>
      <x:c r="W683" s="6" t="str">
        <x:v>[28230.25]</x:v>
      </x:c>
      <x:c r="X683" s="8" t="str">
        <x:v>1</x:v>
      </x:c>
      <x:c r="Y683" s="8" t="str">
        <x:v>5.0</x:v>
      </x:c>
      <x:c r="Z683" s="6" t="str">
        <x:v>None</x:v>
      </x:c>
      <x:c r="AA683" s="6" t="str">
        <x:v>28285.5</x:v>
      </x:c>
      <x:c r="AB683" s="9" t="str">
        <x:v>0.1684772517374252</x:v>
      </x:c>
      <x:c r="AC683" s="9" t="str">
        <x:v>1.2916589299869266</x:v>
      </x:c>
      <x:c r="AD683" s="9" t="str">
        <x:v>1.4601361817243517</x:v>
      </x:c>
      <x:c r="AE683" s="6" t="str">
        <x:v>With trade</x:v>
      </x:c>
      <x:c r="AF683" s="7" t="str">
        <x:v>2026-06-02 14:00:00-05:00</x:v>
      </x:c>
      <x:c r="AG683" s="6" t="str">
        <x:v>Long</x:v>
      </x:c>
      <x:c r="AH683" s="6" t="str">
        <x:v>28285.5</x:v>
      </x:c>
      <x:c r="AI683" s="8" t="str">
        <x:v>0</x:v>
      </x:c>
      <x:c r="AJ683" s="6" t="str">
        <x:v>True</x:v>
      </x:c>
      <x:c r="AK683" s="6" t="str">
        <x:v>Same-bar Setup+BOS</x:v>
      </x:c>
      <x:c r="AL683" s="9" t="str">
        <x:v>1.3141225635519165</x:v>
      </x:c>
      <x:c r="AM683" s="9" t="str">
        <x:v>0.1684772517374252</x:v>
      </x:c>
      <x:c r="AN683" s="9" t="str">
        <x:v>1.2916589299869266</x:v>
      </x:c>
      <x:c r="AO683" s="9" t="str">
        <x:v>1.4601361817243517</x:v>
      </x:c>
      <x:c r="AP683" s="10" t="str">
        <x:v>0.8846153846153846</x:v>
      </x:c>
      <x:c r="AQ683" s="6" t="str">
        <x:v>0.06923076923076923</x:v>
      </x:c>
      <x:c r="AR683" s="6" t="str">
        <x:v>0.046153846153846156</x:v>
      </x:c>
      <x:c r="AS683" s="6" t="str">
        <x:v>With trade</x:v>
      </x:c>
      <x:c r="AT683" s="6" t="str">
        <x:v>1.351605030974282</x:v>
      </x:c>
      <x:c r="AU683" s="7" t="str">
        <x:v>2026-06-02 14:05:00-05:00</x:v>
      </x:c>
      <x:c r="AV683" s="8" t="str">
        <x:v>1</x:v>
      </x:c>
      <x:c r="AW683" s="6" t="str">
        <x:v>Immediate retest (1 bar)</x:v>
      </x:c>
      <x:c r="AX683" s="6" t="str">
        <x:v>28277.0</x:v>
      </x:c>
      <x:c r="AY683" s="6" t="str">
        <x:v>8.5</x:v>
      </x:c>
      <x:c r="AZ683" s="9" t="str">
        <x:v>0.390027652543003</x:v>
      </x:c>
      <x:c r="BA683" s="9" t="str">
        <x:v>0.12618541699920685</x:v>
      </x:c>
      <x:c r="BB683" s="9" t="str">
        <x:v>0.7226982973590937</x:v>
      </x:c>
      <x:c r="BC683" s="9" t="str">
        <x:v>0.022942803090764883</x:v>
      </x:c>
      <x:c r="BD683" s="6" t="str">
        <x:v>0.25396825396825395</x:v>
      </x:c>
      <x:c r="BE683" s="6" t="str">
        <x:v>0.7142857142857143</x:v>
      </x:c>
      <x:c r="BF683" s="9" t="str">
        <x:v>0.5162130695422098</x:v>
      </x:c>
      <x:c r="BG683" s="9" t="str">
        <x:v>0.18354242472611906</x:v>
      </x:c>
      <x:c r="BH683" s="6" t="str">
        <x:v>Against trade</x:v>
      </x:c>
      <x:c r="BI683" s="6" t="str">
        <x:v>Penetration + same-bar reclaim</x:v>
      </x:c>
      <x:c r="BJ683" s="6" t="str">
        <x:v>False</x:v>
      </x:c>
      <x:c r="BK683" s="10" t="str">
        <x:v>True</x:v>
      </x:c>
      <x:c r="BL683" s="6" t="str">
        <x:v>True</x:v>
      </x:c>
      <x:c r="BM683" s="7" t="str">
        <x:v>2026-06-02 14:10:00-05:00</x:v>
      </x:c>
      <x:c r="BN683" s="8" t="str">
        <x:v>1</x:v>
      </x:c>
      <x:c r="BO683" s="6" t="str">
        <x:v>Immediate confirmation (1 bar)</x:v>
      </x:c>
      <x:c r="BP683" s="9" t="str">
        <x:v>0.2806424417164403</x:v>
      </x:c>
      <x:c r="BQ683" s="9" t="str">
        <x:v>0.7483798445771742</x:v>
      </x:c>
      <x:c r="BR683" s="10" t="str">
        <x:v>0.375</x:v>
      </x:c>
      <x:c r="BS683" s="9" t="str">
        <x:v>0.4092702275031421</x:v>
      </x:c>
      <x:c r="BT683" s="9" t="str">
        <x:v>0.2806424417164403</x:v>
      </x:c>
      <x:c r="BU683" s="9" t="str">
        <x:v>0.023386870143036694</x:v>
      </x:c>
      <x:c r="BV683" s="6" t="str">
        <x:v>With trade</x:v>
      </x:c>
      <x:c r="BW683" s="7" t="str">
        <x:v>2026-06-02 14:10:00-05:00</x:v>
      </x:c>
      <x:c r="BX683" s="6" t="str">
        <x:v>28294.25</x:v>
      </x:c>
      <x:c r="BY683" s="9" t="str">
        <x:v>21.379517521666838</x:v>
      </x:c>
      <x:c r="BZ683" s="9" t="str">
        <x:v>0.32</x:v>
      </x:c>
      <x:c r="CA683" s="6" t="str">
        <x:v>28262.180723717498</x:v>
      </x:c>
      <x:c r="CB683" s="6" t="str">
        <x:v>32.06927628250196</x:v>
      </x:c>
      <x:c r="CC683" s="9" t="str">
        <x:v>1.5000000000000797</x:v>
      </x:c>
      <x:c r="CD683" s="6" t="str">
        <x:v>28358.388552565</x:v>
      </x:c>
      <x:c r="CE683" s="6" t="str">
        <x:v>64.13855256500028</x:v>
      </x:c>
      <x:c r="CF683" s="6" t="str">
        <x:v>Fixed 2.00R target</x:v>
      </x:c>
      <x:c r="CG683" s="9" t="str">
        <x:v>0.02260730780493427</x:v>
      </x:c>
      <x:c r="CH683" s="9" t="str">
        <x:v>2.0</x:v>
      </x:c>
      <x:c r="CI683" s="9" t="str">
        <x:v>1.9773926921950657</x:v>
      </x:c>
      <x:c r="CJ683" s="6" t="str">
        <x:v>Win</x:v>
      </x:c>
      <x:c r="CK683" s="9" t="str">
        <x:v>2.0190664556820606</x:v>
      </x:c>
      <x:c r="CL683" s="9" t="str">
        <x:v>0.33521180538350814</x:v>
      </x:c>
      <x:c r="CM683" s="7" t="str">
        <x:v>2026-06-02 15:00:00-05:00</x:v>
      </x:c>
      <x:c r="CN683" s="6" t="str">
        <x:v>28358.388552565</x:v>
      </x:c>
      <x:c r="CO683" s="6" t="str">
        <x:v>TARGET</x:v>
      </x:c>
      <x:c r="CP683" s="6" t="str">
        <x:v>F::Long::Same-bar Setup+BOS::Penetration + same-bar reclaim</x:v>
      </x:c>
    </x:row>
    <x:row r="684" ht="18" customHeight="1">
      <x:c r="A684" s="6" t="str">
        <x:v>A0683</x:v>
      </x:c>
      <x:c r="B684" s="6" t="str">
        <x:v>2026-06-03</x:v>
      </x:c>
      <x:c r="C684" s="6" t="str">
        <x:v>2026</x:v>
      </x:c>
      <x:c r="D684" s="6" t="str">
        <x:v>2026-Q2</x:v>
      </x:c>
      <x:c r="E684" s="6" t="str">
        <x:v>Second 50%</x:v>
      </x:c>
      <x:c r="F684" s="6" t="str">
        <x:v>Long</x:v>
      </x:c>
      <x:c r="G684" s="6" t="str">
        <x:v>Long</x:v>
      </x:c>
      <x:c r="H684" s="6" t="str">
        <x:v>Overnight</x:v>
      </x:c>
      <x:c r="I684" s="6" t="str">
        <x:v>Overnight</x:v>
      </x:c>
      <x:c r="J684" s="6" t="str">
        <x:v>Bull</x:v>
      </x:c>
      <x:c r="K684" s="6" t="str">
        <x:v>Bull</x:v>
      </x:c>
      <x:c r="L684" s="6" t="str">
        <x:v>MID</x:v>
      </x:c>
      <x:c r="M684" s="7" t="str">
        <x:v>2026-06-03 02:05:00-05:00</x:v>
      </x:c>
      <x:c r="N684" s="6" t="str">
        <x:v>90.0</x:v>
      </x:c>
      <x:c r="O684" s="6" t="str">
        <x:v>90-94</x:v>
      </x:c>
      <x:c r="P684" s="6" t="str">
        <x:v>Matching BOS only</x:v>
      </x:c>
      <x:c r="Q684" s="6" t="str">
        <x:v>Bull BOS</x:v>
      </x:c>
      <x:c r="R684" s="6" t="str">
        <x:v>True</x:v>
      </x:c>
      <x:c r="S684" s="6" t="str">
        <x:v>False</x:v>
      </x:c>
      <x:c r="T684" s="6" t="str">
        <x:v>Recent SSL</x:v>
      </x:c>
      <x:c r="U684" s="6" t="str">
        <x:v>SSL</x:v>
      </x:c>
      <x:c r="V684" s="6" t="str">
        <x:v>Swing low / sell-side</x:v>
      </x:c>
      <x:c r="W684" s="6" t="str">
        <x:v>[28296.5]</x:v>
      </x:c>
      <x:c r="X684" s="8" t="str">
        <x:v>1</x:v>
      </x:c>
      <x:c r="Y684" s="8" t="str">
        <x:v>11.0</x:v>
      </x:c>
      <x:c r="Z684" s="6" t="str">
        <x:v>None</x:v>
      </x:c>
      <x:c r="AA684" s="6" t="str">
        <x:v>28337.5</x:v>
      </x:c>
      <x:c r="AB684" s="9" t="str">
        <x:v>0.06305068932121494</x:v>
      </x:c>
      <x:c r="AC684" s="9" t="str">
        <x:v>1.1506750801121726</x:v>
      </x:c>
      <x:c r="AD684" s="9" t="str">
        <x:v>1.3398271480758173</x:v>
      </x:c>
      <x:c r="AE684" s="6" t="str">
        <x:v>With trade</x:v>
      </x:c>
      <x:c r="AF684" s="7" t="str">
        <x:v>2026-06-03 02:05:00-05:00</x:v>
      </x:c>
      <x:c r="AG684" s="6" t="str">
        <x:v>Long</x:v>
      </x:c>
      <x:c r="AH684" s="6" t="str">
        <x:v>28337.5</x:v>
      </x:c>
      <x:c r="AI684" s="8" t="str">
        <x:v>0</x:v>
      </x:c>
      <x:c r="AJ684" s="6" t="str">
        <x:v>True</x:v>
      </x:c>
      <x:c r="AK684" s="6" t="str">
        <x:v>Same-bar Setup+BOS</x:v>
      </x:c>
      <x:c r="AL684" s="9" t="str">
        <x:v>1.18220042477278</x:v>
      </x:c>
      <x:c r="AM684" s="9" t="str">
        <x:v>0.06305068932121494</x:v>
      </x:c>
      <x:c r="AN684" s="9" t="str">
        <x:v>1.1506750801121726</x:v>
      </x:c>
      <x:c r="AO684" s="9" t="str">
        <x:v>1.3398271480758173</x:v>
      </x:c>
      <x:c r="AP684" s="10" t="str">
        <x:v>0.8588235294117647</x:v>
      </x:c>
      <x:c r="AQ684" s="6" t="str">
        <x:v>0.10588235294117647</x:v>
      </x:c>
      <x:c r="AR684" s="6" t="str">
        <x:v>0.03529411764705882</x:v>
      </x:c>
      <x:c r="AS684" s="6" t="str">
        <x:v>With trade</x:v>
      </x:c>
      <x:c r="AT684" s="6" t="str">
        <x:v>1.6085341004434857</x:v>
      </x:c>
      <x:c r="AU684" s="7" t="str">
        <x:v>2026-06-03 02:10:00-05:00</x:v>
      </x:c>
      <x:c r="AV684" s="8" t="str">
        <x:v>1</x:v>
      </x:c>
      <x:c r="AW684" s="6" t="str">
        <x:v>Immediate retest (1 bar)</x:v>
      </x:c>
      <x:c r="AX684" s="6" t="str">
        <x:v>28334.75</x:v>
      </x:c>
      <x:c r="AY684" s="6" t="str">
        <x:v>2.75</x:v>
      </x:c>
      <x:c r="AZ684" s="9" t="str">
        <x:v>0.16387629126509987</x:v>
      </x:c>
      <x:c r="BA684" s="9" t="str">
        <x:v>0.7150965437022541</x:v>
      </x:c>
      <x:c r="BB684" s="9" t="str">
        <x:v>1.7132521359533168</x:v>
      </x:c>
      <x:c r="BC684" s="9" t="str">
        <x:v>0.7001986990417903</x:v>
      </x:c>
      <x:c r="BD684" s="6" t="str">
        <x:v>0.48695652173913045</x:v>
      </x:c>
      <x:c r="BE684" s="6" t="str">
        <x:v>0.10434782608695652</x:v>
      </x:c>
      <x:c r="BF684" s="9" t="str">
        <x:v>0.17877413592556352</x:v>
      </x:c>
      <x:c r="BG684" s="9" t="str">
        <x:v>0.834279300985963</x:v>
      </x:c>
      <x:c r="BH684" s="6" t="str">
        <x:v>With trade</x:v>
      </x:c>
      <x:c r="BI684" s="6" t="str">
        <x:v>Penetration + same-bar reclaim</x:v>
      </x:c>
      <x:c r="BJ684" s="6" t="str">
        <x:v>False</x:v>
      </x:c>
      <x:c r="BK684" s="10" t="str">
        <x:v>True</x:v>
      </x:c>
      <x:c r="BL684" s="6" t="str">
        <x:v>True</x:v>
      </x:c>
      <x:c r="BM684" s="7" t="str">
        <x:v>2026-06-03 02:15:00-05:00</x:v>
      </x:c>
      <x:c r="BN684" s="8" t="str">
        <x:v>1</x:v>
      </x:c>
      <x:c r="BO684" s="6" t="str">
        <x:v>Immediate confirmation (1 bar)</x:v>
      </x:c>
      <x:c r="BP684" s="9" t="str">
        <x:v>0.059472640319326274</x:v>
      </x:c>
      <x:c r="BQ684" s="9" t="str">
        <x:v>1.0259030455083782</x:v>
      </x:c>
      <x:c r="BR684" s="10" t="str">
        <x:v>0.057971014492753624</x:v>
      </x:c>
      <x:c r="BS684" s="9" t="str">
        <x:v>0.8772214447100625</x:v>
      </x:c>
      <x:c r="BT684" s="9" t="str">
        <x:v>0.16354976087814724</x:v>
      </x:c>
      <x:c r="BU684" s="9" t="str">
        <x:v>0.5203856027941048</x:v>
      </x:c>
      <x:c r="BV684" s="6" t="str">
        <x:v>With trade</x:v>
      </x:c>
      <x:c r="BW684" s="7" t="str">
        <x:v>2026-06-03 02:15:00-05:00</x:v>
      </x:c>
      <x:c r="BX684" s="6" t="str">
        <x:v>28352.25</x:v>
      </x:c>
      <x:c r="BY684" s="9" t="str">
        <x:v>16.814454421910696</x:v>
      </x:c>
      <x:c r="BZ684" s="9" t="str">
        <x:v>0.52</x:v>
      </x:c>
      <x:c r="CA684" s="6" t="str">
        <x:v>28327.028318367134</x:v>
      </x:c>
      <x:c r="CB684" s="6" t="str">
        <x:v>25.22168163286551</x:v>
      </x:c>
      <x:c r="CC684" s="9" t="str">
        <x:v>1.4999999999999682</x:v>
      </x:c>
      <x:c r="CD684" s="6" t="str">
        <x:v>28402.69336326573</x:v>
      </x:c>
      <x:c r="CE684" s="6" t="str">
        <x:v>50.44336326573102</x:v>
      </x:c>
      <x:c r="CF684" s="6" t="str">
        <x:v>Fixed 2.00R target</x:v>
      </x:c>
      <x:c r="CG684" s="9" t="str">
        <x:v>0.02874510948767497</x:v>
      </x:c>
      <x:c r="CH684" s="9" t="str">
        <x:v>-1.0</x:v>
      </x:c>
      <x:c r="CI684" s="9" t="str">
        <x:v>-1.028745109487675</x:v>
      </x:c>
      <x:c r="CJ684" s="6" t="str">
        <x:v>Loss</x:v>
      </x:c>
      <x:c r="CK684" s="9" t="str">
        <x:v>0.0</x:v>
      </x:c>
      <x:c r="CL684" s="9" t="str">
        <x:v>1.0407712055882317</x:v>
      </x:c>
      <x:c r="CM684" s="7" t="str">
        <x:v>2026-06-03 02:25:00-05:00</x:v>
      </x:c>
      <x:c r="CN684" s="6" t="str">
        <x:v>28327.028318367134</x:v>
      </x:c>
      <x:c r="CO684" s="6" t="str">
        <x:v>STOP</x:v>
      </x:c>
      <x:c r="CP684" s="6" t="str">
        <x:v>F::Long::Same-bar Setup+BOS::Penetration + same-bar reclaim</x:v>
      </x:c>
    </x:row>
    <x:row r="685" ht="18" customHeight="1">
      <x:c r="A685" s="6" t="str">
        <x:v>A0684</x:v>
      </x:c>
      <x:c r="B685" s="6" t="str">
        <x:v>2026-06-03</x:v>
      </x:c>
      <x:c r="C685" s="6" t="str">
        <x:v>2026</x:v>
      </x:c>
      <x:c r="D685" s="6" t="str">
        <x:v>2026-Q2</x:v>
      </x:c>
      <x:c r="E685" s="6" t="str">
        <x:v>Second 50%</x:v>
      </x:c>
      <x:c r="F685" s="6" t="str">
        <x:v>Short</x:v>
      </x:c>
      <x:c r="G685" s="6" t="str">
        <x:v>Short</x:v>
      </x:c>
      <x:c r="H685" s="6" t="str">
        <x:v>Premarket</x:v>
      </x:c>
      <x:c r="I685" s="6" t="str">
        <x:v>Premarket</x:v>
      </x:c>
      <x:c r="J685" s="6" t="str">
        <x:v>Neutral</x:v>
      </x:c>
      <x:c r="K685" s="6" t="str">
        <x:v>Bull</x:v>
      </x:c>
      <x:c r="L685" s="6" t="str">
        <x:v>HIGH</x:v>
      </x:c>
      <x:c r="M685" s="7" t="str">
        <x:v>2026-06-03 08:30:00-05:00</x:v>
      </x:c>
      <x:c r="N685" s="6" t="str">
        <x:v>90.0</x:v>
      </x:c>
      <x:c r="O685" s="6" t="str">
        <x:v>90-94</x:v>
      </x:c>
      <x:c r="P685" s="6" t="str">
        <x:v>Matching liquidity sweep only</x:v>
      </x:c>
      <x:c r="Q685" s="6" t="str">
        <x:v>Recent bear structure</x:v>
      </x:c>
      <x:c r="R685" s="6" t="str">
        <x:v>False</x:v>
      </x:c>
      <x:c r="S685" s="6" t="str">
        <x:v>True</x:v>
      </x:c>
      <x:c r="T685" s="6" t="str">
        <x:v>Recent BSL</x:v>
      </x:c>
      <x:c r="U685" s="6" t="str">
        <x:v>BSL</x:v>
      </x:c>
      <x:c r="V685" s="6" t="str">
        <x:v>Swing high / buy-side</x:v>
      </x:c>
      <x:c r="W685" s="6" t="str">
        <x:v>[28420.5]</x:v>
      </x:c>
      <x:c r="X685" s="8" t="str">
        <x:v>1</x:v>
      </x:c>
      <x:c r="Y685" s="8" t="str">
        <x:v>0.0</x:v>
      </x:c>
      <x:c r="Z685" s="6" t="str">
        <x:v>Sweep above CRT reference</x:v>
      </x:c>
      <x:c r="AA685" s="6" t="str">
        <x:v>28321.5</x:v>
      </x:c>
      <x:c r="AB685" s="9" t="str">
        <x:v>-0.5671060982643773</x:v>
      </x:c>
      <x:c r="AC685" s="9" t="str">
        <x:v>1.611775226646125</x:v>
      </x:c>
      <x:c r="AD685" s="9" t="str">
        <x:v>3.7309611727919556</x:v>
      </x:c>
      <x:c r="AE685" s="6" t="str">
        <x:v>With trade</x:v>
      </x:c>
      <x:c r="AF685" s="7" t="str">
        <x:v>2026-06-03 08:40:00-05:00</x:v>
      </x:c>
      <x:c r="AG685" s="6" t="str">
        <x:v>Short</x:v>
      </x:c>
      <x:c r="AH685" s="6" t="str">
        <x:v>28321.5</x:v>
      </x:c>
      <x:c r="AI685" s="8" t="str">
        <x:v>2</x:v>
      </x:c>
      <x:c r="AJ685" s="6" t="str">
        <x:v>False</x:v>
      </x:c>
      <x:c r="AK685" s="6" t="str">
        <x:v>Delayed BOS</x:v>
      </x:c>
      <x:c r="AL685" s="9" t="str">
        <x:v>3.1931896524385417</x:v>
      </x:c>
      <x:c r="AM685" s="9" t="str">
        <x:v>2.203445348402161</x:v>
      </x:c>
      <x:c r="AN685" s="9" t="str">
        <x:v>3.2004140634169094</x:v>
      </x:c>
      <x:c r="AO685" s="9" t="str">
        <x:v>3.316004639070793</x:v>
      </x:c>
      <x:c r="AP685" s="10" t="str">
        <x:v>0.9651416122004357</x:v>
      </x:c>
      <x:c r="AQ685" s="6" t="str">
        <x:v>0.0196078431372549</x:v>
      </x:c>
      <x:c r="AR685" s="6" t="str">
        <x:v>0.015250544662309368</x:v>
      </x:c>
      <x:c r="AS685" s="6" t="str">
        <x:v>With trade</x:v>
      </x:c>
      <x:c r="AT685" s="6" t="str">
        <x:v>4.557268891446107</x:v>
      </x:c>
      <x:c r="AU685" s="7" t="str">
        <x:v>2026-06-03 09:15:00-05:00</x:v>
      </x:c>
      <x:c r="AV685" s="8" t="str">
        <x:v>7</x:v>
      </x:c>
      <x:c r="AW685" s="6" t="str">
        <x:v>Delayed retest (2+ bars)</x:v>
      </x:c>
      <x:c r="AX685" s="6" t="str">
        <x:v>28332.25</x:v>
      </x:c>
      <x:c r="AY685" s="6" t="str">
        <x:v>10.75</x:v>
      </x:c>
      <x:c r="AZ685" s="9" t="str">
        <x:v>0.2069936689510767</x:v>
      </x:c>
      <x:c r="BA685" s="9" t="str">
        <x:v>0.4332425629208582</x:v>
      </x:c>
      <x:c r="BB685" s="9" t="str">
        <x:v>0.8039056445309258</x:v>
      </x:c>
      <x:c r="BC685" s="9" t="str">
        <x:v>0.1877384439323719</x:v>
      </x:c>
      <x:c r="BD685" s="6" t="str">
        <x:v>0.562874251497006</x:v>
      </x:c>
      <x:c r="BE685" s="6" t="str">
        <x:v>0.20359281437125748</x:v>
      </x:c>
      <x:c r="BF685" s="9" t="str">
        <x:v>0.452497787939563</x:v>
      </x:c>
      <x:c r="BG685" s="9" t="str">
        <x:v>0.16366941265899088</x:v>
      </x:c>
      <x:c r="BH685" s="6" t="str">
        <x:v>With trade</x:v>
      </x:c>
      <x:c r="BI685" s="6" t="str">
        <x:v>Penetration + same-bar reclaim</x:v>
      </x:c>
      <x:c r="BJ685" s="6" t="str">
        <x:v>False</x:v>
      </x:c>
      <x:c r="BK685" s="10" t="str">
        <x:v>True</x:v>
      </x:c>
      <x:c r="BL685" s="6" t="str">
        <x:v>True</x:v>
      </x:c>
      <x:c r="BM685" s="7" t="str">
        <x:v>2026-06-03 09:20:00-05:00</x:v>
      </x:c>
      <x:c r="BN685" s="8" t="str">
        <x:v>1</x:v>
      </x:c>
      <x:c r="BO685" s="6" t="str">
        <x:v>Immediate confirmation (1 bar)</x:v>
      </x:c>
      <x:c r="BP685" s="9" t="str">
        <x:v>0.03405656399403549</x:v>
      </x:c>
      <x:c r="BQ685" s="9" t="str">
        <x:v>0.8611445467063259</x:v>
      </x:c>
      <x:c r="BR685" s="10" t="str">
        <x:v>0.03954802259887006</x:v>
      </x:c>
      <x:c r="BS685" s="9" t="str">
        <x:v>0.4573310022056194</x:v>
      </x:c>
      <x:c r="BT685" s="9" t="str">
        <x:v>0.019460893710877423</x:v>
      </x:c>
      <x:c r="BU685" s="9" t="str">
        <x:v>0.5643659176154452</x:v>
      </x:c>
      <x:c r="BV685" s="6" t="str">
        <x:v>With trade</x:v>
      </x:c>
      <x:c r="BW685" s="7" t="str">
        <x:v>2026-06-03 09:20:00-05:00</x:v>
      </x:c>
      <x:c r="BX685" s="6" t="str">
        <x:v>28298.0</x:v>
      </x:c>
      <x:c r="BY685" s="9" t="str">
        <x:v>51.38510157121215</x:v>
      </x:c>
      <x:c r="BZ685" s="9" t="str">
        <x:v>0.96</x:v>
      </x:c>
      <x:c r="CA685" s="6" t="str">
        <x:v>28375.077652356817</x:v>
      </x:c>
      <x:c r="CB685" s="6" t="str">
        <x:v>77.07765235681654</x:v>
      </x:c>
      <x:c r="CC685" s="9" t="str">
        <x:v>1.4999999999999674</x:v>
      </x:c>
      <x:c r="CD685" s="6" t="str">
        <x:v>28143.844695286363</x:v>
      </x:c>
      <x:c r="CE685" s="6" t="str">
        <x:v>154.15530471363672</x:v>
      </x:c>
      <x:c r="CF685" s="6" t="str">
        <x:v>Fixed 2.00R target</x:v>
      </x:c>
      <x:c r="CG685" s="9" t="str">
        <x:v>0.009406098626924292</x:v>
      </x:c>
      <x:c r="CH685" s="9" t="str">
        <x:v>0.5254441301936904</x:v>
      </x:c>
      <x:c r="CI685" s="9" t="str">
        <x:v>0.5160380315667661</x:v>
      </x:c>
      <x:c r="CJ685" s="6" t="str">
        <x:v>Win</x:v>
      </x:c>
      <x:c r="CK685" s="9" t="str">
        <x:v>0.674644315310432</x:v>
      </x:c>
      <x:c r="CL685" s="9" t="str">
        <x:v>0.8173575358568695</x:v>
      </x:c>
      <x:c r="CM685" s="7" t="str">
        <x:v>2026-06-03 10:20:00-05:00</x:v>
      </x:c>
      <x:c r="CN685" s="6" t="str">
        <x:v>28257.5</x:v>
      </x:c>
      <x:c r="CO685" s="6" t="str">
        <x:v>TIME</x:v>
      </x:c>
      <x:c r="CP685" s="6" t="str">
        <x:v>F::Short::Delayed BOS::Penetration + same-bar reclaim</x:v>
      </x:c>
    </x:row>
    <x:row r="686" ht="18" customHeight="1">
      <x:c r="A686" s="6" t="str">
        <x:v>A0685</x:v>
      </x:c>
      <x:c r="B686" s="6" t="str">
        <x:v>2026-06-08</x:v>
      </x:c>
      <x:c r="C686" s="6" t="str">
        <x:v>2026</x:v>
      </x:c>
      <x:c r="D686" s="6" t="str">
        <x:v>2026-Q2</x:v>
      </x:c>
      <x:c r="E686" s="6" t="str">
        <x:v>Second 50%</x:v>
      </x:c>
      <x:c r="F686" s="6" t="str">
        <x:v>Long</x:v>
      </x:c>
      <x:c r="G686" s="6" t="str">
        <x:v>Long</x:v>
      </x:c>
      <x:c r="H686" s="6" t="str">
        <x:v>Overnight</x:v>
      </x:c>
      <x:c r="I686" s="6" t="str">
        <x:v>Overnight</x:v>
      </x:c>
      <x:c r="J686" s="6" t="str">
        <x:v>Bear</x:v>
      </x:c>
      <x:c r="K686" s="6" t="str">
        <x:v>Bear</x:v>
      </x:c>
      <x:c r="L686" s="6" t="str">
        <x:v>MID</x:v>
      </x:c>
      <x:c r="M686" s="7" t="str">
        <x:v>2026-06-08 20:35:00-05:00</x:v>
      </x:c>
      <x:c r="N686" s="6" t="str">
        <x:v>90.0</x:v>
      </x:c>
      <x:c r="O686" s="6" t="str">
        <x:v>90-94</x:v>
      </x:c>
      <x:c r="P686" s="6" t="str">
        <x:v>Matching BOS only</x:v>
      </x:c>
      <x:c r="Q686" s="6" t="str">
        <x:v>Bull CHoCH</x:v>
      </x:c>
      <x:c r="R686" s="6" t="str">
        <x:v>True</x:v>
      </x:c>
      <x:c r="S686" s="6" t="str">
        <x:v>False</x:v>
      </x:c>
      <x:c r="T686" s="6" t="str">
        <x:v>Recent SSL</x:v>
      </x:c>
      <x:c r="U686" s="6" t="str">
        <x:v>SSL</x:v>
      </x:c>
      <x:c r="V686" s="6" t="str">
        <x:v>Swing low / sell-side</x:v>
      </x:c>
      <x:c r="W686" s="6" t="str">
        <x:v>[26942.75]</x:v>
      </x:c>
      <x:c r="X686" s="8" t="str">
        <x:v>1</x:v>
      </x:c>
      <x:c r="Y686" s="8" t="str">
        <x:v>13.0</x:v>
      </x:c>
      <x:c r="Z686" s="6" t="str">
        <x:v>None</x:v>
      </x:c>
      <x:c r="AA686" s="6" t="str">
        <x:v>27103.5</x:v>
      </x:c>
      <x:c r="AB686" s="9" t="str">
        <x:v>0.38480370904075045</x:v>
      </x:c>
      <x:c r="AC686" s="9" t="str">
        <x:v>0.7879314042262986</x:v>
      </x:c>
      <x:c r="AD686" s="9" t="str">
        <x:v>1.056683201016664</x:v>
      </x:c>
      <x:c r="AE686" s="6" t="str">
        <x:v>With trade</x:v>
      </x:c>
      <x:c r="AF686" s="7" t="str">
        <x:v>2026-06-08 20:35:00-05:00</x:v>
      </x:c>
      <x:c r="AG686" s="6" t="str">
        <x:v>Long</x:v>
      </x:c>
      <x:c r="AH686" s="6" t="str">
        <x:v>27103.5</x:v>
      </x:c>
      <x:c r="AI686" s="8" t="str">
        <x:v>0</x:v>
      </x:c>
      <x:c r="AJ686" s="6" t="str">
        <x:v>True</x:v>
      </x:c>
      <x:c r="AK686" s="6" t="str">
        <x:v>Same-bar Setup+BOS</x:v>
      </x:c>
      <x:c r="AL686" s="9" t="str">
        <x:v>0.8123633857526954</x:v>
      </x:c>
      <x:c r="AM686" s="9" t="str">
        <x:v>0.38480370904075045</x:v>
      </x:c>
      <x:c r="AN686" s="9" t="str">
        <x:v>0.7879314042262986</x:v>
      </x:c>
      <x:c r="AO686" s="9" t="str">
        <x:v>1.056683201016664</x:v>
      </x:c>
      <x:c r="AP686" s="10" t="str">
        <x:v>0.7456647398843931</x:v>
      </x:c>
      <x:c r="AQ686" s="6" t="str">
        <x:v>0.05202312138728324</x:v>
      </x:c>
      <x:c r="AR686" s="6" t="str">
        <x:v>0.2023121387283237</x:v>
      </x:c>
      <x:c r="AS686" s="6" t="str">
        <x:v>With trade</x:v>
      </x:c>
      <x:c r="AT686" s="6" t="str">
        <x:v>0.9658601893468489</x:v>
      </x:c>
      <x:c r="AU686" s="7" t="str">
        <x:v>2026-06-08 20:40:00-05:00</x:v>
      </x:c>
      <x:c r="AV686" s="8" t="str">
        <x:v>1</x:v>
      </x:c>
      <x:c r="AW686" s="6" t="str">
        <x:v>Immediate retest (1 bar)</x:v>
      </x:c>
      <x:c r="AX686" s="6" t="str">
        <x:v>27104.75</x:v>
      </x:c>
      <x:c r="AY686" s="6" t="str">
        <x:v>0.0</x:v>
      </x:c>
      <x:c r="AZ686" s="9" t="str">
        <x:v>0.0</x:v>
      </x:c>
      <x:c r="BA686" s="9" t="str">
        <x:v>0.49093569140171556</x:v>
      </x:c>
      <x:c r="BB686" s="9" t="str">
        <x:v>0.9389145098057811</x:v>
      </x:c>
      <x:c r="BC686" s="9" t="str">
        <x:v>0.12273392285042889</x:v>
      </x:c>
      <x:c r="BD686" s="6" t="str">
        <x:v>0.5098039215686274</x:v>
      </x:c>
      <x:c r="BE686" s="6" t="str">
        <x:v>0.35947712418300654</x:v>
      </x:c>
      <x:c r="BF686" s="9" t="str">
        <x:v>0.33751828783867943</x:v>
      </x:c>
      <x:c r="BG686" s="9" t="str">
        <x:v>0.4786622991166727</x:v>
      </x:c>
      <x:c r="BH686" s="6" t="str">
        <x:v>With trade</x:v>
      </x:c>
      <x:c r="BI686" s="6" t="str">
        <x:v>Tolerance-only shallow touch</x:v>
      </x:c>
      <x:c r="BJ686" s="6" t="str">
        <x:v>True</x:v>
      </x:c>
      <x:c r="BK686" s="10" t="str">
        <x:v>False</x:v>
      </x:c>
      <x:c r="BL686" s="6" t="str">
        <x:v>True</x:v>
      </x:c>
      <x:c r="BM686" s="7" t="str">
        <x:v>2026-06-08 20:45:00-05:00</x:v>
      </x:c>
      <x:c r="BN686" s="8" t="str">
        <x:v>1</x:v>
      </x:c>
      <x:c r="BO686" s="6" t="str">
        <x:v>Immediate confirmation (1 bar)</x:v>
      </x:c>
      <x:c r="BP686" s="9" t="str">
        <x:v>0.6376323507606851</x:v>
      </x:c>
      <x:c r="BQ686" s="9" t="str">
        <x:v>1.1355928532595059</x:v>
      </x:c>
      <x:c r="BR686" s="10" t="str">
        <x:v>0.5614973262032086</x:v>
      </x:c>
      <x:c r="BS686" s="9" t="str">
        <x:v>1.1113020970400513</x:v>
      </x:c>
      <x:c r="BT686" s="9" t="str">
        <x:v>0.6254869726509578</x:v>
      </x:c>
      <x:c r="BU686" s="9" t="str">
        <x:v>0.012145378109727337</x:v>
      </x:c>
      <x:c r="BV686" s="6" t="str">
        <x:v>With trade</x:v>
      </x:c>
      <x:c r="BW686" s="7" t="str">
        <x:v>2026-06-08 20:45:00-05:00</x:v>
      </x:c>
      <x:c r="BX686" s="6" t="str">
        <x:v>27149.25</x:v>
      </x:c>
      <x:c r="BY686" s="9" t="str">
        <x:v>41.16792375525516</x:v>
      </x:c>
      <x:c r="BZ686" s="9" t="str">
        <x:v>0.5</x:v>
      </x:c>
      <x:c r="CA686" s="6" t="str">
        <x:v>27087.498114367118</x:v>
      </x:c>
      <x:c r="CB686" s="6" t="str">
        <x:v>61.75188563288248</x:v>
      </x:c>
      <x:c r="CC686" s="9" t="str">
        <x:v>1.4999999999999936</x:v>
      </x:c>
      <x:c r="CD686" s="6" t="str">
        <x:v>27272.753771265765</x:v>
      </x:c>
      <x:c r="CE686" s="6" t="str">
        <x:v>123.50377126576495</x:v>
      </x:c>
      <x:c r="CF686" s="6" t="str">
        <x:v>Fixed 2.00R target</x:v>
      </x:c>
      <x:c r="CG686" s="9" t="str">
        <x:v>0.011740532172736474</x:v>
      </x:c>
      <x:c r="CH686" s="9" t="str">
        <x:v>-1.0</x:v>
      </x:c>
      <x:c r="CI686" s="9" t="str">
        <x:v>-1.0117405321727364</x:v>
      </x:c>
      <x:c r="CJ686" s="6" t="str">
        <x:v>Loss</x:v>
      </x:c>
      <x:c r="CK686" s="9" t="str">
        <x:v>0.2226652653450021</x:v>
      </x:c>
      <x:c r="CL686" s="9" t="str">
        <x:v>1.0890355705055557</x:v>
      </x:c>
      <x:c r="CM686" s="7" t="str">
        <x:v>2026-06-08 21:25:00-05:00</x:v>
      </x:c>
      <x:c r="CN686" s="6" t="str">
        <x:v>27087.498114367118</x:v>
      </x:c>
      <x:c r="CO686" s="6" t="str">
        <x:v>STOP</x:v>
      </x:c>
      <x:c r="CP686" s="6" t="str">
        <x:v>F::Long::Same-bar Setup+BOS::Tolerance-only shallow touch</x:v>
      </x:c>
    </x:row>
    <x:row r="687" ht="18" customHeight="1">
      <x:c r="A687" s="6" t="str">
        <x:v>A0686</x:v>
      </x:c>
      <x:c r="B687" s="6" t="str">
        <x:v>2026-06-09</x:v>
      </x:c>
      <x:c r="C687" s="6" t="str">
        <x:v>2026</x:v>
      </x:c>
      <x:c r="D687" s="6" t="str">
        <x:v>2026-Q2</x:v>
      </x:c>
      <x:c r="E687" s="6" t="str">
        <x:v>Second 50%</x:v>
      </x:c>
      <x:c r="F687" s="6" t="str">
        <x:v>Long</x:v>
      </x:c>
      <x:c r="G687" s="6" t="str">
        <x:v>Long</x:v>
      </x:c>
      <x:c r="H687" s="6" t="str">
        <x:v>Midday</x:v>
      </x:c>
      <x:c r="I687" s="6" t="str">
        <x:v>Midday</x:v>
      </x:c>
      <x:c r="J687" s="6" t="str">
        <x:v>Bear</x:v>
      </x:c>
      <x:c r="K687" s="6" t="str">
        <x:v>Bear</x:v>
      </x:c>
      <x:c r="L687" s="6" t="str">
        <x:v>HIGH</x:v>
      </x:c>
      <x:c r="M687" s="7" t="str">
        <x:v>2026-06-09 13:15:00-05:00</x:v>
      </x:c>
      <x:c r="N687" s="6" t="str">
        <x:v>85.0</x:v>
      </x:c>
      <x:c r="O687" s="6" t="str">
        <x:v>85-89</x:v>
      </x:c>
      <x:c r="P687" s="6" t="str">
        <x:v>Matching BOS only</x:v>
      </x:c>
      <x:c r="Q687" s="6" t="str">
        <x:v>Bull CHoCH</x:v>
      </x:c>
      <x:c r="R687" s="6" t="str">
        <x:v>True</x:v>
      </x:c>
      <x:c r="S687" s="6" t="str">
        <x:v>False</x:v>
      </x:c>
      <x:c r="T687" s="6" t="str">
        <x:v>Recent SSL</x:v>
      </x:c>
      <x:c r="U687" s="6" t="str">
        <x:v>SSL</x:v>
      </x:c>
      <x:c r="V687" s="6" t="str">
        <x:v>Swing low / sell-side</x:v>
      </x:c>
      <x:c r="W687" s="6" t="str">
        <x:v>[25869.5,25883.0]</x:v>
      </x:c>
      <x:c r="X687" s="8" t="str">
        <x:v>2</x:v>
      </x:c>
      <x:c r="Y687" s="8" t="str">
        <x:v>20.0</x:v>
      </x:c>
      <x:c r="Z687" s="6" t="str">
        <x:v>None</x:v>
      </x:c>
      <x:c r="AA687" s="6" t="str">
        <x:v>26546.0</x:v>
      </x:c>
      <x:c r="AB687" s="9" t="str">
        <x:v>0.10638777926457473</x:v>
      </x:c>
      <x:c r="AC687" s="9" t="str">
        <x:v>0.6737892686756399</x:v>
      </x:c>
      <x:c r="AD687" s="9" t="str">
        <x:v>1.0439300840336394</x:v>
      </x:c>
      <x:c r="AE687" s="6" t="str">
        <x:v>With trade</x:v>
      </x:c>
      <x:c r="AF687" s="7" t="str">
        <x:v>2026-06-09 13:15:00-05:00</x:v>
      </x:c>
      <x:c r="AG687" s="6" t="str">
        <x:v>Long</x:v>
      </x:c>
      <x:c r="AH687" s="6" t="str">
        <x:v>26546.0</x:v>
      </x:c>
      <x:c r="AI687" s="8" t="str">
        <x:v>0</x:v>
      </x:c>
      <x:c r="AJ687" s="6" t="str">
        <x:v>True</x:v>
      </x:c>
      <x:c r="AK687" s="6" t="str">
        <x:v>Same-bar Setup+BOS</x:v>
      </x:c>
      <x:c r="AL687" s="9" t="str">
        <x:v>0.664923620403592</x:v>
      </x:c>
      <x:c r="AM687" s="9" t="str">
        <x:v>0.10638777926457473</x:v>
      </x:c>
      <x:c r="AN687" s="9" t="str">
        <x:v>0.6737892686756399</x:v>
      </x:c>
      <x:c r="AO687" s="9" t="str">
        <x:v>1.0439300840336394</x:v>
      </x:c>
      <x:c r="AP687" s="10" t="str">
        <x:v>0.6454352441613588</x:v>
      </x:c>
      <x:c r="AQ687" s="6" t="str">
        <x:v>0.036093418259023353</x:v>
      </x:c>
      <x:c r="AR687" s="6" t="str">
        <x:v>0.3184713375796178</x:v>
      </x:c>
      <x:c r="AS687" s="6" t="str">
        <x:v>With trade</x:v>
      </x:c>
      <x:c r="AT687" s="6" t="str">
        <x:v>0.7030448910819593</x:v>
      </x:c>
      <x:c r="AU687" s="7" t="str">
        <x:v>2026-06-09 13:20:00-05:00</x:v>
      </x:c>
      <x:c r="AV687" s="8" t="str">
        <x:v>1</x:v>
      </x:c>
      <x:c r="AW687" s="6" t="str">
        <x:v>Immediate retest (1 bar)</x:v>
      </x:c>
      <x:c r="AX687" s="6" t="str">
        <x:v>26520.25</x:v>
      </x:c>
      <x:c r="AY687" s="6" t="str">
        <x:v>25.75</x:v>
      </x:c>
      <x:c r="AZ687" s="9" t="str">
        <x:v>0.23294376217216564</x:v>
      </x:c>
      <x:c r="BA687" s="9" t="str">
        <x:v>0.4161325460162959</x:v>
      </x:c>
      <x:c r="BB687" s="9" t="str">
        <x:v>0.7350167253005226</x:v>
      </x:c>
      <x:c r="BC687" s="9" t="str">
        <x:v>0.3007914598922139</x:v>
      </x:c>
      <x:c r="BD687" s="6" t="str">
        <x:v>0.11692307692307692</x:v>
      </x:c>
      <x:c r="BE687" s="6" t="str">
        <x:v>0.47384615384615386</x:v>
      </x:c>
      <x:c r="BF687" s="9" t="str">
        <x:v>0.3482848482962477</x:v>
      </x:c>
      <x:c r="BG687" s="9" t="str">
        <x:v>0.08594041711206112</x:v>
      </x:c>
      <x:c r="BH687" s="6" t="str">
        <x:v>With trade</x:v>
      </x:c>
      <x:c r="BI687" s="6" t="str">
        <x:v>Penetration + same-bar reclaim</x:v>
      </x:c>
      <x:c r="BJ687" s="6" t="str">
        <x:v>False</x:v>
      </x:c>
      <x:c r="BK687" s="10" t="str">
        <x:v>True</x:v>
      </x:c>
      <x:c r="BL687" s="6" t="str">
        <x:v>True</x:v>
      </x:c>
      <x:c r="BM687" s="7" t="str">
        <x:v>2026-06-09 13:25:00-05:00</x:v>
      </x:c>
      <x:c r="BN687" s="8" t="str">
        <x:v>1</x:v>
      </x:c>
      <x:c r="BO687" s="6" t="str">
        <x:v>Immediate confirmation (1 bar)</x:v>
      </x:c>
      <x:c r="BP687" s="9" t="str">
        <x:v>0.03234233494385175</x:v>
      </x:c>
      <x:c r="BQ687" s="9" t="str">
        <x:v>0.7207720358915533</x:v>
      </x:c>
      <x:c r="BR687" s="10" t="str">
        <x:v>0.04487179487179487</x:v>
      </x:c>
      <x:c r="BS687" s="9" t="str">
        <x:v>0.4458621888688134</x:v>
      </x:c>
      <x:c r="BT687" s="9" t="str">
        <x:v>0.020791501035333268</x:v>
      </x:c>
      <x:c r="BU687" s="9" t="str">
        <x:v>0.6722585334757756</x:v>
      </x:c>
      <x:c r="BV687" s="6" t="str">
        <x:v>With trade</x:v>
      </x:c>
      <x:c r="BW687" s="7" t="str">
        <x:v>2026-06-09 13:25:00-05:00</x:v>
      </x:c>
      <x:c r="BX687" s="6" t="str">
        <x:v>26594.25</x:v>
      </x:c>
      <x:c r="BY687" s="9" t="str">
        <x:v>108.21729495029385</x:v>
      </x:c>
      <x:c r="BZ687" s="9" t="str">
        <x:v>0.7</x:v>
      </x:c>
      <x:c r="CA687" s="6" t="str">
        <x:v>26431.92405757456</x:v>
      </x:c>
      <x:c r="CB687" s="6" t="str">
        <x:v>162.32594242543928</x:v>
      </x:c>
      <x:c r="CC687" s="9" t="str">
        <x:v>1.4999999999999862</x:v>
      </x:c>
      <x:c r="CD687" s="6" t="str">
        <x:v>26918.901884850882</x:v>
      </x:c>
      <x:c r="CE687" s="6" t="str">
        <x:v>324.6518848508822</x:v>
      </x:c>
      <x:c r="CF687" s="6" t="str">
        <x:v>Fixed 2.00R target</x:v>
      </x:c>
      <x:c r="CG687" s="9" t="str">
        <x:v>0.0044663224446271875</x:v>
      </x:c>
      <x:c r="CH687" s="9" t="str">
        <x:v>-0.11704845027298728</x:v>
      </x:c>
      <x:c r="CI687" s="9" t="str">
        <x:v>-0.12151477271761447</x:v>
      </x:c>
      <x:c r="CJ687" s="6" t="str">
        <x:v>Loss</x:v>
      </x:c>
      <x:c r="CK687" s="9" t="str">
        <x:v>1.0703772755227225</x:v>
      </x:c>
      <x:c r="CL687" s="9" t="str">
        <x:v>0.823959485474326</x:v>
      </x:c>
      <x:c r="CM687" s="7" t="str">
        <x:v>2026-06-09 14:25:00-05:00</x:v>
      </x:c>
      <x:c r="CN687" s="6" t="str">
        <x:v>26575.25</x:v>
      </x:c>
      <x:c r="CO687" s="6" t="str">
        <x:v>TIME</x:v>
      </x:c>
      <x:c r="CP687" s="6" t="str">
        <x:v>F::Long::Same-bar Setup+BOS::Penetration + same-bar reclaim</x:v>
      </x:c>
    </x:row>
    <x:row r="688" ht="18" customHeight="1">
      <x:c r="A688" s="6" t="str">
        <x:v>A0687</x:v>
      </x:c>
      <x:c r="B688" s="6" t="str">
        <x:v>2026-06-09</x:v>
      </x:c>
      <x:c r="C688" s="6" t="str">
        <x:v>2026</x:v>
      </x:c>
      <x:c r="D688" s="6" t="str">
        <x:v>2026-Q2</x:v>
      </x:c>
      <x:c r="E688" s="6" t="str">
        <x:v>Second 50%</x:v>
      </x:c>
      <x:c r="F688" s="6" t="str">
        <x:v>Long</x:v>
      </x:c>
      <x:c r="G688" s="6" t="str">
        <x:v>Long</x:v>
      </x:c>
      <x:c r="H688" s="6" t="str">
        <x:v>Overnight</x:v>
      </x:c>
      <x:c r="I688" s="6" t="str">
        <x:v>Overnight</x:v>
      </x:c>
      <x:c r="J688" s="6" t="str">
        <x:v>Bear</x:v>
      </x:c>
      <x:c r="K688" s="6" t="str">
        <x:v>Bear</x:v>
      </x:c>
      <x:c r="L688" s="6" t="str">
        <x:v>LOW</x:v>
      </x:c>
      <x:c r="M688" s="7" t="str">
        <x:v>2026-06-09 19:00:00-05:00</x:v>
      </x:c>
      <x:c r="N688" s="6" t="str">
        <x:v>90.0</x:v>
      </x:c>
      <x:c r="O688" s="6" t="str">
        <x:v>90-94</x:v>
      </x:c>
      <x:c r="P688" s="6" t="str">
        <x:v>Matching BOS only</x:v>
      </x:c>
      <x:c r="Q688" s="6" t="str">
        <x:v>Bull CHoCH</x:v>
      </x:c>
      <x:c r="R688" s="6" t="str">
        <x:v>True</x:v>
      </x:c>
      <x:c r="S688" s="6" t="str">
        <x:v>False</x:v>
      </x:c>
      <x:c r="T688" s="6" t="str">
        <x:v>Recent SSL</x:v>
      </x:c>
      <x:c r="U688" s="6" t="str">
        <x:v>SSL</x:v>
      </x:c>
      <x:c r="V688" s="6" t="str">
        <x:v>Swing low / sell-side</x:v>
      </x:c>
      <x:c r="W688" s="6" t="str">
        <x:v>[26603.5]</x:v>
      </x:c>
      <x:c r="X688" s="8" t="str">
        <x:v>1</x:v>
      </x:c>
      <x:c r="Y688" s="8" t="str">
        <x:v>5.0</x:v>
      </x:c>
      <x:c r="Z688" s="6" t="str">
        <x:v>None</x:v>
      </x:c>
      <x:c r="AA688" s="6" t="str">
        <x:v>26724.25</x:v>
      </x:c>
      <x:c r="AB688" s="9" t="str">
        <x:v>0.5374086536464268</x:v>
      </x:c>
      <x:c r="AC688" s="9" t="str">
        <x:v>1.357372372612109</x:v>
      </x:c>
      <x:c r="AD688" s="9" t="str">
        <x:v>1.6399274379313642</x:v>
      </x:c>
      <x:c r="AE688" s="6" t="str">
        <x:v>With trade</x:v>
      </x:c>
      <x:c r="AF688" s="7" t="str">
        <x:v>2026-06-09 19:00:00-05:00</x:v>
      </x:c>
      <x:c r="AG688" s="6" t="str">
        <x:v>Long</x:v>
      </x:c>
      <x:c r="AH688" s="6" t="str">
        <x:v>26724.25</x:v>
      </x:c>
      <x:c r="AI688" s="8" t="str">
        <x:v>0</x:v>
      </x:c>
      <x:c r="AJ688" s="6" t="str">
        <x:v>True</x:v>
      </x:c>
      <x:c r="AK688" s="6" t="str">
        <x:v>Same-bar Setup+BOS</x:v>
      </x:c>
      <x:c r="AL688" s="9" t="str">
        <x:v>1.3850738496041928</x:v>
      </x:c>
      <x:c r="AM688" s="9" t="str">
        <x:v>0.5374086536464268</x:v>
      </x:c>
      <x:c r="AN688" s="9" t="str">
        <x:v>1.357372372612109</x:v>
      </x:c>
      <x:c r="AO688" s="9" t="str">
        <x:v>1.6399274379313642</x:v>
      </x:c>
      <x:c r="AP688" s="10" t="str">
        <x:v>0.8277027027027027</x:v>
      </x:c>
      <x:c r="AQ688" s="6" t="str">
        <x:v>0.17229729729729729</x:v>
      </x:c>
      <x:c r="AR688" s="6" t="str">
        <x:v>0.0</x:v>
      </x:c>
      <x:c r="AS688" s="6" t="str">
        <x:v>With trade</x:v>
      </x:c>
      <x:c r="AT688" s="6" t="str">
        <x:v>2.7119677001599753</x:v>
      </x:c>
      <x:c r="AU688" s="7" t="str">
        <x:v>2026-06-09 19:10:00-05:00</x:v>
      </x:c>
      <x:c r="AV688" s="8" t="str">
        <x:v>2</x:v>
      </x:c>
      <x:c r="AW688" s="6" t="str">
        <x:v>Delayed retest (2+ bars)</x:v>
      </x:c>
      <x:c r="AX688" s="6" t="str">
        <x:v>26710.5</x:v>
      </x:c>
      <x:c r="AY688" s="6" t="str">
        <x:v>13.75</x:v>
      </x:c>
      <x:c r="AZ688" s="9" t="str">
        <x:v>0.2907636263578621</x:v>
      </x:c>
      <x:c r="BA688" s="9" t="str">
        <x:v>0.3806360199593832</x:v>
      </x:c>
      <x:c r="BB688" s="9" t="str">
        <x:v>1.4749645773426099</x:v>
      </x:c>
      <x:c r="BC688" s="9" t="str">
        <x:v>0.7612720399187664</x:v>
      </x:c>
      <x:c r="BD688" s="6" t="str">
        <x:v>0.02867383512544803</x:v>
      </x:c>
      <x:c r="BE688" s="6" t="str">
        <x:v>0.4551971326164875</x:v>
      </x:c>
      <x:c r="BF688" s="9" t="str">
        <x:v>0.6713996463172454</x:v>
      </x:c>
      <x:c r="BG688" s="9" t="str">
        <x:v>0.04229289110659813</x:v>
      </x:c>
      <x:c r="BH688" s="6" t="str">
        <x:v>Against trade</x:v>
      </x:c>
      <x:c r="BI688" s="6" t="str">
        <x:v>Penetration + same-bar reclaim</x:v>
      </x:c>
      <x:c r="BJ688" s="6" t="str">
        <x:v>False</x:v>
      </x:c>
      <x:c r="BK688" s="10" t="str">
        <x:v>True</x:v>
      </x:c>
      <x:c r="BL688" s="6" t="str">
        <x:v>True</x:v>
      </x:c>
      <x:c r="BM688" s="7" t="str">
        <x:v>2026-06-09 19:25:00-05:00</x:v>
      </x:c>
      <x:c r="BN688" s="8" t="str">
        <x:v>3</x:v>
      </x:c>
      <x:c r="BO688" s="6" t="str">
        <x:v>Delayed confirmation (2+ bars)</x:v>
      </x:c>
      <x:c r="BP688" s="9" t="str">
        <x:v>0.31332256714357776</x:v>
      </x:c>
      <x:c r="BQ688" s="9" t="str">
        <x:v>0.9771415653291238</x:v>
      </x:c>
      <x:c r="BR688" s="10" t="str">
        <x:v>0.32065217391304346</x:v>
      </x:c>
      <x:c r="BS688" s="9" t="str">
        <x:v>0.32394367111454647</x:v>
      </x:c>
      <x:c r="BT688" s="9" t="str">
        <x:v>-0.05841607184032805</x:v>
      </x:c>
      <x:c r="BU688" s="9" t="str">
        <x:v>0.45139691876617133</x:v>
      </x:c>
      <x:c r="BV688" s="6" t="str">
        <x:v>With trade</x:v>
      </x:c>
      <x:c r="BW688" s="7" t="str">
        <x:v>2026-06-09 19:25:00-05:00</x:v>
      </x:c>
      <x:c r="BX688" s="6" t="str">
        <x:v>26739.5</x:v>
      </x:c>
      <x:c r="BY688" s="9" t="str">
        <x:v>47.0760856278856</x:v>
      </x:c>
      <x:c r="BZ688" s="9" t="str">
        <x:v>0.07</x:v>
      </x:c>
      <x:c r="CA688" s="6" t="str">
        <x:v>26668.88587155817</x:v>
      </x:c>
      <x:c r="CB688" s="6" t="str">
        <x:v>70.61412844182996</x:v>
      </x:c>
      <x:c r="CC688" s="9" t="str">
        <x:v>1.5000000000000333</x:v>
      </x:c>
      <x:c r="CD688" s="6" t="str">
        <x:v>26880.728256883656</x:v>
      </x:c>
      <x:c r="CE688" s="6" t="str">
        <x:v>141.2282568836563</x:v>
      </x:c>
      <x:c r="CF688" s="6" t="str">
        <x:v>Fixed 2.00R target</x:v>
      </x:c>
      <x:c r="CG688" s="9" t="str">
        <x:v>0.010267067171936218</x:v>
      </x:c>
      <x:c r="CH688" s="9" t="str">
        <x:v>-1.0</x:v>
      </x:c>
      <x:c r="CI688" s="9" t="str">
        <x:v>-1.0102670671719363</x:v>
      </x:c>
      <x:c r="CJ688" s="6" t="str">
        <x:v>Loss</x:v>
      </x:c>
      <x:c r="CK688" s="9" t="str">
        <x:v>0.0743477277967795</x:v>
      </x:c>
      <x:c r="CL688" s="9" t="str">
        <x:v>1.2745324765162203</x:v>
      </x:c>
      <x:c r="CM688" s="7" t="str">
        <x:v>2026-06-09 19:30:00-05:00</x:v>
      </x:c>
      <x:c r="CN688" s="6" t="str">
        <x:v>26668.88587155817</x:v>
      </x:c>
      <x:c r="CO688" s="6" t="str">
        <x:v>STOP</x:v>
      </x:c>
      <x:c r="CP688" s="6" t="str">
        <x:v>F::Long::Same-bar Setup+BOS::Penetration + same-bar reclaim</x:v>
      </x:c>
    </x:row>
    <x:row r="689" ht="18" customHeight="1">
      <x:c r="A689" s="6" t="str">
        <x:v>A0688</x:v>
      </x:c>
      <x:c r="B689" s="6" t="str">
        <x:v>2026-06-10</x:v>
      </x:c>
      <x:c r="C689" s="6" t="str">
        <x:v>2026</x:v>
      </x:c>
      <x:c r="D689" s="6" t="str">
        <x:v>2026-Q2</x:v>
      </x:c>
      <x:c r="E689" s="6" t="str">
        <x:v>Second 50%</x:v>
      </x:c>
      <x:c r="F689" s="6" t="str">
        <x:v>Short</x:v>
      </x:c>
      <x:c r="G689" s="6" t="str">
        <x:v>Short</x:v>
      </x:c>
      <x:c r="H689" s="6" t="str">
        <x:v>Premarket</x:v>
      </x:c>
      <x:c r="I689" s="6" t="str">
        <x:v>Premarket</x:v>
      </x:c>
      <x:c r="J689" s="6" t="str">
        <x:v>Bear</x:v>
      </x:c>
      <x:c r="K689" s="6" t="str">
        <x:v>Bear</x:v>
      </x:c>
      <x:c r="L689" s="6" t="str">
        <x:v>HIGH</x:v>
      </x:c>
      <x:c r="M689" s="7" t="str">
        <x:v>2026-06-10 06:25:00-05:00</x:v>
      </x:c>
      <x:c r="N689" s="6" t="str">
        <x:v>75.0</x:v>
      </x:c>
      <x:c r="O689" s="6" t="str">
        <x:v>75-79</x:v>
      </x:c>
      <x:c r="P689" s="6" t="str">
        <x:v>Matching BOS only</x:v>
      </x:c>
      <x:c r="Q689" s="6" t="str">
        <x:v>Bear BOS</x:v>
      </x:c>
      <x:c r="R689" s="6" t="str">
        <x:v>True</x:v>
      </x:c>
      <x:c r="S689" s="6" t="str">
        <x:v>False</x:v>
      </x:c>
      <x:c r="T689" s="6" t="str">
        <x:v>Recent BSL</x:v>
      </x:c>
      <x:c r="U689" s="6" t="str">
        <x:v>BSL</x:v>
      </x:c>
      <x:c r="V689" s="6" t="str">
        <x:v>Swing high / buy-side</x:v>
      </x:c>
      <x:c r="W689" s="6" t="str">
        <x:v>[26451.5]</x:v>
      </x:c>
      <x:c r="X689" s="8" t="str">
        <x:v>1</x:v>
      </x:c>
      <x:c r="Y689" s="8" t="str">
        <x:v>8.0</x:v>
      </x:c>
      <x:c r="Z689" s="6" t="str">
        <x:v>None</x:v>
      </x:c>
      <x:c r="AA689" s="6" t="str">
        <x:v>26320.75</x:v>
      </x:c>
      <x:c r="AB689" s="9" t="str">
        <x:v>0.47994948638422574</x:v>
      </x:c>
      <x:c r="AC689" s="9" t="str">
        <x:v>0.6529042562524152</x:v>
      </x:c>
      <x:c r="AD689" s="9" t="str">
        <x:v>1.5047064978532483</x:v>
      </x:c>
      <x:c r="AE689" s="6" t="str">
        <x:v>With trade</x:v>
      </x:c>
      <x:c r="AF689" s="7" t="str">
        <x:v>2026-06-10 06:25:00-05:00</x:v>
      </x:c>
      <x:c r="AG689" s="6" t="str">
        <x:v>Short</x:v>
      </x:c>
      <x:c r="AH689" s="6" t="str">
        <x:v>26320.75</x:v>
      </x:c>
      <x:c r="AI689" s="8" t="str">
        <x:v>0</x:v>
      </x:c>
      <x:c r="AJ689" s="6" t="str">
        <x:v>True</x:v>
      </x:c>
      <x:c r="AK689" s="6" t="str">
        <x:v>Same-bar Setup+BOS</x:v>
      </x:c>
      <x:c r="AL689" s="9" t="str">
        <x:v>0.6485803870057104</x:v>
      </x:c>
      <x:c r="AM689" s="9" t="str">
        <x:v>0.47994948638422574</x:v>
      </x:c>
      <x:c r="AN689" s="9" t="str">
        <x:v>0.6529042562524152</x:v>
      </x:c>
      <x:c r="AO689" s="9" t="str">
        <x:v>1.5047064978532483</x:v>
      </x:c>
      <x:c r="AP689" s="10" t="str">
        <x:v>0.4339080459770115</x:v>
      </x:c>
      <x:c r="AQ689" s="6" t="str">
        <x:v>0.031609195402298854</x:v>
      </x:c>
      <x:c r="AR689" s="6" t="str">
        <x:v>0.5344827586206896</x:v>
      </x:c>
      <x:c r="AS689" s="6" t="str">
        <x:v>With trade</x:v>
      </x:c>
      <x:c r="AT689" s="6" t="str">
        <x:v>2.5944513590556872</x:v>
      </x:c>
      <x:c r="AU689" s="7" t="str">
        <x:v>2026-06-10 06:55:00-05:00</x:v>
      </x:c>
      <x:c r="AV689" s="8" t="str">
        <x:v>6</x:v>
      </x:c>
      <x:c r="AW689" s="6" t="str">
        <x:v>Delayed retest (2+ bars)</x:v>
      </x:c>
      <x:c r="AX689" s="6" t="str">
        <x:v>26324.5</x:v>
      </x:c>
      <x:c r="AY689" s="6" t="str">
        <x:v>3.75</x:v>
      </x:c>
      <x:c r="AZ689" s="9" t="str">
        <x:v>0.0677190427193629</x:v>
      </x:c>
      <x:c r="BA689" s="9" t="str">
        <x:v>0.3566536249886446</x:v>
      </x:c>
      <x:c r="BB689" s="9" t="str">
        <x:v>0.771997087000737</x:v>
      </x:c>
      <x:c r="BC689" s="9" t="str">
        <x:v>0.040631425631617736</x:v>
      </x:c>
      <x:c r="BD689" s="6" t="str">
        <x:v>0.5497076023391813</x:v>
      </x:c>
      <x:c r="BE689" s="6" t="str">
        <x:v>0.39766081871345027</x:v>
      </x:c>
      <x:c r="BF689" s="9" t="str">
        <x:v>0.42437266770800747</x:v>
      </x:c>
      <x:c r="BG689" s="9" t="str">
        <x:v>0.3069929936611118</x:v>
      </x:c>
      <x:c r="BH689" s="6" t="str">
        <x:v>Against trade</x:v>
      </x:c>
      <x:c r="BI689" s="6" t="str">
        <x:v>Penetration + same-bar reclaim</x:v>
      </x:c>
      <x:c r="BJ689" s="6" t="str">
        <x:v>False</x:v>
      </x:c>
      <x:c r="BK689" s="10" t="str">
        <x:v>True</x:v>
      </x:c>
      <x:c r="BL689" s="6" t="str">
        <x:v>True</x:v>
      </x:c>
      <x:c r="BM689" s="7" t="str">
        <x:v>2026-06-10 07:00:00-05:00</x:v>
      </x:c>
      <x:c r="BN689" s="8" t="str">
        <x:v>1</x:v>
      </x:c>
      <x:c r="BO689" s="6" t="str">
        <x:v>Immediate confirmation (1 bar)</x:v>
      </x:c>
      <x:c r="BP689" s="9" t="str">
        <x:v>0.023485641285435382</x:v>
      </x:c>
      <x:c r="BQ689" s="9" t="str">
        <x:v>0.4744099539657947</x:v>
      </x:c>
      <x:c r="BR689" s="10" t="str">
        <x:v>0.04950495049504951</x:v>
      </x:c>
      <x:c r="BS689" s="9" t="str">
        <x:v>0.37107313230987904</x:v>
      </x:c>
      <x:c r="BT689" s="9" t="str">
        <x:v>-0.0</x:v>
      </x:c>
      <x:c r="BU689" s="9" t="str">
        <x:v>0.20667364331183136</x:v>
      </x:c>
      <x:c r="BV689" s="6" t="str">
        <x:v>With trade</x:v>
      </x:c>
      <x:c r="BW689" s="7" t="str">
        <x:v>2026-06-10 07:00:00-05:00</x:v>
      </x:c>
      <x:c r="BX689" s="6" t="str">
        <x:v>26301.0</x:v>
      </x:c>
      <x:c r="BY689" s="9" t="str">
        <x:v>53.22400971759657</x:v>
      </x:c>
      <x:c r="BZ689" s="9" t="str">
        <x:v>0.91</x:v>
      </x:c>
      <x:c r="CA689" s="6" t="str">
        <x:v>26380.836014576395</x:v>
      </x:c>
      <x:c r="CB689" s="6" t="str">
        <x:v>79.83601457639452</x:v>
      </x:c>
      <x:c r="CC689" s="9" t="str">
        <x:v>1.4999999999999936</x:v>
      </x:c>
      <x:c r="CD689" s="6" t="str">
        <x:v>26141.32797084721</x:v>
      </x:c>
      <x:c r="CE689" s="6" t="str">
        <x:v>159.67202915278904</x:v>
      </x:c>
      <x:c r="CF689" s="6" t="str">
        <x:v>Fixed 2.00R target</x:v>
      </x:c>
      <x:c r="CG689" s="9" t="str">
        <x:v>0.009081114630368385</x:v>
      </x:c>
      <x:c r="CH689" s="9" t="str">
        <x:v>-1.0</x:v>
      </x:c>
      <x:c r="CI689" s="9" t="str">
        <x:v>-1.0090811146303684</x:v>
      </x:c>
      <x:c r="CJ689" s="6" t="str">
        <x:v>Loss</x:v>
      </x:c>
      <x:c r="CK689" s="9" t="str">
        <x:v>0.2724334389110516</x:v>
      </x:c>
      <x:c r="CL689" s="9" t="str">
        <x:v>3.9174049664106385</x:v>
      </x:c>
      <x:c r="CM689" s="7" t="str">
        <x:v>2026-06-10 07:30:00-05:00</x:v>
      </x:c>
      <x:c r="CN689" s="6" t="str">
        <x:v>26380.836014576395</x:v>
      </x:c>
      <x:c r="CO689" s="6" t="str">
        <x:v>STOP</x:v>
      </x:c>
      <x:c r="CP689" s="6" t="str">
        <x:v>F::Short::Same-bar Setup+BOS::Penetration + same-bar reclaim</x:v>
      </x:c>
    </x:row>
    <x:row r="690" ht="18" customHeight="1">
      <x:c r="A690" s="6" t="str">
        <x:v>A0689</x:v>
      </x:c>
      <x:c r="B690" s="6" t="str">
        <x:v>2026-06-12</x:v>
      </x:c>
      <x:c r="C690" s="6" t="str">
        <x:v>2026</x:v>
      </x:c>
      <x:c r="D690" s="6" t="str">
        <x:v>2026-Q2</x:v>
      </x:c>
      <x:c r="E690" s="6" t="str">
        <x:v>Second 50%</x:v>
      </x:c>
      <x:c r="F690" s="6" t="str">
        <x:v>Short</x:v>
      </x:c>
      <x:c r="G690" s="6" t="str">
        <x:v>Short</x:v>
      </x:c>
      <x:c r="H690" s="6" t="str">
        <x:v>Overnight</x:v>
      </x:c>
      <x:c r="I690" s="6" t="str">
        <x:v>Overnight</x:v>
      </x:c>
      <x:c r="J690" s="6" t="str">
        <x:v>Bull</x:v>
      </x:c>
      <x:c r="K690" s="6" t="str">
        <x:v>Bull</x:v>
      </x:c>
      <x:c r="L690" s="6" t="str">
        <x:v>LOW</x:v>
      </x:c>
      <x:c r="M690" s="7" t="str">
        <x:v>2026-06-12 00:00:00-05:00</x:v>
      </x:c>
      <x:c r="N690" s="6" t="str">
        <x:v>90.0</x:v>
      </x:c>
      <x:c r="O690" s="6" t="str">
        <x:v>90-94</x:v>
      </x:c>
      <x:c r="P690" s="6" t="str">
        <x:v>Matching liquidity sweep only</x:v>
      </x:c>
      <x:c r="Q690" s="6" t="str">
        <x:v>Recent bear structure</x:v>
      </x:c>
      <x:c r="R690" s="6" t="str">
        <x:v>False</x:v>
      </x:c>
      <x:c r="S690" s="6" t="str">
        <x:v>True</x:v>
      </x:c>
      <x:c r="T690" s="6" t="str">
        <x:v>Recent BSL</x:v>
      </x:c>
      <x:c r="U690" s="6" t="str">
        <x:v>BSL</x:v>
      </x:c>
      <x:c r="V690" s="6" t="str">
        <x:v>Swing high / buy-side</x:v>
      </x:c>
      <x:c r="W690" s="6" t="str">
        <x:v>[27175.75]</x:v>
      </x:c>
      <x:c r="X690" s="8" t="str">
        <x:v>1</x:v>
      </x:c>
      <x:c r="Y690" s="8" t="str">
        <x:v>0.0</x:v>
      </x:c>
      <x:c r="Z690" s="6" t="str">
        <x:v>Sweep above CRT reference</x:v>
      </x:c>
      <x:c r="AA690" s="6" t="str">
        <x:v>27109.5</x:v>
      </x:c>
      <x:c r="AB690" s="9" t="str">
        <x:v>-1.6452285978699719</x:v>
      </x:c>
      <x:c r="AC690" s="9" t="str">
        <x:v>0.7506355477781746</x:v>
      </x:c>
      <x:c r="AD690" s="9" t="str">
        <x:v>1.1002466248255438</x:v>
      </x:c>
      <x:c r="AE690" s="6" t="str">
        <x:v>With trade</x:v>
      </x:c>
      <x:c r="AF690" s="7" t="str">
        <x:v>2026-06-12 00:35:00-05:00</x:v>
      </x:c>
      <x:c r="AG690" s="6" t="str">
        <x:v>Short</x:v>
      </x:c>
      <x:c r="AH690" s="6" t="str">
        <x:v>27109.5</x:v>
      </x:c>
      <x:c r="AI690" s="8" t="str">
        <x:v>7</x:v>
      </x:c>
      <x:c r="AJ690" s="6" t="str">
        <x:v>False</x:v>
      </x:c>
      <x:c r="AK690" s="6" t="str">
        <x:v>Delayed BOS</x:v>
      </x:c>
      <x:c r="AL690" s="9" t="str">
        <x:v>1.5721273954507429</x:v>
      </x:c>
      <x:c r="AM690" s="9" t="str">
        <x:v>0.5452464955320495</x:v>
      </x:c>
      <x:c r="AN690" s="9" t="str">
        <x:v>1.4994278627131363</x:v>
      </x:c>
      <x:c r="AO690" s="9" t="str">
        <x:v>2.3445599307878133</x:v>
      </x:c>
      <x:c r="AP690" s="10" t="str">
        <x:v>0.6395348837209303</x:v>
      </x:c>
      <x:c r="AQ690" s="6" t="str">
        <x:v>0.10852713178294573</x:v>
      </x:c>
      <x:c r="AR690" s="6" t="str">
        <x:v>0.25193798449612403</x:v>
      </x:c>
      <x:c r="AS690" s="6" t="str">
        <x:v>With trade</x:v>
      </x:c>
      <x:c r="AT690" s="6" t="str">
        <x:v>3.416177135110709</x:v>
      </x:c>
      <x:c r="AU690" s="7" t="str">
        <x:v>2026-06-12 00:40:00-05:00</x:v>
      </x:c>
      <x:c r="AV690" s="8" t="str">
        <x:v>1</x:v>
      </x:c>
      <x:c r="AW690" s="6" t="str">
        <x:v>Immediate retest (1 bar)</x:v>
      </x:c>
      <x:c r="AX690" s="6" t="str">
        <x:v>27131.75</x:v>
      </x:c>
      <x:c r="AY690" s="6" t="str">
        <x:v>22.25</x:v>
      </x:c>
      <x:c r="AZ690" s="9" t="str">
        <x:v>0.7838717959402132</x:v>
      </x:c>
      <x:c r="BA690" s="9" t="str">
        <x:v>0.2642264480697348</x:v>
      </x:c>
      <x:c r="BB690" s="9" t="str">
        <x:v>1.4004001747695942</x:v>
      </x:c>
      <x:c r="BC690" s="9" t="str">
        <x:v>0.32587928595267285</x:v>
      </x:c>
      <x:c r="BD690" s="6" t="str">
        <x:v>0.7484276729559748</x:v>
      </x:c>
      <x:c r="BE690" s="6" t="str">
        <x:v>0.018867924528301886</x:v>
      </x:c>
      <x:c r="BF690" s="9" t="str">
        <x:v>1.0480982440099478</x:v>
      </x:c>
      <x:c r="BG690" s="9" t="str">
        <x:v>0.026422644806973476</x:v>
      </x:c>
      <x:c r="BH690" s="6" t="str">
        <x:v>Against trade</x:v>
      </x:c>
      <x:c r="BI690" s="6" t="str">
        <x:v>Penetration + same-bar reclaim</x:v>
      </x:c>
      <x:c r="BJ690" s="6" t="str">
        <x:v>False</x:v>
      </x:c>
      <x:c r="BK690" s="10" t="str">
        <x:v>True</x:v>
      </x:c>
      <x:c r="BL690" s="6" t="str">
        <x:v>True</x:v>
      </x:c>
      <x:c r="BM690" s="7" t="str">
        <x:v>2026-06-12 00:45:00-05:00</x:v>
      </x:c>
      <x:c r="BN690" s="8" t="str">
        <x:v>1</x:v>
      </x:c>
      <x:c r="BO690" s="6" t="str">
        <x:v>Immediate confirmation (1 bar)</x:v>
      </x:c>
      <x:c r="BP690" s="9" t="str">
        <x:v>1.7601794283353296</x:v>
      </x:c>
      <x:c r="BQ690" s="9" t="str">
        <x:v>1.9720528780423598</x:v>
      </x:c>
      <x:c r="BR690" s="10" t="str">
        <x:v>0.8925619834710744</x:v>
      </x:c>
      <x:c r="BS690" s="9" t="str">
        <x:v>1.9720528780423598</x:v>
      </x:c>
      <x:c r="BT690" s="9" t="str">
        <x:v>1.7275835129957864</x:v>
      </x:c>
      <x:c r="BU690" s="9" t="str">
        <x:v>0.11408570368840099</x:v>
      </x:c>
      <x:c r="BV690" s="6" t="str">
        <x:v>With trade</x:v>
      </x:c>
      <x:c r="BW690" s="7" t="str">
        <x:v>2026-06-12 00:45:00-05:00</x:v>
      </x:c>
      <x:c r="BX690" s="6" t="str">
        <x:v>27049.0</x:v>
      </x:c>
      <x:c r="BY690" s="9" t="str">
        <x:v>30.678690553195427</x:v>
      </x:c>
      <x:c r="BZ690" s="9" t="str">
        <x:v>0.28</x:v>
      </x:c>
      <x:c r="CA690" s="6" t="str">
        <x:v>27095.018035829795</x:v>
      </x:c>
      <x:c r="CB690" s="6" t="str">
        <x:v>46.018035829794826</x:v>
      </x:c>
      <x:c r="CC690" s="9" t="str">
        <x:v>1.5000000000000548</x:v>
      </x:c>
      <x:c r="CD690" s="6" t="str">
        <x:v>26956.963928340414</x:v>
      </x:c>
      <x:c r="CE690" s="6" t="str">
        <x:v>92.03607165958601</x:v>
      </x:c>
      <x:c r="CF690" s="6" t="str">
        <x:v>Fixed 2.00R target</x:v>
      </x:c>
      <x:c r="CG690" s="9" t="str">
        <x:v>0.01575469241411194</x:v>
      </x:c>
      <x:c r="CH690" s="9" t="str">
        <x:v>-1.0</x:v>
      </x:c>
      <x:c r="CI690" s="9" t="str">
        <x:v>-1.0157546924141119</x:v>
      </x:c>
      <x:c r="CJ690" s="6" t="str">
        <x:v>Loss</x:v>
      </x:c>
      <x:c r="CK690" s="9" t="str">
        <x:v>1.1408570368839681</x:v>
      </x:c>
      <x:c r="CL690" s="9" t="str">
        <x:v>1.0267713331955712</x:v>
      </x:c>
      <x:c r="CM690" s="7" t="str">
        <x:v>2026-06-12 01:10:00-05:00</x:v>
      </x:c>
      <x:c r="CN690" s="6" t="str">
        <x:v>27095.018035829795</x:v>
      </x:c>
      <x:c r="CO690" s="6" t="str">
        <x:v>STOP</x:v>
      </x:c>
      <x:c r="CP690" s="6" t="str">
        <x:v>F::Short::Delayed BOS::Penetration + same-bar reclaim</x:v>
      </x:c>
    </x:row>
    <x:row r="691" ht="18" customHeight="1">
      <x:c r="A691" s="6" t="str">
        <x:v>A0690</x:v>
      </x:c>
      <x:c r="B691" s="6" t="str">
        <x:v>2026-06-14</x:v>
      </x:c>
      <x:c r="C691" s="6" t="str">
        <x:v>2026</x:v>
      </x:c>
      <x:c r="D691" s="6" t="str">
        <x:v>2026-Q2</x:v>
      </x:c>
      <x:c r="E691" s="6" t="str">
        <x:v>Second 50%</x:v>
      </x:c>
      <x:c r="F691" s="6" t="str">
        <x:v>Long</x:v>
      </x:c>
      <x:c r="G691" s="6" t="str">
        <x:v>Long</x:v>
      </x:c>
      <x:c r="H691" s="6" t="str">
        <x:v>Overnight</x:v>
      </x:c>
      <x:c r="I691" s="6" t="str">
        <x:v>Overnight</x:v>
      </x:c>
      <x:c r="J691" s="6" t="str">
        <x:v>Bull</x:v>
      </x:c>
      <x:c r="K691" s="6" t="str">
        <x:v>Bull</x:v>
      </x:c>
      <x:c r="L691" s="6" t="str">
        <x:v>LOW</x:v>
      </x:c>
      <x:c r="M691" s="7" t="str">
        <x:v>2026-06-14 23:30:00-05:00</x:v>
      </x:c>
      <x:c r="N691" s="6" t="str">
        <x:v>90.0</x:v>
      </x:c>
      <x:c r="O691" s="6" t="str">
        <x:v>90-94</x:v>
      </x:c>
      <x:c r="P691" s="6" t="str">
        <x:v>Matching BOS only</x:v>
      </x:c>
      <x:c r="Q691" s="6" t="str">
        <x:v>Bull CHoCH</x:v>
      </x:c>
      <x:c r="R691" s="6" t="str">
        <x:v>True</x:v>
      </x:c>
      <x:c r="S691" s="6" t="str">
        <x:v>False</x:v>
      </x:c>
      <x:c r="T691" s="6" t="str">
        <x:v>Recent SSL</x:v>
      </x:c>
      <x:c r="U691" s="6" t="str">
        <x:v>SSL</x:v>
      </x:c>
      <x:c r="V691" s="6" t="str">
        <x:v>Swing low / sell-side</x:v>
      </x:c>
      <x:c r="W691" s="6" t="str">
        <x:v>[27806.75]</x:v>
      </x:c>
      <x:c r="X691" s="8" t="str">
        <x:v>1</x:v>
      </x:c>
      <x:c r="Y691" s="8" t="str">
        <x:v>9.0</x:v>
      </x:c>
      <x:c r="Z691" s="6" t="str">
        <x:v>None</x:v>
      </x:c>
      <x:c r="AA691" s="6" t="str">
        <x:v>27841.5</x:v>
      </x:c>
      <x:c r="AB691" s="9" t="str">
        <x:v>0.4869531393765306</x:v>
      </x:c>
      <x:c r="AC691" s="9" t="str">
        <x:v>1.0712969066283673</x:v>
      </x:c>
      <x:c r="AD691" s="9" t="str">
        <x:v>1.3959323328793878</x:v>
      </x:c>
      <x:c r="AE691" s="6" t="str">
        <x:v>With trade</x:v>
      </x:c>
      <x:c r="AF691" s="7" t="str">
        <x:v>2026-06-14 23:30:00-05:00</x:v>
      </x:c>
      <x:c r="AG691" s="6" t="str">
        <x:v>Long</x:v>
      </x:c>
      <x:c r="AH691" s="6" t="str">
        <x:v>27841.5</x:v>
      </x:c>
      <x:c r="AI691" s="8" t="str">
        <x:v>0</x:v>
      </x:c>
      <x:c r="AJ691" s="6" t="str">
        <x:v>True</x:v>
      </x:c>
      <x:c r="AK691" s="6" t="str">
        <x:v>Same-bar Setup+BOS</x:v>
      </x:c>
      <x:c r="AL691" s="9" t="str">
        <x:v>0.779125023002449</x:v>
      </x:c>
      <x:c r="AM691" s="9" t="str">
        <x:v>0.4869531393765306</x:v>
      </x:c>
      <x:c r="AN691" s="9" t="str">
        <x:v>1.0712969066283673</x:v>
      </x:c>
      <x:c r="AO691" s="9" t="str">
        <x:v>1.3959323328793878</x:v>
      </x:c>
      <x:c r="AP691" s="10" t="str">
        <x:v>0.7674418604651163</x:v>
      </x:c>
      <x:c r="AQ691" s="6" t="str">
        <x:v>0.0</x:v>
      </x:c>
      <x:c r="AR691" s="6" t="str">
        <x:v>0.23255813953488372</x:v>
      </x:c>
      <x:c r="AS691" s="6" t="str">
        <x:v>With trade</x:v>
      </x:c>
      <x:c r="AT691" s="6" t="str">
        <x:v>1.29923273657289</x:v>
      </x:c>
      <x:c r="AU691" s="7" t="str">
        <x:v>2026-06-14 23:35:00-05:00</x:v>
      </x:c>
      <x:c r="AV691" s="8" t="str">
        <x:v>1</x:v>
      </x:c>
      <x:c r="AW691" s="6" t="str">
        <x:v>Immediate retest (1 bar)</x:v>
      </x:c>
      <x:c r="AX691" s="6" t="str">
        <x:v>27836.5</x:v>
      </x:c>
      <x:c r="AY691" s="6" t="str">
        <x:v>5.0</x:v>
      </x:c>
      <x:c r="AZ691" s="9" t="str">
        <x:v>0.3267598509053268</x:v>
      </x:c>
      <x:c r="BA691" s="9" t="str">
        <x:v>0.17971791799792972</x:v>
      </x:c>
      <x:c r="BB691" s="9" t="str">
        <x:v>0.9149275825349149</x:v>
      </x:c>
      <x:c r="BC691" s="9" t="str">
        <x:v>0.14704193290739703</x:v>
      </x:c>
      <x:c r="BD691" s="6" t="str">
        <x:v>0.2857142857142857</x:v>
      </x:c>
      <x:c r="BE691" s="6" t="str">
        <x:v>0.5535714285714286</x:v>
      </x:c>
      <x:c r="BF691" s="9" t="str">
        <x:v>0.5064777689032565</x:v>
      </x:c>
      <x:c r="BG691" s="9" t="str">
        <x:v>0.2614078807242614</x:v>
      </x:c>
      <x:c r="BH691" s="6" t="str">
        <x:v>Against trade</x:v>
      </x:c>
      <x:c r="BI691" s="6" t="str">
        <x:v>Penetration + same-bar reclaim</x:v>
      </x:c>
      <x:c r="BJ691" s="6" t="str">
        <x:v>False</x:v>
      </x:c>
      <x:c r="BK691" s="10" t="str">
        <x:v>True</x:v>
      </x:c>
      <x:c r="BL691" s="6" t="str">
        <x:v>True</x:v>
      </x:c>
      <x:c r="BM691" s="7" t="str">
        <x:v>2026-06-14 23:40:00-05:00</x:v>
      </x:c>
      <x:c r="BN691" s="8" t="str">
        <x:v>1</x:v>
      </x:c>
      <x:c r="BO691" s="6" t="str">
        <x:v>Immediate confirmation (1 bar)</x:v>
      </x:c>
      <x:c r="BP691" s="9" t="str">
        <x:v>0.23121622124043945</x:v>
      </x:c>
      <x:c r="BQ691" s="9" t="str">
        <x:v>0.8588031074644893</x:v>
      </x:c>
      <x:c r="BR691" s="10" t="str">
        <x:v>0.2692307692307692</x:v>
      </x:c>
      <x:c r="BS691" s="9" t="str">
        <x:v>0.34682433186065914</x:v>
      </x:c>
      <x:c r="BT691" s="9" t="str">
        <x:v>0.16515444374317104</x:v>
      </x:c>
      <x:c r="BU691" s="9" t="str">
        <x:v>0.5780405531010986</x:v>
      </x:c>
      <x:c r="BV691" s="6" t="str">
        <x:v>With trade</x:v>
      </x:c>
      <x:c r="BW691" s="7" t="str">
        <x:v>2026-06-14 23:40:00-05:00</x:v>
      </x:c>
      <x:c r="BX691" s="6" t="str">
        <x:v>27846.75</x:v>
      </x:c>
      <x:c r="BY691" s="9" t="str">
        <x:v>15.137346252019166</x:v>
      </x:c>
      <x:c r="BZ691" s="9" t="str">
        <x:v>0.03</x:v>
      </x:c>
      <x:c r="CA691" s="6" t="str">
        <x:v>27824.043980621973</x:v>
      </x:c>
      <x:c r="CB691" s="6" t="str">
        <x:v>22.706019378027122</x:v>
      </x:c>
      <x:c r="CC691" s="9" t="str">
        <x:v>1.4999999999998925</x:v>
      </x:c>
      <x:c r="CD691" s="6" t="str">
        <x:v>27892.162038756058</x:v>
      </x:c>
      <x:c r="CE691" s="6" t="str">
        <x:v>45.41203875605788</x:v>
      </x:c>
      <x:c r="CF691" s="6" t="str">
        <x:v>Fixed 2.00R target</x:v>
      </x:c>
      <x:c r="CG691" s="9" t="str">
        <x:v>0.03192985912368202</x:v>
      </x:c>
      <x:c r="CH691" s="9" t="str">
        <x:v>0.033030888748634205</x:v>
      </x:c>
      <x:c r="CI691" s="9" t="str">
        <x:v>0.0011010296249521836</x:v>
      </x:c>
      <x:c r="CJ691" s="6" t="str">
        <x:v>Win</x:v>
      </x:c>
      <x:c r="CK691" s="9" t="str">
        <x:v>0.8588031074645508</x:v>
      </x:c>
      <x:c r="CL691" s="9" t="str">
        <x:v>0.9358751812113695</x:v>
      </x:c>
      <x:c r="CM691" s="7" t="str">
        <x:v>2026-06-15 00:40:00-05:00</x:v>
      </x:c>
      <x:c r="CN691" s="6" t="str">
        <x:v>27847.5</x:v>
      </x:c>
      <x:c r="CO691" s="6" t="str">
        <x:v>TIME</x:v>
      </x:c>
      <x:c r="CP691" s="6" t="str">
        <x:v>F::Long::Same-bar Setup+BOS::Penetration + same-bar reclaim</x:v>
      </x:c>
    </x:row>
    <x:row r="692" ht="18" customHeight="1">
      <x:c r="A692" s="6" t="str">
        <x:v>A0691</x:v>
      </x:c>
      <x:c r="B692" s="6" t="str">
        <x:v>2026-06-15</x:v>
      </x:c>
      <x:c r="C692" s="6" t="str">
        <x:v>2026</x:v>
      </x:c>
      <x:c r="D692" s="6" t="str">
        <x:v>2026-Q2</x:v>
      </x:c>
      <x:c r="E692" s="6" t="str">
        <x:v>Second 50%</x:v>
      </x:c>
      <x:c r="F692" s="6" t="str">
        <x:v>Long</x:v>
      </x:c>
      <x:c r="G692" s="6" t="str">
        <x:v>Long</x:v>
      </x:c>
      <x:c r="H692" s="6" t="str">
        <x:v>Premarket</x:v>
      </x:c>
      <x:c r="I692" s="6" t="str">
        <x:v>Premarket</x:v>
      </x:c>
      <x:c r="J692" s="6" t="str">
        <x:v>Bull</x:v>
      </x:c>
      <x:c r="K692" s="6" t="str">
        <x:v>Bull</x:v>
      </x:c>
      <x:c r="L692" s="6" t="str">
        <x:v>HIGH</x:v>
      </x:c>
      <x:c r="M692" s="7" t="str">
        <x:v>2026-06-15 08:25:00-05:00</x:v>
      </x:c>
      <x:c r="N692" s="6" t="str">
        <x:v>90.0</x:v>
      </x:c>
      <x:c r="O692" s="6" t="str">
        <x:v>90-94</x:v>
      </x:c>
      <x:c r="P692" s="6" t="str">
        <x:v>Matching BOS only</x:v>
      </x:c>
      <x:c r="Q692" s="6" t="str">
        <x:v>Bull CHoCH</x:v>
      </x:c>
      <x:c r="R692" s="6" t="str">
        <x:v>True</x:v>
      </x:c>
      <x:c r="S692" s="6" t="str">
        <x:v>False</x:v>
      </x:c>
      <x:c r="T692" s="6" t="str">
        <x:v>Recent SSL</x:v>
      </x:c>
      <x:c r="U692" s="6" t="str">
        <x:v>SSL</x:v>
      </x:c>
      <x:c r="V692" s="6" t="str">
        <x:v>Swing low / sell-side</x:v>
      </x:c>
      <x:c r="W692" s="6" t="str">
        <x:v>[27891.5]</x:v>
      </x:c>
      <x:c r="X692" s="8" t="str">
        <x:v>1</x:v>
      </x:c>
      <x:c r="Y692" s="8" t="str">
        <x:v>14.0</x:v>
      </x:c>
      <x:c r="Z692" s="6" t="str">
        <x:v>None</x:v>
      </x:c>
      <x:c r="AA692" s="6" t="str">
        <x:v>27941.0</x:v>
      </x:c>
      <x:c r="AB692" s="9" t="str">
        <x:v>0.6282253712946507</x:v>
      </x:c>
      <x:c r="AC692" s="9" t="str">
        <x:v>1.135214267427176</x:v>
      </x:c>
      <x:c r="AD692" s="9" t="str">
        <x:v>1.4107517109774612</x:v>
      </x:c>
      <x:c r="AE692" s="6" t="str">
        <x:v>With trade</x:v>
      </x:c>
      <x:c r="AF692" s="7" t="str">
        <x:v>2026-06-15 08:25:00-05:00</x:v>
      </x:c>
      <x:c r="AG692" s="6" t="str">
        <x:v>Long</x:v>
      </x:c>
      <x:c r="AH692" s="6" t="str">
        <x:v>27941.0</x:v>
      </x:c>
      <x:c r="AI692" s="8" t="str">
        <x:v>0</x:v>
      </x:c>
      <x:c r="AJ692" s="6" t="str">
        <x:v>True</x:v>
      </x:c>
      <x:c r="AK692" s="6" t="str">
        <x:v>Same-bar Setup+BOS</x:v>
      </x:c>
      <x:c r="AL692" s="9" t="str">
        <x:v>1.1682787606532101</x:v>
      </x:c>
      <x:c r="AM692" s="9" t="str">
        <x:v>0.6282253712946507</x:v>
      </x:c>
      <x:c r="AN692" s="9" t="str">
        <x:v>1.135214267427176</x:v>
      </x:c>
      <x:c r="AO692" s="9" t="str">
        <x:v>1.4107517109774612</x:v>
      </x:c>
      <x:c r="AP692" s="10" t="str">
        <x:v>0.8046875</x:v>
      </x:c>
      <x:c r="AQ692" s="6" t="str">
        <x:v>0.1953125</x:v>
      </x:c>
      <x:c r="AR692" s="6" t="str">
        <x:v>0.0</x:v>
      </x:c>
      <x:c r="AS692" s="6" t="str">
        <x:v>With trade</x:v>
      </x:c>
      <x:c r="AT692" s="6" t="str">
        <x:v>3.816746633648042</x:v>
      </x:c>
      <x:c r="AU692" s="7" t="str">
        <x:v>2026-06-15 08:30:00-05:00</x:v>
      </x:c>
      <x:c r="AV692" s="8" t="str">
        <x:v>1</x:v>
      </x:c>
      <x:c r="AW692" s="6" t="str">
        <x:v>Immediate retest (1 bar)</x:v>
      </x:c>
      <x:c r="AX692" s="6" t="str">
        <x:v>27923.75</x:v>
      </x:c>
      <x:c r="AY692" s="6" t="str">
        <x:v>17.25</x:v>
      </x:c>
      <x:c r="AZ692" s="9" t="str">
        <x:v>0.625439858651685</x:v>
      </x:c>
      <x:c r="BA692" s="9" t="str">
        <x:v>1.3868449039667798</x:v>
      </x:c>
      <x:c r="BB692" s="9" t="str">
        <x:v>3.3084862088096383</x:v>
      </x:c>
      <x:c r="BC692" s="9" t="str">
        <x:v>0.8792415404233833</x:v>
      </x:c>
      <x:c r="BD692" s="6" t="str">
        <x:v>0.3917808219178082</x:v>
      </x:c>
      <x:c r="BE692" s="6" t="str">
        <x:v>0.3424657534246575</x:v>
      </x:c>
      <x:c r="BF692" s="9" t="str">
        <x:v>1.1330432221950817</x:v>
      </x:c>
      <x:c r="BG692" s="9" t="str">
        <x:v>1.2962014461911735</x:v>
      </x:c>
      <x:c r="BH692" s="6" t="str">
        <x:v>With trade</x:v>
      </x:c>
      <x:c r="BI692" s="6" t="str">
        <x:v>Penetration + same-bar reclaim</x:v>
      </x:c>
      <x:c r="BJ692" s="6" t="str">
        <x:v>False</x:v>
      </x:c>
      <x:c r="BK692" s="10" t="str">
        <x:v>True</x:v>
      </x:c>
      <x:c r="BL692" s="6" t="str">
        <x:v>True</x:v>
      </x:c>
      <x:c r="BM692" s="7" t="str">
        <x:v>2026-06-15 08:35:00-05:00</x:v>
      </x:c>
      <x:c r="BN692" s="8" t="str">
        <x:v>1</x:v>
      </x:c>
      <x:c r="BO692" s="6" t="str">
        <x:v>Immediate confirmation (1 bar)</x:v>
      </x:c>
      <x:c r="BP692" s="9" t="str">
        <x:v>0.3432622940342224</x:v>
      </x:c>
      <x:c r="BQ692" s="9" t="str">
        <x:v>1.9925957556132914</x:v>
      </x:c>
      <x:c r="BR692" s="10" t="str">
        <x:v>0.1722689075630252</x:v>
      </x:c>
      <x:c r="BS692" s="9" t="str">
        <x:v>1.6577057126530743</x:v>
      </x:c>
      <x:c r="BT692" s="9" t="str">
        <x:v>0.3767512983302442</x:v>
      </x:c>
      <x:c r="BU692" s="9" t="str">
        <x:v>0.05860575751803798</x:v>
      </x:c>
      <x:c r="BV692" s="6" t="str">
        <x:v>With trade</x:v>
      </x:c>
      <x:c r="BW692" s="7" t="str">
        <x:v>2026-06-15 08:35:00-05:00</x:v>
      </x:c>
      <x:c r="BX692" s="6" t="str">
        <x:v>27990.5</x:v>
      </x:c>
      <x:c r="BY692" s="9" t="str">
        <x:v>29.860547395217544</x:v>
      </x:c>
      <x:c r="BZ692" s="9" t="str">
        <x:v>1.0</x:v>
      </x:c>
      <x:c r="CA692" s="6" t="str">
        <x:v>27945.709178907175</x:v>
      </x:c>
      <x:c r="CB692" s="6" t="str">
        <x:v>44.790821092825354</x:v>
      </x:c>
      <x:c r="CC692" s="9" t="str">
        <x:v>1.4999999999999678</x:v>
      </x:c>
      <x:c r="CD692" s="6" t="str">
        <x:v>28080.081642185654</x:v>
      </x:c>
      <x:c r="CE692" s="6" t="str">
        <x:v>89.58164218565435</x:v>
      </x:c>
      <x:c r="CF692" s="6" t="str">
        <x:v>Fixed 2.00R target</x:v>
      </x:c>
      <x:c r="CG692" s="9" t="str">
        <x:v>0.016186352076410837</x:v>
      </x:c>
      <x:c r="CH692" s="9" t="str">
        <x:v>2.0</x:v>
      </x:c>
      <x:c r="CI692" s="9" t="str">
        <x:v>1.983813647923589</x:v>
      </x:c>
      <x:c r="CJ692" s="6" t="str">
        <x:v>Win</x:v>
      </x:c>
      <x:c r="CK692" s="9" t="str">
        <x:v>2.4726048171896555</x:v>
      </x:c>
      <x:c r="CL692" s="9" t="str">
        <x:v>0.38512354940425786</x:v>
      </x:c>
      <x:c r="CM692" s="7" t="str">
        <x:v>2026-06-15 08:45:00-05:00</x:v>
      </x:c>
      <x:c r="CN692" s="6" t="str">
        <x:v>28080.081642185654</x:v>
      </x:c>
      <x:c r="CO692" s="6" t="str">
        <x:v>TARGET</x:v>
      </x:c>
      <x:c r="CP692" s="6" t="str">
        <x:v>F::Long::Same-bar Setup+BOS::Penetration + same-bar reclaim</x:v>
      </x:c>
    </x:row>
    <x:row r="693" ht="18" customHeight="1">
      <x:c r="A693" s="6" t="str">
        <x:v>A0692</x:v>
      </x:c>
      <x:c r="B693" s="6" t="str">
        <x:v>2026-06-15</x:v>
      </x:c>
      <x:c r="C693" s="6" t="str">
        <x:v>2026</x:v>
      </x:c>
      <x:c r="D693" s="6" t="str">
        <x:v>2026-Q2</x:v>
      </x:c>
      <x:c r="E693" s="6" t="str">
        <x:v>Second 50%</x:v>
      </x:c>
      <x:c r="F693" s="6" t="str">
        <x:v>Short</x:v>
      </x:c>
      <x:c r="G693" s="6" t="str">
        <x:v>Short</x:v>
      </x:c>
      <x:c r="H693" s="6" t="str">
        <x:v>Overnight</x:v>
      </x:c>
      <x:c r="I693" s="6" t="str">
        <x:v>Overnight</x:v>
      </x:c>
      <x:c r="J693" s="6" t="str">
        <x:v>Bull</x:v>
      </x:c>
      <x:c r="K693" s="6" t="str">
        <x:v>Bull</x:v>
      </x:c>
      <x:c r="L693" s="6" t="str">
        <x:v>MID</x:v>
      </x:c>
      <x:c r="M693" s="7" t="str">
        <x:v>2026-06-15 19:45:00-05:00</x:v>
      </x:c>
      <x:c r="N693" s="6" t="str">
        <x:v>90.0</x:v>
      </x:c>
      <x:c r="O693" s="6" t="str">
        <x:v>90-94</x:v>
      </x:c>
      <x:c r="P693" s="6" t="str">
        <x:v>Matching BOS only</x:v>
      </x:c>
      <x:c r="Q693" s="6" t="str">
        <x:v>Bear BOS</x:v>
      </x:c>
      <x:c r="R693" s="6" t="str">
        <x:v>True</x:v>
      </x:c>
      <x:c r="S693" s="6" t="str">
        <x:v>False</x:v>
      </x:c>
      <x:c r="T693" s="6" t="str">
        <x:v>Recent BSL</x:v>
      </x:c>
      <x:c r="U693" s="6" t="str">
        <x:v>BSL</x:v>
      </x:c>
      <x:c r="V693" s="6" t="str">
        <x:v>Swing high / buy-side</x:v>
      </x:c>
      <x:c r="W693" s="6" t="str">
        <x:v>[28164.75]</x:v>
      </x:c>
      <x:c r="X693" s="8" t="str">
        <x:v>1</x:v>
      </x:c>
      <x:c r="Y693" s="8" t="str">
        <x:v>3.0</x:v>
      </x:c>
      <x:c r="Z693" s="6" t="str">
        <x:v>None</x:v>
      </x:c>
      <x:c r="AA693" s="6" t="str">
        <x:v>28112.75</x:v>
      </x:c>
      <x:c r="AB693" s="9" t="str">
        <x:v>0.2430700061222726</x:v>
      </x:c>
      <x:c r="AC693" s="9" t="str">
        <x:v>0.9115125229585223</x:v>
      </x:c>
      <x:c r="AD693" s="9" t="str">
        <x:v>1.3470129505942607</x:v>
      </x:c>
      <x:c r="AE693" s="6" t="str">
        <x:v>With trade</x:v>
      </x:c>
      <x:c r="AF693" s="7" t="str">
        <x:v>2026-06-15 19:45:00-05:00</x:v>
      </x:c>
      <x:c r="AG693" s="6" t="str">
        <x:v>Short</x:v>
      </x:c>
      <x:c r="AH693" s="6" t="str">
        <x:v>28112.75</x:v>
      </x:c>
      <x:c r="AI693" s="8" t="str">
        <x:v>0</x:v>
      </x:c>
      <x:c r="AJ693" s="6" t="str">
        <x:v>True</x:v>
      </x:c>
      <x:c r="AK693" s="6" t="str">
        <x:v>Same-bar Setup+BOS</x:v>
      </x:c>
      <x:c r="AL693" s="9" t="str">
        <x:v>1.0533033598631814</x:v>
      </x:c>
      <x:c r="AM693" s="9" t="str">
        <x:v>0.2430700061222726</x:v>
      </x:c>
      <x:c r="AN693" s="9" t="str">
        <x:v>0.9115125229585223</x:v>
      </x:c>
      <x:c r="AO693" s="9" t="str">
        <x:v>1.3470129505942607</x:v>
      </x:c>
      <x:c r="AP693" s="10" t="str">
        <x:v>0.6766917293233082</x:v>
      </x:c>
      <x:c r="AQ693" s="6" t="str">
        <x:v>0.23308270676691728</x:v>
      </x:c>
      <x:c r="AR693" s="6" t="str">
        <x:v>0.09022556390977443</x:v>
      </x:c>
      <x:c r="AS693" s="6" t="str">
        <x:v>With trade</x:v>
      </x:c>
      <x:c r="AT693" s="6" t="str">
        <x:v>1.7758620689655173</x:v>
      </x:c>
      <x:c r="AU693" s="7" t="str">
        <x:v>2026-06-15 19:55:00-05:00</x:v>
      </x:c>
      <x:c r="AV693" s="8" t="str">
        <x:v>2</x:v>
      </x:c>
      <x:c r="AW693" s="6" t="str">
        <x:v>Delayed retest (2+ bars)</x:v>
      </x:c>
      <x:c r="AX693" s="6" t="str">
        <x:v>28112.0</x:v>
      </x:c>
      <x:c r="AY693" s="6" t="str">
        <x:v>0.0</x:v>
      </x:c>
      <x:c r="AZ693" s="9" t="str">
        <x:v>0.0</x:v>
      </x:c>
      <x:c r="BA693" s="9" t="str">
        <x:v>0.7967244961978622</x:v>
      </x:c>
      <x:c r="BB693" s="9" t="str">
        <x:v>0.7652748450321571</x:v>
      </x:c>
      <x:c r="BC693" s="9" t="str">
        <x:v>0.2201475581599356</x:v>
      </x:c>
      <x:c r="BD693" s="6" t="str">
        <x:v>0.7123287671232876</x:v>
      </x:c>
      <x:c r="BE693" s="6" t="str">
        <x:v>0.0</x:v>
      </x:c>
      <x:c r="BF693" s="9" t="str">
        <x:v>0.5451272868722216</x:v>
      </x:c>
      <x:c r="BG693" s="9" t="str">
        <x:v>0.0</x:v>
      </x:c>
      <x:c r="BH693" s="6" t="str">
        <x:v>With trade</x:v>
      </x:c>
      <x:c r="BI693" s="6" t="str">
        <x:v>Tolerance-only shallow touch</x:v>
      </x:c>
      <x:c r="BJ693" s="6" t="str">
        <x:v>True</x:v>
      </x:c>
      <x:c r="BK693" s="10" t="str">
        <x:v>False</x:v>
      </x:c>
      <x:c r="BL693" s="6" t="str">
        <x:v>True</x:v>
      </x:c>
      <x:c r="BM693" s="7" t="str">
        <x:v>2026-06-15 20:05:00-05:00</x:v>
      </x:c>
      <x:c r="BN693" s="8" t="str">
        <x:v>2</x:v>
      </x:c>
      <x:c r="BO693" s="6" t="str">
        <x:v>Delayed confirmation (2+ bars)</x:v>
      </x:c>
      <x:c r="BP693" s="9" t="str">
        <x:v>1.1313128095624962</x:v>
      </x:c>
      <x:c r="BQ693" s="9" t="str">
        <x:v>1.4141410119531204</x:v>
      </x:c>
      <x:c r="BR693" s="10" t="str">
        <x:v>0.8</x:v>
      </x:c>
      <x:c r="BS693" s="9" t="str">
        <x:v>1.5050500770072495</x:v>
      </x:c>
      <x:c r="BT693" s="9" t="str">
        <x:v>0.7373735276612698</x:v>
      </x:c>
      <x:c r="BU693" s="9" t="str">
        <x:v>0.25252518070591434</x:v>
      </x:c>
      <x:c r="BV693" s="6" t="str">
        <x:v>With trade</x:v>
      </x:c>
      <x:c r="BW693" s="7" t="str">
        <x:v>2026-06-15 20:05:00-05:00</x:v>
      </x:c>
      <x:c r="BX693" s="6" t="str">
        <x:v>28075.5</x:v>
      </x:c>
      <x:c r="BY693" s="9" t="str">
        <x:v>24.750007039015337</x:v>
      </x:c>
      <x:c r="BZ693" s="9" t="str">
        <x:v>0.47</x:v>
      </x:c>
      <x:c r="CA693" s="6" t="str">
        <x:v>28112.625010558524</x:v>
      </x:c>
      <x:c r="CB693" s="6" t="str">
        <x:v>37.12501055852408</x:v>
      </x:c>
      <x:c r="CC693" s="9" t="str">
        <x:v>1.5000000000000435</x:v>
      </x:c>
      <x:c r="CD693" s="6" t="str">
        <x:v>28001.249978882955</x:v>
      </x:c>
      <x:c r="CE693" s="6" t="str">
        <x:v>74.25002111704453</x:v>
      </x:c>
      <x:c r="CF693" s="6" t="str">
        <x:v>Fixed 2.00R target</x:v>
      </x:c>
      <x:c r="CG693" s="9" t="str">
        <x:v>0.019528613974590145</x:v>
      </x:c>
      <x:c r="CH693" s="9" t="str">
        <x:v>-1.0</x:v>
      </x:c>
      <x:c r="CI693" s="9" t="str">
        <x:v>-1.01952861397459</x:v>
      </x:c>
      <x:c r="CJ693" s="6" t="str">
        <x:v>Loss</x:v>
      </x:c>
      <x:c r="CK693" s="9" t="str">
        <x:v>0.0</x:v>
      </x:c>
      <x:c r="CL693" s="9" t="str">
        <x:v>1.0370367420989248</x:v>
      </x:c>
      <x:c r="CM693" s="7" t="str">
        <x:v>2026-06-15 20:35:00-05:00</x:v>
      </x:c>
      <x:c r="CN693" s="6" t="str">
        <x:v>28112.625010558524</x:v>
      </x:c>
      <x:c r="CO693" s="6" t="str">
        <x:v>STOP</x:v>
      </x:c>
      <x:c r="CP693" s="6" t="str">
        <x:v>F::Short::Same-bar Setup+BOS::Tolerance-only shallow touch</x:v>
      </x:c>
    </x:row>
    <x:row r="694" ht="18" customHeight="1">
      <x:c r="A694" s="6" t="str">
        <x:v>A0693</x:v>
      </x:c>
      <x:c r="B694" s="6" t="str">
        <x:v>2026-06-16</x:v>
      </x:c>
      <x:c r="C694" s="6" t="str">
        <x:v>2026</x:v>
      </x:c>
      <x:c r="D694" s="6" t="str">
        <x:v>2026-Q2</x:v>
      </x:c>
      <x:c r="E694" s="6" t="str">
        <x:v>Second 50%</x:v>
      </x:c>
      <x:c r="F694" s="6" t="str">
        <x:v>Long</x:v>
      </x:c>
      <x:c r="G694" s="6" t="str">
        <x:v>Long</x:v>
      </x:c>
      <x:c r="H694" s="6" t="str">
        <x:v>Premarket</x:v>
      </x:c>
      <x:c r="I694" s="6" t="str">
        <x:v>Premarket</x:v>
      </x:c>
      <x:c r="J694" s="6" t="str">
        <x:v>Bull</x:v>
      </x:c>
      <x:c r="K694" s="6" t="str">
        <x:v>Bull</x:v>
      </x:c>
      <x:c r="L694" s="6" t="str">
        <x:v>HIGH</x:v>
      </x:c>
      <x:c r="M694" s="7" t="str">
        <x:v>2026-06-16 06:00:00-05:00</x:v>
      </x:c>
      <x:c r="N694" s="6" t="str">
        <x:v>90.0</x:v>
      </x:c>
      <x:c r="O694" s="6" t="str">
        <x:v>90-94</x:v>
      </x:c>
      <x:c r="P694" s="6" t="str">
        <x:v>Matching BOS only</x:v>
      </x:c>
      <x:c r="Q694" s="6" t="str">
        <x:v>Bull BOS</x:v>
      </x:c>
      <x:c r="R694" s="6" t="str">
        <x:v>True</x:v>
      </x:c>
      <x:c r="S694" s="6" t="str">
        <x:v>False</x:v>
      </x:c>
      <x:c r="T694" s="6" t="str">
        <x:v>Recent SSL</x:v>
      </x:c>
      <x:c r="U694" s="6" t="str">
        <x:v>SSL</x:v>
      </x:c>
      <x:c r="V694" s="6" t="str">
        <x:v>Swing low / sell-side</x:v>
      </x:c>
      <x:c r="W694" s="6" t="str">
        <x:v>[28183.0]</x:v>
      </x:c>
      <x:c r="X694" s="8" t="str">
        <x:v>1</x:v>
      </x:c>
      <x:c r="Y694" s="8" t="str">
        <x:v>13.0</x:v>
      </x:c>
      <x:c r="Z694" s="6" t="str">
        <x:v>None</x:v>
      </x:c>
      <x:c r="AA694" s="6" t="str">
        <x:v>28260.25</x:v>
      </x:c>
      <x:c r="AB694" s="9" t="str">
        <x:v>0.38411516741226265</x:v>
      </x:c>
      <x:c r="AC694" s="9" t="str">
        <x:v>1.207219097581397</x:v>
      </x:c>
      <x:c r="AD694" s="9" t="str">
        <x:v>1.8794206405528566</x:v>
      </x:c>
      <x:c r="AE694" s="6" t="str">
        <x:v>With trade</x:v>
      </x:c>
      <x:c r="AF694" s="7" t="str">
        <x:v>2026-06-16 06:00:00-05:00</x:v>
      </x:c>
      <x:c r="AG694" s="6" t="str">
        <x:v>Long</x:v>
      </x:c>
      <x:c r="AH694" s="6" t="str">
        <x:v>28260.25</x:v>
      </x:c>
      <x:c r="AI694" s="8" t="str">
        <x:v>0</x:v>
      </x:c>
      <x:c r="AJ694" s="6" t="str">
        <x:v>True</x:v>
      </x:c>
      <x:c r="AK694" s="6" t="str">
        <x:v>Same-bar Setup+BOS</x:v>
      </x:c>
      <x:c r="AL694" s="9" t="str">
        <x:v>1.0014431150391134</x:v>
      </x:c>
      <x:c r="AM694" s="9" t="str">
        <x:v>0.38411516741226265</x:v>
      </x:c>
      <x:c r="AN694" s="9" t="str">
        <x:v>1.207219097581397</x:v>
      </x:c>
      <x:c r="AO694" s="9" t="str">
        <x:v>1.8794206405528566</x:v>
      </x:c>
      <x:c r="AP694" s="10" t="str">
        <x:v>0.6423357664233577</x:v>
      </x:c>
      <x:c r="AQ694" s="6" t="str">
        <x:v>0.11678832116788321</x:v>
      </x:c>
      <x:c r="AR694" s="6" t="str">
        <x:v>0.24087591240875914</x:v>
      </x:c>
      <x:c r="AS694" s="6" t="str">
        <x:v>With trade</x:v>
      </x:c>
      <x:c r="AT694" s="6" t="str">
        <x:v>6.078431372549019</x:v>
      </x:c>
      <x:c r="AU694" s="7" t="str">
        <x:v>2026-06-16 06:05:00-05:00</x:v>
      </x:c>
      <x:c r="AV694" s="8" t="str">
        <x:v>1</x:v>
      </x:c>
      <x:c r="AW694" s="6" t="str">
        <x:v>Immediate retest (1 bar)</x:v>
      </x:c>
      <x:c r="AX694" s="6" t="str">
        <x:v>28254.0</x:v>
      </x:c>
      <x:c r="AY694" s="6" t="str">
        <x:v>6.25</x:v>
      </x:c>
      <x:c r="AZ694" s="9" t="str">
        <x:v>0.3422539520281124</x:v>
      </x:c>
      <x:c r="BA694" s="9" t="str">
        <x:v>-0.041070474243373484</x:v>
      </x:c>
      <x:c r="BB694" s="9" t="str">
        <x:v>1.026761856084337</x:v>
      </x:c>
      <x:c r="BC694" s="9" t="str">
        <x:v>0.42439490051485934</x:v>
      </x:c>
      <x:c r="BD694" s="6" t="str">
        <x:v>0.29333333333333333</x:v>
      </x:c>
      <x:c r="BE694" s="6" t="str">
        <x:v>0.29333333333333333</x:v>
      </x:c>
      <x:c r="BF694" s="9" t="str">
        <x:v>0.30118347778473886</x:v>
      </x:c>
      <x:c r="BG694" s="9" t="str">
        <x:v>0.30118347778473886</x:v>
      </x:c>
      <x:c r="BH694" s="6" t="str">
        <x:v>Against trade</x:v>
      </x:c>
      <x:c r="BI694" s="6" t="str">
        <x:v>Penetration without same-bar reclaim</x:v>
      </x:c>
      <x:c r="BJ694" s="6" t="str">
        <x:v>False</x:v>
      </x:c>
      <x:c r="BK694" s="10" t="str">
        <x:v>True</x:v>
      </x:c>
      <x:c r="BL694" s="6" t="str">
        <x:v>False</x:v>
      </x:c>
      <x:c r="BM694" s="7" t="str">
        <x:v>2026-06-16 06:10:00-05:00</x:v>
      </x:c>
      <x:c r="BN694" s="8" t="str">
        <x:v>1</x:v>
      </x:c>
      <x:c r="BO694" s="6" t="str">
        <x:v>Immediate confirmation (1 bar)</x:v>
      </x:c>
      <x:c r="BP694" s="9" t="str">
        <x:v>0.9212394778614726</x:v>
      </x:c>
      <x:c r="BQ694" s="9" t="str">
        <x:v>1.321778381279504</x:v>
      </x:c>
      <x:c r="BR694" s="10" t="str">
        <x:v>0.696969696969697</x:v>
      </x:c>
      <x:c r="BS694" s="9" t="str">
        <x:v>0.6141596519076484</x:v>
      </x:c>
      <x:c r="BT694" s="9" t="str">
        <x:v>0.6542135422494516</x:v>
      </x:c>
      <x:c r="BU694" s="9" t="str">
        <x:v>0.16021556136721263</x:v>
      </x:c>
      <x:c r="BV694" s="6" t="str">
        <x:v>With trade</x:v>
      </x:c>
      <x:c r="BW694" s="7" t="str">
        <x:v>2026-06-16 06:10:00-05:00</x:v>
      </x:c>
      <x:c r="BX694" s="6" t="str">
        <x:v>28271.75</x:v>
      </x:c>
      <x:c r="BY694" s="9" t="str">
        <x:v>18.724772889719663</x:v>
      </x:c>
      <x:c r="BZ694" s="9" t="str">
        <x:v>0.79</x:v>
      </x:c>
      <x:c r="CA694" s="6" t="str">
        <x:v>28243.66284066542</x:v>
      </x:c>
      <x:c r="CB694" s="6" t="str">
        <x:v>28.087159334580065</x:v>
      </x:c>
      <x:c r="CC694" s="9" t="str">
        <x:v>1.5000000000000304</x:v>
      </x:c>
      <x:c r="CD694" s="6" t="str">
        <x:v>28327.92431866916</x:v>
      </x:c>
      <x:c r="CE694" s="6" t="str">
        <x:v>56.17431866916013</x:v>
      </x:c>
      <x:c r="CF694" s="6" t="str">
        <x:v>Fixed 2.00R target</x:v>
      </x:c>
      <x:c r="CG694" s="9" t="str">
        <x:v>0.02581250710916151</x:v>
      </x:c>
      <x:c r="CH694" s="9" t="str">
        <x:v>-1.0</x:v>
      </x:c>
      <x:c r="CI694" s="9" t="str">
        <x:v>-1.0258125071091615</x:v>
      </x:c>
      <x:c r="CJ694" s="6" t="str">
        <x:v>Loss</x:v>
      </x:c>
      <x:c r="CK694" s="9" t="str">
        <x:v>0.5073492776628297</x:v>
      </x:c>
      <x:c r="CL694" s="9" t="str">
        <x:v>1.0503020134072614</x:v>
      </x:c>
      <x:c r="CM694" s="7" t="str">
        <x:v>2026-06-16 06:35:00-05:00</x:v>
      </x:c>
      <x:c r="CN694" s="6" t="str">
        <x:v>28243.66284066542</x:v>
      </x:c>
      <x:c r="CO694" s="6" t="str">
        <x:v>STOP</x:v>
      </x:c>
      <x:c r="CP694" s="6" t="str">
        <x:v>F::Long::Same-bar Setup+BOS::Penetration without same-bar reclaim</x:v>
      </x:c>
    </x:row>
    <x:row r="695" ht="18" customHeight="1">
      <x:c r="A695" s="6" t="str">
        <x:v>A0694</x:v>
      </x:c>
      <x:c r="B695" s="6" t="str">
        <x:v>2026-06-17</x:v>
      </x:c>
      <x:c r="C695" s="6" t="str">
        <x:v>2026</x:v>
      </x:c>
      <x:c r="D695" s="6" t="str">
        <x:v>2026-Q2</x:v>
      </x:c>
      <x:c r="E695" s="6" t="str">
        <x:v>Second 50%</x:v>
      </x:c>
      <x:c r="F695" s="6" t="str">
        <x:v>Short</x:v>
      </x:c>
      <x:c r="G695" s="6" t="str">
        <x:v>Short</x:v>
      </x:c>
      <x:c r="H695" s="6" t="str">
        <x:v>Midday</x:v>
      </x:c>
      <x:c r="I695" s="6" t="str">
        <x:v>Midday</x:v>
      </x:c>
      <x:c r="J695" s="6" t="str">
        <x:v>Bear</x:v>
      </x:c>
      <x:c r="K695" s="6" t="str">
        <x:v>Bear</x:v>
      </x:c>
      <x:c r="L695" s="6" t="str">
        <x:v>HIGH</x:v>
      </x:c>
      <x:c r="M695" s="7" t="str">
        <x:v>2026-06-17 13:00:00-05:00</x:v>
      </x:c>
      <x:c r="N695" s="6" t="str">
        <x:v>100.0</x:v>
      </x:c>
      <x:c r="O695" s="6" t="str">
        <x:v>95+</x:v>
      </x:c>
      <x:c r="P695" s="6" t="str">
        <x:v>Matching BOS only</x:v>
      </x:c>
      <x:c r="Q695" s="6" t="str">
        <x:v>Bear CHoCH</x:v>
      </x:c>
      <x:c r="R695" s="6" t="str">
        <x:v>True</x:v>
      </x:c>
      <x:c r="S695" s="6" t="str">
        <x:v>False</x:v>
      </x:c>
      <x:c r="T695" s="6" t="str">
        <x:v>Recent BSL</x:v>
      </x:c>
      <x:c r="U695" s="6" t="str">
        <x:v>BSL</x:v>
      </x:c>
      <x:c r="V695" s="6" t="str">
        <x:v>Swing high / buy-side</x:v>
      </x:c>
      <x:c r="W695" s="6" t="str">
        <x:v>[27776.0]</x:v>
      </x:c>
      <x:c r="X695" s="8" t="str">
        <x:v>1</x:v>
      </x:c>
      <x:c r="Y695" s="8" t="str">
        <x:v>1.0</x:v>
      </x:c>
      <x:c r="Z695" s="6" t="str">
        <x:v>None</x:v>
      </x:c>
      <x:c r="AA695" s="6" t="str">
        <x:v>27630.25</x:v>
      </x:c>
      <x:c r="AB695" s="9" t="str">
        <x:v>2.5308085072769013</x:v>
      </x:c>
      <x:c r="AC695" s="9" t="str">
        <x:v>4.883867922069472</x:v>
      </x:c>
      <x:c r="AD695" s="9" t="str">
        <x:v>5.108170348299699</x:v>
      </x:c>
      <x:c r="AE695" s="6" t="str">
        <x:v>With trade</x:v>
      </x:c>
      <x:c r="AF695" s="7" t="str">
        <x:v>2026-06-17 13:00:00-05:00</x:v>
      </x:c>
      <x:c r="AG695" s="6" t="str">
        <x:v>Short</x:v>
      </x:c>
      <x:c r="AH695" s="6" t="str">
        <x:v>27630.25</x:v>
      </x:c>
      <x:c r="AI695" s="8" t="str">
        <x:v>0</x:v>
      </x:c>
      <x:c r="AJ695" s="6" t="str">
        <x:v>True</x:v>
      </x:c>
      <x:c r="AK695" s="6" t="str">
        <x:v>Same-bar Setup+BOS</x:v>
      </x:c>
      <x:c r="AL695" s="9" t="str">
        <x:v>4.905028528317606</x:v>
      </x:c>
      <x:c r="AM695" s="9" t="str">
        <x:v>2.5308085072769013</x:v>
      </x:c>
      <x:c r="AN695" s="9" t="str">
        <x:v>4.883867922069472</x:v>
      </x:c>
      <x:c r="AO695" s="9" t="str">
        <x:v>5.108170348299699</x:v>
      </x:c>
      <x:c r="AP695" s="10" t="str">
        <x:v>0.956089478044739</x:v>
      </x:c>
      <x:c r="AQ695" s="6" t="str">
        <x:v>0.020712510356255178</x:v>
      </x:c>
      <x:c r="AR695" s="6" t="str">
        <x:v>0.0231980115990058</x:v>
      </x:c>
      <x:c r="AS695" s="6" t="str">
        <x:v>With trade</x:v>
      </x:c>
      <x:c r="AT695" s="6" t="str">
        <x:v>5.724282715185445</x:v>
      </x:c>
      <x:c r="AU695" s="7" t="str">
        <x:v>2026-06-17 13:15:00-05:00</x:v>
      </x:c>
      <x:c r="AV695" s="8" t="str">
        <x:v>3</x:v>
      </x:c>
      <x:c r="AW695" s="6" t="str">
        <x:v>Delayed retest (2+ bars)</x:v>
      </x:c>
      <x:c r="AX695" s="6" t="str">
        <x:v>27645.25</x:v>
      </x:c>
      <x:c r="AY695" s="6" t="str">
        <x:v>15.0</x:v>
      </x:c>
      <x:c r="AZ695" s="9" t="str">
        <x:v>0.21063943757642464</x:v>
      </x:c>
      <x:c r="BA695" s="9" t="str">
        <x:v>0.056170516687046576</x:v>
      </x:c>
      <x:c r="BB695" s="9" t="str">
        <x:v>1.2287300525291438</x:v>
      </x:c>
      <x:c r="BC695" s="9" t="str">
        <x:v>0.9443668118009705</x:v>
      </x:c>
      <x:c r="BD695" s="6" t="str">
        <x:v>0.21714285714285714</x:v>
      </x:c>
      <x:c r="BE695" s="6" t="str">
        <x:v>0.014285714285714285</x:v>
      </x:c>
      <x:c r="BF695" s="9" t="str">
        <x:v>0.2668099542634712</x:v>
      </x:c>
      <x:c r="BG695" s="9" t="str">
        <x:v>0.017553286464702052</x:v>
      </x:c>
      <x:c r="BH695" s="6" t="str">
        <x:v>Against trade</x:v>
      </x:c>
      <x:c r="BI695" s="6" t="str">
        <x:v>Penetration + same-bar reclaim</x:v>
      </x:c>
      <x:c r="BJ695" s="6" t="str">
        <x:v>False</x:v>
      </x:c>
      <x:c r="BK695" s="10" t="str">
        <x:v>True</x:v>
      </x:c>
      <x:c r="BL695" s="6" t="str">
        <x:v>True</x:v>
      </x:c>
      <x:c r="BM695" s="7" t="str">
        <x:v>2026-06-17 13:20:00-05:00</x:v>
      </x:c>
      <x:c r="BN695" s="8" t="str">
        <x:v>1</x:v>
      </x:c>
      <x:c r="BO695" s="6" t="str">
        <x:v>Immediate confirmation (1 bar)</x:v>
      </x:c>
      <x:c r="BP695" s="9" t="str">
        <x:v>1.1942937984716313</x:v>
      </x:c>
      <x:c r="BQ695" s="9" t="str">
        <x:v>1.4717218196463446</x:v>
      </x:c>
      <x:c r="BR695" s="10" t="str">
        <x:v>0.8114942528735632</x:v>
      </x:c>
      <x:c r="BS695" s="9" t="str">
        <x:v>1.2484260952862096</x:v>
      </x:c>
      <x:c r="BT695" s="9" t="str">
        <x:v>1.1942937984716313</x:v>
      </x:c>
      <x:c r="BU695" s="9" t="str">
        <x:v>0.0811984452218673</x:v>
      </x:c>
      <x:c r="BV695" s="6" t="str">
        <x:v>With trade</x:v>
      </x:c>
      <x:c r="BW695" s="7" t="str">
        <x:v>2026-06-17 13:20:00-05:00</x:v>
      </x:c>
      <x:c r="BX695" s="6" t="str">
        <x:v>27538.0</x:v>
      </x:c>
      <x:c r="BY695" s="9" t="str">
        <x:v>73.89304048378699</x:v>
      </x:c>
      <x:c r="BZ695" s="9" t="str">
        <x:v>1.0</x:v>
      </x:c>
      <x:c r="CA695" s="6" t="str">
        <x:v>27648.83956072568</x:v>
      </x:c>
      <x:c r="CB695" s="6" t="str">
        <x:v>110.8395607256789</x:v>
      </x:c>
      <x:c r="CC695" s="9" t="str">
        <x:v>1.4999999999999785</x:v>
      </x:c>
      <x:c r="CD695" s="6" t="str">
        <x:v>27316.32087854864</x:v>
      </x:c>
      <x:c r="CE695" s="6" t="str">
        <x:v>221.67912145136142</x:v>
      </x:c>
      <x:c r="CF695" s="6" t="str">
        <x:v>Fixed 2.00R target</x:v>
      </x:c>
      <x:c r="CG695" s="9" t="str">
        <x:v>0.006540985865094959</x:v>
      </x:c>
      <x:c r="CH695" s="9" t="str">
        <x:v>-1.0</x:v>
      </x:c>
      <x:c r="CI695" s="9" t="str">
        <x:v>-1.0065409858650949</x:v>
      </x:c>
      <x:c r="CJ695" s="6" t="str">
        <x:v>Loss</x:v>
      </x:c>
      <x:c r="CK695" s="9" t="str">
        <x:v>0.5007237455348554</x:v>
      </x:c>
      <x:c r="CL695" s="9" t="str">
        <x:v>1.4863826500336477</x:v>
      </x:c>
      <x:c r="CM695" s="7" t="str">
        <x:v>2026-06-17 13:35:00-05:00</x:v>
      </x:c>
      <x:c r="CN695" s="6" t="str">
        <x:v>27648.83956072568</x:v>
      </x:c>
      <x:c r="CO695" s="6" t="str">
        <x:v>STOP</x:v>
      </x:c>
      <x:c r="CP695" s="6" t="str">
        <x:v>F::Short::Same-bar Setup+BOS::Penetration + same-bar reclaim</x:v>
      </x:c>
    </x:row>
    <x:row r="696" ht="18" customHeight="1">
      <x:c r="A696" s="6" t="str">
        <x:v>A0695</x:v>
      </x:c>
      <x:c r="B696" s="6" t="str">
        <x:v>2026-06-17</x:v>
      </x:c>
      <x:c r="C696" s="6" t="str">
        <x:v>2026</x:v>
      </x:c>
      <x:c r="D696" s="6" t="str">
        <x:v>2026-Q2</x:v>
      </x:c>
      <x:c r="E696" s="6" t="str">
        <x:v>Second 50%</x:v>
      </x:c>
      <x:c r="F696" s="6" t="str">
        <x:v>Short</x:v>
      </x:c>
      <x:c r="G696" s="6" t="str">
        <x:v>Short</x:v>
      </x:c>
      <x:c r="H696" s="6" t="str">
        <x:v>Afternoon</x:v>
      </x:c>
      <x:c r="I696" s="6" t="str">
        <x:v>Afternoon</x:v>
      </x:c>
      <x:c r="J696" s="6" t="str">
        <x:v>Bear</x:v>
      </x:c>
      <x:c r="K696" s="6" t="str">
        <x:v>Bear</x:v>
      </x:c>
      <x:c r="L696" s="6" t="str">
        <x:v>HIGH</x:v>
      </x:c>
      <x:c r="M696" s="7" t="str">
        <x:v>2026-06-17 14:30:00-05:00</x:v>
      </x:c>
      <x:c r="N696" s="6" t="str">
        <x:v>85.0</x:v>
      </x:c>
      <x:c r="O696" s="6" t="str">
        <x:v>85-89</x:v>
      </x:c>
      <x:c r="P696" s="6" t="str">
        <x:v>Matching BOS only</x:v>
      </x:c>
      <x:c r="Q696" s="6" t="str">
        <x:v>Bear CHoCH</x:v>
      </x:c>
      <x:c r="R696" s="6" t="str">
        <x:v>True</x:v>
      </x:c>
      <x:c r="S696" s="6" t="str">
        <x:v>False</x:v>
      </x:c>
      <x:c r="T696" s="6" t="str">
        <x:v>Recent BSL</x:v>
      </x:c>
      <x:c r="U696" s="6" t="str">
        <x:v>BSL</x:v>
      </x:c>
      <x:c r="V696" s="6" t="str">
        <x:v>Swing high / buy-side</x:v>
      </x:c>
      <x:c r="W696" s="6" t="str">
        <x:v>[27776.0]</x:v>
      </x:c>
      <x:c r="X696" s="8" t="str">
        <x:v>1</x:v>
      </x:c>
      <x:c r="Y696" s="8" t="str">
        <x:v>19.0</x:v>
      </x:c>
      <x:c r="Z696" s="6" t="str">
        <x:v>None</x:v>
      </x:c>
      <x:c r="AA696" s="6" t="str">
        <x:v>27374.0</x:v>
      </x:c>
      <x:c r="AB696" s="9" t="str">
        <x:v>0.09572961382386881</x:v>
      </x:c>
      <x:c r="AC696" s="9" t="str">
        <x:v>0.6485681336567112</x:v>
      </x:c>
      <x:c r="AD696" s="9" t="str">
        <x:v>1.0051609451506225</x:v>
      </x:c>
      <x:c r="AE696" s="6" t="str">
        <x:v>With trade</x:v>
      </x:c>
      <x:c r="AF696" s="7" t="str">
        <x:v>2026-06-17 14:30:00-05:00</x:v>
      </x:c>
      <x:c r="AG696" s="6" t="str">
        <x:v>Short</x:v>
      </x:c>
      <x:c r="AH696" s="6" t="str">
        <x:v>27374.0</x:v>
      </x:c>
      <x:c r="AI696" s="8" t="str">
        <x:v>0</x:v>
      </x:c>
      <x:c r="AJ696" s="6" t="str">
        <x:v>True</x:v>
      </x:c>
      <x:c r="AK696" s="6" t="str">
        <x:v>Same-bar Setup+BOS</x:v>
      </x:c>
      <x:c r="AL696" s="9" t="str">
        <x:v>0.6581410950390981</x:v>
      </x:c>
      <x:c r="AM696" s="9" t="str">
        <x:v>0.09572961382386881</x:v>
      </x:c>
      <x:c r="AN696" s="9" t="str">
        <x:v>0.6485681336567112</x:v>
      </x:c>
      <x:c r="AO696" s="9" t="str">
        <x:v>1.0051609451506225</x:v>
      </x:c>
      <x:c r="AP696" s="10" t="str">
        <x:v>0.6452380952380953</x:v>
      </x:c>
      <x:c r="AQ696" s="6" t="str">
        <x:v>0.3333333333333333</x:v>
      </x:c>
      <x:c r="AR696" s="6" t="str">
        <x:v>0.02142857142857143</x:v>
      </x:c>
      <x:c r="AS696" s="6" t="str">
        <x:v>With trade</x:v>
      </x:c>
      <x:c r="AT696" s="6" t="str">
        <x:v>1.1285647631031996</x:v>
      </x:c>
      <x:c r="AU696" s="7" t="str">
        <x:v>2026-06-17 14:35:00-05:00</x:v>
      </x:c>
      <x:c r="AV696" s="8" t="str">
        <x:v>1</x:v>
      </x:c>
      <x:c r="AW696" s="6" t="str">
        <x:v>Immediate retest (1 bar)</x:v>
      </x:c>
      <x:c r="AX696" s="6" t="str">
        <x:v>27425.75</x:v>
      </x:c>
      <x:c r="AY696" s="6" t="str">
        <x:v>51.75</x:v>
      </x:c>
      <x:c r="AZ696" s="9" t="str">
        <x:v>0.46901051675449235</x:v>
      </x:c>
      <x:c r="BA696" s="9" t="str">
        <x:v>0.9674758002616823</x:v>
      </x:c>
      <x:c r="BB696" s="9" t="str">
        <x:v>1.692516212635777</x:v>
      </x:c>
      <x:c r="BC696" s="9" t="str">
        <x:v>0.8791115000035895</x:v>
      </x:c>
      <x:c r="BD696" s="6" t="str">
        <x:v>0.3293172690763052</x:v>
      </x:c>
      <x:c r="BE696" s="6" t="str">
        <x:v>0.15127175368139223</x:v>
      </x:c>
      <x:c r="BF696" s="9" t="str">
        <x:v>0.5573748170125852</x:v>
      </x:c>
      <x:c r="BG696" s="9" t="str">
        <x:v>0.2560298956196021</x:v>
      </x:c>
      <x:c r="BH696" s="6" t="str">
        <x:v>With trade</x:v>
      </x:c>
      <x:c r="BI696" s="6" t="str">
        <x:v>Penetration + same-bar reclaim</x:v>
      </x:c>
      <x:c r="BJ696" s="6" t="str">
        <x:v>False</x:v>
      </x:c>
      <x:c r="BK696" s="10" t="str">
        <x:v>True</x:v>
      </x:c>
      <x:c r="BL696" s="6" t="str">
        <x:v>True</x:v>
      </x:c>
      <x:c r="BM696" s="7" t="str">
        <x:v>2026-06-17 14:40:00-05:00</x:v>
      </x:c>
      <x:c r="BN696" s="8" t="str">
        <x:v>1</x:v>
      </x:c>
      <x:c r="BO696" s="6" t="str">
        <x:v>Immediate confirmation (1 bar)</x:v>
      </x:c>
      <x:c r="BP696" s="9" t="str">
        <x:v>0.021092768763280572</x:v>
      </x:c>
      <x:c r="BQ696" s="9" t="str">
        <x:v>0.5530992697926905</x:v>
      </x:c>
      <x:c r="BR696" s="10" t="str">
        <x:v>0.038135593220338986</x:v>
      </x:c>
      <x:c r="BS696" s="9" t="str">
        <x:v>1.0312020284270502</x:v>
      </x:c>
      <x:c r="BT696" s="9" t="str">
        <x:v>0.030467332658071937</x:v>
      </x:c>
      <x:c r="BU696" s="9" t="str">
        <x:v>0.2624877890541582</x:v>
      </x:c>
      <x:c r="BV696" s="6" t="str">
        <x:v>With trade</x:v>
      </x:c>
      <x:c r="BW696" s="7" t="str">
        <x:v>2026-06-17 14:40:00-05:00</x:v>
      </x:c>
      <x:c r="BX696" s="6" t="str">
        <x:v>27264.0</x:v>
      </x:c>
      <x:c r="BY696" s="9" t="str">
        <x:v>106.67162880564648</x:v>
      </x:c>
      <x:c r="BZ696" s="9" t="str">
        <x:v>0.99</x:v>
      </x:c>
      <x:c r="CA696" s="6" t="str">
        <x:v>27424.00744320847</x:v>
      </x:c>
      <x:c r="CB696" s="6" t="str">
        <x:v>160.00744320846934</x:v>
      </x:c>
      <x:c r="CC696" s="9" t="str">
        <x:v>1.4999999999999964</x:v>
      </x:c>
      <x:c r="CD696" s="6" t="str">
        <x:v>26943.98511358306</x:v>
      </x:c>
      <x:c r="CE696" s="6" t="str">
        <x:v>320.0148864169387</x:v>
      </x:c>
      <x:c r="CF696" s="6" t="str">
        <x:v>Fixed 2.00R target</x:v>
      </x:c>
      <x:c r="CG696" s="9" t="str">
        <x:v>0.004531039215815837</x:v>
      </x:c>
      <x:c r="CH696" s="9" t="str">
        <x:v>-1.0</x:v>
      </x:c>
      <x:c r="CI696" s="9" t="str">
        <x:v>-1.0045310392158158</x:v>
      </x:c>
      <x:c r="CJ696" s="6" t="str">
        <x:v>Loss</x:v>
      </x:c>
      <x:c r="CK696" s="9" t="str">
        <x:v>0.2328016700539861</x:v>
      </x:c>
      <x:c r="CL696" s="9" t="str">
        <x:v>1.076512420585211</x:v>
      </x:c>
      <x:c r="CM696" s="7" t="str">
        <x:v>2026-06-17 15:20:00-05:00</x:v>
      </x:c>
      <x:c r="CN696" s="6" t="str">
        <x:v>27424.00744320847</x:v>
      </x:c>
      <x:c r="CO696" s="6" t="str">
        <x:v>STOP</x:v>
      </x:c>
      <x:c r="CP696" s="6" t="str">
        <x:v>F::Short::Same-bar Setup+BOS::Penetration + same-bar reclaim</x:v>
      </x:c>
    </x:row>
    <x:row r="697" ht="18" customHeight="1">
      <x:c r="A697" s="6" t="str">
        <x:v>A0696</x:v>
      </x:c>
      <x:c r="B697" s="6" t="str">
        <x:v>2026-06-18</x:v>
      </x:c>
      <x:c r="C697" s="6" t="str">
        <x:v>2026</x:v>
      </x:c>
      <x:c r="D697" s="6" t="str">
        <x:v>2026-Q2</x:v>
      </x:c>
      <x:c r="E697" s="6" t="str">
        <x:v>Second 50%</x:v>
      </x:c>
      <x:c r="F697" s="6" t="str">
        <x:v>Long</x:v>
      </x:c>
      <x:c r="G697" s="6" t="str">
        <x:v>Long</x:v>
      </x:c>
      <x:c r="H697" s="6" t="str">
        <x:v>Afternoon</x:v>
      </x:c>
      <x:c r="I697" s="6" t="str">
        <x:v>Afternoon</x:v>
      </x:c>
      <x:c r="J697" s="6" t="str">
        <x:v>Bull</x:v>
      </x:c>
      <x:c r="K697" s="6" t="str">
        <x:v>Bull</x:v>
      </x:c>
      <x:c r="L697" s="6" t="str">
        <x:v>MID</x:v>
      </x:c>
      <x:c r="M697" s="7" t="str">
        <x:v>2026-06-18 14:35:00-05:00</x:v>
      </x:c>
      <x:c r="N697" s="6" t="str">
        <x:v>100.0</x:v>
      </x:c>
      <x:c r="O697" s="6" t="str">
        <x:v>95+</x:v>
      </x:c>
      <x:c r="P697" s="6" t="str">
        <x:v>Matching BOS only</x:v>
      </x:c>
      <x:c r="Q697" s="6" t="str">
        <x:v>Bull BOS</x:v>
      </x:c>
      <x:c r="R697" s="6" t="str">
        <x:v>True</x:v>
      </x:c>
      <x:c r="S697" s="6" t="str">
        <x:v>False</x:v>
      </x:c>
      <x:c r="T697" s="6" t="str">
        <x:v>Recent SSL</x:v>
      </x:c>
      <x:c r="U697" s="6" t="str">
        <x:v>SSL</x:v>
      </x:c>
      <x:c r="V697" s="6" t="str">
        <x:v>Swing low / sell-side</x:v>
      </x:c>
      <x:c r="W697" s="6" t="str">
        <x:v>[27953.75]</x:v>
      </x:c>
      <x:c r="X697" s="8" t="str">
        <x:v>1</x:v>
      </x:c>
      <x:c r="Y697" s="8" t="str">
        <x:v>5.0</x:v>
      </x:c>
      <x:c r="Z697" s="6" t="str">
        <x:v>None</x:v>
      </x:c>
      <x:c r="AA697" s="6" t="str">
        <x:v>28022.25</x:v>
      </x:c>
      <x:c r="AB697" s="9" t="str">
        <x:v>0.0693144133621249</x:v>
      </x:c>
      <x:c r="AC697" s="9" t="str">
        <x:v>1.299645250539842</x:v>
      </x:c>
      <x:c r="AD697" s="9" t="str">
        <x:v>1.4036168705830292</x:v>
      </x:c>
      <x:c r="AE697" s="6" t="str">
        <x:v>With trade</x:v>
      </x:c>
      <x:c r="AF697" s="7" t="str">
        <x:v>2026-06-18 14:35:00-05:00</x:v>
      </x:c>
      <x:c r="AG697" s="6" t="str">
        <x:v>Long</x:v>
      </x:c>
      <x:c r="AH697" s="6" t="str">
        <x:v>28022.25</x:v>
      </x:c>
      <x:c r="AI697" s="8" t="str">
        <x:v>0</x:v>
      </x:c>
      <x:c r="AJ697" s="6" t="str">
        <x:v>True</x:v>
      </x:c>
      <x:c r="AK697" s="6" t="str">
        <x:v>Same-bar Setup+BOS</x:v>
      </x:c>
      <x:c r="AL697" s="9" t="str">
        <x:v>1.3083095522101076</x:v>
      </x:c>
      <x:c r="AM697" s="9" t="str">
        <x:v>0.0693144133621249</x:v>
      </x:c>
      <x:c r="AN697" s="9" t="str">
        <x:v>1.299645250539842</x:v>
      </x:c>
      <x:c r="AO697" s="9" t="str">
        <x:v>1.4036168705830292</x:v>
      </x:c>
      <x:c r="AP697" s="10" t="str">
        <x:v>0.9259259259259259</x:v>
      </x:c>
      <x:c r="AQ697" s="6" t="str">
        <x:v>0.024691358024691357</x:v>
      </x:c>
      <x:c r="AR697" s="6" t="str">
        <x:v>0.04938271604938271</x:v>
      </x:c>
      <x:c r="AS697" s="6" t="str">
        <x:v>With trade</x:v>
      </x:c>
      <x:c r="AT697" s="6" t="str">
        <x:v>1.235753333467815</x:v>
      </x:c>
      <x:c r="AU697" s="7" t="str">
        <x:v>2026-06-18 14:40:00-05:00</x:v>
      </x:c>
      <x:c r="AV697" s="8" t="str">
        <x:v>1</x:v>
      </x:c>
      <x:c r="AW697" s="6" t="str">
        <x:v>Immediate retest (1 bar)</x:v>
      </x:c>
      <x:c r="AX697" s="6" t="str">
        <x:v>28015.75</x:v>
      </x:c>
      <x:c r="AY697" s="6" t="str">
        <x:v>6.5</x:v>
      </x:c>
      <x:c r="AZ697" s="9" t="str">
        <x:v>0.22068504739180628</x:v>
      </x:c>
      <x:c r="BA697" s="9" t="str">
        <x:v>0.9676190539486891</x:v>
      </x:c>
      <x:c r="BB697" s="9" t="str">
        <x:v>1.264695079283813</x:v>
      </x:c>
      <x:c r="BC697" s="9" t="str">
        <x:v>0.8912280760053715</x:v>
      </x:c>
      <x:c r="BD697" s="6" t="str">
        <x:v>0.06040268456375839</x:v>
      </x:c>
      <x:c r="BE697" s="6" t="str">
        <x:v>0.2348993288590604</x:v>
      </x:c>
      <x:c r="BF697" s="9" t="str">
        <x:v>0.29707602533512384</x:v>
      </x:c>
      <x:c r="BG697" s="9" t="str">
        <x:v>0.07639097794331756</x:v>
      </x:c>
      <x:c r="BH697" s="6" t="str">
        <x:v>With trade</x:v>
      </x:c>
      <x:c r="BI697" s="6" t="str">
        <x:v>Penetration + same-bar reclaim</x:v>
      </x:c>
      <x:c r="BJ697" s="6" t="str">
        <x:v>False</x:v>
      </x:c>
      <x:c r="BK697" s="10" t="str">
        <x:v>True</x:v>
      </x:c>
      <x:c r="BL697" s="6" t="str">
        <x:v>True</x:v>
      </x:c>
      <x:c r="BM697" s="7" t="str">
        <x:v>2026-06-18 14:45:00-05:00</x:v>
      </x:c>
      <x:c r="BN697" s="8" t="str">
        <x:v>1</x:v>
      </x:c>
      <x:c r="BO697" s="6" t="str">
        <x:v>Immediate confirmation (1 bar)</x:v>
      </x:c>
      <x:c r="BP697" s="9" t="str">
        <x:v>0.5611240707483582</x:v>
      </x:c>
      <x:c r="BQ697" s="9" t="str">
        <x:v>1.3615510540217517</x:v>
      </x:c>
      <x:c r="BR697" s="10" t="str">
        <x:v>0.4121212121212121</x:v>
      </x:c>
      <x:c r="BS697" s="9" t="str">
        <x:v>1.5018320717088414</x:v>
      </x:c>
      <x:c r="BT697" s="9" t="str">
        <x:v>0.5611240707483582</x:v>
      </x:c>
      <x:c r="BU697" s="9" t="str">
        <x:v>0.16503649139657597</x:v>
      </x:c>
      <x:c r="BV697" s="6" t="str">
        <x:v>With trade</x:v>
      </x:c>
      <x:c r="BW697" s="7" t="str">
        <x:v>2026-06-18 14:45:00-05:00</x:v>
      </x:c>
      <x:c r="BX697" s="6" t="str">
        <x:v>28067.75</x:v>
      </x:c>
      <x:c r="BY697" s="9" t="str">
        <x:v>30.29632996732343</x:v>
      </x:c>
      <x:c r="BZ697" s="9" t="str">
        <x:v>0.42</x:v>
      </x:c>
      <x:c r="CA697" s="6" t="str">
        <x:v>28022.305505049015</x:v>
      </x:c>
      <x:c r="CB697" s="6" t="str">
        <x:v>45.444494950985245</x:v>
      </x:c>
      <x:c r="CC697" s="9" t="str">
        <x:v>1.5000000000000033</x:v>
      </x:c>
      <x:c r="CD697" s="6" t="str">
        <x:v>28158.63898990197</x:v>
      </x:c>
      <x:c r="CE697" s="6" t="str">
        <x:v>90.88898990197049</x:v>
      </x:c>
      <x:c r="CF697" s="6" t="str">
        <x:v>Fixed 2.00R target</x:v>
      </x:c>
      <x:c r="CG697" s="9" t="str">
        <x:v>0.015953527501668976</x:v>
      </x:c>
      <x:c r="CH697" s="9" t="str">
        <x:v>-1.0</x:v>
      </x:c>
      <x:c r="CI697" s="9" t="str">
        <x:v>-1.015953527501669</x:v>
      </x:c>
      <x:c r="CJ697" s="6" t="str">
        <x:v>Loss</x:v>
      </x:c>
      <x:c r="CK697" s="9" t="str">
        <x:v>0.20354500605577658</x:v>
      </x:c>
      <x:c r="CL697" s="9" t="str">
        <x:v>1.0397298957984262</x:v>
      </x:c>
      <x:c r="CM697" s="7" t="str">
        <x:v>2026-06-18 14:50:00-05:00</x:v>
      </x:c>
      <x:c r="CN697" s="6" t="str">
        <x:v>28022.305505049015</x:v>
      </x:c>
      <x:c r="CO697" s="6" t="str">
        <x:v>STOP</x:v>
      </x:c>
      <x:c r="CP697" s="6" t="str">
        <x:v>F::Long::Same-bar Setup+BOS::Penetration + same-bar reclaim</x:v>
      </x:c>
    </x:row>
    <x:row r="698" ht="18" customHeight="1">
      <x:c r="A698" s="6" t="str">
        <x:v>A0697</x:v>
      </x:c>
      <x:c r="B698" s="6" t="str">
        <x:v>2026-06-19</x:v>
      </x:c>
      <x:c r="C698" s="6" t="str">
        <x:v>2026</x:v>
      </x:c>
      <x:c r="D698" s="6" t="str">
        <x:v>2026-Q2</x:v>
      </x:c>
      <x:c r="E698" s="6" t="str">
        <x:v>Second 50%</x:v>
      </x:c>
      <x:c r="F698" s="6" t="str">
        <x:v>Short</x:v>
      </x:c>
      <x:c r="G698" s="6" t="str">
        <x:v>Short</x:v>
      </x:c>
      <x:c r="H698" s="6" t="str">
        <x:v>Premarket</x:v>
      </x:c>
      <x:c r="I698" s="6" t="str">
        <x:v>Premarket</x:v>
      </x:c>
      <x:c r="J698" s="6" t="str">
        <x:v>Bull</x:v>
      </x:c>
      <x:c r="K698" s="6" t="str">
        <x:v>Bull</x:v>
      </x:c>
      <x:c r="L698" s="6" t="str">
        <x:v>MID</x:v>
      </x:c>
      <x:c r="M698" s="7" t="str">
        <x:v>2026-06-19 05:15:00-05:00</x:v>
      </x:c>
      <x:c r="N698" s="6" t="str">
        <x:v>75.0</x:v>
      </x:c>
      <x:c r="O698" s="6" t="str">
        <x:v>75-79</x:v>
      </x:c>
      <x:c r="P698" s="6" t="str">
        <x:v>Matching BOS only</x:v>
      </x:c>
      <x:c r="Q698" s="6" t="str">
        <x:v>Bear CHoCH</x:v>
      </x:c>
      <x:c r="R698" s="6" t="str">
        <x:v>True</x:v>
      </x:c>
      <x:c r="S698" s="6" t="str">
        <x:v>False</x:v>
      </x:c>
      <x:c r="T698" s="6" t="str">
        <x:v>Recent BSL</x:v>
      </x:c>
      <x:c r="U698" s="6" t="str">
        <x:v>BSL</x:v>
      </x:c>
      <x:c r="V698" s="6" t="str">
        <x:v>Swing high / buy-side</x:v>
      </x:c>
      <x:c r="W698" s="6" t="str">
        <x:v>[27968.5]</x:v>
      </x:c>
      <x:c r="X698" s="8" t="str">
        <x:v>1</x:v>
      </x:c>
      <x:c r="Y698" s="8" t="str">
        <x:v>15.0</x:v>
      </x:c>
      <x:c r="Z698" s="6" t="str">
        <x:v>None</x:v>
      </x:c>
      <x:c r="AA698" s="6" t="str">
        <x:v>27914.0</x:v>
      </x:c>
      <x:c r="AB698" s="9" t="str">
        <x:v>0.10331666457305569</x:v>
      </x:c>
      <x:c r="AC698" s="9" t="str">
        <x:v>0.27120624450427117</x:v>
      </x:c>
      <x:c r="AD698" s="9" t="str">
        <x:v>0.7619604012262857</x:v>
      </x:c>
      <x:c r="AE698" s="6" t="str">
        <x:v>With trade</x:v>
      </x:c>
      <x:c r="AF698" s="7" t="str">
        <x:v>2026-06-19 05:15:00-05:00</x:v>
      </x:c>
      <x:c r="AG698" s="6" t="str">
        <x:v>Short</x:v>
      </x:c>
      <x:c r="AH698" s="6" t="str">
        <x:v>27914.0</x:v>
      </x:c>
      <x:c r="AI698" s="8" t="str">
        <x:v>0</x:v>
      </x:c>
      <x:c r="AJ698" s="6" t="str">
        <x:v>True</x:v>
      </x:c>
      <x:c r="AK698" s="6" t="str">
        <x:v>Same-bar Setup+BOS</x:v>
      </x:c>
      <x:c r="AL698" s="9" t="str">
        <x:v>0.2841208275759031</x:v>
      </x:c>
      <x:c r="AM698" s="9" t="str">
        <x:v>0.10331666457305569</x:v>
      </x:c>
      <x:c r="AN698" s="9" t="str">
        <x:v>0.27120624450427117</x:v>
      </x:c>
      <x:c r="AO698" s="9" t="str">
        <x:v>0.7619604012262857</x:v>
      </x:c>
      <x:c r="AP698" s="10" t="str">
        <x:v>0.3559322033898305</x:v>
      </x:c>
      <x:c r="AQ698" s="6" t="str">
        <x:v>0.23728813559322035</x:v>
      </x:c>
      <x:c r="AR698" s="6" t="str">
        <x:v>0.4067796610169492</x:v>
      </x:c>
      <x:c r="AS698" s="6" t="str">
        <x:v>With trade</x:v>
      </x:c>
      <x:c r="AT698" s="6" t="str">
        <x:v>0.9400886149104218</x:v>
      </x:c>
      <x:c r="AU698" s="7" t="str">
        <x:v>2026-06-19 05:20:00-05:00</x:v>
      </x:c>
      <x:c r="AV698" s="8" t="str">
        <x:v>1</x:v>
      </x:c>
      <x:c r="AW698" s="6" t="str">
        <x:v>Immediate retest (1 bar)</x:v>
      </x:c>
      <x:c r="AX698" s="6" t="str">
        <x:v>27914.25</x:v>
      </x:c>
      <x:c r="AY698" s="6" t="str">
        <x:v>0.25</x:v>
      </x:c>
      <x:c r="AZ698" s="9" t="str">
        <x:v>0.012415596222886618</x:v>
      </x:c>
      <x:c r="BA698" s="9" t="str">
        <x:v>1.3781311807404146</x:v>
      </x:c>
      <x:c r="BB698" s="9" t="str">
        <x:v>1.5022871429692808</x:v>
      </x:c>
      <x:c r="BC698" s="9" t="str">
        <x:v>1.2663908147344352</x:v>
      </x:c>
      <x:c r="BD698" s="6" t="str">
        <x:v>0.08264462809917356</x:v>
      </x:c>
      <x:c r="BE698" s="6" t="str">
        <x:v>0.0743801652892562</x:v>
      </x:c>
      <x:c r="BF698" s="9" t="str">
        <x:v>0.12415596222886618</x:v>
      </x:c>
      <x:c r="BG698" s="9" t="str">
        <x:v>0.11174036600597957</x:v>
      </x:c>
      <x:c r="BH698" s="6" t="str">
        <x:v>With trade</x:v>
      </x:c>
      <x:c r="BI698" s="6" t="str">
        <x:v>Penetration + same-bar reclaim</x:v>
      </x:c>
      <x:c r="BJ698" s="6" t="str">
        <x:v>False</x:v>
      </x:c>
      <x:c r="BK698" s="10" t="str">
        <x:v>True</x:v>
      </x:c>
      <x:c r="BL698" s="6" t="str">
        <x:v>True</x:v>
      </x:c>
      <x:c r="BM698" s="7" t="str">
        <x:v>2026-06-19 05:25:00-05:00</x:v>
      </x:c>
      <x:c r="BN698" s="8" t="str">
        <x:v>1</x:v>
      </x:c>
      <x:c r="BO698" s="6" t="str">
        <x:v>Immediate confirmation (1 bar)</x:v>
      </x:c>
      <x:c r="BP698" s="9" t="str">
        <x:v>0.19980908706705244</x:v>
      </x:c>
      <x:c r="BQ698" s="9" t="str">
        <x:v>0.9241170276851176</x:v>
      </x:c>
      <x:c r="BR698" s="10" t="str">
        <x:v>0.21621621621621623</x:v>
      </x:c>
      <x:c r="BS698" s="9" t="str">
        <x:v>1.6109607644781103</x:v>
      </x:c>
      <x:c r="BT698" s="9" t="str">
        <x:v>0.22478522295043402</x:v>
      </x:c>
      <x:c r="BU698" s="9" t="str">
        <x:v>0.2372732908921248</x:v>
      </x:c>
      <x:c r="BV698" s="6" t="str">
        <x:v>With trade</x:v>
      </x:c>
      <x:c r="BW698" s="7" t="str">
        <x:v>2026-06-19 05:25:00-05:00</x:v>
      </x:c>
      <x:c r="BX698" s="6" t="str">
        <x:v>27881.75</x:v>
      </x:c>
      <x:c r="BY698" s="9" t="str">
        <x:v>20.019109534581226</x:v>
      </x:c>
      <x:c r="BZ698" s="9" t="str">
        <x:v>0.35</x:v>
      </x:c>
      <x:c r="CA698" s="6" t="str">
        <x:v>27911.778664301874</x:v>
      </x:c>
      <x:c r="CB698" s="6" t="str">
        <x:v>30.028664301873505</x:v>
      </x:c>
      <x:c r="CC698" s="9" t="str">
        <x:v>1.5000000000000833</x:v>
      </x:c>
      <x:c r="CD698" s="6" t="str">
        <x:v>27821.692671396257</x:v>
      </x:c>
      <x:c r="CE698" s="6" t="str">
        <x:v>60.05732860374337</x:v>
      </x:c>
      <x:c r="CF698" s="6" t="str">
        <x:v>Fixed 2.00R target</x:v>
      </x:c>
      <x:c r="CG698" s="9" t="str">
        <x:v>0.024143598020600832</x:v>
      </x:c>
      <x:c r="CH698" s="9" t="str">
        <x:v>0.5994272612011573</x:v>
      </x:c>
      <x:c r="CI698" s="9" t="str">
        <x:v>0.5752836631805565</x:v>
      </x:c>
      <x:c r="CJ698" s="6" t="str">
        <x:v>Win</x:v>
      </x:c>
      <x:c r="CK698" s="9" t="str">
        <x:v>1.406988988097083</x:v>
      </x:c>
      <x:c r="CL698" s="9" t="str">
        <x:v>0.4578958245286365</x:v>
      </x:c>
      <x:c r="CM698" s="7" t="str">
        <x:v>2026-06-19 06:25:00-05:00</x:v>
      </x:c>
      <x:c r="CN698" s="6" t="str">
        <x:v>27863.75</x:v>
      </x:c>
      <x:c r="CO698" s="6" t="str">
        <x:v>TIME</x:v>
      </x:c>
      <x:c r="CP698" s="6" t="str">
        <x:v>F::Short::Same-bar Setup+BOS::Penetration + same-bar reclaim</x:v>
      </x:c>
    </x:row>
    <x:row r="699" ht="18" customHeight="1">
      <x:c r="A699" s="6" t="str">
        <x:v>A0698</x:v>
      </x:c>
      <x:c r="B699" s="6" t="str">
        <x:v>2026-06-19</x:v>
      </x:c>
      <x:c r="C699" s="6" t="str">
        <x:v>2026</x:v>
      </x:c>
      <x:c r="D699" s="6" t="str">
        <x:v>2026-Q2</x:v>
      </x:c>
      <x:c r="E699" s="6" t="str">
        <x:v>Second 50%</x:v>
      </x:c>
      <x:c r="F699" s="6" t="str">
        <x:v>Long</x:v>
      </x:c>
      <x:c r="G699" s="6" t="str">
        <x:v>Long</x:v>
      </x:c>
      <x:c r="H699" s="6" t="str">
        <x:v>Premarket</x:v>
      </x:c>
      <x:c r="I699" s="6" t="str">
        <x:v>Premarket</x:v>
      </x:c>
      <x:c r="J699" s="6" t="str">
        <x:v>Bull</x:v>
      </x:c>
      <x:c r="K699" s="6" t="str">
        <x:v>Bull</x:v>
      </x:c>
      <x:c r="L699" s="6" t="str">
        <x:v>HIGH</x:v>
      </x:c>
      <x:c r="M699" s="7" t="str">
        <x:v>2026-06-19 08:45:00-05:00</x:v>
      </x:c>
      <x:c r="N699" s="6" t="str">
        <x:v>90.0</x:v>
      </x:c>
      <x:c r="O699" s="6" t="str">
        <x:v>90-94</x:v>
      </x:c>
      <x:c r="P699" s="6" t="str">
        <x:v>Matching BOS only</x:v>
      </x:c>
      <x:c r="Q699" s="6" t="str">
        <x:v>Bull BOS</x:v>
      </x:c>
      <x:c r="R699" s="6" t="str">
        <x:v>True</x:v>
      </x:c>
      <x:c r="S699" s="6" t="str">
        <x:v>False</x:v>
      </x:c>
      <x:c r="T699" s="6" t="str">
        <x:v>Recent SSL</x:v>
      </x:c>
      <x:c r="U699" s="6" t="str">
        <x:v>SSL</x:v>
      </x:c>
      <x:c r="V699" s="6" t="str">
        <x:v>Swing low / sell-side</x:v>
      </x:c>
      <x:c r="W699" s="6" t="str">
        <x:v>[27839.5]</x:v>
      </x:c>
      <x:c r="X699" s="8" t="str">
        <x:v>1</x:v>
      </x:c>
      <x:c r="Y699" s="8" t="str">
        <x:v>14.0</x:v>
      </x:c>
      <x:c r="Z699" s="6" t="str">
        <x:v>Both CRT sweeps</x:v>
      </x:c>
      <x:c r="AA699" s="6" t="str">
        <x:v>27973.75</x:v>
      </x:c>
      <x:c r="AB699" s="9" t="str">
        <x:v>0.017705215586245108</x:v>
      </x:c>
      <x:c r="AC699" s="9" t="str">
        <x:v>0.7436190546222946</x:v>
      </x:c>
      <x:c r="AD699" s="9" t="str">
        <x:v>1.3367437767615058</x:v>
      </x:c>
      <x:c r="AE699" s="6" t="str">
        <x:v>With trade</x:v>
      </x:c>
      <x:c r="AF699" s="7" t="str">
        <x:v>2026-06-19 08:45:00-05:00</x:v>
      </x:c>
      <x:c r="AG699" s="6" t="str">
        <x:v>Long</x:v>
      </x:c>
      <x:c r="AH699" s="6" t="str">
        <x:v>27973.75</x:v>
      </x:c>
      <x:c r="AI699" s="8" t="str">
        <x:v>0</x:v>
      </x:c>
      <x:c r="AJ699" s="6" t="str">
        <x:v>True</x:v>
      </x:c>
      <x:c r="AK699" s="6" t="str">
        <x:v>Same-bar Setup+BOS</x:v>
      </x:c>
      <x:c r="AL699" s="9" t="str">
        <x:v>0.7170612312429269</x:v>
      </x:c>
      <x:c r="AM699" s="9" t="str">
        <x:v>0.017705215586245108</x:v>
      </x:c>
      <x:c r="AN699" s="9" t="str">
        <x:v>0.7436190546222946</x:v>
      </x:c>
      <x:c r="AO699" s="9" t="str">
        <x:v>1.3367437767615058</x:v>
      </x:c>
      <x:c r="AP699" s="10" t="str">
        <x:v>0.5562913907284768</x:v>
      </x:c>
      <x:c r="AQ699" s="6" t="str">
        <x:v>0.25165562913907286</x:v>
      </x:c>
      <x:c r="AR699" s="6" t="str">
        <x:v>0.19205298013245034</x:v>
      </x:c>
      <x:c r="AS699" s="6" t="str">
        <x:v>With trade</x:v>
      </x:c>
      <x:c r="AT699" s="6" t="str">
        <x:v>1.9132222303795612</x:v>
      </x:c>
      <x:c r="AU699" s="7" t="str">
        <x:v>2026-06-19 08:50:00-05:00</x:v>
      </x:c>
      <x:c r="AV699" s="8" t="str">
        <x:v>1</x:v>
      </x:c>
      <x:c r="AW699" s="6" t="str">
        <x:v>Immediate retest (1 bar)</x:v>
      </x:c>
      <x:c r="AX699" s="6" t="str">
        <x:v>27967.75</x:v>
      </x:c>
      <x:c r="AY699" s="6" t="str">
        <x:v>6.0</x:v>
      </x:c>
      <x:c r="AZ699" s="9" t="str">
        <x:v>0.219536983109304</x:v>
      </x:c>
      <x:c r="BA699" s="9" t="str">
        <x:v>0.128063240147094</x:v>
      </x:c>
      <x:c r="BB699" s="9" t="str">
        <x:v>0.567137206365702</x:v>
      </x:c>
      <x:c r="BC699" s="9" t="str">
        <x:v>0.09147374296221</x:v>
      </x:c>
      <x:c r="BD699" s="6" t="str">
        <x:v>0.3870967741935484</x:v>
      </x:c>
      <x:c r="BE699" s="6" t="str">
        <x:v>0.45161290322580644</x:v>
      </x:c>
      <x:c r="BF699" s="9" t="str">
        <x:v>0.256126480294188</x:v>
      </x:c>
      <x:c r="BG699" s="9" t="str">
        <x:v>0.219536983109304</x:v>
      </x:c>
      <x:c r="BH699" s="6" t="str">
        <x:v>With trade</x:v>
      </x:c>
      <x:c r="BI699" s="6" t="str">
        <x:v>Penetration + same-bar reclaim</x:v>
      </x:c>
      <x:c r="BJ699" s="6" t="str">
        <x:v>False</x:v>
      </x:c>
      <x:c r="BK699" s="10" t="str">
        <x:v>True</x:v>
      </x:c>
      <x:c r="BL699" s="6" t="str">
        <x:v>True</x:v>
      </x:c>
      <x:c r="BM699" s="7" t="str">
        <x:v>2026-06-19 08:55:00-05:00</x:v>
      </x:c>
      <x:c r="BN699" s="8" t="str">
        <x:v>1</x:v>
      </x:c>
      <x:c r="BO699" s="6" t="str">
        <x:v>Immediate confirmation (1 bar)</x:v>
      </x:c>
      <x:c r="BP699" s="9" t="str">
        <x:v>0.4580633662800312</x:v>
      </x:c>
      <x:c r="BQ699" s="9" t="str">
        <x:v>0.9802556038392667</x:v>
      </x:c>
      <x:c r="BR699" s="10" t="str">
        <x:v>0.4672897196261682</x:v>
      </x:c>
      <x:c r="BS699" s="9" t="str">
        <x:v>0.44890209895443056</x:v>
      </x:c>
      <x:c r="BT699" s="9" t="str">
        <x:v>0.32064435639602185</x:v>
      </x:c>
      <x:c r="BU699" s="9" t="str">
        <x:v>0.02748380197680187</x:v>
      </x:c>
      <x:c r="BV699" s="6" t="str">
        <x:v>With trade</x:v>
      </x:c>
      <x:c r="BW699" s="7" t="str">
        <x:v>2026-06-19 08:55:00-05:00</x:v>
      </x:c>
      <x:c r="BX699" s="6" t="str">
        <x:v>27986.0</x:v>
      </x:c>
      <x:c r="BY699" s="9" t="str">
        <x:v>27.288800895634786</x:v>
      </x:c>
      <x:c r="BZ699" s="9" t="str">
        <x:v>0.85</x:v>
      </x:c>
      <x:c r="CA699" s="6" t="str">
        <x:v>27945.06679865655</x:v>
      </x:c>
      <x:c r="CB699" s="6" t="str">
        <x:v>40.93320134345049</x:v>
      </x:c>
      <x:c r="CC699" s="9" t="str">
        <x:v>1.499999999999938</x:v>
      </x:c>
      <x:c r="CD699" s="6" t="str">
        <x:v>28067.866402686905</x:v>
      </x:c>
      <x:c r="CE699" s="6" t="str">
        <x:v>81.86640268690462</x:v>
      </x:c>
      <x:c r="CF699" s="6" t="str">
        <x:v>Fixed 2.00R target</x:v>
      </x:c>
      <x:c r="CG699" s="9" t="str">
        <x:v>0.017711783496161936</x:v>
      </x:c>
      <x:c r="CH699" s="9" t="str">
        <x:v>0.22597792736481537</x:v>
      </x:c>
      <x:c r="CI699" s="9" t="str">
        <x:v>0.20826614386865344</x:v>
      </x:c>
      <x:c r="CJ699" s="6" t="str">
        <x:v>Win</x:v>
      </x:c>
      <x:c r="CK699" s="9" t="str">
        <x:v>0.36645069302404004</x:v>
      </x:c>
      <x:c r="CL699" s="9" t="str">
        <x:v>0.8367290824048914</x:v>
      </x:c>
      <x:c r="CM699" s="7" t="str">
        <x:v>2026-06-19 09:55:00-05:00</x:v>
      </x:c>
      <x:c r="CN699" s="6" t="str">
        <x:v>27995.25</x:v>
      </x:c>
      <x:c r="CO699" s="6" t="str">
        <x:v>TIME</x:v>
      </x:c>
      <x:c r="CP699" s="6" t="str">
        <x:v>F::Long::Same-bar Setup+BOS::Penetration + same-bar reclaim</x:v>
      </x:c>
    </x:row>
    <x:row r="700" ht="18" customHeight="1">
      <x:c r="A700" s="6" t="str">
        <x:v>A0699</x:v>
      </x:c>
      <x:c r="B700" s="6" t="str">
        <x:v>2026-06-21</x:v>
      </x:c>
      <x:c r="C700" s="6" t="str">
        <x:v>2026</x:v>
      </x:c>
      <x:c r="D700" s="6" t="str">
        <x:v>2026-Q2</x:v>
      </x:c>
      <x:c r="E700" s="6" t="str">
        <x:v>Second 50%</x:v>
      </x:c>
      <x:c r="F700" s="6" t="str">
        <x:v>Short</x:v>
      </x:c>
      <x:c r="G700" s="6" t="str">
        <x:v>Short</x:v>
      </x:c>
      <x:c r="H700" s="6" t="str">
        <x:v>After-hours</x:v>
      </x:c>
      <x:c r="I700" s="6" t="str">
        <x:v>Morning</x:v>
      </x:c>
      <x:c r="J700" s="6" t="str">
        <x:v>Bull</x:v>
      </x:c>
      <x:c r="K700" s="6" t="str">
        <x:v>Bull</x:v>
      </x:c>
      <x:c r="L700" s="6" t="str">
        <x:v>HIGH</x:v>
      </x:c>
      <x:c r="M700" s="7" t="str">
        <x:v>2026-06-19 11:50:00-05:00</x:v>
      </x:c>
      <x:c r="N700" s="6" t="str">
        <x:v>75.0</x:v>
      </x:c>
      <x:c r="O700" s="6" t="str">
        <x:v>75-79</x:v>
      </x:c>
      <x:c r="P700" s="6" t="str">
        <x:v>Matching BOS only</x:v>
      </x:c>
      <x:c r="Q700" s="6" t="str">
        <x:v>Bear CHoCH</x:v>
      </x:c>
      <x:c r="R700" s="6" t="str">
        <x:v>True</x:v>
      </x:c>
      <x:c r="S700" s="6" t="str">
        <x:v>False</x:v>
      </x:c>
      <x:c r="T700" s="6" t="str">
        <x:v>No recent matching sweep</x:v>
      </x:c>
      <x:c r="U700" s="6" t="str">
        <x:v>None</x:v>
      </x:c>
      <x:c r="V700" s="6" t="str">
        <x:v>None</x:v>
      </x:c>
      <x:c r="W700" s="6" t="str">
        <x:v>[]</x:v>
      </x:c>
      <x:c r="X700" s="8" t="str">
        <x:v>0</x:v>
      </x:c>
      <x:c r="Y700" s="8" t="str"/>
      <x:c r="Z700" s="6" t="str">
        <x:v>None</x:v>
      </x:c>
      <x:c r="AA700" s="6" t="str">
        <x:v>27962.25</x:v>
      </x:c>
      <x:c r="AB700" s="9" t="str">
        <x:v>0.12909950268949588</x:v>
      </x:c>
      <x:c r="AC700" s="9" t="str">
        <x:v>1.6065715890248375</x:v>
      </x:c>
      <x:c r="AD700" s="9" t="str">
        <x:v>1.8073930376529423</x:v>
      </x:c>
      <x:c r="AE700" s="6" t="str">
        <x:v>With trade</x:v>
      </x:c>
      <x:c r="AF700" s="7" t="str">
        <x:v>2026-06-19 11:50:00-05:00</x:v>
      </x:c>
      <x:c r="AG700" s="6" t="str">
        <x:v>Short</x:v>
      </x:c>
      <x:c r="AH700" s="6" t="str">
        <x:v>27962.25</x:v>
      </x:c>
      <x:c r="AI700" s="8" t="str">
        <x:v>0</x:v>
      </x:c>
      <x:c r="AJ700" s="6" t="str">
        <x:v>True</x:v>
      </x:c>
      <x:c r="AK700" s="6" t="str">
        <x:v>Same-bar Setup+BOS</x:v>
      </x:c>
      <x:c r="AL700" s="9" t="str">
        <x:v>1.6782935349634465</x:v>
      </x:c>
      <x:c r="AM700" s="9" t="str">
        <x:v>0.12909950268949588</x:v>
      </x:c>
      <x:c r="AN700" s="9" t="str">
        <x:v>1.6065715890248375</x:v>
      </x:c>
      <x:c r="AO700" s="9" t="str">
        <x:v>1.8073930376529423</x:v>
      </x:c>
      <x:c r="AP700" s="10" t="str">
        <x:v>0.8888888888888888</x:v>
      </x:c>
      <x:c r="AQ700" s="6" t="str">
        <x:v>0.03968253968253968</x:v>
      </x:c>
      <x:c r="AR700" s="6" t="str">
        <x:v>0.07142857142857142</x:v>
      </x:c>
      <x:c r="AS700" s="6" t="str">
        <x:v>With trade</x:v>
      </x:c>
      <x:c r="AT700" s="6" t="str">
        <x:v>0.9247027741083224</x:v>
      </x:c>
      <x:c r="AU700" s="7" t="str">
        <x:v>2026-06-19 11:55:00-05:00</x:v>
      </x:c>
      <x:c r="AV700" s="8" t="str">
        <x:v>1</x:v>
      </x:c>
      <x:c r="AW700" s="6" t="str">
        <x:v>Immediate retest (1 bar)</x:v>
      </x:c>
      <x:c r="AX700" s="6" t="str">
        <x:v>27974.0</x:v>
      </x:c>
      <x:c r="AY700" s="6" t="str">
        <x:v>11.75</x:v>
      </x:c>
      <x:c r="AZ700" s="9" t="str">
        <x:v>0.6405278746231058</x:v>
      </x:c>
      <x:c r="BA700" s="9" t="str">
        <x:v>0.6268996219715502</x:v>
      </x:c>
      <x:c r="BB700" s="9" t="str">
        <x:v>1.6490185708382084</x:v>
      </x:c>
      <x:c r="BC700" s="9" t="str">
        <x:v>0.6677843799262166</x:v>
      </x:c>
      <x:c r="BD700" s="6" t="str">
        <x:v>0.36363636363636365</x:v>
      </x:c>
      <x:c r="BE700" s="6" t="str">
        <x:v>0.23140495867768596</x:v>
      </x:c>
      <x:c r="BF700" s="9" t="str">
        <x:v>0.5996431166684394</x:v>
      </x:c>
      <x:c r="BG700" s="9" t="str">
        <x:v>0.3815910742435524</x:v>
      </x:c>
      <x:c r="BH700" s="6" t="str">
        <x:v>With trade</x:v>
      </x:c>
      <x:c r="BI700" s="6" t="str">
        <x:v>Penetration + same-bar reclaim</x:v>
      </x:c>
      <x:c r="BJ700" s="6" t="str">
        <x:v>False</x:v>
      </x:c>
      <x:c r="BK700" s="10" t="str">
        <x:v>True</x:v>
      </x:c>
      <x:c r="BL700" s="6" t="str">
        <x:v>True</x:v>
      </x:c>
      <x:c r="BM700" s="7" t="str">
        <x:v>2026-06-21 17:05:00-05:00</x:v>
      </x:c>
      <x:c r="BN700" s="8" t="str">
        <x:v>2</x:v>
      </x:c>
      <x:c r="BO700" s="6" t="str">
        <x:v>Delayed confirmation (2+ bars)</x:v>
      </x:c>
      <x:c r="BP700" s="9" t="str">
        <x:v>2.0559120050969715</x:v>
      </x:c>
      <x:c r="BQ700" s="9" t="str">
        <x:v>3.3235889726666454</x:v>
      </x:c>
      <x:c r="BR700" s="10" t="str">
        <x:v>0.6185819070904646</x:v>
      </x:c>
      <x:c r="BS700" s="9" t="str">
        <x:v>3.9574274564514824</x:v>
      </x:c>
      <x:c r="BT700" s="9" t="str">
        <x:v>3.5836252737065784</x:v>
      </x:c>
      <x:c r="BU700" s="9" t="str">
        <x:v>0.54445100530236</x:v>
      </x:c>
      <x:c r="BV700" s="6" t="str">
        <x:v>With trade</x:v>
      </x:c>
      <x:c r="BW700" s="7" t="str">
        <x:v>2026-06-21 17:05:00-05:00</x:v>
      </x:c>
      <x:c r="BX700" s="6" t="str">
        <x:v>27840.5</x:v>
      </x:c>
      <x:c r="BY700" s="9" t="str">
        <x:v>30.76493538789209</x:v>
      </x:c>
      <x:c r="BZ700" s="9" t="str">
        <x:v>1.0</x:v>
      </x:c>
      <x:c r="CA700" s="6" t="str">
        <x:v>27886.64740308184</x:v>
      </x:c>
      <x:c r="CB700" s="6" t="str">
        <x:v>46.147403081839</x:v>
      </x:c>
      <x:c r="CC700" s="9" t="str">
        <x:v>1.5000000000000282</x:v>
      </x:c>
      <x:c r="CD700" s="6" t="str">
        <x:v>27748.205193836322</x:v>
      </x:c>
      <x:c r="CE700" s="6" t="str">
        <x:v>92.294806163678</x:v>
      </x:c>
      <x:c r="CF700" s="6" t="str">
        <x:v>Fixed 2.00R target</x:v>
      </x:c>
      <x:c r="CG700" s="9" t="str">
        <x:v>0.01571052652116233</x:v>
      </x:c>
      <x:c r="CH700" s="9" t="str">
        <x:v>1.08890201060472</x:v>
      </x:c>
      <x:c r="CI700" s="9" t="str">
        <x:v>1.0731914840835577</x:v>
      </x:c>
      <x:c r="CJ700" s="6" t="str">
        <x:v>Win</x:v>
      </x:c>
      <x:c r="CK700" s="9" t="str">
        <x:v>1.7660798778961795</x:v>
      </x:c>
      <x:c r="CL700" s="9" t="str">
        <x:v>0.7638566343047892</x:v>
      </x:c>
      <x:c r="CM700" s="7" t="str">
        <x:v>2026-06-21 18:05:00-05:00</x:v>
      </x:c>
      <x:c r="CN700" s="6" t="str">
        <x:v>27790.25</x:v>
      </x:c>
      <x:c r="CO700" s="6" t="str">
        <x:v>TIME</x:v>
      </x:c>
      <x:c r="CP700" s="6" t="str">
        <x:v>F::Short::Same-bar Setup+BOS::Penetration + same-bar reclaim</x:v>
      </x:c>
    </x:row>
    <x:row r="701" ht="18" customHeight="1">
      <x:c r="A701" s="6" t="str">
        <x:v>A0700</x:v>
      </x:c>
      <x:c r="B701" s="6" t="str">
        <x:v>2026-06-22</x:v>
      </x:c>
      <x:c r="C701" s="6" t="str">
        <x:v>2026</x:v>
      </x:c>
      <x:c r="D701" s="6" t="str">
        <x:v>2026-Q2</x:v>
      </x:c>
      <x:c r="E701" s="6" t="str">
        <x:v>Second 50%</x:v>
      </x:c>
      <x:c r="F701" s="6" t="str">
        <x:v>Short</x:v>
      </x:c>
      <x:c r="G701" s="6" t="str">
        <x:v>Short</x:v>
      </x:c>
      <x:c r="H701" s="6" t="str">
        <x:v>Opening</x:v>
      </x:c>
      <x:c r="I701" s="6" t="str">
        <x:v>Premarket</x:v>
      </x:c>
      <x:c r="J701" s="6" t="str">
        <x:v>Bull</x:v>
      </x:c>
      <x:c r="K701" s="6" t="str">
        <x:v>Bull</x:v>
      </x:c>
      <x:c r="L701" s="6" t="str">
        <x:v>HIGH</x:v>
      </x:c>
      <x:c r="M701" s="7" t="str">
        <x:v>2026-06-22 09:25:00-05:00</x:v>
      </x:c>
      <x:c r="N701" s="6" t="str">
        <x:v>75.0</x:v>
      </x:c>
      <x:c r="O701" s="6" t="str">
        <x:v>75-79</x:v>
      </x:c>
      <x:c r="P701" s="6" t="str">
        <x:v>Matching BOS only</x:v>
      </x:c>
      <x:c r="Q701" s="6" t="str">
        <x:v>Bear CHoCH</x:v>
      </x:c>
      <x:c r="R701" s="6" t="str">
        <x:v>True</x:v>
      </x:c>
      <x:c r="S701" s="6" t="str">
        <x:v>False</x:v>
      </x:c>
      <x:c r="T701" s="6" t="str">
        <x:v>Recent BSL</x:v>
      </x:c>
      <x:c r="U701" s="6" t="str">
        <x:v>BSL</x:v>
      </x:c>
      <x:c r="V701" s="6" t="str">
        <x:v>Swing high / buy-side</x:v>
      </x:c>
      <x:c r="W701" s="6" t="str">
        <x:v>[28202.25]</x:v>
      </x:c>
      <x:c r="X701" s="8" t="str">
        <x:v>1</x:v>
      </x:c>
      <x:c r="Y701" s="8" t="str">
        <x:v>11.0</x:v>
      </x:c>
      <x:c r="Z701" s="6" t="str">
        <x:v>None</x:v>
      </x:c>
      <x:c r="AA701" s="6" t="str">
        <x:v>28060.5</x:v>
      </x:c>
      <x:c r="AB701" s="9" t="str">
        <x:v>0.003909946449383</x:v>
      </x:c>
      <x:c r="AC701" s="9" t="str">
        <x:v>0.7428898253827699</x:v>
      </x:c>
      <x:c r="AD701" s="9" t="str">
        <x:v>1.2081734528593469</x:v>
      </x:c>
      <x:c r="AE701" s="6" t="str">
        <x:v>With trade</x:v>
      </x:c>
      <x:c r="AF701" s="7" t="str">
        <x:v>2026-06-22 09:25:00-05:00</x:v>
      </x:c>
      <x:c r="AG701" s="6" t="str">
        <x:v>Short</x:v>
      </x:c>
      <x:c r="AH701" s="6" t="str">
        <x:v>28060.5</x:v>
      </x:c>
      <x:c r="AI701" s="8" t="str">
        <x:v>0</x:v>
      </x:c>
      <x:c r="AJ701" s="6" t="str">
        <x:v>True</x:v>
      </x:c>
      <x:c r="AK701" s="6" t="str">
        <x:v>Same-bar Setup+BOS</x:v>
      </x:c>
      <x:c r="AL701" s="9" t="str">
        <x:v>0.746799771832153</x:v>
      </x:c>
      <x:c r="AM701" s="9" t="str">
        <x:v>0.003909946449383</x:v>
      </x:c>
      <x:c r="AN701" s="9" t="str">
        <x:v>0.7428898253827699</x:v>
      </x:c>
      <x:c r="AO701" s="9" t="str">
        <x:v>1.2081734528593469</x:v>
      </x:c>
      <x:c r="AP701" s="10" t="str">
        <x:v>0.6148867313915858</x:v>
      </x:c>
      <x:c r="AQ701" s="6" t="str">
        <x:v>0.22330097087378642</x:v>
      </x:c>
      <x:c r="AR701" s="6" t="str">
        <x:v>0.16181229773462782</x:v>
      </x:c>
      <x:c r="AS701" s="6" t="str">
        <x:v>With trade</x:v>
      </x:c>
      <x:c r="AT701" s="6" t="str">
        <x:v>1.7497757847533633</x:v>
      </x:c>
      <x:c r="AU701" s="7" t="str">
        <x:v>2026-06-22 09:30:00-05:00</x:v>
      </x:c>
      <x:c r="AV701" s="8" t="str">
        <x:v>1</x:v>
      </x:c>
      <x:c r="AW701" s="6" t="str">
        <x:v>Immediate retest (1 bar)</x:v>
      </x:c>
      <x:c r="AX701" s="6" t="str">
        <x:v>28066.0</x:v>
      </x:c>
      <x:c r="AY701" s="6" t="str">
        <x:v>5.5</x:v>
      </x:c>
      <x:c r="AZ701" s="9" t="str">
        <x:v>0.08157095660534483</x:v>
      </x:c>
      <x:c r="BA701" s="9" t="str">
        <x:v>0.9603126254901959</x:v>
      </x:c>
      <x:c r="BB701" s="9" t="str">
        <x:v>1.672204610409569</x:v>
      </x:c>
      <x:c r="BC701" s="9" t="str">
        <x:v>0.9603126254901959</x:v>
      </x:c>
      <x:c r="BD701" s="6" t="str">
        <x:v>0.04878048780487805</x:v>
      </x:c>
      <x:c r="BE701" s="6" t="str">
        <x:v>0.376940133037694</x:v>
      </x:c>
      <x:c r="BF701" s="9" t="str">
        <x:v>0.08157095660534483</x:v>
      </x:c>
      <x:c r="BG701" s="9" t="str">
        <x:v>0.6303210283140283</x:v>
      </x:c>
      <x:c r="BH701" s="6" t="str">
        <x:v>With trade</x:v>
      </x:c>
      <x:c r="BI701" s="6" t="str">
        <x:v>Penetration + same-bar reclaim</x:v>
      </x:c>
      <x:c r="BJ701" s="6" t="str">
        <x:v>False</x:v>
      </x:c>
      <x:c r="BK701" s="10" t="str">
        <x:v>True</x:v>
      </x:c>
      <x:c r="BL701" s="6" t="str">
        <x:v>True</x:v>
      </x:c>
      <x:c r="BM701" s="7" t="str">
        <x:v>2026-06-22 09:40:00-05:00</x:v>
      </x:c>
      <x:c r="BN701" s="8" t="str">
        <x:v>2</x:v>
      </x:c>
      <x:c r="BO701" s="6" t="str">
        <x:v>Delayed confirmation (2+ bars)</x:v>
      </x:c>
      <x:c r="BP701" s="9" t="str">
        <x:v>0.998327356256745</x:v>
      </x:c>
      <x:c r="BQ701" s="9" t="str">
        <x:v>1.4582710311036025</x:v>
      </x:c>
      <x:c r="BR701" s="10" t="str">
        <x:v>0.684596577017115</x:v>
      </x:c>
      <x:c r="BS701" s="9" t="str">
        <x:v>1.8647328832938486</x:v>
      </x:c>
      <x:c r="BT701" s="9" t="str">
        <x:v>0.9412800787563596</x:v>
      </x:c>
      <x:c r="BU701" s="9" t="str">
        <x:v>0.2674091132830567</x:v>
      </x:c>
      <x:c r="BV701" s="6" t="str">
        <x:v>With trade</x:v>
      </x:c>
      <x:c r="BW701" s="7" t="str">
        <x:v>2026-06-22 09:40:00-05:00</x:v>
      </x:c>
      <x:c r="BX701" s="6" t="str">
        <x:v>27929.75</x:v>
      </x:c>
      <x:c r="BY701" s="9" t="str">
        <x:v>70.11728123174633</x:v>
      </x:c>
      <x:c r="BZ701" s="9" t="str">
        <x:v>1.0</x:v>
      </x:c>
      <x:c r="CA701" s="6" t="str">
        <x:v>28034.925921847618</x:v>
      </x:c>
      <x:c r="CB701" s="6" t="str">
        <x:v>105.17592184761816</x:v>
      </x:c>
      <x:c r="CC701" s="9" t="str">
        <x:v>1.499999999999981</x:v>
      </x:c>
      <x:c r="CD701" s="6" t="str">
        <x:v>27719.39815630476</x:v>
      </x:c>
      <x:c r="CE701" s="6" t="str">
        <x:v>210.35184369523995</x:v>
      </x:c>
      <x:c r="CF701" s="6" t="str">
        <x:v>Fixed 2.00R target</x:v>
      </x:c>
      <x:c r="CG701" s="9" t="str">
        <x:v>0.006893212697963327</x:v>
      </x:c>
      <x:c r="CH701" s="9" t="str">
        <x:v>-0.21392729062644536</x:v>
      </x:c>
      <x:c r="CI701" s="9" t="str">
        <x:v>-0.2208205033244087</x:v>
      </x:c>
      <x:c r="CJ701" s="6" t="str">
        <x:v>Loss</x:v>
      </x:c>
      <x:c r="CK701" s="9" t="str">
        <x:v>0.7701382462552131</x:v>
      </x:c>
      <x:c r="CL701" s="9" t="str">
        <x:v>0.5324412566702708</x:v>
      </x:c>
      <x:c r="CM701" s="7" t="str">
        <x:v>2026-06-22 10:40:00-05:00</x:v>
      </x:c>
      <x:c r="CN701" s="6" t="str">
        <x:v>27952.25</x:v>
      </x:c>
      <x:c r="CO701" s="6" t="str">
        <x:v>TIME</x:v>
      </x:c>
      <x:c r="CP701" s="6" t="str">
        <x:v>F::Short::Same-bar Setup+BOS::Penetration + same-bar reclaim</x:v>
      </x:c>
    </x:row>
    <x:row r="702" ht="18" customHeight="1">
      <x:c r="A702" s="6" t="str">
        <x:v>A0701</x:v>
      </x:c>
      <x:c r="B702" s="6" t="str">
        <x:v>2026-06-23</x:v>
      </x:c>
      <x:c r="C702" s="6" t="str">
        <x:v>2026</x:v>
      </x:c>
      <x:c r="D702" s="6" t="str">
        <x:v>2026-Q2</x:v>
      </x:c>
      <x:c r="E702" s="6" t="str">
        <x:v>Second 50%</x:v>
      </x:c>
      <x:c r="F702" s="6" t="str">
        <x:v>Long</x:v>
      </x:c>
      <x:c r="G702" s="6" t="str">
        <x:v>Long</x:v>
      </x:c>
      <x:c r="H702" s="6" t="str">
        <x:v>After-hours</x:v>
      </x:c>
      <x:c r="I702" s="6" t="str">
        <x:v>Afternoon</x:v>
      </x:c>
      <x:c r="J702" s="6" t="str">
        <x:v>Bear</x:v>
      </x:c>
      <x:c r="K702" s="6" t="str">
        <x:v>Bear</x:v>
      </x:c>
      <x:c r="L702" s="6" t="str">
        <x:v>LOW</x:v>
      </x:c>
      <x:c r="M702" s="7" t="str">
        <x:v>2026-06-23 15:55:00-05:00</x:v>
      </x:c>
      <x:c r="N702" s="6" t="str">
        <x:v>75.0</x:v>
      </x:c>
      <x:c r="O702" s="6" t="str">
        <x:v>75-79</x:v>
      </x:c>
      <x:c r="P702" s="6" t="str">
        <x:v>Matching BOS only</x:v>
      </x:c>
      <x:c r="Q702" s="6" t="str">
        <x:v>Bull CHoCH</x:v>
      </x:c>
      <x:c r="R702" s="6" t="str">
        <x:v>True</x:v>
      </x:c>
      <x:c r="S702" s="6" t="str">
        <x:v>False</x:v>
      </x:c>
      <x:c r="T702" s="6" t="str">
        <x:v>No recent matching sweep</x:v>
      </x:c>
      <x:c r="U702" s="6" t="str">
        <x:v>None</x:v>
      </x:c>
      <x:c r="V702" s="6" t="str">
        <x:v>None</x:v>
      </x:c>
      <x:c r="W702" s="6" t="str">
        <x:v>[]</x:v>
      </x:c>
      <x:c r="X702" s="8" t="str">
        <x:v>0</x:v>
      </x:c>
      <x:c r="Y702" s="8" t="str"/>
      <x:c r="Z702" s="6" t="str">
        <x:v>None</x:v>
      </x:c>
      <x:c r="AA702" s="6" t="str">
        <x:v>27048.75</x:v>
      </x:c>
      <x:c r="AB702" s="9" t="str">
        <x:v>0.1809572707872185</x:v>
      </x:c>
      <x:c r="AC702" s="9" t="str">
        <x:v>0.7109035638069298</x:v>
      </x:c>
      <x:c r="AD702" s="9" t="str">
        <x:v>0.943562911961925</x:v>
      </x:c>
      <x:c r="AE702" s="6" t="str">
        <x:v>With trade</x:v>
      </x:c>
      <x:c r="AF702" s="7" t="str">
        <x:v>2026-06-23 15:55:00-05:00</x:v>
      </x:c>
      <x:c r="AG702" s="6" t="str">
        <x:v>Long</x:v>
      </x:c>
      <x:c r="AH702" s="6" t="str">
        <x:v>27048.75</x:v>
      </x:c>
      <x:c r="AI702" s="8" t="str">
        <x:v>0</x:v>
      </x:c>
      <x:c r="AJ702" s="6" t="str">
        <x:v>True</x:v>
      </x:c>
      <x:c r="AK702" s="6" t="str">
        <x:v>Same-bar Setup+BOS</x:v>
      </x:c>
      <x:c r="AL702" s="9" t="str">
        <x:v>0.6850525251230414</x:v>
      </x:c>
      <x:c r="AM702" s="9" t="str">
        <x:v>0.1809572707872185</x:v>
      </x:c>
      <x:c r="AN702" s="9" t="str">
        <x:v>0.7109035638069298</x:v>
      </x:c>
      <x:c r="AO702" s="9" t="str">
        <x:v>0.943562911961925</x:v>
      </x:c>
      <x:c r="AP702" s="10" t="str">
        <x:v>0.7534246575342466</x:v>
      </x:c>
      <x:c r="AQ702" s="6" t="str">
        <x:v>0.1506849315068493</x:v>
      </x:c>
      <x:c r="AR702" s="6" t="str">
        <x:v>0.0958904109589041</x:v>
      </x:c>
      <x:c r="AS702" s="6" t="str">
        <x:v>With trade</x:v>
      </x:c>
      <x:c r="AT702" s="6" t="str">
        <x:v>0.20651948590381428</x:v>
      </x:c>
      <x:c r="AU702" s="7" t="str">
        <x:v>2026-06-23 17:00:00-05:00</x:v>
      </x:c>
      <x:c r="AV702" s="8" t="str">
        <x:v>1</x:v>
      </x:c>
      <x:c r="AW702" s="6" t="str">
        <x:v>Immediate retest (1 bar)</x:v>
      </x:c>
      <x:c r="AX702" s="6" t="str">
        <x:v>27048.75</x:v>
      </x:c>
      <x:c r="AY702" s="6" t="str">
        <x:v>0.0</x:v>
      </x:c>
      <x:c r="AZ702" s="9" t="str">
        <x:v>0.0</x:v>
      </x:c>
      <x:c r="BA702" s="9" t="str">
        <x:v>0.2595494540245704</x:v>
      </x:c>
      <x:c r="BB702" s="9" t="str">
        <x:v>1.2660948976808313</x:v>
      </x:c>
      <x:c r="BC702" s="9" t="str">
        <x:v>0.3734979948158453</x:v>
      </x:c>
      <x:c r="BD702" s="6" t="str">
        <x:v>0.5</x:v>
      </x:c>
      <x:c r="BE702" s="6" t="str">
        <x:v>0.205</x:v>
      </x:c>
      <x:c r="BF702" s="9" t="str">
        <x:v>0.2595494540245704</x:v>
      </x:c>
      <x:c r="BG702" s="9" t="str">
        <x:v>0.6330474488404156</x:v>
      </x:c>
      <x:c r="BH702" s="6" t="str">
        <x:v>Against trade</x:v>
      </x:c>
      <x:c r="BI702" s="6" t="str">
        <x:v>Exact BOS touch</x:v>
      </x:c>
      <x:c r="BJ702" s="6" t="str">
        <x:v>True</x:v>
      </x:c>
      <x:c r="BK702" s="10" t="str">
        <x:v>False</x:v>
      </x:c>
      <x:c r="BL702" s="6" t="str">
        <x:v>True</x:v>
      </x:c>
      <x:c r="BM702" s="7" t="str">
        <x:v>2026-06-23 17:05:00-05:00</x:v>
      </x:c>
      <x:c r="BN702" s="8" t="str">
        <x:v>1</x:v>
      </x:c>
      <x:c r="BO702" s="6" t="str">
        <x:v>Immediate confirmation (1 bar)</x:v>
      </x:c>
      <x:c r="BP702" s="9" t="str">
        <x:v>0.7449634199377811</x:v>
      </x:c>
      <x:c r="BQ702" s="9" t="str">
        <x:v>1.0353728887270857</x:v>
      </x:c>
      <x:c r="BR702" s="10" t="str">
        <x:v>0.7195121951219512</x:v>
      </x:c>
      <x:c r="BS702" s="9" t="str">
        <x:v>0.9911801434765393</x:v>
      </x:c>
      <x:c r="BT702" s="9" t="str">
        <x:v>0.7323369212947679</x:v>
      </x:c>
      <x:c r="BU702" s="9" t="str">
        <x:v>0.14520473439465226</x:v>
      </x:c>
      <x:c r="BV702" s="6" t="str">
        <x:v>With trade</x:v>
      </x:c>
      <x:c r="BW702" s="7" t="str">
        <x:v>2026-06-23 17:05:00-05:00</x:v>
      </x:c>
      <x:c r="BX702" s="6" t="str">
        <x:v>27088.0</x:v>
      </x:c>
      <x:c r="BY702" s="9" t="str">
        <x:v>39.599259789781115</x:v>
      </x:c>
      <x:c r="BZ702" s="9" t="str">
        <x:v>0.11</x:v>
      </x:c>
      <x:c r="CA702" s="6" t="str">
        <x:v>27028.60111031533</x:v>
      </x:c>
      <x:c r="CB702" s="6" t="str">
        <x:v>59.3988896846713</x:v>
      </x:c>
      <x:c r="CC702" s="9" t="str">
        <x:v>1.4999999999999907</x:v>
      </x:c>
      <x:c r="CD702" s="6" t="str">
        <x:v>27206.797779369343</x:v>
      </x:c>
      <x:c r="CE702" s="6" t="str">
        <x:v>118.7977793693426</x:v>
      </x:c>
      <x:c r="CF702" s="6" t="str">
        <x:v>Fixed 2.00R target</x:v>
      </x:c>
      <x:c r="CG702" s="9" t="str">
        <x:v>0.012205615354912875</x:v>
      </x:c>
      <x:c r="CH702" s="9" t="str">
        <x:v>-1.0</x:v>
      </x:c>
      <x:c r="CI702" s="9" t="str">
        <x:v>-1.0122056153549128</x:v>
      </x:c>
      <x:c r="CJ702" s="6" t="str">
        <x:v>Loss</x:v>
      </x:c>
      <x:c r="CK702" s="9" t="str">
        <x:v>0.32408013183734186</x:v>
      </x:c>
      <x:c r="CL702" s="9" t="str">
        <x:v>1.2500233656583186</x:v>
      </x:c>
      <x:c r="CM702" s="7" t="str">
        <x:v>2026-06-23 17:20:00-05:00</x:v>
      </x:c>
      <x:c r="CN702" s="6" t="str">
        <x:v>27028.60111031533</x:v>
      </x:c>
      <x:c r="CO702" s="6" t="str">
        <x:v>STOP</x:v>
      </x:c>
      <x:c r="CP702" s="6" t="str">
        <x:v>F::Long::Same-bar Setup+BOS::Exact BOS touch</x:v>
      </x:c>
    </x:row>
    <x:row r="703" ht="18" customHeight="1">
      <x:c r="A703" s="6" t="str">
        <x:v>A0702</x:v>
      </x:c>
      <x:c r="B703" s="6" t="str">
        <x:v>2026-06-24</x:v>
      </x:c>
      <x:c r="C703" s="6" t="str">
        <x:v>2026</x:v>
      </x:c>
      <x:c r="D703" s="6" t="str">
        <x:v>2026-Q2</x:v>
      </x:c>
      <x:c r="E703" s="6" t="str">
        <x:v>Second 50%</x:v>
      </x:c>
      <x:c r="F703" s="6" t="str">
        <x:v>Short</x:v>
      </x:c>
      <x:c r="G703" s="6" t="str">
        <x:v>Short</x:v>
      </x:c>
      <x:c r="H703" s="6" t="str">
        <x:v>Premarket</x:v>
      </x:c>
      <x:c r="I703" s="6" t="str">
        <x:v>Premarket</x:v>
      </x:c>
      <x:c r="J703" s="6" t="str">
        <x:v>Bear</x:v>
      </x:c>
      <x:c r="K703" s="6" t="str">
        <x:v>Bear</x:v>
      </x:c>
      <x:c r="L703" s="6" t="str">
        <x:v>HIGH</x:v>
      </x:c>
      <x:c r="M703" s="7" t="str">
        <x:v>2026-06-24 08:05:00-05:00</x:v>
      </x:c>
      <x:c r="N703" s="6" t="str">
        <x:v>75.0</x:v>
      </x:c>
      <x:c r="O703" s="6" t="str">
        <x:v>75-79</x:v>
      </x:c>
      <x:c r="P703" s="6" t="str">
        <x:v>Matching BOS only</x:v>
      </x:c>
      <x:c r="Q703" s="6" t="str">
        <x:v>Bear CHoCH</x:v>
      </x:c>
      <x:c r="R703" s="6" t="str">
        <x:v>True</x:v>
      </x:c>
      <x:c r="S703" s="6" t="str">
        <x:v>False</x:v>
      </x:c>
      <x:c r="T703" s="6" t="str">
        <x:v>Recent BSL</x:v>
      </x:c>
      <x:c r="U703" s="6" t="str">
        <x:v>BSL</x:v>
      </x:c>
      <x:c r="V703" s="6" t="str">
        <x:v>Swing high / buy-side</x:v>
      </x:c>
      <x:c r="W703" s="6" t="str">
        <x:v>[27154.75]</x:v>
      </x:c>
      <x:c r="X703" s="8" t="str">
        <x:v>1</x:v>
      </x:c>
      <x:c r="Y703" s="8" t="str">
        <x:v>16.0</x:v>
      </x:c>
      <x:c r="Z703" s="6" t="str">
        <x:v>None</x:v>
      </x:c>
      <x:c r="AA703" s="6" t="str">
        <x:v>27037.75</x:v>
      </x:c>
      <x:c r="AB703" s="9" t="str">
        <x:v>0.09772834842667436</x:v>
      </x:c>
      <x:c r="AC703" s="9" t="str">
        <x:v>0.57822606152449</x:v>
      </x:c>
      <x:c r="AD703" s="9" t="str">
        <x:v>1.3437647908667723</x:v>
      </x:c>
      <x:c r="AE703" s="6" t="str">
        <x:v>With trade</x:v>
      </x:c>
      <x:c r="AF703" s="7" t="str">
        <x:v>2026-06-24 08:05:00-05:00</x:v>
      </x:c>
      <x:c r="AG703" s="6" t="str">
        <x:v>Short</x:v>
      </x:c>
      <x:c r="AH703" s="6" t="str">
        <x:v>27037.75</x:v>
      </x:c>
      <x:c r="AI703" s="8" t="str">
        <x:v>0</x:v>
      </x:c>
      <x:c r="AJ703" s="6" t="str">
        <x:v>True</x:v>
      </x:c>
      <x:c r="AK703" s="6" t="str">
        <x:v>Same-bar Setup+BOS</x:v>
      </x:c>
      <x:c r="AL703" s="9" t="str">
        <x:v>0.5945141195956023</x:v>
      </x:c>
      <x:c r="AM703" s="9" t="str">
        <x:v>0.09772834842667436</x:v>
      </x:c>
      <x:c r="AN703" s="9" t="str">
        <x:v>0.57822606152449</x:v>
      </x:c>
      <x:c r="AO703" s="9" t="str">
        <x:v>1.3437647908667723</x:v>
      </x:c>
      <x:c r="AP703" s="10" t="str">
        <x:v>0.4303030303030303</x:v>
      </x:c>
      <x:c r="AQ703" s="6" t="str">
        <x:v>0.3515151515151515</x:v>
      </x:c>
      <x:c r="AR703" s="6" t="str">
        <x:v>0.21818181818181817</x:v>
      </x:c>
      <x:c r="AS703" s="6" t="str">
        <x:v>With trade</x:v>
      </x:c>
      <x:c r="AT703" s="6" t="str">
        <x:v>2.10744754438552</x:v>
      </x:c>
      <x:c r="AU703" s="7" t="str">
        <x:v>2026-06-24 08:10:00-05:00</x:v>
      </x:c>
      <x:c r="AV703" s="8" t="str">
        <x:v>1</x:v>
      </x:c>
      <x:c r="AW703" s="6" t="str">
        <x:v>Immediate retest (1 bar)</x:v>
      </x:c>
      <x:c r="AX703" s="6" t="str">
        <x:v>27038.75</x:v>
      </x:c>
      <x:c r="AY703" s="6" t="str">
        <x:v>1.0</x:v>
      </x:c>
      <x:c r="AZ703" s="9" t="str">
        <x:v>0.03216059162689837</x:v>
      </x:c>
      <x:c r="BA703" s="9" t="str">
        <x:v>0.9969783404338494</x:v>
      </x:c>
      <x:c r="BB703" s="9" t="str">
        <x:v>1.1658214464750658</x:v>
      </x:c>
      <x:c r="BC703" s="9" t="str">
        <x:v>0.8924564176464297</x:v>
      </x:c>
      <x:c r="BD703" s="6" t="str">
        <x:v>0.11724137931034483</x:v>
      </x:c>
      <x:c r="BE703" s="6" t="str">
        <x:v>0.11724137931034483</x:v>
      </x:c>
      <x:c r="BF703" s="9" t="str">
        <x:v>0.13668251441431806</x:v>
      </x:c>
      <x:c r="BG703" s="9" t="str">
        <x:v>0.13668251441431806</x:v>
      </x:c>
      <x:c r="BH703" s="6" t="str">
        <x:v>With trade</x:v>
      </x:c>
      <x:c r="BI703" s="6" t="str">
        <x:v>Penetration + same-bar reclaim</x:v>
      </x:c>
      <x:c r="BJ703" s="6" t="str">
        <x:v>False</x:v>
      </x:c>
      <x:c r="BK703" s="10" t="str">
        <x:v>True</x:v>
      </x:c>
      <x:c r="BL703" s="6" t="str">
        <x:v>True</x:v>
      </x:c>
      <x:c r="BM703" s="7" t="str">
        <x:v>2026-06-24 08:25:00-05:00</x:v>
      </x:c>
      <x:c r="BN703" s="8" t="str">
        <x:v>3</x:v>
      </x:c>
      <x:c r="BO703" s="6" t="str">
        <x:v>Delayed confirmation (2+ bars)</x:v>
      </x:c>
      <x:c r="BP703" s="9" t="str">
        <x:v>0.7495401621152803</x:v>
      </x:c>
      <x:c r="BQ703" s="9" t="str">
        <x:v>1.5204957574338542</x:v>
      </x:c>
      <x:c r="BR703" s="10" t="str">
        <x:v>0.49295774647887325</x:v>
      </x:c>
      <x:c r="BS703" s="9" t="str">
        <x:v>0.6424629960988116</x:v>
      </x:c>
      <x:c r="BT703" s="9" t="str">
        <x:v>-0.24270824297066218</x:v>
      </x:c>
      <x:c r="BU703" s="9" t="str">
        <x:v>0.5282473523479119</x:v>
      </x:c>
      <x:c r="BV703" s="6" t="str">
        <x:v>With trade</x:v>
      </x:c>
      <x:c r="BW703" s="7" t="str">
        <x:v>2026-06-24 08:25:00-05:00</x:v>
      </x:c>
      <x:c r="BX703" s="6" t="str">
        <x:v>27015.25</x:v>
      </x:c>
      <x:c r="BY703" s="9" t="str">
        <x:v>35.021472266302276</x:v>
      </x:c>
      <x:c r="BZ703" s="9" t="str">
        <x:v>1.0</x:v>
      </x:c>
      <x:c r="CA703" s="6" t="str">
        <x:v>27067.782208399454</x:v>
      </x:c>
      <x:c r="CB703" s="6" t="str">
        <x:v>52.53220839945425</x:v>
      </x:c>
      <x:c r="CC703" s="9" t="str">
        <x:v>1.5000000000000238</x:v>
      </x:c>
      <x:c r="CD703" s="6" t="str">
        <x:v>26910.18558320109</x:v>
      </x:c>
      <x:c r="CE703" s="6" t="str">
        <x:v>105.0644167989085</x:v>
      </x:c>
      <x:c r="CF703" s="6" t="str">
        <x:v>Fixed 2.00R target</x:v>
      </x:c>
      <x:c r="CG703" s="9" t="str">
        <x:v>0.013801056953233514</x:v>
      </x:c>
      <x:c r="CH703" s="9" t="str">
        <x:v>-1.0</x:v>
      </x:c>
      <x:c r="CI703" s="9" t="str">
        <x:v>-1.0138010569532334</x:v>
      </x:c>
      <x:c r="CJ703" s="6" t="str">
        <x:v>Loss</x:v>
      </x:c>
      <x:c r="CK703" s="9" t="str">
        <x:v>1.45624945782395</x:v>
      </x:c>
      <x:c r="CL703" s="9" t="str">
        <x:v>2.446118370331733</x:v>
      </x:c>
      <x:c r="CM703" s="7" t="str">
        <x:v>2026-06-24 08:30:00-05:00</x:v>
      </x:c>
      <x:c r="CN703" s="6" t="str">
        <x:v>27067.782208399454</x:v>
      </x:c>
      <x:c r="CO703" s="6" t="str">
        <x:v>STOP</x:v>
      </x:c>
      <x:c r="CP703" s="6" t="str">
        <x:v>F::Short::Same-bar Setup+BOS::Penetration + same-bar reclaim</x:v>
      </x:c>
    </x:row>
    <x:row r="704" ht="18" customHeight="1">
      <x:c r="A704" s="6" t="str">
        <x:v>A0703</x:v>
      </x:c>
      <x:c r="B704" s="6" t="str">
        <x:v>2026-06-24</x:v>
      </x:c>
      <x:c r="C704" s="6" t="str">
        <x:v>2026</x:v>
      </x:c>
      <x:c r="D704" s="6" t="str">
        <x:v>2026-Q2</x:v>
      </x:c>
      <x:c r="E704" s="6" t="str">
        <x:v>Second 50%</x:v>
      </x:c>
      <x:c r="F704" s="6" t="str">
        <x:v>Short</x:v>
      </x:c>
      <x:c r="G704" s="6" t="str">
        <x:v>Short</x:v>
      </x:c>
      <x:c r="H704" s="6" t="str">
        <x:v>Midday</x:v>
      </x:c>
      <x:c r="I704" s="6" t="str">
        <x:v>Midday</x:v>
      </x:c>
      <x:c r="J704" s="6" t="str">
        <x:v>Bear</x:v>
      </x:c>
      <x:c r="K704" s="6" t="str">
        <x:v>Bear</x:v>
      </x:c>
      <x:c r="L704" s="6" t="str">
        <x:v>MID</x:v>
      </x:c>
      <x:c r="M704" s="7" t="str">
        <x:v>2026-06-24 13:45:00-05:00</x:v>
      </x:c>
      <x:c r="N704" s="6" t="str">
        <x:v>75.0</x:v>
      </x:c>
      <x:c r="O704" s="6" t="str">
        <x:v>75-79</x:v>
      </x:c>
      <x:c r="P704" s="6" t="str">
        <x:v>Matching BOS only</x:v>
      </x:c>
      <x:c r="Q704" s="6" t="str">
        <x:v>Bear BOS</x:v>
      </x:c>
      <x:c r="R704" s="6" t="str">
        <x:v>True</x:v>
      </x:c>
      <x:c r="S704" s="6" t="str">
        <x:v>False</x:v>
      </x:c>
      <x:c r="T704" s="6" t="str">
        <x:v>No recent matching sweep</x:v>
      </x:c>
      <x:c r="U704" s="6" t="str">
        <x:v>None</x:v>
      </x:c>
      <x:c r="V704" s="6" t="str">
        <x:v>None</x:v>
      </x:c>
      <x:c r="W704" s="6" t="str">
        <x:v>[]</x:v>
      </x:c>
      <x:c r="X704" s="8" t="str">
        <x:v>0</x:v>
      </x:c>
      <x:c r="Y704" s="8" t="str"/>
      <x:c r="Z704" s="6" t="str">
        <x:v>None</x:v>
      </x:c>
      <x:c r="AA704" s="6" t="str">
        <x:v>26668.5</x:v>
      </x:c>
      <x:c r="AB704" s="9" t="str">
        <x:v>0.13596399471576437</x:v>
      </x:c>
      <x:c r="AC704" s="9" t="str">
        <x:v>1.4217949161705645</x:v>
      </x:c>
      <x:c r="AD704" s="9" t="str">
        <x:v>1.7286850756718612</x:v>
      </x:c>
      <x:c r="AE704" s="6" t="str">
        <x:v>With trade</x:v>
      </x:c>
      <x:c r="AF704" s="7" t="str">
        <x:v>2026-06-24 13:45:00-05:00</x:v>
      </x:c>
      <x:c r="AG704" s="6" t="str">
        <x:v>Short</x:v>
      </x:c>
      <x:c r="AH704" s="6" t="str">
        <x:v>26668.5</x:v>
      </x:c>
      <x:c r="AI704" s="8" t="str">
        <x:v>0</x:v>
      </x:c>
      <x:c r="AJ704" s="6" t="str">
        <x:v>True</x:v>
      </x:c>
      <x:c r="AK704" s="6" t="str">
        <x:v>Same-bar Setup+BOS</x:v>
      </x:c>
      <x:c r="AL704" s="9" t="str">
        <x:v>1.44510302955041</x:v>
      </x:c>
      <x:c r="AM704" s="9" t="str">
        <x:v>0.13596399471576437</x:v>
      </x:c>
      <x:c r="AN704" s="9" t="str">
        <x:v>1.4217949161705645</x:v>
      </x:c>
      <x:c r="AO704" s="9" t="str">
        <x:v>1.7286850756718612</x:v>
      </x:c>
      <x:c r="AP704" s="10" t="str">
        <x:v>0.8224719101123595</x:v>
      </x:c>
      <x:c r="AQ704" s="6" t="str">
        <x:v>0.0044943820224719105</x:v>
      </x:c>
      <x:c r="AR704" s="6" t="str">
        <x:v>0.17303370786516853</x:v>
      </x:c>
      <x:c r="AS704" s="6" t="str">
        <x:v>With trade</x:v>
      </x:c>
      <x:c r="AT704" s="6" t="str">
        <x:v>0.9761553517881076</x:v>
      </x:c>
      <x:c r="AU704" s="7" t="str">
        <x:v>2026-06-24 13:50:00-05:00</x:v>
      </x:c>
      <x:c r="AV704" s="8" t="str">
        <x:v>1</x:v>
      </x:c>
      <x:c r="AW704" s="6" t="str">
        <x:v>Immediate retest (1 bar)</x:v>
      </x:c>
      <x:c r="AX704" s="6" t="str">
        <x:v>26679.5</x:v>
      </x:c>
      <x:c r="AY704" s="6" t="str">
        <x:v>11.0</x:v>
      </x:c>
      <x:c r="AZ704" s="9" t="str">
        <x:v>0.17354683140627264</x:v>
      </x:c>
      <x:c r="BA704" s="9" t="str">
        <x:v>-0.015776984673297512</x:v>
      </x:c>
      <x:c r="BB704" s="9" t="str">
        <x:v>0.8006819721698488</x:v>
      </x:c>
      <x:c r="BC704" s="9" t="str">
        <x:v>0.16565833906962388</x:v>
      </x:c>
      <x:c r="BD704" s="6" t="str">
        <x:v>0.19704433497536947</x:v>
      </x:c>
      <x:c r="BE704" s="6" t="str">
        <x:v>0.5960591133004927</x:v>
      </x:c>
      <x:c r="BF704" s="9" t="str">
        <x:v>0.15776984673297512</x:v>
      </x:c>
      <x:c r="BG704" s="9" t="str">
        <x:v>0.47725378636724974</x:v>
      </x:c>
      <x:c r="BH704" s="6" t="str">
        <x:v>Against trade</x:v>
      </x:c>
      <x:c r="BI704" s="6" t="str">
        <x:v>Penetration without same-bar reclaim</x:v>
      </x:c>
      <x:c r="BJ704" s="6" t="str">
        <x:v>False</x:v>
      </x:c>
      <x:c r="BK704" s="10" t="str">
        <x:v>True</x:v>
      </x:c>
      <x:c r="BL704" s="6" t="str">
        <x:v>False</x:v>
      </x:c>
      <x:c r="BM704" s="7" t="str">
        <x:v>2026-06-24 13:55:00-05:00</x:v>
      </x:c>
      <x:c r="BN704" s="8" t="str">
        <x:v>1</x:v>
      </x:c>
      <x:c r="BO704" s="6" t="str">
        <x:v>Immediate confirmation (1 bar)</x:v>
      </x:c>
      <x:c r="BP704" s="9" t="str">
        <x:v>0.31300543152995747</x:v>
      </x:c>
      <x:c r="BQ704" s="9" t="str">
        <x:v>1.2636145198801987</x:v>
      </x:c>
      <x:c r="BR704" s="10" t="str">
        <x:v>0.24770642201834864</x:v>
      </x:c>
      <x:c r="BS704" s="9" t="str">
        <x:v>0.30141263776958865</x:v>
      </x:c>
      <x:c r="BT704" s="9" t="str">
        <x:v>0.31686969611674703</x:v>
      </x:c>
      <x:c r="BU704" s="9" t="str">
        <x:v>0.7071604193824964</x:v>
      </x:c>
      <x:c r="BV704" s="6" t="str">
        <x:v>With trade</x:v>
      </x:c>
      <x:c r="BW704" s="7" t="str">
        <x:v>2026-06-24 13:55:00-05:00</x:v>
      </x:c>
      <x:c r="BX704" s="6" t="str">
        <x:v>26649.0</x:v>
      </x:c>
      <x:c r="BY704" s="9" t="str">
        <x:v>64.69536295590414</x:v>
      </x:c>
      <x:c r="BZ704" s="9" t="str">
        <x:v>0.59</x:v>
      </x:c>
      <x:c r="CA704" s="6" t="str">
        <x:v>26746.043044433856</x:v>
      </x:c>
      <x:c r="CB704" s="6" t="str">
        <x:v>97.04304443385627</x:v>
      </x:c>
      <x:c r="CC704" s="9" t="str">
        <x:v>1.5000000000000007</x:v>
      </x:c>
      <x:c r="CD704" s="6" t="str">
        <x:v>26454.913911132287</x:v>
      </x:c>
      <x:c r="CE704" s="6" t="str">
        <x:v>194.08608886771253</x:v>
      </x:c>
      <x:c r="CF704" s="6" t="str">
        <x:v>Fixed 2.00R target</x:v>
      </x:c>
      <x:c r="CG704" s="9" t="str">
        <x:v>0.007470911534459885</x:v>
      </x:c>
      <x:c r="CH704" s="9" t="str">
        <x:v>-1.0</x:v>
      </x:c>
      <x:c r="CI704" s="9" t="str">
        <x:v>-1.0074709115344598</x:v>
      </x:c>
      <x:c r="CJ704" s="6" t="str">
        <x:v>Loss</x:v>
      </x:c>
      <x:c r="CK704" s="9" t="str">
        <x:v>0.8295287979641667</x:v>
      </x:c>
      <x:c r="CL704" s="9" t="str">
        <x:v>1.0459276148243841</x:v>
      </x:c>
      <x:c r="CM704" s="7" t="str">
        <x:v>2026-06-24 14:40:00-05:00</x:v>
      </x:c>
      <x:c r="CN704" s="6" t="str">
        <x:v>26746.043044433856</x:v>
      </x:c>
      <x:c r="CO704" s="6" t="str">
        <x:v>STOP</x:v>
      </x:c>
      <x:c r="CP704" s="6" t="str">
        <x:v>F::Short::Same-bar Setup+BOS::Penetration without same-bar reclaim</x:v>
      </x:c>
    </x:row>
    <x:row r="705" ht="18" customHeight="1">
      <x:c r="A705" s="6" t="str">
        <x:v>A0704</x:v>
      </x:c>
      <x:c r="B705" s="6" t="str">
        <x:v>2026-06-25</x:v>
      </x:c>
      <x:c r="C705" s="6" t="str">
        <x:v>2026</x:v>
      </x:c>
      <x:c r="D705" s="6" t="str">
        <x:v>2026-Q2</x:v>
      </x:c>
      <x:c r="E705" s="6" t="str">
        <x:v>Second 50%</x:v>
      </x:c>
      <x:c r="F705" s="6" t="str">
        <x:v>Long</x:v>
      </x:c>
      <x:c r="G705" s="6" t="str">
        <x:v>Long</x:v>
      </x:c>
      <x:c r="H705" s="6" t="str">
        <x:v>Premarket</x:v>
      </x:c>
      <x:c r="I705" s="6" t="str">
        <x:v>Premarket</x:v>
      </x:c>
      <x:c r="J705" s="6" t="str">
        <x:v>Bull</x:v>
      </x:c>
      <x:c r="K705" s="6" t="str">
        <x:v>Bull</x:v>
      </x:c>
      <x:c r="L705" s="6" t="str">
        <x:v>HIGH</x:v>
      </x:c>
      <x:c r="M705" s="7" t="str">
        <x:v>2026-06-25 07:30:00-05:00</x:v>
      </x:c>
      <x:c r="N705" s="6" t="str">
        <x:v>90.0</x:v>
      </x:c>
      <x:c r="O705" s="6" t="str">
        <x:v>90-94</x:v>
      </x:c>
      <x:c r="P705" s="6" t="str">
        <x:v>Matching BOS only</x:v>
      </x:c>
      <x:c r="Q705" s="6" t="str">
        <x:v>Bull CHoCH</x:v>
      </x:c>
      <x:c r="R705" s="6" t="str">
        <x:v>True</x:v>
      </x:c>
      <x:c r="S705" s="6" t="str">
        <x:v>False</x:v>
      </x:c>
      <x:c r="T705" s="6" t="str">
        <x:v>Recent SSL</x:v>
      </x:c>
      <x:c r="U705" s="6" t="str">
        <x:v>SSL</x:v>
      </x:c>
      <x:c r="V705" s="6" t="str">
        <x:v>Swing low / sell-side</x:v>
      </x:c>
      <x:c r="W705" s="6" t="str">
        <x:v>[27414.75]</x:v>
      </x:c>
      <x:c r="X705" s="8" t="str">
        <x:v>1</x:v>
      </x:c>
      <x:c r="Y705" s="8" t="str">
        <x:v>13.0</x:v>
      </x:c>
      <x:c r="Z705" s="6" t="str">
        <x:v>Sweep below CRT reference</x:v>
      </x:c>
      <x:c r="AA705" s="6" t="str">
        <x:v>27496.75</x:v>
      </x:c>
      <x:c r="AB705" s="9" t="str">
        <x:v>0.39758995946995057</x:v>
      </x:c>
      <x:c r="AC705" s="9" t="str">
        <x:v>2.3387644674702974</x:v>
      </x:c>
      <x:c r="AD705" s="9" t="str">
        <x:v>4.2955307385871135</x:v>
      </x:c>
      <x:c r="AE705" s="6" t="str">
        <x:v>With trade</x:v>
      </x:c>
      <x:c r="AF705" s="7" t="str">
        <x:v>2026-06-25 07:30:00-05:00</x:v>
      </x:c>
      <x:c r="AG705" s="6" t="str">
        <x:v>Long</x:v>
      </x:c>
      <x:c r="AH705" s="6" t="str">
        <x:v>27496.75</x:v>
      </x:c>
      <x:c r="AI705" s="8" t="str">
        <x:v>0</x:v>
      </x:c>
      <x:c r="AJ705" s="6" t="str">
        <x:v>True</x:v>
      </x:c>
      <x:c r="AK705" s="6" t="str">
        <x:v>Same-bar Setup+BOS</x:v>
      </x:c>
      <x:c r="AL705" s="9" t="str">
        <x:v>2.3309685859120632</x:v>
      </x:c>
      <x:c r="AM705" s="9" t="str">
        <x:v>0.39758995946995057</x:v>
      </x:c>
      <x:c r="AN705" s="9" t="str">
        <x:v>2.3387644674702974</x:v>
      </x:c>
      <x:c r="AO705" s="9" t="str">
        <x:v>4.2955307385871135</x:v>
      </x:c>
      <x:c r="AP705" s="10" t="str">
        <x:v>0.5444646098003629</x:v>
      </x:c>
      <x:c r="AQ705" s="6" t="str">
        <x:v>0.42105263157894735</x:v>
      </x:c>
      <x:c r="AR705" s="6" t="str">
        <x:v>0.034482758620689655</x:v>
      </x:c>
      <x:c r="AS705" s="6" t="str">
        <x:v>With trade</x:v>
      </x:c>
      <x:c r="AT705" s="6" t="str">
        <x:v>6.902232820290483</x:v>
      </x:c>
      <x:c r="AU705" s="7" t="str">
        <x:v>2026-06-25 07:35:00-05:00</x:v>
      </x:c>
      <x:c r="AV705" s="8" t="str">
        <x:v>1</x:v>
      </x:c>
      <x:c r="AW705" s="6" t="str">
        <x:v>Immediate retest (1 bar)</x:v>
      </x:c>
      <x:c r="AX705" s="6" t="str">
        <x:v>27488.5</x:v>
      </x:c>
      <x:c r="AY705" s="6" t="str">
        <x:v>8.25</x:v>
      </x:c>
      <x:c r="AZ705" s="9" t="str">
        <x:v>0.2473833136441255</x:v>
      </x:c>
      <x:c r="BA705" s="9" t="str">
        <x:v>0.14243281694661772</x:v>
      </x:c>
      <x:c r="BB705" s="9" t="str">
        <x:v>1.499292809964397</x:v>
      </x:c>
      <x:c r="BC705" s="9" t="str">
        <x:v>0.26987270579359146</x:v>
      </x:c>
      <x:c r="BD705" s="6" t="str">
        <x:v>0.56</x:v>
      </x:c>
      <x:c r="BE705" s="6" t="str">
        <x:v>0.26</x:v>
      </x:c>
      <x:c r="BF705" s="9" t="str">
        <x:v>0.3898161305907432</x:v>
      </x:c>
      <x:c r="BG705" s="9" t="str">
        <x:v>0.8396039735800623</x:v>
      </x:c>
      <x:c r="BH705" s="6" t="str">
        <x:v>Against trade</x:v>
      </x:c>
      <x:c r="BI705" s="6" t="str">
        <x:v>Penetration + same-bar reclaim</x:v>
      </x:c>
      <x:c r="BJ705" s="6" t="str">
        <x:v>False</x:v>
      </x:c>
      <x:c r="BK705" s="10" t="str">
        <x:v>True</x:v>
      </x:c>
      <x:c r="BL705" s="6" t="str">
        <x:v>True</x:v>
      </x:c>
      <x:c r="BM705" s="7" t="str">
        <x:v>2026-06-25 07:45:00-05:00</x:v>
      </x:c>
      <x:c r="BN705" s="8" t="str">
        <x:v>2</x:v>
      </x:c>
      <x:c r="BO705" s="6" t="str">
        <x:v>Delayed confirmation (2+ bars)</x:v>
      </x:c>
      <x:c r="BP705" s="9" t="str">
        <x:v>0.40169978017156577</x:v>
      </x:c>
      <x:c r="BQ705" s="9" t="str">
        <x:v>1.1539739139474072</x:v>
      </x:c>
      <x:c r="BR705" s="10" t="str">
        <x:v>0.34810126582278483</x:v>
      </x:c>
      <x:c r="BS705" s="9" t="str">
        <x:v>0.423610677271833</x:v>
      </x:c>
      <x:c r="BT705" s="9" t="str">
        <x:v>0.2848416623034739</x:v>
      </x:c>
      <x:c r="BU705" s="9" t="str">
        <x:v>0.1752871768021378</x:v>
      </x:c>
      <x:c r="BV705" s="6" t="str">
        <x:v>With trade</x:v>
      </x:c>
      <x:c r="BW705" s="7" t="str">
        <x:v>2026-06-25 07:45:00-05:00</x:v>
      </x:c>
      <x:c r="BX705" s="6" t="str">
        <x:v>27511.25</x:v>
      </x:c>
      <x:c r="BY705" s="9" t="str">
        <x:v>34.229543252743085</x:v>
      </x:c>
      <x:c r="BZ705" s="9" t="str">
        <x:v>1.0</x:v>
      </x:c>
      <x:c r="CA705" s="6" t="str">
        <x:v>27459.905685120884</x:v>
      </x:c>
      <x:c r="CB705" s="6" t="str">
        <x:v>51.3443148791157</x:v>
      </x:c>
      <x:c r="CC705" s="9" t="str">
        <x:v>1.5000000000000313</x:v>
      </x:c>
      <x:c r="CD705" s="6" t="str">
        <x:v>27613.938629758228</x:v>
      </x:c>
      <x:c r="CE705" s="6" t="str">
        <x:v>102.68862975822776</x:v>
      </x:c>
      <x:c r="CF705" s="6" t="str">
        <x:v>Fixed 2.00R target</x:v>
      </x:c>
      <x:c r="CG705" s="9" t="str">
        <x:v>0.014120355909060805</x:v>
      </x:c>
      <x:c r="CH705" s="9" t="str">
        <x:v>-1.0</x:v>
      </x:c>
      <x:c r="CI705" s="9" t="str">
        <x:v>-1.0141203559090608</x:v>
      </x:c>
      <x:c r="CJ705" s="6" t="str">
        <x:v>Loss</x:v>
      </x:c>
      <x:c r="CK705" s="9" t="str">
        <x:v>0.2775380299367124</x:v>
      </x:c>
      <x:c r="CL705" s="9" t="str">
        <x:v>1.066330325546316</x:v>
      </x:c>
      <x:c r="CM705" s="7" t="str">
        <x:v>2026-06-25 08:05:00-05:00</x:v>
      </x:c>
      <x:c r="CN705" s="6" t="str">
        <x:v>27459.905685120884</x:v>
      </x:c>
      <x:c r="CO705" s="6" t="str">
        <x:v>STOP</x:v>
      </x:c>
      <x:c r="CP705" s="6" t="str">
        <x:v>F::Long::Same-bar Setup+BOS::Penetration + same-bar reclaim</x:v>
      </x:c>
    </x:row>
    <x:row r="706" ht="18" customHeight="1">
      <x:c r="A706" s="6" t="str">
        <x:v>A0705</x:v>
      </x:c>
      <x:c r="B706" s="6" t="str">
        <x:v>2026-06-26</x:v>
      </x:c>
      <x:c r="C706" s="6" t="str">
        <x:v>2026</x:v>
      </x:c>
      <x:c r="D706" s="6" t="str">
        <x:v>2026-Q2</x:v>
      </x:c>
      <x:c r="E706" s="6" t="str">
        <x:v>Second 50%</x:v>
      </x:c>
      <x:c r="F706" s="6" t="str">
        <x:v>Short</x:v>
      </x:c>
      <x:c r="G706" s="6" t="str">
        <x:v>Short</x:v>
      </x:c>
      <x:c r="H706" s="6" t="str">
        <x:v>Afternoon</x:v>
      </x:c>
      <x:c r="I706" s="6" t="str">
        <x:v>Afternoon</x:v>
      </x:c>
      <x:c r="J706" s="6" t="str">
        <x:v>Bear</x:v>
      </x:c>
      <x:c r="K706" s="6" t="str">
        <x:v>Bear</x:v>
      </x:c>
      <x:c r="L706" s="6" t="str">
        <x:v>MID</x:v>
      </x:c>
      <x:c r="M706" s="7" t="str">
        <x:v>2026-06-26 14:55:00-05:00</x:v>
      </x:c>
      <x:c r="N706" s="6" t="str">
        <x:v>75.0</x:v>
      </x:c>
      <x:c r="O706" s="6" t="str">
        <x:v>75-79</x:v>
      </x:c>
      <x:c r="P706" s="6" t="str">
        <x:v>Matching BOS only</x:v>
      </x:c>
      <x:c r="Q706" s="6" t="str">
        <x:v>Bear BOS</x:v>
      </x:c>
      <x:c r="R706" s="6" t="str">
        <x:v>True</x:v>
      </x:c>
      <x:c r="S706" s="6" t="str">
        <x:v>False</x:v>
      </x:c>
      <x:c r="T706" s="6" t="str">
        <x:v>No recent matching sweep</x:v>
      </x:c>
      <x:c r="U706" s="6" t="str">
        <x:v>None</x:v>
      </x:c>
      <x:c r="V706" s="6" t="str">
        <x:v>None</x:v>
      </x:c>
      <x:c r="W706" s="6" t="str">
        <x:v>[]</x:v>
      </x:c>
      <x:c r="X706" s="8" t="str">
        <x:v>0</x:v>
      </x:c>
      <x:c r="Y706" s="8" t="str"/>
      <x:c r="Z706" s="6" t="str">
        <x:v>None</x:v>
      </x:c>
      <x:c r="AA706" s="6" t="str">
        <x:v>26692.5</x:v>
      </x:c>
      <x:c r="AB706" s="9" t="str">
        <x:v>1.0819818863501263</x:v>
      </x:c>
      <x:c r="AC706" s="9" t="str">
        <x:v>2.0189558910244623</x:v>
      </x:c>
      <x:c r="AD706" s="9" t="str">
        <x:v>2.751431601027812</x:v>
      </x:c>
      <x:c r="AE706" s="6" t="str">
        <x:v>With trade</x:v>
      </x:c>
      <x:c r="AF706" s="7" t="str">
        <x:v>2026-06-26 14:55:00-05:00</x:v>
      </x:c>
      <x:c r="AG706" s="6" t="str">
        <x:v>Short</x:v>
      </x:c>
      <x:c r="AH706" s="6" t="str">
        <x:v>26692.5</x:v>
      </x:c>
      <x:c r="AI706" s="8" t="str">
        <x:v>0</x:v>
      </x:c>
      <x:c r="AJ706" s="6" t="str">
        <x:v>True</x:v>
      </x:c>
      <x:c r="AK706" s="6" t="str">
        <x:v>Same-bar Setup+BOS</x:v>
      </x:c>
      <x:c r="AL706" s="9" t="str">
        <x:v>2.0301103434610615</x:v>
      </x:c>
      <x:c r="AM706" s="9" t="str">
        <x:v>1.0819818863501263</x:v>
      </x:c>
      <x:c r="AN706" s="9" t="str">
        <x:v>2.0189558910244623</x:v>
      </x:c>
      <x:c r="AO706" s="9" t="str">
        <x:v>2.751431601027812</x:v>
      </x:c>
      <x:c r="AP706" s="10" t="str">
        <x:v>0.7337837837837838</x:v>
      </x:c>
      <x:c r="AQ706" s="6" t="str">
        <x:v>0.0918918918918919</x:v>
      </x:c>
      <x:c r="AR706" s="6" t="str">
        <x:v>0.17432432432432432</x:v>
      </x:c>
      <x:c r="AS706" s="6" t="str">
        <x:v>With trade</x:v>
      </x:c>
      <x:c r="AT706" s="6" t="str">
        <x:v>5.06687416499053</x:v>
      </x:c>
      <x:c r="AU706" s="7" t="str">
        <x:v>2026-06-26 15:00:00-05:00</x:v>
      </x:c>
      <x:c r="AV706" s="8" t="str">
        <x:v>1</x:v>
      </x:c>
      <x:c r="AW706" s="6" t="str">
        <x:v>Immediate retest (1 bar)</x:v>
      </x:c>
      <x:c r="AX706" s="6" t="str">
        <x:v>26713.75</x:v>
      </x:c>
      <x:c r="AY706" s="6" t="str">
        <x:v>21.25</x:v>
      </x:c>
      <x:c r="AZ706" s="9" t="str">
        <x:v>0.29228550424210076</x:v>
      </x:c>
      <x:c r="BA706" s="9" t="str">
        <x:v>1.1966512408970713</x:v>
      </x:c>
      <x:c r="BB706" s="9" t="str">
        <x:v>1.9772254698730345</x:v>
      </x:c>
      <x:c r="BC706" s="9" t="str">
        <x:v>0.22351244442043</x:v>
      </x:c>
      <x:c r="BD706" s="6" t="str">
        <x:v>0.64</x:v>
      </x:c>
      <x:c r="BE706" s="6" t="str">
        <x:v>0.24695652173913044</x:v>
      </x:c>
      <x:c r="BF706" s="9" t="str">
        <x:v>1.265424300718742</x:v>
      </x:c>
      <x:c r="BG706" s="9" t="str">
        <x:v>0.4882887247338624</x:v>
      </x:c>
      <x:c r="BH706" s="6" t="str">
        <x:v>With trade</x:v>
      </x:c>
      <x:c r="BI706" s="6" t="str">
        <x:v>Penetration + same-bar reclaim</x:v>
      </x:c>
      <x:c r="BJ706" s="6" t="str">
        <x:v>False</x:v>
      </x:c>
      <x:c r="BK706" s="10" t="str">
        <x:v>True</x:v>
      </x:c>
      <x:c r="BL706" s="6" t="str">
        <x:v>True</x:v>
      </x:c>
      <x:c r="BM706" s="7" t="str">
        <x:v>2026-06-26 15:25:00-05:00</x:v>
      </x:c>
      <x:c r="BN706" s="8" t="str">
        <x:v>5</x:v>
      </x:c>
      <x:c r="BO706" s="6" t="str">
        <x:v>Delayed confirmation (2+ bars)</x:v>
      </x:c>
      <x:c r="BP706" s="9" t="str">
        <x:v>0.4693199444359945</x:v>
      </x:c>
      <x:c r="BQ706" s="9" t="str">
        <x:v>0.6766029198952254</x:v>
      </x:c>
      <x:c r="BR706" s="10" t="str">
        <x:v>0.6936416184971098</x:v>
      </x:c>
      <x:c r="BS706" s="9" t="str">
        <x:v>0.7430899120236579</x:v>
      </x:c>
      <x:c r="BT706" s="9" t="str">
        <x:v>-0.617937926840726</x:v>
      </x:c>
      <x:c r="BU706" s="9" t="str">
        <x:v>0.19554997684833103</x:v>
      </x:c>
      <x:c r="BV706" s="6" t="str">
        <x:v>With trade</x:v>
      </x:c>
      <x:c r="BW706" s="7" t="str">
        <x:v>2026-06-26 15:25:00-05:00</x:v>
      </x:c>
      <x:c r="BX706" s="6" t="str">
        <x:v>26645.0</x:v>
      </x:c>
      <x:c r="BY706" s="9" t="str">
        <x:v>63.92227808697224</x:v>
      </x:c>
      <x:c r="BZ706" s="9" t="str">
        <x:v>0.55</x:v>
      </x:c>
      <x:c r="CA706" s="6" t="str">
        <x:v>26740.88341713046</x:v>
      </x:c>
      <x:c r="CB706" s="6" t="str">
        <x:v>95.88341713045884</x:v>
      </x:c>
      <x:c r="CC706" s="9" t="str">
        <x:v>1.5000000000000075</x:v>
      </x:c>
      <x:c r="CD706" s="6" t="str">
        <x:v>26453.233165739082</x:v>
      </x:c>
      <x:c r="CE706" s="6" t="str">
        <x:v>191.76683426091768</x:v>
      </x:c>
      <x:c r="CF706" s="6" t="str">
        <x:v>Fixed 2.00R target</x:v>
      </x:c>
      <x:c r="CG706" s="9" t="str">
        <x:v>0.007561265771468762</x:v>
      </x:c>
      <x:c r="CH706" s="9" t="str">
        <x:v>0.6075085947421485</x:v>
      </x:c>
      <x:c r="CI706" s="9" t="str">
        <x:v>0.5999473289706797</x:v>
      </x:c>
      <x:c r="CJ706" s="6" t="str">
        <x:v>Win</x:v>
      </x:c>
      <x:c r="CK706" s="9" t="str">
        <x:v>0.8995298935023183</x:v>
      </x:c>
      <x:c r="CL706" s="9" t="str">
        <x:v>0.07300532469004323</x:v>
      </x:c>
      <x:c r="CM706" s="7" t="str">
        <x:v>2026-06-26 15:55:00-05:00</x:v>
      </x:c>
      <x:c r="CN706" s="6" t="str">
        <x:v>26586.75</x:v>
      </x:c>
      <x:c r="CO706" s="6" t="str">
        <x:v>WINDOW_END</x:v>
      </x:c>
      <x:c r="CP706" s="6" t="str">
        <x:v>F::Short::Same-bar Setup+BOS::Penetration + same-bar reclaim</x:v>
      </x:c>
    </x:row>
  </x:sheetData>
  <x:conditionalFormatting sqref="CI2:CI706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10" hidden="0" customWidth="1"/>
    <x:col min="4" max="4" width="45" hidden="0" customWidth="1"/>
    <x:col min="5" max="5" width="45" hidden="0" customWidth="1"/>
    <x:col min="6" max="6" width="17" hidden="0" customWidth="1"/>
    <x:col min="7" max="7" width="14" hidden="0" customWidth="1"/>
    <x:col min="8" max="8" width="10" hidden="0" customWidth="1"/>
    <x:col min="9" max="9" width="16" hidden="0" customWidth="1"/>
    <x:col min="10" max="10" width="12" hidden="0" customWidth="1"/>
    <x:col min="11" max="11" width="14" hidden="0" customWidth="1"/>
    <x:col min="12" max="12" width="13" hidden="0" customWidth="1"/>
    <x:col min="13" max="13" width="20" hidden="0" customWidth="1"/>
    <x:col min="14" max="14" width="12" hidden="0" customWidth="1"/>
    <x:col min="15" max="15" width="16" hidden="0" customWidth="1"/>
    <x:col min="16" max="16" width="14" hidden="0" customWidth="1"/>
    <x:col min="17" max="17" width="10" hidden="0" customWidth="1"/>
    <x:col min="18" max="18" width="15" hidden="0" customWidth="1"/>
    <x:col min="19" max="19" width="10" hidden="0" customWidth="1"/>
    <x:col min="20" max="20" width="12" hidden="0" customWidth="1"/>
    <x:col min="21" max="21" width="11" hidden="0" customWidth="1"/>
    <x:col min="22" max="22" width="18" hidden="0" customWidth="1"/>
    <x:col min="23" max="23" width="10" hidden="0" customWidth="1"/>
    <x:col min="24" max="24" width="14" hidden="0" customWidth="1"/>
    <x:col min="25" max="25" width="12" hidden="0" customWidth="1"/>
    <x:col min="26" max="26" width="10" hidden="0" customWidth="1"/>
    <x:col min="27" max="27" width="13" hidden="0" customWidth="1"/>
    <x:col min="28" max="28" width="11" hidden="0" customWidth="1"/>
    <x:col min="29" max="29" width="11" hidden="0" customWidth="1"/>
  </x:cols>
  <x:sheetData>
    <x:row r="1" ht="46" customHeight="1">
      <x:c r="A1" s="5" t="str">
        <x:v>analysis_level</x:v>
      </x:c>
      <x:c r="B1" s="5" t="str">
        <x:v>dimension</x:v>
      </x:c>
      <x:c r="C1" s="5" t="str">
        <x:v>category</x:v>
      </x:c>
      <x:c r="D1" s="5" t="str">
        <x:v>family_id</x:v>
      </x:c>
      <x:c r="E1" s="5" t="str">
        <x:v>family_definition</x:v>
      </x:c>
      <x:c r="F1" s="5" t="str">
        <x:v>direction_slice</x:v>
      </x:c>
      <x:c r="G1" s="5" t="str">
        <x:v>sample_label</x:v>
      </x:c>
      <x:c r="H1" s="5" t="str">
        <x:v>N</x:v>
      </x:c>
      <x:c r="I1" s="5" t="str">
        <x:v>pct_all_trades</x:v>
      </x:c>
      <x:c r="J1" s="5" t="str">
        <x:v>gross_wins</x:v>
      </x:c>
      <x:c r="K1" s="5" t="str">
        <x:v>gross_losses</x:v>
      </x:c>
      <x:c r="L1" s="5" t="str">
        <x:v>gross_flats</x:v>
      </x:c>
      <x:c r="M1" s="5" t="str">
        <x:v>gross_win_rate_pct</x:v>
      </x:c>
      <x:c r="N1" s="5" t="str">
        <x:v>gross_AvgR</x:v>
      </x:c>
      <x:c r="O1" s="5" t="str">
        <x:v>gross_median_R</x:v>
      </x:c>
      <x:c r="P1" s="5" t="str">
        <x:v>gross_TotalR</x:v>
      </x:c>
      <x:c r="Q1" s="5" t="str">
        <x:v>gross_PF</x:v>
      </x:c>
      <x:c r="R1" s="5" t="str">
        <x:v>gross_MaxDD_R</x:v>
      </x:c>
      <x:c r="S1" s="5" t="str">
        <x:v>net_wins</x:v>
      </x:c>
      <x:c r="T1" s="5" t="str">
        <x:v>net_losses</x:v>
      </x:c>
      <x:c r="U1" s="5" t="str">
        <x:v>net_flats</x:v>
      </x:c>
      <x:c r="V1" s="5" t="str">
        <x:v>net_win_rate_pct</x:v>
      </x:c>
      <x:c r="W1" s="5" t="str">
        <x:v>net_AvgR</x:v>
      </x:c>
      <x:c r="X1" s="5" t="str">
        <x:v>net_median_R</x:v>
      </x:c>
      <x:c r="Y1" s="5" t="str">
        <x:v>net_TotalR</x:v>
      </x:c>
      <x:c r="Z1" s="5" t="str">
        <x:v>net_PF</x:v>
      </x:c>
      <x:c r="AA1" s="5" t="str">
        <x:v>net_MaxDD_R</x:v>
      </x:c>
      <x:c r="AB1" s="5" t="str">
        <x:v>avg_MFE_R</x:v>
      </x:c>
      <x:c r="AC1" s="5" t="str">
        <x:v>avg_MAE_R</x:v>
      </x:c>
    </x:row>
    <x:row r="2" ht="18" customHeight="1">
      <x:c r="A2" s="6" t="str">
        <x:v>Single factor</x:v>
      </x:c>
      <x:c r="B2" s="6" t="str">
        <x:v>Direction</x:v>
      </x:c>
      <x:c r="C2" s="6" t="str">
        <x:v>Long</x:v>
      </x:c>
      <x:c r="D2" s="6" t="str"/>
      <x:c r="E2" s="6" t="str"/>
      <x:c r="F2" s="6" t="str">
        <x:v>All</x:v>
      </x:c>
      <x:c r="G2" s="6" t="str">
        <x:v>ADEQUATE N</x:v>
      </x:c>
      <x:c r="H2" s="8" t="str">
        <x:v>362</x:v>
      </x:c>
      <x:c r="I2" s="10" t="str">
        <x:v>51.347517730496456</x:v>
      </x:c>
      <x:c r="J2" s="8" t="str">
        <x:v>155</x:v>
      </x:c>
      <x:c r="K2" s="8" t="str">
        <x:v>206</x:v>
      </x:c>
      <x:c r="L2" s="8" t="str">
        <x:v>1</x:v>
      </x:c>
      <x:c r="M2" s="10" t="str">
        <x:v>42.81767955801105</x:v>
      </x:c>
      <x:c r="N2" s="9" t="str">
        <x:v>-0.046083697371847025</x:v>
      </x:c>
      <x:c r="O2" s="9" t="str">
        <x:v>-0.5107645514584898</x:v>
      </x:c>
      <x:c r="P2" s="9" t="str">
        <x:v>-16.682298448608623</x:v>
      </x:c>
      <x:c r="Q2" s="9" t="str">
        <x:v>0.9081052039754833</x:v>
      </x:c>
      <x:c r="R2" s="9" t="str">
        <x:v>27.122678931948105</x:v>
      </x:c>
      <x:c r="S2" s="8" t="str">
        <x:v>153</x:v>
      </x:c>
      <x:c r="T2" s="8" t="str">
        <x:v>209</x:v>
      </x:c>
      <x:c r="U2" s="8" t="str">
        <x:v>0</x:v>
      </x:c>
      <x:c r="V2" s="10" t="str">
        <x:v>42.26519337016575</x:v>
      </x:c>
      <x:c r="W2" s="9" t="str">
        <x:v>-0.07918715063492883</x:v>
      </x:c>
      <x:c r="X2" s="9" t="str">
        <x:v>-0.5384508455502213</x:v>
      </x:c>
      <x:c r="Y2" s="9" t="str">
        <x:v>-28.665748529844237</x:v>
      </x:c>
      <x:c r="Z2" s="9" t="str">
        <x:v>0.8481279008208226</x:v>
      </x:c>
      <x:c r="AA2" s="9" t="str">
        <x:v>36.58567197245706</x:v>
      </x:c>
      <x:c r="AB2" s="9" t="str">
        <x:v>0.9470253953625475</x:v>
      </x:c>
      <x:c r="AC2" s="9" t="str">
        <x:v>0.9086052151015405</x:v>
      </x:c>
    </x:row>
    <x:row r="3" ht="18" customHeight="1">
      <x:c r="A3" s="6" t="str">
        <x:v>Single factor</x:v>
      </x:c>
      <x:c r="B3" s="6" t="str">
        <x:v>Direction</x:v>
      </x:c>
      <x:c r="C3" s="6" t="str">
        <x:v>Short</x:v>
      </x:c>
      <x:c r="D3" s="6" t="str"/>
      <x:c r="E3" s="6" t="str"/>
      <x:c r="F3" s="6" t="str">
        <x:v>All</x:v>
      </x:c>
      <x:c r="G3" s="6" t="str">
        <x:v>ADEQUATE N</x:v>
      </x:c>
      <x:c r="H3" s="8" t="str">
        <x:v>343</x:v>
      </x:c>
      <x:c r="I3" s="10" t="str">
        <x:v>48.652482269503544</x:v>
      </x:c>
      <x:c r="J3" s="8" t="str">
        <x:v>134</x:v>
      </x:c>
      <x:c r="K3" s="8" t="str">
        <x:v>209</x:v>
      </x:c>
      <x:c r="L3" s="8" t="str">
        <x:v>0</x:v>
      </x:c>
      <x:c r="M3" s="10" t="str">
        <x:v>39.067055393586</x:v>
      </x:c>
      <x:c r="N3" s="9" t="str">
        <x:v>-0.026059163007525962</x:v>
      </x:c>
      <x:c r="O3" s="9" t="str">
        <x:v>-1.0</x:v>
      </x:c>
      <x:c r="P3" s="9" t="str">
        <x:v>-8.938292911581405</x:v>
      </x:c>
      <x:c r="Q3" s="9" t="str">
        <x:v>0.9520989289043768</x:v>
      </x:c>
      <x:c r="R3" s="9" t="str">
        <x:v>24.790051472734717</x:v>
      </x:c>
      <x:c r="S3" s="8" t="str">
        <x:v>131</x:v>
      </x:c>
      <x:c r="T3" s="8" t="str">
        <x:v>212</x:v>
      </x:c>
      <x:c r="U3" s="8" t="str">
        <x:v>0</x:v>
      </x:c>
      <x:c r="V3" s="10" t="str">
        <x:v>38.19241982507289</x:v>
      </x:c>
      <x:c r="W3" s="9" t="str">
        <x:v>-0.0594265817034214</x:v>
      </x:c>
      <x:c r="X3" s="9" t="str">
        <x:v>-1.0065409858650949</x:v>
      </x:c>
      <x:c r="Y3" s="9" t="str">
        <x:v>-20.38331752427354</x:v>
      </x:c>
      <x:c r="Z3" s="9" t="str">
        <x:v>0.8948250144577898</x:v>
      </x:c>
      <x:c r="AA3" s="9" t="str">
        <x:v>30.824540366654986</x:v>
      </x:c>
      <x:c r="AB3" s="9" t="str">
        <x:v>1.0953801990489356</x:v>
      </x:c>
      <x:c r="AC3" s="9" t="str">
        <x:v>0.8914863887201852</x:v>
      </x:c>
    </x:row>
    <x:row r="4" ht="18" customHeight="1">
      <x:c r="A4" s="6" t="str">
        <x:v>Single factor</x:v>
      </x:c>
      <x:c r="B4" s="6" t="str">
        <x:v>Entry session</x:v>
      </x:c>
      <x:c r="C4" s="6" t="str">
        <x:v>After-hours</x:v>
      </x:c>
      <x:c r="D4" s="6" t="str"/>
      <x:c r="E4" s="6" t="str"/>
      <x:c r="F4" s="6" t="str">
        <x:v>All</x:v>
      </x:c>
      <x:c r="G4" s="6" t="str">
        <x:v>SMALL SAMPLE</x:v>
      </x:c>
      <x:c r="H4" s="8" t="str">
        <x:v>5</x:v>
      </x:c>
      <x:c r="I4" s="10" t="str">
        <x:v>0.7092198581560284</x:v>
      </x:c>
      <x:c r="J4" s="8" t="str">
        <x:v>4</x:v>
      </x:c>
      <x:c r="K4" s="8" t="str">
        <x:v>1</x:v>
      </x:c>
      <x:c r="L4" s="8" t="str">
        <x:v>0</x:v>
      </x:c>
      <x:c r="M4" s="10" t="str">
        <x:v>80.0</x:v>
      </x:c>
      <x:c r="N4" s="9" t="str">
        <x:v>0.6270825677040843</x:v>
      </x:c>
      <x:c r="O4" s="9" t="str">
        <x:v>0.8750940776693686</x:v>
      </x:c>
      <x:c r="P4" s="9" t="str">
        <x:v>3.1354128385204216</x:v>
      </x:c>
      <x:c r="Q4" s="9" t="str">
        <x:v>4.135412838520422</x:v>
      </x:c>
      <x:c r="R4" s="9" t="str">
        <x:v>1.0</x:v>
      </x:c>
      <x:c r="S4" s="8" t="str">
        <x:v>4</x:v>
      </x:c>
      <x:c r="T4" s="8" t="str">
        <x:v>1</x:v>
      </x:c>
      <x:c r="U4" s="8" t="str">
        <x:v>0</x:v>
      </x:c>
      <x:c r="V4" s="10" t="str">
        <x:v>80.0</x:v>
      </x:c>
      <x:c r="W4" s="9" t="str">
        <x:v>0.601319145620713</x:v>
      </x:c>
      <x:c r="X4" s="9" t="str">
        <x:v>0.819925103207598</x:v>
      </x:c>
      <x:c r="Y4" s="9" t="str">
        <x:v>3.006595728103565</x:v>
      </x:c>
      <x:c r="Z4" s="9" t="str">
        <x:v>3.970340889730544</x:v>
      </x:c>
      <x:c r="AA4" s="9" t="str">
        <x:v>1.0122056153549126</x:v>
      </x:c>
      <x:c r="AB4" s="9" t="str">
        <x:v>1.1753493869788532</x:v>
      </x:c>
      <x:c r="AC4" s="9" t="str">
        <x:v>0.6434338039370663</x:v>
      </x:c>
    </x:row>
    <x:row r="5" ht="18" customHeight="1">
      <x:c r="A5" s="6" t="str">
        <x:v>Single factor</x:v>
      </x:c>
      <x:c r="B5" s="6" t="str">
        <x:v>Entry session</x:v>
      </x:c>
      <x:c r="C5" s="6" t="str">
        <x:v>Afternoon</x:v>
      </x:c>
      <x:c r="D5" s="6" t="str"/>
      <x:c r="E5" s="6" t="str"/>
      <x:c r="F5" s="6" t="str">
        <x:v>All</x:v>
      </x:c>
      <x:c r="G5" s="6" t="str">
        <x:v>ADEQUATE N</x:v>
      </x:c>
      <x:c r="H5" s="8" t="str">
        <x:v>83</x:v>
      </x:c>
      <x:c r="I5" s="10" t="str">
        <x:v>11.77304964539007</x:v>
      </x:c>
      <x:c r="J5" s="8" t="str">
        <x:v>30</x:v>
      </x:c>
      <x:c r="K5" s="8" t="str">
        <x:v>52</x:v>
      </x:c>
      <x:c r="L5" s="8" t="str">
        <x:v>1</x:v>
      </x:c>
      <x:c r="M5" s="10" t="str">
        <x:v>36.144578313253014</x:v>
      </x:c>
      <x:c r="N5" s="9" t="str">
        <x:v>-0.10579844500557536</x:v>
      </x:c>
      <x:c r="O5" s="9" t="str">
        <x:v>-0.3635477599214254</x:v>
      </x:c>
      <x:c r="P5" s="9" t="str">
        <x:v>-8.781270935462755</x:v>
      </x:c>
      <x:c r="Q5" s="9" t="str">
        <x:v>0.782902303256784</x:v>
      </x:c>
      <x:c r="R5" s="9" t="str">
        <x:v>11.37826485279924</x:v>
      </x:c>
      <x:c r="S5" s="8" t="str">
        <x:v>29</x:v>
      </x:c>
      <x:c r="T5" s="8" t="str">
        <x:v>54</x:v>
      </x:c>
      <x:c r="U5" s="8" t="str">
        <x:v>0</x:v>
      </x:c>
      <x:c r="V5" s="10" t="str">
        <x:v>34.93975903614458</x:v>
      </x:c>
      <x:c r="W5" s="9" t="str">
        <x:v>-0.12891215795595704</x:v>
      </x:c>
      <x:c r="X5" s="9" t="str">
        <x:v>-0.37799006819227626</x:v>
      </x:c>
      <x:c r="Y5" s="9" t="str">
        <x:v>-10.699709110344434</x:v>
      </x:c>
      <x:c r="Z5" s="9" t="str">
        <x:v>0.743693989331061</x:v>
      </x:c>
      <x:c r="AA5" s="9" t="str">
        <x:v>13.046092518336868</x:v>
      </x:c>
      <x:c r="AB5" s="9" t="str">
        <x:v>0.9286885592674413</x:v>
      </x:c>
      <x:c r="AC5" s="9" t="str">
        <x:v>0.9236175105342669</x:v>
      </x:c>
    </x:row>
    <x:row r="6" ht="18" customHeight="1">
      <x:c r="A6" s="6" t="str">
        <x:v>Single factor direction slice</x:v>
      </x:c>
      <x:c r="B6" s="6" t="str">
        <x:v>Entry session</x:v>
      </x:c>
      <x:c r="C6" s="6" t="str">
        <x:v>Afternoon</x:v>
      </x:c>
      <x:c r="D6" s="6" t="str"/>
      <x:c r="E6" s="6" t="str"/>
      <x:c r="F6" s="6" t="str">
        <x:v>Long</x:v>
      </x:c>
      <x:c r="G6" s="6" t="str">
        <x:v>ADEQUATE N</x:v>
      </x:c>
      <x:c r="H6" s="8" t="str">
        <x:v>39</x:v>
      </x:c>
      <x:c r="I6" s="10" t="str">
        <x:v>5.531914893617022</x:v>
      </x:c>
      <x:c r="J6" s="8" t="str">
        <x:v>11</x:v>
      </x:c>
      <x:c r="K6" s="8" t="str">
        <x:v>27</x:v>
      </x:c>
      <x:c r="L6" s="8" t="str">
        <x:v>1</x:v>
      </x:c>
      <x:c r="M6" s="10" t="str">
        <x:v>28.205128205128204</x:v>
      </x:c>
      <x:c r="N6" s="9" t="str">
        <x:v>-0.28615898292706443</x:v>
      </x:c>
      <x:c r="O6" s="9" t="str">
        <x:v>-0.5182663005245425</x:v>
      </x:c>
      <x:c r="P6" s="9" t="str">
        <x:v>-11.160200334155512</x:v>
      </x:c>
      <x:c r="Q6" s="9" t="str">
        <x:v>0.4812826948477947</x:v>
      </x:c>
      <x:c r="R6" s="9" t="str">
        <x:v>14.64495648421532</x:v>
      </x:c>
      <x:c r="S6" s="8" t="str">
        <x:v>11</x:v>
      </x:c>
      <x:c r="T6" s="8" t="str">
        <x:v>28</x:v>
      </x:c>
      <x:c r="U6" s="8" t="str">
        <x:v>0</x:v>
      </x:c>
      <x:c r="V6" s="10" t="str">
        <x:v>28.205128205128204</x:v>
      </x:c>
      <x:c r="W6" s="9" t="str">
        <x:v>-0.30932602096216383</x:v>
      </x:c>
      <x:c r="X6" s="9" t="str">
        <x:v>-0.5388594396348314</x:v>
      </x:c>
      <x:c r="Y6" s="9" t="str">
        <x:v>-12.063714817524389</x:v>
      </x:c>
      <x:c r="Z6" s="9" t="str">
        <x:v>0.45591186337127865</x:v>
      </x:c>
      <x:c r="AA6" s="9" t="str">
        <x:v>15.40634485378529</x:v>
      </x:c>
      <x:c r="AB6" s="9" t="str">
        <x:v>0.7620681833736965</x:v>
      </x:c>
      <x:c r="AC6" s="9" t="str">
        <x:v>0.9863655163901303</x:v>
      </x:c>
    </x:row>
    <x:row r="7" ht="18" customHeight="1">
      <x:c r="A7" s="6" t="str">
        <x:v>Single factor direction slice</x:v>
      </x:c>
      <x:c r="B7" s="6" t="str">
        <x:v>Entry session</x:v>
      </x:c>
      <x:c r="C7" s="6" t="str">
        <x:v>Afternoon</x:v>
      </x:c>
      <x:c r="D7" s="6" t="str"/>
      <x:c r="E7" s="6" t="str"/>
      <x:c r="F7" s="6" t="str">
        <x:v>Short</x:v>
      </x:c>
      <x:c r="G7" s="6" t="str">
        <x:v>ADEQUATE N</x:v>
      </x:c>
      <x:c r="H7" s="8" t="str">
        <x:v>44</x:v>
      </x:c>
      <x:c r="I7" s="10" t="str">
        <x:v>6.24113475177305</x:v>
      </x:c>
      <x:c r="J7" s="8" t="str">
        <x:v>19</x:v>
      </x:c>
      <x:c r="K7" s="8" t="str">
        <x:v>25</x:v>
      </x:c>
      <x:c r="L7" s="8" t="str">
        <x:v>0</x:v>
      </x:c>
      <x:c r="M7" s="10" t="str">
        <x:v>43.18181818181818</x:v>
      </x:c>
      <x:c r="N7" s="9" t="str">
        <x:v>0.05406657724301725</x:v>
      </x:c>
      <x:c r="O7" s="9" t="str">
        <x:v>-0.12305702358130749</x:v>
      </x:c>
      <x:c r="P7" s="9" t="str">
        <x:v>2.378929398692759</x:v>
      </x:c>
      <x:c r="Q7" s="9" t="str">
        <x:v>1.1256467021771204</x:v>
      </x:c>
      <x:c r="R7" s="9" t="str">
        <x:v>3.6872782948725775</x:v>
      </x:c>
      <x:c r="S7" s="8" t="str">
        <x:v>18</x:v>
      </x:c>
      <x:c r="T7" s="8" t="str">
        <x:v>26</x:v>
      </x:c>
      <x:c r="U7" s="8" t="str">
        <x:v>0</x:v>
      </x:c>
      <x:c r="V7" s="10" t="str">
        <x:v>40.909090909090914</x:v>
      </x:c>
      <x:c r="W7" s="9" t="str">
        <x:v>0.031000129708635325</x:v>
      </x:c>
      <x:c r="X7" s="9" t="str">
        <x:v>-0.1546976314350328</x:v>
      </x:c>
      <x:c r="Y7" s="9" t="str">
        <x:v>1.3640057071799543</x:v>
      </x:c>
      <x:c r="Z7" s="9" t="str">
        <x:v>1.069686405203466</x:v>
      </x:c>
      <x:c r="AA7" s="9" t="str">
        <x:v>3.8200323689725915</x:v>
      </x:c>
      <x:c r="AB7" s="9" t="str">
        <x:v>1.0763748015368966</x:v>
      </x:c>
      <x:c r="AC7" s="9" t="str">
        <x:v>0.8679999598892966</x:v>
      </x:c>
    </x:row>
    <x:row r="8" ht="18" customHeight="1">
      <x:c r="A8" s="6" t="str">
        <x:v>Single factor</x:v>
      </x:c>
      <x:c r="B8" s="6" t="str">
        <x:v>Entry session</x:v>
      </x:c>
      <x:c r="C8" s="6" t="str">
        <x:v>Midday</x:v>
      </x:c>
      <x:c r="D8" s="6" t="str"/>
      <x:c r="E8" s="6" t="str"/>
      <x:c r="F8" s="6" t="str">
        <x:v>All</x:v>
      </x:c>
      <x:c r="G8" s="6" t="str">
        <x:v>ADEQUATE N</x:v>
      </x:c>
      <x:c r="H8" s="8" t="str">
        <x:v>95</x:v>
      </x:c>
      <x:c r="I8" s="10" t="str">
        <x:v>13.47517730496454</x:v>
      </x:c>
      <x:c r="J8" s="8" t="str">
        <x:v>43</x:v>
      </x:c>
      <x:c r="K8" s="8" t="str">
        <x:v>52</x:v>
      </x:c>
      <x:c r="L8" s="8" t="str">
        <x:v>0</x:v>
      </x:c>
      <x:c r="M8" s="10" t="str">
        <x:v>45.26315789473684</x:v>
      </x:c>
      <x:c r="N8" s="9" t="str">
        <x:v>0.02633207927601119</x:v>
      </x:c>
      <x:c r="O8" s="9" t="str">
        <x:v>-0.14470675008118897</x:v>
      </x:c>
      <x:c r="P8" s="9" t="str">
        <x:v>2.501547531221063</x:v>
      </x:c>
      <x:c r="Q8" s="9" t="str">
        <x:v>1.0577427743175305</x:v>
      </x:c>
      <x:c r="R8" s="9" t="str">
        <x:v>8.576068349279451</x:v>
      </x:c>
      <x:c r="S8" s="8" t="str">
        <x:v>43</x:v>
      </x:c>
      <x:c r="T8" s="8" t="str">
        <x:v>52</x:v>
      </x:c>
      <x:c r="U8" s="8" t="str">
        <x:v>0</x:v>
      </x:c>
      <x:c r="V8" s="10" t="str">
        <x:v>45.26315789473684</x:v>
      </x:c>
      <x:c r="W8" s="9" t="str">
        <x:v>0.005446184997352236</x:v>
      </x:c>
      <x:c r="X8" s="9" t="str">
        <x:v>-0.15731662267676977</x:v>
      </x:c>
      <x:c r="Y8" s="9" t="str">
        <x:v>0.5173875747484624</x:v>
      </x:c>
      <x:c r="Z8" s="9" t="str">
        <x:v>1.011661326223213</x:v>
      </x:c>
      <x:c r="AA8" s="9" t="str">
        <x:v>9.18274971104093</x:v>
      </x:c>
      <x:c r="AB8" s="9" t="str">
        <x:v>0.9475130287034952</x:v>
      </x:c>
      <x:c r="AC8" s="9" t="str">
        <x:v>0.774047131917109</x:v>
      </x:c>
    </x:row>
    <x:row r="9" ht="18" customHeight="1">
      <x:c r="A9" s="6" t="str">
        <x:v>Single factor direction slice</x:v>
      </x:c>
      <x:c r="B9" s="6" t="str">
        <x:v>Entry session</x:v>
      </x:c>
      <x:c r="C9" s="6" t="str">
        <x:v>Midday</x:v>
      </x:c>
      <x:c r="D9" s="6" t="str"/>
      <x:c r="E9" s="6" t="str"/>
      <x:c r="F9" s="6" t="str">
        <x:v>Long</x:v>
      </x:c>
      <x:c r="G9" s="6" t="str">
        <x:v>ADEQUATE N</x:v>
      </x:c>
      <x:c r="H9" s="8" t="str">
        <x:v>52</x:v>
      </x:c>
      <x:c r="I9" s="10" t="str">
        <x:v>7.375886524822695</x:v>
      </x:c>
      <x:c r="J9" s="8" t="str">
        <x:v>26</x:v>
      </x:c>
      <x:c r="K9" s="8" t="str">
        <x:v>26</x:v>
      </x:c>
      <x:c r="L9" s="8" t="str">
        <x:v>0</x:v>
      </x:c>
      <x:c r="M9" s="10" t="str">
        <x:v>50.0</x:v>
      </x:c>
      <x:c r="N9" s="9" t="str">
        <x:v>-0.03400060226719824</x:v>
      </x:c>
      <x:c r="O9" s="9" t="str">
        <x:v>-0.007335103373494949</x:v>
      </x:c>
      <x:c r="P9" s="9" t="str">
        <x:v>-1.7680313178943086</x:v>
      </x:c>
      <x:c r="Q9" s="9" t="str">
        <x:v>0.9137196660188915</x:v>
      </x:c>
      <x:c r="R9" s="9" t="str">
        <x:v>7.164960494501058</x:v>
      </x:c>
      <x:c r="S9" s="8" t="str">
        <x:v>26</x:v>
      </x:c>
      <x:c r="T9" s="8" t="str">
        <x:v>26</x:v>
      </x:c>
      <x:c r="U9" s="8" t="str">
        <x:v>0</x:v>
      </x:c>
      <x:c r="V9" s="10" t="str">
        <x:v>50.0</x:v>
      </x:c>
      <x:c r="W9" s="9" t="str">
        <x:v>-0.058003680138814614</x:v>
      </x:c>
      <x:c r="X9" s="9" t="str">
        <x:v>-0.03347425183268573</x:v>
      </x:c>
      <x:c r="Y9" s="9" t="str">
        <x:v>-3.01619136721836</x:v>
      </x:c>
      <x:c r="Z9" s="9" t="str">
        <x:v>0.8572265537363705</x:v>
      </x:c>
      <x:c r="AA9" s="9" t="str">
        <x:v>7.759027671871303</x:v>
      </x:c>
      <x:c r="AB9" s="9" t="str">
        <x:v>0.8061692592106595</x:v>
      </x:c>
      <x:c r="AC9" s="9" t="str">
        <x:v>0.7289960747566491</x:v>
      </x:c>
    </x:row>
    <x:row r="10" ht="18" customHeight="1">
      <x:c r="A10" s="6" t="str">
        <x:v>Single factor direction slice</x:v>
      </x:c>
      <x:c r="B10" s="6" t="str">
        <x:v>Entry session</x:v>
      </x:c>
      <x:c r="C10" s="6" t="str">
        <x:v>Midday</x:v>
      </x:c>
      <x:c r="D10" s="6" t="str"/>
      <x:c r="E10" s="6" t="str"/>
      <x:c r="F10" s="6" t="str">
        <x:v>Short</x:v>
      </x:c>
      <x:c r="G10" s="6" t="str">
        <x:v>ADEQUATE N</x:v>
      </x:c>
      <x:c r="H10" s="8" t="str">
        <x:v>43</x:v>
      </x:c>
      <x:c r="I10" s="10" t="str">
        <x:v>6.099290780141844</x:v>
      </x:c>
      <x:c r="J10" s="8" t="str">
        <x:v>17</x:v>
      </x:c>
      <x:c r="K10" s="8" t="str">
        <x:v>26</x:v>
      </x:c>
      <x:c r="L10" s="8" t="str">
        <x:v>0</x:v>
      </x:c>
      <x:c r="M10" s="10" t="str">
        <x:v>39.53488372093023</x:v>
      </x:c>
      <x:c r="N10" s="9" t="str">
        <x:v>0.09929253137477612</x:v>
      </x:c>
      <x:c r="O10" s="9" t="str">
        <x:v>-1.0</x:v>
      </x:c>
      <x:c r="P10" s="9" t="str">
        <x:v>4.269578849115373</x:v>
      </x:c>
      <x:c r="Q10" s="9" t="str">
        <x:v>1.1870116189142366</x:v>
      </x:c>
      <x:c r="R10" s="9" t="str">
        <x:v>6.371801197441501</x:v>
      </x:c>
      <x:c r="S10" s="8" t="str">
        <x:v>17</x:v>
      </x:c>
      <x:c r="T10" s="8" t="str">
        <x:v>26</x:v>
      </x:c>
      <x:c r="U10" s="8" t="str">
        <x:v>0</x:v>
      </x:c>
      <x:c r="V10" s="10" t="str">
        <x:v>39.53488372093023</x:v>
      </x:c>
      <x:c r="W10" s="9" t="str">
        <x:v>0.08217625446434476</x:v>
      </x:c>
      <x:c r="X10" s="9" t="str">
        <x:v>-1.0065409858650949</x:v>
      </x:c>
      <x:c r="Y10" s="9" t="str">
        <x:v>3.533578941966825</x:v>
      </x:c>
      <x:c r="Z10" s="9" t="str">
        <x:v>1.152033553578177</x:v>
      </x:c>
      <x:c r="AA10" s="9" t="str">
        <x:v>6.513390399330469</x:v>
      </x:c>
      <x:c r="AB10" s="9" t="str">
        <x:v>1.1184403778576224</x:v>
      </x:c>
      <x:c r="AC10" s="9" t="str">
        <x:v>0.8285274801111541</x:v>
      </x:c>
    </x:row>
    <x:row r="11" ht="18" customHeight="1">
      <x:c r="A11" s="6" t="str">
        <x:v>Single factor</x:v>
      </x:c>
      <x:c r="B11" s="6" t="str">
        <x:v>Entry session</x:v>
      </x:c>
      <x:c r="C11" s="6" t="str">
        <x:v>Morning</x:v>
      </x:c>
      <x:c r="D11" s="6" t="str"/>
      <x:c r="E11" s="6" t="str"/>
      <x:c r="F11" s="6" t="str">
        <x:v>All</x:v>
      </x:c>
      <x:c r="G11" s="6" t="str">
        <x:v>ADEQUATE N</x:v>
      </x:c>
      <x:c r="H11" s="8" t="str">
        <x:v>68</x:v>
      </x:c>
      <x:c r="I11" s="10" t="str">
        <x:v>9.645390070921986</x:v>
      </x:c>
      <x:c r="J11" s="8" t="str">
        <x:v>31</x:v>
      </x:c>
      <x:c r="K11" s="8" t="str">
        <x:v>37</x:v>
      </x:c>
      <x:c r="L11" s="8" t="str">
        <x:v>0</x:v>
      </x:c>
      <x:c r="M11" s="10" t="str">
        <x:v>45.588235294117645</x:v>
      </x:c>
      <x:c r="N11" s="9" t="str">
        <x:v>-0.06285379311081662</x:v>
      </x:c>
      <x:c r="O11" s="9" t="str">
        <x:v>-0.35259522932255644</x:v>
      </x:c>
      <x:c r="P11" s="9" t="str">
        <x:v>-4.2740579315355305</x:v>
      </x:c>
      <x:c r="Q11" s="9" t="str">
        <x:v>0.866609661948794</x:v>
      </x:c>
      <x:c r="R11" s="9" t="str">
        <x:v>13.205815965657912</x:v>
      </x:c>
      <x:c r="S11" s="8" t="str">
        <x:v>30</x:v>
      </x:c>
      <x:c r="T11" s="8" t="str">
        <x:v>38</x:v>
      </x:c>
      <x:c r="U11" s="8" t="str">
        <x:v>0</x:v>
      </x:c>
      <x:c r="V11" s="10" t="str">
        <x:v>44.11764705882353</x:v>
      </x:c>
      <x:c r="W11" s="9" t="str">
        <x:v>-0.0794098929983298</x:v>
      </x:c>
      <x:c r="X11" s="9" t="str">
        <x:v>-0.37039414478552024</x:v>
      </x:c>
      <x:c r="Y11" s="9" t="str">
        <x:v>-5.399872723886427</x:v>
      </x:c>
      <x:c r="Z11" s="9" t="str">
        <x:v>0.8348561139483847</x:v>
      </x:c>
      <x:c r="AA11" s="9" t="str">
        <x:v>14.049631497404544</x:v>
      </x:c>
      <x:c r="AB11" s="9" t="str">
        <x:v>0.8686164754921204</x:v>
      </x:c>
      <x:c r="AC11" s="9" t="str">
        <x:v>0.8095641734795631</x:v>
      </x:c>
    </x:row>
    <x:row r="12" ht="18" customHeight="1">
      <x:c r="A12" s="6" t="str">
        <x:v>Single factor direction slice</x:v>
      </x:c>
      <x:c r="B12" s="6" t="str">
        <x:v>Entry session</x:v>
      </x:c>
      <x:c r="C12" s="6" t="str">
        <x:v>Morning</x:v>
      </x:c>
      <x:c r="D12" s="6" t="str"/>
      <x:c r="E12" s="6" t="str"/>
      <x:c r="F12" s="6" t="str">
        <x:v>Long</x:v>
      </x:c>
      <x:c r="G12" s="6" t="str">
        <x:v>ADEQUATE N</x:v>
      </x:c>
      <x:c r="H12" s="8" t="str">
        <x:v>37</x:v>
      </x:c>
      <x:c r="I12" s="10" t="str">
        <x:v>5.24822695035461</x:v>
      </x:c>
      <x:c r="J12" s="8" t="str">
        <x:v>18</x:v>
      </x:c>
      <x:c r="K12" s="8" t="str">
        <x:v>19</x:v>
      </x:c>
      <x:c r="L12" s="8" t="str">
        <x:v>0</x:v>
      </x:c>
      <x:c r="M12" s="10" t="str">
        <x:v>48.64864864864865</x:v>
      </x:c>
      <x:c r="N12" s="9" t="str">
        <x:v>0.022753677844446138</x:v>
      </x:c>
      <x:c r="O12" s="9" t="str">
        <x:v>-0.09331417870350874</x:v>
      </x:c>
      <x:c r="P12" s="9" t="str">
        <x:v>0.8418860802445071</x:v>
      </x:c>
      <x:c r="Q12" s="9" t="str">
        <x:v>1.052502954058796</x:v>
      </x:c>
      <x:c r="R12" s="9" t="str">
        <x:v>7.770005679135238</x:v>
      </x:c>
      <x:c r="S12" s="8" t="str">
        <x:v>18</x:v>
      </x:c>
      <x:c r="T12" s="8" t="str">
        <x:v>19</x:v>
      </x:c>
      <x:c r="U12" s="8" t="str">
        <x:v>0</x:v>
      </x:c>
      <x:c r="V12" s="10" t="str">
        <x:v>48.64864864864865</x:v>
      </x:c>
      <x:c r="W12" s="9" t="str">
        <x:v>0.0043716194737265165</x:v>
      </x:c>
      <x:c r="X12" s="9" t="str">
        <x:v>-0.11264354429209354</x:v>
      </x:c>
      <x:c r="Y12" s="9" t="str">
        <x:v>0.16174992052788112</x:v>
      </x:c>
      <x:c r="Z12" s="9" t="str">
        <x:v>1.0098619431820035</x:v>
      </x:c>
      <x:c r="AA12" s="9" t="str">
        <x:v>8.173928504830085</x:v>
      </x:c>
      <x:c r="AB12" s="9" t="str">
        <x:v>0.8787248435798731</x:v>
      </x:c>
      <x:c r="AC12" s="9" t="str">
        <x:v>0.7693734961995197</x:v>
      </x:c>
    </x:row>
    <x:row r="13" ht="18" customHeight="1">
      <x:c r="A13" s="6" t="str">
        <x:v>Single factor direction slice</x:v>
      </x:c>
      <x:c r="B13" s="6" t="str">
        <x:v>Entry session</x:v>
      </x:c>
      <x:c r="C13" s="6" t="str">
        <x:v>Morning</x:v>
      </x:c>
      <x:c r="D13" s="6" t="str"/>
      <x:c r="E13" s="6" t="str"/>
      <x:c r="F13" s="6" t="str">
        <x:v>Short</x:v>
      </x:c>
      <x:c r="G13" s="6" t="str">
        <x:v>ADEQUATE N</x:v>
      </x:c>
      <x:c r="H13" s="8" t="str">
        <x:v>31</x:v>
      </x:c>
      <x:c r="I13" s="10" t="str">
        <x:v>4.397163120567376</x:v>
      </x:c>
      <x:c r="J13" s="8" t="str">
        <x:v>13</x:v>
      </x:c>
      <x:c r="K13" s="8" t="str">
        <x:v>18</x:v>
      </x:c>
      <x:c r="L13" s="8" t="str">
        <x:v>0</x:v>
      </x:c>
      <x:c r="M13" s="10" t="str">
        <x:v>41.935483870967744</x:v>
      </x:c>
      <x:c r="N13" s="9" t="str">
        <x:v>-0.16503045199290445</x:v>
      </x:c>
      <x:c r="O13" s="9" t="str">
        <x:v>-0.5552848127424578</x:v>
      </x:c>
      <x:c r="P13" s="9" t="str">
        <x:v>-5.115944011780038</x:v>
      </x:c>
      <x:c r="Q13" s="9" t="str">
        <x:v>0.6803875852230886</x:v>
      </x:c>
      <x:c r="R13" s="9" t="str">
        <x:v>7.189394820775031</x:v>
      </x:c>
      <x:c r="S13" s="8" t="str">
        <x:v>12</x:v>
      </x:c>
      <x:c r="T13" s="8" t="str">
        <x:v>19</x:v>
      </x:c>
      <x:c r="U13" s="8" t="str">
        <x:v>0</x:v>
      </x:c>
      <x:c r="V13" s="10" t="str">
        <x:v>38.70967741935484</x:v>
      </x:c>
      <x:c r="W13" s="9" t="str">
        <x:v>-0.1794071820778808</x:v>
      </x:c>
      <x:c r="X13" s="9" t="str">
        <x:v>-0.5643826995049048</x:v>
      </x:c>
      <x:c r="Y13" s="9" t="str">
        <x:v>-5.561622644414305</x:v>
      </x:c>
      <x:c r="Z13" s="9" t="str">
        <x:v>0.6587241875031415</x:v>
      </x:c>
      <x:c r="AA13" s="9" t="str">
        <x:v>7.382597258797625</x:v>
      </x:c>
      <x:c r="AB13" s="9" t="str">
        <x:v>0.8565516490648024</x:v>
      </x:c>
      <x:c r="AC13" s="9" t="str">
        <x:v>0.8575336915234858</x:v>
      </x:c>
    </x:row>
    <x:row r="14" ht="18" customHeight="1">
      <x:c r="A14" s="6" t="str">
        <x:v>Single factor</x:v>
      </x:c>
      <x:c r="B14" s="6" t="str">
        <x:v>Entry session</x:v>
      </x:c>
      <x:c r="C14" s="6" t="str">
        <x:v>Opening</x:v>
      </x:c>
      <x:c r="D14" s="6" t="str"/>
      <x:c r="E14" s="6" t="str"/>
      <x:c r="F14" s="6" t="str">
        <x:v>All</x:v>
      </x:c>
      <x:c r="G14" s="6" t="str">
        <x:v>ADEQUATE N</x:v>
      </x:c>
      <x:c r="H14" s="8" t="str">
        <x:v>51</x:v>
      </x:c>
      <x:c r="I14" s="10" t="str">
        <x:v>7.23404255319149</x:v>
      </x:c>
      <x:c r="J14" s="8" t="str">
        <x:v>24</x:v>
      </x:c>
      <x:c r="K14" s="8" t="str">
        <x:v>27</x:v>
      </x:c>
      <x:c r="L14" s="8" t="str">
        <x:v>0</x:v>
      </x:c>
      <x:c r="M14" s="10" t="str">
        <x:v>47.05882352941176</x:v>
      </x:c>
      <x:c r="N14" s="9" t="str">
        <x:v>0.006414326400316409</x:v>
      </x:c>
      <x:c r="O14" s="9" t="str">
        <x:v>-0.21392729062644536</x:v>
      </x:c>
      <x:c r="P14" s="9" t="str">
        <x:v>0.32713064641613687</x:v>
      </x:c>
      <x:c r="Q14" s="9" t="str">
        <x:v>1.0142783398393038</x:v>
      </x:c>
      <x:c r="R14" s="9" t="str">
        <x:v>7.351777225841593</x:v>
      </x:c>
      <x:c r="S14" s="8" t="str">
        <x:v>24</x:v>
      </x:c>
      <x:c r="T14" s="8" t="str">
        <x:v>27</x:v>
      </x:c>
      <x:c r="U14" s="8" t="str">
        <x:v>0</x:v>
      </x:c>
      <x:c r="V14" s="10" t="str">
        <x:v>47.05882352941176</x:v>
      </x:c>
      <x:c r="W14" s="9" t="str">
        <x:v>-0.009410458415083856</x:v>
      </x:c>
      <x:c r="X14" s="9" t="str">
        <x:v>-0.2208205033244087</x:v>
      </x:c>
      <x:c r="Y14" s="9" t="str">
        <x:v>-0.4799333791692767</x:v>
      </x:c>
      <x:c r="Z14" s="9" t="str">
        <x:v>0.9794701880726574</x:v>
      </x:c>
      <x:c r="AA14" s="9" t="str">
        <x:v>7.591461211074889</x:v>
      </x:c>
      <x:c r="AB14" s="9" t="str">
        <x:v>0.9426641395549653</x:v>
      </x:c>
      <x:c r="AC14" s="9" t="str">
        <x:v>0.7854154557026715</x:v>
      </x:c>
    </x:row>
    <x:row r="15" ht="18" customHeight="1">
      <x:c r="A15" s="6" t="str">
        <x:v>Single factor direction slice</x:v>
      </x:c>
      <x:c r="B15" s="6" t="str">
        <x:v>Entry session</x:v>
      </x:c>
      <x:c r="C15" s="6" t="str">
        <x:v>Opening</x:v>
      </x:c>
      <x:c r="D15" s="6" t="str"/>
      <x:c r="E15" s="6" t="str"/>
      <x:c r="F15" s="6" t="str">
        <x:v>Long</x:v>
      </x:c>
      <x:c r="G15" s="6" t="str">
        <x:v>ADEQUATE N</x:v>
      </x:c>
      <x:c r="H15" s="8" t="str">
        <x:v>31</x:v>
      </x:c>
      <x:c r="I15" s="10" t="str">
        <x:v>4.397163120567376</x:v>
      </x:c>
      <x:c r="J15" s="8" t="str">
        <x:v>16</x:v>
      </x:c>
      <x:c r="K15" s="8" t="str">
        <x:v>15</x:v>
      </x:c>
      <x:c r="L15" s="8" t="str">
        <x:v>0</x:v>
      </x:c>
      <x:c r="M15" s="10" t="str">
        <x:v>51.61290322580645</x:v>
      </x:c>
      <x:c r="N15" s="9" t="str">
        <x:v>-0.024963751940780803</x:v>
      </x:c>
      <x:c r="O15" s="9" t="str">
        <x:v>0.014240118705243063</x:v>
      </x:c>
      <x:c r="P15" s="9" t="str">
        <x:v>-0.7738763101642049</x:v>
      </x:c>
      <x:c r="Q15" s="9" t="str">
        <x:v>0.9398222137715914</x:v>
      </x:c>
      <x:c r="R15" s="9" t="str">
        <x:v>4.026562439643818</x:v>
      </x:c>
      <x:c r="S15" s="8" t="str">
        <x:v>16</x:v>
      </x:c>
      <x:c r="T15" s="8" t="str">
        <x:v>15</x:v>
      </x:c>
      <x:c r="U15" s="8" t="str">
        <x:v>0</x:v>
      </x:c>
      <x:c r="V15" s="10" t="str">
        <x:v>51.61290322580645</x:v>
      </x:c>
      <x:c r="W15" s="9" t="str">
        <x:v>-0.041672107987705195</x:v>
      </x:c>
      <x:c r="X15" s="9" t="str">
        <x:v>0.007357394664375542</x:v>
      </x:c>
      <x:c r="Y15" s="9" t="str">
        <x:v>-1.291835347618861</x:v>
      </x:c>
      <x:c r="Z15" s="9" t="str">
        <x:v>0.9016371929574648</x:v>
      </x:c>
      <x:c r="AA15" s="9" t="str">
        <x:v>4.348465157691529</x:v>
      </x:c>
      <x:c r="AB15" s="9" t="str">
        <x:v>0.8399890182590811</x:v>
      </x:c>
      <x:c r="AC15" s="9" t="str">
        <x:v>0.7853697017926295</x:v>
      </x:c>
    </x:row>
    <x:row r="16" ht="18" customHeight="1">
      <x:c r="A16" s="6" t="str">
        <x:v>Single factor</x:v>
      </x:c>
      <x:c r="B16" s="6" t="str">
        <x:v>Entry session</x:v>
      </x:c>
      <x:c r="C16" s="6" t="str">
        <x:v>Overnight</x:v>
      </x:c>
      <x:c r="D16" s="6" t="str"/>
      <x:c r="E16" s="6" t="str"/>
      <x:c r="F16" s="6" t="str">
        <x:v>All</x:v>
      </x:c>
      <x:c r="G16" s="6" t="str">
        <x:v>ADEQUATE N</x:v>
      </x:c>
      <x:c r="H16" s="8" t="str">
        <x:v>235</x:v>
      </x:c>
      <x:c r="I16" s="10" t="str">
        <x:v>33.333333333333336</x:v>
      </x:c>
      <x:c r="J16" s="8" t="str">
        <x:v>90</x:v>
      </x:c>
      <x:c r="K16" s="8" t="str">
        <x:v>145</x:v>
      </x:c>
      <x:c r="L16" s="8" t="str">
        <x:v>0</x:v>
      </x:c>
      <x:c r="M16" s="10" t="str">
        <x:v>38.297872340425535</x:v>
      </x:c>
      <x:c r="N16" s="9" t="str">
        <x:v>-0.08612256416563976</x:v>
      </x:c>
      <x:c r="O16" s="9" t="str">
        <x:v>-1.0</x:v>
      </x:c>
      <x:c r="P16" s="9" t="str">
        <x:v>-20.238802578925345</x:v>
      </x:c>
      <x:c r="Q16" s="9" t="str">
        <x:v>0.8440455926213251</x:v>
      </x:c>
      <x:c r="R16" s="9" t="str">
        <x:v>38.24625251048487</x:v>
      </x:c>
      <x:c r="S16" s="8" t="str">
        <x:v>88</x:v>
      </x:c>
      <x:c r="T16" s="8" t="str">
        <x:v>147</x:v>
      </x:c>
      <x:c r="U16" s="8" t="str">
        <x:v>0</x:v>
      </x:c>
      <x:c r="V16" s="10" t="str">
        <x:v>37.4468085106383</x:v>
      </x:c>
      <x:c r="W16" s="9" t="str">
        <x:v>-0.1375499678680415</x:v>
      </x:c>
      <x:c r="X16" s="9" t="str">
        <x:v>-1.0102670671719363</x:v>
      </x:c>
      <x:c r="Y16" s="9" t="str">
        <x:v>-32.32424244898975</x:v>
      </x:c>
      <x:c r="Z16" s="9" t="str">
        <x:v>0.764681943236767</x:v>
      </x:c>
      <x:c r="AA16" s="9" t="str">
        <x:v>45.6215989199638</x:v>
      </x:c>
      <x:c r="AB16" s="9" t="str">
        <x:v>1.0316152950105548</x:v>
      </x:c>
      <x:c r="AC16" s="9" t="str">
        <x:v>0.8900492703677657</x:v>
      </x:c>
    </x:row>
    <x:row r="17" ht="18" customHeight="1">
      <x:c r="A17" s="6" t="str">
        <x:v>Single factor direction slice</x:v>
      </x:c>
      <x:c r="B17" s="6" t="str">
        <x:v>Entry session</x:v>
      </x:c>
      <x:c r="C17" s="6" t="str">
        <x:v>Overnight</x:v>
      </x:c>
      <x:c r="D17" s="6" t="str"/>
      <x:c r="E17" s="6" t="str"/>
      <x:c r="F17" s="6" t="str">
        <x:v>Long</x:v>
      </x:c>
      <x:c r="G17" s="6" t="str">
        <x:v>ADEQUATE N</x:v>
      </x:c>
      <x:c r="H17" s="8" t="str">
        <x:v>118</x:v>
      </x:c>
      <x:c r="I17" s="10" t="str">
        <x:v>16.73758865248227</x:v>
      </x:c>
      <x:c r="J17" s="8" t="str">
        <x:v>48</x:v>
      </x:c>
      <x:c r="K17" s="8" t="str">
        <x:v>70</x:v>
      </x:c>
      <x:c r="L17" s="8" t="str">
        <x:v>0</x:v>
      </x:c>
      <x:c r="M17" s="10" t="str">
        <x:v>40.67796610169492</x:v>
      </x:c>
      <x:c r="N17" s="9" t="str">
        <x:v>-0.08974572398711599</x:v>
      </x:c>
      <x:c r="O17" s="9" t="str">
        <x:v>-0.7908877869255703</x:v>
      </x:c>
      <x:c r="P17" s="9" t="str">
        <x:v>-10.589995430479686</x:v>
      </x:c>
      <x:c r="Q17" s="9" t="str">
        <x:v>0.8319200096536141</x:v>
      </x:c>
      <x:c r="R17" s="9" t="str">
        <x:v>16.665090261978367</x:v>
      </x:c>
      <x:c r="S17" s="8" t="str">
        <x:v>46</x:v>
      </x:c>
      <x:c r="T17" s="8" t="str">
        <x:v>72</x:v>
      </x:c>
      <x:c r="U17" s="8" t="str">
        <x:v>0</x:v>
      </x:c>
      <x:c r="V17" s="10" t="str">
        <x:v>38.983050847457626</x:v>
      </x:c>
      <x:c r="W17" s="9" t="str">
        <x:v>-0.13946096387137732</x:v>
      </x:c>
      <x:c r="X17" s="9" t="str">
        <x:v>-0.8268109934218477</x:v>
      </x:c>
      <x:c r="Y17" s="9" t="str">
        <x:v>-16.456393736822523</x:v>
      </x:c>
      <x:c r="Z17" s="9" t="str">
        <x:v>0.7534599631758274</x:v>
      </x:c>
      <x:c r="AA17" s="9" t="str">
        <x:v>20.18466841914877</x:v>
      </x:c>
      <x:c r="AB17" s="9" t="str">
        <x:v>0.9869876094337232</x:v>
      </x:c>
      <x:c r="AC17" s="9" t="str">
        <x:v>0.922779886534023</x:v>
      </x:c>
    </x:row>
    <x:row r="18" ht="18" customHeight="1">
      <x:c r="A18" s="6" t="str">
        <x:v>Single factor direction slice</x:v>
      </x:c>
      <x:c r="B18" s="6" t="str">
        <x:v>Entry session</x:v>
      </x:c>
      <x:c r="C18" s="6" t="str">
        <x:v>Overnight</x:v>
      </x:c>
      <x:c r="D18" s="6" t="str"/>
      <x:c r="E18" s="6" t="str"/>
      <x:c r="F18" s="6" t="str">
        <x:v>Short</x:v>
      </x:c>
      <x:c r="G18" s="6" t="str">
        <x:v>ADEQUATE N</x:v>
      </x:c>
      <x:c r="H18" s="8" t="str">
        <x:v>117</x:v>
      </x:c>
      <x:c r="I18" s="10" t="str">
        <x:v>16.595744680851062</x:v>
      </x:c>
      <x:c r="J18" s="8" t="str">
        <x:v>42</x:v>
      </x:c>
      <x:c r="K18" s="8" t="str">
        <x:v>75</x:v>
      </x:c>
      <x:c r="L18" s="8" t="str">
        <x:v>0</x:v>
      </x:c>
      <x:c r="M18" s="10" t="str">
        <x:v>35.8974358974359</x:v>
      </x:c>
      <x:c r="N18" s="9" t="str">
        <x:v>-0.08246843716620228</x:v>
      </x:c>
      <x:c r="O18" s="9" t="str">
        <x:v>-1.0</x:v>
      </x:c>
      <x:c r="P18" s="9" t="str">
        <x:v>-9.648807148445666</x:v>
      </x:c>
      <x:c r="Q18" s="9" t="str">
        <x:v>0.8554878844124508</x:v>
      </x:c>
      <x:c r="R18" s="9" t="str">
        <x:v>25.09497038111075</x:v>
      </x:c>
      <x:c r="S18" s="8" t="str">
        <x:v>42</x:v>
      </x:c>
      <x:c r="T18" s="8" t="str">
        <x:v>75</x:v>
      </x:c>
      <x:c r="U18" s="8" t="str">
        <x:v>0</x:v>
      </x:c>
      <x:c r="V18" s="10" t="str">
        <x:v>35.8974358974359</x:v>
      </x:c>
      <x:c r="W18" s="9" t="str">
        <x:v>-0.13562263856553183</x:v>
      </x:c>
      <x:c r="X18" s="9" t="str">
        <x:v>-1.0157546924141119</x:v>
      </x:c>
      <x:c r="Y18" s="9" t="str">
        <x:v>-15.867848712167223</x:v>
      </x:c>
      <x:c r="Z18" s="9" t="str">
        <x:v>0.7752896552549039</x:v>
      </x:c>
      <x:c r="AA18" s="9" t="str">
        <x:v>28.826603122693903</x:v>
      </x:c>
      <x:c r="AB18" s="9" t="str">
        <x:v>1.0766244137974452</x:v>
      </x:c>
      <x:c r="AC18" s="9" t="str">
        <x:v>0.8570389053453866</x:v>
      </x:c>
    </x:row>
    <x:row r="19" ht="18" customHeight="1">
      <x:c r="A19" s="6" t="str">
        <x:v>Single factor</x:v>
      </x:c>
      <x:c r="B19" s="6" t="str">
        <x:v>Entry session</x:v>
      </x:c>
      <x:c r="C19" s="6" t="str">
        <x:v>Premarket</x:v>
      </x:c>
      <x:c r="D19" s="6" t="str"/>
      <x:c r="E19" s="6" t="str"/>
      <x:c r="F19" s="6" t="str">
        <x:v>All</x:v>
      </x:c>
      <x:c r="G19" s="6" t="str">
        <x:v>ADEQUATE N</x:v>
      </x:c>
      <x:c r="H19" s="8" t="str">
        <x:v>168</x:v>
      </x:c>
      <x:c r="I19" s="10" t="str">
        <x:v>23.829787234042552</x:v>
      </x:c>
      <x:c r="J19" s="8" t="str">
        <x:v>67</x:v>
      </x:c>
      <x:c r="K19" s="8" t="str">
        <x:v>101</x:v>
      </x:c>
      <x:c r="L19" s="8" t="str">
        <x:v>0</x:v>
      </x:c>
      <x:c r="M19" s="10" t="str">
        <x:v>39.88095238095239</x:v>
      </x:c>
      <x:c r="N19" s="9" t="str">
        <x:v>0.010175292080809377</x:v>
      </x:c>
      <x:c r="O19" s="9" t="str">
        <x:v>-1.0</x:v>
      </x:c>
      <x:c r="P19" s="9" t="str">
        <x:v>1.7094490695759754</x:v>
      </x:c>
      <x:c r="Q19" s="9" t="str">
        <x:v>1.017330417284674</x:v>
      </x:c>
      <x:c r="R19" s="9" t="str">
        <x:v>17.472447799228917</x:v>
      </x:c>
      <x:c r="S19" s="8" t="str">
        <x:v>66</x:v>
      </x:c>
      <x:c r="T19" s="8" t="str">
        <x:v>102</x:v>
      </x:c>
      <x:c r="U19" s="8" t="str">
        <x:v>0</x:v>
      </x:c>
      <x:c r="V19" s="10" t="str">
        <x:v>39.285714285714285</x:v>
      </x:c>
      <x:c r="W19" s="9" t="str">
        <x:v>-0.02184102199154715</x:v>
      </x:c>
      <x:c r="X19" s="9" t="str">
        <x:v>-1.013960706431147</x:v>
      </x:c>
      <x:c r="Y19" s="9" t="str">
        <x:v>-3.669291694579921</x:v>
      </x:c>
      <x:c r="Z19" s="9" t="str">
        <x:v>0.964022262479381</x:v>
      </x:c>
      <x:c r="AA19" s="9" t="str">
        <x:v>19.45925777271922</x:v>
      </x:c>
      <x:c r="AB19" s="9" t="str">
        <x:v>1.1666403603324726</x:v>
      </x:c>
      <x:c r="AC19" s="9" t="str">
        <x:v>1.0536600517723498</x:v>
      </x:c>
    </x:row>
    <x:row r="20" ht="18" customHeight="1">
      <x:c r="A20" s="6" t="str">
        <x:v>Single factor direction slice</x:v>
      </x:c>
      <x:c r="B20" s="6" t="str">
        <x:v>Entry session</x:v>
      </x:c>
      <x:c r="C20" s="6" t="str">
        <x:v>Premarket</x:v>
      </x:c>
      <x:c r="D20" s="6" t="str"/>
      <x:c r="E20" s="6" t="str"/>
      <x:c r="F20" s="6" t="str">
        <x:v>Long</x:v>
      </x:c>
      <x:c r="G20" s="6" t="str">
        <x:v>ADEQUATE N</x:v>
      </x:c>
      <x:c r="H20" s="8" t="str">
        <x:v>83</x:v>
      </x:c>
      <x:c r="I20" s="10" t="str">
        <x:v>11.77304964539007</x:v>
      </x:c>
      <x:c r="J20" s="8" t="str">
        <x:v>35</x:v>
      </x:c>
      <x:c r="K20" s="8" t="str">
        <x:v>48</x:v>
      </x:c>
      <x:c r="L20" s="8" t="str">
        <x:v>0</x:v>
      </x:c>
      <x:c r="M20" s="10" t="str">
        <x:v>42.168674698795186</x:v>
      </x:c>
      <x:c r="N20" s="9" t="str">
        <x:v>0.08304608176109891</x:v>
      </x:c>
      <x:c r="O20" s="9" t="str">
        <x:v>-1.0</x:v>
      </x:c>
      <x:c r="P20" s="9" t="str">
        <x:v>6.89282478617121</x:v>
      </x:c>
      <x:c r="Q20" s="9" t="str">
        <x:v>1.1478205604658718</x:v>
      </x:c>
      <x:c r="R20" s="9" t="str">
        <x:v>12.508801641781801</x:v>
      </x:c>
      <x:c r="S20" s="8" t="str">
        <x:v>35</x:v>
      </x:c>
      <x:c r="T20" s="8" t="str">
        <x:v>48</x:v>
      </x:c>
      <x:c r="U20" s="8" t="str">
        <x:v>0</x:v>
      </x:c>
      <x:c r="V20" s="10" t="str">
        <x:v>42.168674698795186</x:v>
      </x:c>
      <x:c r="W20" s="9" t="str">
        <x:v>0.05051707627661849</x:v>
      </x:c>
      <x:c r="X20" s="9" t="str">
        <x:v>-1.0112367726820213</x:v>
      </x:c>
      <x:c r="Y20" s="9" t="str">
        <x:v>4.192917330959335</x:v>
      </x:c>
      <x:c r="Z20" s="9" t="str">
        <x:v>1.087071593844377</x:v>
      </x:c>
      <x:c r="AA20" s="9" t="str">
        <x:v>12.879581239380432</x:v>
      </x:c>
      <x:c r="AB20" s="9" t="str">
        <x:v>1.1386622983904682</x:v>
      </x:c>
      <x:c r="AC20" s="9" t="str">
        <x:v>1.079369960826144</x:v>
      </x:c>
    </x:row>
    <x:row r="21" ht="18" customHeight="1">
      <x:c r="A21" s="6" t="str">
        <x:v>Single factor direction slice</x:v>
      </x:c>
      <x:c r="B21" s="6" t="str">
        <x:v>Entry session</x:v>
      </x:c>
      <x:c r="C21" s="6" t="str">
        <x:v>Premarket</x:v>
      </x:c>
      <x:c r="D21" s="6" t="str"/>
      <x:c r="E21" s="6" t="str"/>
      <x:c r="F21" s="6" t="str">
        <x:v>Short</x:v>
      </x:c>
      <x:c r="G21" s="6" t="str">
        <x:v>ADEQUATE N</x:v>
      </x:c>
      <x:c r="H21" s="8" t="str">
        <x:v>85</x:v>
      </x:c>
      <x:c r="I21" s="10" t="str">
        <x:v>12.056737588652481</x:v>
      </x:c>
      <x:c r="J21" s="8" t="str">
        <x:v>32</x:v>
      </x:c>
      <x:c r="K21" s="8" t="str">
        <x:v>53</x:v>
      </x:c>
      <x:c r="L21" s="8" t="str">
        <x:v>0</x:v>
      </x:c>
      <x:c r="M21" s="10" t="str">
        <x:v>37.64705882352941</x:v>
      </x:c>
      <x:c r="N21" s="9" t="str">
        <x:v>-0.060980890783473324</x:v>
      </x:c>
      <x:c r="O21" s="9" t="str">
        <x:v>-1.0</x:v>
      </x:c>
      <x:c r="P21" s="9" t="str">
        <x:v>-5.183375716595233</x:v>
      </x:c>
      <x:c r="Q21" s="9" t="str">
        <x:v>0.9003369095904054</x:v>
      </x:c>
      <x:c r="R21" s="9" t="str">
        <x:v>11.980853654352794</x:v>
      </x:c>
      <x:c r="S21" s="8" t="str">
        <x:v>31</x:v>
      </x:c>
      <x:c r="T21" s="8" t="str">
        <x:v>54</x:v>
      </x:c>
      <x:c r="U21" s="8" t="str">
        <x:v>0</x:v>
      </x:c>
      <x:c r="V21" s="10" t="str">
        <x:v>36.470588235294116</x:v>
      </x:c>
      <x:c r="W21" s="9" t="str">
        <x:v>-0.09249657677105008</x:v>
      </x:c>
      <x:c r="X21" s="9" t="str">
        <x:v>-1.020152329435606</x:v>
      </x:c>
      <x:c r="Y21" s="9" t="str">
        <x:v>-7.862209025539257</x:v>
      </x:c>
      <x:c r="Z21" s="9" t="str">
        <x:v>0.8539519076620858</x:v>
      </x:c>
      <x:c r="AA21" s="9" t="str">
        <x:v>12.966328885753816</x:v>
      </x:c>
      <x:c r="AB21" s="9" t="str">
        <x:v>1.1939601149346646</x:v>
      </x:c>
      <x:c r="AC21" s="9" t="str">
        <x:v>1.0285550817551155</x:v>
      </x:c>
    </x:row>
    <x:row r="22" ht="18" customHeight="1">
      <x:c r="A22" s="6" t="str">
        <x:v>Single factor</x:v>
      </x:c>
      <x:c r="B22" s="6" t="str">
        <x:v>Entry HTF regime</x:v>
      </x:c>
      <x:c r="C22" s="6" t="str">
        <x:v>Bear</x:v>
      </x:c>
      <x:c r="D22" s="6" t="str"/>
      <x:c r="E22" s="6" t="str"/>
      <x:c r="F22" s="6" t="str">
        <x:v>All</x:v>
      </x:c>
      <x:c r="G22" s="6" t="str">
        <x:v>ADEQUATE N</x:v>
      </x:c>
      <x:c r="H22" s="8" t="str">
        <x:v>248</x:v>
      </x:c>
      <x:c r="I22" s="10" t="str">
        <x:v>35.177304964539005</x:v>
      </x:c>
      <x:c r="J22" s="8" t="str">
        <x:v>107</x:v>
      </x:c>
      <x:c r="K22" s="8" t="str">
        <x:v>141</x:v>
      </x:c>
      <x:c r="L22" s="8" t="str">
        <x:v>0</x:v>
      </x:c>
      <x:c r="M22" s="10" t="str">
        <x:v>43.145161290322584</x:v>
      </x:c>
      <x:c r="N22" s="9" t="str">
        <x:v>0.0037333783421087036</x:v>
      </x:c>
      <x:c r="O22" s="9" t="str">
        <x:v>-0.6242027489678087</x:v>
      </x:c>
      <x:c r="P22" s="9" t="str">
        <x:v>0.9258778288429586</x:v>
      </x:c>
      <x:c r="Q22" s="9" t="str">
        <x:v>1.0072312820863014</x:v>
      </x:c>
      <x:c r="R22" s="9" t="str">
        <x:v>15.552763585057368</x:v>
      </x:c>
      <x:c r="S22" s="8" t="str">
        <x:v>104</x:v>
      </x:c>
      <x:c r="T22" s="8" t="str">
        <x:v>144</x:v>
      </x:c>
      <x:c r="U22" s="8" t="str">
        <x:v>0</x:v>
      </x:c>
      <x:c r="V22" s="10" t="str">
        <x:v>41.935483870967744</x:v>
      </x:c>
      <x:c r="W22" s="9" t="str">
        <x:v>-0.022071359416741352</x:v>
      </x:c>
      <x:c r="X22" s="9" t="str">
        <x:v>-0.6464365227121289</x:v>
      </x:c>
      <x:c r="Y22" s="9" t="str">
        <x:v>-5.4736971353518555</x:v>
      </x:c>
      <x:c r="Z22" s="9" t="str">
        <x:v>0.95840166407851</x:v>
      </x:c>
      <x:c r="AA22" s="9" t="str">
        <x:v>17.633781300732068</x:v>
      </x:c>
      <x:c r="AB22" s="9" t="str">
        <x:v>1.0517833277055815</x:v>
      </x:c>
      <x:c r="AC22" s="9" t="str">
        <x:v>0.9129961922365016</x:v>
      </x:c>
    </x:row>
    <x:row r="23" ht="18" customHeight="1">
      <x:c r="A23" s="6" t="str">
        <x:v>Single factor direction slice</x:v>
      </x:c>
      <x:c r="B23" s="6" t="str">
        <x:v>Entry HTF regime</x:v>
      </x:c>
      <x:c r="C23" s="6" t="str">
        <x:v>Bear</x:v>
      </x:c>
      <x:c r="D23" s="6" t="str"/>
      <x:c r="E23" s="6" t="str"/>
      <x:c r="F23" s="6" t="str">
        <x:v>Long</x:v>
      </x:c>
      <x:c r="G23" s="6" t="str">
        <x:v>ADEQUATE N</x:v>
      </x:c>
      <x:c r="H23" s="8" t="str">
        <x:v>111</x:v>
      </x:c>
      <x:c r="I23" s="10" t="str">
        <x:v>15.74468085106383</x:v>
      </x:c>
      <x:c r="J23" s="8" t="str">
        <x:v>55</x:v>
      </x:c>
      <x:c r="K23" s="8" t="str">
        <x:v>56</x:v>
      </x:c>
      <x:c r="L23" s="8" t="str">
        <x:v>0</x:v>
      </x:c>
      <x:c r="M23" s="10" t="str">
        <x:v>49.549549549549546</x:v>
      </x:c>
      <x:c r="N23" s="9" t="str">
        <x:v>0.06743680227274612</x:v>
      </x:c>
      <x:c r="O23" s="9" t="str">
        <x:v>-0.11704845027298728</x:v>
      </x:c>
      <x:c r="P23" s="9" t="str">
        <x:v>7.48548505227482</x:v>
      </x:c>
      <x:c r="Q23" s="9" t="str">
        <x:v>1.147884018273962</x:v>
      </x:c>
      <x:c r="R23" s="9" t="str">
        <x:v>8.686316440498555</x:v>
      </x:c>
      <x:c r="S23" s="8" t="str">
        <x:v>55</x:v>
      </x:c>
      <x:c r="T23" s="8" t="str">
        <x:v>56</x:v>
      </x:c>
      <x:c r="U23" s="8" t="str">
        <x:v>0</x:v>
      </x:c>
      <x:c r="V23" s="10" t="str">
        <x:v>49.549549549549546</x:v>
      </x:c>
      <x:c r="W23" s="9" t="str">
        <x:v>0.04071162730087449</x:v>
      </x:c>
      <x:c r="X23" s="9" t="str">
        <x:v>-0.12151477271761447</x:v>
      </x:c>
      <x:c r="Y23" s="9" t="str">
        <x:v>4.518990630397068</x:v>
      </x:c>
      <x:c r="Z23" s="9" t="str">
        <x:v>1.086745508862613</x:v>
      </x:c>
      <x:c r="AA23" s="9" t="str">
        <x:v>9.51803379510974</x:v>
      </x:c>
      <x:c r="AB23" s="9" t="str">
        <x:v>1.0547188174076048</x:v>
      </x:c>
      <x:c r="AC23" s="9" t="str">
        <x:v>0.93491392512348</x:v>
      </x:c>
    </x:row>
    <x:row r="24" ht="18" customHeight="1">
      <x:c r="A24" s="6" t="str">
        <x:v>Single factor direction slice</x:v>
      </x:c>
      <x:c r="B24" s="6" t="str">
        <x:v>Entry HTF regime</x:v>
      </x:c>
      <x:c r="C24" s="6" t="str">
        <x:v>Bear</x:v>
      </x:c>
      <x:c r="D24" s="6" t="str"/>
      <x:c r="E24" s="6" t="str"/>
      <x:c r="F24" s="6" t="str">
        <x:v>Short</x:v>
      </x:c>
      <x:c r="G24" s="6" t="str">
        <x:v>ADEQUATE N</x:v>
      </x:c>
      <x:c r="H24" s="8" t="str">
        <x:v>137</x:v>
      </x:c>
      <x:c r="I24" s="10" t="str">
        <x:v>19.43262411347518</x:v>
      </x:c>
      <x:c r="J24" s="8" t="str">
        <x:v>52</x:v>
      </x:c>
      <x:c r="K24" s="8" t="str">
        <x:v>85</x:v>
      </x:c>
      <x:c r="L24" s="8" t="str">
        <x:v>0</x:v>
      </x:c>
      <x:c r="M24" s="10" t="str">
        <x:v>37.95620437956204</x:v>
      </x:c>
      <x:c r="N24" s="9" t="str">
        <x:v>-0.047880344696582935</x:v>
      </x:c>
      <x:c r="O24" s="9" t="str">
        <x:v>-1.0</x:v>
      </x:c>
      <x:c r="P24" s="9" t="str">
        <x:v>-6.559607223431862</x:v>
      </x:c>
      <x:c r="Q24" s="9" t="str">
        <x:v>0.9152730852208448</x:v>
      </x:c>
      <x:c r="R24" s="9" t="str">
        <x:v>12.154331672688635</x:v>
      </x:c>
      <x:c r="S24" s="8" t="str">
        <x:v>49</x:v>
      </x:c>
      <x:c r="T24" s="8" t="str">
        <x:v>88</x:v>
      </x:c>
      <x:c r="U24" s="8" t="str">
        <x:v>0</x:v>
      </x:c>
      <x:c r="V24" s="10" t="str">
        <x:v>35.76642335766424</x:v>
      </x:c>
      <x:c r="W24" s="9" t="str">
        <x:v>-0.07293932675729141</x:v>
      </x:c>
      <x:c r="X24" s="9" t="str">
        <x:v>-1.0069138862190574</x:v>
      </x:c>
      <x:c r="Y24" s="9" t="str">
        <x:v>-9.992687765748922</x:v>
      </x:c>
      <x:c r="Z24" s="9" t="str">
        <x:v>0.8742895488768755</x:v>
      </x:c>
      <x:c r="AA24" s="9" t="str">
        <x:v>14.628422213518556</x:v>
      </x:c>
      <x:c r="AB24" s="9" t="str">
        <x:v>1.0494049382389787</x:v>
      </x:c>
      <x:c r="AC24" s="9" t="str">
        <x:v>0.8952380290944971</x:v>
      </x:c>
    </x:row>
    <x:row r="25" ht="18" customHeight="1">
      <x:c r="A25" s="6" t="str">
        <x:v>Single factor</x:v>
      </x:c>
      <x:c r="B25" s="6" t="str">
        <x:v>Entry HTF regime</x:v>
      </x:c>
      <x:c r="C25" s="6" t="str">
        <x:v>Bull</x:v>
      </x:c>
      <x:c r="D25" s="6" t="str"/>
      <x:c r="E25" s="6" t="str"/>
      <x:c r="F25" s="6" t="str">
        <x:v>All</x:v>
      </x:c>
      <x:c r="G25" s="6" t="str">
        <x:v>ADEQUATE N</x:v>
      </x:c>
      <x:c r="H25" s="8" t="str">
        <x:v>433</x:v>
      </x:c>
      <x:c r="I25" s="10" t="str">
        <x:v>61.41843971631206</x:v>
      </x:c>
      <x:c r="J25" s="8" t="str">
        <x:v>176</x:v>
      </x:c>
      <x:c r="K25" s="8" t="str">
        <x:v>256</x:v>
      </x:c>
      <x:c r="L25" s="8" t="str">
        <x:v>1</x:v>
      </x:c>
      <x:c r="M25" s="10" t="str">
        <x:v>40.64665127020785</x:v>
      </x:c>
      <x:c r="N25" s="9" t="str">
        <x:v>-0.03369817279959359</x:v>
      </x:c>
      <x:c r="O25" s="9" t="str">
        <x:v>-0.5616002689567001</x:v>
      </x:c>
      <x:c r="P25" s="9" t="str">
        <x:v>-14.591308822224025</x:v>
      </x:c>
      <x:c r="Q25" s="9" t="str">
        <x:v>0.9347044014630637</x:v>
      </x:c>
      <x:c r="R25" s="9" t="str">
        <x:v>41.60083925131701</x:v>
      </x:c>
      <x:c r="S25" s="8" t="str">
        <x:v>174</x:v>
      </x:c>
      <x:c r="T25" s="8" t="str">
        <x:v>259</x:v>
      </x:c>
      <x:c r="U25" s="8" t="str">
        <x:v>0</x:v>
      </x:c>
      <x:c r="V25" s="10" t="str">
        <x:v>40.184757505773675</x:v>
      </x:c>
      <x:c r="W25" s="9" t="str">
        <x:v>-0.07152807235143069</x:v>
      </x:c>
      <x:c r="X25" s="9" t="str">
        <x:v>-0.5987895166897238</x:v>
      </x:c>
      <x:c r="Y25" s="9" t="str">
        <x:v>-30.971655328169486</x:v>
      </x:c>
      <x:c r="Z25" s="9" t="str">
        <x:v>0.8675025933613881</x:v>
      </x:c>
      <x:c r="AA25" s="9" t="str">
        <x:v>53.8945646327613</x:v>
      </x:c>
      <x:c r="AB25" s="9" t="str">
        <x:v>1.0116319779590803</x:v>
      </x:c>
      <x:c r="AC25" s="9" t="str">
        <x:v>0.8868932067353007</x:v>
      </x:c>
    </x:row>
    <x:row r="26" ht="18" customHeight="1">
      <x:c r="A26" s="6" t="str">
        <x:v>Single factor direction slice</x:v>
      </x:c>
      <x:c r="B26" s="6" t="str">
        <x:v>Entry HTF regime</x:v>
      </x:c>
      <x:c r="C26" s="6" t="str">
        <x:v>Bull</x:v>
      </x:c>
      <x:c r="D26" s="6" t="str"/>
      <x:c r="E26" s="6" t="str"/>
      <x:c r="F26" s="6" t="str">
        <x:v>Long</x:v>
      </x:c>
      <x:c r="G26" s="6" t="str">
        <x:v>ADEQUATE N</x:v>
      </x:c>
      <x:c r="H26" s="8" t="str">
        <x:v>238</x:v>
      </x:c>
      <x:c r="I26" s="10" t="str">
        <x:v>33.758865248226954</x:v>
      </x:c>
      <x:c r="J26" s="8" t="str">
        <x:v>96</x:v>
      </x:c>
      <x:c r="K26" s="8" t="str">
        <x:v>141</x:v>
      </x:c>
      <x:c r="L26" s="8" t="str">
        <x:v>1</x:v>
      </x:c>
      <x:c r="M26" s="10" t="str">
        <x:v>40.33613445378151</x:v>
      </x:c>
      <x:c r="N26" s="9" t="str">
        <x:v>-0.0805604046857558</x:v>
      </x:c>
      <x:c r="O26" s="9" t="str">
        <x:v>-0.5606235305271678</x:v>
      </x:c>
      <x:c r="P26" s="9" t="str">
        <x:v>-19.173376315209882</x:v>
      </x:c>
      <x:c r="Q26" s="9" t="str">
        <x:v>0.8433565444485663</x:v>
      </x:c>
      <x:c r="R26" s="9" t="str">
        <x:v>30.32736962948678</x:v>
      </x:c>
      <x:c r="S26" s="8" t="str">
        <x:v>94</x:v>
      </x:c>
      <x:c r="T26" s="8" t="str">
        <x:v>144</x:v>
      </x:c>
      <x:c r="U26" s="8" t="str">
        <x:v>0</x:v>
      </x:c>
      <x:c r="V26" s="10" t="str">
        <x:v>39.49579831932773</x:v>
      </x:c>
      <x:c r="W26" s="9" t="str">
        <x:v>-0.11734868043084865</x:v>
      </x:c>
      <x:c r="X26" s="9" t="str">
        <x:v>-0.597520858567621</x:v>
      </x:c>
      <x:c r="Y26" s="9" t="str">
        <x:v>-27.928985942541978</x:v>
      </x:c>
      <x:c r="Z26" s="9" t="str">
        <x:v>0.7816631523635719</x:v>
      </x:c>
      <x:c r="AA26" s="9" t="str">
        <x:v>37.30417585790132</x:v>
      </x:c>
      <x:c r="AB26" s="9" t="str">
        <x:v>0.9152008642863179</x:v>
      </x:c>
      <x:c r="AC26" s="9" t="str">
        <x:v>0.8908015033398239</x:v>
      </x:c>
    </x:row>
    <x:row r="27" ht="18" customHeight="1">
      <x:c r="A27" s="6" t="str">
        <x:v>Single factor direction slice</x:v>
      </x:c>
      <x:c r="B27" s="6" t="str">
        <x:v>Entry HTF regime</x:v>
      </x:c>
      <x:c r="C27" s="6" t="str">
        <x:v>Bull</x:v>
      </x:c>
      <x:c r="D27" s="6" t="str"/>
      <x:c r="E27" s="6" t="str"/>
      <x:c r="F27" s="6" t="str">
        <x:v>Short</x:v>
      </x:c>
      <x:c r="G27" s="6" t="str">
        <x:v>ADEQUATE N</x:v>
      </x:c>
      <x:c r="H27" s="8" t="str">
        <x:v>195</x:v>
      </x:c>
      <x:c r="I27" s="10" t="str">
        <x:v>27.659574468085108</x:v>
      </x:c>
      <x:c r="J27" s="8" t="str">
        <x:v>80</x:v>
      </x:c>
      <x:c r="K27" s="8" t="str">
        <x:v>115</x:v>
      </x:c>
      <x:c r="L27" s="8" t="str">
        <x:v>0</x:v>
      </x:c>
      <x:c r="M27" s="10" t="str">
        <x:v>41.02564102564102</x:v>
      </x:c>
      <x:c r="N27" s="9" t="str">
        <x:v>0.023497782015312062</x:v>
      </x:c>
      <x:c r="O27" s="9" t="str">
        <x:v>-0.6070784591013549</x:v>
      </x:c>
      <x:c r="P27" s="9" t="str">
        <x:v>4.5820674929858525</x:v>
      </x:c>
      <x:c r="Q27" s="9" t="str">
        <x:v>1.0453382578977675</x:v>
      </x:c>
      <x:c r="R27" s="9" t="str">
        <x:v>22.59525984002908</x:v>
      </x:c>
      <x:c r="S27" s="8" t="str">
        <x:v>80</x:v>
      </x:c>
      <x:c r="T27" s="8" t="str">
        <x:v>115</x:v>
      </x:c>
      <x:c r="U27" s="8" t="str">
        <x:v>0</x:v>
      </x:c>
      <x:c r="V27" s="10" t="str">
        <x:v>41.02564102564102</x:v>
      </x:c>
      <x:c r="W27" s="9" t="str">
        <x:v>-0.015603432746807769</x:v>
      </x:c>
      <x:c r="X27" s="9" t="str">
        <x:v>-0.661561303094527</x:v>
      </x:c>
      <x:c r="Y27" s="9" t="str">
        <x:v>-3.042669385627515</x:v>
      </x:c>
      <x:c r="Z27" s="9" t="str">
        <x:v>0.9712510806055406</x:v>
      </x:c>
      <x:c r="AA27" s="9" t="str">
        <x:v>25.14006045720985</x:v>
      </x:c>
      <x:c r="AB27" s="9" t="str">
        <x:v>1.1293273884930155</x:v>
      </x:c>
      <x:c r="AC27" s="9" t="str">
        <x:v>0.8821230806231134</x:v>
      </x:c>
    </x:row>
    <x:row r="28" ht="18" customHeight="1">
      <x:c r="A28" s="6" t="str">
        <x:v>Single factor</x:v>
      </x:c>
      <x:c r="B28" s="6" t="str">
        <x:v>Entry HTF regime</x:v>
      </x:c>
      <x:c r="C28" s="6" t="str">
        <x:v>Neutral</x:v>
      </x:c>
      <x:c r="D28" s="6" t="str"/>
      <x:c r="E28" s="6" t="str"/>
      <x:c r="F28" s="6" t="str">
        <x:v>All</x:v>
      </x:c>
      <x:c r="G28" s="6" t="str">
        <x:v>SMALL SAMPLE</x:v>
      </x:c>
      <x:c r="H28" s="8" t="str">
        <x:v>24</x:v>
      </x:c>
      <x:c r="I28" s="10" t="str">
        <x:v>3.404255319148936</x:v>
      </x:c>
      <x:c r="J28" s="8" t="str">
        <x:v>6</x:v>
      </x:c>
      <x:c r="K28" s="8" t="str">
        <x:v>18</x:v>
      </x:c>
      <x:c r="L28" s="8" t="str">
        <x:v>0</x:v>
      </x:c>
      <x:c r="M28" s="10" t="str">
        <x:v>25.0</x:v>
      </x:c>
      <x:c r="N28" s="9" t="str">
        <x:v>-0.49813168195037316</x:v>
      </x:c>
      <x:c r="O28" s="9" t="str">
        <x:v>-1.0</x:v>
      </x:c>
      <x:c r="P28" s="9" t="str">
        <x:v>-11.955160366808956</x:v>
      </x:c>
      <x:c r="Q28" s="9" t="str">
        <x:v>0.2812238913446675</x:v>
      </x:c>
      <x:c r="R28" s="9" t="str">
        <x:v>12.586029039739438</x:v>
      </x:c>
      <x:c r="S28" s="8" t="str">
        <x:v>6</x:v>
      </x:c>
      <x:c r="T28" s="8" t="str">
        <x:v>18</x:v>
      </x:c>
      <x:c r="U28" s="8" t="str">
        <x:v>0</x:v>
      </x:c>
      <x:c r="V28" s="10" t="str">
        <x:v>25.0</x:v>
      </x:c>
      <x:c r="W28" s="9" t="str">
        <x:v>-0.525154732941518</x:v>
      </x:c>
      <x:c r="X28" s="9" t="str">
        <x:v>-1.0181397027217267</x:v>
      </x:c>
      <x:c r="Y28" s="9" t="str">
        <x:v>-12.603713590596433</x:v>
      </x:c>
      <x:c r="Z28" s="9" t="str">
        <x:v>0.26789376060776443</x:v>
      </x:c>
      <x:c r="AA28" s="9" t="str">
        <x:v>13.217130607691129</x:v>
      </x:c>
      <x:c r="AB28" s="9" t="str">
        <x:v>0.8191537361567147</x:v>
      </x:c>
      <x:c r="AC28" s="9" t="str">
        <x:v>1.0102960419476459</x:v>
      </x:c>
    </x:row>
    <x:row r="29" ht="18" customHeight="1">
      <x:c r="A29" s="6" t="str">
        <x:v>Single factor</x:v>
      </x:c>
      <x:c r="B29" s="6" t="str">
        <x:v>Setup HTF regime</x:v>
      </x:c>
      <x:c r="C29" s="6" t="str">
        <x:v>Bear</x:v>
      </x:c>
      <x:c r="D29" s="6" t="str"/>
      <x:c r="E29" s="6" t="str"/>
      <x:c r="F29" s="6" t="str">
        <x:v>All</x:v>
      </x:c>
      <x:c r="G29" s="6" t="str">
        <x:v>ADEQUATE N</x:v>
      </x:c>
      <x:c r="H29" s="8" t="str">
        <x:v>261</x:v>
      </x:c>
      <x:c r="I29" s="10" t="str">
        <x:v>37.02127659574468</x:v>
      </x:c>
      <x:c r="J29" s="8" t="str">
        <x:v>111</x:v>
      </x:c>
      <x:c r="K29" s="8" t="str">
        <x:v>150</x:v>
      </x:c>
      <x:c r="L29" s="8" t="str">
        <x:v>0</x:v>
      </x:c>
      <x:c r="M29" s="10" t="str">
        <x:v>42.5287356321839</x:v>
      </x:c>
      <x:c r="N29" s="9" t="str">
        <x:v>-0.015588235083642172</x:v>
      </x:c>
      <x:c r="O29" s="9" t="str">
        <x:v>-0.6412533393558586</x:v>
      </x:c>
      <x:c r="P29" s="9" t="str">
        <x:v>-4.068529356830607</x:v>
      </x:c>
      <x:c r="Q29" s="9" t="str">
        <x:v>0.9702061731554766</x:v>
      </x:c>
      <x:c r="R29" s="9" t="str">
        <x:v>16.134329012943176</x:v>
      </x:c>
      <x:c r="S29" s="8" t="str">
        <x:v>108</x:v>
      </x:c>
      <x:c r="T29" s="8" t="str">
        <x:v>153</x:v>
      </x:c>
      <x:c r="U29" s="8" t="str">
        <x:v>0</x:v>
      </x:c>
      <x:c r="V29" s="10" t="str">
        <x:v>41.37931034482759</x:v>
      </x:c>
      <x:c r="W29" s="9" t="str">
        <x:v>-0.04110900518410415</x:v>
      </x:c>
      <x:c r="X29" s="9" t="str">
        <x:v>-0.6663835377900741</x:v>
      </x:c>
      <x:c r="Y29" s="9" t="str">
        <x:v>-10.729450353051185</x:v>
      </x:c>
      <x:c r="Z29" s="9" t="str">
        <x:v>0.9235369489447598</x:v>
      </x:c>
      <x:c r="AA29" s="9" t="str">
        <x:v>18.281100864797434</x:v>
      </x:c>
      <x:c r="AB29" s="9" t="str">
        <x:v>1.0297849193863549</x:v>
      </x:c>
      <x:c r="AC29" s="9" t="str">
        <x:v>0.9178235251257686</x:v>
      </x:c>
    </x:row>
    <x:row r="30" ht="18" customHeight="1">
      <x:c r="A30" s="6" t="str">
        <x:v>Single factor direction slice</x:v>
      </x:c>
      <x:c r="B30" s="6" t="str">
        <x:v>Setup HTF regime</x:v>
      </x:c>
      <x:c r="C30" s="6" t="str">
        <x:v>Bear</x:v>
      </x:c>
      <x:c r="D30" s="6" t="str"/>
      <x:c r="E30" s="6" t="str"/>
      <x:c r="F30" s="6" t="str">
        <x:v>Long</x:v>
      </x:c>
      <x:c r="G30" s="6" t="str">
        <x:v>ADEQUATE N</x:v>
      </x:c>
      <x:c r="H30" s="8" t="str">
        <x:v>124</x:v>
      </x:c>
      <x:c r="I30" s="10" t="str">
        <x:v>17.588652482269502</x:v>
      </x:c>
      <x:c r="J30" s="8" t="str">
        <x:v>59</x:v>
      </x:c>
      <x:c r="K30" s="8" t="str">
        <x:v>65</x:v>
      </x:c>
      <x:c r="L30" s="8" t="str">
        <x:v>0</x:v>
      </x:c>
      <x:c r="M30" s="10" t="str">
        <x:v>47.58064516129033</x:v>
      </x:c>
      <x:c r="N30" s="9" t="str">
        <x:v>0.020089337633881113</x:v>
      </x:c>
      <x:c r="O30" s="9" t="str">
        <x:v>-0.25416071756715164</x:v>
      </x:c>
      <x:c r="P30" s="9" t="str">
        <x:v>2.491077866601258</x:v>
      </x:c>
      <x:c r="Q30" s="9" t="str">
        <x:v>1.042124889495915</x:v>
      </x:c>
      <x:c r="R30" s="9" t="str">
        <x:v>9.786148168908904</x:v>
      </x:c>
      <x:c r="S30" s="8" t="str">
        <x:v>59</x:v>
      </x:c>
      <x:c r="T30" s="8" t="str">
        <x:v>65</x:v>
      </x:c>
      <x:c r="U30" s="8" t="str">
        <x:v>0</x:v>
      </x:c>
      <x:c r="V30" s="10" t="str">
        <x:v>47.58064516129033</x:v>
      </x:c>
      <x:c r="W30" s="9" t="str">
        <x:v>-0.005941633768566564</x:v>
      </x:c>
      <x:c r="X30" s="9" t="str">
        <x:v>-0.2690983401282113</x:v>
      </x:c>
      <x:c r="Y30" s="9" t="str">
        <x:v>-0.7367625873022539</x:v>
      </x:c>
      <x:c r="Z30" s="9" t="str">
        <x:v>0.9878886312067535</x:v>
      </x:c>
      <x:c r="AA30" s="9" t="str">
        <x:v>10.703395610640719</x:v>
      </x:c>
      <x:c r="AB30" s="9" t="str">
        <x:v>1.0081079630733754</x:v>
      </x:c>
      <x:c r="AC30" s="9" t="str">
        <x:v>0.9427768554183831</x:v>
      </x:c>
    </x:row>
    <x:row r="31" ht="18" customHeight="1">
      <x:c r="A31" s="6" t="str">
        <x:v>Single factor direction slice</x:v>
      </x:c>
      <x:c r="B31" s="6" t="str">
        <x:v>Setup HTF regime</x:v>
      </x:c>
      <x:c r="C31" s="6" t="str">
        <x:v>Bear</x:v>
      </x:c>
      <x:c r="D31" s="6" t="str"/>
      <x:c r="E31" s="6" t="str"/>
      <x:c r="F31" s="6" t="str">
        <x:v>Short</x:v>
      </x:c>
      <x:c r="G31" s="6" t="str">
        <x:v>ADEQUATE N</x:v>
      </x:c>
      <x:c r="H31" s="8" t="str">
        <x:v>137</x:v>
      </x:c>
      <x:c r="I31" s="10" t="str">
        <x:v>19.43262411347518</x:v>
      </x:c>
      <x:c r="J31" s="8" t="str">
        <x:v>52</x:v>
      </x:c>
      <x:c r="K31" s="8" t="str">
        <x:v>85</x:v>
      </x:c>
      <x:c r="L31" s="8" t="str">
        <x:v>0</x:v>
      </x:c>
      <x:c r="M31" s="10" t="str">
        <x:v>37.95620437956204</x:v>
      </x:c>
      <x:c r="N31" s="9" t="str">
        <x:v>-0.047880344696582935</x:v>
      </x:c>
      <x:c r="O31" s="9" t="str">
        <x:v>-1.0</x:v>
      </x:c>
      <x:c r="P31" s="9" t="str">
        <x:v>-6.559607223431862</x:v>
      </x:c>
      <x:c r="Q31" s="9" t="str">
        <x:v>0.9152730852208448</x:v>
      </x:c>
      <x:c r="R31" s="9" t="str">
        <x:v>12.154331672688635</x:v>
      </x:c>
      <x:c r="S31" s="8" t="str">
        <x:v>49</x:v>
      </x:c>
      <x:c r="T31" s="8" t="str">
        <x:v>88</x:v>
      </x:c>
      <x:c r="U31" s="8" t="str">
        <x:v>0</x:v>
      </x:c>
      <x:c r="V31" s="10" t="str">
        <x:v>35.76642335766424</x:v>
      </x:c>
      <x:c r="W31" s="9" t="str">
        <x:v>-0.07293932675729141</x:v>
      </x:c>
      <x:c r="X31" s="9" t="str">
        <x:v>-1.0069138862190574</x:v>
      </x:c>
      <x:c r="Y31" s="9" t="str">
        <x:v>-9.992687765748922</x:v>
      </x:c>
      <x:c r="Z31" s="9" t="str">
        <x:v>0.8742895488768755</x:v>
      </x:c>
      <x:c r="AA31" s="9" t="str">
        <x:v>14.628422213518556</x:v>
      </x:c>
      <x:c r="AB31" s="9" t="str">
        <x:v>1.0494049382389787</x:v>
      </x:c>
      <x:c r="AC31" s="9" t="str">
        <x:v>0.8952380290944971</x:v>
      </x:c>
    </x:row>
    <x:row r="32" ht="18" customHeight="1">
      <x:c r="A32" s="6" t="str">
        <x:v>Single factor</x:v>
      </x:c>
      <x:c r="B32" s="6" t="str">
        <x:v>Setup HTF regime</x:v>
      </x:c>
      <x:c r="C32" s="6" t="str">
        <x:v>Bull</x:v>
      </x:c>
      <x:c r="D32" s="6" t="str"/>
      <x:c r="E32" s="6" t="str"/>
      <x:c r="F32" s="6" t="str">
        <x:v>All</x:v>
      </x:c>
      <x:c r="G32" s="6" t="str">
        <x:v>ADEQUATE N</x:v>
      </x:c>
      <x:c r="H32" s="8" t="str">
        <x:v>444</x:v>
      </x:c>
      <x:c r="I32" s="10" t="str">
        <x:v>62.97872340425532</x:v>
      </x:c>
      <x:c r="J32" s="8" t="str">
        <x:v>178</x:v>
      </x:c>
      <x:c r="K32" s="8" t="str">
        <x:v>265</x:v>
      </x:c>
      <x:c r="L32" s="8" t="str">
        <x:v>1</x:v>
      </x:c>
      <x:c r="M32" s="10" t="str">
        <x:v>40.090090090090094</x:v>
      </x:c>
      <x:c r="N32" s="9" t="str">
        <x:v>-0.04854068018774646</x:v>
      </x:c>
      <x:c r="O32" s="9" t="str">
        <x:v>-0.6040081755970201</x:v>
      </x:c>
      <x:c r="P32" s="9" t="str">
        <x:v>-21.552062003359428</x:v>
      </x:c>
      <x:c r="Q32" s="9" t="str">
        <x:v>0.9069346297372295</x:v>
      </x:c>
      <x:c r="R32" s="9" t="str">
        <x:v>47.52770989076808</x:v>
      </x:c>
      <x:c r="S32" s="8" t="str">
        <x:v>176</x:v>
      </x:c>
      <x:c r="T32" s="8" t="str">
        <x:v>268</x:v>
      </x:c>
      <x:c r="U32" s="8" t="str">
        <x:v>0</x:v>
      </x:c>
      <x:c r="V32" s="10" t="str">
        <x:v>39.63963963963964</x:v>
      </x:c>
      <x:c r="W32" s="9" t="str">
        <x:v>-0.08630544076816801</x:v>
      </x:c>
      <x:c r="X32" s="9" t="str">
        <x:v>-0.6434671699176302</x:v>
      </x:c>
      <x:c r="Y32" s="9" t="str">
        <x:v>-38.319615701066596</x:v>
      </x:c>
      <x:c r="Z32" s="9" t="str">
        <x:v>0.8418055502457951</x:v>
      </x:c>
      <x:c r="AA32" s="9" t="str">
        <x:v>60.43922302280512</x:v>
      </x:c>
      <x:c r="AB32" s="9" t="str">
        <x:v>1.0129836428720462</x:v>
      </x:c>
      <x:c r="AC32" s="9" t="str">
        <x:v>0.8899616647296296</x:v>
      </x:c>
    </x:row>
    <x:row r="33" ht="18" customHeight="1">
      <x:c r="A33" s="6" t="str">
        <x:v>Single factor direction slice</x:v>
      </x:c>
      <x:c r="B33" s="6" t="str">
        <x:v>Setup HTF regime</x:v>
      </x:c>
      <x:c r="C33" s="6" t="str">
        <x:v>Bull</x:v>
      </x:c>
      <x:c r="D33" s="6" t="str"/>
      <x:c r="E33" s="6" t="str"/>
      <x:c r="F33" s="6" t="str">
        <x:v>Long</x:v>
      </x:c>
      <x:c r="G33" s="6" t="str">
        <x:v>ADEQUATE N</x:v>
      </x:c>
      <x:c r="H33" s="8" t="str">
        <x:v>238</x:v>
      </x:c>
      <x:c r="I33" s="10" t="str">
        <x:v>33.758865248226954</x:v>
      </x:c>
      <x:c r="J33" s="8" t="str">
        <x:v>96</x:v>
      </x:c>
      <x:c r="K33" s="8" t="str">
        <x:v>141</x:v>
      </x:c>
      <x:c r="L33" s="8" t="str">
        <x:v>1</x:v>
      </x:c>
      <x:c r="M33" s="10" t="str">
        <x:v>40.33613445378151</x:v>
      </x:c>
      <x:c r="N33" s="9" t="str">
        <x:v>-0.0805604046857558</x:v>
      </x:c>
      <x:c r="O33" s="9" t="str">
        <x:v>-0.5606235305271678</x:v>
      </x:c>
      <x:c r="P33" s="9" t="str">
        <x:v>-19.173376315209882</x:v>
      </x:c>
      <x:c r="Q33" s="9" t="str">
        <x:v>0.8433565444485663</x:v>
      </x:c>
      <x:c r="R33" s="9" t="str">
        <x:v>30.32736962948678</x:v>
      </x:c>
      <x:c r="S33" s="8" t="str">
        <x:v>94</x:v>
      </x:c>
      <x:c r="T33" s="8" t="str">
        <x:v>144</x:v>
      </x:c>
      <x:c r="U33" s="8" t="str">
        <x:v>0</x:v>
      </x:c>
      <x:c r="V33" s="10" t="str">
        <x:v>39.49579831932773</x:v>
      </x:c>
      <x:c r="W33" s="9" t="str">
        <x:v>-0.11734868043084865</x:v>
      </x:c>
      <x:c r="X33" s="9" t="str">
        <x:v>-0.597520858567621</x:v>
      </x:c>
      <x:c r="Y33" s="9" t="str">
        <x:v>-27.928985942541978</x:v>
      </x:c>
      <x:c r="Z33" s="9" t="str">
        <x:v>0.7816631523635719</x:v>
      </x:c>
      <x:c r="AA33" s="9" t="str">
        <x:v>37.30417585790132</x:v>
      </x:c>
      <x:c r="AB33" s="9" t="str">
        <x:v>0.9152008642863179</x:v>
      </x:c>
      <x:c r="AC33" s="9" t="str">
        <x:v>0.8908015033398239</x:v>
      </x:c>
    </x:row>
    <x:row r="34" ht="18" customHeight="1">
      <x:c r="A34" s="6" t="str">
        <x:v>Single factor direction slice</x:v>
      </x:c>
      <x:c r="B34" s="6" t="str">
        <x:v>Setup HTF regime</x:v>
      </x:c>
      <x:c r="C34" s="6" t="str">
        <x:v>Bull</x:v>
      </x:c>
      <x:c r="D34" s="6" t="str"/>
      <x:c r="E34" s="6" t="str"/>
      <x:c r="F34" s="6" t="str">
        <x:v>Short</x:v>
      </x:c>
      <x:c r="G34" s="6" t="str">
        <x:v>ADEQUATE N</x:v>
      </x:c>
      <x:c r="H34" s="8" t="str">
        <x:v>206</x:v>
      </x:c>
      <x:c r="I34" s="10" t="str">
        <x:v>29.21985815602837</x:v>
      </x:c>
      <x:c r="J34" s="8" t="str">
        <x:v>82</x:v>
      </x:c>
      <x:c r="K34" s="8" t="str">
        <x:v>124</x:v>
      </x:c>
      <x:c r="L34" s="8" t="str">
        <x:v>0</x:v>
      </x:c>
      <x:c r="M34" s="10" t="str">
        <x:v>39.80582524271845</x:v>
      </x:c>
      <x:c r="N34" s="9" t="str">
        <x:v>-0.011547017903638556</x:v>
      </x:c>
      <x:c r="O34" s="9" t="str">
        <x:v>-0.7031852276111155</x:v>
      </x:c>
      <x:c r="P34" s="9" t="str">
        <x:v>-2.3786856881495426</x:v>
      </x:c>
      <x:c r="Q34" s="9" t="str">
        <x:v>0.9782128616157761</x:v>
      </x:c>
      <x:c r="R34" s="9" t="str">
        <x:v>25.081457151358165</x:v>
      </x:c>
      <x:c r="S34" s="8" t="str">
        <x:v>82</x:v>
      </x:c>
      <x:c r="T34" s="8" t="str">
        <x:v>124</x:v>
      </x:c>
      <x:c r="U34" s="8" t="str">
        <x:v>0</x:v>
      </x:c>
      <x:c r="V34" s="10" t="str">
        <x:v>39.80582524271845</x:v>
      </x:c>
      <x:c r="W34" s="9" t="str">
        <x:v>-0.0504399502841001</x:v>
      </x:c>
      <x:c r="X34" s="9" t="str">
        <x:v>-0.744047831824342</x:v>
      </x:c>
      <x:c r="Y34" s="9" t="str">
        <x:v>-10.390629758524621</x:v>
      </x:c>
      <x:c r="Z34" s="9" t="str">
        <x:v>0.9091045976925901</x:v>
      </x:c>
      <x:c r="AA34" s="9" t="str">
        <x:v>27.832881451800297</x:v>
      </x:c>
      <x:c r="AB34" s="9" t="str">
        <x:v>1.125955979296334</x:v>
      </x:c>
      <x:c r="AC34" s="9" t="str">
        <x:v>0.8889913657528029</x:v>
      </x:c>
    </x:row>
    <x:row r="35" ht="18" customHeight="1">
      <x:c r="A35" s="6" t="str">
        <x:v>Single factor</x:v>
      </x:c>
      <x:c r="B35" s="6" t="str">
        <x:v>Setup trigger type</x:v>
      </x:c>
      <x:c r="C35" s="6" t="str">
        <x:v>Matching BOS + liquidity sweep</x:v>
      </x:c>
      <x:c r="D35" s="6" t="str"/>
      <x:c r="E35" s="6" t="str"/>
      <x:c r="F35" s="6" t="str">
        <x:v>All</x:v>
      </x:c>
      <x:c r="G35" s="6" t="str">
        <x:v>SMALL SAMPLE</x:v>
      </x:c>
      <x:c r="H35" s="8" t="str">
        <x:v>7</x:v>
      </x:c>
      <x:c r="I35" s="10" t="str">
        <x:v>0.9929078014184397</x:v>
      </x:c>
      <x:c r="J35" s="8" t="str">
        <x:v>3</x:v>
      </x:c>
      <x:c r="K35" s="8" t="str">
        <x:v>4</x:v>
      </x:c>
      <x:c r="L35" s="8" t="str">
        <x:v>0</x:v>
      </x:c>
      <x:c r="M35" s="10" t="str">
        <x:v>42.857142857142854</x:v>
      </x:c>
      <x:c r="N35" s="9" t="str">
        <x:v>0.2857142857142857</x:v>
      </x:c>
      <x:c r="O35" s="9" t="str">
        <x:v>-1.0</x:v>
      </x:c>
      <x:c r="P35" s="9" t="str">
        <x:v>2.0</x:v>
      </x:c>
      <x:c r="Q35" s="9" t="str">
        <x:v>1.5</x:v>
      </x:c>
      <x:c r="R35" s="9" t="str">
        <x:v>3.0</x:v>
      </x:c>
      <x:c r="S35" s="8" t="str">
        <x:v>3</x:v>
      </x:c>
      <x:c r="T35" s="8" t="str">
        <x:v>4</x:v>
      </x:c>
      <x:c r="U35" s="8" t="str">
        <x:v>0</x:v>
      </x:c>
      <x:c r="V35" s="10" t="str">
        <x:v>42.857142857142854</x:v>
      </x:c>
      <x:c r="W35" s="9" t="str">
        <x:v>0.26141077753547537</x:v>
      </x:c>
      <x:c r="X35" s="9" t="str">
        <x:v>-1.0107872285306043</x:v>
      </x:c>
      <x:c r="Y35" s="9" t="str">
        <x:v>1.8298754427483275</x:v>
      </x:c>
      <x:c r="Z35" s="9" t="str">
        <x:v>1.4477969163301811</x:v>
      </x:c>
      <x:c r="AA35" s="9" t="str">
        <x:v>3.0684494351364204</x:v>
      </x:c>
      <x:c r="AB35" s="9" t="str">
        <x:v>1.3616445531650962</x:v>
      </x:c>
      <x:c r="AC35" s="9" t="str">
        <x:v>0.7809263351526582</x:v>
      </x:c>
    </x:row>
    <x:row r="36" ht="18" customHeight="1">
      <x:c r="A36" s="6" t="str">
        <x:v>Single factor</x:v>
      </x:c>
      <x:c r="B36" s="6" t="str">
        <x:v>Setup trigger type</x:v>
      </x:c>
      <x:c r="C36" s="6" t="str">
        <x:v>Matching BOS only</x:v>
      </x:c>
      <x:c r="D36" s="6" t="str"/>
      <x:c r="E36" s="6" t="str"/>
      <x:c r="F36" s="6" t="str">
        <x:v>All</x:v>
      </x:c>
      <x:c r="G36" s="6" t="str">
        <x:v>ADEQUATE N</x:v>
      </x:c>
      <x:c r="H36" s="8" t="str">
        <x:v>657</x:v>
      </x:c>
      <x:c r="I36" s="10" t="str">
        <x:v>93.19148936170212</x:v>
      </x:c>
      <x:c r="J36" s="8" t="str">
        <x:v>270</x:v>
      </x:c>
      <x:c r="K36" s="8" t="str">
        <x:v>386</x:v>
      </x:c>
      <x:c r="L36" s="8" t="str">
        <x:v>1</x:v>
      </x:c>
      <x:c r="M36" s="10" t="str">
        <x:v>41.0958904109589</x:v>
      </x:c>
      <x:c r="N36" s="9" t="str">
        <x:v>-0.034070563295635556</x:v>
      </x:c>
      <x:c r="O36" s="9" t="str">
        <x:v>-0.5616002689567001</x:v>
      </x:c>
      <x:c r="P36" s="9" t="str">
        <x:v>-22.384360085232558</x:v>
      </x:c>
      <x:c r="Q36" s="9" t="str">
        <x:v>0.9339959075184012</x:v>
      </x:c>
      <x:c r="R36" s="9" t="str">
        <x:v>37.62785408230198</x:v>
      </x:c>
      <x:c r="S36" s="8" t="str">
        <x:v>266</x:v>
      </x:c>
      <x:c r="T36" s="8" t="str">
        <x:v>391</x:v>
      </x:c>
      <x:c r="U36" s="8" t="str">
        <x:v>0</x:v>
      </x:c>
      <x:c r="V36" s="10" t="str">
        <x:v>40.48706240487062</x:v>
      </x:c>
      <x:c r="W36" s="9" t="str">
        <x:v>-0.06709430400284228</x:v>
      </x:c>
      <x:c r="X36" s="9" t="str">
        <x:v>-0.5987895166897238</x:v>
      </x:c>
      <x:c r="Y36" s="9" t="str">
        <x:v>-44.08095772986738</x:v>
      </x:c>
      <x:c r="Z36" s="9" t="str">
        <x:v>0.8749136799317708</x:v>
      </x:c>
      <x:c r="AA36" s="9" t="str">
        <x:v>53.134665827675306</x:v>
      </x:c>
      <x:c r="AB36" s="9" t="str">
        <x:v>1.020624507677611</x:v>
      </x:c>
      <x:c r="AC36" s="9" t="str">
        <x:v>0.8981347802637952</x:v>
      </x:c>
    </x:row>
    <x:row r="37" ht="18" customHeight="1">
      <x:c r="A37" s="6" t="str">
        <x:v>Single factor direction slice</x:v>
      </x:c>
      <x:c r="B37" s="6" t="str">
        <x:v>Setup trigger type</x:v>
      </x:c>
      <x:c r="C37" s="6" t="str">
        <x:v>Matching BOS only</x:v>
      </x:c>
      <x:c r="D37" s="6" t="str"/>
      <x:c r="E37" s="6" t="str"/>
      <x:c r="F37" s="6" t="str">
        <x:v>Long</x:v>
      </x:c>
      <x:c r="G37" s="6" t="str">
        <x:v>ADEQUATE N</x:v>
      </x:c>
      <x:c r="H37" s="8" t="str">
        <x:v>337</x:v>
      </x:c>
      <x:c r="I37" s="10" t="str">
        <x:v>47.801418439716315</x:v>
      </x:c>
      <x:c r="J37" s="8" t="str">
        <x:v>142</x:v>
      </x:c>
      <x:c r="K37" s="8" t="str">
        <x:v>194</x:v>
      </x:c>
      <x:c r="L37" s="8" t="str">
        <x:v>1</x:v>
      </x:c>
      <x:c r="M37" s="10" t="str">
        <x:v>42.13649851632047</x:v>
      </x:c>
      <x:c r="N37" s="9" t="str">
        <x:v>-0.07070962592285307</x:v>
      </x:c>
      <x:c r="O37" s="9" t="str">
        <x:v>-0.5182663005245425</x:v>
      </x:c>
      <x:c r="P37" s="9" t="str">
        <x:v>-23.829143936001483</x:v>
      </x:c>
      <x:c r="Q37" s="9" t="str">
        <x:v>0.859445697089208</x:v>
      </x:c>
      <x:c r="R37" s="9" t="str">
        <x:v>32.26066806074691</x:v>
      </x:c>
      <x:c r="S37" s="8" t="str">
        <x:v>141</x:v>
      </x:c>
      <x:c r="T37" s="8" t="str">
        <x:v>196</x:v>
      </x:c>
      <x:c r="U37" s="8" t="str">
        <x:v>0</x:v>
      </x:c>
      <x:c r="V37" s="10" t="str">
        <x:v>41.839762611275965</x:v>
      </x:c>
      <x:c r="W37" s="9" t="str">
        <x:v>-0.10351934809900452</x:v>
      </x:c>
      <x:c r="X37" s="9" t="str">
        <x:v>-0.5388594396348314</x:v>
      </x:c>
      <x:c r="Y37" s="9" t="str">
        <x:v>-34.886020309364525</x:v>
      </x:c>
      <x:c r="Z37" s="9" t="str">
        <x:v>0.8020980855906713</x:v>
      </x:c>
      <x:c r="AA37" s="9" t="str">
        <x:v>40.9671825162118</x:v>
      </x:c>
      <x:c r="AB37" s="9" t="str">
        <x:v>0.9319750359573667</x:v>
      </x:c>
      <x:c r="AC37" s="9" t="str">
        <x:v>0.9168310282387635</x:v>
      </x:c>
    </x:row>
    <x:row r="38" ht="18" customHeight="1">
      <x:c r="A38" s="6" t="str">
        <x:v>Single factor direction slice</x:v>
      </x:c>
      <x:c r="B38" s="6" t="str">
        <x:v>Setup trigger type</x:v>
      </x:c>
      <x:c r="C38" s="6" t="str">
        <x:v>Matching BOS only</x:v>
      </x:c>
      <x:c r="D38" s="6" t="str"/>
      <x:c r="E38" s="6" t="str"/>
      <x:c r="F38" s="6" t="str">
        <x:v>Short</x:v>
      </x:c>
      <x:c r="G38" s="6" t="str">
        <x:v>ADEQUATE N</x:v>
      </x:c>
      <x:c r="H38" s="8" t="str">
        <x:v>320</x:v>
      </x:c>
      <x:c r="I38" s="10" t="str">
        <x:v>45.39007092198582</x:v>
      </x:c>
      <x:c r="J38" s="8" t="str">
        <x:v>128</x:v>
      </x:c>
      <x:c r="K38" s="8" t="str">
        <x:v>192</x:v>
      </x:c>
      <x:c r="L38" s="8" t="str">
        <x:v>0</x:v>
      </x:c>
      <x:c r="M38" s="10" t="str">
        <x:v>40.0</x:v>
      </x:c>
      <x:c r="N38" s="9" t="str">
        <x:v>0.00451494953365289</x:v>
      </x:c>
      <x:c r="O38" s="9" t="str">
        <x:v>-0.688211496146256</x:v>
      </x:c>
      <x:c r="P38" s="9" t="str">
        <x:v>1.4447838507689248</x:v>
      </x:c>
      <x:c r="Q38" s="9" t="str">
        <x:v>1.0085188219417167</x:v>
      </x:c>
      <x:c r="R38" s="9" t="str">
        <x:v>16.686861464228528</x:v>
      </x:c>
      <x:c r="S38" s="8" t="str">
        <x:v>125</x:v>
      </x:c>
      <x:c r="T38" s="8" t="str">
        <x:v>195</x:v>
      </x:c>
      <x:c r="U38" s="8" t="str">
        <x:v>0</x:v>
      </x:c>
      <x:c r="V38" s="10" t="str">
        <x:v>39.0625</x:v>
      </x:c>
      <x:c r="W38" s="9" t="str">
        <x:v>-0.028734179439071434</x:v>
      </x:c>
      <x:c r="X38" s="9" t="str">
        <x:v>-0.7134714768980934</x:v>
      </x:c>
      <x:c r="Y38" s="9" t="str">
        <x:v>-9.194937420502859</x:v>
      </x:c>
      <x:c r="Z38" s="9" t="str">
        <x:v>0.9477931036835879</x:v>
      </x:c>
      <x:c r="AA38" s="9" t="str">
        <x:v>23.338431151991667</x:v>
      </x:c>
      <x:c r="AB38" s="9" t="str">
        <x:v>1.1139834825829935</x:v>
      </x:c>
      <x:c r="AC38" s="9" t="str">
        <x:v>0.8784452941151567</x:v>
      </x:c>
    </x:row>
    <x:row r="39" ht="18" customHeight="1">
      <x:c r="A39" s="6" t="str">
        <x:v>Single factor</x:v>
      </x:c>
      <x:c r="B39" s="6" t="str">
        <x:v>Setup trigger type</x:v>
      </x:c>
      <x:c r="C39" s="6" t="str">
        <x:v>Matching liquidity sweep only</x:v>
      </x:c>
      <x:c r="D39" s="6" t="str"/>
      <x:c r="E39" s="6" t="str"/>
      <x:c r="F39" s="6" t="str">
        <x:v>All</x:v>
      </x:c>
      <x:c r="G39" s="6" t="str">
        <x:v>ADEQUATE N</x:v>
      </x:c>
      <x:c r="H39" s="8" t="str">
        <x:v>41</x:v>
      </x:c>
      <x:c r="I39" s="10" t="str">
        <x:v>5.815602836879433</x:v>
      </x:c>
      <x:c r="J39" s="8" t="str">
        <x:v>16</x:v>
      </x:c>
      <x:c r="K39" s="8" t="str">
        <x:v>25</x:v>
      </x:c>
      <x:c r="L39" s="8" t="str">
        <x:v>0</x:v>
      </x:c>
      <x:c r="M39" s="10" t="str">
        <x:v>39.02439024390244</x:v>
      </x:c>
      <x:c r="N39" s="9" t="str">
        <x:v>-0.127712957925792</x:v>
      </x:c>
      <x:c r="O39" s="9" t="str">
        <x:v>-1.0</x:v>
      </x:c>
      <x:c r="P39" s="9" t="str">
        <x:v>-5.236231274957472</x:v>
      </x:c>
      <x:c r="Q39" s="9" t="str">
        <x:v>0.790550749001701</x:v>
      </x:c>
      <x:c r="R39" s="9" t="str">
        <x:v>9.952463154821343</x:v>
      </x:c>
      <x:c r="S39" s="8" t="str">
        <x:v>15</x:v>
      </x:c>
      <x:c r="T39" s="8" t="str">
        <x:v>26</x:v>
      </x:c>
      <x:c r="U39" s="8" t="str">
        <x:v>0</x:v>
      </x:c>
      <x:c r="V39" s="10" t="str">
        <x:v>36.58536585365854</x:v>
      </x:c>
      <x:c r="W39" s="9" t="str">
        <x:v>-0.16580448212192</x:v>
      </x:c>
      <x:c r="X39" s="9" t="str">
        <x:v>-1.0166717964652916</x:v>
      </x:c>
      <x:c r="Y39" s="9" t="str">
        <x:v>-6.79798376699872</x:v>
      </x:c>
      <x:c r="Z39" s="9" t="str">
        <x:v>0.7391653612984207</x:v>
      </x:c>
      <x:c r="AA39" s="9" t="str">
        <x:v>10.471293309185628</x:v>
      </x:c>
      <x:c r="AB39" s="9" t="str">
        <x:v>0.9379704385044132</x:v>
      </x:c>
      <x:c r="AC39" s="9" t="str">
        <x:v>0.9549727858146095</x:v>
      </x:c>
    </x:row>
    <x:row r="40" ht="18" customHeight="1">
      <x:c r="A40" s="6" t="str">
        <x:v>Single factor</x:v>
      </x:c>
      <x:c r="B40" s="6" t="str">
        <x:v>Liquidity context</x:v>
      </x:c>
      <x:c r="C40" s="6" t="str">
        <x:v>No recent matching sweep</x:v>
      </x:c>
      <x:c r="D40" s="6" t="str"/>
      <x:c r="E40" s="6" t="str"/>
      <x:c r="F40" s="6" t="str">
        <x:v>All</x:v>
      </x:c>
      <x:c r="G40" s="6" t="str">
        <x:v>ADEQUATE N</x:v>
      </x:c>
      <x:c r="H40" s="8" t="str">
        <x:v>172</x:v>
      </x:c>
      <x:c r="I40" s="10" t="str">
        <x:v>24.397163120567377</x:v>
      </x:c>
      <x:c r="J40" s="8" t="str">
        <x:v>82</x:v>
      </x:c>
      <x:c r="K40" s="8" t="str">
        <x:v>89</x:v>
      </x:c>
      <x:c r="L40" s="8" t="str">
        <x:v>1</x:v>
      </x:c>
      <x:c r="M40" s="10" t="str">
        <x:v>47.674418604651166</x:v>
      </x:c>
      <x:c r="N40" s="9" t="str">
        <x:v>0.06468660748612019</x:v>
      </x:c>
      <x:c r="O40" s="9" t="str">
        <x:v>-0.10010041859983315</x:v>
      </x:c>
      <x:c r="P40" s="9" t="str">
        <x:v>11.126096487612674</x:v>
      </x:c>
      <x:c r="Q40" s="9" t="str">
        <x:v>1.1544081179062502</x:v>
      </x:c>
      <x:c r="R40" s="9" t="str">
        <x:v>12.072053728573895</x:v>
      </x:c>
      <x:c r="S40" s="8" t="str">
        <x:v>80</x:v>
      </x:c>
      <x:c r="T40" s="8" t="str">
        <x:v>92</x:v>
      </x:c>
      <x:c r="U40" s="8" t="str">
        <x:v>0</x:v>
      </x:c>
      <x:c r="V40" s="10" t="str">
        <x:v>46.51162790697674</x:v>
      </x:c>
      <x:c r="W40" s="9" t="str">
        <x:v>0.04427440140403159</x:v>
      </x:c>
      <x:c r="X40" s="9" t="str">
        <x:v>-0.1269857297073955</x:v>
      </x:c>
      <x:c r="Y40" s="9" t="str">
        <x:v>7.615197041493434</x:v>
      </x:c>
      <x:c r="Z40" s="9" t="str">
        <x:v>1.1029914013474575</x:v>
      </x:c>
      <x:c r="AA40" s="9" t="str">
        <x:v>13.281458565636369</x:v>
      </x:c>
      <x:c r="AB40" s="9" t="str">
        <x:v>0.985916491817584</x:v>
      </x:c>
      <x:c r="AC40" s="9" t="str">
        <x:v>0.7706568152476211</x:v>
      </x:c>
    </x:row>
    <x:row r="41" ht="18" customHeight="1">
      <x:c r="A41" s="6" t="str">
        <x:v>Single factor direction slice</x:v>
      </x:c>
      <x:c r="B41" s="6" t="str">
        <x:v>Liquidity context</x:v>
      </x:c>
      <x:c r="C41" s="6" t="str">
        <x:v>No recent matching sweep</x:v>
      </x:c>
      <x:c r="D41" s="6" t="str"/>
      <x:c r="E41" s="6" t="str"/>
      <x:c r="F41" s="6" t="str">
        <x:v>Long</x:v>
      </x:c>
      <x:c r="G41" s="6" t="str">
        <x:v>ADEQUATE N</x:v>
      </x:c>
      <x:c r="H41" s="8" t="str">
        <x:v>82</x:v>
      </x:c>
      <x:c r="I41" s="10" t="str">
        <x:v>11.631205673758865</x:v>
      </x:c>
      <x:c r="J41" s="8" t="str">
        <x:v>39</x:v>
      </x:c>
      <x:c r="K41" s="8" t="str">
        <x:v>42</x:v>
      </x:c>
      <x:c r="L41" s="8" t="str">
        <x:v>1</x:v>
      </x:c>
      <x:c r="M41" s="10" t="str">
        <x:v>47.5609756097561</x:v>
      </x:c>
      <x:c r="N41" s="9" t="str">
        <x:v>-0.028587225042612994</x:v>
      </x:c>
      <x:c r="O41" s="9" t="str">
        <x:v>-0.07269055010069861</x:v>
      </x:c>
      <x:c r="P41" s="9" t="str">
        <x:v>-2.3441524534942655</x:v>
      </x:c>
      <x:c r="Q41" s="9" t="str">
        <x:v>0.9298029289835203</x:v>
      </x:c>
      <x:c r="R41" s="9" t="str">
        <x:v>9.534416221178242</x:v>
      </x:c>
      <x:c r="S41" s="8" t="str">
        <x:v>39</x:v>
      </x:c>
      <x:c r="T41" s="8" t="str">
        <x:v>43</x:v>
      </x:c>
      <x:c r="U41" s="8" t="str">
        <x:v>0</x:v>
      </x:c>
      <x:c r="V41" s="10" t="str">
        <x:v>47.5609756097561</x:v>
      </x:c>
      <x:c r="W41" s="9" t="str">
        <x:v>-0.05215770349789231</x:v>
      </x:c>
      <x:c r="X41" s="9" t="str">
        <x:v>-0.09493807225698042</x:v>
      </x:c>
      <x:c r="Y41" s="9" t="str">
        <x:v>-4.27693168682717</x:v>
      </x:c>
      <x:c r="Z41" s="9" t="str">
        <x:v>0.8757023416506649</x:v>
      </x:c>
      <x:c r="AA41" s="9" t="str">
        <x:v>10.053553781339591</x:v>
      </x:c>
      <x:c r="AB41" s="9" t="str">
        <x:v>0.8450036280415318</x:v>
      </x:c>
      <x:c r="AC41" s="9" t="str">
        <x:v>0.7691284027225637</x:v>
      </x:c>
    </x:row>
    <x:row r="42" ht="18" customHeight="1">
      <x:c r="A42" s="6" t="str">
        <x:v>Single factor direction slice</x:v>
      </x:c>
      <x:c r="B42" s="6" t="str">
        <x:v>Liquidity context</x:v>
      </x:c>
      <x:c r="C42" s="6" t="str">
        <x:v>No recent matching sweep</x:v>
      </x:c>
      <x:c r="D42" s="6" t="str"/>
      <x:c r="E42" s="6" t="str"/>
      <x:c r="F42" s="6" t="str">
        <x:v>Short</x:v>
      </x:c>
      <x:c r="G42" s="6" t="str">
        <x:v>ADEQUATE N</x:v>
      </x:c>
      <x:c r="H42" s="8" t="str">
        <x:v>90</x:v>
      </x:c>
      <x:c r="I42" s="10" t="str">
        <x:v>12.76595744680851</x:v>
      </x:c>
      <x:c r="J42" s="8" t="str">
        <x:v>43</x:v>
      </x:c>
      <x:c r="K42" s="8" t="str">
        <x:v>47</x:v>
      </x:c>
      <x:c r="L42" s="8" t="str">
        <x:v>0</x:v>
      </x:c>
      <x:c r="M42" s="10" t="str">
        <x:v>47.77777777777778</x:v>
      </x:c>
      <x:c r="N42" s="9" t="str">
        <x:v>0.14966943267896599</x:v>
      </x:c>
      <x:c r="O42" s="9" t="str">
        <x:v>-0.11913733055690136</x:v>
      </x:c>
      <x:c r="P42" s="9" t="str">
        <x:v>13.47024894110694</x:v>
      </x:c>
      <x:c r="Q42" s="9" t="str">
        <x:v>1.3484056589057871</x:v>
      </x:c>
      <x:c r="R42" s="9" t="str">
        <x:v>5.38196179714557</x:v>
      </x:c>
      <x:c r="S42" s="8" t="str">
        <x:v>41</x:v>
      </x:c>
      <x:c r="T42" s="8" t="str">
        <x:v>49</x:v>
      </x:c>
      <x:c r="U42" s="8" t="str">
        <x:v>0</x:v>
      </x:c>
      <x:c r="V42" s="10" t="str">
        <x:v>45.55555555555556</x:v>
      </x:c>
      <x:c r="W42" s="9" t="str">
        <x:v>0.13213476364800675</x:v>
      </x:c>
      <x:c r="X42" s="9" t="str">
        <x:v>-0.14231147773878344</x:v>
      </x:c>
      <x:c r="Y42" s="9" t="str">
        <x:v>11.892128728320607</x:v>
      </x:c>
      <x:c r="Z42" s="9" t="str">
        <x:v>1.3008278889028175</x:v>
      </x:c>
      <x:c r="AA42" s="9" t="str">
        <x:v>5.82795335927297</x:v>
      </x:c>
      <x:c r="AB42" s="9" t="str">
        <x:v>1.114303767702432</x:v>
      </x:c>
      <x:c r="AC42" s="9" t="str">
        <x:v>0.7720493688815621</x:v>
      </x:c>
    </x:row>
    <x:row r="43" ht="18" customHeight="1">
      <x:c r="A43" s="6" t="str">
        <x:v>Single factor</x:v>
      </x:c>
      <x:c r="B43" s="6" t="str">
        <x:v>Liquidity context</x:v>
      </x:c>
      <x:c r="C43" s="6" t="str">
        <x:v>Recent BSL</x:v>
      </x:c>
      <x:c r="D43" s="6" t="str"/>
      <x:c r="E43" s="6" t="str"/>
      <x:c r="F43" s="6" t="str">
        <x:v>All</x:v>
      </x:c>
      <x:c r="G43" s="6" t="str">
        <x:v>ADEQUATE N</x:v>
      </x:c>
      <x:c r="H43" s="8" t="str">
        <x:v>253</x:v>
      </x:c>
      <x:c r="I43" s="10" t="str">
        <x:v>35.88652482269504</x:v>
      </x:c>
      <x:c r="J43" s="8" t="str">
        <x:v>91</x:v>
      </x:c>
      <x:c r="K43" s="8" t="str">
        <x:v>162</x:v>
      </x:c>
      <x:c r="L43" s="8" t="str">
        <x:v>0</x:v>
      </x:c>
      <x:c r="M43" s="10" t="str">
        <x:v>35.96837944664031</x:v>
      </x:c>
      <x:c r="N43" s="9" t="str">
        <x:v>-0.08857131167070492</x:v>
      </x:c>
      <x:c r="O43" s="9" t="str">
        <x:v>-1.0</x:v>
      </x:c>
      <x:c r="P43" s="9" t="str">
        <x:v>-22.408541852688344</x:v>
      </x:c>
      <x:c r="Q43" s="9" t="str">
        <x:v>0.8485259185608715</x:v>
      </x:c>
      <x:c r="R43" s="9" t="str">
        <x:v>30.52861534313012</x:v>
      </x:c>
      <x:c r="S43" s="8" t="str">
        <x:v>90</x:v>
      </x:c>
      <x:c r="T43" s="8" t="str">
        <x:v>163</x:v>
      </x:c>
      <x:c r="U43" s="8" t="str">
        <x:v>0</x:v>
      </x:c>
      <x:c r="V43" s="10" t="str">
        <x:v>35.573122529644266</x:v>
      </x:c>
      <x:c r="W43" s="9" t="str">
        <x:v>-0.12757093380471995</x:v>
      </x:c>
      <x:c r="X43" s="9" t="str">
        <x:v>-1.0108692498756457</x:v>
      </x:c>
      <x:c r="Y43" s="9" t="str">
        <x:v>-32.27544625259415</x:v>
      </x:c>
      <x:c r="Z43" s="9" t="str">
        <x:v>0.7907893967942468</x:v>
      </x:c>
      <x:c r="AA43" s="9" t="str">
        <x:v>37.774025244068355</x:v>
      </x:c>
      <x:c r="AB43" s="9" t="str">
        <x:v>1.088648494784846</x:v>
      </x:c>
      <x:c r="AC43" s="9" t="str">
        <x:v>0.9339738661331339</x:v>
      </x:c>
    </x:row>
    <x:row r="44" ht="18" customHeight="1">
      <x:c r="A44" s="6" t="str">
        <x:v>Single factor</x:v>
      </x:c>
      <x:c r="B44" s="6" t="str">
        <x:v>Liquidity context</x:v>
      </x:c>
      <x:c r="C44" s="6" t="str">
        <x:v>Recent SSL</x:v>
      </x:c>
      <x:c r="D44" s="6" t="str"/>
      <x:c r="E44" s="6" t="str"/>
      <x:c r="F44" s="6" t="str">
        <x:v>All</x:v>
      </x:c>
      <x:c r="G44" s="6" t="str">
        <x:v>ADEQUATE N</x:v>
      </x:c>
      <x:c r="H44" s="8" t="str">
        <x:v>280</x:v>
      </x:c>
      <x:c r="I44" s="10" t="str">
        <x:v>39.716312056737586</x:v>
      </x:c>
      <x:c r="J44" s="8" t="str">
        <x:v>116</x:v>
      </x:c>
      <x:c r="K44" s="8" t="str">
        <x:v>164</x:v>
      </x:c>
      <x:c r="L44" s="8" t="str">
        <x:v>0</x:v>
      </x:c>
      <x:c r="M44" s="10" t="str">
        <x:v>41.42857142857143</x:v>
      </x:c>
      <x:c r="N44" s="9" t="str">
        <x:v>-0.05120766426826557</x:v>
      </x:c>
      <x:c r="O44" s="9" t="str">
        <x:v>-0.7472964390233734</x:v>
      </x:c>
      <x:c r="P44" s="9" t="str">
        <x:v>-14.33814599511436</x:v>
      </x:c>
      <x:c r="Q44" s="9" t="str">
        <x:v>0.9032141799272465</x:v>
      </x:c>
      <x:c r="R44" s="9" t="str">
        <x:v>23.89474774070696</x:v>
      </x:c>
      <x:c r="S44" s="8" t="str">
        <x:v>114</x:v>
      </x:c>
      <x:c r="T44" s="8" t="str">
        <x:v>166</x:v>
      </x:c>
      <x:c r="U44" s="8" t="str">
        <x:v>0</x:v>
      </x:c>
      <x:c r="V44" s="10" t="str">
        <x:v>40.714285714285715</x:v>
      </x:c>
      <x:c r="W44" s="9" t="str">
        <x:v>-0.0871029172964895</x:v>
      </x:c>
      <x:c r="X44" s="9" t="str">
        <x:v>-0.7945880228465143</x:v>
      </x:c>
      <x:c r="Y44" s="9" t="str">
        <x:v>-24.38881684301706</x:v>
      </x:c>
      <x:c r="Z44" s="9" t="str">
        <x:v>0.8419804337070339</x:v>
      </x:c>
      <x:c r="AA44" s="9" t="str">
        <x:v>31.779705289067188</x:v>
      </x:c>
      <x:c r="AB44" s="9" t="str">
        <x:v>0.9769031986494164</x:v>
      </x:c>
      <x:c r="AC44" s="9" t="str">
        <x:v>0.9494519958696691</x:v>
      </x:c>
    </x:row>
    <x:row r="45" ht="18" customHeight="1">
      <x:c r="A45" s="6" t="str">
        <x:v>Single factor</x:v>
      </x:c>
      <x:c r="B45" s="6" t="str">
        <x:v>CRT bar sweep</x:v>
      </x:c>
      <x:c r="C45" s="6" t="str">
        <x:v>Both CRT sweeps</x:v>
      </x:c>
      <x:c r="D45" s="6" t="str"/>
      <x:c r="E45" s="6" t="str"/>
      <x:c r="F45" s="6" t="str">
        <x:v>All</x:v>
      </x:c>
      <x:c r="G45" s="6" t="str">
        <x:v>SMALL SAMPLE</x:v>
      </x:c>
      <x:c r="H45" s="8" t="str">
        <x:v>7</x:v>
      </x:c>
      <x:c r="I45" s="10" t="str">
        <x:v>0.9929078014184397</x:v>
      </x:c>
      <x:c r="J45" s="8" t="str">
        <x:v>5</x:v>
      </x:c>
      <x:c r="K45" s="8" t="str">
        <x:v>2</x:v>
      </x:c>
      <x:c r="L45" s="8" t="str">
        <x:v>0</x:v>
      </x:c>
      <x:c r="M45" s="10" t="str">
        <x:v>71.42857142857143</x:v>
      </x:c>
      <x:c r="N45" s="9" t="str">
        <x:v>0.22391363680581794</x:v>
      </x:c>
      <x:c r="O45" s="9" t="str">
        <x:v>0.39130995125180346</x:v>
      </x:c>
      <x:c r="P45" s="9" t="str">
        <x:v>1.5673954576407256</x:v>
      </x:c>
      <x:c r="Q45" s="9" t="str">
        <x:v>2.9505499938875643</x:v>
      </x:c>
      <x:c r="R45" s="9" t="str">
        <x:v>0.4400181381855038</x:v>
      </x:c>
      <x:c r="S45" s="8" t="str">
        <x:v>5</x:v>
      </x:c>
      <x:c r="T45" s="8" t="str">
        <x:v>2</x:v>
      </x:c>
      <x:c r="U45" s="8" t="str">
        <x:v>0</x:v>
      </x:c>
      <x:c r="V45" s="10" t="str">
        <x:v>71.42857142857143</x:v>
      </x:c>
      <x:c r="W45" s="9" t="str">
        <x:v>0.2033742072235213</x:v>
      </x:c>
      <x:c r="X45" s="9" t="str">
        <x:v>0.3714011993460099</x:v>
      </x:c>
      <x:c r="Y45" s="9" t="str">
        <x:v>1.4236194505646491</x:v>
      </x:c>
      <x:c r="Z45" s="9" t="str">
        <x:v>2.6765595791103363</x:v>
      </x:c>
      <x:c r="AA45" s="9" t="str">
        <x:v>0.47114137234984316</x:v>
      </x:c>
      <x:c r="AB45" s="9" t="str">
        <x:v>0.7314093635473613</x:v>
      </x:c>
      <x:c r="AC45" s="9" t="str">
        <x:v>0.5782305901067277</x:v>
      </x:c>
    </x:row>
    <x:row r="46" ht="18" customHeight="1">
      <x:c r="A46" s="6" t="str">
        <x:v>Single factor</x:v>
      </x:c>
      <x:c r="B46" s="6" t="str">
        <x:v>CRT bar sweep</x:v>
      </x:c>
      <x:c r="C46" s="6" t="str">
        <x:v>None</x:v>
      </x:c>
      <x:c r="D46" s="6" t="str"/>
      <x:c r="E46" s="6" t="str"/>
      <x:c r="F46" s="6" t="str">
        <x:v>All</x:v>
      </x:c>
      <x:c r="G46" s="6" t="str">
        <x:v>ADEQUATE N</x:v>
      </x:c>
      <x:c r="H46" s="8" t="str">
        <x:v>605</x:v>
      </x:c>
      <x:c r="I46" s="10" t="str">
        <x:v>85.81560283687944</x:v>
      </x:c>
      <x:c r="J46" s="8" t="str">
        <x:v>250</x:v>
      </x:c>
      <x:c r="K46" s="8" t="str">
        <x:v>354</x:v>
      </x:c>
      <x:c r="L46" s="8" t="str">
        <x:v>1</x:v>
      </x:c>
      <x:c r="M46" s="10" t="str">
        <x:v>41.32231404958678</x:v>
      </x:c>
      <x:c r="N46" s="9" t="str">
        <x:v>-0.021386506736354113</x:v>
      </x:c>
      <x:c r="O46" s="9" t="str">
        <x:v>-0.5625371242387778</x:v>
      </x:c>
      <x:c r="P46" s="9" t="str">
        <x:v>-12.938836575494237</x:v>
      </x:c>
      <x:c r="Q46" s="9" t="str">
        <x:v>0.9584414925350345</x:v>
      </x:c>
      <x:c r="R46" s="9" t="str">
        <x:v>32.14054519598639</x:v>
      </x:c>
      <x:c r="S46" s="8" t="str">
        <x:v>245</x:v>
      </x:c>
      <x:c r="T46" s="8" t="str">
        <x:v>360</x:v>
      </x:c>
      <x:c r="U46" s="8" t="str">
        <x:v>0</x:v>
      </x:c>
      <x:c r="V46" s="10" t="str">
        <x:v>40.49586776859504</x:v>
      </x:c>
      <x:c r="W46" s="9" t="str">
        <x:v>-0.055091988091164334</x:v>
      </x:c>
      <x:c r="X46" s="9" t="str">
        <x:v>-0.6154833813823662</x:v>
      </x:c>
      <x:c r="Y46" s="9" t="str">
        <x:v>-33.33065279515442</x:v>
      </x:c>
      <x:c r="Z46" s="9" t="str">
        <x:v>0.8970836723595474</x:v>
      </x:c>
      <x:c r="AA46" s="9" t="str">
        <x:v>45.78681395577654</x:v>
      </x:c>
      <x:c r="AB46" s="9" t="str">
        <x:v>1.0351107102216368</x:v>
      </x:c>
      <x:c r="AC46" s="9" t="str">
        <x:v>0.9009208966685287</x:v>
      </x:c>
    </x:row>
    <x:row r="47" ht="18" customHeight="1">
      <x:c r="A47" s="6" t="str">
        <x:v>Single factor direction slice</x:v>
      </x:c>
      <x:c r="B47" s="6" t="str">
        <x:v>CRT bar sweep</x:v>
      </x:c>
      <x:c r="C47" s="6" t="str">
        <x:v>None</x:v>
      </x:c>
      <x:c r="D47" s="6" t="str"/>
      <x:c r="E47" s="6" t="str"/>
      <x:c r="F47" s="6" t="str">
        <x:v>Long</x:v>
      </x:c>
      <x:c r="G47" s="6" t="str">
        <x:v>ADEQUATE N</x:v>
      </x:c>
      <x:c r="H47" s="8" t="str">
        <x:v>309</x:v>
      </x:c>
      <x:c r="I47" s="10" t="str">
        <x:v>43.829787234042556</x:v>
      </x:c>
      <x:c r="J47" s="8" t="str">
        <x:v>131</x:v>
      </x:c>
      <x:c r="K47" s="8" t="str">
        <x:v>177</x:v>
      </x:c>
      <x:c r="L47" s="8" t="str">
        <x:v>1</x:v>
      </x:c>
      <x:c r="M47" s="10" t="str">
        <x:v>42.394822006472495</x:v>
      </x:c>
      <x:c r="N47" s="9" t="str">
        <x:v>-0.05659725733898267</x:v>
      </x:c>
      <x:c r="O47" s="9" t="str">
        <x:v>-0.4724893195420648</x:v>
      </x:c>
      <x:c r="P47" s="9" t="str">
        <x:v>-17.488552517745646</x:v>
      </x:c>
      <x:c r="Q47" s="9" t="str">
        <x:v>0.8868155765535447</x:v>
      </x:c>
      <x:c r="R47" s="9" t="str">
        <x:v>28.21283399050301</x:v>
      </x:c>
      <x:c r="S47" s="8" t="str">
        <x:v>129</x:v>
      </x:c>
      <x:c r="T47" s="8" t="str">
        <x:v>180</x:v>
      </x:c>
      <x:c r="U47" s="8" t="str">
        <x:v>0</x:v>
      </x:c>
      <x:c r="V47" s="10" t="str">
        <x:v>41.74757281553398</x:v>
      </x:c>
      <x:c r="W47" s="9" t="str">
        <x:v>-0.08985177904668357</x:v>
      </x:c>
      <x:c r="X47" s="9" t="str">
        <x:v>-0.49989370007550304</x:v>
      </x:c>
      <x:c r="Y47" s="9" t="str">
        <x:v>-27.76419972542522</x:v>
      </x:c>
      <x:c r="Z47" s="9" t="str">
        <x:v>0.8273260973400313</x:v>
      </x:c>
      <x:c r="AA47" s="9" t="str">
        <x:v>36.375463857757794</x:v>
      </x:c>
      <x:c r="AB47" s="9" t="str">
        <x:v>0.9389639557517366</x:v>
      </x:c>
      <x:c r="AC47" s="9" t="str">
        <x:v>0.9153261055367641</x:v>
      </x:c>
    </x:row>
    <x:row r="48" ht="18" customHeight="1">
      <x:c r="A48" s="6" t="str">
        <x:v>Single factor direction slice</x:v>
      </x:c>
      <x:c r="B48" s="6" t="str">
        <x:v>CRT bar sweep</x:v>
      </x:c>
      <x:c r="C48" s="6" t="str">
        <x:v>None</x:v>
      </x:c>
      <x:c r="D48" s="6" t="str"/>
      <x:c r="E48" s="6" t="str"/>
      <x:c r="F48" s="6" t="str">
        <x:v>Short</x:v>
      </x:c>
      <x:c r="G48" s="6" t="str">
        <x:v>ADEQUATE N</x:v>
      </x:c>
      <x:c r="H48" s="8" t="str">
        <x:v>296</x:v>
      </x:c>
      <x:c r="I48" s="10" t="str">
        <x:v>41.98581560283688</x:v>
      </x:c>
      <x:c r="J48" s="8" t="str">
        <x:v>119</x:v>
      </x:c>
      <x:c r="K48" s="8" t="str">
        <x:v>177</x:v>
      </x:c>
      <x:c r="L48" s="8" t="str">
        <x:v>0</x:v>
      </x:c>
      <x:c r="M48" s="10" t="str">
        <x:v>40.2027027027027</x:v>
      </x:c>
      <x:c r="N48" s="9" t="str">
        <x:v>0.015370661967065586</x:v>
      </x:c>
      <x:c r="O48" s="9" t="str">
        <x:v>-0.688211496146256</x:v>
      </x:c>
      <x:c r="P48" s="9" t="str">
        <x:v>4.549715942251414</x:v>
      </x:c>
      <x:c r="Q48" s="9" t="str">
        <x:v>1.029011145010951</x:v>
      </x:c>
      <x:c r="R48" s="9" t="str">
        <x:v>16.106466052162187</x:v>
      </x:c>
      <x:c r="S48" s="8" t="str">
        <x:v>116</x:v>
      </x:c>
      <x:c r="T48" s="8" t="str">
        <x:v>180</x:v>
      </x:c>
      <x:c r="U48" s="8" t="str">
        <x:v>0</x:v>
      </x:c>
      <x:c r="V48" s="10" t="str">
        <x:v>39.189189189189186</x:v>
      </x:c>
      <x:c r="W48" s="9" t="str">
        <x:v>-0.018805584695031095</x:v>
      </x:c>
      <x:c r="X48" s="9" t="str">
        <x:v>-0.7134714768980934</x:v>
      </x:c>
      <x:c r="Y48" s="9" t="str">
        <x:v>-5.566453069729205</x:v>
      </x:c>
      <x:c r="Z48" s="9" t="str">
        <x:v>0.9658650331336511</x:v>
      </x:c>
      <x:c r="AA48" s="9" t="str">
        <x:v>22.569376772302412</x:v>
      </x:c>
      <x:c r="AB48" s="9" t="str">
        <x:v>1.1354801262054175</x:v>
      </x:c>
      <x:c r="AC48" s="9" t="str">
        <x:v>0.8858830265999992</x:v>
      </x:c>
    </x:row>
    <x:row r="49" ht="18" customHeight="1">
      <x:c r="A49" s="6" t="str">
        <x:v>Single factor</x:v>
      </x:c>
      <x:c r="B49" s="6" t="str">
        <x:v>CRT bar sweep</x:v>
      </x:c>
      <x:c r="C49" s="6" t="str">
        <x:v>Sweep above CRT reference</x:v>
      </x:c>
      <x:c r="D49" s="6" t="str"/>
      <x:c r="E49" s="6" t="str"/>
      <x:c r="F49" s="6" t="str">
        <x:v>All</x:v>
      </x:c>
      <x:c r="G49" s="6" t="str">
        <x:v>ADEQUATE N</x:v>
      </x:c>
      <x:c r="H49" s="8" t="str">
        <x:v>43</x:v>
      </x:c>
      <x:c r="I49" s="10" t="str">
        <x:v>6.099290780141844</x:v>
      </x:c>
      <x:c r="J49" s="8" t="str">
        <x:v>13</x:v>
      </x:c>
      <x:c r="K49" s="8" t="str">
        <x:v>30</x:v>
      </x:c>
      <x:c r="L49" s="8" t="str">
        <x:v>0</x:v>
      </x:c>
      <x:c r="M49" s="10" t="str">
        <x:v>30.23255813953488</x:v>
      </x:c>
      <x:c r="N49" s="9" t="str">
        <x:v>-0.3100788989615404</x:v>
      </x:c>
      <x:c r="O49" s="9" t="str">
        <x:v>-1.0</x:v>
      </x:c>
      <x:c r="P49" s="9" t="str">
        <x:v>-13.333392655346238</x:v>
      </x:c>
      <x:c r="Q49" s="9" t="str">
        <x:v>0.5306628365160331</x:v>
      </x:c>
      <x:c r="R49" s="9" t="str">
        <x:v>14.644079780533296</x:v>
      </x:c>
      <x:c r="S49" s="8" t="str">
        <x:v>13</x:v>
      </x:c>
      <x:c r="T49" s="8" t="str">
        <x:v>30</x:v>
      </x:c>
      <x:c r="U49" s="8" t="str">
        <x:v>0</x:v>
      </x:c>
      <x:c r="V49" s="10" t="str">
        <x:v>30.23255813953488</x:v>
      </x:c>
      <x:c r="W49" s="9" t="str">
        <x:v>-0.34135153068847685</x:v>
      </x:c>
      <x:c r="X49" s="9" t="str">
        <x:v>-1.0157546924141119</x:v>
      </x:c>
      <x:c r="Y49" s="9" t="str">
        <x:v>-14.678115819604505</x:v>
      </x:c>
      <x:c r="Z49" s="9" t="str">
        <x:v>0.49936676434544575</x:v>
      </x:c>
      <x:c r="AA49" s="9" t="str">
        <x:v>15.6389233941877</x:v>
      </x:c>
      <x:c r="AB49" s="9" t="str">
        <x:v>0.8548123847652787</x:v>
      </x:c>
      <x:c r="AC49" s="9" t="str">
        <x:v>0.9562080524801414</x:v>
      </x:c>
    </x:row>
    <x:row r="50" ht="18" customHeight="1">
      <x:c r="A50" s="6" t="str">
        <x:v>Single factor direction slice</x:v>
      </x:c>
      <x:c r="B50" s="6" t="str">
        <x:v>CRT bar sweep</x:v>
      </x:c>
      <x:c r="C50" s="6" t="str">
        <x:v>Sweep above CRT reference</x:v>
      </x:c>
      <x:c r="D50" s="6" t="str"/>
      <x:c r="E50" s="6" t="str"/>
      <x:c r="F50" s="6" t="str">
        <x:v>Short</x:v>
      </x:c>
      <x:c r="G50" s="6" t="str">
        <x:v>ADEQUATE N</x:v>
      </x:c>
      <x:c r="H50" s="8" t="str">
        <x:v>36</x:v>
      </x:c>
      <x:c r="I50" s="10" t="str">
        <x:v>5.1063829787234045</x:v>
      </x:c>
      <x:c r="J50" s="8" t="str">
        <x:v>10</x:v>
      </x:c>
      <x:c r="K50" s="8" t="str">
        <x:v>26</x:v>
      </x:c>
      <x:c r="L50" s="8" t="str">
        <x:v>0</x:v>
      </x:c>
      <x:c r="M50" s="10" t="str">
        <x:v>27.77777777777778</x:v>
      </x:c>
      <x:c r="N50" s="9" t="str">
        <x:v>-0.37004528534073483</x:v>
      </x:c>
      <x:c r="O50" s="9" t="str">
        <x:v>-1.0</x:v>
      </x:c>
      <x:c r="P50" s="9" t="str">
        <x:v>-13.321630272266454</x:v>
      </x:c>
      <x:c r="Q50" s="9" t="str">
        <x:v>0.4542325287683995</x:v>
      </x:c>
      <x:c r="R50" s="9" t="str">
        <x:v>13.598653851561451</x:v>
      </x:c>
      <x:c r="S50" s="8" t="str">
        <x:v>10</x:v>
      </x:c>
      <x:c r="T50" s="8" t="str">
        <x:v>26</x:v>
      </x:c>
      <x:c r="U50" s="8" t="str">
        <x:v>0</x:v>
      </x:c>
      <x:c r="V50" s="10" t="str">
        <x:v>27.77777777777778</x:v>
      </x:c>
      <x:c r="W50" s="9" t="str">
        <x:v>-0.39860232720434985</x:v>
      </x:c>
      <x:c r="X50" s="9" t="str">
        <x:v>-1.0155939964431835</x:v>
      </x:c>
      <x:c r="Y50" s="9" t="str">
        <x:v>-14.349683779356594</x:v>
      </x:c>
      <x:c r="Z50" s="9" t="str">
        <x:v>0.42969980655791984</x:v>
      </x:c>
      <x:c r="AA50" s="9" t="str">
        <x:v>14.495966714740945</x:v>
      </x:c>
      <x:c r="AB50" s="9" t="str">
        <x:v>0.8118665035201725</x:v>
      </x:c>
      <x:c r="AC50" s="9" t="str">
        <x:v>0.9512731200293102</x:v>
      </x:c>
    </x:row>
    <x:row r="51" ht="18" customHeight="1">
      <x:c r="A51" s="6" t="str">
        <x:v>Single factor</x:v>
      </x:c>
      <x:c r="B51" s="6" t="str">
        <x:v>CRT bar sweep</x:v>
      </x:c>
      <x:c r="C51" s="6" t="str">
        <x:v>Sweep below CRT reference</x:v>
      </x:c>
      <x:c r="D51" s="6" t="str"/>
      <x:c r="E51" s="6" t="str"/>
      <x:c r="F51" s="6" t="str">
        <x:v>All</x:v>
      </x:c>
      <x:c r="G51" s="6" t="str">
        <x:v>ADEQUATE N</x:v>
      </x:c>
      <x:c r="H51" s="8" t="str">
        <x:v>50</x:v>
      </x:c>
      <x:c r="I51" s="10" t="str">
        <x:v>7.092198581560283</x:v>
      </x:c>
      <x:c r="J51" s="8" t="str">
        <x:v>21</x:v>
      </x:c>
      <x:c r="K51" s="8" t="str">
        <x:v>29</x:v>
      </x:c>
      <x:c r="L51" s="8" t="str">
        <x:v>0</x:v>
      </x:c>
      <x:c r="M51" s="10" t="str">
        <x:v>42.0</x:v>
      </x:c>
      <x:c r="N51" s="9" t="str">
        <x:v>-0.018315151739805732</x:v>
      </x:c>
      <x:c r="O51" s="9" t="str">
        <x:v>-1.0</x:v>
      </x:c>
      <x:c r="P51" s="9" t="str">
        <x:v>-0.9157575869902865</x:v>
      </x:c>
      <x:c r="Q51" s="9" t="str">
        <x:v>0.9668000836799874</x:v>
      </x:c>
      <x:c r="R51" s="9" t="str">
        <x:v>6.0</x:v>
      </x:c>
      <x:c r="S51" s="8" t="str">
        <x:v>21</x:v>
      </x:c>
      <x:c r="T51" s="8" t="str">
        <x:v>29</x:v>
      </x:c>
      <x:c r="U51" s="8" t="str">
        <x:v>0</x:v>
      </x:c>
      <x:c r="V51" s="10" t="str">
        <x:v>42.0</x:v>
      </x:c>
      <x:c r="W51" s="9" t="str">
        <x:v>-0.049278337798470025</x:v>
      </x:c>
      <x:c r="X51" s="9" t="str">
        <x:v>-1.009718912893834</x:v>
      </x:c>
      <x:c r="Y51" s="9" t="str">
        <x:v>-2.4639168899235013</x:v>
      </x:c>
      <x:c r="Z51" s="9" t="str">
        <x:v>0.9136172040782682</x:v>
      </x:c>
      <x:c r="AA51" s="9" t="str">
        <x:v>6.554574599999649</x:v>
      </x:c>
      <x:c r="AB51" s="9" t="str">
        <x:v>1.0083964724239687</x:v>
      </x:c>
      <x:c r="AC51" s="9" t="str">
        <x:v>0.8894643265185614</x:v>
      </x:c>
    </x:row>
    <x:row r="52" ht="18" customHeight="1">
      <x:c r="A52" s="6" t="str">
        <x:v>Single factor direction slice</x:v>
      </x:c>
      <x:c r="B52" s="6" t="str">
        <x:v>CRT bar sweep</x:v>
      </x:c>
      <x:c r="C52" s="6" t="str">
        <x:v>Sweep below CRT reference</x:v>
      </x:c>
      <x:c r="D52" s="6" t="str"/>
      <x:c r="E52" s="6" t="str"/>
      <x:c r="F52" s="6" t="str">
        <x:v>Long</x:v>
      </x:c>
      <x:c r="G52" s="6" t="str">
        <x:v>ADEQUATE N</x:v>
      </x:c>
      <x:c r="H52" s="8" t="str">
        <x:v>42</x:v>
      </x:c>
      <x:c r="I52" s="10" t="str">
        <x:v>5.957446808510638</x:v>
      </x:c>
      <x:c r="J52" s="8" t="str">
        <x:v>18</x:v>
      </x:c>
      <x:c r="K52" s="8" t="str">
        <x:v>24</x:v>
      </x:c>
      <x:c r="L52" s="8" t="str">
        <x:v>0</x:v>
      </x:c>
      <x:c r="M52" s="10" t="str">
        <x:v>42.857142857142854</x:v>
      </x:c>
      <x:c r="N52" s="9" t="str">
        <x:v>-0.00717268300087429</x:v>
      </x:c>
      <x:c r="O52" s="9" t="str">
        <x:v>-0.7808001344783501</x:v>
      </x:c>
      <x:c r="P52" s="9" t="str">
        <x:v>-0.3012526860367202</x:v>
      </x:c>
      <x:c r="Q52" s="9" t="str">
        <x:v>0.986660277188514</x:v>
      </x:c>
      <x:c r="R52" s="9" t="str">
        <x:v>5.231650555432726</x:v>
      </x:c>
      <x:c r="S52" s="8" t="str">
        <x:v>18</x:v>
      </x:c>
      <x:c r="T52" s="8" t="str">
        <x:v>24</x:v>
      </x:c>
      <x:c r="U52" s="8" t="str">
        <x:v>0</x:v>
      </x:c>
      <x:c r="V52" s="10" t="str">
        <x:v>42.857142857142854</x:v>
      </x:c>
      <x:c r="W52" s="9" t="str">
        <x:v>-0.03843378097487641</x:v>
      </x:c>
      <x:c r="X52" s="9" t="str">
        <x:v>-0.8023267935450579</x:v>
      </x:c>
      <x:c r="Y52" s="9" t="str">
        <x:v>-1.6142188009448093</x:v>
      </x:c>
      <x:c r="Z52" s="9" t="str">
        <x:v>0.9308119205613471</x:v>
      </x:c>
      <x:c r="AA52" s="9" t="str">
        <x:v>5.769253352223285</x:v>
      </x:c>
      <x:c r="AB52" s="9" t="str">
        <x:v>1.0119712428256111</x:v>
      </x:c>
      <x:c r="AC52" s="9" t="str">
        <x:v>0.876144045584387</x:v>
      </x:c>
    </x:row>
    <x:row r="53" ht="18" customHeight="1">
      <x:c r="A53" s="6" t="str">
        <x:v>Single factor</x:v>
      </x:c>
      <x:c r="B53" s="6" t="str">
        <x:v>Setup/BOS timing</x:v>
      </x:c>
      <x:c r="C53" s="6" t="str">
        <x:v>Delayed BOS</x:v>
      </x:c>
      <x:c r="D53" s="6" t="str"/>
      <x:c r="E53" s="6" t="str"/>
      <x:c r="F53" s="6" t="str">
        <x:v>All</x:v>
      </x:c>
      <x:c r="G53" s="6" t="str">
        <x:v>ADEQUATE N</x:v>
      </x:c>
      <x:c r="H53" s="8" t="str">
        <x:v>41</x:v>
      </x:c>
      <x:c r="I53" s="10" t="str">
        <x:v>5.815602836879433</x:v>
      </x:c>
      <x:c r="J53" s="8" t="str">
        <x:v>16</x:v>
      </x:c>
      <x:c r="K53" s="8" t="str">
        <x:v>25</x:v>
      </x:c>
      <x:c r="L53" s="8" t="str">
        <x:v>0</x:v>
      </x:c>
      <x:c r="M53" s="10" t="str">
        <x:v>39.02439024390244</x:v>
      </x:c>
      <x:c r="N53" s="9" t="str">
        <x:v>-0.127712957925792</x:v>
      </x:c>
      <x:c r="O53" s="9" t="str">
        <x:v>-1.0</x:v>
      </x:c>
      <x:c r="P53" s="9" t="str">
        <x:v>-5.236231274957472</x:v>
      </x:c>
      <x:c r="Q53" s="9" t="str">
        <x:v>0.790550749001701</x:v>
      </x:c>
      <x:c r="R53" s="9" t="str">
        <x:v>9.952463154821343</x:v>
      </x:c>
      <x:c r="S53" s="8" t="str">
        <x:v>15</x:v>
      </x:c>
      <x:c r="T53" s="8" t="str">
        <x:v>26</x:v>
      </x:c>
      <x:c r="U53" s="8" t="str">
        <x:v>0</x:v>
      </x:c>
      <x:c r="V53" s="10" t="str">
        <x:v>36.58536585365854</x:v>
      </x:c>
      <x:c r="W53" s="9" t="str">
        <x:v>-0.16580448212192</x:v>
      </x:c>
      <x:c r="X53" s="9" t="str">
        <x:v>-1.0166717964652916</x:v>
      </x:c>
      <x:c r="Y53" s="9" t="str">
        <x:v>-6.79798376699872</x:v>
      </x:c>
      <x:c r="Z53" s="9" t="str">
        <x:v>0.7391653612984207</x:v>
      </x:c>
      <x:c r="AA53" s="9" t="str">
        <x:v>10.471293309185628</x:v>
      </x:c>
      <x:c r="AB53" s="9" t="str">
        <x:v>0.9379704385044132</x:v>
      </x:c>
      <x:c r="AC53" s="9" t="str">
        <x:v>0.9549727858146095</x:v>
      </x:c>
    </x:row>
    <x:row r="54" ht="18" customHeight="1">
      <x:c r="A54" s="6" t="str">
        <x:v>Single factor</x:v>
      </x:c>
      <x:c r="B54" s="6" t="str">
        <x:v>Setup/BOS timing</x:v>
      </x:c>
      <x:c r="C54" s="6" t="str">
        <x:v>Same-bar Setup+BOS</x:v>
      </x:c>
      <x:c r="D54" s="6" t="str"/>
      <x:c r="E54" s="6" t="str"/>
      <x:c r="F54" s="6" t="str">
        <x:v>All</x:v>
      </x:c>
      <x:c r="G54" s="6" t="str">
        <x:v>ADEQUATE N</x:v>
      </x:c>
      <x:c r="H54" s="8" t="str">
        <x:v>664</x:v>
      </x:c>
      <x:c r="I54" s="10" t="str">
        <x:v>94.18439716312056</x:v>
      </x:c>
      <x:c r="J54" s="8" t="str">
        <x:v>273</x:v>
      </x:c>
      <x:c r="K54" s="8" t="str">
        <x:v>390</x:v>
      </x:c>
      <x:c r="L54" s="8" t="str">
        <x:v>1</x:v>
      </x:c>
      <x:c r="M54" s="10" t="str">
        <x:v>41.1144578313253</x:v>
      </x:c>
      <x:c r="N54" s="9" t="str">
        <x:v>-0.030699337477759887</x:v>
      </x:c>
      <x:c r="O54" s="9" t="str">
        <x:v>-0.562068696597739</x:v>
      </x:c>
      <x:c r="P54" s="9" t="str">
        <x:v>-20.384360085232565</x:v>
      </x:c>
      <x:c r="Q54" s="9" t="str">
        <x:v>0.940593923325686</x:v>
      </x:c>
      <x:c r="R54" s="9" t="str">
        <x:v>34.62785408230198</x:v>
      </x:c>
      <x:c r="S54" s="8" t="str">
        <x:v>269</x:v>
      </x:c>
      <x:c r="T54" s="8" t="str">
        <x:v>395</x:v>
      </x:c>
      <x:c r="U54" s="8" t="str">
        <x:v>0</x:v>
      </x:c>
      <x:c r="V54" s="10" t="str">
        <x:v>40.51204819277108</x:v>
      </x:c>
      <x:c r="W54" s="9" t="str">
        <x:v>-0.06363114802276967</x:v>
      </x:c>
      <x:c r="X54" s="9" t="str">
        <x:v>-0.607136449036045</x:v>
      </x:c>
      <x:c r="Y54" s="9" t="str">
        <x:v>-42.25108228711906</x:v>
      </x:c>
      <x:c r="Z54" s="9" t="str">
        <x:v>0.8814805487154832</x:v>
      </x:c>
      <x:c r="AA54" s="9" t="str">
        <x:v>50.28684400978257</x:v>
      </x:c>
      <x:c r="AB54" s="9" t="str">
        <x:v>1.0242195985185938</x:v>
      </x:c>
      <x:c r="AC54" s="9" t="str">
        <x:v>0.8968991490653344</x:v>
      </x:c>
    </x:row>
    <x:row r="55" ht="18" customHeight="1">
      <x:c r="A55" s="6" t="str">
        <x:v>Single factor direction slice</x:v>
      </x:c>
      <x:c r="B55" s="6" t="str">
        <x:v>Setup/BOS timing</x:v>
      </x:c>
      <x:c r="C55" s="6" t="str">
        <x:v>Same-bar Setup+BOS</x:v>
      </x:c>
      <x:c r="D55" s="6" t="str"/>
      <x:c r="E55" s="6" t="str"/>
      <x:c r="F55" s="6" t="str">
        <x:v>Long</x:v>
      </x:c>
      <x:c r="G55" s="6" t="str">
        <x:v>ADEQUATE N</x:v>
      </x:c>
      <x:c r="H55" s="8" t="str">
        <x:v>342</x:v>
      </x:c>
      <x:c r="I55" s="10" t="str">
        <x:v>48.51063829787234</x:v>
      </x:c>
      <x:c r="J55" s="8" t="str">
        <x:v>145</x:v>
      </x:c>
      <x:c r="K55" s="8" t="str">
        <x:v>196</x:v>
      </x:c>
      <x:c r="L55" s="8" t="str">
        <x:v>1</x:v>
      </x:c>
      <x:c r="M55" s="10" t="str">
        <x:v>42.39766081871345</x:v>
      </x:c>
      <x:c r="N55" s="9" t="str">
        <x:v>-0.057979953029244094</x:v>
      </x:c>
      <x:c r="O55" s="9" t="str">
        <x:v>-0.5107645514584898</x:v>
      </x:c>
      <x:c r="P55" s="9" t="str">
        <x:v>-19.82914393600148</x:v>
      </x:c>
      <x:c r="Q55" s="9" t="str">
        <x:v>0.8844030564006814</x:v>
      </x:c>
      <x:c r="R55" s="9" t="str">
        <x:v>27.26066806074691</x:v>
      </x:c>
      <x:c r="S55" s="8" t="str">
        <x:v>144</x:v>
      </x:c>
      <x:c r="T55" s="8" t="str">
        <x:v>198</x:v>
      </x:c>
      <x:c r="U55" s="8" t="str">
        <x:v>0</x:v>
      </x:c>
      <x:c r="V55" s="10" t="str">
        <x:v>42.10526315789473</x:v>
      </x:c>
      <x:c r="W55" s="9" t="str">
        <x:v>-0.09070658448084838</x:v>
      </x:c>
      <x:c r="X55" s="9" t="str">
        <x:v>-0.5384508455502213</x:v>
      </x:c>
      <x:c r="Y55" s="9" t="str">
        <x:v>-31.021651892450148</x:v>
      </x:c>
      <x:c r="Z55" s="9" t="str">
        <x:v>0.8260447798024367</x:v>
      </x:c>
      <x:c r="AA55" s="9" t="str">
        <x:v>36.08486772415301</x:v>
      </x:c>
      <x:c r="AB55" s="9" t="str">
        <x:v>0.9413841445076976</x:v>
      </x:c>
      <x:c r="AC55" s="9" t="str">
        <x:v>0.9129192617246026</x:v>
      </x:c>
    </x:row>
    <x:row r="56" ht="18" customHeight="1">
      <x:c r="A56" s="6" t="str">
        <x:v>Single factor direction slice</x:v>
      </x:c>
      <x:c r="B56" s="6" t="str">
        <x:v>Setup/BOS timing</x:v>
      </x:c>
      <x:c r="C56" s="6" t="str">
        <x:v>Same-bar Setup+BOS</x:v>
      </x:c>
      <x:c r="D56" s="6" t="str"/>
      <x:c r="E56" s="6" t="str"/>
      <x:c r="F56" s="6" t="str">
        <x:v>Short</x:v>
      </x:c>
      <x:c r="G56" s="6" t="str">
        <x:v>ADEQUATE N</x:v>
      </x:c>
      <x:c r="H56" s="8" t="str">
        <x:v>322</x:v>
      </x:c>
      <x:c r="I56" s="10" t="str">
        <x:v>45.673758865248224</x:v>
      </x:c>
      <x:c r="J56" s="8" t="str">
        <x:v>128</x:v>
      </x:c>
      <x:c r="K56" s="8" t="str">
        <x:v>194</x:v>
      </x:c>
      <x:c r="L56" s="8" t="str">
        <x:v>0</x:v>
      </x:c>
      <x:c r="M56" s="10" t="str">
        <x:v>39.75155279503105</x:v>
      </x:c>
      <x:c r="N56" s="9" t="str">
        <x:v>-0.0017242737553760292</x:v>
      </x:c>
      <x:c r="O56" s="9" t="str">
        <x:v>-0.7031852276111155</x:v>
      </x:c>
      <x:c r="P56" s="9" t="str">
        <x:v>-0.5552161492310814</x:v>
      </x:c>
      <x:c r="Q56" s="9" t="str">
        <x:v>0.9967644561721335</x:v>
      </x:c>
      <x:c r="R56" s="9" t="str">
        <x:v>18.68686146422853</x:v>
      </x:c>
      <x:c r="S56" s="8" t="str">
        <x:v>125</x:v>
      </x:c>
      <x:c r="T56" s="8" t="str">
        <x:v>197</x:v>
      </x:c>
      <x:c r="U56" s="8" t="str">
        <x:v>0</x:v>
      </x:c>
      <x:c r="V56" s="10" t="str">
        <x:v>38.81987577639752</x:v>
      </x:c>
      <x:c r="W56" s="9" t="str">
        <x:v>-0.03487400743685998</x:v>
      </x:c>
      <x:c r="X56" s="9" t="str">
        <x:v>-0.744047831824342</x:v>
      </x:c>
      <x:c r="Y56" s="9" t="str">
        <x:v>-11.229430394668913</x:v>
      </x:c>
      <x:c r="Z56" s="9" t="str">
        <x:v>0.9369697743571077</x:v>
      </x:c>
      <x:c r="AA56" s="9" t="str">
        <x:v>25.372924126157717</x:v>
      </x:c>
      <x:c r="AB56" s="9" t="str">
        <x:v>1.112200111784825</x:v>
      </x:c>
      <x:c r="AC56" s="9" t="str">
        <x:v>0.8798839983526958</x:v>
      </x:c>
    </x:row>
    <x:row r="57" ht="18" customHeight="1">
      <x:c r="A57" s="6" t="str">
        <x:v>Single factor</x:v>
      </x:c>
      <x:c r="B57" s="6" t="str">
        <x:v>BOS→Retest timing</x:v>
      </x:c>
      <x:c r="C57" s="6" t="str">
        <x:v>Delayed retest (2+ bars)</x:v>
      </x:c>
      <x:c r="D57" s="6" t="str"/>
      <x:c r="E57" s="6" t="str"/>
      <x:c r="F57" s="6" t="str">
        <x:v>All</x:v>
      </x:c>
      <x:c r="G57" s="6" t="str">
        <x:v>ADEQUATE N</x:v>
      </x:c>
      <x:c r="H57" s="8" t="str">
        <x:v>162</x:v>
      </x:c>
      <x:c r="I57" s="10" t="str">
        <x:v>22.97872340425532</x:v>
      </x:c>
      <x:c r="J57" s="8" t="str">
        <x:v>58</x:v>
      </x:c>
      <x:c r="K57" s="8" t="str">
        <x:v>104</x:v>
      </x:c>
      <x:c r="L57" s="8" t="str">
        <x:v>0</x:v>
      </x:c>
      <x:c r="M57" s="10" t="str">
        <x:v>35.80246913580247</x:v>
      </x:c>
      <x:c r="N57" s="9" t="str">
        <x:v>-0.18138279885177958</x:v>
      </x:c>
      <x:c r="O57" s="9" t="str">
        <x:v>-1.0</x:v>
      </x:c>
      <x:c r="P57" s="9" t="str">
        <x:v>-29.384013413988292</x:v>
      </x:c>
      <x:c r="Q57" s="9" t="str">
        <x:v>0.6844855287301425</x:v>
      </x:c>
      <x:c r="R57" s="9" t="str">
        <x:v>30.85983906240842</x:v>
      </x:c>
      <x:c r="S57" s="8" t="str">
        <x:v>58</x:v>
      </x:c>
      <x:c r="T57" s="8" t="str">
        <x:v>104</x:v>
      </x:c>
      <x:c r="U57" s="8" t="str">
        <x:v>0</x:v>
      </x:c>
      <x:c r="V57" s="10" t="str">
        <x:v>35.80246913580247</x:v>
      </x:c>
      <x:c r="W57" s="9" t="str">
        <x:v>-0.21378020682215523</x:v>
      </x:c>
      <x:c r="X57" s="9" t="str">
        <x:v>-1.0087249830072387</x:v>
      </x:c>
      <x:c r="Y57" s="9" t="str">
        <x:v>-34.63239350518915</x:v>
      </x:c>
      <x:c r="Z57" s="9" t="str">
        <x:v>0.6416828697352089</x:v>
      </x:c>
      <x:c r="AA57" s="9" t="str">
        <x:v>35.4370420892231</x:v>
      </x:c>
      <x:c r="AB57" s="9" t="str">
        <x:v>0.9164325789682024</x:v>
      </x:c>
      <x:c r="AC57" s="9" t="str">
        <x:v>1.0554766917836251</x:v>
      </x:c>
    </x:row>
    <x:row r="58" ht="18" customHeight="1">
      <x:c r="A58" s="6" t="str">
        <x:v>Single factor direction slice</x:v>
      </x:c>
      <x:c r="B58" s="6" t="str">
        <x:v>BOS→Retest timing</x:v>
      </x:c>
      <x:c r="C58" s="6" t="str">
        <x:v>Delayed retest (2+ bars)</x:v>
      </x:c>
      <x:c r="D58" s="6" t="str"/>
      <x:c r="E58" s="6" t="str"/>
      <x:c r="F58" s="6" t="str">
        <x:v>Long</x:v>
      </x:c>
      <x:c r="G58" s="6" t="str">
        <x:v>ADEQUATE N</x:v>
      </x:c>
      <x:c r="H58" s="8" t="str">
        <x:v>79</x:v>
      </x:c>
      <x:c r="I58" s="10" t="str">
        <x:v>11.205673758865249</x:v>
      </x:c>
      <x:c r="J58" s="8" t="str">
        <x:v>34</x:v>
      </x:c>
      <x:c r="K58" s="8" t="str">
        <x:v>45</x:v>
      </x:c>
      <x:c r="L58" s="8" t="str">
        <x:v>0</x:v>
      </x:c>
      <x:c r="M58" s="10" t="str">
        <x:v>43.037974683544306</x:v>
      </x:c>
      <x:c r="N58" s="9" t="str">
        <x:v>-0.0630908197811158</x:v>
      </x:c>
      <x:c r="O58" s="9" t="str">
        <x:v>-0.8259215525946003</x:v>
      </x:c>
      <x:c r="P58" s="9" t="str">
        <x:v>-4.9841747627081485</x:v>
      </x:c>
      <x:c r="Q58" s="9" t="str">
        <x:v>0.8807476292358993</x:v>
      </x:c>
      <x:c r="R58" s="9" t="str">
        <x:v>9.400635093333568</x:v>
      </x:c>
      <x:c r="S58" s="8" t="str">
        <x:v>34</x:v>
      </x:c>
      <x:c r="T58" s="8" t="str">
        <x:v>45</x:v>
      </x:c>
      <x:c r="U58" s="8" t="str">
        <x:v>0</x:v>
      </x:c>
      <x:c r="V58" s="10" t="str">
        <x:v>43.037974683544306</x:v>
      </x:c>
      <x:c r="W58" s="9" t="str">
        <x:v>-0.09514097967302944</x:v>
      </x:c>
      <x:c r="X58" s="9" t="str">
        <x:v>-0.847117769431099</x:v>
      </x:c>
      <x:c r="Y58" s="9" t="str">
        <x:v>-7.516137394169325</x:v>
      </x:c>
      <x:c r="Z58" s="9" t="str">
        <x:v>0.8264982608641175</x:v>
      </x:c>
      <x:c r="AA58" s="9" t="str">
        <x:v>10.83901148777372</x:v>
      </x:c>
      <x:c r="AB58" s="9" t="str">
        <x:v>0.948417360228654</x:v>
      </x:c>
      <x:c r="AC58" s="9" t="str">
        <x:v>1.1182722133972993</x:v>
      </x:c>
    </x:row>
    <x:row r="59" ht="18" customHeight="1">
      <x:c r="A59" s="6" t="str">
        <x:v>Single factor direction slice</x:v>
      </x:c>
      <x:c r="B59" s="6" t="str">
        <x:v>BOS→Retest timing</x:v>
      </x:c>
      <x:c r="C59" s="6" t="str">
        <x:v>Delayed retest (2+ bars)</x:v>
      </x:c>
      <x:c r="D59" s="6" t="str"/>
      <x:c r="E59" s="6" t="str"/>
      <x:c r="F59" s="6" t="str">
        <x:v>Short</x:v>
      </x:c>
      <x:c r="G59" s="6" t="str">
        <x:v>ADEQUATE N</x:v>
      </x:c>
      <x:c r="H59" s="8" t="str">
        <x:v>83</x:v>
      </x:c>
      <x:c r="I59" s="10" t="str">
        <x:v>11.77304964539007</x:v>
      </x:c>
      <x:c r="J59" s="8" t="str">
        <x:v>24</x:v>
      </x:c>
      <x:c r="K59" s="8" t="str">
        <x:v>59</x:v>
      </x:c>
      <x:c r="L59" s="8" t="str">
        <x:v>0</x:v>
      </x:c>
      <x:c r="M59" s="10" t="str">
        <x:v>28.915662650602407</x:v>
      </x:c>
      <x:c r="N59" s="9" t="str">
        <x:v>-0.2939739596539776</x:v>
      </x:c>
      <x:c r="O59" s="9" t="str">
        <x:v>-1.0</x:v>
      </x:c>
      <x:c r="P59" s="9" t="str">
        <x:v>-24.39983865128014</x:v>
      </x:c>
      <x:c r="Q59" s="9" t="str">
        <x:v>0.5246966199140773</x:v>
      </x:c>
      <x:c r="R59" s="9" t="str">
        <x:v>25.313994279313206</x:v>
      </x:c>
      <x:c r="S59" s="8" t="str">
        <x:v>24</x:v>
      </x:c>
      <x:c r="T59" s="8" t="str">
        <x:v>59</x:v>
      </x:c>
      <x:c r="U59" s="8" t="str">
        <x:v>0</x:v>
      </x:c>
      <x:c r="V59" s="10" t="str">
        <x:v>28.915662650602407</x:v>
      </x:c>
      <x:c r="W59" s="9" t="str">
        <x:v>-0.3267018808556605</x:v>
      </x:c>
      <x:c r="X59" s="9" t="str">
        <x:v>-1.0099182252411822</x:v>
      </x:c>
      <x:c r="Y59" s="9" t="str">
        <x:v>-27.11625611101982</x:v>
      </x:c>
      <x:c r="Z59" s="9" t="str">
        <x:v>0.4915638557918018</x:v>
      </x:c>
      <x:c r="AA59" s="9" t="str">
        <x:v>27.802536454789422</x:v>
      </x:c>
      <x:c r="AB59" s="9" t="str">
        <x:v>0.8859892329492184</x:v>
      </x:c>
      <x:c r="AC59" s="9" t="str">
        <x:v>0.9957074603682002</x:v>
      </x:c>
    </x:row>
    <x:row r="60" ht="18" customHeight="1">
      <x:c r="A60" s="6" t="str">
        <x:v>Single factor</x:v>
      </x:c>
      <x:c r="B60" s="6" t="str">
        <x:v>BOS→Retest timing</x:v>
      </x:c>
      <x:c r="C60" s="6" t="str">
        <x:v>Immediate retest (1 bar)</x:v>
      </x:c>
      <x:c r="D60" s="6" t="str"/>
      <x:c r="E60" s="6" t="str"/>
      <x:c r="F60" s="6" t="str">
        <x:v>All</x:v>
      </x:c>
      <x:c r="G60" s="6" t="str">
        <x:v>ADEQUATE N</x:v>
      </x:c>
      <x:c r="H60" s="8" t="str">
        <x:v>543</x:v>
      </x:c>
      <x:c r="I60" s="10" t="str">
        <x:v>77.02127659574468</x:v>
      </x:c>
      <x:c r="J60" s="8" t="str">
        <x:v>231</x:v>
      </x:c>
      <x:c r="K60" s="8" t="str">
        <x:v>311</x:v>
      </x:c>
      <x:c r="L60" s="8" t="str">
        <x:v>1</x:v>
      </x:c>
      <x:c r="M60" s="10" t="str">
        <x:v>42.5414364640884</x:v>
      </x:c>
      <x:c r="N60" s="9" t="str">
        <x:v>0.006930795679186483</x:v>
      </x:c>
      <x:c r="O60" s="9" t="str">
        <x:v>-0.549130154393184</x:v>
      </x:c>
      <x:c r="P60" s="9" t="str">
        <x:v>3.7634220537982603</x:v>
      </x:c>
      <x:c r="Q60" s="9" t="str">
        <x:v>1.0136848991764174</x:v>
      </x:c>
      <x:c r="R60" s="9" t="str">
        <x:v>25.309313645233715</x:v>
      </x:c>
      <x:c r="S60" s="8" t="str">
        <x:v>226</x:v>
      </x:c>
      <x:c r="T60" s="8" t="str">
        <x:v>317</x:v>
      </x:c>
      <x:c r="U60" s="8" t="str">
        <x:v>0</x:v>
      </x:c>
      <x:c r="V60" s="10" t="str">
        <x:v>41.62062615101289</x:v>
      </x:c>
      <x:c r="W60" s="9" t="str">
        <x:v>-0.026550041526572046</x:v>
      </x:c>
      <x:c r="X60" s="9" t="str">
        <x:v>-0.5758595570265584</x:v>
      </x:c>
      <x:c r="Y60" s="9" t="str">
        <x:v>-14.416672548928622</x:v>
      </x:c>
      <x:c r="Z60" s="9" t="str">
        <x:v>0.9495744611233378</x:v>
      </x:c>
      <x:c r="AA60" s="9" t="str">
        <x:v>33.05040993303957</x:v>
      </x:c>
      <x:c r="AB60" s="9" t="str">
        <x:v>1.0498646843502366</x:v>
      </x:c>
      <x:c r="AC60" s="9" t="str">
        <x:v>0.8539736558542059</x:v>
      </x:c>
    </x:row>
    <x:row r="61" ht="18" customHeight="1">
      <x:c r="A61" s="6" t="str">
        <x:v>Single factor direction slice</x:v>
      </x:c>
      <x:c r="B61" s="6" t="str">
        <x:v>BOS→Retest timing</x:v>
      </x:c>
      <x:c r="C61" s="6" t="str">
        <x:v>Immediate retest (1 bar)</x:v>
      </x:c>
      <x:c r="D61" s="6" t="str"/>
      <x:c r="E61" s="6" t="str"/>
      <x:c r="F61" s="6" t="str">
        <x:v>Long</x:v>
      </x:c>
      <x:c r="G61" s="6" t="str">
        <x:v>ADEQUATE N</x:v>
      </x:c>
      <x:c r="H61" s="8" t="str">
        <x:v>283</x:v>
      </x:c>
      <x:c r="I61" s="10" t="str">
        <x:v>40.141843971631204</x:v>
      </x:c>
      <x:c r="J61" s="8" t="str">
        <x:v>121</x:v>
      </x:c>
      <x:c r="K61" s="8" t="str">
        <x:v>161</x:v>
      </x:c>
      <x:c r="L61" s="8" t="str">
        <x:v>1</x:v>
      </x:c>
      <x:c r="M61" s="10" t="str">
        <x:v>42.75618374558304</x:v>
      </x:c>
      <x:c r="N61" s="9" t="str">
        <x:v>-0.041336126098588256</x:v>
      </x:c>
      <x:c r="O61" s="9" t="str">
        <x:v>-0.4724893195420648</x:v>
      </x:c>
      <x:c r="P61" s="9" t="str">
        <x:v>-11.698123685900477</x:v>
      </x:c>
      <x:c r="Q61" s="9" t="str">
        <x:v>0.9162875471964191</x:v>
      </x:c>
      <x:c r="R61" s="9" t="str">
        <x:v>20.930320127322815</x:v>
      </x:c>
      <x:c r="S61" s="8" t="str">
        <x:v>119</x:v>
      </x:c>
      <x:c r="T61" s="8" t="str">
        <x:v>164</x:v>
      </x:c>
      <x:c r="U61" s="8" t="str">
        <x:v>0</x:v>
      </x:c>
      <x:c r="V61" s="10" t="str">
        <x:v>42.04946996466431</x:v>
      </x:c>
      <x:c r="W61" s="9" t="str">
        <x:v>-0.0747336082532682</x:v>
      </x:c>
      <x:c r="X61" s="9" t="str">
        <x:v>-0.49989370007550304</x:v>
      </x:c>
      <x:c r="Y61" s="9" t="str">
        <x:v>-21.149611135674903</x:v>
      </x:c>
      <x:c r="Z61" s="9" t="str">
        <x:v>0.8545709145189126</x:v>
      </x:c>
      <x:c r="AA61" s="9" t="str">
        <x:v>27.747571655439675</x:v>
      </x:c>
      <x:c r="AB61" s="9" t="str">
        <x:v>0.9466368256649419</x:v>
      </x:c>
      <x:c r="AC61" s="9" t="str">
        <x:v>0.850076265047247</x:v>
      </x:c>
    </x:row>
    <x:row r="62" ht="18" customHeight="1">
      <x:c r="A62" s="6" t="str">
        <x:v>Single factor direction slice</x:v>
      </x:c>
      <x:c r="B62" s="6" t="str">
        <x:v>BOS→Retest timing</x:v>
      </x:c>
      <x:c r="C62" s="6" t="str">
        <x:v>Immediate retest (1 bar)</x:v>
      </x:c>
      <x:c r="D62" s="6" t="str"/>
      <x:c r="E62" s="6" t="str"/>
      <x:c r="F62" s="6" t="str">
        <x:v>Short</x:v>
      </x:c>
      <x:c r="G62" s="6" t="str">
        <x:v>ADEQUATE N</x:v>
      </x:c>
      <x:c r="H62" s="8" t="str">
        <x:v>260</x:v>
      </x:c>
      <x:c r="I62" s="10" t="str">
        <x:v>36.87943262411348</x:v>
      </x:c>
      <x:c r="J62" s="8" t="str">
        <x:v>110</x:v>
      </x:c>
      <x:c r="K62" s="8" t="str">
        <x:v>150</x:v>
      </x:c>
      <x:c r="L62" s="8" t="str">
        <x:v>0</x:v>
      </x:c>
      <x:c r="M62" s="10" t="str">
        <x:v>42.30769230769231</x:v>
      </x:c>
      <x:c r="N62" s="9" t="str">
        <x:v>0.05946748361422592</x:v>
      </x:c>
      <x:c r="O62" s="9" t="str">
        <x:v>-0.6215126195560579</x:v>
      </x:c>
      <x:c r="P62" s="9" t="str">
        <x:v>15.461545739698739</x:v>
      </x:c>
      <x:c r="Q62" s="9" t="str">
        <x:v>1.1143066674263062</x:v>
      </x:c>
      <x:c r="R62" s="9" t="str">
        <x:v>20.08436162716442</x:v>
      </x:c>
      <x:c r="S62" s="8" t="str">
        <x:v>107</x:v>
      </x:c>
      <x:c r="T62" s="8" t="str">
        <x:v>153</x:v>
      </x:c>
      <x:c r="U62" s="8" t="str">
        <x:v>0</x:v>
      </x:c>
      <x:c r="V62" s="10" t="str">
        <x:v>41.15384615384615</x:v>
      </x:c>
      <x:c r="W62" s="9" t="str">
        <x:v>0.025895917641331822</x:v>
      </x:c>
      <x:c r="X62" s="9" t="str">
        <x:v>-0.6681761797785896</x:v>
      </x:c>
      <x:c r="Y62" s="9" t="str">
        <x:v>6.732938586746274</x:v>
      </x:c>
      <x:c r="Z62" s="9" t="str">
        <x:v>1.0479311009599481</x:v>
      </x:c>
      <x:c r="AA62" s="9" t="str">
        <x:v>23.066899050625366</x:v>
      </x:c>
      <x:c r="AB62" s="9" t="str">
        <x:v>1.1622242382269223</x:v>
      </x:c>
      <x:c r="AC62" s="9" t="str">
        <x:v>0.8582158158479342</x:v>
      </x:c>
    </x:row>
    <x:row r="63" ht="18" customHeight="1">
      <x:c r="A63" s="6" t="str">
        <x:v>Single factor</x:v>
      </x:c>
      <x:c r="B63" s="6" t="str">
        <x:v>Retest→Confirm timing</x:v>
      </x:c>
      <x:c r="C63" s="6" t="str">
        <x:v>Delayed confirmation (2+ bars)</x:v>
      </x:c>
      <x:c r="D63" s="6" t="str"/>
      <x:c r="E63" s="6" t="str"/>
      <x:c r="F63" s="6" t="str">
        <x:v>All</x:v>
      </x:c>
      <x:c r="G63" s="6" t="str">
        <x:v>ADEQUATE N</x:v>
      </x:c>
      <x:c r="H63" s="8" t="str">
        <x:v>177</x:v>
      </x:c>
      <x:c r="I63" s="10" t="str">
        <x:v>25.106382978723403</x:v>
      </x:c>
      <x:c r="J63" s="8" t="str">
        <x:v>79</x:v>
      </x:c>
      <x:c r="K63" s="8" t="str">
        <x:v>98</x:v>
      </x:c>
      <x:c r="L63" s="8" t="str">
        <x:v>0</x:v>
      </x:c>
      <x:c r="M63" s="10" t="str">
        <x:v>44.632768361581924</x:v>
      </x:c>
      <x:c r="N63" s="9" t="str">
        <x:v>-0.01774400436757146</x:v>
      </x:c>
      <x:c r="O63" s="9" t="str">
        <x:v>-0.4341135583962626</x:v>
      </x:c>
      <x:c r="P63" s="9" t="str">
        <x:v>-3.1406887730601487</x:v>
      </x:c>
      <x:c r="Q63" s="9" t="str">
        <x:v>0.9639668009870367</x:v>
      </x:c>
      <x:c r="R63" s="9" t="str">
        <x:v>12.667071685564526</x:v>
      </x:c>
      <x:c r="S63" s="8" t="str">
        <x:v>77</x:v>
      </x:c>
      <x:c r="T63" s="8" t="str">
        <x:v>100</x:v>
      </x:c>
      <x:c r="U63" s="8" t="str">
        <x:v>0</x:v>
      </x:c>
      <x:c r="V63" s="10" t="str">
        <x:v>43.50282485875706</x:v>
      </x:c>
      <x:c r="W63" s="9" t="str">
        <x:v>-0.04874294891656143</x:v>
      </x:c>
      <x:c r="X63" s="9" t="str">
        <x:v>-0.45184495726033486</x:v>
      </x:c>
      <x:c r="Y63" s="9" t="str">
        <x:v>-8.627501958231374</x:v>
      </x:c>
      <x:c r="Z63" s="9" t="str">
        <x:v>0.9043526691168315</x:v>
      </x:c>
      <x:c r="AA63" s="9" t="str">
        <x:v>17.50110180524465</x:v>
      </x:c>
      <x:c r="AB63" s="9" t="str">
        <x:v>0.9728502419649319</x:v>
      </x:c>
      <x:c r="AC63" s="9" t="str">
        <x:v>0.8722548565849667</x:v>
      </x:c>
    </x:row>
    <x:row r="64" ht="18" customHeight="1">
      <x:c r="A64" s="6" t="str">
        <x:v>Single factor direction slice</x:v>
      </x:c>
      <x:c r="B64" s="6" t="str">
        <x:v>Retest→Confirm timing</x:v>
      </x:c>
      <x:c r="C64" s="6" t="str">
        <x:v>Delayed confirmation (2+ bars)</x:v>
      </x:c>
      <x:c r="D64" s="6" t="str"/>
      <x:c r="E64" s="6" t="str"/>
      <x:c r="F64" s="6" t="str">
        <x:v>Long</x:v>
      </x:c>
      <x:c r="G64" s="6" t="str">
        <x:v>ADEQUATE N</x:v>
      </x:c>
      <x:c r="H64" s="8" t="str">
        <x:v>97</x:v>
      </x:c>
      <x:c r="I64" s="10" t="str">
        <x:v>13.75886524822695</x:v>
      </x:c>
      <x:c r="J64" s="8" t="str">
        <x:v>47</x:v>
      </x:c>
      <x:c r="K64" s="8" t="str">
        <x:v>50</x:v>
      </x:c>
      <x:c r="L64" s="8" t="str">
        <x:v>0</x:v>
      </x:c>
      <x:c r="M64" s="10" t="str">
        <x:v>48.45360824742268</x:v>
      </x:c>
      <x:c r="N64" s="9" t="str">
        <x:v>-0.01863580865042329</x:v>
      </x:c>
      <x:c r="O64" s="9" t="str">
        <x:v>-0.21661119776113372</x:v>
      </x:c>
      <x:c r="P64" s="9" t="str">
        <x:v>-1.807673439091059</x:v>
      </x:c>
      <x:c r="Q64" s="9" t="str">
        <x:v>0.9604492531819331</x:v>
      </x:c>
      <x:c r="R64" s="9" t="str">
        <x:v>7.9992810601811035</x:v>
      </x:c>
      <x:c r="S64" s="8" t="str">
        <x:v>46</x:v>
      </x:c>
      <x:c r="T64" s="8" t="str">
        <x:v>51</x:v>
      </x:c>
      <x:c r="U64" s="8" t="str">
        <x:v>0</x:v>
      </x:c>
      <x:c r="V64" s="10" t="str">
        <x:v>47.42268041237113</x:v>
      </x:c>
      <x:c r="W64" s="9" t="str">
        <x:v>-0.048050457328631446</x:v>
      </x:c>
      <x:c r="X64" s="9" t="str">
        <x:v>-0.24077167751141287</x:v>
      </x:c>
      <x:c r="Y64" s="9" t="str">
        <x:v>-4.660894360877251</x:v>
      </x:c>
      <x:c r="Z64" s="9" t="str">
        <x:v>0.9012859315867494</x:v>
      </x:c>
      <x:c r="AA64" s="9" t="str">
        <x:v>10.418816624092415</x:v>
      </x:c>
      <x:c r="AB64" s="9" t="str">
        <x:v>0.9195202965080076</x:v>
      </x:c>
      <x:c r="AC64" s="9" t="str">
        <x:v>0.8800943784371817</x:v>
      </x:c>
    </x:row>
    <x:row r="65" ht="18" customHeight="1">
      <x:c r="A65" s="6" t="str">
        <x:v>Single factor direction slice</x:v>
      </x:c>
      <x:c r="B65" s="6" t="str">
        <x:v>Retest→Confirm timing</x:v>
      </x:c>
      <x:c r="C65" s="6" t="str">
        <x:v>Delayed confirmation (2+ bars)</x:v>
      </x:c>
      <x:c r="D65" s="6" t="str"/>
      <x:c r="E65" s="6" t="str"/>
      <x:c r="F65" s="6" t="str">
        <x:v>Short</x:v>
      </x:c>
      <x:c r="G65" s="6" t="str">
        <x:v>ADEQUATE N</x:v>
      </x:c>
      <x:c r="H65" s="8" t="str">
        <x:v>80</x:v>
      </x:c>
      <x:c r="I65" s="10" t="str">
        <x:v>11.347517730496454</x:v>
      </x:c>
      <x:c r="J65" s="8" t="str">
        <x:v>32</x:v>
      </x:c>
      <x:c r="K65" s="8" t="str">
        <x:v>48</x:v>
      </x:c>
      <x:c r="L65" s="8" t="str">
        <x:v>0</x:v>
      </x:c>
      <x:c r="M65" s="10" t="str">
        <x:v>40.0</x:v>
      </x:c>
      <x:c r="N65" s="9" t="str">
        <x:v>-0.016662691674613584</x:v>
      </x:c>
      <x:c r="O65" s="9" t="str">
        <x:v>-0.5932346508803146</x:v>
      </x:c>
      <x:c r="P65" s="9" t="str">
        <x:v>-1.3330153339690867</x:v>
      </x:c>
      <x:c r="Q65" s="9" t="str">
        <x:v>0.9678449089490797</x:v>
      </x:c>
      <x:c r="R65" s="9" t="str">
        <x:v>10.879796927155914</x:v>
      </x:c>
      <x:c r="S65" s="8" t="str">
        <x:v>31</x:v>
      </x:c>
      <x:c r="T65" s="8" t="str">
        <x:v>49</x:v>
      </x:c>
      <x:c r="U65" s="8" t="str">
        <x:v>0</x:v>
      </x:c>
      <x:c r="V65" s="10" t="str">
        <x:v>38.75</x:v>
      </x:c>
      <x:c r="W65" s="9" t="str">
        <x:v>-0.04958259496692654</x:v>
      </x:c>
      <x:c r="X65" s="9" t="str">
        <x:v>-0.6204070407674849</x:v>
      </x:c>
      <x:c r="Y65" s="9" t="str">
        <x:v>-3.9666075973541233</x:v>
      </x:c>
      <x:c r="Z65" s="9" t="str">
        <x:v>0.9077212672144284</x:v>
      </x:c>
      <x:c r="AA65" s="9" t="str">
        <x:v>12.442567570003154</x:v>
      </x:c>
      <x:c r="AB65" s="9" t="str">
        <x:v>1.0375128008314525</x:v>
      </x:c>
      <x:c r="AC65" s="9" t="str">
        <x:v>0.8627494363391559</x:v>
      </x:c>
    </x:row>
    <x:row r="66" ht="18" customHeight="1">
      <x:c r="A66" s="6" t="str">
        <x:v>Single factor</x:v>
      </x:c>
      <x:c r="B66" s="6" t="str">
        <x:v>Retest→Confirm timing</x:v>
      </x:c>
      <x:c r="C66" s="6" t="str">
        <x:v>Immediate confirmation (1 bar)</x:v>
      </x:c>
      <x:c r="D66" s="6" t="str"/>
      <x:c r="E66" s="6" t="str"/>
      <x:c r="F66" s="6" t="str">
        <x:v>All</x:v>
      </x:c>
      <x:c r="G66" s="6" t="str">
        <x:v>ADEQUATE N</x:v>
      </x:c>
      <x:c r="H66" s="8" t="str">
        <x:v>528</x:v>
      </x:c>
      <x:c r="I66" s="10" t="str">
        <x:v>74.8936170212766</x:v>
      </x:c>
      <x:c r="J66" s="8" t="str">
        <x:v>210</x:v>
      </x:c>
      <x:c r="K66" s="8" t="str">
        <x:v>317</x:v>
      </x:c>
      <x:c r="L66" s="8" t="str">
        <x:v>1</x:v>
      </x:c>
      <x:c r="M66" s="10" t="str">
        <x:v>39.77272727272727</x:v>
      </x:c>
      <x:c r="N66" s="9" t="str">
        <x:v>-0.04257557308168539</x:v>
      </x:c>
      <x:c r="O66" s="9" t="str">
        <x:v>-0.6989380066935622</x:v>
      </x:c>
      <x:c r="P66" s="9" t="str">
        <x:v>-22.47990258712989</x:v>
      </x:c>
      <x:c r="Q66" s="9" t="str">
        <x:v>0.9199932191361682</x:v>
      </x:c>
      <x:c r="R66" s="9" t="str">
        <x:v>36.65184830527515</x:v>
      </x:c>
      <x:c r="S66" s="8" t="str">
        <x:v>207</x:v>
      </x:c>
      <x:c r="T66" s="8" t="str">
        <x:v>321</x:v>
      </x:c>
      <x:c r="U66" s="8" t="str">
        <x:v>0</x:v>
      </x:c>
      <x:c r="V66" s="10" t="str">
        <x:v>39.20454545454545</x:v>
      </x:c>
      <x:c r="W66" s="9" t="str">
        <x:v>-0.07655599260584546</x:v>
      </x:c>
      <x:c r="X66" s="9" t="str">
        <x:v>-0.7450225417079106</x:v>
      </x:c>
      <x:c r="Y66" s="9" t="str">
        <x:v>-40.4215640958864</x:v>
      </x:c>
      <x:c r="Z66" s="9" t="str">
        <x:v>0.8617366358770221</x:v>
      </x:c>
      <x:c r="AA66" s="9" t="str">
        <x:v>48.443801815377746</x:v>
      </x:c>
      <x:c r="AB66" s="9" t="str">
        <x:v>1.034742629862186</x:v>
      </x:c>
      <x:c r="AC66" s="9" t="str">
        <x:v>0.9096700939057614</x:v>
      </x:c>
    </x:row>
    <x:row r="67" ht="18" customHeight="1">
      <x:c r="A67" s="6" t="str">
        <x:v>Single factor direction slice</x:v>
      </x:c>
      <x:c r="B67" s="6" t="str">
        <x:v>Retest→Confirm timing</x:v>
      </x:c>
      <x:c r="C67" s="6" t="str">
        <x:v>Immediate confirmation (1 bar)</x:v>
      </x:c>
      <x:c r="D67" s="6" t="str"/>
      <x:c r="E67" s="6" t="str"/>
      <x:c r="F67" s="6" t="str">
        <x:v>Long</x:v>
      </x:c>
      <x:c r="G67" s="6" t="str">
        <x:v>ADEQUATE N</x:v>
      </x:c>
      <x:c r="H67" s="8" t="str">
        <x:v>265</x:v>
      </x:c>
      <x:c r="I67" s="10" t="str">
        <x:v>37.5886524822695</x:v>
      </x:c>
      <x:c r="J67" s="8" t="str">
        <x:v>108</x:v>
      </x:c>
      <x:c r="K67" s="8" t="str">
        <x:v>156</x:v>
      </x:c>
      <x:c r="L67" s="8" t="str">
        <x:v>1</x:v>
      </x:c>
      <x:c r="M67" s="10" t="str">
        <x:v>40.75471698113208</x:v>
      </x:c>
      <x:c r="N67" s="9" t="str">
        <x:v>-0.05613066041327383</x:v>
      </x:c>
      <x:c r="O67" s="9" t="str">
        <x:v>-0.5616002689567001</x:v>
      </x:c>
      <x:c r="P67" s="9" t="str">
        <x:v>-14.874625009517565</x:v>
      </x:c>
      <x:c r="Q67" s="9" t="str">
        <x:v>0.8904922870433509</x:v>
      </x:c>
      <x:c r="R67" s="9" t="str">
        <x:v>21.233022515417545</x:v>
      </x:c>
      <x:c r="S67" s="8" t="str">
        <x:v>107</x:v>
      </x:c>
      <x:c r="T67" s="8" t="str">
        <x:v>158</x:v>
      </x:c>
      <x:c r="U67" s="8" t="str">
        <x:v>0</x:v>
      </x:c>
      <x:c r="V67" s="10" t="str">
        <x:v>40.37735849056604</x:v>
      </x:c>
      <x:c r="W67" s="9" t="str">
        <x:v>-0.09058435535459239</x:v>
      </x:c>
      <x:c r="X67" s="9" t="str">
        <x:v>-0.5987895166897238</x:v>
      </x:c>
      <x:c r="Y67" s="9" t="str">
        <x:v>-24.004854168966983</x:v>
      </x:c>
      <x:c r="Z67" s="9" t="str">
        <x:v>0.8303941387567991</x:v>
      </x:c>
      <x:c r="AA67" s="9" t="str">
        <x:v>28.356987940206814</x:v>
      </x:c>
      <x:c r="AB67" s="9" t="str">
        <x:v>0.9570932994715677</x:v>
      </x:c>
      <x:c r="AC67" s="9" t="str">
        <x:v>0.9190412572013245</x:v>
      </x:c>
    </x:row>
    <x:row r="68" ht="18" customHeight="1">
      <x:c r="A68" s="6" t="str">
        <x:v>Single factor direction slice</x:v>
      </x:c>
      <x:c r="B68" s="6" t="str">
        <x:v>Retest→Confirm timing</x:v>
      </x:c>
      <x:c r="C68" s="6" t="str">
        <x:v>Immediate confirmation (1 bar)</x:v>
      </x:c>
      <x:c r="D68" s="6" t="str"/>
      <x:c r="E68" s="6" t="str"/>
      <x:c r="F68" s="6" t="str">
        <x:v>Short</x:v>
      </x:c>
      <x:c r="G68" s="6" t="str">
        <x:v>ADEQUATE N</x:v>
      </x:c>
      <x:c r="H68" s="8" t="str">
        <x:v>263</x:v>
      </x:c>
      <x:c r="I68" s="10" t="str">
        <x:v>37.304964539007095</x:v>
      </x:c>
      <x:c r="J68" s="8" t="str">
        <x:v>102</x:v>
      </x:c>
      <x:c r="K68" s="8" t="str">
        <x:v>161</x:v>
      </x:c>
      <x:c r="L68" s="8" t="str">
        <x:v>0</x:v>
      </x:c>
      <x:c r="M68" s="10" t="str">
        <x:v>38.78326996197718</x:v>
      </x:c>
      <x:c r="N68" s="9" t="str">
        <x:v>-0.028917405238069665</x:v>
      </x:c>
      <x:c r="O68" s="9" t="str">
        <x:v>-1.0</x:v>
      </x:c>
      <x:c r="P68" s="9" t="str">
        <x:v>-7.605277577612322</x:v>
      </x:c>
      <x:c r="Q68" s="9" t="str">
        <x:v>0.9476015614348708</x:v>
      </x:c>
      <x:c r="R68" s="9" t="str">
        <x:v>21.033264163980306</x:v>
      </x:c>
      <x:c r="S68" s="8" t="str">
        <x:v>100</x:v>
      </x:c>
      <x:c r="T68" s="8" t="str">
        <x:v>163</x:v>
      </x:c>
      <x:c r="U68" s="8" t="str">
        <x:v>0</x:v>
      </x:c>
      <x:c r="V68" s="10" t="str">
        <x:v>38.02281368821293</x:v>
      </x:c>
      <x:c r="W68" s="9" t="str">
        <x:v>-0.062420950292469295</x:v>
      </x:c>
      <x:c r="X68" s="9" t="str">
        <x:v>-1.0074709115344598</x:v>
      </x:c>
      <x:c r="Y68" s="9" t="str">
        <x:v>-16.416709926919424</x:v>
      </x:c>
      <x:c r="Z68" s="9" t="str">
        <x:v>0.8911494358652244</x:v>
      </x:c>
      <x:c r="AA68" s="9" t="str">
        <x:v>26.944880683439415</x:v>
      </x:c>
      <x:c r="AB68" s="9" t="str">
        <x:v>1.1129824494572957</x:v>
      </x:c>
      <x:c r="AC68" s="9" t="str">
        <x:v>0.9002276670109924</x:v>
      </x:c>
    </x:row>
    <x:row r="69" ht="18" customHeight="1">
      <x:c r="A69" s="6" t="str">
        <x:v>Single factor</x:v>
      </x:c>
      <x:c r="B69" s="6" t="str">
        <x:v>Retest behavior</x:v>
      </x:c>
      <x:c r="C69" s="6" t="str">
        <x:v>Exact BOS touch</x:v>
      </x:c>
      <x:c r="D69" s="6" t="str"/>
      <x:c r="E69" s="6" t="str"/>
      <x:c r="F69" s="6" t="str">
        <x:v>All</x:v>
      </x:c>
      <x:c r="G69" s="6" t="str">
        <x:v>SMALL SAMPLE</x:v>
      </x:c>
      <x:c r="H69" s="8" t="str">
        <x:v>29</x:v>
      </x:c>
      <x:c r="I69" s="10" t="str">
        <x:v>4.113475177304965</x:v>
      </x:c>
      <x:c r="J69" s="8" t="str">
        <x:v>16</x:v>
      </x:c>
      <x:c r="K69" s="8" t="str">
        <x:v>13</x:v>
      </x:c>
      <x:c r="L69" s="8" t="str">
        <x:v>0</x:v>
      </x:c>
      <x:c r="M69" s="10" t="str">
        <x:v>55.172413793103445</x:v>
      </x:c>
      <x:c r="N69" s="9" t="str">
        <x:v>0.13840694706460835</x:v>
      </x:c>
      <x:c r="O69" s="9" t="str">
        <x:v>0.2107414815081934</x:v>
      </x:c>
      <x:c r="P69" s="9" t="str">
        <x:v>4.013801464873642</x:v>
      </x:c>
      <x:c r="Q69" s="9" t="str">
        <x:v>1.3526691753860534</x:v>
      </x:c>
      <x:c r="R69" s="9" t="str">
        <x:v>5.173628020081528</x:v>
      </x:c>
      <x:c r="S69" s="8" t="str">
        <x:v>15</x:v>
      </x:c>
      <x:c r="T69" s="8" t="str">
        <x:v>14</x:v>
      </x:c>
      <x:c r="U69" s="8" t="str">
        <x:v>0</x:v>
      </x:c>
      <x:c r="V69" s="10" t="str">
        <x:v>51.724137931034484</x:v>
      </x:c>
      <x:c r="W69" s="9" t="str">
        <x:v>0.0868587563419481</x:v>
      </x:c>
      <x:c r="X69" s="9" t="str">
        <x:v>0.18942721692919445</x:v>
      </x:c>
      <x:c r="Y69" s="9" t="str">
        <x:v>2.518903933916495</x:v>
      </x:c>
      <x:c r="Z69" s="9" t="str">
        <x:v>1.208417245315348</x:v>
      </x:c>
      <x:c r="AA69" s="9" t="str">
        <x:v>5.790275614297137</x:v>
      </x:c>
      <x:c r="AB69" s="9" t="str">
        <x:v>1.0942167183785836</x:v>
      </x:c>
      <x:c r="AC69" s="9" t="str">
        <x:v>0.7807857163766746</x:v>
      </x:c>
    </x:row>
    <x:row r="70" ht="18" customHeight="1">
      <x:c r="A70" s="6" t="str">
        <x:v>Single factor</x:v>
      </x:c>
      <x:c r="B70" s="6" t="str">
        <x:v>Retest behavior</x:v>
      </x:c>
      <x:c r="C70" s="6" t="str">
        <x:v>Penetration + same-bar reclaim</x:v>
      </x:c>
      <x:c r="D70" s="6" t="str"/>
      <x:c r="E70" s="6" t="str"/>
      <x:c r="F70" s="6" t="str">
        <x:v>All</x:v>
      </x:c>
      <x:c r="G70" s="6" t="str">
        <x:v>ADEQUATE N</x:v>
      </x:c>
      <x:c r="H70" s="8" t="str">
        <x:v>443</x:v>
      </x:c>
      <x:c r="I70" s="10" t="str">
        <x:v>62.836879432624116</x:v>
      </x:c>
      <x:c r="J70" s="8" t="str">
        <x:v>181</x:v>
      </x:c>
      <x:c r="K70" s="8" t="str">
        <x:v>261</x:v>
      </x:c>
      <x:c r="L70" s="8" t="str">
        <x:v>1</x:v>
      </x:c>
      <x:c r="M70" s="10" t="str">
        <x:v>40.85778781038375</x:v>
      </x:c>
      <x:c r="N70" s="9" t="str">
        <x:v>-0.016131965438310625</x:v>
      </x:c>
      <x:c r="O70" s="9" t="str">
        <x:v>-0.6022547580746485</x:v>
      </x:c>
      <x:c r="P70" s="9" t="str">
        <x:v>-7.146460689171607</x:v>
      </x:c>
      <x:c r="Q70" s="9" t="str">
        <x:v>0.968863161739486</x:v>
      </x:c>
      <x:c r="R70" s="9" t="str">
        <x:v>34.460753433261324</x:v>
      </x:c>
      <x:c r="S70" s="8" t="str">
        <x:v>180</x:v>
      </x:c>
      <x:c r="T70" s="8" t="str">
        <x:v>263</x:v>
      </x:c>
      <x:c r="U70" s="8" t="str">
        <x:v>0</x:v>
      </x:c>
      <x:c r="V70" s="10" t="str">
        <x:v>40.63205417607224</x:v>
      </x:c>
      <x:c r="W70" s="9" t="str">
        <x:v>-0.047709104180338295</x:v>
      </x:c>
      <x:c r="X70" s="9" t="str">
        <x:v>-0.6279391521690084</x:v>
      </x:c>
      <x:c r="Y70" s="9" t="str">
        <x:v>-21.135133151889864</x:v>
      </x:c>
      <x:c r="Z70" s="9" t="str">
        <x:v>0.911169081355173</x:v>
      </x:c>
      <x:c r="AA70" s="9" t="str">
        <x:v>42.59396909862183</x:v>
      </x:c>
      <x:c r="AB70" s="9" t="str">
        <x:v>1.0241420654527233</x:v>
      </x:c>
      <x:c r="AC70" s="9" t="str">
        <x:v>0.90691993771968</x:v>
      </x:c>
    </x:row>
    <x:row r="71" ht="18" customHeight="1">
      <x:c r="A71" s="6" t="str">
        <x:v>Single factor direction slice</x:v>
      </x:c>
      <x:c r="B71" s="6" t="str">
        <x:v>Retest behavior</x:v>
      </x:c>
      <x:c r="C71" s="6" t="str">
        <x:v>Penetration + same-bar reclaim</x:v>
      </x:c>
      <x:c r="D71" s="6" t="str"/>
      <x:c r="E71" s="6" t="str"/>
      <x:c r="F71" s="6" t="str">
        <x:v>Long</x:v>
      </x:c>
      <x:c r="G71" s="6" t="str">
        <x:v>ADEQUATE N</x:v>
      </x:c>
      <x:c r="H71" s="8" t="str">
        <x:v>234</x:v>
      </x:c>
      <x:c r="I71" s="10" t="str">
        <x:v>33.191489361702125</x:v>
      </x:c>
      <x:c r="J71" s="8" t="str">
        <x:v>98</x:v>
      </x:c>
      <x:c r="K71" s="8" t="str">
        <x:v>135</x:v>
      </x:c>
      <x:c r="L71" s="8" t="str">
        <x:v>1</x:v>
      </x:c>
      <x:c r="M71" s="10" t="str">
        <x:v>41.88034188034188</x:v>
      </x:c>
      <x:c r="N71" s="9" t="str">
        <x:v>-0.017877361905392554</x:v>
      </x:c>
      <x:c r="O71" s="9" t="str">
        <x:v>-0.5336982274588633</x:v>
      </x:c>
      <x:c r="P71" s="9" t="str">
        <x:v>-4.183302685861857</x:v>
      </x:c>
      <x:c r="Q71" s="9" t="str">
        <x:v>0.964009564681646</x:v>
      </x:c>
      <x:c r="R71" s="9" t="str">
        <x:v>24.578461429055263</x:v>
      </x:c>
      <x:c r="S71" s="8" t="str">
        <x:v>98</x:v>
      </x:c>
      <x:c r="T71" s="8" t="str">
        <x:v>136</x:v>
      </x:c>
      <x:c r="U71" s="8" t="str">
        <x:v>0</x:v>
      </x:c>
      <x:c r="V71" s="10" t="str">
        <x:v>41.88034188034188</x:v>
      </x:c>
      <x:c r="W71" s="9" t="str">
        <x:v>-0.04942444056094914</x:v>
      </x:c>
      <x:c r="X71" s="9" t="str">
        <x:v>-0.5573594983306949</x:v>
      </x:c>
      <x:c r="Y71" s="9" t="str">
        <x:v>-11.565319091262099</x:v>
      </x:c>
      <x:c r="Z71" s="9" t="str">
        <x:v>0.9040775657971033</x:v>
      </x:c>
      <x:c r="AA71" s="9" t="str">
        <x:v>28.988777562735056</x:v>
      </x:c>
      <x:c r="AB71" s="9" t="str">
        <x:v>0.9750060239889494</x:v>
      </x:c>
      <x:c r="AC71" s="9" t="str">
        <x:v>0.9295588758756916</x:v>
      </x:c>
    </x:row>
    <x:row r="72" ht="18" customHeight="1">
      <x:c r="A72" s="6" t="str">
        <x:v>Single factor direction slice</x:v>
      </x:c>
      <x:c r="B72" s="6" t="str">
        <x:v>Retest behavior</x:v>
      </x:c>
      <x:c r="C72" s="6" t="str">
        <x:v>Penetration + same-bar reclaim</x:v>
      </x:c>
      <x:c r="D72" s="6" t="str"/>
      <x:c r="E72" s="6" t="str"/>
      <x:c r="F72" s="6" t="str">
        <x:v>Short</x:v>
      </x:c>
      <x:c r="G72" s="6" t="str">
        <x:v>ADEQUATE N</x:v>
      </x:c>
      <x:c r="H72" s="8" t="str">
        <x:v>209</x:v>
      </x:c>
      <x:c r="I72" s="10" t="str">
        <x:v>29.645390070921987</x:v>
      </x:c>
      <x:c r="J72" s="8" t="str">
        <x:v>83</x:v>
      </x:c>
      <x:c r="K72" s="8" t="str">
        <x:v>126</x:v>
      </x:c>
      <x:c r="L72" s="8" t="str">
        <x:v>0</x:v>
      </x:c>
      <x:c r="M72" s="10" t="str">
        <x:v>39.71291866028708</x:v>
      </x:c>
      <x:c r="N72" s="9" t="str">
        <x:v>-0.014177789489520346</x:v>
      </x:c>
      <x:c r="O72" s="9" t="str">
        <x:v>-0.8002180812673347</x:v>
      </x:c>
      <x:c r="P72" s="9" t="str">
        <x:v>-2.9631580033097524</x:v>
      </x:c>
      <x:c r="Q72" s="9" t="str">
        <x:v>0.9738431328680766</x:v>
      </x:c>
      <x:c r="R72" s="9" t="str">
        <x:v>14.870478483662723</x:v>
      </x:c>
      <x:c r="S72" s="8" t="str">
        <x:v>82</x:v>
      </x:c>
      <x:c r="T72" s="8" t="str">
        <x:v>127</x:v>
      </x:c>
      <x:c r="U72" s="8" t="str">
        <x:v>0</x:v>
      </x:c>
      <x:c r="V72" s="10" t="str">
        <x:v>39.23444976076555</x:v>
      </x:c>
      <x:c r="W72" s="9" t="str">
        <x:v>-0.04578858402214244</x:v>
      </x:c>
      <x:c r="X72" s="9" t="str">
        <x:v>-0.8050426809257033</x:v>
      </x:c>
      <x:c r="Y72" s="9" t="str">
        <x:v>-9.56981406062777</x:v>
      </x:c>
      <x:c r="Z72" s="9" t="str">
        <x:v>0.9184547845245117</x:v>
      </x:c>
      <x:c r="AA72" s="9" t="str">
        <x:v>18.816613450613474</x:v>
      </x:c>
      <x:c r="AB72" s="9" t="str">
        <x:v>1.079155623838001</x:v>
      </x:c>
      <x:c r="AC72" s="9" t="str">
        <x:v>0.8815729926072076</x:v>
      </x:c>
    </x:row>
    <x:row r="73" ht="18" customHeight="1">
      <x:c r="A73" s="6" t="str">
        <x:v>Single factor</x:v>
      </x:c>
      <x:c r="B73" s="6" t="str">
        <x:v>Retest behavior</x:v>
      </x:c>
      <x:c r="C73" s="6" t="str">
        <x:v>Penetration without same-bar reclaim</x:v>
      </x:c>
      <x:c r="D73" s="6" t="str"/>
      <x:c r="E73" s="6" t="str"/>
      <x:c r="F73" s="6" t="str">
        <x:v>All</x:v>
      </x:c>
      <x:c r="G73" s="6" t="str">
        <x:v>ADEQUATE N</x:v>
      </x:c>
      <x:c r="H73" s="8" t="str">
        <x:v>61</x:v>
      </x:c>
      <x:c r="I73" s="10" t="str">
        <x:v>8.652482269503546</x:v>
      </x:c>
      <x:c r="J73" s="8" t="str">
        <x:v>21</x:v>
      </x:c>
      <x:c r="K73" s="8" t="str">
        <x:v>40</x:v>
      </x:c>
      <x:c r="L73" s="8" t="str">
        <x:v>0</x:v>
      </x:c>
      <x:c r="M73" s="10" t="str">
        <x:v>34.42622950819672</x:v>
      </x:c>
      <x:c r="N73" s="9" t="str">
        <x:v>-0.1740316902847206</x:v>
      </x:c>
      <x:c r="O73" s="9" t="str">
        <x:v>-1.0</x:v>
      </x:c>
      <x:c r="P73" s="9" t="str">
        <x:v>-10.615933107367956</x:v>
      </x:c>
      <x:c r="Q73" s="9" t="str">
        <x:v>0.7078571956530306</x:v>
      </x:c>
      <x:c r="R73" s="9" t="str">
        <x:v>10.979264185746647</x:v>
      </x:c>
      <x:c r="S73" s="8" t="str">
        <x:v>21</x:v>
      </x:c>
      <x:c r="T73" s="8" t="str">
        <x:v>40</x:v>
      </x:c>
      <x:c r="U73" s="8" t="str">
        <x:v>0</x:v>
      </x:c>
      <x:c r="V73" s="10" t="str">
        <x:v>34.42622950819672</x:v>
      </x:c>
      <x:c r="W73" s="9" t="str">
        <x:v>-0.21272621090327026</x:v>
      </x:c>
      <x:c r="X73" s="9" t="str">
        <x:v>-1.0119856099413187</x:v>
      </x:c>
      <x:c r="Y73" s="9" t="str">
        <x:v>-12.976298865099485</x:v>
      </x:c>
      <x:c r="Z73" s="9" t="str">
        <x:v>0.6587864360890907</x:v>
      </x:c>
      <x:c r="AA73" s="9" t="str">
        <x:v>13.243842659178345</x:v>
      </x:c>
      <x:c r="AB73" s="9" t="str">
        <x:v>1.0543144084070724</x:v>
      </x:c>
      <x:c r="AC73" s="9" t="str">
        <x:v>0.9427197528346727</x:v>
      </x:c>
    </x:row>
    <x:row r="74" ht="18" customHeight="1">
      <x:c r="A74" s="6" t="str">
        <x:v>Single factor direction slice</x:v>
      </x:c>
      <x:c r="B74" s="6" t="str">
        <x:v>Retest behavior</x:v>
      </x:c>
      <x:c r="C74" s="6" t="str">
        <x:v>Penetration without same-bar reclaim</x:v>
      </x:c>
      <x:c r="D74" s="6" t="str"/>
      <x:c r="E74" s="6" t="str"/>
      <x:c r="F74" s="6" t="str">
        <x:v>Short</x:v>
      </x:c>
      <x:c r="G74" s="6" t="str">
        <x:v>ADEQUATE N</x:v>
      </x:c>
      <x:c r="H74" s="8" t="str">
        <x:v>33</x:v>
      </x:c>
      <x:c r="I74" s="10" t="str">
        <x:v>4.680851063829787</x:v>
      </x:c>
      <x:c r="J74" s="8" t="str">
        <x:v>13</x:v>
      </x:c>
      <x:c r="K74" s="8" t="str">
        <x:v>20</x:v>
      </x:c>
      <x:c r="L74" s="8" t="str">
        <x:v>0</x:v>
      </x:c>
      <x:c r="M74" s="10" t="str">
        <x:v>39.39393939393939</x:v>
      </x:c>
      <x:c r="N74" s="9" t="str">
        <x:v>-0.05105497261902132</x:v>
      </x:c>
      <x:c r="O74" s="9" t="str">
        <x:v>-1.0</x:v>
      </x:c>
      <x:c r="P74" s="9" t="str">
        <x:v>-1.6848140964277034</x:v>
      </x:c>
      <x:c r="Q74" s="9" t="str">
        <x:v>0.9100033437897946</x:v>
      </x:c>
      <x:c r="R74" s="9" t="str">
        <x:v>4.720852166912476</x:v>
      </x:c>
      <x:c r="S74" s="8" t="str">
        <x:v>13</x:v>
      </x:c>
      <x:c r="T74" s="8" t="str">
        <x:v>20</x:v>
      </x:c>
      <x:c r="U74" s="8" t="str">
        <x:v>0</x:v>
      </x:c>
      <x:c r="V74" s="10" t="str">
        <x:v>39.39393939393939</x:v>
      </x:c>
      <x:c r="W74" s="9" t="str">
        <x:v>-0.09257006410860477</x:v>
      </x:c>
      <x:c r="X74" s="9" t="str">
        <x:v>-1.0099182252411822</x:v>
      </x:c>
      <x:c r="Y74" s="9" t="str">
        <x:v>-3.0548121155839576</x:v>
      </x:c>
      <x:c r="Z74" s="9" t="str">
        <x:v>0.8439781433036763</x:v>
      </x:c>
      <x:c r="AA74" s="9" t="str">
        <x:v>5.1459339054497555</x:v>
      </x:c>
      <x:c r="AB74" s="9" t="str">
        <x:v>1.185429936598104</x:v>
      </x:c>
      <x:c r="AC74" s="9" t="str">
        <x:v>0.9052200797576773</x:v>
      </x:c>
    </x:row>
    <x:row r="75" ht="18" customHeight="1">
      <x:c r="A75" s="6" t="str">
        <x:v>Single factor</x:v>
      </x:c>
      <x:c r="B75" s="6" t="str">
        <x:v>Retest behavior</x:v>
      </x:c>
      <x:c r="C75" s="6" t="str">
        <x:v>Tolerance-only shallow touch</x:v>
      </x:c>
      <x:c r="D75" s="6" t="str"/>
      <x:c r="E75" s="6" t="str"/>
      <x:c r="F75" s="6" t="str">
        <x:v>All</x:v>
      </x:c>
      <x:c r="G75" s="6" t="str">
        <x:v>ADEQUATE N</x:v>
      </x:c>
      <x:c r="H75" s="8" t="str">
        <x:v>172</x:v>
      </x:c>
      <x:c r="I75" s="10" t="str">
        <x:v>24.397163120567377</x:v>
      </x:c>
      <x:c r="J75" s="8" t="str">
        <x:v>71</x:v>
      </x:c>
      <x:c r="K75" s="8" t="str">
        <x:v>101</x:v>
      </x:c>
      <x:c r="L75" s="8" t="str">
        <x:v>0</x:v>
      </x:c>
      <x:c r="M75" s="10" t="str">
        <x:v>41.27906976744186</x:v>
      </x:c>
      <x:c r="N75" s="9" t="str">
        <x:v>-0.0690232501658378</x:v>
      </x:c>
      <x:c r="O75" s="9" t="str">
        <x:v>-1.0</x:v>
      </x:c>
      <x:c r="P75" s="9" t="str">
        <x:v>-11.871999028524101</x:v>
      </x:c>
      <x:c r="Q75" s="9" t="str">
        <x:v>0.8693930865964697</x:v>
      </x:c>
      <x:c r="R75" s="9" t="str">
        <x:v>17.594401566683164</x:v>
      </x:c>
      <x:c r="S75" s="8" t="str">
        <x:v>68</x:v>
      </x:c>
      <x:c r="T75" s="8" t="str">
        <x:v>104</x:v>
      </x:c>
      <x:c r="U75" s="8" t="str">
        <x:v>0</x:v>
      </x:c>
      <x:c r="V75" s="10" t="str">
        <x:v>39.53488372093023</x:v>
      </x:c>
      <x:c r="W75" s="9" t="str">
        <x:v>-0.10149149983165649</x:v>
      </x:c>
      <x:c r="X75" s="9" t="str">
        <x:v>-1.0066466441451722</x:v>
      </x:c>
      <x:c r="Y75" s="9" t="str">
        <x:v>-17.456537971044916</x:v>
      </x:c>
      <x:c r="Z75" s="9" t="str">
        <x:v>0.8152981805814826</x:v>
      </x:c>
      <x:c r="AA75" s="9" t="str">
        <x:v>22.55248550933282</x:v>
      </x:c>
      <x:c r="AB75" s="9" t="str">
        <x:v>0.9813848991491885</x:v>
      </x:c>
      <x:c r="AC75" s="9" t="str">
        <x:v>0.8882598609890944</x:v>
      </x:c>
    </x:row>
    <x:row r="76" ht="18" customHeight="1">
      <x:c r="A76" s="6" t="str">
        <x:v>Single factor direction slice</x:v>
      </x:c>
      <x:c r="B76" s="6" t="str">
        <x:v>Retest behavior</x:v>
      </x:c>
      <x:c r="C76" s="6" t="str">
        <x:v>Tolerance-only shallow touch</x:v>
      </x:c>
      <x:c r="D76" s="6" t="str"/>
      <x:c r="E76" s="6" t="str"/>
      <x:c r="F76" s="6" t="str">
        <x:v>Long</x:v>
      </x:c>
      <x:c r="G76" s="6" t="str">
        <x:v>ADEQUATE N</x:v>
      </x:c>
      <x:c r="H76" s="8" t="str">
        <x:v>84</x:v>
      </x:c>
      <x:c r="I76" s="10" t="str">
        <x:v>11.914893617021276</x:v>
      </x:c>
      <x:c r="J76" s="8" t="str">
        <x:v>39</x:v>
      </x:c>
      <x:c r="K76" s="8" t="str">
        <x:v>45</x:v>
      </x:c>
      <x:c r="L76" s="8" t="str">
        <x:v>0</x:v>
      </x:c>
      <x:c r="M76" s="10" t="str">
        <x:v>46.42857142857143</x:v>
      </x:c>
      <x:c r="N76" s="9" t="str">
        <x:v>-0.0832799100830494</x:v>
      </x:c>
      <x:c r="O76" s="9" t="str">
        <x:v>-0.46705628325642157</x:v>
      </x:c>
      <x:c r="P76" s="9" t="str">
        <x:v>-6.995512446976149</x:v>
      </x:c>
      <x:c r="Q76" s="9" t="str">
        <x:v>0.8350690678832203</x:v>
      </x:c>
      <x:c r="R76" s="9" t="str">
        <x:v>13.540903528355582</x:v>
      </x:c>
      <x:c r="S76" s="8" t="str">
        <x:v>38</x:v>
      </x:c>
      <x:c r="T76" s="8" t="str">
        <x:v>46</x:v>
      </x:c>
      <x:c r="U76" s="8" t="str">
        <x:v>0</x:v>
      </x:c>
      <x:c r="V76" s="10" t="str">
        <x:v>45.23809523809524</x:v>
      </x:c>
      <x:c r="W76" s="9" t="str">
        <x:v>-0.1176792825681806</x:v>
      </x:c>
      <x:c r="X76" s="9" t="str">
        <x:v>-0.4889213236220139</x:v>
      </x:c>
      <x:c r="Y76" s="9" t="str">
        <x:v>-9.88505973572717</x:v>
      </x:c>
      <x:c r="Z76" s="9" t="str">
        <x:v>0.7764895980527876</x:v>
      </x:c>
      <x:c r="AA76" s="9" t="str">
        <x:v>15.487131790995786</x:v>
      </x:c>
      <x:c r="AB76" s="9" t="str">
        <x:v>0.8592335609284993</x:v>
      </x:c>
      <x:c r="AC76" s="9" t="str">
        <x:v>0.8616826509486689</x:v>
      </x:c>
    </x:row>
    <x:row r="77" ht="18" customHeight="1">
      <x:c r="A77" s="6" t="str">
        <x:v>Single factor direction slice</x:v>
      </x:c>
      <x:c r="B77" s="6" t="str">
        <x:v>Retest behavior</x:v>
      </x:c>
      <x:c r="C77" s="6" t="str">
        <x:v>Tolerance-only shallow touch</x:v>
      </x:c>
      <x:c r="D77" s="6" t="str"/>
      <x:c r="E77" s="6" t="str"/>
      <x:c r="F77" s="6" t="str">
        <x:v>Short</x:v>
      </x:c>
      <x:c r="G77" s="6" t="str">
        <x:v>ADEQUATE N</x:v>
      </x:c>
      <x:c r="H77" s="8" t="str">
        <x:v>88</x:v>
      </x:c>
      <x:c r="I77" s="10" t="str">
        <x:v>12.4822695035461</x:v>
      </x:c>
      <x:c r="J77" s="8" t="str">
        <x:v>32</x:v>
      </x:c>
      <x:c r="K77" s="8" t="str">
        <x:v>56</x:v>
      </x:c>
      <x:c r="L77" s="8" t="str">
        <x:v>0</x:v>
      </x:c>
      <x:c r="M77" s="10" t="str">
        <x:v>36.36363636363637</x:v>
      </x:c>
      <x:c r="N77" s="9" t="str">
        <x:v>-0.0554146202448631</x:v>
      </x:c>
      <x:c r="O77" s="9" t="str">
        <x:v>-1.0</x:v>
      </x:c>
      <x:c r="P77" s="9" t="str">
        <x:v>-4.876486581547953</x:v>
      </x:c>
      <x:c r="Q77" s="9" t="str">
        <x:v>0.8994205035110193</x:v>
      </x:c>
      <x:c r="R77" s="9" t="str">
        <x:v>15.615239292157895</x:v>
      </x:c>
      <x:c r="S77" s="8" t="str">
        <x:v>30</x:v>
      </x:c>
      <x:c r="T77" s="8" t="str">
        <x:v>58</x:v>
      </x:c>
      <x:c r="U77" s="8" t="str">
        <x:v>0</x:v>
      </x:c>
      <x:c r="V77" s="10" t="str">
        <x:v>34.090909090909086</x:v>
      </x:c>
      <x:c r="W77" s="9" t="str">
        <x:v>-0.08603952540133804</x:v>
      </x:c>
      <x:c r="X77" s="9" t="str">
        <x:v>-1.0078536273269558</x:v>
      </x:c>
      <x:c r="Y77" s="9" t="str">
        <x:v>-7.571478235317747</x:v>
      </x:c>
      <x:c r="Z77" s="9" t="str">
        <x:v>0.8494304915331945</x:v>
      </x:c>
      <x:c r="AA77" s="9" t="str">
        <x:v>16.77240665539872</x:v>
      </x:c>
      <x:c r="AB77" s="9" t="str">
        <x:v>1.0979839038143917</x:v>
      </x:c>
      <x:c r="AC77" s="9" t="str">
        <x:v>0.9136290160276824</x:v>
      </x:c>
    </x:row>
    <x:row r="78" ht="18" customHeight="1">
      <x:c r="A78" s="6" t="str">
        <x:v>Single factor</x:v>
      </x:c>
      <x:c r="B78" s="6" t="str">
        <x:v>Volatility state</x:v>
      </x:c>
      <x:c r="C78" s="6" t="str">
        <x:v>HIGH</x:v>
      </x:c>
      <x:c r="D78" s="6" t="str"/>
      <x:c r="E78" s="6" t="str"/>
      <x:c r="F78" s="6" t="str">
        <x:v>All</x:v>
      </x:c>
      <x:c r="G78" s="6" t="str">
        <x:v>ADEQUATE N</x:v>
      </x:c>
      <x:c r="H78" s="8" t="str">
        <x:v>346</x:v>
      </x:c>
      <x:c r="I78" s="10" t="str">
        <x:v>49.07801418439716</x:v>
      </x:c>
      <x:c r="J78" s="8" t="str">
        <x:v>145</x:v>
      </x:c>
      <x:c r="K78" s="8" t="str">
        <x:v>201</x:v>
      </x:c>
      <x:c r="L78" s="8" t="str">
        <x:v>0</x:v>
      </x:c>
      <x:c r="M78" s="10" t="str">
        <x:v>41.90751445086705</x:v>
      </x:c>
      <x:c r="N78" s="9" t="str">
        <x:v>-0.011301030637958634</x:v>
      </x:c>
      <x:c r="O78" s="9" t="str">
        <x:v>-0.7998182696432836</x:v>
      </x:c>
      <x:c r="P78" s="9" t="str">
        <x:v>-3.9101566007336874</x:v>
      </x:c>
      <x:c r="Q78" s="9" t="str">
        <x:v>0.9787040293867405</x:v>
      </x:c>
      <x:c r="R78" s="9" t="str">
        <x:v>22.196556071844224</x:v>
      </x:c>
      <x:c r="S78" s="8" t="str">
        <x:v>142</x:v>
      </x:c>
      <x:c r="T78" s="8" t="str">
        <x:v>204</x:v>
      </x:c>
      <x:c r="U78" s="8" t="str">
        <x:v>0</x:v>
      </x:c>
      <x:c r="V78" s="10" t="str">
        <x:v>41.040462427745666</x:v>
      </x:c>
      <x:c r="W78" s="9" t="str">
        <x:v>-0.03749208026062382</x:v>
      </x:c>
      <x:c r="X78" s="9" t="str">
        <x:v>-0.8260802251784012</x:v>
      </x:c>
      <x:c r="Y78" s="9" t="str">
        <x:v>-12.97225977017584</x:v>
      </x:c>
      <x:c r="Z78" s="9" t="str">
        <x:v>0.9314589740045794</x:v>
      </x:c>
      <x:c r="AA78" s="9" t="str">
        <x:v>24.190942196773285</x:v>
      </x:c>
      <x:c r="AB78" s="9" t="str">
        <x:v>1.0606756679514424</x:v>
      </x:c>
      <x:c r="AC78" s="9" t="str">
        <x:v>0.9105795428353333</x:v>
      </x:c>
    </x:row>
    <x:row r="79" ht="18" customHeight="1">
      <x:c r="A79" s="6" t="str">
        <x:v>Single factor direction slice</x:v>
      </x:c>
      <x:c r="B79" s="6" t="str">
        <x:v>Volatility state</x:v>
      </x:c>
      <x:c r="C79" s="6" t="str">
        <x:v>HIGH</x:v>
      </x:c>
      <x:c r="D79" s="6" t="str"/>
      <x:c r="E79" s="6" t="str"/>
      <x:c r="F79" s="6" t="str">
        <x:v>Long</x:v>
      </x:c>
      <x:c r="G79" s="6" t="str">
        <x:v>ADEQUATE N</x:v>
      </x:c>
      <x:c r="H79" s="8" t="str">
        <x:v>166</x:v>
      </x:c>
      <x:c r="I79" s="10" t="str">
        <x:v>23.54609929078014</x:v>
      </x:c>
      <x:c r="J79" s="8" t="str">
        <x:v>74</x:v>
      </x:c>
      <x:c r="K79" s="8" t="str">
        <x:v>92</x:v>
      </x:c>
      <x:c r="L79" s="8" t="str">
        <x:v>0</x:v>
      </x:c>
      <x:c r="M79" s="10" t="str">
        <x:v>44.57831325301205</x:v>
      </x:c>
      <x:c r="N79" s="9" t="str">
        <x:v>0.0075241480093505755</x:v>
      </x:c>
      <x:c r="O79" s="9" t="str">
        <x:v>-0.5560592550600882</x:v>
      </x:c>
      <x:c r="P79" s="9" t="str">
        <x:v>1.2490085695521955</x:v>
      </x:c>
      <x:c r="Q79" s="9" t="str">
        <x:v>1.0148495864057274</x:v>
      </x:c>
      <x:c r="R79" s="9" t="str">
        <x:v>11.841777003320454</x:v>
      </x:c>
      <x:c r="S79" s="8" t="str">
        <x:v>73</x:v>
      </x:c>
      <x:c r="T79" s="8" t="str">
        <x:v>93</x:v>
      </x:c>
      <x:c r="U79" s="8" t="str">
        <x:v>0</x:v>
      </x:c>
      <x:c r="V79" s="10" t="str">
        <x:v>43.97590361445783</x:v>
      </x:c>
      <x:c r="W79" s="9" t="str">
        <x:v>-0.01744858722017259</x:v>
      </x:c>
      <x:c r="X79" s="9" t="str">
        <x:v>-0.6058677909139423</x:v>
      </x:c>
      <x:c r="Y79" s="9" t="str">
        <x:v>-2.8964654785486497</x:v>
      </x:c>
      <x:c r="Z79" s="9" t="str">
        <x:v>0.9665108564000815</x:v>
      </x:c>
      <x:c r="AA79" s="9" t="str">
        <x:v>13.260476668417917</x:v>
      </x:c>
      <x:c r="AB79" s="9" t="str">
        <x:v>0.9994897639587995</x:v>
      </x:c>
      <x:c r="AC79" s="9" t="str">
        <x:v>0.9104538394220542</x:v>
      </x:c>
    </x:row>
    <x:row r="80" ht="18" customHeight="1">
      <x:c r="A80" s="6" t="str">
        <x:v>Single factor direction slice</x:v>
      </x:c>
      <x:c r="B80" s="6" t="str">
        <x:v>Volatility state</x:v>
      </x:c>
      <x:c r="C80" s="6" t="str">
        <x:v>HIGH</x:v>
      </x:c>
      <x:c r="D80" s="6" t="str"/>
      <x:c r="E80" s="6" t="str"/>
      <x:c r="F80" s="6" t="str">
        <x:v>Short</x:v>
      </x:c>
      <x:c r="G80" s="6" t="str">
        <x:v>ADEQUATE N</x:v>
      </x:c>
      <x:c r="H80" s="8" t="str">
        <x:v>180</x:v>
      </x:c>
      <x:c r="I80" s="10" t="str">
        <x:v>25.53191489361702</x:v>
      </x:c>
      <x:c r="J80" s="8" t="str">
        <x:v>71</x:v>
      </x:c>
      <x:c r="K80" s="8" t="str">
        <x:v>109</x:v>
      </x:c>
      <x:c r="L80" s="8" t="str">
        <x:v>0</x:v>
      </x:c>
      <x:c r="M80" s="10" t="str">
        <x:v>39.44444444444444</x:v>
      </x:c>
      <x:c r="N80" s="9" t="str">
        <x:v>-0.02866202872381044</x:v>
      </x:c>
      <x:c r="O80" s="9" t="str">
        <x:v>-1.0</x:v>
      </x:c>
      <x:c r="P80" s="9" t="str">
        <x:v>-5.159165170285879</x:v>
      </x:c>
      <x:c r="Q80" s="9" t="str">
        <x:v>0.9481488319452651</x:v>
      </x:c>
      <x:c r="R80" s="9" t="str">
        <x:v>14.010801834029504</x:v>
      </x:c>
      <x:c r="S80" s="8" t="str">
        <x:v>69</x:v>
      </x:c>
      <x:c r="T80" s="8" t="str">
        <x:v>111</x:v>
      </x:c>
      <x:c r="U80" s="8" t="str">
        <x:v>0</x:v>
      </x:c>
      <x:c r="V80" s="10" t="str">
        <x:v>38.333333333333336</x:v>
      </x:c>
      <x:c r="W80" s="9" t="str">
        <x:v>-0.05597663495348445</x:v>
      </x:c>
      <x:c r="X80" s="9" t="str">
        <x:v>-1.007106473413266</x:v>
      </x:c>
      <x:c r="Y80" s="9" t="str">
        <x:v>-10.0757942916272</x:v>
      </x:c>
      <x:c r="Z80" s="9" t="str">
        <x:v>0.9019607034048702</x:v>
      </x:c>
      <x:c r="AA80" s="9" t="str">
        <x:v>15.05871879644021</x:v>
      </x:c>
      <x:c r="AB80" s="9" t="str">
        <x:v>1.1171026683002128</x:v>
      </x:c>
      <x:c r="AC80" s="9" t="str">
        <x:v>0.9106954693164682</x:v>
      </x:c>
    </x:row>
    <x:row r="81" ht="18" customHeight="1">
      <x:c r="A81" s="6" t="str">
        <x:v>Single factor</x:v>
      </x:c>
      <x:c r="B81" s="6" t="str">
        <x:v>Volatility state</x:v>
      </x:c>
      <x:c r="C81" s="6" t="str">
        <x:v>LOW</x:v>
      </x:c>
      <x:c r="D81" s="6" t="str"/>
      <x:c r="E81" s="6" t="str"/>
      <x:c r="F81" s="6" t="str">
        <x:v>All</x:v>
      </x:c>
      <x:c r="G81" s="6" t="str">
        <x:v>ADEQUATE N</x:v>
      </x:c>
      <x:c r="H81" s="8" t="str">
        <x:v>182</x:v>
      </x:c>
      <x:c r="I81" s="10" t="str">
        <x:v>25.81560283687943</x:v>
      </x:c>
      <x:c r="J81" s="8" t="str">
        <x:v>74</x:v>
      </x:c>
      <x:c r="K81" s="8" t="str">
        <x:v>107</x:v>
      </x:c>
      <x:c r="L81" s="8" t="str">
        <x:v>1</x:v>
      </x:c>
      <x:c r="M81" s="10" t="str">
        <x:v>40.65934065934066</x:v>
      </x:c>
      <x:c r="N81" s="9" t="str">
        <x:v>-0.058497674517201136</x:v>
      </x:c>
      <x:c r="O81" s="9" t="str">
        <x:v>-0.6378176590877973</x:v>
      </x:c>
      <x:c r="P81" s="9" t="str">
        <x:v>-10.646576762130607</x:v>
      </x:c>
      <x:c r="Q81" s="9" t="str">
        <x:v>0.8880376304250774</x:v>
      </x:c>
      <x:c r="R81" s="9" t="str">
        <x:v>27.028856170458823</x:v>
      </x:c>
      <x:c r="S81" s="8" t="str">
        <x:v>73</x:v>
      </x:c>
      <x:c r="T81" s="8" t="str">
        <x:v>109</x:v>
      </x:c>
      <x:c r="U81" s="8" t="str">
        <x:v>0</x:v>
      </x:c>
      <x:c r="V81" s="10" t="str">
        <x:v>40.10989010989011</x:v>
      </x:c>
      <x:c r="W81" s="9" t="str">
        <x:v>-0.10826375455778361</x:v>
      </x:c>
      <x:c r="X81" s="9" t="str">
        <x:v>-0.6631593582018287</x:v>
      </x:c>
      <x:c r="Y81" s="9" t="str">
        <x:v>-19.704003329516617</x:v>
      </x:c>
      <x:c r="Z81" s="9" t="str">
        <x:v>0.8041644889830046</x:v>
      </x:c>
      <x:c r="AA81" s="9" t="str">
        <x:v>33.051538223053754</x:v>
      </x:c>
      <x:c r="AB81" s="9" t="str">
        <x:v>1.0303446892626245</x:v>
      </x:c>
      <x:c r="AC81" s="9" t="str">
        <x:v>0.8975964512837882</x:v>
      </x:c>
    </x:row>
    <x:row r="82" ht="18" customHeight="1">
      <x:c r="A82" s="6" t="str">
        <x:v>Single factor direction slice</x:v>
      </x:c>
      <x:c r="B82" s="6" t="str">
        <x:v>Volatility state</x:v>
      </x:c>
      <x:c r="C82" s="6" t="str">
        <x:v>LOW</x:v>
      </x:c>
      <x:c r="D82" s="6" t="str"/>
      <x:c r="E82" s="6" t="str"/>
      <x:c r="F82" s="6" t="str">
        <x:v>Long</x:v>
      </x:c>
      <x:c r="G82" s="6" t="str">
        <x:v>ADEQUATE N</x:v>
      </x:c>
      <x:c r="H82" s="8" t="str">
        <x:v>91</x:v>
      </x:c>
      <x:c r="I82" s="10" t="str">
        <x:v>12.907801418439716</x:v>
      </x:c>
      <x:c r="J82" s="8" t="str">
        <x:v>40</x:v>
      </x:c>
      <x:c r="K82" s="8" t="str">
        <x:v>50</x:v>
      </x:c>
      <x:c r="L82" s="8" t="str">
        <x:v>1</x:v>
      </x:c>
      <x:c r="M82" s="10" t="str">
        <x:v>43.956043956043956</x:v>
      </x:c>
      <x:c r="N82" s="9" t="str">
        <x:v>-0.04933300635616732</x:v>
      </x:c>
      <x:c r="O82" s="9" t="str">
        <x:v>-0.42131581739495116</x:v>
      </x:c>
      <x:c r="P82" s="9" t="str">
        <x:v>-4.489303578411226</x:v>
      </x:c>
      <x:c r="Q82" s="9" t="str">
        <x:v>0.8995309426851088</x:v>
      </x:c>
      <x:c r="R82" s="9" t="str">
        <x:v>13.889161477500076</x:v>
      </x:c>
      <x:c r="S82" s="8" t="str">
        <x:v>39</x:v>
      </x:c>
      <x:c r="T82" s="8" t="str">
        <x:v>52</x:v>
      </x:c>
      <x:c r="U82" s="8" t="str">
        <x:v>0</x:v>
      </x:c>
      <x:c r="V82" s="10" t="str">
        <x:v>42.857142857142854</x:v>
      </x:c>
      <x:c r="W82" s="9" t="str">
        <x:v>-0.09852666766917997</x:v>
      </x:c>
      <x:c r="X82" s="9" t="str">
        <x:v>-0.4407097201004336</x:v>
      </x:c>
      <x:c r="Y82" s="9" t="str">
        <x:v>-8.965926757895378</x:v>
      </x:c>
      <x:c r="Z82" s="9" t="str">
        <x:v>0.8109199040748339</x:v>
      </x:c>
      <x:c r="AA82" s="9" t="str">
        <x:v>16.925388095527364</x:v>
      </x:c>
      <x:c r="AB82" s="9" t="str">
        <x:v>0.939398798410277</x:v>
      </x:c>
      <x:c r="AC82" s="9" t="str">
        <x:v>0.8820198458594641</x:v>
      </x:c>
    </x:row>
    <x:row r="83" ht="18" customHeight="1">
      <x:c r="A83" s="6" t="str">
        <x:v>Single factor direction slice</x:v>
      </x:c>
      <x:c r="B83" s="6" t="str">
        <x:v>Volatility state</x:v>
      </x:c>
      <x:c r="C83" s="6" t="str">
        <x:v>LOW</x:v>
      </x:c>
      <x:c r="D83" s="6" t="str"/>
      <x:c r="E83" s="6" t="str"/>
      <x:c r="F83" s="6" t="str">
        <x:v>Short</x:v>
      </x:c>
      <x:c r="G83" s="6" t="str">
        <x:v>ADEQUATE N</x:v>
      </x:c>
      <x:c r="H83" s="8" t="str">
        <x:v>91</x:v>
      </x:c>
      <x:c r="I83" s="10" t="str">
        <x:v>12.907801418439716</x:v>
      </x:c>
      <x:c r="J83" s="8" t="str">
        <x:v>34</x:v>
      </x:c>
      <x:c r="K83" s="8" t="str">
        <x:v>57</x:v>
      </x:c>
      <x:c r="L83" s="8" t="str">
        <x:v>0</x:v>
      </x:c>
      <x:c r="M83" s="10" t="str">
        <x:v>37.362637362637365</x:v>
      </x:c>
      <x:c r="N83" s="9" t="str">
        <x:v>-0.06766234267823495</x:v>
      </x:c>
      <x:c r="O83" s="9" t="str">
        <x:v>-1.0</x:v>
      </x:c>
      <x:c r="P83" s="9" t="str">
        <x:v>-6.157273183719381</x:v>
      </x:c>
      <x:c r="Q83" s="9" t="str">
        <x:v>0.8778493929242192</x:v>
      </x:c>
      <x:c r="R83" s="9" t="str">
        <x:v>14.547099994113275</x:v>
      </x:c>
      <x:c r="S83" s="8" t="str">
        <x:v>34</x:v>
      </x:c>
      <x:c r="T83" s="8" t="str">
        <x:v>57</x:v>
      </x:c>
      <x:c r="U83" s="8" t="str">
        <x:v>0</x:v>
      </x:c>
      <x:c r="V83" s="10" t="str">
        <x:v>37.362637362637365</x:v>
      </x:c>
      <x:c r="W83" s="9" t="str">
        <x:v>-0.11800084144638719</x:v>
      </x:c>
      <x:c r="X83" s="9" t="str">
        <x:v>-1.012242882857713</x:v>
      </x:c>
      <x:c r="Y83" s="9" t="str">
        <x:v>-10.738076571621233</x:v>
      </x:c>
      <x:c r="Z83" s="9" t="str">
        <x:v>0.7981427879923687</x:v>
      </x:c>
      <x:c r="AA83" s="9" t="str">
        <x:v>18.434199714612898</x:v>
      </x:c>
      <x:c r="AB83" s="9" t="str">
        <x:v>1.1212905801149717</x:v>
      </x:c>
      <x:c r="AC83" s="9" t="str">
        <x:v>0.9131730567081121</x:v>
      </x:c>
    </x:row>
    <x:row r="84" ht="18" customHeight="1">
      <x:c r="A84" s="6" t="str">
        <x:v>Single factor</x:v>
      </x:c>
      <x:c r="B84" s="6" t="str">
        <x:v>Volatility state</x:v>
      </x:c>
      <x:c r="C84" s="6" t="str">
        <x:v>MID</x:v>
      </x:c>
      <x:c r="D84" s="6" t="str"/>
      <x:c r="E84" s="6" t="str"/>
      <x:c r="F84" s="6" t="str">
        <x:v>All</x:v>
      </x:c>
      <x:c r="G84" s="6" t="str">
        <x:v>ADEQUATE N</x:v>
      </x:c>
      <x:c r="H84" s="8" t="str">
        <x:v>177</x:v>
      </x:c>
      <x:c r="I84" s="10" t="str">
        <x:v>25.106382978723403</x:v>
      </x:c>
      <x:c r="J84" s="8" t="str">
        <x:v>70</x:v>
      </x:c>
      <x:c r="K84" s="8" t="str">
        <x:v>107</x:v>
      </x:c>
      <x:c r="L84" s="8" t="str">
        <x:v>0</x:v>
      </x:c>
      <x:c r="M84" s="10" t="str">
        <x:v>39.548022598870055</x:v>
      </x:c>
      <x:c r="N84" s="9" t="str">
        <x:v>-0.06250767230127537</x:v>
      </x:c>
      <x:c r="O84" s="9" t="str">
        <x:v>-0.46219964522587814</x:v>
      </x:c>
      <x:c r="P84" s="9" t="str">
        <x:v>-11.06385799732574</x:v>
      </x:c>
      <x:c r="Q84" s="9" t="str">
        <x:v>0.8762917836708732</x:v>
      </x:c>
      <x:c r="R84" s="9" t="str">
        <x:v>18.2644515948091</x:v>
      </x:c>
      <x:c r="S84" s="8" t="str">
        <x:v>69</x:v>
      </x:c>
      <x:c r="T84" s="8" t="str">
        <x:v>108</x:v>
      </x:c>
      <x:c r="U84" s="8" t="str">
        <x:v>0</x:v>
      </x:c>
      <x:c r="V84" s="10" t="str">
        <x:v>38.983050847457626</x:v>
      </x:c>
      <x:c r="W84" s="9" t="str">
        <x:v>-0.09250171160692269</x:v>
      </x:c>
      <x:c r="X84" s="9" t="str">
        <x:v>-0.48657017197415187</x:v>
      </x:c>
      <x:c r="Y84" s="9" t="str">
        <x:v>-16.372802954425318</x:v>
      </x:c>
      <x:c r="Z84" s="9" t="str">
        <x:v>0.8233316460452934</x:v>
      </x:c>
      <x:c r="AA84" s="9" t="str">
        <x:v>20.74564767228946</x:v>
      </x:c>
      <x:c r="AB84" s="9" t="str">
        <x:v>0.9266784567120364</x:v>
      </x:c>
      <x:c r="AC84" s="9" t="str">
        <x:v>0.8828917697350643</x:v>
      </x:c>
    </x:row>
    <x:row r="85" ht="18" customHeight="1">
      <x:c r="A85" s="6" t="str">
        <x:v>Single factor direction slice</x:v>
      </x:c>
      <x:c r="B85" s="6" t="str">
        <x:v>Volatility state</x:v>
      </x:c>
      <x:c r="C85" s="6" t="str">
        <x:v>MID</x:v>
      </x:c>
      <x:c r="D85" s="6" t="str"/>
      <x:c r="E85" s="6" t="str"/>
      <x:c r="F85" s="6" t="str">
        <x:v>Long</x:v>
      </x:c>
      <x:c r="G85" s="6" t="str">
        <x:v>ADEQUATE N</x:v>
      </x:c>
      <x:c r="H85" s="8" t="str">
        <x:v>105</x:v>
      </x:c>
      <x:c r="I85" s="10" t="str">
        <x:v>14.893617021276595</x:v>
      </x:c>
      <x:c r="J85" s="8" t="str">
        <x:v>41</x:v>
      </x:c>
      <x:c r="K85" s="8" t="str">
        <x:v>64</x:v>
      </x:c>
      <x:c r="L85" s="8" t="str">
        <x:v>0</x:v>
      </x:c>
      <x:c r="M85" s="10" t="str">
        <x:v>39.04761904761905</x:v>
      </x:c>
      <x:c r="N85" s="9" t="str">
        <x:v>-0.12801908037856757</x:v>
      </x:c>
      <x:c r="O85" s="9" t="str">
        <x:v>-0.4724893195420648</x:v>
      </x:c>
      <x:c r="P85" s="9" t="str">
        <x:v>-13.442003439749595</x:v>
      </x:c>
      <x:c r="Q85" s="9" t="str">
        <x:v>0.7451405700626554</x:v>
      </x:c>
      <x:c r="R85" s="9" t="str">
        <x:v>16.08320377921237</x:v>
      </x:c>
      <x:c r="S85" s="8" t="str">
        <x:v>41</x:v>
      </x:c>
      <x:c r="T85" s="8" t="str">
        <x:v>64</x:v>
      </x:c>
      <x:c r="U85" s="8" t="str">
        <x:v>0</x:v>
      </x:c>
      <x:c r="V85" s="10" t="str">
        <x:v>39.04761904761905</x:v>
      </x:c>
      <x:c r="W85" s="9" t="str">
        <x:v>-0.16003196469904962</x:v>
      </x:c>
      <x:c r="X85" s="9" t="str">
        <x:v>-0.49989370007550304</x:v>
      </x:c>
      <x:c r="Y85" s="9" t="str">
        <x:v>-16.80335629340021</x:v>
      </x:c>
      <x:c r="Z85" s="9" t="str">
        <x:v>0.693598200426687</x:v>
      </x:c>
      <x:c r="AA85" s="9" t="str">
        <x:v>18.667346467152502</x:v>
      </x:c>
      <x:c r="AB85" s="9" t="str">
        <x:v>0.8706914442737741</x:v>
      </x:c>
      <x:c r="AC85" s="9" t="str">
        <x:v>0.9287232814236699</x:v>
      </x:c>
    </x:row>
    <x:row r="86" ht="18" customHeight="1">
      <x:c r="A86" s="6" t="str">
        <x:v>Single factor direction slice</x:v>
      </x:c>
      <x:c r="B86" s="6" t="str">
        <x:v>Volatility state</x:v>
      </x:c>
      <x:c r="C86" s="6" t="str">
        <x:v>MID</x:v>
      </x:c>
      <x:c r="D86" s="6" t="str"/>
      <x:c r="E86" s="6" t="str"/>
      <x:c r="F86" s="6" t="str">
        <x:v>Short</x:v>
      </x:c>
      <x:c r="G86" s="6" t="str">
        <x:v>ADEQUATE N</x:v>
      </x:c>
      <x:c r="H86" s="8" t="str">
        <x:v>72</x:v>
      </x:c>
      <x:c r="I86" s="10" t="str">
        <x:v>10.212765957446809</x:v>
      </x:c>
      <x:c r="J86" s="8" t="str">
        <x:v>29</x:v>
      </x:c>
      <x:c r="K86" s="8" t="str">
        <x:v>43</x:v>
      </x:c>
      <x:c r="L86" s="8" t="str">
        <x:v>0</x:v>
      </x:c>
      <x:c r="M86" s="10" t="str">
        <x:v>40.27777777777778</x:v>
      </x:c>
      <x:c r="N86" s="9" t="str">
        <x:v>0.03302979781144243</x:v>
      </x:c>
      <x:c r="O86" s="9" t="str">
        <x:v>-0.44815660181107037</x:v>
      </x:c>
      <x:c r="P86" s="9" t="str">
        <x:v>2.378145442423855</x:v>
      </x:c>
      <x:c r="Q86" s="9" t="str">
        <x:v>1.064813207443645</x:v>
      </x:c>
      <x:c r="R86" s="9" t="str">
        <x:v>10.753907286821146</x:v>
      </x:c>
      <x:c r="S86" s="8" t="str">
        <x:v>28</x:v>
      </x:c>
      <x:c r="T86" s="8" t="str">
        <x:v>44</x:v>
      </x:c>
      <x:c r="U86" s="8" t="str">
        <x:v>0</x:v>
      </x:c>
      <x:c r="V86" s="10" t="str">
        <x:v>38.88888888888889</x:v>
      </x:c>
      <x:c r="W86" s="9" t="str">
        <x:v>0.005979907485762369</x:v>
      </x:c>
      <x:c r="X86" s="9" t="str">
        <x:v>-0.46920756461724333</x:v>
      </x:c>
      <x:c r="Y86" s="9" t="str">
        <x:v>0.43055333897489056</x:v>
      </x:c>
      <x:c r="Z86" s="9" t="str">
        <x:v>1.0113799319052026</x:v>
      </x:c>
      <x:c r="AA86" s="9" t="str">
        <x:v>11.638901791193247</x:v>
      </x:c>
      <x:c r="AB86" s="9" t="str">
        <x:v>1.0083261831845023</x:v>
      </x:c>
      <x:c r="AC86" s="9" t="str">
        <x:v>0.8160541485225146</x:v>
      </x:c>
    </x:row>
    <x:row r="87" ht="18" customHeight="1">
      <x:c r="A87" s="6" t="str">
        <x:v>Three-dimension structural family</x:v>
      </x:c>
      <x:c r="B87" s="6" t="str">
        <x:v>Direction × Setup/BOS timing × Retest behavior</x:v>
      </x:c>
      <x:c r="C87" s="6" t="str">
        <x:v>Long × Delayed BOS × Exact BOS touch</x:v>
      </x:c>
      <x:c r="D87" s="6" t="str">
        <x:v>F::Long::Delayed BOS::Exact BOS touch</x:v>
      </x:c>
      <x:c r="E87" s="6" t="str">
        <x:v>Long × Delayed BOS × Exact BOS touch</x:v>
      </x:c>
      <x:c r="F87" s="6" t="str">
        <x:v>Long</x:v>
      </x:c>
      <x:c r="G87" s="6" t="str">
        <x:v>SMALL SAMPLE</x:v>
      </x:c>
      <x:c r="H87" s="8" t="str">
        <x:v>4</x:v>
      </x:c>
      <x:c r="I87" s="10" t="str">
        <x:v>0.5673758865248227</x:v>
      </x:c>
      <x:c r="J87" s="8" t="str">
        <x:v>3</x:v>
      </x:c>
      <x:c r="K87" s="8" t="str">
        <x:v>1</x:v>
      </x:c>
      <x:c r="L87" s="8" t="str">
        <x:v>0</x:v>
      </x:c>
      <x:c r="M87" s="10" t="str">
        <x:v>75.0</x:v>
      </x:c>
      <x:c r="N87" s="9" t="str">
        <x:v>0.5241497657792499</x:v>
      </x:c>
      <x:c r="O87" s="9" t="str">
        <x:v>0.5482995315584999</x:v>
      </x:c>
      <x:c r="P87" s="9" t="str">
        <x:v>2.0965990631169995</x:v>
      </x:c>
      <x:c r="Q87" s="9" t="str">
        <x:v>3.096599063117</x:v>
      </x:c>
      <x:c r="R87" s="9" t="str">
        <x:v>1.0</x:v>
      </x:c>
      <x:c r="S87" s="8" t="str">
        <x:v>2</x:v>
      </x:c>
      <x:c r="T87" s="8" t="str">
        <x:v>2</x:v>
      </x:c>
      <x:c r="U87" s="8" t="str">
        <x:v>0</x:v>
      </x:c>
      <x:c r="V87" s="10" t="str">
        <x:v>50.0</x:v>
      </x:c>
      <x:c r="W87" s="9" t="str">
        <x:v>0.4677659778030912</x:v>
      </x:c>
      <x:c r="X87" s="9" t="str">
        <x:v>0.47673433792567643</x:v>
      </x:c>
      <x:c r="Y87" s="9" t="str">
        <x:v>1.8710639112123648</x:v>
      </x:c>
      <x:c r="Z87" s="9" t="str">
        <x:v>2.7779552976579738</x:v>
      </x:c>
      <x:c r="AA87" s="9" t="str">
        <x:v>1.0523683658846987</x:v>
      </x:c>
      <x:c r="AB87" s="9" t="str">
        <x:v>1.3301684191281526</x:v>
      </x:c>
      <x:c r="AC87" s="9" t="str">
        <x:v>0.7771783808675695</x:v>
      </x:c>
    </x:row>
    <x:row r="88" ht="18" customHeight="1">
      <x:c r="A88" s="6" t="str">
        <x:v>Three-dimension structural family</x:v>
      </x:c>
      <x:c r="B88" s="6" t="str">
        <x:v>Direction × Setup/BOS timing × Retest behavior</x:v>
      </x:c>
      <x:c r="C88" s="6" t="str">
        <x:v>Long × Delayed BOS × Penetration + same-bar reclaim</x:v>
      </x:c>
      <x:c r="D88" s="6" t="str">
        <x:v>F::Long::Delayed BOS::Penetration + same-bar reclaim</x:v>
      </x:c>
      <x:c r="E88" s="6" t="str">
        <x:v>Long × Delayed BOS × Penetration + same-bar reclaim</x:v>
      </x:c>
      <x:c r="F88" s="6" t="str">
        <x:v>Long</x:v>
      </x:c>
      <x:c r="G88" s="6" t="str">
        <x:v>SMALL SAMPLE</x:v>
      </x:c>
      <x:c r="H88" s="8" t="str">
        <x:v>12</x:v>
      </x:c>
      <x:c r="I88" s="10" t="str">
        <x:v>1.702127659574468</x:v>
      </x:c>
      <x:c r="J88" s="8" t="str">
        <x:v>5</x:v>
      </x:c>
      <x:c r="K88" s="8" t="str">
        <x:v>7</x:v>
      </x:c>
      <x:c r="L88" s="8" t="str">
        <x:v>0</x:v>
      </x:c>
      <x:c r="M88" s="10" t="str">
        <x:v>41.66666666666667</x:v>
      </x:c>
      <x:c r="N88" s="9" t="str">
        <x:v>0.16331617838797674</x:v>
      </x:c>
      <x:c r="O88" s="9" t="str">
        <x:v>-1.0</x:v>
      </x:c>
      <x:c r="P88" s="9" t="str">
        <x:v>1.9597941406557209</x:v>
      </x:c>
      <x:c r="Q88" s="9" t="str">
        <x:v>1.2799705915222457</x:v>
      </x:c>
      <x:c r="R88" s="9" t="str">
        <x:v>3.0</x:v>
      </x:c>
      <x:c r="S88" s="8" t="str">
        <x:v>5</x:v>
      </x:c>
      <x:c r="T88" s="8" t="str">
        <x:v>7</x:v>
      </x:c>
      <x:c r="U88" s="8" t="str">
        <x:v>0</x:v>
      </x:c>
      <x:c r="V88" s="10" t="str">
        <x:v>41.66666666666667</x:v>
      </x:c>
      <x:c r="W88" s="9" t="str">
        <x:v>0.12752119653620808</x:v>
      </x:c>
      <x:c r="X88" s="9" t="str">
        <x:v>-1.0163065083115446</x:v>
      </x:c>
      <x:c r="Y88" s="9" t="str">
        <x:v>1.530254358434497</x:v>
      </x:c>
      <x:c r="Z88" s="9" t="str">
        <x:v>1.2104449120187222</x:v>
      </x:c>
      <x:c r="AA88" s="9" t="str">
        <x:v>3.250398020165944</x:v>
      </x:c>
      <x:c r="AB88" s="9" t="str">
        <x:v>1.1490178473210533</x:v>
      </x:c>
      <x:c r="AC88" s="9" t="str">
        <x:v>0.885929760480458</x:v>
      </x:c>
    </x:row>
    <x:row r="89" ht="18" customHeight="1">
      <x:c r="A89" s="6" t="str">
        <x:v>Three-dimension structural family</x:v>
      </x:c>
      <x:c r="B89" s="6" t="str">
        <x:v>Direction × Setup/BOS timing × Retest behavior</x:v>
      </x:c>
      <x:c r="C89" s="6" t="str">
        <x:v>Long × Delayed BOS × Tolerance-only shallow touch</x:v>
      </x:c>
      <x:c r="D89" s="6" t="str">
        <x:v>F::Long::Delayed BOS::Tolerance-only shallow touch</x:v>
      </x:c>
      <x:c r="E89" s="6" t="str">
        <x:v>Long × Delayed BOS × Tolerance-only shallow touch</x:v>
      </x:c>
      <x:c r="F89" s="6" t="str">
        <x:v>Long</x:v>
      </x:c>
      <x:c r="G89" s="6" t="str">
        <x:v>SMALL SAMPLE</x:v>
      </x:c>
      <x:c r="H89" s="8" t="str">
        <x:v>4</x:v>
      </x:c>
      <x:c r="I89" s="10" t="str">
        <x:v>0.5673758865248227</x:v>
      </x:c>
      <x:c r="J89" s="8" t="str">
        <x:v>2</x:v>
      </x:c>
      <x:c r="K89" s="8" t="str">
        <x:v>2</x:v>
      </x:c>
      <x:c r="L89" s="8" t="str">
        <x:v>0</x:v>
      </x:c>
      <x:c r="M89" s="10" t="str">
        <x:v>50.0</x:v>
      </x:c>
      <x:c r="N89" s="9" t="str">
        <x:v>-0.22738692909496513</x:v>
      </x:c>
      <x:c r="O89" s="9" t="str">
        <x:v>-0.29254816045778526</x:v>
      </x:c>
      <x:c r="P89" s="9" t="str">
        <x:v>-0.9095477163798605</x:v>
      </x:c>
      <x:c r="Q89" s="9" t="str">
        <x:v>0.5452261418100697</x:v>
      </x:c>
      <x:c r="R89" s="9" t="str">
        <x:v>1.0</x:v>
      </x:c>
      <x:c r="S89" s="8" t="str">
        <x:v>2</x:v>
      </x:c>
      <x:c r="T89" s="8" t="str">
        <x:v>2</x:v>
      </x:c>
      <x:c r="U89" s="8" t="str">
        <x:v>0</x:v>
      </x:c>
      <x:c r="V89" s="10" t="str">
        <x:v>50.0</x:v>
      </x:c>
      <x:c r="W89" s="9" t="str">
        <x:v>-0.261353726760236</x:v>
      </x:c>
      <x:c r="X89" s="9" t="str">
        <x:v>-0.31136668389988453</x:v>
      </x:c>
      <x:c r="Y89" s="9" t="str">
        <x:v>-1.045414907040944</x:v>
      </x:c>
      <x:c r="Z89" s="9" t="str">
        <x:v>0.5007894023891816</x:v>
      </x:c>
      <x:c r="AA89" s="9" t="str">
        <x:v>1.07760813374369</x:v>
      </x:c>
      <x:c r="AB89" s="9" t="str">
        <x:v>0.44023196381109964</x:v>
      </x:c>
      <x:c r="AC89" s="9" t="str">
        <x:v>0.7392074269269406</x:v>
      </x:c>
    </x:row>
    <x:row r="90" ht="18" customHeight="1">
      <x:c r="A90" s="6" t="str">
        <x:v>Three-dimension structural family</x:v>
      </x:c>
      <x:c r="B90" s="6" t="str">
        <x:v>Direction × Setup/BOS timing × Retest behavior</x:v>
      </x:c>
      <x:c r="C90" s="6" t="str">
        <x:v>Long × Same-bar Setup+BOS × Exact BOS touch</x:v>
      </x:c>
      <x:c r="D90" s="6" t="str">
        <x:v>F::Long::Same-bar Setup+BOS::Exact BOS touch</x:v>
      </x:c>
      <x:c r="E90" s="6" t="str">
        <x:v>Long × Same-bar Setup+BOS × Exact BOS touch</x:v>
      </x:c>
      <x:c r="F90" s="6" t="str">
        <x:v>Long</x:v>
      </x:c>
      <x:c r="G90" s="6" t="str">
        <x:v>SMALL SAMPLE</x:v>
      </x:c>
      <x:c r="H90" s="8" t="str">
        <x:v>12</x:v>
      </x:c>
      <x:c r="I90" s="10" t="str">
        <x:v>1.702127659574468</x:v>
      </x:c>
      <x:c r="J90" s="8" t="str">
        <x:v>7</x:v>
      </x:c>
      <x:c r="K90" s="8" t="str">
        <x:v>5</x:v>
      </x:c>
      <x:c r="L90" s="8" t="str">
        <x:v>0</x:v>
      </x:c>
      <x:c r="M90" s="10" t="str">
        <x:v>58.333333333333336</x:v>
      </x:c>
      <x:c r="N90" s="9" t="str">
        <x:v>0.11091971933771994</x:v>
      </x:c>
      <x:c r="O90" s="9" t="str">
        <x:v>0.25078094441714666</x:v>
      </x:c>
      <x:c r="P90" s="9" t="str">
        <x:v>1.3310366320526392</x:v>
      </x:c>
      <x:c r="Q90" s="9" t="str">
        <x:v>1.3116395848492186</x:v>
      </x:c>
      <x:c r="R90" s="9" t="str">
        <x:v>1.084291644922942</x:v>
      </x:c>
      <x:c r="S90" s="8" t="str">
        <x:v>7</x:v>
      </x:c>
      <x:c r="T90" s="8" t="str">
        <x:v>5</x:v>
      </x:c>
      <x:c r="U90" s="8" t="str">
        <x:v>0</x:v>
      </x:c>
      <x:c r="V90" s="10" t="str">
        <x:v>58.333333333333336</x:v>
      </x:c>
      <x:c r="W90" s="9" t="str">
        <x:v>0.06958776128734968</x:v>
      </x:c>
      <x:c r="X90" s="9" t="str">
        <x:v>0.20289630370695394</x:v>
      </x:c>
      <x:c r="Y90" s="9" t="str">
        <x:v>0.8350531354481963</x:v>
      </x:c>
      <x:c r="Z90" s="9" t="str">
        <x:v>1.1876288216939457</x:v>
      </x:c>
      <x:c r="AA90" s="9" t="str">
        <x:v>1.3027386880652885</x:v>
      </x:c>
      <x:c r="AB90" s="9" t="str">
        <x:v>0.9984583090189593</x:v>
      </x:c>
      <x:c r="AC90" s="9" t="str">
        <x:v>0.6895510348146293</x:v>
      </x:c>
    </x:row>
    <x:row r="91" ht="18" customHeight="1">
      <x:c r="A91" s="6" t="str">
        <x:v>Three-dimension structural family</x:v>
      </x:c>
      <x:c r="B91" s="6" t="str">
        <x:v>Direction × Setup/BOS timing × Retest behavior</x:v>
      </x:c>
      <x:c r="C91" s="6" t="str">
        <x:v>Long × Same-bar Setup+BOS × Penetration + same-bar reclaim</x:v>
      </x:c>
      <x:c r="D91" s="6" t="str">
        <x:v>F::Long::Same-bar Setup+BOS::Penetration + same-bar reclaim</x:v>
      </x:c>
      <x:c r="E91" s="6" t="str">
        <x:v>Long × Same-bar Setup+BOS × Penetration + same-bar reclaim</x:v>
      </x:c>
      <x:c r="F91" s="6" t="str">
        <x:v>Long</x:v>
      </x:c>
      <x:c r="G91" s="6" t="str">
        <x:v>ADEQUATE N</x:v>
      </x:c>
      <x:c r="H91" s="8" t="str">
        <x:v>222</x:v>
      </x:c>
      <x:c r="I91" s="10" t="str">
        <x:v>31.48936170212766</x:v>
      </x:c>
      <x:c r="J91" s="8" t="str">
        <x:v>93</x:v>
      </x:c>
      <x:c r="K91" s="8" t="str">
        <x:v>128</x:v>
      </x:c>
      <x:c r="L91" s="8" t="str">
        <x:v>1</x:v>
      </x:c>
      <x:c r="M91" s="10" t="str">
        <x:v>41.891891891891895</x:v>
      </x:c>
      <x:c r="N91" s="9" t="str">
        <x:v>-0.027671607326655762</x:v>
      </x:c>
      <x:c r="O91" s="9" t="str">
        <x:v>-0.5107645514584898</x:v>
      </x:c>
      <x:c r="P91" s="9" t="str">
        <x:v>-6.14309682651758</x:v>
      </x:c>
      <x:c r="Q91" s="9" t="str">
        <x:v>0.9437619076017433</x:v>
      </x:c>
      <x:c r="R91" s="9" t="str">
        <x:v>21.578461429055267</x:v>
      </x:c>
      <x:c r="S91" s="8" t="str">
        <x:v>93</x:v>
      </x:c>
      <x:c r="T91" s="8" t="str">
        <x:v>129</x:v>
      </x:c>
      <x:c r="U91" s="8" t="str">
        <x:v>0</x:v>
      </x:c>
      <x:c r="V91" s="10" t="str">
        <x:v>41.891891891891895</x:v>
      </x:c>
      <x:c r="W91" s="9" t="str">
        <x:v>-0.0589890695932279</x:v>
      </x:c>
      <x:c r="X91" s="9" t="str">
        <x:v>-0.5384508455502213</x:v>
      </x:c>
      <x:c r="Y91" s="9" t="str">
        <x:v>-13.095573449696595</x:v>
      </x:c>
      <x:c r="Z91" s="9" t="str">
        <x:v>0.8844147579186667</x:v>
      </x:c>
      <x:c r="AA91" s="9" t="str">
        <x:v>25.738379542569113</x:v>
      </x:c>
      <x:c r="AB91" s="9" t="str">
        <x:v>0.9655999794845114</x:v>
      </x:c>
      <x:c r="AC91" s="9" t="str">
        <x:v>0.9319172064375961</x:v>
      </x:c>
    </x:row>
    <x:row r="92" ht="18" customHeight="1">
      <x:c r="A92" s="6" t="str">
        <x:v>Three-dimension structural family</x:v>
      </x:c>
      <x:c r="B92" s="6" t="str">
        <x:v>Direction × Setup/BOS timing × Retest behavior</x:v>
      </x:c>
      <x:c r="C92" s="6" t="str">
        <x:v>Long × Same-bar Setup+BOS × Penetration without same-bar reclaim</x:v>
      </x:c>
      <x:c r="D92" s="6" t="str">
        <x:v>F::Long::Same-bar Setup+BOS::Penetration without same-bar reclaim</x:v>
      </x:c>
      <x:c r="E92" s="6" t="str">
        <x:v>Long × Same-bar Setup+BOS × Penetration without same-bar reclaim</x:v>
      </x:c>
      <x:c r="F92" s="6" t="str">
        <x:v>Long</x:v>
      </x:c>
      <x:c r="G92" s="6" t="str">
        <x:v>SMALL SAMPLE</x:v>
      </x:c>
      <x:c r="H92" s="8" t="str">
        <x:v>28</x:v>
      </x:c>
      <x:c r="I92" s="10" t="str">
        <x:v>3.971631205673759</x:v>
      </x:c>
      <x:c r="J92" s="8" t="str">
        <x:v>8</x:v>
      </x:c>
      <x:c r="K92" s="8" t="str">
        <x:v>20</x:v>
      </x:c>
      <x:c r="L92" s="8" t="str">
        <x:v>0</x:v>
      </x:c>
      <x:c r="M92" s="10" t="str">
        <x:v>28.57142857142857</x:v>
      </x:c>
      <x:c r="N92" s="9" t="str">
        <x:v>-0.3189685361050092</x:v>
      </x:c>
      <x:c r="O92" s="9" t="str">
        <x:v>-1.0</x:v>
      </x:c>
      <x:c r="P92" s="9" t="str">
        <x:v>-8.931119010940257</x:v>
      </x:c>
      <x:c r="Q92" s="9" t="str">
        <x:v>0.49304870431653136</x:v>
      </x:c>
      <x:c r="R92" s="9" t="str">
        <x:v>10.30105032187275</x:v>
      </x:c>
      <x:c r="S92" s="8" t="str">
        <x:v>8</x:v>
      </x:c>
      <x:c r="T92" s="8" t="str">
        <x:v>20</x:v>
      </x:c>
      <x:c r="U92" s="8" t="str">
        <x:v>0</x:v>
      </x:c>
      <x:c r="V92" s="10" t="str">
        <x:v>28.57142857142857</x:v>
      </x:c>
      <x:c r="W92" s="9" t="str">
        <x:v>-0.35433881248269733</x:v>
      </x:c>
      <x:c r="X92" s="9" t="str">
        <x:v>-1.0167550063188397</x:v>
      </x:c>
      <x:c r="Y92" s="9" t="str">
        <x:v>-9.921486749515525</x:v>
      </x:c>
      <x:c r="Z92" s="9" t="str">
        <x:v>0.4622634191606823</x:v>
      </x:c>
      <x:c r="AA92" s="9" t="str">
        <x:v>11.234355474361388</x:v>
      </x:c>
      <x:c r="AB92" s="9" t="str">
        <x:v>0.8997853930390705</x:v>
      </x:c>
      <x:c r="AC92" s="9" t="str">
        <x:v>0.9869157961039887</x:v>
      </x:c>
    </x:row>
    <x:row r="93" ht="18" customHeight="1">
      <x:c r="A93" s="6" t="str">
        <x:v>Three-dimension structural family</x:v>
      </x:c>
      <x:c r="B93" s="6" t="str">
        <x:v>Direction × Setup/BOS timing × Retest behavior</x:v>
      </x:c>
      <x:c r="C93" s="6" t="str">
        <x:v>Long × Same-bar Setup+BOS × Tolerance-only shallow touch</x:v>
      </x:c>
      <x:c r="D93" s="6" t="str">
        <x:v>F::Long::Same-bar Setup+BOS::Tolerance-only shallow touch</x:v>
      </x:c>
      <x:c r="E93" s="6" t="str">
        <x:v>Long × Same-bar Setup+BOS × Tolerance-only shallow touch</x:v>
      </x:c>
      <x:c r="F93" s="6" t="str">
        <x:v>Long</x:v>
      </x:c>
      <x:c r="G93" s="6" t="str">
        <x:v>ADEQUATE N</x:v>
      </x:c>
      <x:c r="H93" s="8" t="str">
        <x:v>80</x:v>
      </x:c>
      <x:c r="I93" s="10" t="str">
        <x:v>11.347517730496454</x:v>
      </x:c>
      <x:c r="J93" s="8" t="str">
        <x:v>37</x:v>
      </x:c>
      <x:c r="K93" s="8" t="str">
        <x:v>43</x:v>
      </x:c>
      <x:c r="L93" s="8" t="str">
        <x:v>0</x:v>
      </x:c>
      <x:c r="M93" s="10" t="str">
        <x:v>46.25</x:v>
      </x:c>
      <x:c r="N93" s="9" t="str">
        <x:v>-0.0760745591324536</x:v>
      </x:c>
      <x:c r="O93" s="9" t="str">
        <x:v>-0.46705628325642157</x:v>
      </x:c>
      <x:c r="P93" s="9" t="str">
        <x:v>-6.085964730596288</x:v>
      </x:c>
      <x:c r="Q93" s="9" t="str">
        <x:v>0.8494124731881622</x:v>
      </x:c>
      <x:c r="R93" s="9" t="str">
        <x:v>12.63135581197572</x:v>
      </x:c>
      <x:c r="S93" s="8" t="str">
        <x:v>36</x:v>
      </x:c>
      <x:c r="T93" s="8" t="str">
        <x:v>44</x:v>
      </x:c>
      <x:c r="U93" s="8" t="str">
        <x:v>0</x:v>
      </x:c>
      <x:c r="V93" s="10" t="str">
        <x:v>45.0</x:v>
      </x:c>
      <x:c r="W93" s="9" t="str">
        <x:v>-0.11049556035857784</x:v>
      </x:c>
      <x:c r="X93" s="9" t="str">
        <x:v>-0.4889213236220139</x:v>
      </x:c>
      <x:c r="Y93" s="9" t="str">
        <x:v>-8.839644828686227</x:v>
      </x:c>
      <x:c r="Z93" s="9" t="str">
        <x:v>0.7901929623320415</x:v>
      </x:c>
      <x:c r="AA93" s="9" t="str">
        <x:v>14.441716883954843</x:v>
      </x:c>
      <x:c r="AB93" s="9" t="str">
        <x:v>0.8801836407843691</x:v>
      </x:c>
      <x:c r="AC93" s="9" t="str">
        <x:v>0.8678064121497553</x:v>
      </x:c>
    </x:row>
    <x:row r="94" ht="18" customHeight="1">
      <x:c r="A94" s="6" t="str">
        <x:v>Three-dimension structural family</x:v>
      </x:c>
      <x:c r="B94" s="6" t="str">
        <x:v>Direction × Setup/BOS timing × Retest behavior</x:v>
      </x:c>
      <x:c r="C94" s="6" t="str">
        <x:v>Short × Delayed BOS × Exact BOS touch</x:v>
      </x:c>
      <x:c r="D94" s="6" t="str">
        <x:v>F::Short::Delayed BOS::Exact BOS touch</x:v>
      </x:c>
      <x:c r="E94" s="6" t="str">
        <x:v>Short × Delayed BOS × Exact BOS touch</x:v>
      </x:c>
      <x:c r="F94" s="6" t="str">
        <x:v>Short</x:v>
      </x:c>
      <x:c r="G94" s="6" t="str">
        <x:v>SMALL SAMPLE</x:v>
      </x:c>
      <x:c r="H94" s="8" t="str">
        <x:v>2</x:v>
      </x:c>
      <x:c r="I94" s="10" t="str">
        <x:v>0.28368794326241137</x:v>
      </x:c>
      <x:c r="J94" s="8" t="str">
        <x:v>0</x:v>
      </x:c>
      <x:c r="K94" s="8" t="str">
        <x:v>2</x:v>
      </x:c>
      <x:c r="L94" s="8" t="str">
        <x:v>0</x:v>
      </x:c>
      <x:c r="M94" s="10" t="str">
        <x:v>0.0</x:v>
      </x:c>
      <x:c r="N94" s="9" t="str">
        <x:v>-1.0</x:v>
      </x:c>
      <x:c r="O94" s="9" t="str">
        <x:v>-1.0</x:v>
      </x:c>
      <x:c r="P94" s="9" t="str">
        <x:v>-2.0</x:v>
      </x:c>
      <x:c r="Q94" s="9" t="str">
        <x:v>0.0</x:v>
      </x:c>
      <x:c r="R94" s="9" t="str">
        <x:v>2.0</x:v>
      </x:c>
      <x:c r="S94" s="8" t="str">
        <x:v>0</x:v>
      </x:c>
      <x:c r="T94" s="8" t="str">
        <x:v>2</x:v>
      </x:c>
      <x:c r="U94" s="8" t="str">
        <x:v>0</x:v>
      </x:c>
      <x:c r="V94" s="10" t="str">
        <x:v>0.0</x:v>
      </x:c>
      <x:c r="W94" s="9" t="str">
        <x:v>-1.0324406311348522</x:v>
      </x:c>
      <x:c r="X94" s="9" t="str">
        <x:v>-1.0324406311348522</x:v>
      </x:c>
      <x:c r="Y94" s="9" t="str">
        <x:v>-2.0648812622697044</x:v>
      </x:c>
      <x:c r="Z94" s="9" t="str">
        <x:v>0.0</x:v>
      </x:c>
      <x:c r="AA94" s="9" t="str">
        <x:v>2.0648812622697044</x:v>
      </x:c>
      <x:c r="AB94" s="9" t="str">
        <x:v>0.6857935953775827</x:v>
      </x:c>
      <x:c r="AC94" s="9" t="str">
        <x:v>1.2099156835894482</x:v>
      </x:c>
    </x:row>
    <x:row r="95" ht="18" customHeight="1">
      <x:c r="A95" s="6" t="str">
        <x:v>Three-dimension structural family</x:v>
      </x:c>
      <x:c r="B95" s="6" t="str">
        <x:v>Direction × Setup/BOS timing × Retest behavior</x:v>
      </x:c>
      <x:c r="C95" s="6" t="str">
        <x:v>Short × Delayed BOS × Penetration + same-bar reclaim</x:v>
      </x:c>
      <x:c r="D95" s="6" t="str">
        <x:v>F::Short::Delayed BOS::Penetration + same-bar reclaim</x:v>
      </x:c>
      <x:c r="E95" s="6" t="str">
        <x:v>Short × Delayed BOS × Penetration + same-bar reclaim</x:v>
      </x:c>
      <x:c r="F95" s="6" t="str">
        <x:v>Short</x:v>
      </x:c>
      <x:c r="G95" s="6" t="str">
        <x:v>SMALL SAMPLE</x:v>
      </x:c>
      <x:c r="H95" s="8" t="str">
        <x:v>14</x:v>
      </x:c>
      <x:c r="I95" s="10" t="str">
        <x:v>1.9858156028368794</x:v>
      </x:c>
      <x:c r="J95" s="8" t="str">
        <x:v>6</x:v>
      </x:c>
      <x:c r="K95" s="8" t="str">
        <x:v>8</x:v>
      </x:c>
      <x:c r="L95" s="8" t="str">
        <x:v>0</x:v>
      </x:c>
      <x:c r="M95" s="10" t="str">
        <x:v>42.857142857142854</x:v>
      </x:c>
      <x:c r="N95" s="9" t="str">
        <x:v>-0.09879119731073802</x:v>
      </x:c>
      <x:c r="O95" s="9" t="str">
        <x:v>-1.0</x:v>
      </x:c>
      <x:c r="P95" s="9" t="str">
        <x:v>-1.3830767623503322</x:v>
      </x:c>
      <x:c r="Q95" s="9" t="str">
        <x:v>0.8271154047062086</x:v>
      </x:c>
      <x:c r="R95" s="9" t="str">
        <x:v>4.0</x:v>
      </x:c>
      <x:c r="S95" s="8" t="str">
        <x:v>6</x:v>
      </x:c>
      <x:c r="T95" s="8" t="str">
        <x:v>8</x:v>
      </x:c>
      <x:c r="U95" s="8" t="str">
        <x:v>0</x:v>
      </x:c>
      <x:c r="V95" s="10" t="str">
        <x:v>42.857142857142854</x:v>
      </x:c>
      <x:c r="W95" s="9" t="str">
        <x:v>-0.1350185543044193</x:v>
      </x:c>
      <x:c r="X95" s="9" t="str">
        <x:v>-1.0127668772965712</x:v>
      </x:c>
      <x:c r="Y95" s="9" t="str">
        <x:v>-1.8902597602618705</x:v>
      </x:c>
      <x:c r="Z95" s="9" t="str">
        <x:v>0.7744528818742309</x:v>
      </x:c>
      <x:c r="AA95" s="9" t="str">
        <x:v>4.256052999447498</x:v>
      </x:c>
      <x:c r="AB95" s="9" t="str">
        <x:v>0.9561224280139671</x:v>
      </x:c>
      <x:c r="AC95" s="9" t="str">
        <x:v>0.865059941670892</x:v>
      </x:c>
    </x:row>
    <x:row r="96" ht="18" customHeight="1">
      <x:c r="A96" s="6" t="str">
        <x:v>Three-dimension structural family</x:v>
      </x:c>
      <x:c r="B96" s="6" t="str">
        <x:v>Direction × Setup/BOS timing × Retest behavior</x:v>
      </x:c>
      <x:c r="C96" s="6" t="str">
        <x:v>Short × Delayed BOS × Penetration without same-bar reclaim</x:v>
      </x:c>
      <x:c r="D96" s="6" t="str">
        <x:v>F::Short::Delayed BOS::Penetration without same-bar reclaim</x:v>
      </x:c>
      <x:c r="E96" s="6" t="str">
        <x:v>Short × Delayed BOS × Penetration without same-bar reclaim</x:v>
      </x:c>
      <x:c r="F96" s="6" t="str">
        <x:v>Short</x:v>
      </x:c>
      <x:c r="G96" s="6" t="str">
        <x:v>SMALL SAMPLE</x:v>
      </x:c>
      <x:c r="H96" s="8" t="str">
        <x:v>2</x:v>
      </x:c>
      <x:c r="I96" s="10" t="str">
        <x:v>0.28368794326241137</x:v>
      </x:c>
      <x:c r="J96" s="8" t="str">
        <x:v>0</x:v>
      </x:c>
      <x:c r="K96" s="8" t="str">
        <x:v>2</x:v>
      </x:c>
      <x:c r="L96" s="8" t="str">
        <x:v>0</x:v>
      </x:c>
      <x:c r="M96" s="10" t="str">
        <x:v>0.0</x:v>
      </x:c>
      <x:c r="N96" s="9" t="str">
        <x:v>-1.0</x:v>
      </x:c>
      <x:c r="O96" s="9" t="str">
        <x:v>-1.0</x:v>
      </x:c>
      <x:c r="P96" s="9" t="str">
        <x:v>-2.0</x:v>
      </x:c>
      <x:c r="Q96" s="9" t="str">
        <x:v>0.0</x:v>
      </x:c>
      <x:c r="R96" s="9" t="str">
        <x:v>2.0</x:v>
      </x:c>
      <x:c r="S96" s="8" t="str">
        <x:v>0</x:v>
      </x:c>
      <x:c r="T96" s="8" t="str">
        <x:v>2</x:v>
      </x:c>
      <x:c r="U96" s="8" t="str">
        <x:v>0</x:v>
      </x:c>
      <x:c r="V96" s="10" t="str">
        <x:v>0.0</x:v>
      </x:c>
      <x:c r="W96" s="9" t="str">
        <x:v>-1.029999538502536</x:v>
      </x:c>
      <x:c r="X96" s="9" t="str">
        <x:v>-1.029999538502536</x:v>
      </x:c>
      <x:c r="Y96" s="9" t="str">
        <x:v>-2.059999077005072</x:v>
      </x:c>
      <x:c r="Z96" s="9" t="str">
        <x:v>0.0</x:v>
      </x:c>
      <x:c r="AA96" s="9" t="str">
        <x:v>2.059999077005072</x:v>
      </x:c>
      <x:c r="AB96" s="9" t="str">
        <x:v>0.12392504867452125</x:v>
      </x:c>
      <x:c r="AC96" s="9" t="str">
        <x:v>1.141796828447802</x:v>
      </x:c>
    </x:row>
    <x:row r="97" ht="18" customHeight="1">
      <x:c r="A97" s="6" t="str">
        <x:v>Three-dimension structural family</x:v>
      </x:c>
      <x:c r="B97" s="6" t="str">
        <x:v>Direction × Setup/BOS timing × Retest behavior</x:v>
      </x:c>
      <x:c r="C97" s="6" t="str">
        <x:v>Short × Delayed BOS × Tolerance-only shallow touch</x:v>
      </x:c>
      <x:c r="D97" s="6" t="str">
        <x:v>F::Short::Delayed BOS::Tolerance-only shallow touch</x:v>
      </x:c>
      <x:c r="E97" s="6" t="str">
        <x:v>Short × Delayed BOS × Tolerance-only shallow touch</x:v>
      </x:c>
      <x:c r="F97" s="6" t="str">
        <x:v>Short</x:v>
      </x:c>
      <x:c r="G97" s="6" t="str">
        <x:v>SMALL SAMPLE</x:v>
      </x:c>
      <x:c r="H97" s="8" t="str">
        <x:v>3</x:v>
      </x:c>
      <x:c r="I97" s="10" t="str">
        <x:v>0.425531914893617</x:v>
      </x:c>
      <x:c r="J97" s="8" t="str">
        <x:v>0</x:v>
      </x:c>
      <x:c r="K97" s="8" t="str">
        <x:v>3</x:v>
      </x:c>
      <x:c r="L97" s="8" t="str">
        <x:v>0</x:v>
      </x:c>
      <x:c r="M97" s="10" t="str">
        <x:v>0.0</x:v>
      </x:c>
      <x:c r="N97" s="9" t="str">
        <x:v>-1.0</x:v>
      </x:c>
      <x:c r="O97" s="9" t="str">
        <x:v>-1.0</x:v>
      </x:c>
      <x:c r="P97" s="9" t="str">
        <x:v>-3.0</x:v>
      </x:c>
      <x:c r="Q97" s="9" t="str">
        <x:v>0.0</x:v>
      </x:c>
      <x:c r="R97" s="9" t="str">
        <x:v>3.0</x:v>
      </x:c>
      <x:c r="S97" s="8" t="str">
        <x:v>0</x:v>
      </x:c>
      <x:c r="T97" s="8" t="str">
        <x:v>3</x:v>
      </x:c>
      <x:c r="U97" s="8" t="str">
        <x:v>0</x:v>
      </x:c>
      <x:c r="V97" s="10" t="str">
        <x:v>0.0</x:v>
      </x:c>
      <x:c r="W97" s="9" t="str">
        <x:v>-1.0462490100226634</x:v>
      </x:c>
      <x:c r="X97" s="9" t="str">
        <x:v>-1.048117303987337</x:v>
      </x:c>
      <x:c r="Y97" s="9" t="str">
        <x:v>-3.1387470300679903</x:v>
      </x:c>
      <x:c r="Z97" s="9" t="str">
        <x:v>0.0</x:v>
      </x:c>
      <x:c r="AA97" s="9" t="str">
        <x:v>3.1387470300679903</x:v>
      </x:c>
      <x:c r="AB97" s="9" t="str">
        <x:v>0.8606069995905173</x:v>
      </x:c>
      <x:c r="AC97" s="9" t="str">
        <x:v>1.8809732179961554</x:v>
      </x:c>
    </x:row>
    <x:row r="98" ht="18" customHeight="1">
      <x:c r="A98" s="6" t="str">
        <x:v>Three-dimension structural family</x:v>
      </x:c>
      <x:c r="B98" s="6" t="str">
        <x:v>Direction × Setup/BOS timing × Retest behavior</x:v>
      </x:c>
      <x:c r="C98" s="6" t="str">
        <x:v>Short × Same-bar Setup+BOS × Exact BOS touch</x:v>
      </x:c>
      <x:c r="D98" s="6" t="str">
        <x:v>F::Short::Same-bar Setup+BOS::Exact BOS touch</x:v>
      </x:c>
      <x:c r="E98" s="6" t="str">
        <x:v>Short × Same-bar Setup+BOS × Exact BOS touch</x:v>
      </x:c>
      <x:c r="F98" s="6" t="str">
        <x:v>Short</x:v>
      </x:c>
      <x:c r="G98" s="6" t="str">
        <x:v>SMALL SAMPLE</x:v>
      </x:c>
      <x:c r="H98" s="8" t="str">
        <x:v>11</x:v>
      </x:c>
      <x:c r="I98" s="10" t="str">
        <x:v>1.5602836879432624</x:v>
      </x:c>
      <x:c r="J98" s="8" t="str">
        <x:v>6</x:v>
      </x:c>
      <x:c r="K98" s="8" t="str">
        <x:v>5</x:v>
      </x:c>
      <x:c r="L98" s="8" t="str">
        <x:v>0</x:v>
      </x:c>
      <x:c r="M98" s="10" t="str">
        <x:v>54.54545454545454</x:v>
      </x:c>
      <x:c r="N98" s="9" t="str">
        <x:v>0.2351059790640002</x:v>
      </x:c>
      <x:c r="O98" s="9" t="str">
        <x:v>0.26679889708335774</x:v>
      </x:c>
      <x:c r="P98" s="9" t="str">
        <x:v>2.586165769704002</x:v>
      </x:c>
      <x:c r="Q98" s="9" t="str">
        <x:v>1.6292172454327454</x:v>
      </x:c>
      <x:c r="R98" s="9" t="str">
        <x:v>2.1101317366553776</x:v>
      </x:c>
      <x:c r="S98" s="8" t="str">
        <x:v>6</x:v>
      </x:c>
      <x:c r="T98" s="8" t="str">
        <x:v>5</x:v>
      </x:c>
      <x:c r="U98" s="8" t="str">
        <x:v>0</x:v>
      </x:c>
      <x:c r="V98" s="10" t="str">
        <x:v>54.54545454545454</x:v>
      </x:c>
      <x:c r="W98" s="9" t="str">
        <x:v>0.17069710450233078</x:v>
      </x:c>
      <x:c r="X98" s="9" t="str">
        <x:v>0.18942721692919445</x:v>
      </x:c>
      <x:c r="Y98" s="9" t="str">
        <x:v>1.8776681495256384</x:v>
      </x:c>
      <x:c r="Z98" s="9" t="str">
        <x:v>1.4155914630700202</x:v>
      </x:c>
      <x:c r="AA98" s="9" t="str">
        <x:v>2.4426834842941636</x:v>
      </x:c>
      <x:c r="AB98" s="9" t="str">
        <x:v>1.1871385688621487</x:v>
      </x:c>
      <x:c r="AC98" s="9" t="str">
        <x:v>0.8036025878635307</x:v>
      </x:c>
    </x:row>
    <x:row r="99" ht="18" customHeight="1">
      <x:c r="A99" s="6" t="str">
        <x:v>Three-dimension structural family</x:v>
      </x:c>
      <x:c r="B99" s="6" t="str">
        <x:v>Direction × Setup/BOS timing × Retest behavior</x:v>
      </x:c>
      <x:c r="C99" s="6" t="str">
        <x:v>Short × Same-bar Setup+BOS × Penetration + same-bar reclaim</x:v>
      </x:c>
      <x:c r="D99" s="6" t="str">
        <x:v>F::Short::Same-bar Setup+BOS::Penetration + same-bar reclaim</x:v>
      </x:c>
      <x:c r="E99" s="6" t="str">
        <x:v>Short × Same-bar Setup+BOS × Penetration + same-bar reclaim</x:v>
      </x:c>
      <x:c r="F99" s="6" t="str">
        <x:v>Short</x:v>
      </x:c>
      <x:c r="G99" s="6" t="str">
        <x:v>ADEQUATE N</x:v>
      </x:c>
      <x:c r="H99" s="8" t="str">
        <x:v>195</x:v>
      </x:c>
      <x:c r="I99" s="10" t="str">
        <x:v>27.659574468085108</x:v>
      </x:c>
      <x:c r="J99" s="8" t="str">
        <x:v>77</x:v>
      </x:c>
      <x:c r="K99" s="8" t="str">
        <x:v>118</x:v>
      </x:c>
      <x:c r="L99" s="8" t="str">
        <x:v>0</x:v>
      </x:c>
      <x:c r="M99" s="10" t="str">
        <x:v>39.48717948717949</x:v>
      </x:c>
      <x:c r="N99" s="9" t="str">
        <x:v>-0.008102980722868821</x:v>
      </x:c>
      <x:c r="O99" s="9" t="str">
        <x:v>-0.7036688618626208</x:v>
      </x:c>
      <x:c r="P99" s="9" t="str">
        <x:v>-1.5800812409594203</x:v>
      </x:c>
      <x:c r="Q99" s="9" t="str">
        <x:v>0.9849922186500069</x:v>
      </x:c>
      <x:c r="R99" s="9" t="str">
        <x:v>15.161881225661977</x:v>
      </x:c>
      <x:c r="S99" s="8" t="str">
        <x:v>76</x:v>
      </x:c>
      <x:c r="T99" s="8" t="str">
        <x:v>119</x:v>
      </x:c>
      <x:c r="U99" s="8" t="str">
        <x:v>0</x:v>
      </x:c>
      <x:c r="V99" s="10" t="str">
        <x:v>38.97435897435898</x:v>
      </x:c>
      <x:c r="W99" s="9" t="str">
        <x:v>-0.03938232974546615</x:v>
      </x:c>
      <x:c r="X99" s="9" t="str">
        <x:v>-0.7479868071538915</x:v>
      </x:c>
      <x:c r="Y99" s="9" t="str">
        <x:v>-7.679554300365899</x:v>
      </x:c>
      <x:c r="Z99" s="9" t="str">
        <x:v>0.9295293060095574</x:v>
      </x:c>
      <x:c r="AA99" s="9" t="str">
        <x:v>18.556262916319888</x:v>
      </x:c>
      <x:c r="AB99" s="9" t="str">
        <x:v>1.087988776358701</x:v>
      </x:c>
      <x:c r="AC99" s="9" t="str">
        <x:v>0.8827585449821227</x:v>
      </x:c>
    </x:row>
    <x:row r="100" ht="18" customHeight="1">
      <x:c r="A100" s="6" t="str">
        <x:v>Three-dimension structural family</x:v>
      </x:c>
      <x:c r="B100" s="6" t="str">
        <x:v>Direction × Setup/BOS timing × Retest behavior</x:v>
      </x:c>
      <x:c r="C100" s="6" t="str">
        <x:v>Short × Same-bar Setup+BOS × Penetration without same-bar reclaim</x:v>
      </x:c>
      <x:c r="D100" s="6" t="str">
        <x:v>F::Short::Same-bar Setup+BOS::Penetration without same-bar reclaim</x:v>
      </x:c>
      <x:c r="E100" s="6" t="str">
        <x:v>Short × Same-bar Setup+BOS × Penetration without same-bar reclaim</x:v>
      </x:c>
      <x:c r="F100" s="6" t="str">
        <x:v>Short</x:v>
      </x:c>
      <x:c r="G100" s="6" t="str">
        <x:v>ADEQUATE N</x:v>
      </x:c>
      <x:c r="H100" s="8" t="str">
        <x:v>31</x:v>
      </x:c>
      <x:c r="I100" s="10" t="str">
        <x:v>4.397163120567376</x:v>
      </x:c>
      <x:c r="J100" s="8" t="str">
        <x:v>13</x:v>
      </x:c>
      <x:c r="K100" s="8" t="str">
        <x:v>18</x:v>
      </x:c>
      <x:c r="L100" s="8" t="str">
        <x:v>0</x:v>
      </x:c>
      <x:c r="M100" s="10" t="str">
        <x:v>41.935483870967744</x:v>
      </x:c>
      <x:c r="N100" s="9" t="str">
        <x:v>0.010167287212009553</x:v>
      </x:c>
      <x:c r="O100" s="9" t="str">
        <x:v>-1.0</x:v>
      </x:c>
      <x:c r="P100" s="9" t="str">
        <x:v>0.31518590357229614</x:v>
      </x:c>
      <x:c r="Q100" s="9" t="str">
        <x:v>1.0188498708334968</x:v>
      </x:c>
      <x:c r="R100" s="9" t="str">
        <x:v>3.7208521669124757</x:v>
      </x:c>
      <x:c r="S100" s="8" t="str">
        <x:v>13</x:v>
      </x:c>
      <x:c r="T100" s="8" t="str">
        <x:v>18</x:v>
      </x:c>
      <x:c r="U100" s="8" t="str">
        <x:v>0</x:v>
      </x:c>
      <x:c r="V100" s="10" t="str">
        <x:v>41.935483870967744</x:v>
      </x:c>
      <x:c r="W100" s="9" t="str">
        <x:v>-0.03209074317996406</x:v>
      </x:c>
      <x:c r="X100" s="9" t="str">
        <x:v>-1.0074709115344598</x:v>
      </x:c>
      <x:c r="Y100" s="9" t="str">
        <x:v>-0.994813038578886</x:v>
      </x:c>
      <x:c r="Z100" s="9" t="str">
        <x:v>0.9432164459913266</x:v>
      </x:c>
      <x:c r="AA100" s="9" t="str">
        <x:v>3.9777520947024727</x:v>
      </x:c>
      <x:c r="AB100" s="9" t="str">
        <x:v>1.2539141229157544</x:v>
      </x:c>
      <x:c r="AC100" s="9" t="str">
        <x:v>0.8899570637131531</x:v>
      </x:c>
    </x:row>
    <x:row r="101" ht="18" customHeight="1">
      <x:c r="A101" s="6" t="str">
        <x:v>Three-dimension structural family</x:v>
      </x:c>
      <x:c r="B101" s="6" t="str">
        <x:v>Direction × Setup/BOS timing × Retest behavior</x:v>
      </x:c>
      <x:c r="C101" s="6" t="str">
        <x:v>Short × Same-bar Setup+BOS × Tolerance-only shallow touch</x:v>
      </x:c>
      <x:c r="D101" s="6" t="str">
        <x:v>F::Short::Same-bar Setup+BOS::Tolerance-only shallow touch</x:v>
      </x:c>
      <x:c r="E101" s="6" t="str">
        <x:v>Short × Same-bar Setup+BOS × Tolerance-only shallow touch</x:v>
      </x:c>
      <x:c r="F101" s="6" t="str">
        <x:v>Short</x:v>
      </x:c>
      <x:c r="G101" s="6" t="str">
        <x:v>ADEQUATE N</x:v>
      </x:c>
      <x:c r="H101" s="8" t="str">
        <x:v>85</x:v>
      </x:c>
      <x:c r="I101" s="10" t="str">
        <x:v>12.056737588652481</x:v>
      </x:c>
      <x:c r="J101" s="8" t="str">
        <x:v>32</x:v>
      </x:c>
      <x:c r="K101" s="8" t="str">
        <x:v>53</x:v>
      </x:c>
      <x:c r="L101" s="8" t="str">
        <x:v>0</x:v>
      </x:c>
      <x:c r="M101" s="10" t="str">
        <x:v>37.64705882352941</x:v>
      </x:c>
      <x:c r="N101" s="9" t="str">
        <x:v>-0.022076312724093553</x:v>
      </x:c>
      <x:c r="O101" s="9" t="str">
        <x:v>-1.0</x:v>
      </x:c>
      <x:c r="P101" s="9" t="str">
        <x:v>-1.876486581547952</x:v>
      </x:c>
      <x:c r="Q101" s="9" t="str">
        <x:v>0.9587439413621206</x:v>
      </x:c>
      <x:c r="R101" s="9" t="str">
        <x:v>13.615239292157892</x:v>
      </x:c>
      <x:c r="S101" s="8" t="str">
        <x:v>30</x:v>
      </x:c>
      <x:c r="T101" s="8" t="str">
        <x:v>55</x:v>
      </x:c>
      <x:c r="U101" s="8" t="str">
        <x:v>0</x:v>
      </x:c>
      <x:c r="V101" s="10" t="str">
        <x:v>35.294117647058826</x:v>
      </x:c>
      <x:c r="W101" s="9" t="str">
        <x:v>-0.05214977888529126</x:v>
      </x:c>
      <x:c r="X101" s="9" t="str">
        <x:v>-1.0069138862190574</x:v>
      </x:c>
      <x:c r="Y101" s="9" t="str">
        <x:v>-4.432731205249757</x:v>
      </x:c>
      <x:c r="Z101" s="9" t="str">
        <x:v>0.9059803396009476</x:v>
      </x:c>
      <x:c r="AA101" s="9" t="str">
        <x:v>14.681776929318069</x:v>
      </x:c>
      <x:c r="AB101" s="9" t="str">
        <x:v>1.1063619121987638</x:v>
      </x:c>
      <x:c r="AC101" s="9" t="str">
        <x:v>0.8794874559582067</x:v>
      </x:c>
    </x:row>
  </x:sheetData>
  <x:conditionalFormatting sqref="W2:W101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Y2:Y101">
    <x:cfRule type="colorScale" priority="2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Z2:Z101">
    <x:cfRule type="colorScale" priority="3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45" hidden="0" customWidth="1"/>
    <x:col min="3" max="3" width="10" hidden="0" customWidth="1"/>
    <x:col min="4" max="4" width="23" hidden="0" customWidth="1"/>
    <x:col min="5" max="5" width="19" hidden="0" customWidth="1"/>
    <x:col min="6" max="6" width="21" hidden="0" customWidth="1"/>
    <x:col min="7" max="7" width="20" hidden="0" customWidth="1"/>
    <x:col min="8" max="8" width="25" hidden="0" customWidth="1"/>
    <x:col min="9" max="9" width="19" hidden="0" customWidth="1"/>
    <x:col min="10" max="10" width="23" hidden="0" customWidth="1"/>
    <x:col min="11" max="11" width="21" hidden="0" customWidth="1"/>
    <x:col min="12" max="12" width="17" hidden="0" customWidth="1"/>
    <x:col min="13" max="13" width="22" hidden="0" customWidth="1"/>
    <x:col min="14" max="14" width="17" hidden="0" customWidth="1"/>
    <x:col min="15" max="15" width="19" hidden="0" customWidth="1"/>
    <x:col min="16" max="16" width="18" hidden="0" customWidth="1"/>
    <x:col min="17" max="17" width="25" hidden="0" customWidth="1"/>
    <x:col min="18" max="18" width="17" hidden="0" customWidth="1"/>
    <x:col min="19" max="19" width="21" hidden="0" customWidth="1"/>
    <x:col min="20" max="20" width="19" hidden="0" customWidth="1"/>
    <x:col min="21" max="21" width="15" hidden="0" customWidth="1"/>
    <x:col min="22" max="22" width="20" hidden="0" customWidth="1"/>
    <x:col min="23" max="23" width="18" hidden="0" customWidth="1"/>
    <x:col min="24" max="24" width="18" hidden="0" customWidth="1"/>
    <x:col min="25" max="25" width="14" hidden="0" customWidth="1"/>
    <x:col min="26" max="26" width="25" hidden="0" customWidth="1"/>
    <x:col min="27" max="27" width="23" hidden="0" customWidth="1"/>
    <x:col min="28" max="28" width="25" hidden="0" customWidth="1"/>
    <x:col min="29" max="29" width="24" hidden="0" customWidth="1"/>
    <x:col min="30" max="30" width="25" hidden="0" customWidth="1"/>
    <x:col min="31" max="31" width="23" hidden="0" customWidth="1"/>
    <x:col min="32" max="32" width="25" hidden="0" customWidth="1"/>
    <x:col min="33" max="33" width="25" hidden="0" customWidth="1"/>
    <x:col min="34" max="34" width="21" hidden="0" customWidth="1"/>
    <x:col min="35" max="35" width="25" hidden="0" customWidth="1"/>
    <x:col min="36" max="36" width="21" hidden="0" customWidth="1"/>
    <x:col min="37" max="37" width="23" hidden="0" customWidth="1"/>
    <x:col min="38" max="38" width="22" hidden="0" customWidth="1"/>
    <x:col min="39" max="39" width="25" hidden="0" customWidth="1"/>
    <x:col min="40" max="40" width="21" hidden="0" customWidth="1"/>
    <x:col min="41" max="41" width="25" hidden="0" customWidth="1"/>
    <x:col min="42" max="42" width="23" hidden="0" customWidth="1"/>
    <x:col min="43" max="43" width="19" hidden="0" customWidth="1"/>
    <x:col min="44" max="44" width="24" hidden="0" customWidth="1"/>
    <x:col min="45" max="45" width="22" hidden="0" customWidth="1"/>
    <x:col min="46" max="46" width="22" hidden="0" customWidth="1"/>
    <x:col min="47" max="47" width="25" hidden="0" customWidth="1"/>
    <x:col min="48" max="48" width="16" hidden="0" customWidth="1"/>
    <x:col min="49" max="49" width="16" hidden="0" customWidth="1"/>
    <x:col min="50" max="50" width="13" hidden="0" customWidth="1"/>
    <x:col min="51" max="51" width="17" hidden="0" customWidth="1"/>
    <x:col min="52" max="52" width="17" hidden="0" customWidth="1"/>
    <x:col min="53" max="53" width="22" hidden="0" customWidth="1"/>
    <x:col min="54" max="54" width="22" hidden="0" customWidth="1"/>
    <x:col min="55" max="55" width="34" hidden="0" customWidth="1"/>
    <x:col min="56" max="56" width="34" hidden="0" customWidth="1"/>
    <x:col min="57" max="57" width="25" hidden="0" customWidth="1"/>
    <x:col min="58" max="58" width="10" hidden="0" customWidth="1"/>
    <x:col min="59" max="59" width="23" hidden="0" customWidth="1"/>
    <x:col min="60" max="60" width="17" hidden="0" customWidth="1"/>
    <x:col min="61" max="61" width="21" hidden="0" customWidth="1"/>
    <x:col min="62" max="62" width="25" hidden="0" customWidth="1"/>
    <x:col min="63" max="63" width="25" hidden="0" customWidth="1"/>
    <x:col min="64" max="64" width="25" hidden="0" customWidth="1"/>
    <x:col min="65" max="65" width="25" hidden="0" customWidth="1"/>
    <x:col min="66" max="66" width="25" hidden="0" customWidth="1"/>
    <x:col min="67" max="67" width="25" hidden="0" customWidth="1"/>
    <x:col min="68" max="68" width="25" hidden="0" customWidth="1"/>
    <x:col min="69" max="69" width="24" hidden="0" customWidth="1"/>
    <x:col min="70" max="70" width="25" hidden="0" customWidth="1"/>
    <x:col min="71" max="71" width="25" hidden="0" customWidth="1"/>
    <x:col min="72" max="72" width="25" hidden="0" customWidth="1"/>
    <x:col min="73" max="73" width="25" hidden="0" customWidth="1"/>
    <x:col min="74" max="74" width="10" hidden="0" customWidth="1"/>
    <x:col min="75" max="75" width="22" hidden="0" customWidth="1"/>
    <x:col min="76" max="76" width="24" hidden="0" customWidth="1"/>
    <x:col min="77" max="77" width="24" hidden="0" customWidth="1"/>
    <x:col min="78" max="78" width="21" hidden="0" customWidth="1"/>
    <x:col min="79" max="79" width="20" hidden="0" customWidth="1"/>
  </x:cols>
  <x:sheetData>
    <x:row r="1" ht="46" customHeight="1">
      <x:c r="A1" s="5" t="str">
        <x:v>family_id</x:v>
      </x:c>
      <x:c r="B1" s="5" t="str">
        <x:v>family_definition</x:v>
      </x:c>
      <x:c r="C1" s="5" t="str">
        <x:v>family_N</x:v>
      </x:c>
      <x:c r="D1" s="5" t="str">
        <x:v>family_pct_all_trades</x:v>
      </x:c>
      <x:c r="E1" s="5" t="str">
        <x:v>family_gross_wins</x:v>
      </x:c>
      <x:c r="F1" s="5" t="str">
        <x:v>family_gross_losses</x:v>
      </x:c>
      <x:c r="G1" s="5" t="str">
        <x:v>family_gross_flats</x:v>
      </x:c>
      <x:c r="H1" s="5" t="str">
        <x:v>family_gross_win_rate_pct</x:v>
      </x:c>
      <x:c r="I1" s="5" t="str">
        <x:v>family_gross_AvgR</x:v>
      </x:c>
      <x:c r="J1" s="5" t="str">
        <x:v>family_gross_median_R</x:v>
      </x:c>
      <x:c r="K1" s="5" t="str">
        <x:v>family_gross_TotalR</x:v>
      </x:c>
      <x:c r="L1" s="5" t="str">
        <x:v>family_gross_PF</x:v>
      </x:c>
      <x:c r="M1" s="5" t="str">
        <x:v>family_gross_MaxDD_R</x:v>
      </x:c>
      <x:c r="N1" s="5" t="str">
        <x:v>family_net_wins</x:v>
      </x:c>
      <x:c r="O1" s="5" t="str">
        <x:v>family_net_losses</x:v>
      </x:c>
      <x:c r="P1" s="5" t="str">
        <x:v>family_net_flats</x:v>
      </x:c>
      <x:c r="Q1" s="5" t="str">
        <x:v>family_net_win_rate_pct</x:v>
      </x:c>
      <x:c r="R1" s="5" t="str">
        <x:v>family_net_AvgR</x:v>
      </x:c>
      <x:c r="S1" s="5" t="str">
        <x:v>family_net_median_R</x:v>
      </x:c>
      <x:c r="T1" s="5" t="str">
        <x:v>family_net_TotalR</x:v>
      </x:c>
      <x:c r="U1" s="5" t="str">
        <x:v>family_net_PF</x:v>
      </x:c>
      <x:c r="V1" s="5" t="str">
        <x:v>family_net_MaxDD_R</x:v>
      </x:c>
      <x:c r="W1" s="5" t="str">
        <x:v>family_avg_MFE_R</x:v>
      </x:c>
      <x:c r="X1" s="5" t="str">
        <x:v>family_avg_MAE_R</x:v>
      </x:c>
      <x:c r="Y1" s="5" t="str">
        <x:v>complement_N</x:v>
      </x:c>
      <x:c r="Z1" s="5" t="str">
        <x:v>complement_pct_all_trades</x:v>
      </x:c>
      <x:c r="AA1" s="5" t="str">
        <x:v>complement_gross_wins</x:v>
      </x:c>
      <x:c r="AB1" s="5" t="str">
        <x:v>complement_gross_losses</x:v>
      </x:c>
      <x:c r="AC1" s="5" t="str">
        <x:v>complement_gross_flats</x:v>
      </x:c>
      <x:c r="AD1" s="5" t="str">
        <x:v>complement_gross_win_rate_pct</x:v>
      </x:c>
      <x:c r="AE1" s="5" t="str">
        <x:v>complement_gross_AvgR</x:v>
      </x:c>
      <x:c r="AF1" s="5" t="str">
        <x:v>complement_gross_median_R</x:v>
      </x:c>
      <x:c r="AG1" s="5" t="str">
        <x:v>complement_gross_TotalR</x:v>
      </x:c>
      <x:c r="AH1" s="5" t="str">
        <x:v>complement_gross_PF</x:v>
      </x:c>
      <x:c r="AI1" s="5" t="str">
        <x:v>complement_gross_MaxDD_R</x:v>
      </x:c>
      <x:c r="AJ1" s="5" t="str">
        <x:v>complement_net_wins</x:v>
      </x:c>
      <x:c r="AK1" s="5" t="str">
        <x:v>complement_net_losses</x:v>
      </x:c>
      <x:c r="AL1" s="5" t="str">
        <x:v>complement_net_flats</x:v>
      </x:c>
      <x:c r="AM1" s="5" t="str">
        <x:v>complement_net_win_rate_pct</x:v>
      </x:c>
      <x:c r="AN1" s="5" t="str">
        <x:v>complement_net_AvgR</x:v>
      </x:c>
      <x:c r="AO1" s="5" t="str">
        <x:v>complement_net_median_R</x:v>
      </x:c>
      <x:c r="AP1" s="5" t="str">
        <x:v>complement_net_TotalR</x:v>
      </x:c>
      <x:c r="AQ1" s="5" t="str">
        <x:v>complement_net_PF</x:v>
      </x:c>
      <x:c r="AR1" s="5" t="str">
        <x:v>complement_net_MaxDD_R</x:v>
      </x:c>
      <x:c r="AS1" s="5" t="str">
        <x:v>complement_avg_MFE_R</x:v>
      </x:c>
      <x:c r="AT1" s="5" t="str">
        <x:v>complement_avg_MAE_R</x:v>
      </x:c>
      <x:c r="AU1" s="5" t="str">
        <x:v>net_AvgR_difference_family_minus_complement</x:v>
      </x:c>
      <x:c r="AV1" s="5" t="str">
        <x:v>positive_years</x:v>
      </x:c>
      <x:c r="AW1" s="5" t="str">
        <x:v>negative_years</x:v>
      </x:c>
      <x:c r="AX1" s="5" t="str">
        <x:v>total_years</x:v>
      </x:c>
      <x:c r="AY1" s="5" t="str">
        <x:v>positive_halves</x:v>
      </x:c>
      <x:c r="AZ1" s="5" t="str">
        <x:v>negative_halves</x:v>
      </x:c>
      <x:c r="BA1" s="5" t="str">
        <x:v>time_stable_positive</x:v>
      </x:c>
      <x:c r="BB1" s="5" t="str">
        <x:v>time_stable_negative</x:v>
      </x:c>
      <x:c r="BC1" s="5" t="str">
        <x:v>yearly_net_TotalR_json</x:v>
      </x:c>
      <x:c r="BD1" s="5" t="str">
        <x:v>half_net_TotalR_json</x:v>
      </x:c>
      <x:c r="BE1" s="5" t="str">
        <x:v>share_of_strategy_loss_magnitude_pct</x:v>
      </x:c>
      <x:c r="BF1" s="5" t="str">
        <x:v>welch_t</x:v>
      </x:c>
      <x:c r="BG1" s="5" t="str">
        <x:v>welch_degrees_freedom</x:v>
      </x:c>
      <x:c r="BH1" s="5" t="str">
        <x:v>raw_p_two_sided</x:v>
      </x:c>
      <x:c r="BI1" s="5" t="str">
        <x:v>remove_best_trade_N</x:v>
      </x:c>
      <x:c r="BJ1" s="5" t="str">
        <x:v>remove_best_trade_net_AvgR</x:v>
      </x:c>
      <x:c r="BK1" s="5" t="str">
        <x:v>remove_best_trade_net_TotalR</x:v>
      </x:c>
      <x:c r="BL1" s="5" t="str">
        <x:v>remove_best_trade_net_PF</x:v>
      </x:c>
      <x:c r="BM1" s="5" t="str">
        <x:v>remove_top_1pct_winners_N</x:v>
      </x:c>
      <x:c r="BN1" s="5" t="str">
        <x:v>remove_top_1pct_winners_net_AvgR</x:v>
      </x:c>
      <x:c r="BO1" s="5" t="str">
        <x:v>remove_top_1pct_winners_net_TotalR</x:v>
      </x:c>
      <x:c r="BP1" s="5" t="str">
        <x:v>remove_top_1pct_winners_net_PF</x:v>
      </x:c>
      <x:c r="BQ1" s="5" t="str">
        <x:v>remove_top_3_winners_N</x:v>
      </x:c>
      <x:c r="BR1" s="5" t="str">
        <x:v>remove_top_3_winners_net_AvgR</x:v>
      </x:c>
      <x:c r="BS1" s="5" t="str">
        <x:v>remove_top_3_winners_net_TotalR</x:v>
      </x:c>
      <x:c r="BT1" s="5" t="str">
        <x:v>remove_top_3_winners_net_PF</x:v>
      </x:c>
      <x:c r="BU1" s="5" t="str">
        <x:v>survives_outlier_removal</x:v>
      </x:c>
      <x:c r="BV1" s="5" t="str">
        <x:v>BH_FDR_q</x:v>
      </x:c>
      <x:c r="BW1" s="5" t="str">
        <x:v>FDR_significant_0_05</x:v>
      </x:c>
      <x:c r="BX1" s="5" t="str">
        <x:v>robust_positive_family</x:v>
      </x:c>
      <x:c r="BY1" s="5" t="str">
        <x:v>robust_negative_family</x:v>
      </x:c>
      <x:c r="BZ1" s="5" t="str">
        <x:v>tested_family_count</x:v>
      </x:c>
      <x:c r="CA1" s="5" t="str">
        <x:v>FDR_survivor_count</x:v>
      </x:c>
    </x:row>
    <x:row r="2" ht="18" customHeight="1">
      <x:c r="A2" s="6" t="str">
        <x:v>F::Short::Same-bar Setup+BOS::Penetration without same-bar reclaim</x:v>
      </x:c>
      <x:c r="B2" s="6" t="str">
        <x:v>Short × Same-bar Setup+BOS × Penetration without same-bar reclaim</x:v>
      </x:c>
      <x:c r="C2" s="8" t="str">
        <x:v>31</x:v>
      </x:c>
      <x:c r="D2" s="10" t="str">
        <x:v>4.397163120567376</x:v>
      </x:c>
      <x:c r="E2" s="8" t="str">
        <x:v>13</x:v>
      </x:c>
      <x:c r="F2" s="8" t="str">
        <x:v>18</x:v>
      </x:c>
      <x:c r="G2" s="8" t="str">
        <x:v>0</x:v>
      </x:c>
      <x:c r="H2" s="10" t="str">
        <x:v>41.935483870967744</x:v>
      </x:c>
      <x:c r="I2" s="9" t="str">
        <x:v>0.010167287212009553</x:v>
      </x:c>
      <x:c r="J2" s="9" t="str">
        <x:v>-1.0</x:v>
      </x:c>
      <x:c r="K2" s="9" t="str">
        <x:v>0.31518590357229614</x:v>
      </x:c>
      <x:c r="L2" s="9" t="str">
        <x:v>1.0188498708334968</x:v>
      </x:c>
      <x:c r="M2" s="9" t="str">
        <x:v>3.7208521669124757</x:v>
      </x:c>
      <x:c r="N2" s="8" t="str">
        <x:v>13</x:v>
      </x:c>
      <x:c r="O2" s="8" t="str">
        <x:v>18</x:v>
      </x:c>
      <x:c r="P2" s="8" t="str">
        <x:v>0</x:v>
      </x:c>
      <x:c r="Q2" s="10" t="str">
        <x:v>41.935483870967744</x:v>
      </x:c>
      <x:c r="R2" s="9" t="str">
        <x:v>-0.03209074317996406</x:v>
      </x:c>
      <x:c r="S2" s="9" t="str">
        <x:v>-1.0074709115344598</x:v>
      </x:c>
      <x:c r="T2" s="9" t="str">
        <x:v>-0.994813038578886</x:v>
      </x:c>
      <x:c r="U2" s="9" t="str">
        <x:v>0.9432164459913266</x:v>
      </x:c>
      <x:c r="V2" s="9" t="str">
        <x:v>3.9777520947024727</x:v>
      </x:c>
      <x:c r="W2" s="9" t="str">
        <x:v>1.2539141229157544</x:v>
      </x:c>
      <x:c r="X2" s="9" t="str">
        <x:v>0.8899570637131531</x:v>
      </x:c>
      <x:c r="Y2" s="8" t="str">
        <x:v>674</x:v>
      </x:c>
      <x:c r="Z2" s="10" t="str">
        <x:v>95.60283687943263</x:v>
      </x:c>
      <x:c r="AA2" s="8" t="str">
        <x:v>276</x:v>
      </x:c>
      <x:c r="AB2" s="8" t="str">
        <x:v>397</x:v>
      </x:c>
      <x:c r="AC2" s="8" t="str">
        <x:v>1</x:v>
      </x:c>
      <x:c r="AD2" s="10" t="str">
        <x:v>40.94955489614243</x:v>
      </x:c>
      <x:c r="AE2" s="9" t="str">
        <x:v>-0.038480381696976755</x:v>
      </x:c>
      <x:c r="AF2" s="9" t="str">
        <x:v>-0.6078977094360692</x:v>
      </x:c>
      <x:c r="AG2" s="9" t="str">
        <x:v>-25.935777263762333</x:v>
      </x:c>
      <x:c r="AH2" s="9" t="str">
        <x:v>0.9261961765222281</x:v>
      </x:c>
      <x:c r="AI2" s="9" t="str">
        <x:v>43.75327389385767</x:v>
      </x:c>
      <x:c r="AJ2" s="8" t="str">
        <x:v>271</x:v>
      </x:c>
      <x:c r="AK2" s="8" t="str">
        <x:v>403</x:v>
      </x:c>
      <x:c r="AL2" s="8" t="str">
        <x:v>0</x:v>
      </x:c>
      <x:c r="AM2" s="10" t="str">
        <x:v>40.20771513353116</x:v>
      </x:c>
      <x:c r="AN2" s="9" t="str">
        <x:v>-0.07129711129901913</x:v>
      </x:c>
      <x:c r="AO2" s="9" t="str">
        <x:v>-0.6602782453803895</x:v>
      </x:c>
      <x:c r="AP2" s="9" t="str">
        <x:v>-48.05425301553889</x:v>
      </x:c>
      <x:c r="AQ2" s="9" t="str">
        <x:v>0.868356681762857</x:v>
      </x:c>
      <x:c r="AR2" s="9" t="str">
        <x:v>60.52115643524478</x:v>
      </x:c>
      <x:c r="AS2" s="9" t="str">
        <x:v>1.008408402944568</x:v>
      </x:c>
      <x:c r="AT2" s="9" t="str">
        <x:v>0.9007511130900198</x:v>
      </x:c>
      <x:c r="AU2" s="9" t="str">
        <x:v>0.03920636811905506</x:v>
      </x:c>
      <x:c r="AV2" s="6" t="str">
        <x:v>1</x:v>
      </x:c>
      <x:c r="AW2" s="6" t="str">
        <x:v>2</x:v>
      </x:c>
      <x:c r="AX2" s="6" t="str">
        <x:v>3</x:v>
      </x:c>
      <x:c r="AY2" s="6" t="str">
        <x:v>1</x:v>
      </x:c>
      <x:c r="AZ2" s="6" t="str">
        <x:v>1</x:v>
      </x:c>
      <x:c r="BA2" s="6" t="str">
        <x:v>False</x:v>
      </x:c>
      <x:c r="BB2" s="6" t="str">
        <x:v>False</x:v>
      </x:c>
      <x:c r="BC2" s="9" t="str">
        <x:v>{"2024":-1.6858842240050491,"2025":3.203367000361319,"2026":-2.5122958149351557}</x:v>
      </x:c>
      <x:c r="BD2" s="9" t="str">
        <x:v>{"First 50%":1.1179593469914093,"Second 50%":-2.1127723855702953}</x:v>
      </x:c>
      <x:c r="BE2" s="10" t="str">
        <x:v>4.579595712167123</x:v>
      </x:c>
      <x:c r="BF2" s="6" t="str">
        <x:v>0.17445555162653673</x:v>
      </x:c>
      <x:c r="BG2" s="6" t="str">
        <x:v>32.413127610168516</x:v>
      </x:c>
      <x:c r="BH2" s="9" t="str">
        <x:v>0.8625925808824746</x:v>
      </x:c>
      <x:c r="BI2" s="8" t="str">
        <x:v>30</x:v>
      </x:c>
      <x:c r="BJ2" s="9" t="str">
        <x:v>-0.09941229589443742</x:v>
      </x:c>
      <x:c r="BK2" s="9" t="str">
        <x:v>-2.9823688768331227</x:v>
      </x:c>
      <x:c r="BL2" s="9" t="str">
        <x:v>0.8297675064318012</x:v>
      </x:c>
      <x:c r="BM2" s="8" t="str">
        <x:v>30</x:v>
      </x:c>
      <x:c r="BN2" s="10" t="str">
        <x:v>-0.09941229589443742</x:v>
      </x:c>
      <x:c r="BO2" s="10" t="str">
        <x:v>-2.9823688768331227</x:v>
      </x:c>
      <x:c r="BP2" s="10" t="str">
        <x:v>0.8297675064318012</x:v>
      </x:c>
      <x:c r="BQ2" s="8" t="str">
        <x:v>28</x:v>
      </x:c>
      <x:c r="BR2" s="9" t="str">
        <x:v>-0.24792785167559397</x:v>
      </x:c>
      <x:c r="BS2" s="9" t="str">
        <x:v>-6.941979846916631</x:v>
      </x:c>
      <x:c r="BT2" s="9" t="str">
        <x:v>0.6037544018043594</x:v>
      </x:c>
      <x:c r="BU2" s="6" t="str">
        <x:v>False</x:v>
      </x:c>
      <x:c r="BV2" s="9" t="str">
        <x:v>0.886355010973821</x:v>
      </x:c>
      <x:c r="BW2" s="9" t="str">
        <x:v>False</x:v>
      </x:c>
      <x:c r="BX2" s="6" t="str">
        <x:v>False</x:v>
      </x:c>
      <x:c r="BY2" s="6" t="str">
        <x:v>False</x:v>
      </x:c>
      <x:c r="BZ2" s="8" t="str">
        <x:v>5</x:v>
      </x:c>
      <x:c r="CA2" s="8" t="str">
        <x:v>0</x:v>
      </x:c>
    </x:row>
    <x:row r="3" ht="18" customHeight="1">
      <x:c r="A3" s="6" t="str">
        <x:v>F::Short::Same-bar Setup+BOS::Penetration + same-bar reclaim</x:v>
      </x:c>
      <x:c r="B3" s="6" t="str">
        <x:v>Short × Same-bar Setup+BOS × Penetration + same-bar reclaim</x:v>
      </x:c>
      <x:c r="C3" s="8" t="str">
        <x:v>195</x:v>
      </x:c>
      <x:c r="D3" s="10" t="str">
        <x:v>27.659574468085108</x:v>
      </x:c>
      <x:c r="E3" s="8" t="str">
        <x:v>77</x:v>
      </x:c>
      <x:c r="F3" s="8" t="str">
        <x:v>118</x:v>
      </x:c>
      <x:c r="G3" s="8" t="str">
        <x:v>0</x:v>
      </x:c>
      <x:c r="H3" s="10" t="str">
        <x:v>39.48717948717949</x:v>
      </x:c>
      <x:c r="I3" s="9" t="str">
        <x:v>-0.008102980722868821</x:v>
      </x:c>
      <x:c r="J3" s="9" t="str">
        <x:v>-0.7036688618626208</x:v>
      </x:c>
      <x:c r="K3" s="9" t="str">
        <x:v>-1.5800812409594203</x:v>
      </x:c>
      <x:c r="L3" s="9" t="str">
        <x:v>0.9849922186500069</x:v>
      </x:c>
      <x:c r="M3" s="9" t="str">
        <x:v>15.161881225661977</x:v>
      </x:c>
      <x:c r="N3" s="8" t="str">
        <x:v>76</x:v>
      </x:c>
      <x:c r="O3" s="8" t="str">
        <x:v>119</x:v>
      </x:c>
      <x:c r="P3" s="8" t="str">
        <x:v>0</x:v>
      </x:c>
      <x:c r="Q3" s="10" t="str">
        <x:v>38.97435897435898</x:v>
      </x:c>
      <x:c r="R3" s="9" t="str">
        <x:v>-0.03938232974546615</x:v>
      </x:c>
      <x:c r="S3" s="9" t="str">
        <x:v>-0.7479868071538915</x:v>
      </x:c>
      <x:c r="T3" s="9" t="str">
        <x:v>-7.679554300365899</x:v>
      </x:c>
      <x:c r="U3" s="9" t="str">
        <x:v>0.9295293060095574</x:v>
      </x:c>
      <x:c r="V3" s="9" t="str">
        <x:v>18.556262916319888</x:v>
      </x:c>
      <x:c r="W3" s="9" t="str">
        <x:v>1.087988776358701</x:v>
      </x:c>
      <x:c r="X3" s="9" t="str">
        <x:v>0.8827585449821227</x:v>
      </x:c>
      <x:c r="Y3" s="8" t="str">
        <x:v>510</x:v>
      </x:c>
      <x:c r="Z3" s="10" t="str">
        <x:v>72.34042553191489</x:v>
      </x:c>
      <x:c r="AA3" s="8" t="str">
        <x:v>212</x:v>
      </x:c>
      <x:c r="AB3" s="8" t="str">
        <x:v>297</x:v>
      </x:c>
      <x:c r="AC3" s="8" t="str">
        <x:v>1</x:v>
      </x:c>
      <x:c r="AD3" s="10" t="str">
        <x:v>41.568627450980394</x:v>
      </x:c>
      <x:c r="AE3" s="9" t="str">
        <x:v>-0.04713825513574629</x:v>
      </x:c>
      <x:c r="AF3" s="9" t="str">
        <x:v>-0.562068696597739</x:v>
      </x:c>
      <x:c r="AG3" s="9" t="str">
        <x:v>-24.04051011923061</x:v>
      </x:c>
      <x:c r="AH3" s="9" t="str">
        <x:v>0.9085396818766958</x:v>
      </x:c>
      <x:c r="AI3" s="9" t="str">
        <x:v>34.57762412432129</x:v>
      </x:c>
      <x:c r="AJ3" s="8" t="str">
        <x:v>208</x:v>
      </x:c>
      <x:c r="AK3" s="8" t="str">
        <x:v>302</x:v>
      </x:c>
      <x:c r="AL3" s="8" t="str">
        <x:v>0</x:v>
      </x:c>
      <x:c r="AM3" s="10" t="str">
        <x:v>40.78431372549019</x:v>
      </x:c>
      <x:c r="AN3" s="9" t="str">
        <x:v>-0.08111668971323896</x:v>
      </x:c>
      <x:c r="AO3" s="9" t="str">
        <x:v>-0.607136449036045</x:v>
      </x:c>
      <x:c r="AP3" s="9" t="str">
        <x:v>-41.36951175375187</x:v>
      </x:c>
      <x:c r="AQ3" s="9" t="str">
        <x:v>0.8487834741067896</x:v>
      </x:c>
      <x:c r="AR3" s="9" t="str">
        <x:v>48.52984844573948</x:v>
      </x:c>
      <x:c r="AS3" s="9" t="str">
        <x:v>0.9929035098138833</x:v>
      </x:c>
      <x:c r="AT3" s="9" t="str">
        <x:v>0.9069745155417003</x:v>
      </x:c>
      <x:c r="AU3" s="9" t="str">
        <x:v>0.04173435996777281</x:v>
      </x:c>
      <x:c r="AV3" s="6" t="str">
        <x:v>1</x:v>
      </x:c>
      <x:c r="AW3" s="6" t="str">
        <x:v>2</x:v>
      </x:c>
      <x:c r="AX3" s="6" t="str">
        <x:v>3</x:v>
      </x:c>
      <x:c r="AY3" s="6" t="str">
        <x:v>1</x:v>
      </x:c>
      <x:c r="AZ3" s="6" t="str">
        <x:v>1</x:v>
      </x:c>
      <x:c r="BA3" s="6" t="str">
        <x:v>False</x:v>
      </x:c>
      <x:c r="BB3" s="6" t="str">
        <x:v>False</x:v>
      </x:c>
      <x:c r="BC3" s="9" t="str">
        <x:v>{"2024":-2.6878262734681373,"2025":-6.128267465356189,"2026":1.1365394384584273}</x:v>
      </x:c>
      <x:c r="BD3" s="9" t="str">
        <x:v>{"First 50%":0.02077818551622812,"Second 50%":-7.700332485882124}</x:v>
      </x:c>
      <x:c r="BE3" s="10" t="str">
        <x:v>28.486278073784273</x:v>
      </x:c>
      <x:c r="BF3" s="6" t="str">
        <x:v>0.42131085347608743</x:v>
      </x:c>
      <x:c r="BG3" s="6" t="str">
        <x:v>330.81854186416615</x:v>
      </x:c>
      <x:c r="BH3" s="9" t="str">
        <x:v>0.6738017082754431</x:v>
      </x:c>
      <x:c r="BI3" s="8" t="str">
        <x:v>194</x:v>
      </x:c>
      <x:c r="BJ3" s="9" t="str">
        <x:v>-0.049855013293103</x:v>
      </x:c>
      <x:c r="BK3" s="9" t="str">
        <x:v>-9.671872578861981</x:v>
      </x:c>
      <x:c r="BL3" s="9" t="str">
        <x:v>0.9112469882806791</x:v>
      </x:c>
      <x:c r="BM3" s="8" t="str">
        <x:v>193</x:v>
      </x:c>
      <x:c r="BN3" s="10" t="str">
        <x:v>-0.06042411847430794</x:v>
      </x:c>
      <x:c r="BO3" s="10" t="str">
        <x:v>-11.661854865541432</x:v>
      </x:c>
      <x:c r="BP3" s="10" t="str">
        <x:v>0.8929861065568132</x:v>
      </x:c>
      <x:c r="BQ3" s="8" t="str">
        <x:v>192</x:v>
      </x:c>
      <x:c r="BR3" s="9" t="str">
        <x:v>-0.0710996725050478</x:v>
      </x:c>
      <x:c r="BS3" s="9" t="str">
        <x:v>-13.651137120969178</x:v>
      </x:c>
      <x:c r="BT3" s="9" t="str">
        <x:v>0.8747316486026336</x:v>
      </x:c>
      <x:c r="BU3" s="6" t="str">
        <x:v>False</x:v>
      </x:c>
      <x:c r="BV3" s="9" t="str">
        <x:v>0.886355010973821</x:v>
      </x:c>
      <x:c r="BW3" s="9" t="str">
        <x:v>False</x:v>
      </x:c>
      <x:c r="BX3" s="6" t="str">
        <x:v>False</x:v>
      </x:c>
      <x:c r="BY3" s="6" t="str">
        <x:v>False</x:v>
      </x:c>
      <x:c r="BZ3" s="8" t="str">
        <x:v>5</x:v>
      </x:c>
      <x:c r="CA3" s="8" t="str">
        <x:v>0</x:v>
      </x:c>
    </x:row>
    <x:row r="4" ht="18" customHeight="1">
      <x:c r="A4" s="6" t="str">
        <x:v>F::Short::Same-bar Setup+BOS::Tolerance-only shallow touch</x:v>
      </x:c>
      <x:c r="B4" s="6" t="str">
        <x:v>Short × Same-bar Setup+BOS × Tolerance-only shallow touch</x:v>
      </x:c>
      <x:c r="C4" s="8" t="str">
        <x:v>85</x:v>
      </x:c>
      <x:c r="D4" s="10" t="str">
        <x:v>12.056737588652481</x:v>
      </x:c>
      <x:c r="E4" s="8" t="str">
        <x:v>32</x:v>
      </x:c>
      <x:c r="F4" s="8" t="str">
        <x:v>53</x:v>
      </x:c>
      <x:c r="G4" s="8" t="str">
        <x:v>0</x:v>
      </x:c>
      <x:c r="H4" s="10" t="str">
        <x:v>37.64705882352941</x:v>
      </x:c>
      <x:c r="I4" s="9" t="str">
        <x:v>-0.022076312724093553</x:v>
      </x:c>
      <x:c r="J4" s="9" t="str">
        <x:v>-1.0</x:v>
      </x:c>
      <x:c r="K4" s="9" t="str">
        <x:v>-1.876486581547952</x:v>
      </x:c>
      <x:c r="L4" s="9" t="str">
        <x:v>0.9587439413621206</x:v>
      </x:c>
      <x:c r="M4" s="9" t="str">
        <x:v>13.615239292157892</x:v>
      </x:c>
      <x:c r="N4" s="8" t="str">
        <x:v>30</x:v>
      </x:c>
      <x:c r="O4" s="8" t="str">
        <x:v>55</x:v>
      </x:c>
      <x:c r="P4" s="8" t="str">
        <x:v>0</x:v>
      </x:c>
      <x:c r="Q4" s="10" t="str">
        <x:v>35.294117647058826</x:v>
      </x:c>
      <x:c r="R4" s="9" t="str">
        <x:v>-0.05214977888529126</x:v>
      </x:c>
      <x:c r="S4" s="9" t="str">
        <x:v>-1.0069138862190574</x:v>
      </x:c>
      <x:c r="T4" s="9" t="str">
        <x:v>-4.432731205249757</x:v>
      </x:c>
      <x:c r="U4" s="9" t="str">
        <x:v>0.9059803396009476</x:v>
      </x:c>
      <x:c r="V4" s="9" t="str">
        <x:v>14.681776929318069</x:v>
      </x:c>
      <x:c r="W4" s="9" t="str">
        <x:v>1.1063619121987638</x:v>
      </x:c>
      <x:c r="X4" s="9" t="str">
        <x:v>0.8794874559582067</x:v>
      </x:c>
      <x:c r="Y4" s="8" t="str">
        <x:v>620</x:v>
      </x:c>
      <x:c r="Z4" s="10" t="str">
        <x:v>87.94326241134752</x:v>
      </x:c>
      <x:c r="AA4" s="8" t="str">
        <x:v>257</x:v>
      </x:c>
      <x:c r="AB4" s="8" t="str">
        <x:v>362</x:v>
      </x:c>
      <x:c r="AC4" s="8" t="str">
        <x:v>1</x:v>
      </x:c>
      <x:c r="AD4" s="10" t="str">
        <x:v>41.4516129032258</x:v>
      </x:c>
      <x:c r="AE4" s="9" t="str">
        <x:v>-0.038296943191358186</x:v>
      </x:c>
      <x:c r="AF4" s="9" t="str">
        <x:v>-0.6064200261103734</x:v>
      </x:c>
      <x:c r="AG4" s="9" t="str">
        <x:v>-23.744104778642075</x:v>
      </x:c>
      <x:c r="AH4" s="9" t="str">
        <x:v>0.9264095622395706</x:v>
      </x:c>
      <x:c r="AI4" s="9" t="str">
        <x:v>37.9011856970786</x:v>
      </x:c>
      <x:c r="AJ4" s="8" t="str">
        <x:v>254</x:v>
      </x:c>
      <x:c r="AK4" s="8" t="str">
        <x:v>366</x:v>
      </x:c>
      <x:c r="AL4" s="8" t="str">
        <x:v>0</x:v>
      </x:c>
      <x:c r="AM4" s="10" t="str">
        <x:v>40.96774193548387</x:v>
      </x:c>
      <x:c r="AN4" s="9" t="str">
        <x:v>-0.07196183040140001</x:v>
      </x:c>
      <x:c r="AO4" s="9" t="str">
        <x:v>-0.6435554098906897</x:v>
      </x:c>
      <x:c r="AP4" s="9" t="str">
        <x:v>-44.61633484886801</x:v>
      </x:c>
      <x:c r="AQ4" s="9" t="str">
        <x:v>0.8669782342349</x:v>
      </x:c>
      <x:c r="AR4" s="9" t="str">
        <x:v>55.66674171393626</x:v>
      </x:c>
      <x:c r="AS4" s="9" t="str">
        <x:v>1.007254578803439</x:v>
      </x:c>
      <x:c r="AT4" s="9" t="str">
        <x:v>0.9031265894215058</x:v>
      </x:c>
      <x:c r="AU4" s="9" t="str">
        <x:v>0.019812051516108757</x:v>
      </x:c>
      <x:c r="AV4" s="6" t="str">
        <x:v>1</x:v>
      </x:c>
      <x:c r="AW4" s="6" t="str">
        <x:v>2</x:v>
      </x:c>
      <x:c r="AX4" s="6" t="str">
        <x:v>3</x:v>
      </x:c>
      <x:c r="AY4" s="6" t="str">
        <x:v>1</x:v>
      </x:c>
      <x:c r="AZ4" s="6" t="str">
        <x:v>1</x:v>
      </x:c>
      <x:c r="BA4" s="6" t="str">
        <x:v>False</x:v>
      </x:c>
      <x:c r="BB4" s="6" t="str">
        <x:v>False</x:v>
      </x:c>
      <x:c r="BC4" s="9" t="str">
        <x:v>{"2024":-9.753787608276477,"2025":-0.3596230668185838,"2026":5.6806794698453}</x:v>
      </x:c>
      <x:c r="BD4" s="9" t="str">
        <x:v>{"First 50%":-8.66155469805739,"Second 50%":4.228823492807631}</x:v>
      </x:c>
      <x:c r="BE4" s="10" t="str">
        <x:v>12.324263102183265</x:v>
      </x:c>
      <x:c r="BF4" s="6" t="str">
        <x:v>0.14326430660143077</x:v>
      </x:c>
      <x:c r="BG4" s="6" t="str">
        <x:v>105.38833244898345</x:v>
      </x:c>
      <x:c r="BH4" s="9" t="str">
        <x:v>0.886355010973821</x:v>
      </x:c>
      <x:c r="BI4" s="8" t="str">
        <x:v>84</x:v>
      </x:c>
      <x:c r="BJ4" s="9" t="str">
        <x:v>-0.07651046865154797</x:v>
      </x:c>
      <x:c r="BK4" s="9" t="str">
        <x:v>-6.426879366730029</x:v>
      </x:c>
      <x:c r="BL4" s="9" t="str">
        <x:v>0.8636838130924774</x:v>
      </x:c>
      <x:c r="BM4" s="8" t="str">
        <x:v>84</x:v>
      </x:c>
      <x:c r="BN4" s="10" t="str">
        <x:v>-0.07651046865154797</x:v>
      </x:c>
      <x:c r="BO4" s="10" t="str">
        <x:v>-6.426879366730029</x:v>
      </x:c>
      <x:c r="BP4" s="10" t="str">
        <x:v>0.8636838130924774</x:v>
      </x:c>
      <x:c r="BQ4" s="8" t="str">
        <x:v>82</x:v>
      </x:c>
      <x:c r="BR4" s="9" t="str">
        <x:v>-0.12677395551199855</x:v>
      </x:c>
      <x:c r="BS4" s="9" t="str">
        <x:v>-10.39546435198388</x:v>
      </x:c>
      <x:c r="BT4" s="9" t="str">
        <x:v>0.7795088439140064</x:v>
      </x:c>
      <x:c r="BU4" s="6" t="str">
        <x:v>False</x:v>
      </x:c>
      <x:c r="BV4" s="9" t="str">
        <x:v>0.886355010973821</x:v>
      </x:c>
      <x:c r="BW4" s="9" t="str">
        <x:v>False</x:v>
      </x:c>
      <x:c r="BX4" s="6" t="str">
        <x:v>False</x:v>
      </x:c>
      <x:c r="BY4" s="6" t="str">
        <x:v>False</x:v>
      </x:c>
      <x:c r="BZ4" s="8" t="str">
        <x:v>5</x:v>
      </x:c>
      <x:c r="CA4" s="8" t="str">
        <x:v>0</x:v>
      </x:c>
    </x:row>
    <x:row r="5" ht="18" customHeight="1">
      <x:c r="A5" s="6" t="str">
        <x:v>F::Long::Same-bar Setup+BOS::Penetration + same-bar reclaim</x:v>
      </x:c>
      <x:c r="B5" s="6" t="str">
        <x:v>Long × Same-bar Setup+BOS × Penetration + same-bar reclaim</x:v>
      </x:c>
      <x:c r="C5" s="8" t="str">
        <x:v>222</x:v>
      </x:c>
      <x:c r="D5" s="10" t="str">
        <x:v>31.48936170212766</x:v>
      </x:c>
      <x:c r="E5" s="8" t="str">
        <x:v>93</x:v>
      </x:c>
      <x:c r="F5" s="8" t="str">
        <x:v>128</x:v>
      </x:c>
      <x:c r="G5" s="8" t="str">
        <x:v>1</x:v>
      </x:c>
      <x:c r="H5" s="10" t="str">
        <x:v>41.891891891891895</x:v>
      </x:c>
      <x:c r="I5" s="9" t="str">
        <x:v>-0.027671607326655762</x:v>
      </x:c>
      <x:c r="J5" s="9" t="str">
        <x:v>-0.5107645514584898</x:v>
      </x:c>
      <x:c r="K5" s="9" t="str">
        <x:v>-6.14309682651758</x:v>
      </x:c>
      <x:c r="L5" s="9" t="str">
        <x:v>0.9437619076017433</x:v>
      </x:c>
      <x:c r="M5" s="9" t="str">
        <x:v>21.578461429055267</x:v>
      </x:c>
      <x:c r="N5" s="8" t="str">
        <x:v>93</x:v>
      </x:c>
      <x:c r="O5" s="8" t="str">
        <x:v>129</x:v>
      </x:c>
      <x:c r="P5" s="8" t="str">
        <x:v>0</x:v>
      </x:c>
      <x:c r="Q5" s="10" t="str">
        <x:v>41.891891891891895</x:v>
      </x:c>
      <x:c r="R5" s="9" t="str">
        <x:v>-0.0589890695932279</x:v>
      </x:c>
      <x:c r="S5" s="9" t="str">
        <x:v>-0.5384508455502213</x:v>
      </x:c>
      <x:c r="T5" s="9" t="str">
        <x:v>-13.095573449696595</x:v>
      </x:c>
      <x:c r="U5" s="9" t="str">
        <x:v>0.8844147579186667</x:v>
      </x:c>
      <x:c r="V5" s="9" t="str">
        <x:v>25.738379542569113</x:v>
      </x:c>
      <x:c r="W5" s="9" t="str">
        <x:v>0.9655999794845114</x:v>
      </x:c>
      <x:c r="X5" s="9" t="str">
        <x:v>0.9319172064375961</x:v>
      </x:c>
      <x:c r="Y5" s="8" t="str">
        <x:v>483</x:v>
      </x:c>
      <x:c r="Z5" s="10" t="str">
        <x:v>68.51063829787235</x:v>
      </x:c>
      <x:c r="AA5" s="8" t="str">
        <x:v>196</x:v>
      </x:c>
      <x:c r="AB5" s="8" t="str">
        <x:v>287</x:v>
      </x:c>
      <x:c r="AC5" s="8" t="str">
        <x:v>0</x:v>
      </x:c>
      <x:c r="AD5" s="10" t="str">
        <x:v>40.57971014492754</x:v>
      </x:c>
      <x:c r="AE5" s="9" t="str">
        <x:v>-0.04032607563907341</x:v>
      </x:c>
      <x:c r="AF5" s="9" t="str">
        <x:v>-1.0</x:v>
      </x:c>
      <x:c r="AG5" s="9" t="str">
        <x:v>-19.477494533672456</x:v>
      </x:c>
      <x:c r="AH5" s="9" t="str">
        <x:v>0.9247689130239073</x:v>
      </x:c>
      <x:c r="AI5" s="9" t="str">
        <x:v>30.761570635481252</x:v>
      </x:c>
      <x:c r="AJ5" s="8" t="str">
        <x:v>191</x:v>
      </x:c>
      <x:c r="AK5" s="8" t="str">
        <x:v>292</x:v>
      </x:c>
      <x:c r="AL5" s="8" t="str">
        <x:v>0</x:v>
      </x:c>
      <x:c r="AM5" s="10" t="str">
        <x:v>39.54451345755693</x:v>
      </x:c>
      <x:c r="AN5" s="9" t="str">
        <x:v>-0.07443787288700036</x:v>
      </x:c>
      <x:c r="AO5" s="9" t="str">
        <x:v>-1.0064529986206256</x:v>
      </x:c>
      <x:c r="AP5" s="9" t="str">
        <x:v>-35.95349260442118</x:v>
      </x:c>
      <x:c r="AQ5" s="9" t="str">
        <x:v>0.866470551506817</x:v>
      </x:c>
      <x:c r="AR5" s="9" t="str">
        <x:v>44.701045188465095</x:v>
      </x:c>
      <x:c r="AS5" s="9" t="str">
        <x:v>1.043841420185229</x:v>
      </x:c>
      <x:c r="AT5" s="9" t="str">
        <x:v>0.8857335390654962</x:v>
      </x:c>
      <x:c r="AU5" s="9" t="str">
        <x:v>0.015448803293772462</x:v>
      </x:c>
      <x:c r="AV5" s="6" t="str">
        <x:v>1</x:v>
      </x:c>
      <x:c r="AW5" s="6" t="str">
        <x:v>2</x:v>
      </x:c>
      <x:c r="AX5" s="6" t="str">
        <x:v>3</x:v>
      </x:c>
      <x:c r="AY5" s="6" t="str">
        <x:v>0</x:v>
      </x:c>
      <x:c r="AZ5" s="6" t="str">
        <x:v>2</x:v>
      </x:c>
      <x:c r="BA5" s="6" t="str">
        <x:v>False</x:v>
      </x:c>
      <x:c r="BB5" s="6" t="str">
        <x:v>True</x:v>
      </x:c>
      <x:c r="BC5" s="9" t="str">
        <x:v>{"2024":-3.2847058867012597,"2025":-17.84519671303032,"2026":8.03432915003498}</x:v>
      </x:c>
      <x:c r="BD5" s="9" t="str">
        <x:v>{"First 50%":-4.440218292663679,"Second 50%":-8.655355157032915}</x:v>
      </x:c>
      <x:c r="BE5" s="10" t="str">
        <x:v>29.616271050448546</x:v>
      </x:c>
      <x:c r="BF5" s="6" t="str">
        <x:v>0.17097729557723412</x:v>
      </x:c>
      <x:c r="BG5" s="6" t="str">
        <x:v>455.2166807354853</x:v>
      </x:c>
      <x:c r="BH5" s="9" t="str">
        <x:v>0.8643175885616454</x:v>
      </x:c>
      <x:c r="BI5" s="8" t="str">
        <x:v>221</x:v>
      </x:c>
      <x:c r="BJ5" s="9" t="str">
        <x:v>-0.06823252080371124</x:v>
      </x:c>
      <x:c r="BK5" s="9" t="str">
        <x:v>-15.079387097620184</x:v>
      </x:c>
      <x:c r="BL5" s="9" t="str">
        <x:v>0.866905056520687</x:v>
      </x:c>
      <x:c r="BM5" s="8" t="str">
        <x:v>219</x:v>
      </x:c>
      <x:c r="BN5" s="10" t="str">
        <x:v>-0.08694558157735767</x:v>
      </x:c>
      <x:c r="BO5" s="10" t="str">
        <x:v>-19.04108236544133</x:v>
      </x:c>
      <x:c r="BP5" s="10" t="str">
        <x:v>0.8319380114850081</x:v>
      </x:c>
      <x:c r="BQ5" s="8" t="str">
        <x:v>219</x:v>
      </x:c>
      <x:c r="BR5" s="9" t="str">
        <x:v>-0.08694558157735767</x:v>
      </x:c>
      <x:c r="BS5" s="9" t="str">
        <x:v>-19.04108236544133</x:v>
      </x:c>
      <x:c r="BT5" s="9" t="str">
        <x:v>0.8319380114850081</x:v>
      </x:c>
      <x:c r="BU5" s="6" t="str">
        <x:v>False</x:v>
      </x:c>
      <x:c r="BV5" s="9" t="str">
        <x:v>0.886355010973821</x:v>
      </x:c>
      <x:c r="BW5" s="9" t="str">
        <x:v>False</x:v>
      </x:c>
      <x:c r="BX5" s="6" t="str">
        <x:v>False</x:v>
      </x:c>
      <x:c r="BY5" s="6" t="str">
        <x:v>False</x:v>
      </x:c>
      <x:c r="BZ5" s="8" t="str">
        <x:v>5</x:v>
      </x:c>
      <x:c r="CA5" s="8" t="str">
        <x:v>0</x:v>
      </x:c>
    </x:row>
    <x:row r="6" ht="18" customHeight="1">
      <x:c r="A6" s="6" t="str">
        <x:v>F::Long::Same-bar Setup+BOS::Tolerance-only shallow touch</x:v>
      </x:c>
      <x:c r="B6" s="6" t="str">
        <x:v>Long × Same-bar Setup+BOS × Tolerance-only shallow touch</x:v>
      </x:c>
      <x:c r="C6" s="8" t="str">
        <x:v>80</x:v>
      </x:c>
      <x:c r="D6" s="10" t="str">
        <x:v>11.347517730496454</x:v>
      </x:c>
      <x:c r="E6" s="8" t="str">
        <x:v>37</x:v>
      </x:c>
      <x:c r="F6" s="8" t="str">
        <x:v>43</x:v>
      </x:c>
      <x:c r="G6" s="8" t="str">
        <x:v>0</x:v>
      </x:c>
      <x:c r="H6" s="10" t="str">
        <x:v>46.25</x:v>
      </x:c>
      <x:c r="I6" s="9" t="str">
        <x:v>-0.0760745591324536</x:v>
      </x:c>
      <x:c r="J6" s="9" t="str">
        <x:v>-0.46705628325642157</x:v>
      </x:c>
      <x:c r="K6" s="9" t="str">
        <x:v>-6.085964730596288</x:v>
      </x:c>
      <x:c r="L6" s="9" t="str">
        <x:v>0.8494124731881622</x:v>
      </x:c>
      <x:c r="M6" s="9" t="str">
        <x:v>12.63135581197572</x:v>
      </x:c>
      <x:c r="N6" s="8" t="str">
        <x:v>36</x:v>
      </x:c>
      <x:c r="O6" s="8" t="str">
        <x:v>44</x:v>
      </x:c>
      <x:c r="P6" s="8" t="str">
        <x:v>0</x:v>
      </x:c>
      <x:c r="Q6" s="10" t="str">
        <x:v>45.0</x:v>
      </x:c>
      <x:c r="R6" s="9" t="str">
        <x:v>-0.11049556035857784</x:v>
      </x:c>
      <x:c r="S6" s="9" t="str">
        <x:v>-0.4889213236220139</x:v>
      </x:c>
      <x:c r="T6" s="9" t="str">
        <x:v>-8.839644828686227</x:v>
      </x:c>
      <x:c r="U6" s="9" t="str">
        <x:v>0.7901929623320415</x:v>
      </x:c>
      <x:c r="V6" s="9" t="str">
        <x:v>14.441716883954843</x:v>
      </x:c>
      <x:c r="W6" s="9" t="str">
        <x:v>0.8801836407843691</x:v>
      </x:c>
      <x:c r="X6" s="9" t="str">
        <x:v>0.8678064121497553</x:v>
      </x:c>
      <x:c r="Y6" s="8" t="str">
        <x:v>625</x:v>
      </x:c>
      <x:c r="Z6" s="10" t="str">
        <x:v>88.65248226950355</x:v>
      </x:c>
      <x:c r="AA6" s="8" t="str">
        <x:v>252</x:v>
      </x:c>
      <x:c r="AB6" s="8" t="str">
        <x:v>372</x:v>
      </x:c>
      <x:c r="AC6" s="8" t="str">
        <x:v>1</x:v>
      </x:c>
      <x:c r="AD6" s="10" t="str">
        <x:v>40.32</x:v>
      </x:c>
      <x:c r="AE6" s="9" t="str">
        <x:v>-0.031255402607349984</x:v>
      </x:c>
      <x:c r="AF6" s="9" t="str">
        <x:v>-0.6359467800107608</x:v>
      </x:c>
      <x:c r="AG6" s="9" t="str">
        <x:v>-19.534626629593742</x:v>
      </x:c>
      <x:c r="AH6" s="9" t="str">
        <x:v>0.9403925346827046</x:v>
      </x:c>
      <x:c r="AI6" s="9" t="str">
        <x:v>41.3913544698384</x:v>
      </x:c>
      <x:c r="AJ6" s="8" t="str">
        <x:v>248</x:v>
      </x:c>
      <x:c r="AK6" s="8" t="str">
        <x:v>377</x:v>
      </x:c>
      <x:c r="AL6" s="8" t="str">
        <x:v>0</x:v>
      </x:c>
      <x:c r="AM6" s="10" t="str">
        <x:v>39.68</x:v>
      </x:c>
      <x:c r="AN6" s="9" t="str">
        <x:v>-0.06433507396069048</x:v>
      </x:c>
      <x:c r="AO6" s="9" t="str">
        <x:v>-0.6647574133091304</x:v>
      </x:c>
      <x:c r="AP6" s="9" t="str">
        <x:v>-40.20942122543155</x:v>
      </x:c>
      <x:c r="AQ6" s="9" t="str">
        <x:v>0.8818832067405563</x:v>
      </x:c>
      <x:c r="AR6" s="9" t="str">
        <x:v>54.38412260828742</x:v>
      </x:c>
      <x:c r="AS6" s="9" t="str">
        <x:v>1.0369982562116442</x:v>
      </x:c>
      <x:c r="AT6" s="9" t="str">
        <x:v>0.9044326499612811</x:v>
      </x:c>
      <x:c r="AU6" s="9" t="str">
        <x:v>-0.04616048639788736</x:v>
      </x:c>
      <x:c r="AV6" s="6" t="str">
        <x:v>1</x:v>
      </x:c>
      <x:c r="AW6" s="6" t="str">
        <x:v>2</x:v>
      </x:c>
      <x:c r="AX6" s="6" t="str">
        <x:v>3</x:v>
      </x:c>
      <x:c r="AY6" s="6" t="str">
        <x:v>1</x:v>
      </x:c>
      <x:c r="AZ6" s="6" t="str">
        <x:v>1</x:v>
      </x:c>
      <x:c r="BA6" s="6" t="str">
        <x:v>False</x:v>
      </x:c>
      <x:c r="BB6" s="6" t="str">
        <x:v>False</x:v>
      </x:c>
      <x:c r="BC6" s="9" t="str">
        <x:v>{"2024":2.587330827019102,"2025":-1.4473813524408399,"2026":-9.97959430326449}</x:v>
      </x:c>
      <x:c r="BD6" s="9" t="str">
        <x:v>{"First 50%":0.5532284110485746,"Second 50%":-9.392873239734802}</x:v>
      </x:c>
      <x:c r="BE6" s="10" t="str">
        <x:v>11.013440404807413</x:v>
      </x:c>
      <x:c r="BF6" s="6" t="str">
        <x:v>-0.35769753842667956</x:v>
      </x:c>
      <x:c r="BG6" s="6" t="str">
        <x:v>103.32206115942343</x:v>
      </x:c>
      <x:c r="BH6" s="9" t="str">
        <x:v>0.7212993350836652</x:v>
      </x:c>
      <x:c r="BI6" s="8" t="str">
        <x:v>79</x:v>
      </x:c>
      <x:c r="BJ6" s="9" t="str">
        <x:v>-0.1371142305667619</x:v>
      </x:c>
      <x:c r="BK6" s="9" t="str">
        <x:v>-10.832024214774188</x:v>
      </x:c>
      <x:c r="BL6" s="9" t="str">
        <x:v>0.742904273136149</x:v>
      </x:c>
      <x:c r="BM6" s="8" t="str">
        <x:v>79</x:v>
      </x:c>
      <x:c r="BN6" s="10" t="str">
        <x:v>-0.1371142305667619</x:v>
      </x:c>
      <x:c r="BO6" s="10" t="str">
        <x:v>-10.832024214774188</x:v>
      </x:c>
      <x:c r="BP6" s="10" t="str">
        <x:v>0.742904273136149</x:v>
      </x:c>
      <x:c r="BQ6" s="8" t="str">
        <x:v>77</x:v>
      </x:c>
      <x:c r="BR6" s="9" t="str">
        <x:v>-0.19226418769300357</x:v>
      </x:c>
      <x:c r="BS6" s="9" t="str">
        <x:v>-14.804342452361276</x:v>
      </x:c>
      <x:c r="BT6" s="9" t="str">
        <x:v>0.648622168113337</x:v>
      </x:c>
      <x:c r="BU6" s="6" t="str">
        <x:v>False</x:v>
      </x:c>
      <x:c r="BV6" s="9" t="str">
        <x:v>0.886355010973821</x:v>
      </x:c>
      <x:c r="BW6" s="9" t="str">
        <x:v>False</x:v>
      </x:c>
      <x:c r="BX6" s="6" t="str">
        <x:v>False</x:v>
      </x:c>
      <x:c r="BY6" s="6" t="str">
        <x:v>False</x:v>
      </x:c>
      <x:c r="BZ6" s="8" t="str">
        <x:v>5</x:v>
      </x:c>
      <x:c r="CA6" s="8" t="str">
        <x:v>0</x:v>
      </x:c>
    </x:row>
  </x:sheetData>
  <x:conditionalFormatting sqref="R2:R6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T2:T6">
    <x:cfRule type="colorScale" priority="2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U2:U6">
    <x:cfRule type="colorScale" priority="3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BW2:BW6">
    <x:cfRule type="containsText" dxfId="0" priority="4" operator="containsText" text="TRUE"/>
  </x:conditionalFormatting>
  <x:conditionalFormatting sqref="BX2:BX6">
    <x:cfRule type="containsText" dxfId="1" priority="5" operator="containsText" text="TRUE"/>
  </x:conditionalFormatting>
  <x:conditionalFormatting sqref="BY2:BY6">
    <x:cfRule type="containsText" dxfId="2" priority="6" operator="containsText" text="TRU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45" hidden="0" customWidth="1"/>
    <x:col min="3" max="3" width="13" hidden="0" customWidth="1"/>
    <x:col min="4" max="4" width="10" hidden="0" customWidth="1"/>
    <x:col min="5" max="5" width="10" hidden="0" customWidth="1"/>
    <x:col min="6" max="6" width="16" hidden="0" customWidth="1"/>
    <x:col min="7" max="7" width="12" hidden="0" customWidth="1"/>
    <x:col min="8" max="8" width="14" hidden="0" customWidth="1"/>
    <x:col min="9" max="9" width="13" hidden="0" customWidth="1"/>
    <x:col min="10" max="10" width="20" hidden="0" customWidth="1"/>
    <x:col min="11" max="11" width="12" hidden="0" customWidth="1"/>
    <x:col min="12" max="12" width="16" hidden="0" customWidth="1"/>
    <x:col min="13" max="13" width="14" hidden="0" customWidth="1"/>
    <x:col min="14" max="14" width="10" hidden="0" customWidth="1"/>
    <x:col min="15" max="15" width="15" hidden="0" customWidth="1"/>
    <x:col min="16" max="16" width="10" hidden="0" customWidth="1"/>
    <x:col min="17" max="17" width="12" hidden="0" customWidth="1"/>
    <x:col min="18" max="18" width="11" hidden="0" customWidth="1"/>
    <x:col min="19" max="19" width="18" hidden="0" customWidth="1"/>
    <x:col min="20" max="20" width="10" hidden="0" customWidth="1"/>
    <x:col min="21" max="21" width="14" hidden="0" customWidth="1"/>
    <x:col min="22" max="22" width="12" hidden="0" customWidth="1"/>
    <x:col min="23" max="23" width="10" hidden="0" customWidth="1"/>
    <x:col min="24" max="24" width="13" hidden="0" customWidth="1"/>
    <x:col min="25" max="25" width="11" hidden="0" customWidth="1"/>
    <x:col min="26" max="26" width="11" hidden="0" customWidth="1"/>
  </x:cols>
  <x:sheetData>
    <x:row r="1" ht="46" customHeight="1">
      <x:c r="A1" s="5" t="str">
        <x:v>family_id</x:v>
      </x:c>
      <x:c r="B1" s="5" t="str">
        <x:v>family_definition</x:v>
      </x:c>
      <x:c r="C1" s="5" t="str">
        <x:v>period_type</x:v>
      </x:c>
      <x:c r="D1" s="5" t="str">
        <x:v>period</x:v>
      </x:c>
      <x:c r="E1" s="5" t="str">
        <x:v>N</x:v>
      </x:c>
      <x:c r="F1" s="5" t="str">
        <x:v>pct_all_trades</x:v>
      </x:c>
      <x:c r="G1" s="5" t="str">
        <x:v>gross_wins</x:v>
      </x:c>
      <x:c r="H1" s="5" t="str">
        <x:v>gross_losses</x:v>
      </x:c>
      <x:c r="I1" s="5" t="str">
        <x:v>gross_flats</x:v>
      </x:c>
      <x:c r="J1" s="5" t="str">
        <x:v>gross_win_rate_pct</x:v>
      </x:c>
      <x:c r="K1" s="5" t="str">
        <x:v>gross_AvgR</x:v>
      </x:c>
      <x:c r="L1" s="5" t="str">
        <x:v>gross_median_R</x:v>
      </x:c>
      <x:c r="M1" s="5" t="str">
        <x:v>gross_TotalR</x:v>
      </x:c>
      <x:c r="N1" s="5" t="str">
        <x:v>gross_PF</x:v>
      </x:c>
      <x:c r="O1" s="5" t="str">
        <x:v>gross_MaxDD_R</x:v>
      </x:c>
      <x:c r="P1" s="5" t="str">
        <x:v>net_wins</x:v>
      </x:c>
      <x:c r="Q1" s="5" t="str">
        <x:v>net_losses</x:v>
      </x:c>
      <x:c r="R1" s="5" t="str">
        <x:v>net_flats</x:v>
      </x:c>
      <x:c r="S1" s="5" t="str">
        <x:v>net_win_rate_pct</x:v>
      </x:c>
      <x:c r="T1" s="5" t="str">
        <x:v>net_AvgR</x:v>
      </x:c>
      <x:c r="U1" s="5" t="str">
        <x:v>net_median_R</x:v>
      </x:c>
      <x:c r="V1" s="5" t="str">
        <x:v>net_TotalR</x:v>
      </x:c>
      <x:c r="W1" s="5" t="str">
        <x:v>net_PF</x:v>
      </x:c>
      <x:c r="X1" s="5" t="str">
        <x:v>net_MaxDD_R</x:v>
      </x:c>
      <x:c r="Y1" s="5" t="str">
        <x:v>avg_MFE_R</x:v>
      </x:c>
      <x:c r="Z1" s="5" t="str">
        <x:v>avg_MAE_R</x:v>
      </x:c>
    </x:row>
    <x:row r="2" ht="18" customHeight="1">
      <x:c r="A2" s="6" t="str">
        <x:v>F::Long::Same-bar Setup+BOS::Penetration + same-bar reclaim</x:v>
      </x:c>
      <x:c r="B2" s="6" t="str">
        <x:v>Long × Same-bar Setup+BOS × Penetration + same-bar reclaim</x:v>
      </x:c>
      <x:c r="C2" s="6" t="str">
        <x:v>Year</x:v>
      </x:c>
      <x:c r="D2" s="6" t="str">
        <x:v>2024</x:v>
      </x:c>
      <x:c r="E2" s="8" t="str">
        <x:v>104</x:v>
      </x:c>
      <x:c r="F2" s="10" t="str">
        <x:v>14.75177304964539</x:v>
      </x:c>
      <x:c r="G2" s="8" t="str">
        <x:v>43</x:v>
      </x:c>
      <x:c r="H2" s="8" t="str">
        <x:v>60</x:v>
      </x:c>
      <x:c r="I2" s="8" t="str">
        <x:v>1</x:v>
      </x:c>
      <x:c r="J2" s="10" t="str">
        <x:v>41.34615384615385</x:v>
      </x:c>
      <x:c r="K2" s="9" t="str">
        <x:v>0.004018958946459385</x:v>
      </x:c>
      <x:c r="L2" s="9" t="str">
        <x:v>-0.5336982274588633</x:v>
      </x:c>
      <x:c r="M2" s="9" t="str">
        <x:v>0.41797173043177605</x:v>
      </x:c>
      <x:c r="N2" s="9" t="str">
        <x:v>1.0081388264598241</x:v>
      </x:c>
      <x:c r="O2" s="9" t="str">
        <x:v>8.875681199421194</x:v>
      </x:c>
      <x:c r="P2" s="8" t="str">
        <x:v>43</x:v>
      </x:c>
      <x:c r="Q2" s="8" t="str">
        <x:v>61</x:v>
      </x:c>
      <x:c r="R2" s="8" t="str">
        <x:v>0</x:v>
      </x:c>
      <x:c r="S2" s="10" t="str">
        <x:v>41.34615384615385</x:v>
      </x:c>
      <x:c r="T2" s="9" t="str">
        <x:v>-0.031583710449050575</x:v>
      </x:c>
      <x:c r="U2" s="9" t="str">
        <x:v>-0.557795093219303</x:v>
      </x:c>
      <x:c r="V2" s="9" t="str">
        <x:v>-3.2847058867012597</x:v>
      </x:c>
      <x:c r="W2" s="9" t="str">
        <x:v>0.9385687687356489</x:v>
      </x:c>
      <x:c r="X2" s="9" t="str">
        <x:v>10.3267961265297</x:v>
      </x:c>
      <x:c r="Y2" s="9" t="str">
        <x:v>0.9603172863138395</x:v>
      </x:c>
      <x:c r="Z2" s="9" t="str">
        <x:v>0.9638271134345137</x:v>
      </x:c>
    </x:row>
    <x:row r="3" ht="18" customHeight="1">
      <x:c r="A3" s="6" t="str">
        <x:v>F::Long::Same-bar Setup+BOS::Penetration + same-bar reclaim</x:v>
      </x:c>
      <x:c r="B3" s="6" t="str">
        <x:v>Long × Same-bar Setup+BOS × Penetration + same-bar reclaim</x:v>
      </x:c>
      <x:c r="C3" s="6" t="str">
        <x:v>Year</x:v>
      </x:c>
      <x:c r="D3" s="6" t="str">
        <x:v>2025</x:v>
      </x:c>
      <x:c r="E3" s="8" t="str">
        <x:v>75</x:v>
      </x:c>
      <x:c r="F3" s="10" t="str">
        <x:v>10.638297872340425</x:v>
      </x:c>
      <x:c r="G3" s="8" t="str">
        <x:v>27</x:v>
      </x:c>
      <x:c r="H3" s="8" t="str">
        <x:v>48</x:v>
      </x:c>
      <x:c r="I3" s="8" t="str">
        <x:v>0</x:v>
      </x:c>
      <x:c r="J3" s="10" t="str">
        <x:v>36.0</x:v>
      </x:c>
      <x:c r="K3" s="9" t="str">
        <x:v>-0.20640085948817039</x:v>
      </x:c>
      <x:c r="L3" s="9" t="str">
        <x:v>-0.6087169597707835</x:v>
      </x:c>
      <x:c r="M3" s="9" t="str">
        <x:v>-15.480064461612779</x:v>
      </x:c>
      <x:c r="N3" s="9" t="str">
        <x:v>0.6127057127647911</x:v>
      </x:c>
      <x:c r="O3" s="9" t="str">
        <x:v>19.973962317317813</x:v>
      </x:c>
      <x:c r="P3" s="8" t="str">
        <x:v>27</x:v>
      </x:c>
      <x:c r="Q3" s="8" t="str">
        <x:v>48</x:v>
      </x:c>
      <x:c r="R3" s="8" t="str">
        <x:v>0</x:v>
      </x:c>
      <x:c r="S3" s="10" t="str">
        <x:v>36.0</x:v>
      </x:c>
      <x:c r="T3" s="9" t="str">
        <x:v>-0.23793595617373758</x:v>
      </x:c>
      <x:c r="U3" s="9" t="str">
        <x:v>-0.658995187666252</x:v>
      </x:c>
      <x:c r="V3" s="9" t="str">
        <x:v>-17.84519671303032</x:v>
      </x:c>
      <x:c r="W3" s="9" t="str">
        <x:v>0.5705167101339045</x:v>
      </x:c>
      <x:c r="X3" s="9" t="str">
        <x:v>21.963896623330122</x:v>
      </x:c>
      <x:c r="Y3" s="9" t="str">
        <x:v>0.9070320077998711</x:v>
      </x:c>
      <x:c r="Z3" s="9" t="str">
        <x:v>0.9416950081817042</x:v>
      </x:c>
    </x:row>
    <x:row r="4" ht="18" customHeight="1">
      <x:c r="A4" s="6" t="str">
        <x:v>F::Long::Same-bar Setup+BOS::Penetration + same-bar reclaim</x:v>
      </x:c>
      <x:c r="B4" s="6" t="str">
        <x:v>Long × Same-bar Setup+BOS × Penetration + same-bar reclaim</x:v>
      </x:c>
      <x:c r="C4" s="6" t="str">
        <x:v>Year</x:v>
      </x:c>
      <x:c r="D4" s="6" t="str">
        <x:v>2026</x:v>
      </x:c>
      <x:c r="E4" s="8" t="str">
        <x:v>43</x:v>
      </x:c>
      <x:c r="F4" s="10" t="str">
        <x:v>6.099290780141844</x:v>
      </x:c>
      <x:c r="G4" s="8" t="str">
        <x:v>23</x:v>
      </x:c>
      <x:c r="H4" s="8" t="str">
        <x:v>20</x:v>
      </x:c>
      <x:c r="I4" s="8" t="str">
        <x:v>0</x:v>
      </x:c>
      <x:c r="J4" s="10" t="str">
        <x:v>53.48837209302325</x:v>
      </x:c>
      <x:c r="K4" s="9" t="str">
        <x:v>0.2074185094107773</x:v>
      </x:c>
      <x:c r="L4" s="9" t="str">
        <x:v>0.033030888748634205</x:v>
      </x:c>
      <x:c r="M4" s="9" t="str">
        <x:v>8.918995904663424</x:v>
      </x:c>
      <x:c r="N4" s="9" t="str">
        <x:v>1.4980264419406777</x:v>
      </x:c>
      <x:c r="O4" s="9" t="str">
        <x:v>4.768570956881814</x:v>
      </x:c>
      <x:c r="P4" s="8" t="str">
        <x:v>23</x:v>
      </x:c>
      <x:c r="Q4" s="8" t="str">
        <x:v>20</x:v>
      </x:c>
      <x:c r="R4" s="8" t="str">
        <x:v>0</x:v>
      </x:c>
      <x:c r="S4" s="10" t="str">
        <x:v>53.48837209302325</x:v>
      </x:c>
      <x:c r="T4" s="9" t="str">
        <x:v>0.18684486395430186</x:v>
      </x:c>
      <x:c r="U4" s="9" t="str">
        <x:v>0.007357394664375542</x:v>
      </x:c>
      <x:c r="V4" s="9" t="str">
        <x:v>8.03432915003498</x:v>
      </x:c>
      <x:c r="W4" s="9" t="str">
        <x:v>1.43956416870358</x:v>
      </x:c>
      <x:c r="X4" s="9" t="str">
        <x:v>5.012166211464246</x:v>
      </x:c>
      <x:c r="Y4" s="9" t="str">
        <x:v>1.0805301647426024</x:v>
      </x:c>
      <x:c r="Z4" s="9" t="str">
        <x:v>0.8376854515890492</x:v>
      </x:c>
    </x:row>
    <x:row r="5" ht="18" customHeight="1">
      <x:c r="A5" s="6" t="str">
        <x:v>F::Long::Same-bar Setup+BOS::Penetration + same-bar reclaim</x:v>
      </x:c>
      <x:c r="B5" s="6" t="str">
        <x:v>Long × Same-bar Setup+BOS × Penetration + same-bar reclaim</x:v>
      </x:c>
      <x:c r="C5" s="6" t="str">
        <x:v>Chronological half</x:v>
      </x:c>
      <x:c r="D5" s="6" t="str">
        <x:v>First 50%</x:v>
      </x:c>
      <x:c r="E5" s="8" t="str">
        <x:v>118</x:v>
      </x:c>
      <x:c r="F5" s="10" t="str">
        <x:v>16.73758865248227</x:v>
      </x:c>
      <x:c r="G5" s="8" t="str">
        <x:v>49</x:v>
      </x:c>
      <x:c r="H5" s="8" t="str">
        <x:v>68</x:v>
      </x:c>
      <x:c r="I5" s="8" t="str">
        <x:v>1</x:v>
      </x:c>
      <x:c r="J5" s="10" t="str">
        <x:v>41.52542372881356</x:v>
      </x:c>
      <x:c r="K5" s="9" t="str">
        <x:v>-0.0026711141755020157</x:v>
      </x:c>
      <x:c r="L5" s="9" t="str">
        <x:v>-0.5107645514584898</x:v>
      </x:c>
      <x:c r="M5" s="9" t="str">
        <x:v>-0.31519147270923786</x:v>
      </x:c>
      <x:c r="N5" s="9" t="str">
        <x:v>0.9945231287059485</x:v>
      </x:c>
      <x:c r="O5" s="9" t="str">
        <x:v>8.875681199421194</x:v>
      </x:c>
      <x:c r="P5" s="8" t="str">
        <x:v>49</x:v>
      </x:c>
      <x:c r="Q5" s="8" t="str">
        <x:v>69</x:v>
      </x:c>
      <x:c r="R5" s="8" t="str">
        <x:v>0</x:v>
      </x:c>
      <x:c r="S5" s="10" t="str">
        <x:v>41.52542372881356</x:v>
      </x:c>
      <x:c r="T5" s="9" t="str">
        <x:v>-0.037628968581895586</x:v>
      </x:c>
      <x:c r="U5" s="9" t="str">
        <x:v>-0.5384508455502213</x:v>
      </x:c>
      <x:c r="V5" s="9" t="str">
        <x:v>-4.440218292663679</x:v>
      </x:c>
      <x:c r="W5" s="9" t="str">
        <x:v>0.9258668286506898</x:v>
      </x:c>
      <x:c r="X5" s="9" t="str">
        <x:v>10.3267961265297</x:v>
      </x:c>
      <x:c r="Y5" s="9" t="str">
        <x:v>0.9670896185169535</x:v>
      </x:c>
      <x:c r="Z5" s="9" t="str">
        <x:v>0.959336799039161</x:v>
      </x:c>
    </x:row>
    <x:row r="6" ht="18" customHeight="1">
      <x:c r="A6" s="6" t="str">
        <x:v>F::Long::Same-bar Setup+BOS::Penetration + same-bar reclaim</x:v>
      </x:c>
      <x:c r="B6" s="6" t="str">
        <x:v>Long × Same-bar Setup+BOS × Penetration + same-bar reclaim</x:v>
      </x:c>
      <x:c r="C6" s="6" t="str">
        <x:v>Chronological half</x:v>
      </x:c>
      <x:c r="D6" s="6" t="str">
        <x:v>Second 50%</x:v>
      </x:c>
      <x:c r="E6" s="8" t="str">
        <x:v>104</x:v>
      </x:c>
      <x:c r="F6" s="10" t="str">
        <x:v>14.75177304964539</x:v>
      </x:c>
      <x:c r="G6" s="8" t="str">
        <x:v>44</x:v>
      </x:c>
      <x:c r="H6" s="8" t="str">
        <x:v>60</x:v>
      </x:c>
      <x:c r="I6" s="8" t="str">
        <x:v>0</x:v>
      </x:c>
      <x:c r="J6" s="10" t="str">
        <x:v>42.30769230769231</x:v>
      </x:c>
      <x:c r="K6" s="9" t="str">
        <x:v>-0.05603755147892637</x:v>
      </x:c>
      <x:c r="L6" s="9" t="str">
        <x:v>-0.4500784315711779</x:v>
      </x:c>
      <x:c r="M6" s="9" t="str">
        <x:v>-5.827905353808342</x:v>
      </x:c>
      <x:c r="N6" s="9" t="str">
        <x:v>0.8872400648638995</x:v>
      </x:c>
      <x:c r="O6" s="9" t="str">
        <x:v>16.30374052476904</x:v>
      </x:c>
      <x:c r="P6" s="8" t="str">
        <x:v>44</x:v>
      </x:c>
      <x:c r="Q6" s="8" t="str">
        <x:v>60</x:v>
      </x:c>
      <x:c r="R6" s="8" t="str">
        <x:v>0</x:v>
      </x:c>
      <x:c r="S6" s="10" t="str">
        <x:v>42.30769230769231</x:v>
      </x:c>
      <x:c r="T6" s="9" t="str">
        <x:v>-0.08322456881762418</x:v>
      </x:c>
      <x:c r="U6" s="9" t="str">
        <x:v>-0.4796482895650327</x:v>
      </x:c>
      <x:c r="V6" s="9" t="str">
        <x:v>-8.655355157032915</x:v>
      </x:c>
      <x:c r="W6" s="9" t="str">
        <x:v>0.8379232249311855</x:v>
      </x:c>
      <x:c r="X6" s="9" t="str">
        <x:v>17.961017869511945</x:v>
      </x:c>
      <x:c r="Y6" s="9" t="str">
        <x:v>0.9639098121207789</x:v>
      </x:c>
      <x:c r="Z6" s="9" t="str">
        <x:v>0.9008065148319748</x:v>
      </x:c>
    </x:row>
    <x:row r="7" ht="18" customHeight="1">
      <x:c r="A7" s="6" t="str">
        <x:v>F::Long::Same-bar Setup+BOS::Tolerance-only shallow touch</x:v>
      </x:c>
      <x:c r="B7" s="6" t="str">
        <x:v>Long × Same-bar Setup+BOS × Tolerance-only shallow touch</x:v>
      </x:c>
      <x:c r="C7" s="6" t="str">
        <x:v>Year</x:v>
      </x:c>
      <x:c r="D7" s="6" t="str">
        <x:v>2024</x:v>
      </x:c>
      <x:c r="E7" s="8" t="str">
        <x:v>31</x:v>
      </x:c>
      <x:c r="F7" s="10" t="str">
        <x:v>4.397163120567376</x:v>
      </x:c>
      <x:c r="G7" s="8" t="str">
        <x:v>16</x:v>
      </x:c>
      <x:c r="H7" s="8" t="str">
        <x:v>15</x:v>
      </x:c>
      <x:c r="I7" s="8" t="str">
        <x:v>0</x:v>
      </x:c>
      <x:c r="J7" s="10" t="str">
        <x:v>51.61290322580645</x:v>
      </x:c>
      <x:c r="K7" s="9" t="str">
        <x:v>0.1295362696295162</x:v>
      </x:c>
      <x:c r="L7" s="9" t="str">
        <x:v>0.03218590420407046</x:v>
      </x:c>
      <x:c r="M7" s="9" t="str">
        <x:v>4.015624358515002</x:v>
      </x:c>
      <x:c r="N7" s="9" t="str">
        <x:v>1.2925624633432786</x:v>
      </x:c>
      <x:c r="O7" s="9" t="str">
        <x:v>6.480717121816939</x:v>
      </x:c>
      <x:c r="P7" s="8" t="str">
        <x:v>15</x:v>
      </x:c>
      <x:c r="Q7" s="8" t="str">
        <x:v>16</x:v>
      </x:c>
      <x:c r="R7" s="8" t="str">
        <x:v>0</x:v>
      </x:c>
      <x:c r="S7" s="10" t="str">
        <x:v>48.38709677419355</x:v>
      </x:c>
      <x:c r="T7" s="9" t="str">
        <x:v>0.08346228474255168</x:v>
      </x:c>
      <x:c r="U7" s="9" t="str">
        <x:v>-0.06115321798773952</x:v>
      </x:c>
      <x:c r="V7" s="9" t="str">
        <x:v>2.587330827019102</x:v>
      </x:c>
      <x:c r="W7" s="9" t="str">
        <x:v>1.1765142578996195</x:v>
      </x:c>
      <x:c r="X7" s="9" t="str">
        <x:v>7.066256995196353</x:v>
      </x:c>
      <x:c r="Y7" s="9" t="str">
        <x:v>0.9459501617754204</x:v>
      </x:c>
      <x:c r="Z7" s="9" t="str">
        <x:v>0.8333448471413487</x:v>
      </x:c>
    </x:row>
    <x:row r="8" ht="18" customHeight="1">
      <x:c r="A8" s="6" t="str">
        <x:v>F::Long::Same-bar Setup+BOS::Tolerance-only shallow touch</x:v>
      </x:c>
      <x:c r="B8" s="6" t="str">
        <x:v>Long × Same-bar Setup+BOS × Tolerance-only shallow touch</x:v>
      </x:c>
      <x:c r="C8" s="6" t="str">
        <x:v>Year</x:v>
      </x:c>
      <x:c r="D8" s="6" t="str">
        <x:v>2025</x:v>
      </x:c>
      <x:c r="E8" s="8" t="str">
        <x:v>34</x:v>
      </x:c>
      <x:c r="F8" s="10" t="str">
        <x:v>4.822695035460993</x:v>
      </x:c>
      <x:c r="G8" s="8" t="str">
        <x:v>17</x:v>
      </x:c>
      <x:c r="H8" s="8" t="str">
        <x:v>17</x:v>
      </x:c>
      <x:c r="I8" s="8" t="str">
        <x:v>0</x:v>
      </x:c>
      <x:c r="J8" s="10" t="str">
        <x:v>50.0</x:v>
      </x:c>
      <x:c r="K8" s="9" t="str">
        <x:v>-0.013042664764402466</x:v>
      </x:c>
      <x:c r="L8" s="9" t="str">
        <x:v>-0.08960724150511756</x:v>
      </x:c>
      <x:c r="M8" s="9" t="str">
        <x:v>-0.44345060198968383</x:v>
      </x:c>
      <x:c r="N8" s="9" t="str">
        <x:v>0.9717351162674616</x:v>
      </x:c>
      <x:c r="O8" s="9" t="str">
        <x:v>4.762515812823385</x:v>
      </x:c>
      <x:c r="P8" s="8" t="str">
        <x:v>17</x:v>
      </x:c>
      <x:c r="Q8" s="8" t="str">
        <x:v>17</x:v>
      </x:c>
      <x:c r="R8" s="8" t="str">
        <x:v>0</x:v>
      </x:c>
      <x:c r="S8" s="10" t="str">
        <x:v>50.0</x:v>
      </x:c>
      <x:c r="T8" s="9" t="str">
        <x:v>-0.042570039777671764</x:v>
      </x:c>
      <x:c r="U8" s="9" t="str">
        <x:v>-0.11524379047745852</x:v>
      </x:c>
      <x:c r="V8" s="9" t="str">
        <x:v>-1.4473813524408399</x:v>
      </x:c>
      <x:c r="W8" s="9" t="str">
        <x:v>0.9108759826385973</x:v>
      </x:c>
      <x:c r="X8" s="9" t="str">
        <x:v>5.0307268612019005</x:v>
      </x:c>
      <x:c r="Y8" s="9" t="str">
        <x:v>0.9601291892143948</x:v>
      </x:c>
      <x:c r="Z8" s="9" t="str">
        <x:v>0.7840531628218137</x:v>
      </x:c>
    </x:row>
    <x:row r="9" ht="18" customHeight="1">
      <x:c r="A9" s="6" t="str">
        <x:v>F::Long::Same-bar Setup+BOS::Tolerance-only shallow touch</x:v>
      </x:c>
      <x:c r="B9" s="6" t="str">
        <x:v>Long × Same-bar Setup+BOS × Tolerance-only shallow touch</x:v>
      </x:c>
      <x:c r="C9" s="6" t="str">
        <x:v>Year</x:v>
      </x:c>
      <x:c r="D9" s="6" t="str">
        <x:v>2026</x:v>
      </x:c>
      <x:c r="E9" s="8" t="str">
        <x:v>15</x:v>
      </x:c>
      <x:c r="F9" s="10" t="str">
        <x:v>2.127659574468085</x:v>
      </x:c>
      <x:c r="G9" s="8" t="str">
        <x:v>4</x:v>
      </x:c>
      <x:c r="H9" s="8" t="str">
        <x:v>11</x:v>
      </x:c>
      <x:c r="I9" s="8" t="str">
        <x:v>0</x:v>
      </x:c>
      <x:c r="J9" s="10" t="str">
        <x:v>26.666666666666668</x:v>
      </x:c>
      <x:c r="K9" s="9" t="str">
        <x:v>-0.6438758991414404</x:v>
      </x:c>
      <x:c r="L9" s="9" t="str">
        <x:v>-1.0</x:v>
      </x:c>
      <x:c r="M9" s="9" t="str">
        <x:v>-9.658138487121606</x:v>
      </x:c>
      <x:c r="N9" s="9" t="str">
        <x:v>0.12198741026167212</x:v>
      </x:c>
      <x:c r="O9" s="9" t="str">
        <x:v>10.044213704332682</x:v>
      </x:c>
      <x:c r="P9" s="8" t="str">
        <x:v>4</x:v>
      </x:c>
      <x:c r="Q9" s="8" t="str">
        <x:v>11</x:v>
      </x:c>
      <x:c r="R9" s="8" t="str">
        <x:v>0</x:v>
      </x:c>
      <x:c r="S9" s="10" t="str">
        <x:v>26.666666666666668</x:v>
      </x:c>
      <x:c r="T9" s="9" t="str">
        <x:v>-0.6653062868842993</x:v>
      </x:c>
      <x:c r="U9" s="9" t="str">
        <x:v>-1.0162857812208317</x:v>
      </x:c>
      <x:c r="V9" s="9" t="str">
        <x:v>-9.97959430326449</x:v>
      </x:c>
      <x:c r="W9" s="9" t="str">
        <x:v>0.11168246615239753</x:v>
      </x:c>
      <x:c r="X9" s="9" t="str">
        <x:v>10.352340733214708</x:v>
      </x:c>
      <x:c r="Y9" s="9" t="str">
        <x:v>0.5630562542948051</x:v>
      </x:c>
      <x:c r="Z9" s="9" t="str">
        <x:v>1.1288676783104634</x:v>
      </x:c>
    </x:row>
    <x:row r="10" ht="18" customHeight="1">
      <x:c r="A10" s="6" t="str">
        <x:v>F::Long::Same-bar Setup+BOS::Tolerance-only shallow touch</x:v>
      </x:c>
      <x:c r="B10" s="6" t="str">
        <x:v>Long × Same-bar Setup+BOS × Tolerance-only shallow touch</x:v>
      </x:c>
      <x:c r="C10" s="6" t="str">
        <x:v>Chronological half</x:v>
      </x:c>
      <x:c r="D10" s="6" t="str">
        <x:v>First 50%</x:v>
      </x:c>
      <x:c r="E10" s="8" t="str">
        <x:v>39</x:v>
      </x:c>
      <x:c r="F10" s="10" t="str">
        <x:v>5.531914893617022</x:v>
      </x:c>
      <x:c r="G10" s="8" t="str">
        <x:v>19</x:v>
      </x:c>
      <x:c r="H10" s="8" t="str">
        <x:v>20</x:v>
      </x:c>
      <x:c r="I10" s="8" t="str">
        <x:v>0</x:v>
      </x:c>
      <x:c r="J10" s="10" t="str">
        <x:v>48.717948717948715</x:v>
      </x:c>
      <x:c r="K10" s="9" t="str">
        <x:v>0.05777201399209277</x:v>
      </x:c>
      <x:c r="L10" s="9" t="str">
        <x:v>-0.2640759169826851</x:v>
      </x:c>
      <x:c r="M10" s="9" t="str">
        <x:v>2.2531085456916182</x:v>
      </x:c>
      <x:c r="N10" s="9" t="str">
        <x:v>1.1238094960789657</x:v>
      </x:c>
      <x:c r="O10" s="9" t="str">
        <x:v>6.480717121816939</x:v>
      </x:c>
      <x:c r="P10" s="8" t="str">
        <x:v>18</x:v>
      </x:c>
      <x:c r="Q10" s="8" t="str">
        <x:v>21</x:v>
      </x:c>
      <x:c r="R10" s="8" t="str">
        <x:v>0</x:v>
      </x:c>
      <x:c r="S10" s="10" t="str">
        <x:v>46.15384615384615</x:v>
      </x:c>
      <x:c r="T10" s="9" t="str">
        <x:v>0.014185343873040374</x:v>
      </x:c>
      <x:c r="U10" s="9" t="str">
        <x:v>-0.28660003931356137</x:v>
      </x:c>
      <x:c r="V10" s="9" t="str">
        <x:v>0.5532284110485746</x:v>
      </x:c>
      <x:c r="W10" s="9" t="str">
        <x:v>1.0285894429172582</x:v>
      </x:c>
      <x:c r="X10" s="9" t="str">
        <x:v>7.066256995196353</x:v>
      </x:c>
      <x:c r="Y10" s="9" t="str">
        <x:v>0.8958253994746971</x:v>
      </x:c>
      <x:c r="Z10" s="9" t="str">
        <x:v>0.856723637923885</x:v>
      </x:c>
    </x:row>
    <x:row r="11" ht="18" customHeight="1">
      <x:c r="A11" s="6" t="str">
        <x:v>F::Long::Same-bar Setup+BOS::Tolerance-only shallow touch</x:v>
      </x:c>
      <x:c r="B11" s="6" t="str">
        <x:v>Long × Same-bar Setup+BOS × Tolerance-only shallow touch</x:v>
      </x:c>
      <x:c r="C11" s="6" t="str">
        <x:v>Chronological half</x:v>
      </x:c>
      <x:c r="D11" s="6" t="str">
        <x:v>Second 50%</x:v>
      </x:c>
      <x:c r="E11" s="8" t="str">
        <x:v>41</x:v>
      </x:c>
      <x:c r="F11" s="10" t="str">
        <x:v>5.815602836879433</x:v>
      </x:c>
      <x:c r="G11" s="8" t="str">
        <x:v>18</x:v>
      </x:c>
      <x:c r="H11" s="8" t="str">
        <x:v>23</x:v>
      </x:c>
      <x:c r="I11" s="8" t="str">
        <x:v>0</x:v>
      </x:c>
      <x:c r="J11" s="10" t="str">
        <x:v>43.90243902439025</x:v>
      </x:c>
      <x:c r="K11" s="9" t="str">
        <x:v>-0.2033920311289733</x:v>
      </x:c>
      <x:c r="L11" s="9" t="str">
        <x:v>-1.0</x:v>
      </x:c>
      <x:c r="M11" s="9" t="str">
        <x:v>-8.339073276287905</x:v>
      </x:c>
      <x:c r="N11" s="9" t="str">
        <x:v>0.6246469273798034</x:v>
      </x:c>
      <x:c r="O11" s="9" t="str">
        <x:v>12.631355811975721</x:v>
      </x:c>
      <x:c r="P11" s="8" t="str">
        <x:v>18</x:v>
      </x:c>
      <x:c r="Q11" s="8" t="str">
        <x:v>23</x:v>
      </x:c>
      <x:c r="R11" s="8" t="str">
        <x:v>0</x:v>
      </x:c>
      <x:c r="S11" s="10" t="str">
        <x:v>43.90243902439025</x:v>
      </x:c>
      <x:c r="T11" s="9" t="str">
        <x:v>-0.22909446926182445</x:v>
      </x:c>
      <x:c r="U11" s="9" t="str">
        <x:v>-1.0068402896697188</x:v>
      </x:c>
      <x:c r="V11" s="9" t="str">
        <x:v>-9.392873239734802</x:v>
      </x:c>
      <x:c r="W11" s="9" t="str">
        <x:v>0.5876967367200882</x:v>
      </x:c>
      <x:c r="X11" s="9" t="str">
        <x:v>13.286534519228505</x:v>
      </x:c>
      <x:c r="Y11" s="9" t="str">
        <x:v>0.8653048947130817</x:v>
      </x:c>
      <x:c r="Z11" s="9" t="str">
        <x:v>0.8783485632426564</x:v>
      </x:c>
    </x:row>
    <x:row r="12" ht="18" customHeight="1">
      <x:c r="A12" s="6" t="str">
        <x:v>F::Short::Same-bar Setup+BOS::Penetration + same-bar reclaim</x:v>
      </x:c>
      <x:c r="B12" s="6" t="str">
        <x:v>Short × Same-bar Setup+BOS × Penetration + same-bar reclaim</x:v>
      </x:c>
      <x:c r="C12" s="6" t="str">
        <x:v>Year</x:v>
      </x:c>
      <x:c r="D12" s="6" t="str">
        <x:v>2024</x:v>
      </x:c>
      <x:c r="E12" s="8" t="str">
        <x:v>72</x:v>
      </x:c>
      <x:c r="F12" s="10" t="str">
        <x:v>10.212765957446809</x:v>
      </x:c>
      <x:c r="G12" s="8" t="str">
        <x:v>28</x:v>
      </x:c>
      <x:c r="H12" s="8" t="str">
        <x:v>44</x:v>
      </x:c>
      <x:c r="I12" s="8" t="str">
        <x:v>0</x:v>
      </x:c>
      <x:c r="J12" s="10" t="str">
        <x:v>38.88888888888889</x:v>
      </x:c>
      <x:c r="K12" s="9" t="str">
        <x:v>0.003021523646622578</x:v>
      </x:c>
      <x:c r="L12" s="9" t="str">
        <x:v>-1.0</x:v>
      </x:c>
      <x:c r="M12" s="9" t="str">
        <x:v>0.2175497025568256</x:v>
      </x:c>
      <x:c r="N12" s="9" t="str">
        <x:v>1.0053081560864021</x:v>
      </x:c>
      <x:c r="O12" s="9" t="str">
        <x:v>7.26231551037162</x:v>
      </x:c>
      <x:c r="P12" s="8" t="str">
        <x:v>27</x:v>
      </x:c>
      <x:c r="Q12" s="8" t="str">
        <x:v>45</x:v>
      </x:c>
      <x:c r="R12" s="8" t="str">
        <x:v>0</x:v>
      </x:c>
      <x:c r="S12" s="10" t="str">
        <x:v>37.5</x:v>
      </x:c>
      <x:c r="T12" s="9" t="str">
        <x:v>-0.03733092046483524</x:v>
      </x:c>
      <x:c r="U12" s="9" t="str">
        <x:v>-1.0107142056541787</x:v>
      </x:c>
      <x:c r="V12" s="9" t="str">
        <x:v>-2.6878262734681373</x:v>
      </x:c>
      <x:c r="W12" s="9" t="str">
        <x:v>0.9370872349260392</x:v>
      </x:c>
      <x:c r="X12" s="9" t="str">
        <x:v>8.26619221930747</x:v>
      </x:c>
      <x:c r="Y12" s="9" t="str">
        <x:v>1.0770495865195826</x:v>
      </x:c>
      <x:c r="Z12" s="9" t="str">
        <x:v>0.8351595466738542</x:v>
      </x:c>
    </x:row>
    <x:row r="13" ht="18" customHeight="1">
      <x:c r="A13" s="6" t="str">
        <x:v>F::Short::Same-bar Setup+BOS::Penetration + same-bar reclaim</x:v>
      </x:c>
      <x:c r="B13" s="6" t="str">
        <x:v>Short × Same-bar Setup+BOS × Penetration + same-bar reclaim</x:v>
      </x:c>
      <x:c r="C13" s="6" t="str">
        <x:v>Year</x:v>
      </x:c>
      <x:c r="D13" s="6" t="str">
        <x:v>2025</x:v>
      </x:c>
      <x:c r="E13" s="8" t="str">
        <x:v>81</x:v>
      </x:c>
      <x:c r="F13" s="10" t="str">
        <x:v>11.48936170212766</x:v>
      </x:c>
      <x:c r="G13" s="8" t="str">
        <x:v>31</x:v>
      </x:c>
      <x:c r="H13" s="8" t="str">
        <x:v>50</x:v>
      </x:c>
      <x:c r="I13" s="8" t="str">
        <x:v>0</x:v>
      </x:c>
      <x:c r="J13" s="10" t="str">
        <x:v>38.2716049382716</x:v>
      </x:c>
      <x:c r="K13" s="9" t="str">
        <x:v>-0.04563822553528751</x:v>
      </x:c>
      <x:c r="L13" s="9" t="str">
        <x:v>-1.0</x:v>
      </x:c>
      <x:c r="M13" s="9" t="str">
        <x:v>-3.6966962683582887</x:v>
      </x:c>
      <x:c r="N13" s="9" t="str">
        <x:v>0.9168429307899572</x:v>
      </x:c>
      <x:c r="O13" s="9" t="str">
        <x:v>13.227448602452828</x:v>
      </x:c>
      <x:c r="P13" s="8" t="str">
        <x:v>31</x:v>
      </x:c>
      <x:c r="Q13" s="8" t="str">
        <x:v>50</x:v>
      </x:c>
      <x:c r="R13" s="8" t="str">
        <x:v>0</x:v>
      </x:c>
      <x:c r="S13" s="10" t="str">
        <x:v>38.2716049382716</x:v>
      </x:c>
      <x:c r="T13" s="9" t="str">
        <x:v>-0.07565762302908875</x:v>
      </x:c>
      <x:c r="U13" s="9" t="str">
        <x:v>-1.0108692498756457</x:v>
      </x:c>
      <x:c r="V13" s="9" t="str">
        <x:v>-6.128267465356189</x:v>
      </x:c>
      <x:c r="W13" s="9" t="str">
        <x:v>0.86675349888474</x:v>
      </x:c>
      <x:c r="X13" s="9" t="str">
        <x:v>15.085521061874754</x:v>
      </x:c>
      <x:c r="Y13" s="9" t="str">
        <x:v>1.1057086604105937</x:v>
      </x:c>
      <x:c r="Z13" s="9" t="str">
        <x:v>0.8832549277452213</x:v>
      </x:c>
    </x:row>
    <x:row r="14" ht="18" customHeight="1">
      <x:c r="A14" s="6" t="str">
        <x:v>F::Short::Same-bar Setup+BOS::Penetration + same-bar reclaim</x:v>
      </x:c>
      <x:c r="B14" s="6" t="str">
        <x:v>Short × Same-bar Setup+BOS × Penetration + same-bar reclaim</x:v>
      </x:c>
      <x:c r="C14" s="6" t="str">
        <x:v>Year</x:v>
      </x:c>
      <x:c r="D14" s="6" t="str">
        <x:v>2026</x:v>
      </x:c>
      <x:c r="E14" s="8" t="str">
        <x:v>42</x:v>
      </x:c>
      <x:c r="F14" s="10" t="str">
        <x:v>5.957446808510638</x:v>
      </x:c>
      <x:c r="G14" s="8" t="str">
        <x:v>18</x:v>
      </x:c>
      <x:c r="H14" s="8" t="str">
        <x:v>24</x:v>
      </x:c>
      <x:c r="I14" s="8" t="str">
        <x:v>0</x:v>
      </x:c>
      <x:c r="J14" s="10" t="str">
        <x:v>42.857142857142854</x:v>
      </x:c>
      <x:c r="K14" s="9" t="str">
        <x:v>0.045215841067667704</x:v>
      </x:c>
      <x:c r="L14" s="9" t="str">
        <x:v>-0.44815660181107037</x:v>
      </x:c>
      <x:c r="M14" s="9" t="str">
        <x:v>1.8990653248420437</x:v>
      </x:c>
      <x:c r="N14" s="9" t="str">
        <x:v>1.0956915032983368</x:v>
      </x:c>
      <x:c r="O14" s="9" t="str">
        <x:v>4.679076552893833</x:v>
      </x:c>
      <x:c r="P14" s="8" t="str">
        <x:v>18</x:v>
      </x:c>
      <x:c r="Q14" s="8" t="str">
        <x:v>24</x:v>
      </x:c>
      <x:c r="R14" s="8" t="str">
        <x:v>0</x:v>
      </x:c>
      <x:c r="S14" s="10" t="str">
        <x:v>42.857142857142854</x:v>
      </x:c>
      <x:c r="T14" s="9" t="str">
        <x:v>0.027060462820438745</x:v>
      </x:c>
      <x:c r="U14" s="9" t="str">
        <x:v>-0.46920756461724333</x:v>
      </x:c>
      <x:c r="V14" s="9" t="str">
        <x:v>1.1365394384584273</x:v>
      </x:c>
      <x:c r="W14" s="9" t="str">
        <x:v>1.0560973609606188</x:v>
      </x:c>
      <x:c r="X14" s="9" t="str">
        <x:v>4.802267624143703</x:v>
      </x:c>
      <x:c r="Y14" s="9" t="str">
        <x:v>1.072567611125682</x:v>
      </x:c>
      <x:c r="Z14" s="9" t="str">
        <x:v>0.9633995181817487</x:v>
      </x:c>
    </x:row>
    <x:row r="15" ht="18" customHeight="1">
      <x:c r="A15" s="6" t="str">
        <x:v>F::Short::Same-bar Setup+BOS::Penetration + same-bar reclaim</x:v>
      </x:c>
      <x:c r="B15" s="6" t="str">
        <x:v>Short × Same-bar Setup+BOS × Penetration + same-bar reclaim</x:v>
      </x:c>
      <x:c r="C15" s="6" t="str">
        <x:v>Chronological half</x:v>
      </x:c>
      <x:c r="D15" s="6" t="str">
        <x:v>First 50%</x:v>
      </x:c>
      <x:c r="E15" s="8" t="str">
        <x:v>88</x:v>
      </x:c>
      <x:c r="F15" s="10" t="str">
        <x:v>12.4822695035461</x:v>
      </x:c>
      <x:c r="G15" s="8" t="str">
        <x:v>36</x:v>
      </x:c>
      <x:c r="H15" s="8" t="str">
        <x:v>52</x:v>
      </x:c>
      <x:c r="I15" s="8" t="str">
        <x:v>0</x:v>
      </x:c>
      <x:c r="J15" s="10" t="str">
        <x:v>40.909090909090914</x:v>
      </x:c>
      <x:c r="K15" s="9" t="str">
        <x:v>0.038744797376499836</x:v>
      </x:c>
      <x:c r="L15" s="9" t="str">
        <x:v>-1.0</x:v>
      </x:c>
      <x:c r="M15" s="9" t="str">
        <x:v>3.409542169131986</x:v>
      </x:c>
      <x:c r="N15" s="9" t="str">
        <x:v>1.069605158972795</x:v>
      </x:c>
      <x:c r="O15" s="9" t="str">
        <x:v>7.26231551037162</x:v>
      </x:c>
      <x:c r="P15" s="8" t="str">
        <x:v>35</x:v>
      </x:c>
      <x:c r="Q15" s="8" t="str">
        <x:v>53</x:v>
      </x:c>
      <x:c r="R15" s="8" t="str">
        <x:v>0</x:v>
      </x:c>
      <x:c r="S15" s="10" t="str">
        <x:v>39.77272727272727</x:v>
      </x:c>
      <x:c r="T15" s="9" t="str">
        <x:v>0.00023611574450259226</x:v>
      </x:c>
      <x:c r="U15" s="9" t="str">
        <x:v>-1.009142802003624</x:v>
      </x:c>
      <x:c r="V15" s="9" t="str">
        <x:v>0.02077818551622812</x:v>
      </x:c>
      <x:c r="W15" s="9" t="str">
        <x:v>1.0004076158486574</x:v>
      </x:c>
      <x:c r="X15" s="9" t="str">
        <x:v>8.628960077586784</x:v>
      </x:c>
      <x:c r="Y15" s="9" t="str">
        <x:v>1.1195457985444586</x:v>
      </x:c>
      <x:c r="Z15" s="9" t="str">
        <x:v>0.8432986307957665</x:v>
      </x:c>
    </x:row>
    <x:row r="16" ht="18" customHeight="1">
      <x:c r="A16" s="6" t="str">
        <x:v>F::Short::Same-bar Setup+BOS::Penetration + same-bar reclaim</x:v>
      </x:c>
      <x:c r="B16" s="6" t="str">
        <x:v>Short × Same-bar Setup+BOS × Penetration + same-bar reclaim</x:v>
      </x:c>
      <x:c r="C16" s="6" t="str">
        <x:v>Chronological half</x:v>
      </x:c>
      <x:c r="D16" s="6" t="str">
        <x:v>Second 50%</x:v>
      </x:c>
      <x:c r="E16" s="8" t="str">
        <x:v>107</x:v>
      </x:c>
      <x:c r="F16" s="10" t="str">
        <x:v>15.177304964539006</x:v>
      </x:c>
      <x:c r="G16" s="8" t="str">
        <x:v>41</x:v>
      </x:c>
      <x:c r="H16" s="8" t="str">
        <x:v>66</x:v>
      </x:c>
      <x:c r="I16" s="8" t="str">
        <x:v>0</x:v>
      </x:c>
      <x:c r="J16" s="10" t="str">
        <x:v>38.31775700934579</x:v>
      </x:c>
      <x:c r="K16" s="9" t="str">
        <x:v>-0.04663199448683559</x:v>
      </x:c>
      <x:c r="L16" s="9" t="str">
        <x:v>-0.5552848127424578</x:v>
      </x:c>
      <x:c r="M16" s="9" t="str">
        <x:v>-4.989623410091408</x:v>
      </x:c>
      <x:c r="N16" s="9" t="str">
        <x:v>0.9113745015743087</x:v>
      </x:c>
      <x:c r="O16" s="9" t="str">
        <x:v>12.669706677011652</x:v>
      </x:c>
      <x:c r="P16" s="8" t="str">
        <x:v>41</x:v>
      </x:c>
      <x:c r="Q16" s="8" t="str">
        <x:v>66</x:v>
      </x:c>
      <x:c r="R16" s="8" t="str">
        <x:v>0</x:v>
      </x:c>
      <x:c r="S16" s="10" t="str">
        <x:v>38.31775700934579</x:v>
      </x:c>
      <x:c r="T16" s="9" t="str">
        <x:v>-0.07196572416712266</x:v>
      </x:c>
      <x:c r="U16" s="9" t="str">
        <x:v>-0.5643826995049048</x:v>
      </x:c>
      <x:c r="V16" s="9" t="str">
        <x:v>-7.700332485882124</x:v>
      </x:c>
      <x:c r="W16" s="9" t="str">
        <x:v>0.8672361671212683</x:v>
      </x:c>
      <x:c r="X16" s="9" t="str">
        <x:v>13.96920345704297</x:v>
      </x:c>
      <x:c r="Y16" s="9" t="str">
        <x:v>1.0620353375517229</x:v>
      </x:c>
      <x:c r="Z16" s="9" t="str">
        <x:v>0.9152115585185647</x:v>
      </x:c>
    </x:row>
    <x:row r="17" ht="18" customHeight="1">
      <x:c r="A17" s="6" t="str">
        <x:v>F::Short::Same-bar Setup+BOS::Penetration without same-bar reclaim</x:v>
      </x:c>
      <x:c r="B17" s="6" t="str">
        <x:v>Short × Same-bar Setup+BOS × Penetration without same-bar reclaim</x:v>
      </x:c>
      <x:c r="C17" s="6" t="str">
        <x:v>Year</x:v>
      </x:c>
      <x:c r="D17" s="6" t="str">
        <x:v>2024</x:v>
      </x:c>
      <x:c r="E17" s="8" t="str">
        <x:v>17</x:v>
      </x:c>
      <x:c r="F17" s="10" t="str">
        <x:v>2.4113475177304964</x:v>
      </x:c>
      <x:c r="G17" s="8" t="str">
        <x:v>7</x:v>
      </x:c>
      <x:c r="H17" s="8" t="str">
        <x:v>10</x:v>
      </x:c>
      <x:c r="I17" s="8" t="str">
        <x:v>0</x:v>
      </x:c>
      <x:c r="J17" s="10" t="str">
        <x:v>41.17647058823529</x:v>
      </x:c>
      <x:c r="K17" s="9" t="str">
        <x:v>-0.04759255923295883</x:v>
      </x:c>
      <x:c r="L17" s="9" t="str">
        <x:v>-1.0</x:v>
      </x:c>
      <x:c r="M17" s="9" t="str">
        <x:v>-0.8090735069603001</x:v>
      </x:c>
      <x:c r="N17" s="9" t="str">
        <x:v>0.91909264930397</x:v>
      </x:c>
      <x:c r="O17" s="9" t="str">
        <x:v>3.39872901798756</x:v>
      </x:c>
      <x:c r="P17" s="8" t="str">
        <x:v>7</x:v>
      </x:c>
      <x:c r="Q17" s="8" t="str">
        <x:v>10</x:v>
      </x:c>
      <x:c r="R17" s="8" t="str">
        <x:v>0</x:v>
      </x:c>
      <x:c r="S17" s="10" t="str">
        <x:v>41.17647058823529</x:v>
      </x:c>
      <x:c r="T17" s="9" t="str">
        <x:v>-0.09916966023559112</x:v>
      </x:c>
      <x:c r="U17" s="9" t="str">
        <x:v>-1.015975566482305</x:v>
      </x:c>
      <x:c r="V17" s="9" t="str">
        <x:v>-1.6858842240050491</x:v>
      </x:c>
      <x:c r="W17" s="9" t="str">
        <x:v>0.8397651759136813</x:v>
      </x:c>
      <x:c r="X17" s="9" t="str">
        <x:v>3.7156933575420052</x:v>
      </x:c>
      <x:c r="Y17" s="9" t="str">
        <x:v>1.1112668939363106</x:v>
      </x:c>
      <x:c r="Z17" s="9" t="str">
        <x:v>0.9495154142871606</x:v>
      </x:c>
    </x:row>
    <x:row r="18" ht="18" customHeight="1">
      <x:c r="A18" s="6" t="str">
        <x:v>F::Short::Same-bar Setup+BOS::Penetration without same-bar reclaim</x:v>
      </x:c>
      <x:c r="B18" s="6" t="str">
        <x:v>Short × Same-bar Setup+BOS × Penetration without same-bar reclaim</x:v>
      </x:c>
      <x:c r="C18" s="6" t="str">
        <x:v>Year</x:v>
      </x:c>
      <x:c r="D18" s="6" t="str">
        <x:v>2025</x:v>
      </x:c>
      <x:c r="E18" s="8" t="str">
        <x:v>8</x:v>
      </x:c>
      <x:c r="F18" s="10" t="str">
        <x:v>1.1347517730496455</x:v>
      </x:c>
      <x:c r="G18" s="8" t="str">
        <x:v>5</x:v>
      </x:c>
      <x:c r="H18" s="8" t="str">
        <x:v>3</x:v>
      </x:c>
      <x:c r="I18" s="8" t="str">
        <x:v>0</x:v>
      </x:c>
      <x:c r="J18" s="10" t="str">
        <x:v>62.5</x:v>
      </x:c>
      <x:c r="K18" s="9" t="str">
        <x:v>0.4359758963067527</x:v>
      </x:c>
      <x:c r="L18" s="9" t="str">
        <x:v>0.5024673023738846</x:v>
      </x:c>
      <x:c r="M18" s="9" t="str">
        <x:v>3.4878071704540217</x:v>
      </x:c>
      <x:c r="N18" s="9" t="str">
        <x:v>2.4795743647321253</x:v>
      </x:c>
      <x:c r="O18" s="9" t="str">
        <x:v>1.3573044069910503</x:v>
      </x:c>
      <x:c r="P18" s="8" t="str">
        <x:v>5</x:v>
      </x:c>
      <x:c r="Q18" s="8" t="str">
        <x:v>3</x:v>
      </x:c>
      <x:c r="R18" s="8" t="str">
        <x:v>0</x:v>
      </x:c>
      <x:c r="S18" s="10" t="str">
        <x:v>62.5</x:v>
      </x:c>
      <x:c r="T18" s="9" t="str">
        <x:v>0.4004208750451649</x:v>
      </x:c>
      <x:c r="U18" s="9" t="str">
        <x:v>0.48658122143719357</x:v>
      </x:c>
      <x:c r="V18" s="9" t="str">
        <x:v>3.203367000361319</x:v>
      </x:c>
      <x:c r="W18" s="9" t="str">
        <x:v>2.277122004499111</x:v>
      </x:c>
      <x:c r="X18" s="9" t="str">
        <x:v>1.465456279767317</x:v>
      </x:c>
      <x:c r="Y18" s="9" t="str">
        <x:v>1.0413884633869284</x:v>
      </x:c>
      <x:c r="Z18" s="9" t="str">
        <x:v>0.6798166093060689</x:v>
      </x:c>
    </x:row>
    <x:row r="19" ht="18" customHeight="1">
      <x:c r="A19" s="6" t="str">
        <x:v>F::Short::Same-bar Setup+BOS::Penetration without same-bar reclaim</x:v>
      </x:c>
      <x:c r="B19" s="6" t="str">
        <x:v>Short × Same-bar Setup+BOS × Penetration without same-bar reclaim</x:v>
      </x:c>
      <x:c r="C19" s="6" t="str">
        <x:v>Year</x:v>
      </x:c>
      <x:c r="D19" s="6" t="str">
        <x:v>2026</x:v>
      </x:c>
      <x:c r="E19" s="8" t="str">
        <x:v>6</x:v>
      </x:c>
      <x:c r="F19" s="10" t="str">
        <x:v>0.851063829787234</x:v>
      </x:c>
      <x:c r="G19" s="8" t="str">
        <x:v>1</x:v>
      </x:c>
      <x:c r="H19" s="8" t="str">
        <x:v>5</x:v>
      </x:c>
      <x:c r="I19" s="8" t="str">
        <x:v>0</x:v>
      </x:c>
      <x:c r="J19" s="10" t="str">
        <x:v>16.666666666666664</x:v>
      </x:c>
      <x:c r="K19" s="9" t="str">
        <x:v>-0.3939246266535709</x:v>
      </x:c>
      <x:c r="L19" s="9" t="str">
        <x:v>-1.0</x:v>
      </x:c>
      <x:c r="M19" s="9" t="str">
        <x:v>-2.3635477599214254</x:v>
      </x:c>
      <x:c r="N19" s="9" t="str">
        <x:v>0.45834263998889146</x:v>
      </x:c>
      <x:c r="O19" s="9" t="str">
        <x:v>3.3635477599214254</x:v>
      </x:c>
      <x:c r="P19" s="8" t="str">
        <x:v>1</x:v>
      </x:c>
      <x:c r="Q19" s="8" t="str">
        <x:v>5</x:v>
      </x:c>
      <x:c r="R19" s="8" t="str">
        <x:v>0</x:v>
      </x:c>
      <x:c r="S19" s="10" t="str">
        <x:v>16.666666666666664</x:v>
      </x:c>
      <x:c r="T19" s="9" t="str">
        <x:v>-0.4187159691558593</x:v>
      </x:c>
      <x:c r="U19" s="9" t="str">
        <x:v>-1.008694568387821</x:v>
      </x:c>
      <x:c r="V19" s="9" t="str">
        <x:v>-2.5122958149351557</x:v>
      </x:c>
      <x:c r="W19" s="9" t="str">
        <x:v>0.44044143946893183</x:v>
      </x:c>
      <x:c r="X19" s="9" t="str">
        <x:v>3.4798635279872476</x:v>
      </x:c>
      <x:c r="Y19" s="9" t="str">
        <x:v>1.9414488177292804</x:v>
      </x:c>
      <x:c r="Z19" s="9" t="str">
        <x:v>1.0013956762962442</x:v>
      </x:c>
    </x:row>
    <x:row r="20" ht="18" customHeight="1">
      <x:c r="A20" s="6" t="str">
        <x:v>F::Short::Same-bar Setup+BOS::Penetration without same-bar reclaim</x:v>
      </x:c>
      <x:c r="B20" s="6" t="str">
        <x:v>Short × Same-bar Setup+BOS × Penetration without same-bar reclaim</x:v>
      </x:c>
      <x:c r="C20" s="6" t="str">
        <x:v>Chronological half</x:v>
      </x:c>
      <x:c r="D20" s="6" t="str">
        <x:v>First 50%</x:v>
      </x:c>
      <x:c r="E20" s="8" t="str">
        <x:v>19</x:v>
      </x:c>
      <x:c r="F20" s="10" t="str">
        <x:v>2.6950354609929077</x:v>
      </x:c>
      <x:c r="G20" s="8" t="str">
        <x:v>9</x:v>
      </x:c>
      <x:c r="H20" s="8" t="str">
        <x:v>10</x:v>
      </x:c>
      <x:c r="I20" s="8" t="str">
        <x:v>0</x:v>
      </x:c>
      <x:c r="J20" s="10" t="str">
        <x:v>47.368421052631575</x:v>
      </x:c>
      <x:c r="K20" s="9" t="str">
        <x:v>0.10690018240721066</x:v>
      </x:c>
      <x:c r="L20" s="9" t="str">
        <x:v>-1.0</x:v>
      </x:c>
      <x:c r="M20" s="9" t="str">
        <x:v>2.0311034657370026</x:v>
      </x:c>
      <x:c r="N20" s="9" t="str">
        <x:v>1.2031103465737</x:v>
      </x:c>
      <x:c r="O20" s="9" t="str">
        <x:v>3.39872901798756</x:v>
      </x:c>
      <x:c r="P20" s="8" t="str">
        <x:v>9</x:v>
      </x:c>
      <x:c r="Q20" s="8" t="str">
        <x:v>10</x:v>
      </x:c>
      <x:c r="R20" s="8" t="str">
        <x:v>0</x:v>
      </x:c>
      <x:c r="S20" s="10" t="str">
        <x:v>47.368421052631575</x:v>
      </x:c>
      <x:c r="T20" s="9" t="str">
        <x:v>0.058839965631126805</x:v>
      </x:c>
      <x:c r="U20" s="9" t="str">
        <x:v>-1.0119856099413187</x:v>
      </x:c>
      <x:c r="V20" s="9" t="str">
        <x:v>1.1179593469914093</x:v>
      </x:c>
      <x:c r="W20" s="9" t="str">
        <x:v>1.1062564182938153</x:v>
      </x:c>
      <x:c r="X20" s="9" t="str">
        <x:v>3.7156933575420052</x:v>
      </x:c>
      <x:c r="Y20" s="9" t="str">
        <x:v>1.2157919892035456</x:v>
      </x:c>
      <x:c r="Z20" s="9" t="str">
        <x:v>0.908656158918729</x:v>
      </x:c>
    </x:row>
    <x:row r="21" ht="18" customHeight="1">
      <x:c r="A21" s="6" t="str">
        <x:v>F::Short::Same-bar Setup+BOS::Penetration without same-bar reclaim</x:v>
      </x:c>
      <x:c r="B21" s="6" t="str">
        <x:v>Short × Same-bar Setup+BOS × Penetration without same-bar reclaim</x:v>
      </x:c>
      <x:c r="C21" s="6" t="str">
        <x:v>Chronological half</x:v>
      </x:c>
      <x:c r="D21" s="6" t="str">
        <x:v>Second 50%</x:v>
      </x:c>
      <x:c r="E21" s="8" t="str">
        <x:v>12</x:v>
      </x:c>
      <x:c r="F21" s="10" t="str">
        <x:v>1.702127659574468</x:v>
      </x:c>
      <x:c r="G21" s="8" t="str">
        <x:v>4</x:v>
      </x:c>
      <x:c r="H21" s="8" t="str">
        <x:v>8</x:v>
      </x:c>
      <x:c r="I21" s="8" t="str">
        <x:v>0</x:v>
      </x:c>
      <x:c r="J21" s="10" t="str">
        <x:v>33.33333333333333</x:v>
      </x:c>
      <x:c r="K21" s="9" t="str">
        <x:v>-0.1429931301803922</x:v>
      </x:c>
      <x:c r="L21" s="9" t="str">
        <x:v>-0.6817738799607127</x:v>
      </x:c>
      <x:c r="M21" s="9" t="str">
        <x:v>-1.7159175621647065</x:v>
      </x:c>
      <x:c r="N21" s="9" t="str">
        <x:v>0.7446875009969174</x:v>
      </x:c>
      <x:c r="O21" s="9" t="str">
        <x:v>3.7208521669124757</x:v>
      </x:c>
      <x:c r="P21" s="8" t="str">
        <x:v>4</x:v>
      </x:c>
      <x:c r="Q21" s="8" t="str">
        <x:v>8</x:v>
      </x:c>
      <x:c r="R21" s="8" t="str">
        <x:v>0</x:v>
      </x:c>
      <x:c r="S21" s="10" t="str">
        <x:v>33.33333333333333</x:v>
      </x:c>
      <x:c r="T21" s="9" t="str">
        <x:v>-0.17606436546419127</x:v>
      </x:c>
      <x:c r="U21" s="9" t="str">
        <x:v>-0.7255619417741705</x:v>
      </x:c>
      <x:c r="V21" s="9" t="str">
        <x:v>-2.1127723855702953</x:v>
      </x:c>
      <x:c r="W21" s="9" t="str">
        <x:v>0.6980913524042144</x:v>
      </x:c>
      <x:c r="X21" s="9" t="str">
        <x:v>3.977752094702473</x:v>
      </x:c>
      <x:c r="Y21" s="9" t="str">
        <x:v>1.3142741679600851</x:v>
      </x:c>
      <x:c r="Z21" s="9" t="str">
        <x:v>0.8603501629709914</x:v>
      </x:c>
    </x:row>
    <x:row r="22" ht="18" customHeight="1">
      <x:c r="A22" s="6" t="str">
        <x:v>F::Short::Same-bar Setup+BOS::Tolerance-only shallow touch</x:v>
      </x:c>
      <x:c r="B22" s="6" t="str">
        <x:v>Short × Same-bar Setup+BOS × Tolerance-only shallow touch</x:v>
      </x:c>
      <x:c r="C22" s="6" t="str">
        <x:v>Year</x:v>
      </x:c>
      <x:c r="D22" s="6" t="str">
        <x:v>2024</x:v>
      </x:c>
      <x:c r="E22" s="8" t="str">
        <x:v>32</x:v>
      </x:c>
      <x:c r="F22" s="10" t="str">
        <x:v>4.539007092198582</x:v>
      </x:c>
      <x:c r="G22" s="8" t="str">
        <x:v>9</x:v>
      </x:c>
      <x:c r="H22" s="8" t="str">
        <x:v>23</x:v>
      </x:c>
      <x:c r="I22" s="8" t="str">
        <x:v>0</x:v>
      </x:c>
      <x:c r="J22" s="10" t="str">
        <x:v>28.125</x:v>
      </x:c>
      <x:c r="K22" s="9" t="str">
        <x:v>-0.2714826095669931</x:v>
      </x:c>
      <x:c r="L22" s="9" t="str">
        <x:v>-1.0</x:v>
      </x:c>
      <x:c r="M22" s="9" t="str">
        <x:v>-8.68744350614378</x:v>
      </x:c>
      <x:c r="N22" s="9" t="str">
        <x:v>0.558936970247542</x:v>
      </x:c>
      <x:c r="O22" s="9" t="str">
        <x:v>13.459950261988524</x:v>
      </x:c>
      <x:c r="P22" s="8" t="str">
        <x:v>9</x:v>
      </x:c>
      <x:c r="Q22" s="8" t="str">
        <x:v>23</x:v>
      </x:c>
      <x:c r="R22" s="8" t="str">
        <x:v>0</x:v>
      </x:c>
      <x:c r="S22" s="10" t="str">
        <x:v>28.125</x:v>
      </x:c>
      <x:c r="T22" s="9" t="str">
        <x:v>-0.3048058627586399</x:v>
      </x:c>
      <x:c r="U22" s="9" t="str">
        <x:v>-1.014004780497213</x:v>
      </x:c>
      <x:c r="V22" s="9" t="str">
        <x:v>-9.753787608276477</x:v>
      </x:c>
      <x:c r="W22" s="9" t="str">
        <x:v>0.5232308063960694</x:v>
      </x:c>
      <x:c r="X22" s="9" t="str">
        <x:v>14.098848199301266</x:v>
      </x:c>
      <x:c r="Y22" s="9" t="str">
        <x:v>0.951226464510902</x:v>
      </x:c>
      <x:c r="Z22" s="9" t="str">
        <x:v>0.9135388694075125</x:v>
      </x:c>
    </x:row>
    <x:row r="23" ht="18" customHeight="1">
      <x:c r="A23" s="6" t="str">
        <x:v>F::Short::Same-bar Setup+BOS::Tolerance-only shallow touch</x:v>
      </x:c>
      <x:c r="B23" s="6" t="str">
        <x:v>Short × Same-bar Setup+BOS × Tolerance-only shallow touch</x:v>
      </x:c>
      <x:c r="C23" s="6" t="str">
        <x:v>Year</x:v>
      </x:c>
      <x:c r="D23" s="6" t="str">
        <x:v>2025</x:v>
      </x:c>
      <x:c r="E23" s="8" t="str">
        <x:v>36</x:v>
      </x:c>
      <x:c r="F23" s="10" t="str">
        <x:v>5.1063829787234045</x:v>
      </x:c>
      <x:c r="G23" s="8" t="str">
        <x:v>14</x:v>
      </x:c>
      <x:c r="H23" s="8" t="str">
        <x:v>22</x:v>
      </x:c>
      <x:c r="I23" s="8" t="str">
        <x:v>0</x:v>
      </x:c>
      <x:c r="J23" s="10" t="str">
        <x:v>38.88888888888889</x:v>
      </x:c>
      <x:c r="K23" s="9" t="str">
        <x:v>0.01971306958092657</x:v>
      </x:c>
      <x:c r="L23" s="9" t="str">
        <x:v>-0.6026966239275254</x:v>
      </x:c>
      <x:c r="M23" s="9" t="str">
        <x:v>0.7096705049133565</x:v>
      </x:c>
      <x:c r="N23" s="9" t="str">
        <x:v>1.0382700875608617</x:v>
      </x:c>
      <x:c r="O23" s="9" t="str">
        <x:v>4.206957479802078</x:v>
      </x:c>
      <x:c r="P23" s="8" t="str">
        <x:v>12</x:v>
      </x:c>
      <x:c r="Q23" s="8" t="str">
        <x:v>24</x:v>
      </x:c>
      <x:c r="R23" s="8" t="str">
        <x:v>0</x:v>
      </x:c>
      <x:c r="S23" s="10" t="str">
        <x:v>33.33333333333333</x:v>
      </x:c>
      <x:c r="T23" s="9" t="str">
        <x:v>-0.00998952963384955</x:v>
      </x:c>
      <x:c r="U23" s="9" t="str">
        <x:v>-0.6281539217188532</x:v>
      </x:c>
      <x:c r="V23" s="9" t="str">
        <x:v>-0.3596230668185838</x:v>
      </x:c>
      <x:c r="W23" s="9" t="str">
        <x:v>0.9812963227258037</x:v>
      </x:c>
      <x:c r="X23" s="9" t="str">
        <x:v>4.617786471410813</x:v>
      </x:c>
      <x:c r="Y23" s="9" t="str">
        <x:v>1.2240737192428088</x:v>
      </x:c>
      <x:c r="Z23" s="9" t="str">
        <x:v>0.8873133142535794</x:v>
      </x:c>
    </x:row>
    <x:row r="24" ht="18" customHeight="1">
      <x:c r="A24" s="6" t="str">
        <x:v>F::Short::Same-bar Setup+BOS::Tolerance-only shallow touch</x:v>
      </x:c>
      <x:c r="B24" s="6" t="str">
        <x:v>Short × Same-bar Setup+BOS × Tolerance-only shallow touch</x:v>
      </x:c>
      <x:c r="C24" s="6" t="str">
        <x:v>Year</x:v>
      </x:c>
      <x:c r="D24" s="6" t="str">
        <x:v>2026</x:v>
      </x:c>
      <x:c r="E24" s="8" t="str">
        <x:v>17</x:v>
      </x:c>
      <x:c r="F24" s="10" t="str">
        <x:v>2.4113475177304964</x:v>
      </x:c>
      <x:c r="G24" s="8" t="str">
        <x:v>9</x:v>
      </x:c>
      <x:c r="H24" s="8" t="str">
        <x:v>8</x:v>
      </x:c>
      <x:c r="I24" s="8" t="str">
        <x:v>0</x:v>
      </x:c>
      <x:c r="J24" s="10" t="str">
        <x:v>52.94117647058824</x:v>
      </x:c>
      <x:c r="K24" s="9" t="str">
        <x:v>0.35889920115779234</x:v>
      </x:c>
      <x:c r="L24" s="9" t="str">
        <x:v>0.49629130813702954</x:v>
      </x:c>
      <x:c r="M24" s="9" t="str">
        <x:v>6.10128641968247</x:v>
      </x:c>
      <x:c r="N24" s="9" t="str">
        <x:v>1.8423047936771793</x:v>
      </x:c>
      <x:c r="O24" s="9" t="str">
        <x:v>4.0</x:v>
      </x:c>
      <x:c r="P24" s="8" t="str">
        <x:v>9</x:v>
      </x:c>
      <x:c r="Q24" s="8" t="str">
        <x:v>8</x:v>
      </x:c>
      <x:c r="R24" s="8" t="str">
        <x:v>0</x:v>
      </x:c>
      <x:c r="S24" s="10" t="str">
        <x:v>52.94117647058824</x:v>
      </x:c>
      <x:c r="T24" s="9" t="str">
        <x:v>0.33415761587325293</x:v>
      </x:c>
      <x:c r="U24" s="9" t="str">
        <x:v>0.4842976015237182</x:v>
      </x:c>
      <x:c r="V24" s="9" t="str">
        <x:v>5.6806794698453</x:v>
      </x:c>
      <x:c r="W24" s="9" t="str">
        <x:v>1.761345992916435</x:v>
      </x:c>
      <x:c r="X24" s="9" t="str">
        <x:v>4.100487992618856</x:v>
      </x:c>
      <x:c r="Y24" s="9" t="str">
        <x:v>1.1491095164591143</x:v>
      </x:c>
      <x:c r="Z24" s="9" t="str">
        <x:v>0.7988182718987242</x:v>
      </x:c>
    </x:row>
    <x:row r="25" ht="18" customHeight="1">
      <x:c r="A25" s="6" t="str">
        <x:v>F::Short::Same-bar Setup+BOS::Tolerance-only shallow touch</x:v>
      </x:c>
      <x:c r="B25" s="6" t="str">
        <x:v>Short × Same-bar Setup+BOS × Tolerance-only shallow touch</x:v>
      </x:c>
      <x:c r="C25" s="6" t="str">
        <x:v>Chronological half</x:v>
      </x:c>
      <x:c r="D25" s="6" t="str">
        <x:v>First 50%</x:v>
      </x:c>
      <x:c r="E25" s="8" t="str">
        <x:v>40</x:v>
      </x:c>
      <x:c r="F25" s="10" t="str">
        <x:v>5.673758865248227</x:v>
      </x:c>
      <x:c r="G25" s="8" t="str">
        <x:v>12</x:v>
      </x:c>
      <x:c r="H25" s="8" t="str">
        <x:v>28</x:v>
      </x:c>
      <x:c r="I25" s="8" t="str">
        <x:v>0</x:v>
      </x:c>
      <x:c r="J25" s="10" t="str">
        <x:v>30.0</x:v>
      </x:c>
      <x:c r="K25" s="9" t="str">
        <x:v>-0.18356867143238156</x:v>
      </x:c>
      <x:c r="L25" s="9" t="str">
        <x:v>-1.0</x:v>
      </x:c>
      <x:c r="M25" s="9" t="str">
        <x:v>-7.342746857295262</x:v>
      </x:c>
      <x:c r="N25" s="9" t="str">
        <x:v>0.6927977603314202</x:v>
      </x:c>
      <x:c r="O25" s="9" t="str">
        <x:v>13.615239292157892</x:v>
      </x:c>
      <x:c r="P25" s="8" t="str">
        <x:v>12</x:v>
      </x:c>
      <x:c r="Q25" s="8" t="str">
        <x:v>28</x:v>
      </x:c>
      <x:c r="R25" s="8" t="str">
        <x:v>0</x:v>
      </x:c>
      <x:c r="S25" s="10" t="str">
        <x:v>30.0</x:v>
      </x:c>
      <x:c r="T25" s="9" t="str">
        <x:v>-0.21653886745143475</x:v>
      </x:c>
      <x:c r="U25" s="9" t="str">
        <x:v>-1.0110742107812232</x:v>
      </x:c>
      <x:c r="V25" s="9" t="str">
        <x:v>-8.66155469805739</x:v>
      </x:c>
      <x:c r="W25" s="9" t="str">
        <x:v>0.6506501158379119</x:v>
      </x:c>
      <x:c r="X25" s="9" t="str">
        <x:v>14.681776929318069</x:v>
      </x:c>
      <x:c r="Y25" s="9" t="str">
        <x:v>1.1029789526002522</x:v>
      </x:c>
      <x:c r="Z25" s="9" t="str">
        <x:v>0.8892033901171557</x:v>
      </x:c>
    </x:row>
    <x:row r="26" ht="18" customHeight="1">
      <x:c r="A26" s="6" t="str">
        <x:v>F::Short::Same-bar Setup+BOS::Tolerance-only shallow touch</x:v>
      </x:c>
      <x:c r="B26" s="6" t="str">
        <x:v>Short × Same-bar Setup+BOS × Tolerance-only shallow touch</x:v>
      </x:c>
      <x:c r="C26" s="6" t="str">
        <x:v>Chronological half</x:v>
      </x:c>
      <x:c r="D26" s="6" t="str">
        <x:v>Second 50%</x:v>
      </x:c>
      <x:c r="E26" s="8" t="str">
        <x:v>45</x:v>
      </x:c>
      <x:c r="F26" s="10" t="str">
        <x:v>6.382978723404255</x:v>
      </x:c>
      <x:c r="G26" s="8" t="str">
        <x:v>20</x:v>
      </x:c>
      <x:c r="H26" s="8" t="str">
        <x:v>25</x:v>
      </x:c>
      <x:c r="I26" s="8" t="str">
        <x:v>0</x:v>
      </x:c>
      <x:c r="J26" s="10" t="str">
        <x:v>44.44444444444444</x:v>
      </x:c>
      <x:c r="K26" s="9" t="str">
        <x:v>0.12147245057216248</x:v>
      </x:c>
      <x:c r="L26" s="9" t="str">
        <x:v>-0.19240073050935178</x:v>
      </x:c>
      <x:c r="M26" s="9" t="str">
        <x:v>5.466260275747311</x:v>
      </x:c>
      <x:c r="N26" s="9" t="str">
        <x:v>1.2532797647041685</x:v>
      </x:c>
      <x:c r="O26" s="9" t="str">
        <x:v>4.206957479802078</x:v>
      </x:c>
      <x:c r="P26" s="8" t="str">
        <x:v>18</x:v>
      </x:c>
      <x:c r="Q26" s="8" t="str">
        <x:v>27</x:v>
      </x:c>
      <x:c r="R26" s="8" t="str">
        <x:v>0</x:v>
      </x:c>
      <x:c r="S26" s="10" t="str">
        <x:v>40.0</x:v>
      </x:c>
      <x:c r="T26" s="9" t="str">
        <x:v>0.09397385539572514</x:v>
      </x:c>
      <x:c r="U26" s="9" t="str">
        <x:v>-0.2353208934691336</x:v>
      </x:c>
      <x:c r="V26" s="9" t="str">
        <x:v>4.228823492807631</x:v>
      </x:c>
      <x:c r="W26" s="9" t="str">
        <x:v>1.1891794633636525</x:v>
      </x:c>
      <x:c r="X26" s="9" t="str">
        <x:v>4.617786471410813</x:v>
      </x:c>
      <x:c r="Y26" s="9" t="str">
        <x:v>1.1093689873974406</x:v>
      </x:c>
      <x:c r="Z26" s="9" t="str">
        <x:v>0.870851070039141</x:v>
      </x:c>
    </x:row>
  </x:sheetData>
  <x:conditionalFormatting sqref="T2:T26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V2:V26">
    <x:cfRule type="colorScale" priority="2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W2:W26">
    <x:cfRule type="colorScale" priority="3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25" hidden="0" customWidth="1"/>
    <x:col min="4" max="4" width="23" hidden="0" customWidth="1"/>
    <x:col min="5" max="5" width="24" hidden="0" customWidth="1"/>
  </x:cols>
  <x:sheetData>
    <x:row r="1" ht="46" customHeight="1">
      <x:c r="A1" s="5" t="str">
        <x:v>trade_sequence</x:v>
      </x:c>
      <x:c r="B1" s="5" t="str">
        <x:v>best_family_cumulative_net_R</x:v>
      </x:c>
      <x:c r="C1" s="5" t="str">
        <x:v>complement_cumulative_net_R</x:v>
      </x:c>
      <x:c r="D1" s="5" t="str">
        <x:v>long_cumulative_net_R</x:v>
      </x:c>
      <x:c r="E1" s="5" t="str">
        <x:v>short_cumulative_net_R</x:v>
      </x:c>
    </x:row>
    <x:row r="2" ht="18" customHeight="1">
      <x:c r="A2" s="6" t="str">
        <x:v>1</x:v>
      </x:c>
      <x:c r="B2" s="9" t="str">
        <x:v>0.26754379407886186</x:v>
      </x:c>
      <x:c r="C2" s="9" t="str">
        <x:v>0.6259783903060969</x:v>
      </x:c>
      <x:c r="D2" s="9" t="str">
        <x:v>1.978976759436004</x:v>
      </x:c>
      <x:c r="E2" s="9" t="str">
        <x:v>0.6259783903060969</x:v>
      </x:c>
    </x:row>
    <x:row r="3" ht="18" customHeight="1">
      <x:c r="A3" s="6" t="str">
        <x:v>2</x:v>
      </x:c>
      <x:c r="B3" s="9" t="str">
        <x:v>-0.7610132805381711</x:v>
      </x:c>
      <x:c r="C3" s="9" t="str">
        <x:v>-0.40254608521040214</x:v>
      </x:c>
      <x:c r="D3" s="9" t="str">
        <x:v>0.9169786351969444</x:v>
      </x:c>
      <x:c r="E3" s="9" t="str">
        <x:v>-0.40254608521040214</x:v>
      </x:c>
    </x:row>
    <x:row r="4" ht="18" customHeight="1">
      <x:c r="A4" s="6" t="str">
        <x:v>3</x:v>
      </x:c>
      <x:c r="B4" s="9" t="str">
        <x:v>1.2265425577160654</x:v>
      </x:c>
      <x:c r="C4" s="9" t="str">
        <x:v>-1.4228208867153411</x:v>
      </x:c>
      <x:c r="D4" s="9" t="str">
        <x:v>-0.14272852200289798</x:v>
      </x:c>
      <x:c r="E4" s="9" t="str">
        <x:v>-0.13500229113154028</x:v>
      </x:c>
    </x:row>
    <x:row r="5" ht="18" customHeight="1">
      <x:c r="A5" s="6" t="str">
        <x:v>4</x:v>
      </x:c>
      <x:c r="B5" s="9" t="str">
        <x:v>0.14587293967020143</x:v>
      </x:c>
      <x:c r="C5" s="9" t="str">
        <x:v>0.5561558727206628</x:v>
      </x:c>
      <x:c r="D5" s="9" t="str">
        <x:v>-1.2615099872442326</x:v>
      </x:c>
      <x:c r="E5" s="9" t="str">
        <x:v>-1.1552770926364793</x:v>
      </x:c>
    </x:row>
    <x:row r="6" ht="18" customHeight="1">
      <x:c r="A6" s="6" t="str">
        <x:v>5</x:v>
      </x:c>
      <x:c r="B6" s="9" t="str">
        <x:v>-0.9406032364090768</x:v>
      </x:c>
      <x:c r="C6" s="9" t="str">
        <x:v>-0.5058422515183967</x:v>
      </x:c>
      <x:c r="D6" s="9" t="str">
        <x:v>-2.2929840441258285</x:v>
      </x:c>
      <x:c r="E6" s="9" t="str">
        <x:v>-2.1838341672535124</x:v>
      </x:c>
    </x:row>
    <x:row r="7" ht="18" customHeight="1">
      <x:c r="A7" s="6" t="str">
        <x:v>6</x:v>
      </x:c>
      <x:c r="B7" s="9" t="str">
        <x:v>1.0317141266716607</x:v>
      </x:c>
      <x:c r="C7" s="9" t="str">
        <x:v>-1.565549408718239</x:v>
      </x:c>
      <x:c r="D7" s="9" t="str">
        <x:v>-0.37242778766347806</x:v>
      </x:c>
      <x:c r="E7" s="9" t="str">
        <x:v>-1.0381992486022567</x:v>
      </x:c>
    </x:row>
    <x:row r="8" ht="18" customHeight="1">
      <x:c r="A8" s="6" t="str">
        <x:v>7</x:v>
      </x:c>
      <x:c r="B8" s="9" t="str">
        <x:v>0.01573856018935582</x:v>
      </x:c>
      <x:c r="C8" s="9" t="str">
        <x:v>-2.6843308739595737</x:v>
      </x:c>
      <x:c r="D8" s="9" t="str">
        <x:v>0.39697843192551097</x:v>
      </x:c>
      <x:c r="E8" s="9" t="str">
        <x:v>-1.3345183997301386</x:v>
      </x:c>
    </x:row>
    <x:row r="9" ht="18" customHeight="1">
      <x:c r="A9" s="6" t="str">
        <x:v>8</x:v>
      </x:c>
      <x:c r="B9" s="9" t="str">
        <x:v>-1.0167470459449555</x:v>
      </x:c>
      <x:c r="C9" s="9" t="str">
        <x:v>-3.71580493084117</x:v>
      </x:c>
      <x:c r="D9" s="9" t="str">
        <x:v>0.9750344538500066</x:v>
      </x:c>
      <x:c r="E9" s="9" t="str">
        <x:v>0.6314994722215586</x:v>
      </x:c>
    </x:row>
    <x:row r="10" ht="18" customHeight="1">
      <x:c r="A10" s="6" t="str">
        <x:v>9</x:v>
      </x:c>
      <x:c r="B10" s="9" t="str">
        <x:v>-0.40256190898199196</x:v>
      </x:c>
      <x:c r="C10" s="9" t="str">
        <x:v>-1.7952486743788194</x:v>
      </x:c>
      <x:c r="D10" s="9" t="str">
        <x:v>1.3576166239844711</x:v>
      </x:c>
      <x:c r="E10" s="9" t="str">
        <x:v>2.5459247089591344</x:v>
      </x:c>
    </x:row>
    <x:row r="11" ht="18" customHeight="1">
      <x:c r="A11" s="6" t="str">
        <x:v>10</x:v>
      </x:c>
      <x:c r="B11" s="9" t="str">
        <x:v>-1.4596397214583097</x:v>
      </x:c>
      <x:c r="C11" s="9" t="str">
        <x:v>-1.0258424547898304</x:v>
      </x:c>
      <x:c r="D11" s="9" t="str">
        <x:v>0.2912521799145056</x:v>
      </x:c>
      <x:c r="E11" s="9" t="str">
        <x:v>1.5128297360499514</x:v>
      </x:c>
    </x:row>
    <x:row r="12" ht="18" customHeight="1">
      <x:c r="A12" s="6" t="str">
        <x:v>11</x:v>
      </x:c>
      <x:c r="B12" s="9" t="str">
        <x:v>0.12261411299045655</x:v>
      </x:c>
      <x:c r="C12" s="9" t="str">
        <x:v>-0.4477864328653347</x:v>
      </x:c>
      <x:c r="D12" s="9" t="str">
        <x:v>-0.725419616550786</x:v>
      </x:c>
      <x:c r="E12" s="9" t="str">
        <x:v>3.488552208147226</x:v>
      </x:c>
    </x:row>
    <x:row r="13" ht="18" customHeight="1">
      <x:c r="A13" s="6" t="str">
        <x:v>12</x:v>
      </x:c>
      <x:c r="B13" s="9" t="str">
        <x:v>2.029809133536956</x:v>
      </x:c>
      <x:c r="C13" s="9" t="str">
        <x:v>-0.06520426273087021</x:v>
      </x:c>
      <x:c r="D13" s="9" t="str">
        <x:v>-1.7529953742843587</x:v>
      </x:c>
      <x:c r="E13" s="9" t="str">
        <x:v>2.469157196490764</x:v>
      </x:c>
    </x:row>
    <x:row r="14" ht="18" customHeight="1">
      <x:c r="A14" s="6" t="str">
        <x:v>13</x:v>
      </x:c>
      <x:c r="B14" s="9" t="str">
        <x:v>0.9522139778662915</x:v>
      </x:c>
      <x:c r="C14" s="9" t="str">
        <x:v>-1.1315687068008358</x:v>
      </x:c>
      <x:c r="D14" s="9" t="str">
        <x:v>-2.7720387339524883</x:v>
      </x:c>
      <x:c r="E14" s="9" t="str">
        <x:v>3.443195669777497</x:v>
      </x:c>
    </x:row>
    <x:row r="15" ht="18" customHeight="1">
      <x:c r="A15" s="6" t="str">
        <x:v>14</x:v>
      </x:c>
      <x:c r="B15" s="9" t="str">
        <x:v>-0.10027715645408031</x:v>
      </x:c>
      <x:c r="C15" s="9" t="str">
        <x:v>-2.1482405032661274</x:v>
      </x:c>
      <x:c r="D15" s="9" t="str">
        <x:v>-2.80357742060385</x:v>
      </x:c>
      <x:c r="E15" s="9" t="str">
        <x:v>2.379795806238847</x:v>
      </x:c>
    </x:row>
    <x:row r="16" ht="18" customHeight="1">
      <x:c r="A16" s="6" t="str">
        <x:v>15</x:v>
      </x:c>
      <x:c r="B16" s="9" t="str">
        <x:v>-1.1782981600852982</x:v>
      </x:c>
      <x:c r="C16" s="9" t="str">
        <x:v>-3.1758162609997003</x:v>
      </x:c>
      <x:c r="D16" s="9" t="str">
        <x:v>-0.8270261185084924</x:v>
      </x:c>
      <x:c r="E16" s="9" t="str">
        <x:v>2.4921024739046054</x:v>
      </x:c>
    </x:row>
    <x:row r="17" ht="18" customHeight="1">
      <x:c r="A17" s="6" t="str">
        <x:v>16</x:v>
      </x:c>
      <x:c r="B17" s="9" t="str">
        <x:v>-0.6738986140637306</x:v>
      </x:c>
      <x:c r="C17" s="9" t="str">
        <x:v>-4.19485962066783</x:v>
      </x:c>
      <x:c r="D17" s="9" t="str">
        <x:v>1.105441644271835</x:v>
      </x:c>
      <x:c r="E17" s="9" t="str">
        <x:v>1.4382310763015005</x:v>
      </x:c>
    </x:row>
    <x:row r="18" ht="18" customHeight="1">
      <x:c r="A18" s="6" t="str">
        <x:v>17</x:v>
      </x:c>
      <x:c r="B18" s="9" t="str">
        <x:v>-1.6858842240050493</x:v>
      </x:c>
      <x:c r="C18" s="9" t="str">
        <x:v>-3.0492247020165744</x:v>
      </x:c>
      <x:c r="D18" s="9" t="str">
        <x:v>0.06922104077186786</x:v>
      </x:c>
      <x:c r="E18" s="9" t="str">
        <x:v>0.4127970184846961</x:v>
      </x:c>
    </x:row>
    <x:row r="19" ht="18" customHeight="1">
      <x:c r="A19" s="6" t="str">
        <x:v>18</x:v>
      </x:c>
      <x:c r="B19" s="9" t="str">
        <x:v>0.29624080778518436</x:v>
      </x:c>
      <x:c r="C19" s="9" t="str">
        <x:v>-3.080763388667936</x:v>
      </x:c>
      <x:c r="D19" s="9" t="str">
        <x:v>-1.0015570040920856</x:v>
      </x:c>
      <x:c r="E19" s="9" t="str">
        <x:v>2.286198923781847</x:v>
      </x:c>
    </x:row>
    <x:row r="20" ht="18" customHeight="1">
      <x:c r="A20" s="6" t="str">
        <x:v>19</x:v>
      </x:c>
      <x:c r="B20" s="9" t="str">
        <x:v>1.1179593469914093</x:v>
      </x:c>
      <x:c r="C20" s="9" t="str">
        <x:v>-1.1042120865725784</x:v>
      </x:c>
      <x:c r="D20" s="9" t="str">
        <x:v>-0.3112412081909439</x:v>
      </x:c>
      <x:c r="E20" s="9" t="str">
        <x:v>1.2619329498462415</x:v>
      </x:c>
    </x:row>
    <x:row r="21" ht="18" customHeight="1">
      <x:c r="A21" s="6" t="str">
        <x:v>20</x:v>
      </x:c>
      <x:c r="B21" s="9" t="str">
        <x:v>1.7197205905197865</x:v>
      </x:c>
      <x:c r="C21" s="9" t="str">
        <x:v>-1.4005312377004604</x:v>
      </x:c>
      <x:c r="D21" s="9" t="str">
        <x:v>-1.3673794614806463</x:v>
      </x:c>
      <x:c r="E21" s="9" t="str">
        <x:v>2.247141421669233</x:v>
      </x:c>
    </x:row>
    <x:row r="22" ht="18" customHeight="1">
      <x:c r="A22" s="6" t="str">
        <x:v>21</x:v>
      </x:c>
      <x:c r="B22" s="9" t="str">
        <x:v>2.0911217898657966</x:v>
      </x:c>
      <x:c r="C22" s="9" t="str">
        <x:v>0.5319365250798671</x:v>
      </x:c>
      <x:c r="D22" s="9" t="str">
        <x:v>-1.3106346313494448</x:v>
      </x:c>
      <x:c r="E22" s="9" t="str">
        <x:v>2.726191390688846</x:v>
      </x:c>
    </x:row>
    <x:row r="23" ht="18" customHeight="1">
      <x:c r="A23" s="6" t="str">
        <x:v>22</x:v>
      </x:c>
      <x:c r="B23" s="9" t="str">
        <x:v>1.0483079207543589</x:v>
      </x:c>
      <x:c r="C23" s="9" t="str">
        <x:v>2.497954397031564</x:v>
      </x:c>
      <x:c r="D23" s="9" t="str">
        <x:v>-2.3620209447610185</x:v>
      </x:c>
      <x:c r="E23" s="9" t="str">
        <x:v>1.7029690533704795</x:v>
      </x:c>
    </x:row>
    <x:row r="24" ht="18" customHeight="1">
      <x:c r="A24" s="6" t="str">
        <x:v>23</x:v>
      </x:c>
      <x:c r="B24" s="9" t="str">
        <x:v>2.9829390561235867</x:v>
      </x:c>
      <x:c r="C24" s="9" t="str">
        <x:v>1.4617337935315968</x:v>
      </x:c>
      <x:c r="D24" s="9" t="str">
        <x:v>-3.410613032567988</x:v>
      </x:c>
      <x:c r="E24" s="9" t="str">
        <x:v>0.6748932326882815</x:v>
      </x:c>
    </x:row>
    <x:row r="25" ht="18" customHeight="1">
      <x:c r="A25" s="6" t="str">
        <x:v>24</x:v>
      </x:c>
      <x:c r="B25" s="9" t="str">
        <x:v>1.9611357483701508</x:v>
      </x:c>
      <x:c r="C25" s="9" t="str">
        <x:v>3.3761590302691724</x:v>
      </x:c>
      <x:c r="D25" s="9" t="str">
        <x:v>-2.771262464671618</x:v>
      </x:c>
      <x:c r="E25" s="9" t="str">
        <x:v>2.662449070942518</x:v>
      </x:c>
    </x:row>
    <x:row r="26" ht="18" customHeight="1">
      <x:c r="A26" s="6" t="str">
        <x:v>25</x:v>
      </x:c>
      <x:c r="B26" s="9" t="str">
        <x:v>1.5174827763562697</x:v>
      </x:c>
      <x:c r="C26" s="9" t="str">
        <x:v>2.305380985405219</x:v>
      </x:c>
      <x:c r="D26" s="9" t="str">
        <x:v>-3.8178669808131662</x:v>
      </x:c>
      <x:c r="E26" s="9" t="str">
        <x:v>1.6334777313966349</x:v>
      </x:c>
    </x:row>
    <x:row r="27" ht="18" customHeight="1">
      <x:c r="A27" s="6" t="str">
        <x:v>26</x:v>
      </x:c>
      <x:c r="B27" s="9" t="str">
        <x:v>0.5075645511150875</x:v>
      </x:c>
      <x:c r="C27" s="9" t="str">
        <x:v>2.9956967813063606</x:v>
      </x:c>
      <x:c r="D27" s="9" t="str">
        <x:v>-2.843006724631425</x:v>
      </x:c>
      <x:c r="E27" s="9" t="str">
        <x:v>1.6248618758553925</x:v>
      </x:c>
    </x:row>
    <x:row r="28" ht="18" customHeight="1">
      <x:c r="A28" s="6" t="str">
        <x:v>27</x:v>
      </x:c>
      <x:c r="B28" s="9" t="str">
        <x:v>2.485050489408362</x:v>
      </x:c>
      <x:c r="C28" s="9" t="str">
        <x:v>1.9395585280166583</x:v>
      </x:c>
      <x:c r="D28" s="9" t="str">
        <x:v>-3.863334556638183</x:v>
      </x:c>
      <x:c r="E28" s="9" t="str">
        <x:v>0.6057552258046004</x:v>
      </x:c>
    </x:row>
    <x:row r="29" ht="18" customHeight="1">
      <x:c r="A29" s="6" t="str">
        <x:v>28</x:v>
      </x:c>
      <x:c r="B29" s="9" t="str">
        <x:v>1.4509648268521633</x:v>
      </x:c>
      <x:c r="C29" s="9" t="str">
        <x:v>1.9963033581478598</x:v>
      </x:c>
      <x:c r="D29" s="9" t="str">
        <x:v>-2.665352898254139</x:v>
      </x:c>
      <x:c r="E29" s="9" t="str">
        <x:v>-0.4236296697051869</x:v>
      </x:c>
    </x:row>
    <x:row r="30" ht="18" customHeight="1">
      <x:c r="A30" s="6" t="str">
        <x:v>29</x:v>
      </x:c>
      <x:c r="B30" s="9" t="str">
        <x:v>1.072974758659887</x:v>
      </x:c>
      <x:c r="C30" s="9" t="str">
        <x:v>0.944917044736286</x:v>
      </x:c>
      <x:c r="D30" s="9" t="str">
        <x:v>-2.907617841493788</x:v>
      </x:c>
      <x:c r="E30" s="9" t="str">
        <x:v>1.5104252825558735</x:v>
      </x:c>
    </x:row>
    <x:row r="31" ht="18" customHeight="1">
      <x:c r="A31" s="6" t="str">
        <x:v>30</x:v>
      </x:c>
      <x:c r="B31" s="9" t="str">
        <x:v>0.012657872955573746</x:v>
      </x:c>
      <x:c r="C31" s="9" t="str">
        <x:v>-0.10367504307068365</x:v>
      </x:c>
      <x:c r="D31" s="9" t="str">
        <x:v>-0.9653703234899156</x:v>
      </x:c>
      <x:c r="E31" s="9" t="str">
        <x:v>3.435753442084489</x:v>
      </x:c>
    </x:row>
    <x:row r="32" ht="18" customHeight="1">
      <x:c r="A32" s="6" t="str">
        <x:v>31</x:v>
      </x:c>
      <x:c r="B32" s="9" t="str">
        <x:v>-0.994813038578886</x:v>
      </x:c>
      <x:c r="C32" s="9" t="str">
        <x:v>-1.1367700159798666</x:v>
      </x:c>
      <x:c r="D32" s="9" t="str">
        <x:v>-1.817477725333141</x:v>
      </x:c>
      <x:c r="E32" s="9" t="str">
        <x:v>2.3433482291879946</x:v>
      </x:c>
    </x:row>
    <x:row r="33" ht="18" customHeight="1">
      <x:c r="A33" s="6" t="str">
        <x:v>32</x:v>
      </x:c>
      <x:c r="B33" s="9" t="str"/>
      <x:c r="C33" s="9" t="str">
        <x:v>-0.4974194480834969</x:v>
      </x:c>
      <x:c r="D33" s="9" t="str">
        <x:v>-2.9485920846691047</x:v>
      </x:c>
      <x:c r="E33" s="9" t="str">
        <x:v>1.3110705664296893</x:v>
      </x:c>
    </x:row>
    <x:row r="34" ht="18" customHeight="1">
      <x:c r="A34" s="6" t="str">
        <x:v>33</x:v>
      </x:c>
      <x:c r="B34" s="9" t="str"/>
      <x:c r="C34" s="9" t="str">
        <x:v>-1.5440239642250448</x:v>
      </x:c>
      <x:c r="D34" s="9" t="str">
        <x:v>-3.9776343998303467</x:v>
      </x:c>
      <x:c r="E34" s="9" t="str">
        <x:v>0.26607857811125557</x:v>
      </x:c>
    </x:row>
    <x:row r="35" ht="18" customHeight="1">
      <x:c r="A35" s="6" t="str">
        <x:v>34</x:v>
      </x:c>
      <x:c r="B35" s="9" t="str"/>
      <x:c r="C35" s="9" t="str">
        <x:v>0.43169850787222974</x:v>
      </x:c>
      <x:c r="D35" s="9" t="str">
        <x:v>-1.9978320295320138</x:v>
      </x:c>
      <x:c r="E35" s="9" t="str">
        <x:v>-0.7488356352462306</x:v>
      </x:c>
    </x:row>
    <x:row r="36" ht="18" customHeight="1">
      <x:c r="A36" s="6" t="str">
        <x:v>35</x:v>
      </x:c>
      <x:c r="B36" s="9" t="str"/>
      <x:c r="C36" s="9" t="str">
        <x:v>-0.5876965037842321</x:v>
      </x:c>
      <x:c r="D36" s="9" t="str">
        <x:v>-3.0565811046353684</x:v>
      </x:c>
      <x:c r="E36" s="9" t="str">
        <x:v>-0.19284958627003168</x:v>
      </x:c>
    </x:row>
    <x:row r="37" ht="18" customHeight="1">
      <x:c r="A37" s="6" t="str">
        <x:v>36</x:v>
      </x:c>
      <x:c r="B37" s="9" t="str"/>
      <x:c r="C37" s="9" t="str">
        <x:v>0.38634196950250077</x:v>
      </x:c>
      <x:c r="D37" s="9" t="str">
        <x:v>-1.5927268615424206</x:v>
      </x:c>
      <x:c r="E37" s="9" t="str">
        <x:v>-1.232727881148466</x:v>
      </x:c>
    </x:row>
    <x:row r="38" ht="18" customHeight="1">
      <x:c r="A38" s="6" t="str">
        <x:v>37</x:v>
      </x:c>
      <x:c r="B38" s="9" t="str"/>
      <x:c r="C38" s="9" t="str">
        <x:v>-0.6770578940361489</x:v>
      </x:c>
      <x:c r="D38" s="9" t="str">
        <x:v>-1.1780738459092206</x:v>
      </x:c>
      <x:c r="E38" s="9" t="str">
        <x:v>0.753284222719399</x:v>
      </x:c>
    </x:row>
    <x:row r="39" ht="18" customHeight="1">
      <x:c r="A39" s="6" t="str">
        <x:v>38</x:v>
      </x:c>
      <x:c r="B39" s="9" t="str"/>
      <x:c r="C39" s="9" t="str">
        <x:v>0.2978023621455922</x:v>
      </x:c>
      <x:c r="D39" s="9" t="str">
        <x:v>0.7534267843104938</x:v>
      </x:c>
      <x:c r="E39" s="9" t="str">
        <x:v>2.735208606899242</x:v>
      </x:c>
    </x:row>
    <x:row r="40" ht="18" customHeight="1">
      <x:c r="A40" s="6" t="str">
        <x:v>39</x:v>
      </x:c>
      <x:c r="B40" s="9" t="str"/>
      <x:c r="C40" s="9" t="str">
        <x:v>0.41010902981135045</x:v>
      </x:c>
      <x:c r="D40" s="9" t="str">
        <x:v>-0.26451959083391574</x:v>
      </x:c>
      <x:c r="E40" s="9" t="str">
        <x:v>4.572412607229686</x:v>
      </x:c>
    </x:row>
    <x:row r="41" ht="18" customHeight="1">
      <x:c r="A41" s="6" t="str">
        <x:v>40</x:v>
      </x:c>
      <x:c r="B41" s="9" t="str"/>
      <x:c r="C41" s="9" t="str">
        <x:v>-0.6102188021954077</x:v>
      </x:c>
      <x:c r="D41" s="9" t="str">
        <x:v>-1.2795458000243498</x:v>
      </x:c>
      <x:c r="E41" s="9" t="str">
        <x:v>4.197636958329087</x:v>
      </x:c>
    </x:row>
    <x:row r="42" ht="18" customHeight="1">
      <x:c r="A42" s="6" t="str">
        <x:v>41</x:v>
      </x:c>
      <x:c r="B42" s="9" t="str"/>
      <x:c r="C42" s="9" t="str">
        <x:v>0.5877628561886367</x:v>
      </x:c>
      <x:c r="D42" s="9" t="str">
        <x:v>-2.293156248965686</x:v>
      </x:c>
      <x:c r="E42" s="9" t="str">
        <x:v>3.144422990510728</x:v>
      </x:c>
    </x:row>
    <x:row r="43" ht="18" customHeight="1">
      <x:c r="A43" s="6" t="str">
        <x:v>42</x:v>
      </x:c>
      <x:c r="B43" s="9" t="str"/>
      <x:c r="C43" s="9" t="str">
        <x:v>0.34549791294898763</x:v>
      </x:c>
      <x:c r="D43" s="9" t="str">
        <x:v>-0.3239531018330093</x:v>
      </x:c>
      <x:c r="E43" s="9" t="str">
        <x:v>2.0637533724648645</x:v>
      </x:c>
    </x:row>
    <x:row r="44" ht="18" customHeight="1">
      <x:c r="A44" s="6" t="str">
        <x:v>43</x:v>
      </x:c>
      <x:c r="B44" s="9" t="str"/>
      <x:c r="C44" s="9" t="str">
        <x:v>2.28774543095286</x:v>
      </x:c>
      <x:c r="D44" s="9" t="str">
        <x:v>1.6269798166341933</x:v>
      </x:c>
      <x:c r="E44" s="9" t="str">
        <x:v>0.9772771963855862</x:v>
      </x:c>
    </x:row>
    <x:row r="45" ht="18" customHeight="1">
      <x:c r="A45" s="6" t="str">
        <x:v>44</x:v>
      </x:c>
      <x:c r="B45" s="9" t="str"/>
      <x:c r="C45" s="9" t="str">
        <x:v>1.4356380291096347</x:v>
      </x:c>
      <x:c r="D45" s="9" t="str">
        <x:v>3.605270641493996</x:v>
      </x:c>
      <x:c r="E45" s="9" t="str">
        <x:v>1.2416581630100532</x:v>
      </x:c>
    </x:row>
    <x:row r="46" ht="18" customHeight="1">
      <x:c r="A46" s="6" t="str">
        <x:v>45</x:v>
      </x:c>
      <x:c r="B46" s="9" t="str"/>
      <x:c r="C46" s="9" t="str">
        <x:v>0.3817666315065298</x:v>
      </x:c>
      <x:c r="D46" s="9" t="str">
        <x:v>5.560995344306004</x:v>
      </x:c>
      <x:c r="E46" s="9" t="str">
        <x:v>0.19994132641898266</x:v>
      </x:c>
    </x:row>
    <x:row r="47" ht="18" customHeight="1">
      <x:c r="A47" s="6" t="str">
        <x:v>46</x:v>
      </x:c>
      <x:c r="B47" s="9" t="str"/>
      <x:c r="C47" s="9" t="str">
        <x:v>-0.6436674263102746</x:v>
      </x:c>
      <x:c r="D47" s="9" t="str">
        <x:v>6.5085815770323325</x:v>
      </x:c>
      <x:c r="E47" s="9" t="str">
        <x:v>1.8273223506472285</x:v>
      </x:c>
    </x:row>
    <x:row r="48" ht="18" customHeight="1">
      <x:c r="A48" s="6" t="str">
        <x:v>47</x:v>
      </x:c>
      <x:c r="B48" s="9" t="str"/>
      <x:c r="C48" s="9" t="str">
        <x:v>-1.7747817856462385</x:v>
      </x:c>
      <x:c r="D48" s="9" t="str">
        <x:v>6.319753804504848</x:v>
      </x:c>
      <x:c r="E48" s="9" t="str">
        <x:v>1.248155658221546</x:v>
      </x:c>
    </x:row>
    <x:row r="49" ht="18" customHeight="1">
      <x:c r="A49" s="6" t="str">
        <x:v>48</x:v>
      </x:c>
      <x:c r="B49" s="9" t="str"/>
      <x:c r="C49" s="9" t="str">
        <x:v>0.09862011965091289</x:v>
      </x:c>
      <x:c r="D49" s="9" t="str">
        <x:v>5.289613834148507</x:v>
      </x:c>
      <x:c r="E49" s="9" t="str">
        <x:v>3.2204730213022836</x:v>
      </x:c>
    </x:row>
    <x:row r="50" ht="18" customHeight="1">
      <x:c r="A50" s="6" t="str">
        <x:v>49</x:v>
      </x:c>
      <x:c r="B50" s="9" t="str"/>
      <x:c r="C50" s="9" t="str">
        <x:v>-0.9256458542846928</x:v>
      </x:c>
      <x:c r="D50" s="9" t="str">
        <x:v>4.1766223898960195</x:v>
      </x:c>
      <x:c r="E50" s="9" t="str">
        <x:v>2.1800074748128146</x:v>
      </x:c>
    </x:row>
    <x:row r="51" ht="18" customHeight="1">
      <x:c r="A51" s="6" t="str">
        <x:v>50</x:v>
      </x:c>
      <x:c r="B51" s="9" t="str"/>
      <x:c r="C51" s="9" t="str">
        <x:v>-1.954688169445935</x:v>
      </x:c>
      <x:c r="D51" s="9" t="str">
        <x:v>3.074979311882089</x:v>
      </x:c>
      <x:c r="E51" s="9" t="str">
        <x:v>1.1431108394984468</x:v>
      </x:c>
    </x:row>
    <x:row r="52" ht="18" customHeight="1">
      <x:c r="A52" s="6" t="str">
        <x:v>51</x:v>
      </x:c>
      <x:c r="B52" s="9" t="str"/>
      <x:c r="C52" s="9" t="str">
        <x:v>0.025114200852397905</x:v>
      </x:c>
      <x:c r="D52" s="9" t="str">
        <x:v>2.0211988798036606</x:v>
      </x:c>
      <x:c r="E52" s="9" t="str">
        <x:v>0.11546477008234923</x:v>
      </x:c>
    </x:row>
    <x:row r="53" ht="18" customHeight="1">
      <x:c r="A53" s="6" t="str">
        <x:v>52</x:v>
      </x:c>
      <x:c r="B53" s="9" t="str"/>
      <x:c r="C53" s="9" t="str">
        <x:v>1.0103226726753896</x:v>
      </x:c>
      <x:c r="D53" s="9" t="str">
        <x:v>1.0076531181983746</x:v>
      </x:c>
      <x:c r="E53" s="9" t="str">
        <x:v>-0.965955272688396</x:v>
      </x:c>
    </x:row>
    <x:row r="54" ht="18" customHeight="1">
      <x:c r="A54" s="6" t="str">
        <x:v>53</x:v>
      </x:c>
      <x:c r="B54" s="9" t="str"/>
      <x:c r="C54" s="9" t="str">
        <x:v>-0.048426402427965254</x:v>
      </x:c>
      <x:c r="D54" s="9" t="str">
        <x:v>1.624577726590577</x:v>
      </x:c>
      <x:c r="E54" s="9" t="str">
        <x:v>-1.986116048269864</x:v>
      </x:c>
    </x:row>
    <x:row r="55" ht="18" customHeight="1">
      <x:c r="A55" s="6" t="str">
        <x:v>54</x:v>
      </x:c>
      <x:c r="B55" s="9" t="str"/>
      <x:c r="C55" s="9" t="str">
        <x:v>0.43062356659164785</x:v>
      </x:c>
      <x:c r="D55" s="9" t="str">
        <x:v>1.9455864954981499</x:v>
      </x:c>
      <x:c r="E55" s="9" t="str">
        <x:v>-0.025652412681096637</x:v>
      </x:c>
    </x:row>
    <x:row r="56" ht="18" customHeight="1">
      <x:c r="A56" s="6" t="str">
        <x:v>55</x:v>
      </x:c>
      <x:c r="B56" s="9" t="str"/>
      <x:c r="C56" s="9" t="str">
        <x:v>-0.5925987707267188</x:v>
      </x:c>
      <x:c r="D56" s="9" t="str">
        <x:v>2.902169815033046</x:v>
      </x:c>
      <x:c r="E56" s="9" t="str">
        <x:v>0.16377480424809782</x:v>
      </x:c>
    </x:row>
    <x:row r="57" ht="18" customHeight="1">
      <x:c r="A57" s="6" t="str">
        <x:v>56</x:v>
      </x:c>
      <x:c r="B57" s="9" t="str"/>
      <x:c r="C57" s="9" t="str">
        <x:v>0.8712554723662289</x:v>
      </x:c>
      <x:c r="D57" s="9" t="str">
        <x:v>2.824937214811179</x:v>
      </x:c>
      <x:c r="E57" s="9" t="str">
        <x:v>-0.9124440294733944</x:v>
      </x:c>
    </x:row>
    <x:row r="58" ht="18" customHeight="1">
      <x:c r="A58" s="6" t="str">
        <x:v>57</x:v>
      </x:c>
      <x:c r="B58" s="9" t="str"/>
      <x:c r="C58" s="9" t="str">
        <x:v>1.285908487999429</x:v>
      </x:c>
      <x:c r="D58" s="9" t="str">
        <x:v>4.780580239037418</x:v>
      </x:c>
      <x:c r="E58" s="9" t="str">
        <x:v>-1.660430836627286</x:v>
      </x:c>
    </x:row>
    <x:row r="59" ht="18" customHeight="1">
      <x:c r="A59" s="6" t="str">
        <x:v>58</x:v>
      </x:c>
      <x:c r="B59" s="9" t="str"/>
      <x:c r="C59" s="9" t="str">
        <x:v>0.25783266731723087</x:v>
      </x:c>
      <x:c r="D59" s="9" t="str">
        <x:v>4.152641086868409</x:v>
      </x:c>
      <x:c r="E59" s="9" t="str">
        <x:v>-2.7796094537003775</x:v>
      </x:c>
    </x:row>
    <x:row r="60" ht="18" customHeight="1">
      <x:c r="A60" s="6" t="str">
        <x:v>59</x:v>
      </x:c>
      <x:c r="B60" s="9" t="str"/>
      <x:c r="C60" s="9" t="str">
        <x:v>2.1893332975369453</x:v>
      </x:c>
      <x:c r="D60" s="9" t="str">
        <x:v>3.0683560604144358</x:v>
      </x:c>
      <x:c r="E60" s="9" t="str">
        <x:v>-3.8170252119626715</x:v>
      </x:c>
    </x:row>
    <x:row r="61" ht="18" customHeight="1">
      <x:c r="A61" s="6" t="str">
        <x:v>60</x:v>
      </x:c>
      <x:c r="B61" s="9" t="str"/>
      <x:c r="C61" s="9" t="str">
        <x:v>1.1713869223925357</x:v>
      </x:c>
      <x:c r="D61" s="9" t="str">
        <x:v>2.035996603396855</x:v>
      </x:c>
      <x:c r="E61" s="9" t="str">
        <x:v>-4.986688575155284</x:v>
      </x:c>
    </x:row>
    <x:row r="62" ht="18" customHeight="1">
      <x:c r="A62" s="6" t="str">
        <x:v>61</x:v>
      </x:c>
      <x:c r="B62" s="9" t="str"/>
      <x:c r="C62" s="9" t="str">
        <x:v>0.15636071320210165</x:v>
      </x:c>
      <x:c r="D62" s="9" t="str">
        <x:v>1.7493965640832938</x:v>
      </x:c>
      <x:c r="E62" s="9" t="str">
        <x:v>-6.008288277195918</x:v>
      </x:c>
    </x:row>
    <x:row r="63" ht="18" customHeight="1">
      <x:c r="A63" s="6" t="str">
        <x:v>62</x:v>
      </x:c>
      <x:c r="B63" s="9" t="str"/>
      <x:c r="C63" s="9" t="str">
        <x:v>-0.8726106263437816</x:v>
      </x:c>
      <x:c r="D63" s="9" t="str">
        <x:v>0.719162185031265</x:v>
      </x:c>
      <x:c r="E63" s="9" t="str">
        <x:v>-6.066656067763188</x:v>
      </x:c>
    </x:row>
    <x:row r="64" ht="18" customHeight="1">
      <x:c r="A64" s="6" t="str">
        <x:v>63</x:v>
      </x:c>
      <x:c r="B64" s="9" t="str"/>
      <x:c r="C64" s="9" t="str">
        <x:v>-0.881226481885024</x:v>
      </x:c>
      <x:c r="D64" s="9" t="str">
        <x:v>-0.317242564071331</x:v>
      </x:c>
      <x:c r="E64" s="9" t="str">
        <x:v>-7.148506471179056</x:v>
      </x:c>
    </x:row>
    <x:row r="65" ht="18" customHeight="1">
      <x:c r="A65" s="6" t="str">
        <x:v>64</x:v>
      </x:c>
      <x:c r="B65" s="9" t="str"/>
      <x:c r="C65" s="9" t="str">
        <x:v>-1.8948369308263604</x:v>
      </x:c>
      <x:c r="D65" s="9" t="str">
        <x:v>-0.9134947645168492</x:v>
      </x:c>
      <x:c r="E65" s="9" t="str">
        <x:v>-8.172338982642067</x:v>
      </x:c>
    </x:row>
    <x:row r="66" ht="18" customHeight="1">
      <x:c r="A66" s="6" t="str">
        <x:v>65</x:v>
      </x:c>
      <x:c r="B66" s="9" t="str"/>
      <x:c r="C66" s="9" t="str">
        <x:v>0.07436621630631635</x:v>
      </x:c>
      <x:c r="D66" s="9" t="str">
        <x:v>1.0275654891563977</x:v>
      </x:c>
      <x:c r="E66" s="9" t="str">
        <x:v>-7.1367663289485535</x:v>
      </x:c>
    </x:row>
    <x:row r="67" ht="18" customHeight="1">
      <x:c r="A67" s="6" t="str">
        <x:v>66</x:v>
      </x:c>
      <x:c r="B67" s="9" t="str"/>
      <x:c r="C67" s="9" t="str">
        <x:v>-0.9447404337444758</x:v>
      </x:c>
      <x:c r="D67" s="9" t="str">
        <x:v>0.18044771972529872</x:v>
      </x:c>
      <x:c r="E67" s="9" t="str">
        <x:v>-7.125131843888654</x:v>
      </x:c>
    </x:row>
    <x:row r="68" ht="18" customHeight="1">
      <x:c r="A68" s="6" t="str">
        <x:v>67</x:v>
      </x:c>
      <x:c r="B68" s="9" t="str"/>
      <x:c r="C68" s="9" t="str">
        <x:v>1.0061924847227268</x:v>
      </x:c>
      <x:c r="D68" s="9" t="str">
        <x:v>-0.8519652332186058</x:v>
      </x:c>
      <x:c r="E68" s="9" t="str">
        <x:v>-5.17228153014106</x:v>
      </x:c>
    </x:row>
    <x:row r="69" ht="18" customHeight="1">
      <x:c r="A69" s="6" t="str">
        <x:v>68</x:v>
      </x:c>
      <x:c r="B69" s="9" t="str"/>
      <x:c r="C69" s="9" t="str">
        <x:v>2.9844833095825294</x:v>
      </x:c>
      <x:c r="D69" s="9" t="str">
        <x:v>-1.3908246728534372</x:v>
      </x:c>
      <x:c r="E69" s="9" t="str">
        <x:v>-6.2239023048850335</x:v>
      </x:c>
    </x:row>
    <x:row r="70" ht="18" customHeight="1">
      <x:c r="A70" s="6" t="str">
        <x:v>69</x:v>
      </x:c>
      <x:c r="B70" s="9" t="str"/>
      <x:c r="C70" s="9" t="str">
        <x:v>4.940208012394537</x:v>
      </x:c>
      <x:c r="D70" s="9" t="str">
        <x:v>-2.512860121259684</x:v>
      </x:c>
      <x:c r="E70" s="9" t="str">
        <x:v>-7.318994920245428</x:v>
      </x:c>
    </x:row>
    <x:row r="71" ht="18" customHeight="1">
      <x:c r="A71" s="6" t="str">
        <x:v>70</x:v>
      </x:c>
      <x:c r="B71" s="9" t="str"/>
      <x:c r="C71" s="9" t="str">
        <x:v>3.9108231168847496</x:v>
      </x:c>
      <x:c r="D71" s="9" t="str">
        <x:v>-3.637348614597859</x:v>
      </x:c>
      <x:c r="E71" s="9" t="str">
        <x:v>-8.38638660008683</x:v>
      </x:c>
    </x:row>
    <x:row r="72" ht="18" customHeight="1">
      <x:c r="A72" s="6" t="str">
        <x:v>71</x:v>
      </x:c>
      <x:c r="B72" s="9" t="str"/>
      <x:c r="C72" s="9" t="str">
        <x:v>4.858409349611078</x:v>
      </x:c>
      <x:c r="D72" s="9" t="str">
        <x:v>-4.746021032596366</x:v>
      </x:c>
      <x:c r="E72" s="9" t="str">
        <x:v>-9.472496439822757</x:v>
      </x:c>
    </x:row>
    <x:row r="73" ht="18" customHeight="1">
      <x:c r="A73" s="6" t="str">
        <x:v>72</x:v>
      </x:c>
      <x:c r="B73" s="9" t="str"/>
      <x:c r="C73" s="9" t="str">
        <x:v>6.792464301872139</x:v>
      </x:c>
      <x:c r="D73" s="9" t="str">
        <x:v>-5.786903902827538</x:v>
      </x:c>
      <x:c r="E73" s="9" t="str">
        <x:v>-7.504302872772425</x:v>
      </x:c>
    </x:row>
    <x:row r="74" ht="18" customHeight="1">
      <x:c r="A74" s="6" t="str">
        <x:v>73</x:v>
      </x:c>
      <x:c r="B74" s="9" t="str"/>
      <x:c r="C74" s="9" t="str">
        <x:v>8.717792461400755</x:v>
      </x:c>
      <x:c r="D74" s="9" t="str">
        <x:v>-6.815369687903706</x:v>
      </x:c>
      <x:c r="E74" s="9" t="str">
        <x:v>-8.52027843925473</x:v>
      </x:c>
    </x:row>
    <x:row r="75" ht="18" customHeight="1">
      <x:c r="A75" s="6" t="str">
        <x:v>74</x:v>
      </x:c>
      <x:c r="B75" s="9" t="str"/>
      <x:c r="C75" s="9" t="str">
        <x:v>8.528964688873272</x:v>
      </x:c>
      <x:c r="D75" s="9" t="str">
        <x:v>-4.854046384505315</x:v>
      </x:c>
      <x:c r="E75" s="9" t="str">
        <x:v>-6.531795144453343</x:v>
      </x:c>
    </x:row>
    <x:row r="76" ht="18" customHeight="1">
      <x:c r="A76" s="6" t="str">
        <x:v>75</x:v>
      </x:c>
      <x:c r="B76" s="9" t="str"/>
      <x:c r="C76" s="9" t="str">
        <x:v>7.49882471851693</x:v>
      </x:c>
      <x:c r="D76" s="9" t="str">
        <x:v>-5.95497543657577</x:v>
      </x:c>
      <x:c r="E76" s="9" t="str">
        <x:v>-7.545763314429084</x:v>
      </x:c>
    </x:row>
    <x:row r="77" ht="18" customHeight="1">
      <x:c r="A77" s="6" t="str">
        <x:v>76</x:v>
      </x:c>
      <x:c r="B77" s="9" t="str"/>
      <x:c r="C77" s="9" t="str">
        <x:v>6.385833274264444</x:v>
      </x:c>
      <x:c r="D77" s="9" t="str">
        <x:v>-6.180548100332273</x:v>
      </x:c>
      <x:c r="E77" s="9" t="str">
        <x:v>-8.55980470544777</x:v>
      </x:c>
    </x:row>
    <x:row r="78" ht="18" customHeight="1">
      <x:c r="A78" s="6" t="str">
        <x:v>77</x:v>
      </x:c>
      <x:c r="B78" s="9" t="str"/>
      <x:c r="C78" s="9" t="str">
        <x:v>5.293428061367949</x:v>
      </x:c>
      <x:c r="D78" s="9" t="str">
        <x:v>-6.658497047500798</x:v>
      </x:c>
      <x:c r="E78" s="9" t="str">
        <x:v>-9.592290311582081</x:v>
      </x:c>
    </x:row>
    <x:row r="79" ht="18" customHeight="1">
      <x:c r="A79" s="6" t="str">
        <x:v>78</x:v>
      </x:c>
      <x:c r="B79" s="9" t="str"/>
      <x:c r="C79" s="9" t="str">
        <x:v>4.191784983354019</x:v>
      </x:c>
      <x:c r="D79" s="9" t="str">
        <x:v>-5.844925393566932</x:v>
      </x:c>
      <x:c r="E79" s="9" t="str">
        <x:v>-10.16834697980792</x:v>
      </x:c>
    </x:row>
    <x:row r="80" ht="18" customHeight="1">
      <x:c r="A80" s="6" t="str">
        <x:v>79</x:v>
      </x:c>
      <x:c r="B80" s="9" t="str"/>
      <x:c r="C80" s="9" t="str">
        <x:v>3.1595073205957136</x:v>
      </x:c>
      <x:c r="D80" s="9" t="str">
        <x:v>-4.912337338141729</x:v>
      </x:c>
      <x:c r="E80" s="9" t="str">
        <x:v>-10.403959965177789</x:v>
      </x:c>
    </x:row>
    <x:row r="81" ht="18" customHeight="1">
      <x:c r="A81" s="6" t="str">
        <x:v>80</x:v>
      </x:c>
      <x:c r="B81" s="9" t="str"/>
      <x:c r="C81" s="9" t="str">
        <x:v>2.1057268885172853</x:v>
      </x:c>
      <x:c r="D81" s="9" t="str">
        <x:v>-4.625161269792607</x:v>
      </x:c>
      <x:c r="E81" s="9" t="str">
        <x:v>-11.437100075577403</x:v>
      </x:c>
    </x:row>
    <x:row r="82" ht="18" customHeight="1">
      <x:c r="A82" s="6" t="str">
        <x:v>81</x:v>
      </x:c>
      <x:c r="B82" s="9" t="str"/>
      <x:c r="C82" s="9" t="str">
        <x:v>1.0921811269119992</x:v>
      </x:c>
      <x:c r="D82" s="9" t="str">
        <x:v>-4.4404155318603395</x:v>
      </x:c>
      <x:c r="E82" s="9" t="str">
        <x:v>-9.450583312713194</x:v>
      </x:c>
    </x:row>
    <x:row r="83" ht="18" customHeight="1">
      <x:c r="A83" s="6" t="str">
        <x:v>82</x:v>
      </x:c>
      <x:c r="B83" s="9" t="str"/>
      <x:c r="C83" s="9" t="str">
        <x:v>0.04718913859356544</x:v>
      </x:c>
      <x:c r="D83" s="9" t="str">
        <x:v>-5.4708612621370065</x:v>
      </x:c>
      <x:c r="E83" s="9" t="str">
        <x:v>-10.472114504979007</x:v>
      </x:c>
    </x:row>
    <x:row r="84" ht="18" customHeight="1">
      <x:c r="A84" s="6" t="str">
        <x:v>83</x:v>
      </x:c>
      <x:c r="B84" s="9" t="str"/>
      <x:c r="C84" s="9" t="str">
        <x:v>-0.9677250747639208</x:v>
      </x:c>
      <x:c r="D84" s="9" t="str">
        <x:v>-4.650936158929408</x:v>
      </x:c>
      <x:c r="E84" s="9" t="str">
        <x:v>-8.482132218299554</x:v>
      </x:c>
    </x:row>
    <x:row r="85" ht="18" customHeight="1">
      <x:c r="A85" s="6" t="str">
        <x:v>84</x:v>
      </x:c>
      <x:c r="B85" s="9" t="str"/>
      <x:c r="C85" s="9" t="str">
        <x:v>-0.35080046637171824</x:v>
      </x:c>
      <x:c r="D85" s="9" t="str">
        <x:v>-3.8692727820668495</x:v>
      </x:c>
      <x:c r="E85" s="9" t="str">
        <x:v>-9.49291944683016</x:v>
      </x:c>
    </x:row>
    <x:row r="86" ht="18" customHeight="1">
      <x:c r="A86" s="6" t="str">
        <x:v>85</x:v>
      </x:c>
      <x:c r="B86" s="9" t="str"/>
      <x:c r="C86" s="9" t="str">
        <x:v>0.20518558260448072</x:v>
      </x:c>
      <x:c r="D86" s="9" t="str">
        <x:v>-1.9068992938593219</x:v>
      </x:c>
      <x:c r="E86" s="9" t="str">
        <x:v>-10.499396266063258</x:v>
      </x:c>
    </x:row>
    <x:row r="87" ht="18" customHeight="1">
      <x:c r="A87" s="6" t="str">
        <x:v>86</x:v>
      </x:c>
      <x:c r="B87" s="9" t="str"/>
      <x:c r="C87" s="9" t="str">
        <x:v>0.5261943515120535</x:v>
      </x:c>
      <x:c r="D87" s="9" t="str">
        <x:v>-2.9268987869106162</x:v>
      </x:c>
      <x:c r="E87" s="9" t="str">
        <x:v>-10.042755115440135</x:v>
      </x:c>
    </x:row>
    <x:row r="88" ht="18" customHeight="1">
      <x:c r="A88" s="6" t="str">
        <x:v>87</x:v>
      </x:c>
      <x:c r="B88" s="9" t="str"/>
      <x:c r="C88" s="9" t="str">
        <x:v>1.4827776710469498</x:v>
      </x:c>
      <x:c r="D88" s="9" t="str">
        <x:v>-3.9437605007924734</x:v>
      </x:c>
      <x:c r="E88" s="9" t="str">
        <x:v>-11.052090006580805</x:v>
      </x:c>
    </x:row>
    <x:row r="89" ht="18" customHeight="1">
      <x:c r="A89" s="6" t="str">
        <x:v>88</x:v>
      </x:c>
      <x:c r="B89" s="9" t="str"/>
      <x:c r="C89" s="9" t="str">
        <x:v>0.4428993761685154</x:v>
      </x:c>
      <x:c r="D89" s="9" t="str">
        <x:v>-4.974737286346784</x:v>
      </x:c>
      <x:c r="E89" s="9" t="str">
        <x:v>-10.437904869617842</x:v>
      </x:c>
    </x:row>
    <x:row r="90" ht="18" customHeight="1">
      <x:c r="A90" s="6" t="str">
        <x:v>89</x:v>
      </x:c>
      <x:c r="B90" s="9" t="str"/>
      <x:c r="C90" s="9" t="str">
        <x:v>2.4289114800363807</x:v>
      </x:c>
      <x:c r="D90" s="9" t="str">
        <x:v>-5.035890504334524</x:v>
      </x:c>
      <x:c r="E90" s="9" t="str">
        <x:v>-11.494982682094161</x:v>
      </x:c>
    </x:row>
    <x:row r="91" ht="18" customHeight="1">
      <x:c r="A91" s="6" t="str">
        <x:v>90</x:v>
      </x:c>
      <x:c r="B91" s="9" t="str"/>
      <x:c r="C91" s="9" t="str">
        <x:v>2.3516788798145134</x:v>
      </x:c>
      <x:c r="D91" s="9" t="str">
        <x:v>-3.6375108197502697</x:v>
      </x:c>
      <x:c r="E91" s="9" t="str">
        <x:v>-12.512937965363735</x:v>
      </x:c>
    </x:row>
    <x:row r="92" ht="18" customHeight="1">
      <x:c r="A92" s="6" t="str">
        <x:v>91</x:v>
      </x:c>
      <x:c r="B92" s="9" t="str"/>
      <x:c r="C92" s="9" t="str">
        <x:v>4.333603263994356</x:v>
      </x:c>
      <x:c r="D92" s="9" t="str">
        <x:v>-4.665670863830675</x:v>
      </x:c>
      <x:c r="E92" s="9" t="str">
        <x:v>-13.554379456945863</x:v>
      </x:c>
    </x:row>
    <x:row r="93" ht="18" customHeight="1">
      <x:c r="A93" s="6" t="str">
        <x:v>92</x:v>
      </x:c>
      <x:c r="B93" s="9" t="str"/>
      <x:c r="C93" s="9" t="str">
        <x:v>6.289246288220594</x:v>
      </x:c>
      <x:c r="D93" s="9" t="str">
        <x:v>-4.5476554652901955</x:v>
      </x:c>
      <x:c r="E93" s="9" t="str">
        <x:v>-11.972125622497098</x:v>
      </x:c>
    </x:row>
    <x:row r="94" ht="18" customHeight="1">
      <x:c r="A94" s="6" t="str">
        <x:v>93</x:v>
      </x:c>
      <x:c r="B94" s="9" t="str"/>
      <x:c r="C94" s="9" t="str">
        <x:v>5.661307136051586</x:v>
      </x:c>
      <x:c r="D94" s="9" t="str">
        <x:v>-5.163138846672561</x:v>
      </x:c>
      <x:c r="E94" s="9" t="str">
        <x:v>-10.000484486347109</x:v>
      </x:c>
    </x:row>
    <x:row r="95" ht="18" customHeight="1">
      <x:c r="A95" s="6" t="str">
        <x:v>94</x:v>
      </x:c>
      <x:c r="B95" s="9" t="str"/>
      <x:c r="C95" s="9" t="str">
        <x:v>4.577022109597612</x:v>
      </x:c>
      <x:c r="D95" s="9" t="str">
        <x:v>-6.303902863310316</x:v>
      </x:c>
      <x:c r="E95" s="9" t="str">
        <x:v>-11.03029256315879</x:v>
      </x:c>
    </x:row>
    <x:row r="96" ht="18" customHeight="1">
      <x:c r="A96" s="6" t="str">
        <x:v>95</x:v>
      </x:c>
      <x:c r="B96" s="9" t="str"/>
      <x:c r="C96" s="9" t="str">
        <x:v>3.5446626525800315</x:v>
      </x:c>
      <x:c r="D96" s="9" t="str">
        <x:v>-7.337939092697155</x:v>
      </x:c>
      <x:c r="E96" s="9" t="str">
        <x:v>-12.06003279980515</x:v>
      </x:c>
    </x:row>
    <x:row r="97" ht="18" customHeight="1">
      <x:c r="A97" s="6" t="str">
        <x:v>96</x:v>
      </x:c>
      <x:c r="B97" s="9" t="str"/>
      <x:c r="C97" s="9" t="str">
        <x:v>3.2580626132664703</x:v>
      </x:c>
      <x:c r="D97" s="9" t="str">
        <x:v>-8.371895553667521</x:v>
      </x:c>
      <x:c r="E97" s="9" t="str">
        <x:v>-10.15283777925865</x:v>
      </x:c>
    </x:row>
    <x:row r="98" ht="18" customHeight="1">
      <x:c r="A98" s="6" t="str">
        <x:v>97</x:v>
      </x:c>
      <x:c r="B98" s="9" t="str"/>
      <x:c r="C98" s="9" t="str">
        <x:v>5.095266613596914</x:v>
      </x:c>
      <x:c r="D98" s="9" t="str">
        <x:v>-8.909937805133133</x:v>
      </x:c>
      <x:c r="E98" s="9" t="str">
        <x:v>-10.314626568899667</x:v>
      </x:c>
    </x:row>
    <x:row r="99" ht="18" customHeight="1">
      <x:c r="A99" s="6" t="str">
        <x:v>98</x:v>
      </x:c>
      <x:c r="B99" s="9" t="str"/>
      <x:c r="C99" s="9" t="str">
        <x:v>4.065032234544885</x:v>
      </x:c>
      <x:c r="D99" s="9" t="str">
        <x:v>-9.934397785239643</x:v>
      </x:c>
      <x:c r="E99" s="9" t="str">
        <x:v>-9.36720354510317</x:v>
      </x:c>
    </x:row>
    <x:row r="100" ht="18" customHeight="1">
      <x:c r="A100" s="6" t="str">
        <x:v>99</x:v>
      </x:c>
      <x:c r="B100" s="9" t="str"/>
      <x:c r="C100" s="9" t="str">
        <x:v>3.028627485442289</x:v>
      </x:c>
      <x:c r="D100" s="9" t="str">
        <x:v>-10.950447633403703</x:v>
      </x:c>
      <x:c r="E100" s="9" t="str">
        <x:v>-10.404874066961703</x:v>
      </x:c>
    </x:row>
    <x:row r="101" ht="18" customHeight="1">
      <x:c r="A101" s="6" t="str">
        <x:v>100</x:v>
      </x:c>
      <x:c r="B101" s="9" t="str"/>
      <x:c r="C101" s="9" t="str">
        <x:v>2.432375284996771</x:v>
      </x:c>
      <x:c r="D101" s="9" t="str">
        <x:v>-11.959347317187671</x:v>
      </x:c>
      <x:c r="E101" s="9" t="str">
        <x:v>-8.428564973921251</x:v>
      </x:c>
    </x:row>
    <x:row r="102" ht="18" customHeight="1">
      <x:c r="A102" s="6" t="str">
        <x:v>101</x:v>
      </x:c>
      <x:c r="B102" s="9" t="str"/>
      <x:c r="C102" s="9" t="str">
        <x:v>2.057599636096172</x:v>
      </x:c>
      <x:c r="D102" s="9" t="str">
        <x:v>-13.013659534947767</x:v>
      </x:c>
      <x:c r="E102" s="9" t="str">
        <x:v>-9.444847203934655</x:v>
      </x:c>
    </x:row>
    <x:row r="103" ht="18" customHeight="1">
      <x:c r="A103" s="6" t="str">
        <x:v>102</x:v>
      </x:c>
      <x:c r="B103" s="9" t="str"/>
      <x:c r="C103" s="9" t="str">
        <x:v>3.998659889769419</x:v>
      </x:c>
      <x:c r="D103" s="9" t="str">
        <x:v>-11.524186426472685</x:v>
      </x:c>
      <x:c r="E103" s="9" t="str">
        <x:v>-9.417175517933007</x:v>
      </x:c>
    </x:row>
    <x:row r="104" ht="18" customHeight="1">
      <x:c r="A104" s="6" t="str">
        <x:v>103</x:v>
      </x:c>
      <x:c r="B104" s="9" t="str"/>
      <x:c r="C104" s="9" t="str">
        <x:v>3.15154212033832</x:v>
      </x:c>
      <x:c r="D104" s="9" t="str">
        <x:v>-12.537436576755297</x:v>
      </x:c>
      <x:c r="E104" s="9" t="str">
        <x:v>-10.440881263568457</x:v>
      </x:c>
    </x:row>
    <x:row r="105" ht="18" customHeight="1">
      <x:c r="A105" s="6" t="str">
        <x:v>104</x:v>
      </x:c>
      <x:c r="B105" s="9" t="str"/>
      <x:c r="C105" s="9" t="str">
        <x:v>2.0983281525199606</x:v>
      </x:c>
      <x:c r="D105" s="9" t="str">
        <x:v>-13.544582867816178</x:v>
      </x:c>
      <x:c r="E105" s="9" t="str">
        <x:v>-11.18099012006325</x:v>
      </x:c>
    </x:row>
    <x:row r="106" ht="18" customHeight="1">
      <x:c r="A106" s="6" t="str">
        <x:v>105</x:v>
      </x:c>
      <x:c r="B106" s="9" t="str"/>
      <x:c r="C106" s="9" t="str">
        <x:v>1.065915199576056</x:v>
      </x:c>
      <x:c r="D106" s="9" t="str">
        <x:v>-13.022425651548847</x:v>
      </x:c>
      <x:c r="E106" s="9" t="str">
        <x:v>-10.079493375090001</x:v>
      </x:c>
    </x:row>
    <x:row r="107" ht="18" customHeight="1">
      <x:c r="A107" s="6" t="str">
        <x:v>106</x:v>
      </x:c>
      <x:c r="B107" s="9" t="str"/>
      <x:c r="C107" s="9" t="str">
        <x:v>0.5270557599412247</x:v>
      </x:c>
      <x:c r="D107" s="9" t="str">
        <x:v>-12.092979997807458</x:v>
      </x:c>
      <x:c r="E107" s="9" t="str">
        <x:v>-11.154183128220232</x:v>
      </x:c>
    </x:row>
    <x:row r="108" ht="18" customHeight="1">
      <x:c r="A108" s="6" t="str">
        <x:v>107</x:v>
      </x:c>
      <x:c r="B108" s="9" t="str"/>
      <x:c r="C108" s="9" t="str">
        <x:v>-0.5949796884650218</x:v>
      </x:c>
      <x:c r="D108" s="9" t="str">
        <x:v>-11.859999525846131</x:v>
      </x:c>
      <x:c r="E108" s="9" t="str">
        <x:v>-12.201127937453862</x:v>
      </x:c>
    </x:row>
    <x:row r="109" ht="18" customHeight="1">
      <x:c r="A109" s="6" t="str">
        <x:v>108</x:v>
      </x:c>
      <x:c r="B109" s="9" t="str"/>
      <x:c r="C109" s="9" t="str">
        <x:v>-0.3305987218405548</x:v>
      </x:c>
      <x:c r="D109" s="9" t="str">
        <x:v>-11.839550417226375</x:v>
      </x:c>
      <x:c r="E109" s="9" t="str">
        <x:v>-13.278723093124526</x:v>
      </x:c>
    </x:row>
    <x:row r="110" ht="18" customHeight="1">
      <x:c r="A110" s="6" t="str">
        <x:v>109</x:v>
      </x:c>
      <x:c r="B110" s="9" t="str"/>
      <x:c r="C110" s="9" t="str">
        <x:v>-1.3723155584316253</x:v>
      </x:c>
      <x:c r="D110" s="9" t="str">
        <x:v>-10.463455650229934</x:v>
      </x:c>
      <x:c r="E110" s="9" t="str">
        <x:v>-14.33692269648667</x:v>
      </x:c>
    </x:row>
    <x:row r="111" ht="18" customHeight="1">
      <x:c r="A111" s="6" t="str">
        <x:v>110</x:v>
      </x:c>
      <x:c r="B111" s="9" t="str"/>
      <x:c r="C111" s="9" t="str">
        <x:v>-2.4968040517698005</x:v>
      </x:c>
      <x:c r="D111" s="9" t="str">
        <x:v>-11.487420798950541</x:v>
      </x:c>
      <x:c r="E111" s="9" t="str">
        <x:v>-15.356818944999056</x:v>
      </x:c>
    </x:row>
    <x:row r="112" ht="18" customHeight="1">
      <x:c r="A112" s="6" t="str">
        <x:v>111</x:v>
      </x:c>
      <x:c r="B112" s="9" t="str"/>
      <x:c r="C112" s="9" t="str">
        <x:v>-3.605476469768308</x:v>
      </x:c>
      <x:c r="D112" s="9" t="str">
        <x:v>-12.500246256549296</x:v>
      </x:c>
      <x:c r="E112" s="9" t="str">
        <x:v>-16.40931007931943</x:v>
      </x:c>
    </x:row>
    <x:row r="113" ht="18" customHeight="1">
      <x:c r="A113" s="6" t="str">
        <x:v>112</x:v>
      </x:c>
      <x:c r="B113" s="9" t="str"/>
      <x:c r="C113" s="9" t="str">
        <x:v>-4.64635933999948</x:v>
      </x:c>
      <x:c r="D113" s="9" t="str">
        <x:v>-11.086490170190839</x:v>
      </x:c>
      <x:c r="E113" s="9" t="str">
        <x:v>-14.861700193996901</x:v>
      </x:c>
    </x:row>
    <x:row r="114" ht="18" customHeight="1">
      <x:c r="A114" s="6" t="str">
        <x:v>113</x:v>
      </x:c>
      <x:c r="B114" s="9" t="str"/>
      <x:c r="C114" s="9" t="str">
        <x:v>-5.674825125075648</x:v>
      </x:c>
      <x:c r="D114" s="9" t="str">
        <x:v>-11.775751236209773</x:v>
      </x:c>
      <x:c r="E114" s="9" t="str">
        <x:v>-15.906471446960204</x:v>
      </x:c>
    </x:row>
    <x:row r="115" ht="18" customHeight="1">
      <x:c r="A115" s="6" t="str">
        <x:v>114</x:v>
      </x:c>
      <x:c r="B115" s="9" t="str"/>
      <x:c r="C115" s="9" t="str">
        <x:v>-4.047444100847402</x:v>
      </x:c>
      <x:c r="D115" s="9" t="str">
        <x:v>-10.516379746253593</x:v>
      </x:c>
      <x:c r="E115" s="9" t="str">
        <x:v>-16.951162187472562</x:v>
      </x:c>
    </x:row>
    <x:row r="116" ht="18" customHeight="1">
      <x:c r="A116" s="6" t="str">
        <x:v>115</x:v>
      </x:c>
      <x:c r="B116" s="9" t="str"/>
      <x:c r="C116" s="9" t="str">
        <x:v>-4.626610793273084</x:v>
      </x:c>
      <x:c r="D116" s="9" t="str">
        <x:v>-11.538269508834754</x:v>
      </x:c>
      <x:c r="E116" s="9" t="str">
        <x:v>-17.97475788888165</x:v>
      </x:c>
    </x:row>
    <x:row r="117" ht="18" customHeight="1">
      <x:c r="A117" s="6" t="str">
        <x:v>116</x:v>
      </x:c>
      <x:c r="B117" s="9" t="str"/>
      <x:c r="C117" s="9" t="str">
        <x:v>-5.667076339762553</x:v>
      </x:c>
      <x:c r="D117" s="9" t="str">
        <x:v>-9.572837593010313</x:v>
      </x:c>
      <x:c r="E117" s="9" t="str">
        <x:v>-18.991774642578967</x:v>
      </x:c>
    </x:row>
    <x:row r="118" ht="18" customHeight="1">
      <x:c r="A118" s="6" t="str">
        <x:v>117</x:v>
      </x:c>
      <x:c r="B118" s="9" t="str"/>
      <x:c r="C118" s="9" t="str">
        <x:v>-3.705753036364162</x:v>
      </x:c>
      <x:c r="D118" s="9" t="str">
        <x:v>-10.58877881316811</x:v>
      </x:c>
      <x:c r="E118" s="9" t="str">
        <x:v>-17.023930003263086</x:v>
      </x:c>
    </x:row>
    <x:row r="119" ht="18" customHeight="1">
      <x:c r="A119" s="6" t="str">
        <x:v>118</x:v>
      </x:c>
      <x:c r="B119" s="9" t="str"/>
      <x:c r="C119" s="9" t="str">
        <x:v>-4.74264967167853</x:v>
      </x:c>
      <x:c r="D119" s="9" t="str">
        <x:v>-11.636723464115253</x:v>
      </x:c>
      <x:c r="E119" s="9" t="str">
        <x:v>-18.043457121313477</x:v>
      </x:c>
    </x:row>
    <x:row r="120" ht="18" customHeight="1">
      <x:c r="A120" s="6" t="str">
        <x:v>119</x:v>
      </x:c>
      <x:c r="B120" s="9" t="str"/>
      <x:c r="C120" s="9" t="str">
        <x:v>-5.770295741094627</x:v>
      </x:c>
      <x:c r="D120" s="9" t="str">
        <x:v>-10.965589044604796</x:v>
      </x:c>
      <x:c r="E120" s="9" t="str">
        <x:v>-19.102611837744014</x:v>
      </x:c>
    </x:row>
    <x:row r="121" ht="18" customHeight="1">
      <x:c r="A121" s="6" t="str">
        <x:v>120</x:v>
      </x:c>
      <x:c r="B121" s="9" t="str"/>
      <x:c r="C121" s="9" t="str">
        <x:v>-6.871224793165084</x:v>
      </x:c>
      <x:c r="D121" s="9" t="str">
        <x:v>-12.011787291045371</x:v>
      </x:c>
      <x:c r="E121" s="9" t="str">
        <x:v>-20.180632841375232</x:v>
      </x:c>
    </x:row>
    <x:row r="122" ht="18" customHeight="1">
      <x:c r="A122" s="6" t="str">
        <x:v>121</x:v>
      </x:c>
      <x:c r="B122" s="9" t="str"/>
      <x:c r="C122" s="9" t="str">
        <x:v>-7.096797456921586</x:v>
      </x:c>
      <x:c r="D122" s="9" t="str">
        <x:v>-11.541624387523626</x:v>
      </x:c>
      <x:c r="E122" s="9" t="str">
        <x:v>-20.39722525679746</x:v>
      </x:c>
    </x:row>
    <x:row r="123" ht="18" customHeight="1">
      <x:c r="A123" s="6" t="str">
        <x:v>122</x:v>
      </x:c>
      <x:c r="B123" s="9" t="str"/>
      <x:c r="C123" s="9" t="str">
        <x:v>-8.178217499692332</x:v>
      </x:c>
      <x:c r="D123" s="9" t="str">
        <x:v>-12.561231996501787</x:v>
      </x:c>
      <x:c r="E123" s="9" t="str">
        <x:v>-21.45365296247678</x:v>
      </x:c>
    </x:row>
    <x:row r="124" ht="18" customHeight="1">
      <x:c r="A124" s="6" t="str">
        <x:v>123</x:v>
      </x:c>
      <x:c r="B124" s="9" t="str"/>
      <x:c r="C124" s="9" t="str">
        <x:v>-8.656166446860857</x:v>
      </x:c>
      <x:c r="D124" s="9" t="str">
        <x:v>-13.575456167683349</x:v>
      </x:c>
      <x:c r="E124" s="9" t="str">
        <x:v>-20.949253416455214</x:v>
      </x:c>
    </x:row>
    <x:row r="125" ht="18" customHeight="1">
      <x:c r="A125" s="6" t="str">
        <x:v>124</x:v>
      </x:c>
      <x:c r="B125" s="9" t="str"/>
      <x:c r="C125" s="9" t="str">
        <x:v>-7.842594792926991</x:v>
      </x:c>
      <x:c r="D125" s="9" t="str">
        <x:v>-14.487019878265114</x:v>
      </x:c>
      <x:c r="E125" s="9" t="str">
        <x:v>-22.008882220452886</x:v>
      </x:c>
    </x:row>
    <x:row r="126" ht="18" customHeight="1">
      <x:c r="A126" s="6" t="str">
        <x:v>125</x:v>
      </x:c>
      <x:c r="B126" s="9" t="str"/>
      <x:c r="C126" s="9" t="str">
        <x:v>-8.862755568508458</x:v>
      </x:c>
      <x:c r="D126" s="9" t="str">
        <x:v>-15.153403416055188</x:v>
      </x:c>
      <x:c r="E126" s="9" t="str">
        <x:v>-22.68367327691554</x:v>
      </x:c>
    </x:row>
    <x:row r="127" ht="18" customHeight="1">
      <x:c r="A127" s="6" t="str">
        <x:v>126</x:v>
      </x:c>
      <x:c r="B127" s="9" t="str"/>
      <x:c r="C127" s="9" t="str">
        <x:v>-7.930167513083255</x:v>
      </x:c>
      <x:c r="D127" s="9" t="str">
        <x:v>-13.832504722430965</x:v>
      </x:c>
      <x:c r="E127" s="9" t="str">
        <x:v>-23.73162823154426</x:v>
      </x:c>
    </x:row>
    <x:row r="128" ht="18" customHeight="1">
      <x:c r="A128" s="6" t="str">
        <x:v>127</x:v>
      </x:c>
      <x:c r="B128" s="9" t="str"/>
      <x:c r="C128" s="9" t="str">
        <x:v>-5.969703877494488</x:v>
      </x:c>
      <x:c r="D128" s="9" t="str">
        <x:v>-11.859972765860782</x:v>
      </x:c>
      <x:c r="E128" s="9" t="str">
        <x:v>-22.873719834871565</x:v>
      </x:c>
    </x:row>
    <x:row r="129" ht="18" customHeight="1">
      <x:c r="A129" s="6" t="str">
        <x:v>128</x:v>
      </x:c>
      <x:c r="B129" s="9" t="str"/>
      <x:c r="C129" s="9" t="str">
        <x:v>-5.682527809145366</x:v>
      </x:c>
      <x:c r="D129" s="9" t="str">
        <x:v>-10.203779200120755</x:v>
      </x:c>
      <x:c r="E129" s="9" t="str">
        <x:v>-20.989169957820703</x:v>
      </x:c>
    </x:row>
    <x:row r="130" ht="18" customHeight="1">
      <x:c r="A130" s="6" t="str">
        <x:v>129</x:v>
      </x:c>
      <x:c r="B130" s="9" t="str"/>
      <x:c r="C130" s="9" t="str">
        <x:v>-5.4977820712130985</x:v>
      </x:c>
      <x:c r="D130" s="9" t="str">
        <x:v>-9.56317403455962</x:v>
      </x:c>
      <x:c r="E130" s="9" t="str">
        <x:v>-21.653927371129832</x:v>
      </x:c>
    </x:row>
    <x:row r="131" ht="18" customHeight="1">
      <x:c r="A131" s="6" t="str">
        <x:v>130</x:v>
      </x:c>
      <x:c r="B131" s="9" t="str"/>
      <x:c r="C131" s="9" t="str">
        <x:v>-5.308354854283904</x:v>
      </x:c>
      <x:c r="D131" s="9" t="str">
        <x:v>-9.584565614890007</x:v>
      </x:c>
      <x:c r="E131" s="9" t="str">
        <x:v>-22.665912981071152</x:v>
      </x:c>
    </x:row>
    <x:row r="132" ht="18" customHeight="1">
      <x:c r="A132" s="6" t="str">
        <x:v>131</x:v>
      </x:c>
      <x:c r="B132" s="9" t="str"/>
      <x:c r="C132" s="9" t="str">
        <x:v>-6.384573688005396</x:v>
      </x:c>
      <x:c r="D132" s="9" t="str">
        <x:v>-10.61822864067872</x:v>
      </x:c>
      <x:c r="E132" s="9" t="str">
        <x:v>-23.676554163848905</x:v>
      </x:c>
    </x:row>
    <x:row r="133" ht="18" customHeight="1">
      <x:c r="A133" s="6" t="str">
        <x:v>132</x:v>
      </x:c>
      <x:c r="B133" s="9" t="str"/>
      <x:c r="C133" s="9" t="str">
        <x:v>-7.132560495159288</x:v>
      </x:c>
      <x:c r="D133" s="9" t="str">
        <x:v>-9.226820559723558</x:v>
      </x:c>
      <x:c r="E133" s="9" t="str">
        <x:v>-23.1761062375381</x:v>
      </x:c>
    </x:row>
    <x:row r="134" ht="18" customHeight="1">
      <x:c r="A134" s="6" t="str">
        <x:v>133</x:v>
      </x:c>
      <x:c r="B134" s="9" t="str"/>
      <x:c r="C134" s="9" t="str">
        <x:v>-8.251739112232379</x:v>
      </x:c>
      <x:c r="D134" s="9" t="str">
        <x:v>-10.28063304121195</x:v>
      </x:c>
      <x:c r="E134" s="9" t="str">
        <x:v>-24.23053852500528</x:v>
      </x:c>
    </x:row>
    <x:row r="135" ht="18" customHeight="1">
      <x:c r="A135" s="6" t="str">
        <x:v>134</x:v>
      </x:c>
      <x:c r="B135" s="9" t="str"/>
      <x:c r="C135" s="9" t="str">
        <x:v>-9.289154870494674</x:v>
      </x:c>
      <x:c r="D135" s="9" t="str">
        <x:v>-11.330080000583138</x:v>
      </x:c>
      <x:c r="E135" s="9" t="str">
        <x:v>-22.247096399321347</x:v>
      </x:c>
    </x:row>
    <x:row r="136" ht="18" customHeight="1">
      <x:c r="A136" s="6" t="str">
        <x:v>135</x:v>
      </x:c>
      <x:c r="B136" s="9" t="str"/>
      <x:c r="C136" s="9" t="str">
        <x:v>-10.319600600771341</x:v>
      </x:c>
      <x:c r="D136" s="9" t="str">
        <x:v>-9.381642767235139</x:v>
      </x:c>
      <x:c r="E136" s="9" t="str">
        <x:v>-23.26001022395909</x:v>
      </x:c>
    </x:row>
    <x:row r="137" ht="18" customHeight="1">
      <x:c r="A137" s="6" t="str">
        <x:v>136</x:v>
      </x:c>
      <x:c r="B137" s="9" t="str"/>
      <x:c r="C137" s="9" t="str">
        <x:v>-9.499675497563743</x:v>
      </x:c>
      <x:c r="D137" s="9" t="str">
        <x:v>-8.405086906144778</x:v>
      </x:c>
      <x:c r="E137" s="9" t="str">
        <x:v>-21.277885192168856</x:v>
      </x:c>
    </x:row>
    <x:row r="138" ht="18" customHeight="1">
      <x:c r="A138" s="6" t="str">
        <x:v>137</x:v>
      </x:c>
      <x:c r="B138" s="9" t="str"/>
      <x:c r="C138" s="9" t="str">
        <x:v>-10.669338860756357</x:v>
      </x:c>
      <x:c r="D138" s="9" t="str">
        <x:v>-6.456390872667612</x:v>
      </x:c>
      <x:c r="E138" s="9" t="str">
        <x:v>-22.322870205926176</x:v>
      </x:c>
    </x:row>
    <x:row r="139" ht="18" customHeight="1">
      <x:c r="A139" s="6" t="str">
        <x:v>138</x:v>
      </x:c>
      <x:c r="B139" s="9" t="str"/>
      <x:c r="C139" s="9" t="str">
        <x:v>-9.887675483893798</x:v>
      </x:c>
      <x:c r="D139" s="9" t="str">
        <x:v>-5.599255778793067</x:v>
      </x:c>
      <x:c r="E139" s="9" t="str">
        <x:v>-20.359999029904188</x:v>
      </x:c>
    </x:row>
    <x:row r="140" ht="18" customHeight="1">
      <x:c r="A140" s="6" t="str">
        <x:v>139</x:v>
      </x:c>
      <x:c r="B140" s="9" t="str"/>
      <x:c r="C140" s="9" t="str">
        <x:v>-10.909275185934431</x:v>
      </x:c>
      <x:c r="D140" s="9" t="str">
        <x:v>-6.341314055054997</x:v>
      </x:c>
      <x:c r="E140" s="9" t="str">
        <x:v>-21.3971904431791</x:v>
      </x:c>
    </x:row>
    <x:row r="141" ht="18" customHeight="1">
      <x:c r="A141" s="6" t="str">
        <x:v>140</x:v>
      </x:c>
      <x:c r="B141" s="9" t="str"/>
      <x:c r="C141" s="9" t="str">
        <x:v>-10.967642976501702</x:v>
      </x:c>
      <x:c r="D141" s="9" t="str">
        <x:v>-7.364969555118691</x:v>
      </x:c>
      <x:c r="E141" s="9" t="str">
        <x:v>-22.409382588053862</x:v>
      </x:c>
    </x:row>
    <x:row r="142" ht="18" customHeight="1">
      <x:c r="A142" s="6" t="str">
        <x:v>141</x:v>
      </x:c>
      <x:c r="B142" s="9" t="str"/>
      <x:c r="C142" s="9" t="str">
        <x:v>-12.04949337991757</x:v>
      </x:c>
      <x:c r="D142" s="9" t="str">
        <x:v>-8.426059627832547</x:v>
      </x:c>
      <x:c r="E142" s="9" t="str">
        <x:v>-23.421386397252807</x:v>
      </x:c>
    </x:row>
    <x:row r="143" ht="18" customHeight="1">
      <x:c r="A143" s="6" t="str">
        <x:v>142</x:v>
      </x:c>
      <x:c r="B143" s="9" t="str"/>
      <x:c r="C143" s="9" t="str">
        <x:v>-10.087119891710042</x:v>
      </x:c>
      <x:c r="D143" s="9" t="str">
        <x:v>-8.103667170222126</x:v>
      </x:c>
      <x:c r="E143" s="9" t="str">
        <x:v>-23.134357709915157</x:v>
      </x:c>
    </x:row>
    <x:row r="144" ht="18" customHeight="1">
      <x:c r="A144" s="6" t="str">
        <x:v>143</x:v>
      </x:c>
      <x:c r="B144" s="9" t="str"/>
      <x:c r="C144" s="9" t="str">
        <x:v>-11.107119384761337</x:v>
      </x:c>
      <x:c r="D144" s="9" t="str">
        <x:v>-6.939694404075332</x:v>
      </x:c>
      <x:c r="E144" s="9" t="str">
        <x:v>-22.531752193039825</x:v>
      </x:c>
    </x:row>
    <x:row r="145" ht="18" customHeight="1">
      <x:c r="A145" s="6" t="str">
        <x:v>144</x:v>
      </x:c>
      <x:c r="B145" s="9" t="str"/>
      <x:c r="C145" s="9" t="str">
        <x:v>-12.130951896224348</x:v>
      </x:c>
      <x:c r="D145" s="9" t="str">
        <x:v>-7.97219144903594</x:v>
      </x:c>
      <x:c r="E145" s="9" t="str">
        <x:v>-23.541896805403326</x:v>
      </x:c>
    </x:row>
    <x:row r="146" ht="18" customHeight="1">
      <x:c r="A146" s="6" t="str">
        <x:v>145</x:v>
      </x:c>
      <x:c r="B146" s="9" t="str"/>
      <x:c r="C146" s="9" t="str">
        <x:v>-11.095379242530834</x:v>
      </x:c>
      <x:c r="D146" s="9" t="str">
        <x:v>-5.996790795818252</x:v>
      </x:c>
      <x:c r="E146" s="9" t="str">
        <x:v>-21.552614549975583</x:v>
      </x:c>
    </x:row>
    <x:row r="147" ht="18" customHeight="1">
      <x:c r="A147" s="6" t="str">
        <x:v>146</x:v>
      </x:c>
      <x:c r="B147" s="9" t="str"/>
      <x:c r="C147" s="9" t="str">
        <x:v>-12.112240956412691</x:v>
      </x:c>
      <x:c r="D147" s="9" t="str">
        <x:v>-6.291047146715842</x:v>
      </x:c>
      <x:c r="E147" s="9" t="str">
        <x:v>-19.56941753252525</x:v>
      </x:c>
    </x:row>
    <x:row r="148" ht="18" customHeight="1">
      <x:c r="A148" s="6" t="str">
        <x:v>147</x:v>
      </x:c>
      <x:c r="B148" s="9" t="str"/>
      <x:c r="C148" s="9" t="str">
        <x:v>-12.10060647135279</x:v>
      </x:c>
      <x:c r="D148" s="9" t="str">
        <x:v>-7.3118018256402015</x:v>
      </x:c>
      <x:c r="E148" s="9" t="str">
        <x:v>-18.747698993319027</x:v>
      </x:c>
    </x:row>
    <x:row r="149" ht="18" customHeight="1">
      <x:c r="A149" s="6" t="str">
        <x:v>148</x:v>
      </x:c>
      <x:c r="B149" s="9" t="str"/>
      <x:c r="C149" s="9" t="str">
        <x:v>-10.147756157605198</x:v>
      </x:c>
      <x:c r="D149" s="9" t="str">
        <x:v>-7.888532572443976</x:v>
      </x:c>
      <x:c r="E149" s="9" t="str">
        <x:v>-19.758568243194674</x:v>
      </x:c>
    </x:row>
    <x:row r="150" ht="18" customHeight="1">
      <x:c r="A150" s="6" t="str">
        <x:v>149</x:v>
      </x:c>
      <x:c r="B150" s="9" t="str"/>
      <x:c r="C150" s="9" t="str">
        <x:v>-11.178732943159508</x:v>
      </x:c>
      <x:c r="D150" s="9" t="str">
        <x:v>-7.580091510442478</x:v>
      </x:c>
      <x:c r="E150" s="9" t="str">
        <x:v>-20.78683061956085</x:v>
      </x:c>
    </x:row>
    <x:row r="151" ht="18" customHeight="1">
      <x:c r="A151" s="6" t="str">
        <x:v>150</x:v>
      </x:c>
      <x:c r="B151" s="9" t="str"/>
      <x:c r="C151" s="9" t="str">
        <x:v>-11.239886161147247</x:v>
      </x:c>
      <x:c r="D151" s="9" t="str">
        <x:v>-7.078514252141375</x:v>
      </x:c>
      <x:c r="E151" s="9" t="str">
        <x:v>-21.034769611614447</x:v>
      </x:c>
    </x:row>
    <x:row r="152" ht="18" customHeight="1">
      <x:c r="A152" s="6" t="str">
        <x:v>151</x:v>
      </x:c>
      <x:c r="B152" s="9" t="str"/>
      <x:c r="C152" s="9" t="str">
        <x:v>-9.841506476562992</x:v>
      </x:c>
      <x:c r="D152" s="9" t="str">
        <x:v>-7.228515946772276</x:v>
      </x:c>
      <x:c r="E152" s="9" t="str">
        <x:v>-22.106991374490406</x:v>
      </x:c>
    </x:row>
    <x:row r="153" ht="18" customHeight="1">
      <x:c r="A153" s="6" t="str">
        <x:v>152</x:v>
      </x:c>
      <x:c r="B153" s="9" t="str"/>
      <x:c r="C153" s="9" t="str">
        <x:v>-10.893127251306966</x:v>
      </x:c>
      <x:c r="D153" s="9" t="str">
        <x:v>-8.26072328327983</x:v>
      </x:c>
      <x:c r="E153" s="9" t="str">
        <x:v>-23.159972831018283</x:v>
      </x:c>
    </x:row>
    <x:row r="154" ht="18" customHeight="1">
      <x:c r="A154" s="6" t="str">
        <x:v>153</x:v>
      </x:c>
      <x:c r="B154" s="9" t="str"/>
      <x:c r="C154" s="9" t="str">
        <x:v>-11.921287295387371</x:v>
      </x:c>
      <x:c r="D154" s="9" t="str">
        <x:v>-7.327350302262445</x:v>
      </x:c>
      <x:c r="E154" s="9" t="str">
        <x:v>-21.19128021103088</x:v>
      </x:c>
    </x:row>
    <x:row r="155" ht="18" customHeight="1">
      <x:c r="A155" s="6" t="str">
        <x:v>154</x:v>
      </x:c>
      <x:c r="B155" s="9" t="str"/>
      <x:c r="C155" s="9" t="str">
        <x:v>-11.80327189684689</x:v>
      </x:c>
      <x:c r="D155" s="9" t="str">
        <x:v>-5.379811747286945</x:v>
      </x:c>
      <x:c r="E155" s="9" t="str">
        <x:v>-22.212650731001204</x:v>
      </x:c>
    </x:row>
    <x:row r="156" ht="18" customHeight="1">
      <x:c r="A156" s="6" t="str">
        <x:v>155</x:v>
      </x:c>
      <x:c r="B156" s="9" t="str"/>
      <x:c r="C156" s="9" t="str">
        <x:v>-12.898364512207285</x:v>
      </x:c>
      <x:c r="D156" s="9" t="str">
        <x:v>-6.399497555734564</x:v>
      </x:c>
      <x:c r="E156" s="9" t="str">
        <x:v>-23.238145045054743</x:v>
      </x:c>
    </x:row>
    <x:row r="157" ht="18" customHeight="1">
      <x:c r="A157" s="6" t="str">
        <x:v>156</x:v>
      </x:c>
      <x:c r="B157" s="9" t="str"/>
      <x:c r="C157" s="9" t="str">
        <x:v>-13.513847893589652</x:v>
      </x:c>
      <x:c r="D157" s="9" t="str">
        <x:v>-7.461379594865411</x:v>
      </x:c>
      <x:c r="E157" s="9" t="str">
        <x:v>-21.24582676655866</x:v>
      </x:c>
    </x:row>
    <x:row r="158" ht="18" customHeight="1">
      <x:c r="A158" s="6" t="str">
        <x:v>157</x:v>
      </x:c>
      <x:c r="B158" s="9" t="str"/>
      <x:c r="C158" s="9" t="str">
        <x:v>-14.581239573431056</x:v>
      </x:c>
      <x:c r="D158" s="9" t="str">
        <x:v>-8.470372049644869</x:v>
      </x:c>
      <x:c r="E158" s="9" t="str">
        <x:v>-22.253471187788158</x:v>
      </x:c>
    </x:row>
    <x:row r="159" ht="18" customHeight="1">
      <x:c r="A159" s="6" t="str">
        <x:v>158</x:v>
      </x:c>
      <x:c r="B159" s="9" t="str"/>
      <x:c r="C159" s="9" t="str">
        <x:v>-15.72200359006881</x:v>
      </x:c>
      <x:c r="D159" s="9" t="str">
        <x:v>-8.462273095381393</x:v>
      </x:c>
      <x:c r="E159" s="9" t="str">
        <x:v>-22.03380077574388</x:v>
      </x:c>
    </x:row>
    <x:row r="160" ht="18" customHeight="1">
      <x:c r="A160" s="6" t="str">
        <x:v>159</x:v>
      </x:c>
      <x:c r="B160" s="9" t="str"/>
      <x:c r="C160" s="9" t="str">
        <x:v>-16.808113429804738</x:v>
      </x:c>
      <x:c r="D160" s="9" t="str">
        <x:v>-7.922220172467801</x:v>
      </x:c>
      <x:c r="E160" s="9" t="str">
        <x:v>-20.071107091972106</x:v>
      </x:c>
    </x:row>
    <x:row r="161" ht="18" customHeight="1">
      <x:c r="A161" s="6" t="str">
        <x:v>160</x:v>
      </x:c>
      <x:c r="B161" s="9" t="str"/>
      <x:c r="C161" s="9" t="str">
        <x:v>-17.842149659191577</x:v>
      </x:c>
      <x:c r="D161" s="9" t="str">
        <x:v>-7.556677954365859</x:v>
      </x:c>
      <x:c r="E161" s="9" t="str">
        <x:v>-18.575176962743726</x:v>
      </x:c>
    </x:row>
    <x:row r="162" ht="18" customHeight="1">
      <x:c r="A162" s="6" t="str">
        <x:v>161</x:v>
      </x:c>
      <x:c r="B162" s="9" t="str"/>
      <x:c r="C162" s="9" t="str">
        <x:v>-18.876106120161943</x:v>
      </x:c>
      <x:c r="D162" s="9" t="str">
        <x:v>-7.997387674466292</x:v>
      </x:c>
      <x:c r="E162" s="9" t="str">
        <x:v>-17.813066190233624</x:v>
      </x:c>
    </x:row>
    <x:row r="163" ht="18" customHeight="1">
      <x:c r="A163" s="6" t="str">
        <x:v>162</x:v>
      </x:c>
      <x:c r="B163" s="9" t="str"/>
      <x:c r="C163" s="9" t="str">
        <x:v>-19.414148371627554</x:v>
      </x:c>
      <x:c r="D163" s="9" t="str">
        <x:v>-7.279351251336413</x:v>
      </x:c>
      <x:c r="E163" s="9" t="str">
        <x:v>-18.861865784478535</x:v>
      </x:c>
    </x:row>
    <x:row r="164" ht="18" customHeight="1">
      <x:c r="A164" s="6" t="str">
        <x:v>163</x:v>
      </x:c>
      <x:c r="B164" s="9" t="str"/>
      <x:c r="C164" s="9" t="str">
        <x:v>-17.445954804577223</x:v>
      </x:c>
      <x:c r="D164" s="9" t="str">
        <x:v>-5.294876120723304</x:v>
      </x:c>
      <x:c r="E164" s="9" t="str">
        <x:v>-16.938203525006397</x:v>
      </x:c>
    </x:row>
    <x:row r="165" ht="18" customHeight="1">
      <x:c r="A165" s="6" t="str">
        <x:v>164</x:v>
      </x:c>
      <x:c r="B165" s="9" t="str"/>
      <x:c r="C165" s="9" t="str">
        <x:v>-18.470414784683733</x:v>
      </x:c>
      <x:c r="D165" s="9" t="str">
        <x:v>-6.353060677111643</x:v>
      </x:c>
      <x:c r="E165" s="9" t="str">
        <x:v>-17.955627207080138</x:v>
      </x:c>
    </x:row>
    <x:row r="166" ht="18" customHeight="1">
      <x:c r="A166" s="6" t="str">
        <x:v>165</x:v>
      </x:c>
      <x:c r="B166" s="9" t="str"/>
      <x:c r="C166" s="9" t="str">
        <x:v>-16.481931489882346</x:v>
      </x:c>
      <x:c r="D166" s="9" t="str">
        <x:v>-4.390167831734003</x:v>
      </x:c>
      <x:c r="E166" s="9" t="str">
        <x:v>-15.966279907625985</x:v>
      </x:c>
    </x:row>
    <x:row r="167" ht="18" customHeight="1">
      <x:c r="A167" s="6" t="str">
        <x:v>166</x:v>
      </x:c>
      <x:c r="B167" s="9" t="str"/>
      <x:c r="C167" s="9" t="str">
        <x:v>-17.495899659858086</x:v>
      </x:c>
      <x:c r="D167" s="9" t="str">
        <x:v>-4.22373075238576</x:v>
      </x:c>
      <x:c r="E167" s="9" t="str">
        <x:v>-16.98497008179399</x:v>
      </x:c>
    </x:row>
    <x:row r="168" ht="18" customHeight="1">
      <x:c r="A168" s="6" t="str">
        <x:v>167</x:v>
      </x:c>
      <x:c r="B168" s="9" t="str"/>
      <x:c r="C168" s="9" t="str">
        <x:v>-18.509941050876773</x:v>
      </x:c>
      <x:c r="D168" s="9" t="str">
        <x:v>-5.246113845303979</x:v>
      </x:c>
      <x:c r="E168" s="9" t="str">
        <x:v>-15.002901859404348</x:v>
      </x:c>
    </x:row>
    <x:row r="169" ht="18" customHeight="1">
      <x:c r="A169" s="6" t="str">
        <x:v>168</x:v>
      </x:c>
      <x:c r="B169" s="9" t="str"/>
      <x:c r="C169" s="9" t="str">
        <x:v>-19.525990899040835</x:v>
      </x:c>
      <x:c r="D169" s="9" t="str">
        <x:v>-3.2677028280383498</x:v>
      </x:c>
      <x:c r="E169" s="9" t="str">
        <x:v>-16.025244751313977</x:v>
      </x:c>
    </x:row>
    <x:row r="170" ht="18" customHeight="1">
      <x:c r="A170" s="6" t="str">
        <x:v>169</x:v>
      </x:c>
      <x:c r="B170" s="9" t="str"/>
      <x:c r="C170" s="9" t="str">
        <x:v>-20.102047567266673</x:v>
      </x:c>
      <x:c r="D170" s="9" t="str">
        <x:v>-1.9938032625596924</x:v>
      </x:c>
      <x:c r="E170" s="9" t="str">
        <x:v>-17.045326610677417</x:v>
      </x:c>
    </x:row>
    <x:row r="171" ht="18" customHeight="1">
      <x:c r="A171" s="6" t="str">
        <x:v>170</x:v>
      </x:c>
      <x:c r="B171" s="9" t="str"/>
      <x:c r="C171" s="9" t="str">
        <x:v>-20.337660552636542</x:v>
      </x:c>
      <x:c r="D171" s="9" t="str">
        <x:v>-3.048700714251571</x:v>
      </x:c>
      <x:c r="E171" s="9" t="str">
        <x:v>-18.053695462061526</x:v>
      </x:c>
    </x:row>
    <x:row r="172" ht="18" customHeight="1">
      <x:c r="A172" s="6" t="str">
        <x:v>171</x:v>
      </x:c>
      <x:c r="B172" s="9" t="str"/>
      <x:c r="C172" s="9" t="str">
        <x:v>-21.370800663036157</x:v>
      </x:c>
      <x:c r="D172" s="9" t="str">
        <x:v>-4.097747841544628</x:v>
      </x:c>
      <x:c r="E172" s="9" t="str">
        <x:v>-18.37600601843683</x:v>
      </x:c>
    </x:row>
    <x:row r="173" ht="18" customHeight="1">
      <x:c r="A173" s="6" t="str">
        <x:v>172</x:v>
      </x:c>
      <x:c r="B173" s="9" t="str"/>
      <x:c r="C173" s="9" t="str">
        <x:v>-22.379700346820123</x:v>
      </x:c>
      <x:c r="D173" s="9" t="str">
        <x:v>-2.921348591292487</x:v>
      </x:c>
      <x:c r="E173" s="9" t="str">
        <x:v>-16.822319507056427</x:v>
      </x:c>
    </x:row>
    <x:row r="174" ht="18" customHeight="1">
      <x:c r="A174" s="6" t="str">
        <x:v>173</x:v>
      </x:c>
      <x:c r="B174" s="9" t="str"/>
      <x:c r="C174" s="9" t="str">
        <x:v>-23.434012564580218</x:v>
      </x:c>
      <x:c r="D174" s="9" t="str">
        <x:v>-3.5494642234076146</x:v>
      </x:c>
      <x:c r="E174" s="9" t="str">
        <x:v>-17.83456238991414</x:v>
      </x:c>
    </x:row>
    <x:row r="175" ht="18" customHeight="1">
      <x:c r="A175" s="6" t="str">
        <x:v>174</x:v>
      </x:c>
      <x:c r="B175" s="9" t="str"/>
      <x:c r="C175" s="9" t="str">
        <x:v>-21.944539456105137</x:v>
      </x:c>
      <x:c r="D175" s="9" t="str">
        <x:v>-3.8791635816152805</x:v>
      </x:c>
      <x:c r="E175" s="9" t="str">
        <x:v>-18.639605070839842</x:v>
      </x:c>
    </x:row>
    <x:row r="176" ht="18" customHeight="1">
      <x:c r="A176" s="6" t="str">
        <x:v>175</x:v>
      </x:c>
      <x:c r="B176" s="9" t="str"/>
      <x:c r="C176" s="9" t="str">
        <x:v>-19.958022693240927</x:v>
      </x:c>
      <x:c r="D176" s="9" t="str">
        <x:v>-4.897592453970473</x:v>
      </x:c>
      <x:c r="E176" s="9" t="str">
        <x:v>-16.64545690935957</x:v>
      </x:c>
    </x:row>
    <x:row r="177" ht="18" customHeight="1">
      <x:c r="A177" s="6" t="str">
        <x:v>176</x:v>
      </x:c>
      <x:c r="B177" s="9" t="str"/>
      <x:c r="C177" s="9" t="str">
        <x:v>-20.97127284352354</x:v>
      </x:c>
      <x:c r="D177" s="9" t="str">
        <x:v>-4.431094562735375</x:v>
      </x:c>
      <x:c r="E177" s="9" t="str">
        <x:v>-17.658407472516966</x:v>
      </x:c>
    </x:row>
    <x:row r="178" ht="18" customHeight="1">
      <x:c r="A178" s="6" t="str">
        <x:v>177</x:v>
      </x:c>
      <x:c r="B178" s="9" t="str"/>
      <x:c r="C178" s="9" t="str">
        <x:v>-21.99280403578935</x:v>
      </x:c>
      <x:c r="D178" s="9" t="str">
        <x:v>-3.3945107113872184</x:v>
      </x:c>
      <x:c r="E178" s="9" t="str">
        <x:v>-17.292489016354068</x:v>
      </x:c>
    </x:row>
    <x:row r="179" ht="18" customHeight="1">
      <x:c r="A179" s="6" t="str">
        <x:v>178</x:v>
      </x:c>
      <x:c r="B179" s="9" t="str"/>
      <x:c r="C179" s="9" t="str">
        <x:v>-20.0028217491099</x:v>
      </x:c>
      <x:c r="D179" s="9" t="str">
        <x:v>-4.469384532516868</x:v>
      </x:c>
      <x:c r="E179" s="9" t="str">
        <x:v>-16.690727772825692</x:v>
      </x:c>
    </x:row>
    <x:row r="180" ht="18" customHeight="1">
      <x:c r="A180" s="6" t="str">
        <x:v>179</x:v>
      </x:c>
      <x:c r="B180" s="9" t="str"/>
      <x:c r="C180" s="9" t="str">
        <x:v>-21.0136089776405</x:v>
      </x:c>
      <x:c r="D180" s="9" t="str">
        <x:v>-4.969278232592371</x:v>
      </x:c>
      <x:c r="E180" s="9" t="str">
        <x:v>-16.84497201325314</x:v>
      </x:c>
    </x:row>
    <x:row r="181" ht="18" customHeight="1">
      <x:c r="A181" s="6" t="str">
        <x:v>180</x:v>
      </x:c>
      <x:c r="B181" s="9" t="str"/>
      <x:c r="C181" s="9" t="str">
        <x:v>-22.0200857968736</x:v>
      </x:c>
      <x:c r="D181" s="9" t="str">
        <x:v>-5.270999127068985</x:v>
      </x:c>
      <x:c r="E181" s="9" t="str">
        <x:v>-17.86670382504344</x:v>
      </x:c>
    </x:row>
    <x:row r="182" ht="18" customHeight="1">
      <x:c r="A182" s="6" t="str">
        <x:v>181</x:v>
      </x:c>
      <x:c r="B182" s="9" t="str"/>
      <x:c r="C182" s="9" t="str">
        <x:v>-23.027232087934483</x:v>
      </x:c>
      <x:c r="D182" s="9" t="str">
        <x:v>-6.297984372143739</x:v>
      </x:c>
      <x:c r="E182" s="9" t="str">
        <x:v>-17.698056186607243</x:v>
      </x:c>
    </x:row>
    <x:row r="183" ht="18" customHeight="1">
      <x:c r="A183" s="6" t="str">
        <x:v>182</x:v>
      </x:c>
      <x:c r="B183" s="9" t="str"/>
      <x:c r="C183" s="9" t="str">
        <x:v>-22.50507487166715</x:v>
      </x:c>
      <x:c r="D183" s="9" t="str">
        <x:v>-7.310572938969584</x:v>
      </x:c>
      <x:c r="E183" s="9" t="str">
        <x:v>-17.29040060369248</x:v>
      </x:c>
    </x:row>
    <x:row r="184" ht="18" customHeight="1">
      <x:c r="A184" s="6" t="str">
        <x:v>183</x:v>
      </x:c>
      <x:c r="B184" s="9" t="str"/>
      <x:c r="C184" s="9" t="str">
        <x:v>-21.575629217925762</x:v>
      </x:c>
      <x:c r="D184" s="9" t="str">
        <x:v>-8.321619387613534</x:v>
      </x:c>
      <x:c r="E184" s="9" t="str">
        <x:v>-16.91899940434647</x:v>
      </x:c>
    </x:row>
    <x:row r="185" ht="18" customHeight="1">
      <x:c r="A185" s="6" t="str">
        <x:v>184</x:v>
      </x:c>
      <x:c r="B185" s="9" t="str"/>
      <x:c r="C185" s="9" t="str">
        <x:v>-21.118988067302638</x:v>
      </x:c>
      <x:c r="D185" s="9" t="str">
        <x:v>-8.659505333083947</x:v>
      </x:c>
      <x:c r="E185" s="9" t="str">
        <x:v>-15.598888710697924</x:v>
      </x:c>
    </x:row>
    <x:row r="186" ht="18" customHeight="1">
      <x:c r="A186" s="6" t="str">
        <x:v>185</x:v>
      </x:c>
      <x:c r="B186" s="9" t="str"/>
      <x:c r="C186" s="9" t="str">
        <x:v>-22.128322958443306</x:v>
      </x:c>
      <x:c r="D186" s="9" t="str">
        <x:v>-8.451701185037349</x:v>
      </x:c>
      <x:c r="E186" s="9" t="str">
        <x:v>-15.372936355805672</x:v>
      </x:c>
    </x:row>
    <x:row r="187" ht="18" customHeight="1">
      <x:c r="A187" s="6" t="str">
        <x:v>186</x:v>
      </x:c>
      <x:c r="B187" s="9" t="str"/>
      <x:c r="C187" s="9" t="str">
        <x:v>-21.89534248648198</x:v>
      </x:c>
      <x:c r="D187" s="9" t="str">
        <x:v>-7.997570999091062</x:v>
      </x:c>
      <x:c r="E187" s="9" t="str">
        <x:v>-16.408691073658986</x:v>
      </x:c>
    </x:row>
    <x:row r="188" ht="18" customHeight="1">
      <x:c r="A188" s="6" t="str">
        <x:v>187</x:v>
      </x:c>
      <x:c r="B188" s="9" t="str"/>
      <x:c r="C188" s="9" t="str">
        <x:v>-21.874893377862225</x:v>
      </x:c>
      <x:c r="D188" s="9" t="str">
        <x:v>-9.00597238573566</x:v>
      </x:c>
      <x:c r="E188" s="9" t="str">
        <x:v>-14.433008966557347</x:v>
      </x:c>
    </x:row>
    <x:row r="189" ht="18" customHeight="1">
      <x:c r="A189" s="6" t="str">
        <x:v>188</x:v>
      </x:c>
      <x:c r="B189" s="9" t="str"/>
      <x:c r="C189" s="9" t="str">
        <x:v>-20.498798610865784</x:v>
      </x:c>
      <x:c r="D189" s="9" t="str">
        <x:v>-8.074044455801186</x:v>
      </x:c>
      <x:c r="E189" s="9" t="str">
        <x:v>-15.46119946812754</x:v>
      </x:c>
    </x:row>
    <x:row r="190" ht="18" customHeight="1">
      <x:c r="A190" s="6" t="str">
        <x:v>189</x:v>
      </x:c>
      <x:c r="B190" s="9" t="str"/>
      <x:c r="C190" s="9" t="str">
        <x:v>-21.522763759586393</x:v>
      </x:c>
      <x:c r="D190" s="9" t="str">
        <x:v>-9.13156524059258</x:v>
      </x:c>
      <x:c r="E190" s="9" t="str">
        <x:v>-16.503019641947613</x:v>
      </x:c>
    </x:row>
    <x:row r="191" ht="18" customHeight="1">
      <x:c r="A191" s="6" t="str">
        <x:v>190</x:v>
      </x:c>
      <x:c r="B191" s="9" t="str"/>
      <x:c r="C191" s="9" t="str">
        <x:v>-22.54071904285597</x:v>
      </x:c>
      <x:c r="D191" s="9" t="str">
        <x:v>-10.143714555210845</x:v>
      </x:c>
      <x:c r="E191" s="9" t="str">
        <x:v>-17.52484178680349</x:v>
      </x:c>
    </x:row>
    <x:row r="192" ht="18" customHeight="1">
      <x:c r="A192" s="6" t="str">
        <x:v>191</x:v>
      </x:c>
      <x:c r="B192" s="9" t="str"/>
      <x:c r="C192" s="9" t="str">
        <x:v>-23.582160534438096</x:v>
      </x:c>
      <x:c r="D192" s="9" t="str">
        <x:v>-8.155871448236866</x:v>
      </x:c>
      <x:c r="E192" s="9" t="str">
        <x:v>-16.83241395996075</x:v>
      </x:c>
    </x:row>
    <x:row r="193" ht="18" customHeight="1">
      <x:c r="A193" s="6" t="str">
        <x:v>192</x:v>
      </x:c>
      <x:c r="B193" s="9" t="str"/>
      <x:c r="C193" s="9" t="str">
        <x:v>-21.61051939828811</x:v>
      </x:c>
      <x:c r="D193" s="9" t="str">
        <x:v>-9.163085515487731</x:v>
      </x:c>
      <x:c r="E193" s="9" t="str">
        <x:v>-17.864821232081084</x:v>
      </x:c>
    </x:row>
    <x:row r="194" ht="18" customHeight="1">
      <x:c r="A194" s="6" t="str">
        <x:v>193</x:v>
      </x:c>
      <x:c r="B194" s="9" t="str"/>
      <x:c r="C194" s="9" t="str">
        <x:v>-22.623344855886863</x:v>
      </x:c>
      <x:c r="D194" s="9" t="str">
        <x:v>-9.022725725984426</x:v>
      </x:c>
      <x:c r="E194" s="9" t="str">
        <x:v>-18.907635101192522</x:v>
      </x:c>
    </x:row>
    <x:row r="195" ht="18" customHeight="1">
      <x:c r="A195" s="6" t="str">
        <x:v>194</x:v>
      </x:c>
      <x:c r="B195" s="9" t="str"/>
      <x:c r="C195" s="9" t="str">
        <x:v>-23.653152932698543</x:v>
      </x:c>
      <x:c r="D195" s="9" t="str">
        <x:v>-8.667273084846284</x:v>
      </x:c>
      <x:c r="E195" s="9" t="str">
        <x:v>-18.358463199706723</x:v>
      </x:c>
    </x:row>
    <x:row r="196" ht="18" customHeight="1">
      <x:c r="A196" s="6" t="str">
        <x:v>195</x:v>
      </x:c>
      <x:c r="B196" s="9" t="str"/>
      <x:c r="C196" s="9" t="str">
        <x:v>-24.6828931693449</x:v>
      </x:c>
      <x:c r="D196" s="9" t="str">
        <x:v>-9.673246102091946</x:v>
      </x:c>
      <x:c r="E196" s="9" t="str">
        <x:v>-17.264931899633762</x:v>
      </x:c>
    </x:row>
    <x:row r="197" ht="18" customHeight="1">
      <x:c r="A197" s="6" t="str">
        <x:v>196</x:v>
      </x:c>
      <x:c r="B197" s="9" t="str"/>
      <x:c r="C197" s="9" t="str">
        <x:v>-23.269137082986443</x:v>
      </x:c>
      <x:c r="D197" s="9" t="str">
        <x:v>-7.680866716003985</x:v>
      </x:c>
      <x:c r="E197" s="9" t="str">
        <x:v>-18.292407637940414</x:v>
      </x:c>
    </x:row>
    <x:row r="198" ht="18" customHeight="1">
      <x:c r="A198" s="6" t="str">
        <x:v>197</x:v>
      </x:c>
      <x:c r="B198" s="9" t="str"/>
      <x:c r="C198" s="9" t="str">
        <x:v>-23.958398149005376</x:v>
      </x:c>
      <x:c r="D198" s="9" t="str">
        <x:v>-8.690182581015137</x:v>
      </x:c>
      <x:c r="E198" s="9" t="str">
        <x:v>-16.31694227807309</x:v>
      </x:c>
    </x:row>
    <x:row r="199" ht="18" customHeight="1">
      <x:c r="A199" s="6" t="str">
        <x:v>198</x:v>
      </x:c>
      <x:c r="B199" s="9" t="str"/>
      <x:c r="C199" s="9" t="str">
        <x:v>-22.699026659049196</x:v>
      </x:c>
      <x:c r="D199" s="9" t="str">
        <x:v>-9.69606939390735</x:v>
      </x:c>
      <x:c r="E199" s="9" t="str">
        <x:v>-17.35177085161981</x:v>
      </x:c>
    </x:row>
    <x:row r="200" ht="18" customHeight="1">
      <x:c r="A200" s="6" t="str">
        <x:v>199</x:v>
      </x:c>
      <x:c r="B200" s="9" t="str"/>
      <x:c r="C200" s="9" t="str">
        <x:v>-23.720916421630356</x:v>
      </x:c>
      <x:c r="D200" s="9" t="str">
        <x:v>-7.726740544906741</x:v>
      </x:c>
      <x:c r="E200" s="9" t="str">
        <x:v>-17.355408056506704</x:v>
      </x:c>
    </x:row>
    <x:row r="201" ht="18" customHeight="1">
      <x:c r="A201" s="6" t="str">
        <x:v>200</x:v>
      </x:c>
      <x:c r="B201" s="9" t="str"/>
      <x:c r="C201" s="9" t="str">
        <x:v>-23.882705211271375</x:v>
      </x:c>
      <x:c r="D201" s="9" t="str">
        <x:v>-8.74064845126157</x:v>
      </x:c>
      <x:c r="E201" s="9" t="str">
        <x:v>-16.908004282988486</x:v>
      </x:c>
    </x:row>
    <x:row r="202" ht="18" customHeight="1">
      <x:c r="A202" s="6" t="str">
        <x:v>201</x:v>
      </x:c>
      <x:c r="B202" s="9" t="str"/>
      <x:c r="C202" s="9" t="str">
        <x:v>-21.917273295446932</x:v>
      </x:c>
      <x:c r="D202" s="9" t="str">
        <x:v>-9.78253556984755</x:v>
      </x:c>
      <x:c r="E202" s="9" t="str">
        <x:v>-17.076071630735854</x:v>
      </x:c>
    </x:row>
    <x:row r="203" ht="18" customHeight="1">
      <x:c r="A203" s="6" t="str">
        <x:v>202</x:v>
      </x:c>
      <x:c r="B203" s="9" t="str"/>
      <x:c r="C203" s="9" t="str">
        <x:v>-22.933214515604732</x:v>
      </x:c>
      <x:c r="D203" s="9" t="str">
        <x:v>-10.815635250330276</x:v>
      </x:c>
      <x:c r="E203" s="9" t="str">
        <x:v>-16.686965348098642</x:v>
      </x:c>
    </x:row>
    <x:row r="204" ht="18" customHeight="1">
      <x:c r="A204" s="6" t="str">
        <x:v>203</x:v>
      </x:c>
      <x:c r="B204" s="9" t="str"/>
      <x:c r="C204" s="9" t="str">
        <x:v>-21.985791491808236</x:v>
      </x:c>
      <x:c r="D204" s="9" t="str">
        <x:v>-10.323154264668586</x:v>
      </x:c>
      <x:c r="E204" s="9" t="str">
        <x:v>-17.703464751310133</x:v>
      </x:c>
    </x:row>
    <x:row r="205" ht="18" customHeight="1">
      <x:c r="A205" s="6" t="str">
        <x:v>204</x:v>
      </x:c>
      <x:c r="B205" s="9" t="str"/>
      <x:c r="C205" s="9" t="str">
        <x:v>-23.033736142755377</x:v>
      </x:c>
      <x:c r="D205" s="9" t="str">
        <x:v>-11.017139165938033</x:v>
      </x:c>
      <x:c r="E205" s="9" t="str">
        <x:v>-15.72204394894648</x:v>
      </x:c>
    </x:row>
    <x:row r="206" ht="18" customHeight="1">
      <x:c r="A206" s="6" t="str">
        <x:v>205</x:v>
      </x:c>
      <x:c r="B206" s="9" t="str"/>
      <x:c r="C206" s="9" t="str">
        <x:v>-24.07140666461391</x:v>
      </x:c>
      <x:c r="D206" s="9" t="str">
        <x:v>-12.049615975730639</x:v>
      </x:c>
      <x:c r="E206" s="9" t="str">
        <x:v>-15.49515659281683</x:v>
      </x:c>
    </x:row>
    <x:row r="207" ht="18" customHeight="1">
      <x:c r="A207" s="6" t="str">
        <x:v>206</x:v>
      </x:c>
      <x:c r="B207" s="9" t="str"/>
      <x:c r="C207" s="9" t="str">
        <x:v>-23.400272245103455</x:v>
      </x:c>
      <x:c r="D207" s="9" t="str">
        <x:v>-11.982579113199897</x:v>
      </x:c>
      <x:c r="E207" s="9" t="str">
        <x:v>-15.017443503875878</x:v>
      </x:c>
    </x:row>
    <x:row r="208" ht="18" customHeight="1">
      <x:c r="A208" s="6" t="str">
        <x:v>207</x:v>
      </x:c>
      <x:c r="B208" s="9" t="str"/>
      <x:c r="C208" s="9" t="str">
        <x:v>-24.44647049154403</x:v>
      </x:c>
      <x:c r="D208" s="9" t="str">
        <x:v>-11.858824670980056</x:v>
      </x:c>
      <x:c r="E208" s="9" t="str">
        <x:v>-13.05572826354209</x:v>
      </x:c>
    </x:row>
    <x:row r="209" ht="18" customHeight="1">
      <x:c r="A209" s="6" t="str">
        <x:v>208</x:v>
      </x:c>
      <x:c r="B209" s="9" t="str"/>
      <x:c r="C209" s="9" t="str">
        <x:v>-22.470161398503578</x:v>
      </x:c>
      <x:c r="D209" s="9" t="str">
        <x:v>-12.881090546756477</x:v>
      </x:c>
      <x:c r="E209" s="9" t="str">
        <x:v>-14.093448109935457</x:v>
      </x:c>
    </x:row>
    <x:row r="210" ht="18" customHeight="1">
      <x:c r="A210" s="6" t="str">
        <x:v>209</x:v>
      </x:c>
      <x:c r="B210" s="9" t="str"/>
      <x:c r="C210" s="9" t="str">
        <x:v>-23.48644362851698</x:v>
      </x:c>
      <x:c r="D210" s="9" t="str">
        <x:v>-12.993734091048571</x:v>
      </x:c>
      <x:c r="E210" s="9" t="str">
        <x:v>-14.32876900340459</x:v>
      </x:c>
    </x:row>
    <x:row r="211" ht="18" customHeight="1">
      <x:c r="A211" s="6" t="str">
        <x:v>210</x:v>
      </x:c>
      <x:c r="B211" s="9" t="str"/>
      <x:c r="C211" s="9" t="str">
        <x:v>-23.016280724995234</x:v>
      </x:c>
      <x:c r="D211" s="9" t="str">
        <x:v>-14.040373403951696</x:v>
      </x:c>
      <x:c r="E211" s="9" t="str">
        <x:v>-15.362246852211936</x:v>
      </x:c>
    </x:row>
    <x:row r="212" ht="18" customHeight="1">
      <x:c r="A212" s="6" t="str">
        <x:v>211</x:v>
      </x:c>
      <x:c r="B212" s="9" t="str"/>
      <x:c r="C212" s="9" t="str">
        <x:v>-22.988609038993584</x:v>
      </x:c>
      <x:c r="D212" s="9" t="str">
        <x:v>-15.066140138773848</x:v>
      </x:c>
      <x:c r="E212" s="9" t="str">
        <x:v>-13.409369848970996</x:v>
      </x:c>
    </x:row>
    <x:row r="213" ht="18" customHeight="1">
      <x:c r="A213" s="6" t="str">
        <x:v>212</x:v>
      </x:c>
      <x:c r="B213" s="9" t="str"/>
      <x:c r="C213" s="9" t="str">
        <x:v>-24.008216647971746</x:v>
      </x:c>
      <x:c r="D213" s="9" t="str">
        <x:v>-13.11221144381905</x:v>
      </x:c>
      <x:c r="E213" s="9" t="str">
        <x:v>-13.550697764093695</x:v>
      </x:c>
    </x:row>
    <x:row r="214" ht="18" customHeight="1">
      <x:c r="A214" s="6" t="str">
        <x:v>213</x:v>
      </x:c>
      <x:c r="B214" s="9" t="str"/>
      <x:c r="C214" s="9" t="str">
        <x:v>-25.02244081915331</x:v>
      </x:c>
      <x:c r="D214" s="9" t="str">
        <x:v>-12.441728953010717</x:v>
      </x:c>
      <x:c r="E214" s="9" t="str">
        <x:v>-12.733246094047084</x:v>
      </x:c>
    </x:row>
    <x:row r="215" ht="18" customHeight="1">
      <x:c r="A215" s="6" t="str">
        <x:v>214</x:v>
      </x:c>
      <x:c r="B215" s="9" t="str"/>
      <x:c r="C215" s="9" t="str">
        <x:v>-25.934004529735077</x:v>
      </x:c>
      <x:c r="D215" s="9" t="str">
        <x:v>-10.485385325878037</x:v>
      </x:c>
      <x:c r="E215" s="9" t="str">
        <x:v>-13.77370158611486</x:v>
      </x:c>
    </x:row>
    <x:row r="216" ht="18" customHeight="1">
      <x:c r="A216" s="6" t="str">
        <x:v>215</x:v>
      </x:c>
      <x:c r="B216" s="9" t="str"/>
      <x:c r="C216" s="9" t="str">
        <x:v>-26.600388067525152</x:v>
      </x:c>
      <x:c r="D216" s="9" t="str">
        <x:v>-11.519577219444418</x:v>
      </x:c>
      <x:c r="E216" s="9" t="str">
        <x:v>-14.795590122686624</x:v>
      </x:c>
    </x:row>
    <x:row r="217" ht="18" customHeight="1">
      <x:c r="A217" s="6" t="str">
        <x:v>216</x:v>
      </x:c>
      <x:c r="B217" s="9" t="str"/>
      <x:c r="C217" s="9" t="str">
        <x:v>-25.27948937390093</x:v>
      </x:c>
      <x:c r="D217" s="9" t="str">
        <x:v>-12.552663129384364</x:v>
      </x:c>
      <x:c r="E217" s="9" t="str">
        <x:v>-15.843555450054728</x:v>
      </x:c>
    </x:row>
    <x:row r="218" ht="18" customHeight="1">
      <x:c r="A218" s="6" t="str">
        <x:v>217</x:v>
      </x:c>
      <x:c r="B218" s="9" t="str"/>
      <x:c r="C218" s="9" t="str">
        <x:v>-23.306957417330747</x:v>
      </x:c>
      <x:c r="D218" s="9" t="str">
        <x:v>-13.582940817674793</x:v>
      </x:c>
      <x:c r="E218" s="9" t="str">
        <x:v>-13.892598719853252</x:v>
      </x:c>
    </x:row>
    <x:row r="219" ht="18" customHeight="1">
      <x:c r="A219" s="6" t="str">
        <x:v>218</x:v>
      </x:c>
      <x:c r="B219" s="9" t="str"/>
      <x:c r="C219" s="9" t="str">
        <x:v>-21.650763851590717</x:v>
      </x:c>
      <x:c r="D219" s="9" t="str">
        <x:v>-13.14707484703178</x:v>
      </x:c>
      <x:c r="E219" s="9" t="str">
        <x:v>-12.861271715655711</x:v>
      </x:c>
    </x:row>
    <x:row r="220" ht="18" customHeight="1">
      <x:c r="A220" s="6" t="str">
        <x:v>219</x:v>
      </x:c>
      <x:c r="B220" s="9" t="str"/>
      <x:c r="C220" s="9" t="str">
        <x:v>-21.010158686029584</x:v>
      </x:c>
      <x:c r="D220" s="9" t="str">
        <x:v>-14.19297662511359</x:v>
      </x:c>
      <x:c r="E220" s="9" t="str">
        <x:v>-12.918043037897345</x:v>
      </x:c>
    </x:row>
    <x:row r="221" ht="18" customHeight="1">
      <x:c r="A221" s="6" t="str">
        <x:v>220</x:v>
      </x:c>
      <x:c r="B221" s="9" t="str"/>
      <x:c r="C221" s="9" t="str">
        <x:v>-21.03155026635997</x:v>
      </x:c>
      <x:c r="D221" s="9" t="str">
        <x:v>-13.981608689581371</x:v>
      </x:c>
      <x:c r="E221" s="9" t="str">
        <x:v>-13.949932464582034</x:v>
      </x:c>
    </x:row>
    <x:row r="222" ht="18" customHeight="1">
      <x:c r="A222" s="6" t="str">
        <x:v>221</x:v>
      </x:c>
      <x:c r="B222" s="9" t="str"/>
      <x:c r="C222" s="9" t="str">
        <x:v>-22.05525601199542</x:v>
      </x:c>
      <x:c r="D222" s="9" t="str">
        <x:v>-14.998190445669058</x:v>
      </x:c>
      <x:c r="E222" s="9" t="str">
        <x:v>-12.015301329212805</x:v>
      </x:c>
    </x:row>
    <x:row r="223" ht="18" customHeight="1">
      <x:c r="A223" s="6" t="str">
        <x:v>222</x:v>
      </x:c>
      <x:c r="B223" s="9" t="str"/>
      <x:c r="C223" s="9" t="str">
        <x:v>-23.088919037784134</x:v>
      </x:c>
      <x:c r="D223" s="9" t="str">
        <x:v>-16.022888299611665</x:v>
      </x:c>
      <x:c r="E223" s="9" t="str">
        <x:v>-13.049150878932851</x:v>
      </x:c>
    </x:row>
    <x:row r="224" ht="18" customHeight="1">
      <x:c r="A224" s="6" t="str">
        <x:v>223</x:v>
      </x:c>
      <x:c r="B224" s="9" t="str"/>
      <x:c r="C224" s="9" t="str">
        <x:v>-23.829027894278926</x:v>
      </x:c>
      <x:c r="D224" s="9" t="str">
        <x:v>-15.78675175089114</x:v>
      </x:c>
      <x:c r="E224" s="9" t="str">
        <x:v>-14.08204287476104</x:v>
      </x:c>
    </x:row>
    <x:row r="225" ht="18" customHeight="1">
      <x:c r="A225" s="6" t="str">
        <x:v>224</x:v>
      </x:c>
      <x:c r="B225" s="9" t="str"/>
      <x:c r="C225" s="9" t="str">
        <x:v>-22.727531149305676</x:v>
      </x:c>
      <x:c r="D225" s="9" t="str">
        <x:v>-14.519458035330674</x:v>
      </x:c>
      <x:c r="E225" s="9" t="str">
        <x:v>-14.534644071917434</x:v>
      </x:c>
    </x:row>
    <x:row r="226" ht="18" customHeight="1">
      <x:c r="A226" s="6" t="str">
        <x:v>225</x:v>
      </x:c>
      <x:c r="B226" s="9" t="str"/>
      <x:c r="C226" s="9" t="str">
        <x:v>-21.336123068350513</x:v>
      </x:c>
      <x:c r="D226" s="9" t="str">
        <x:v>-15.543903998563016</x:v>
      </x:c>
      <x:c r="E226" s="9" t="str">
        <x:v>-15.620821325246206</x:v>
      </x:c>
    </x:row>
    <x:row r="227" ht="18" customHeight="1">
      <x:c r="A227" s="6" t="str">
        <x:v>226</x:v>
      </x:c>
      <x:c r="B227" s="9" t="str"/>
      <x:c r="C227" s="9" t="str">
        <x:v>-22.410812821480746</x:v>
      </x:c>
      <x:c r="D227" s="9" t="str">
        <x:v>-16.613813201700836</x:v>
      </x:c>
      <x:c r="E227" s="9" t="str">
        <x:v>-16.675722161814186</x:v>
      </x:c>
    </x:row>
    <x:row r="228" ht="18" customHeight="1">
      <x:c r="A228" s="6" t="str">
        <x:v>227</x:v>
      </x:c>
      <x:c r="B228" s="9" t="str"/>
      <x:c r="C228" s="9" t="str">
        <x:v>-23.457757630714376</x:v>
      </x:c>
      <x:c r="D228" s="9" t="str">
        <x:v>-14.672315574352337</x:v>
      </x:c>
      <x:c r="E228" s="9" t="str">
        <x:v>-17.702438520096273</x:v>
      </x:c>
    </x:row>
    <x:row r="229" ht="18" customHeight="1">
      <x:c r="A229" s="6" t="str">
        <x:v>228</x:v>
      </x:c>
      <x:c r="B229" s="9" t="str"/>
      <x:c r="C229" s="9" t="str">
        <x:v>-24.51595723407652</x:v>
      </x:c>
      <x:c r="D229" s="9" t="str">
        <x:v>-14.234390912993847</x:v>
      </x:c>
      <x:c r="E229" s="9" t="str">
        <x:v>-18.737972512774842</x:v>
      </x:c>
    </x:row>
    <x:row r="230" ht="18" customHeight="1">
      <x:c r="A230" s="6" t="str">
        <x:v>229</x:v>
      </x:c>
      <x:c r="B230" s="9" t="str"/>
      <x:c r="C230" s="9" t="str">
        <x:v>-25.569769715564913</x:v>
      </x:c>
      <x:c r="D230" s="9" t="str">
        <x:v>-12.253685283562005</x:v>
      </x:c>
      <x:c r="E230" s="9" t="str">
        <x:v>-19.770068672368822</x:v>
      </x:c>
    </x:row>
    <x:row r="231" ht="18" customHeight="1">
      <x:c r="A231" s="6" t="str">
        <x:v>230</x:v>
      </x:c>
      <x:c r="B231" s="9" t="str"/>
      <x:c r="C231" s="9" t="str">
        <x:v>-26.589665964077298</x:v>
      </x:c>
      <x:c r="D231" s="9" t="str">
        <x:v>-11.5877702657986</x:v>
      </x:c>
      <x:c r="E231" s="9" t="str">
        <x:v>-20.81700898664208</x:v>
      </x:c>
    </x:row>
    <x:row r="232" ht="18" customHeight="1">
      <x:c r="A232" s="6" t="str">
        <x:v>231</x:v>
      </x:c>
      <x:c r="B232" s="9" t="str"/>
      <x:c r="C232" s="9" t="str">
        <x:v>-27.639112923448486</x:v>
      </x:c>
      <x:c r="D232" s="9" t="str">
        <x:v>-11.74508688847537</x:v>
      </x:c>
      <x:c r="E232" s="9" t="str">
        <x:v>-18.828748272520826</x:v>
      </x:c>
    </x:row>
    <x:row r="233" ht="18" customHeight="1">
      <x:c r="A233" s="6" t="str">
        <x:v>232</x:v>
      </x:c>
      <x:c r="B233" s="9" t="str"/>
      <x:c r="C233" s="9" t="str">
        <x:v>-26.091503038125957</x:v>
      </x:c>
      <x:c r="D233" s="9" t="str">
        <x:v>-12.82269502221906</x:v>
      </x:c>
      <x:c r="E233" s="9" t="str">
        <x:v>-16.883665805575916</x:v>
      </x:c>
    </x:row>
    <x:row r="234" ht="18" customHeight="1">
      <x:c r="A234" s="6" t="str">
        <x:v>233</x:v>
      </x:c>
      <x:c r="B234" s="9" t="str"/>
      <x:c r="C234" s="9" t="str">
        <x:v>-24.143065804777958</x:v>
      </x:c>
      <x:c r="D234" s="9" t="str">
        <x:v>-12.994162154661483</x:v>
      </x:c>
      <x:c r="E234" s="9" t="str">
        <x:v>-17.904602833338117</x:v>
      </x:c>
    </x:row>
    <x:row r="235" ht="18" customHeight="1">
      <x:c r="A235" s="6" t="str">
        <x:v>234</x:v>
      </x:c>
      <x:c r="B235" s="9" t="str"/>
      <x:c r="C235" s="9" t="str">
        <x:v>-25.18783705774126</x:v>
      </x:c>
      <x:c r="D235" s="9" t="str">
        <x:v>-14.026754845384305</x:v>
      </x:c>
      <x:c r="E235" s="9" t="str">
        <x:v>-18.974347326402302</x:v>
      </x:c>
    </x:row>
    <x:row r="236" ht="18" customHeight="1">
      <x:c r="A236" s="6" t="str">
        <x:v>235</x:v>
      </x:c>
      <x:c r="B236" s="9" t="str"/>
      <x:c r="C236" s="9" t="str">
        <x:v>-26.232527798253617</x:v>
      </x:c>
      <x:c r="D236" s="9" t="str">
        <x:v>-13.812605272716912</x:v>
      </x:c>
      <x:c r="E236" s="9" t="str">
        <x:v>-20.009180007419815</x:v>
      </x:c>
    </x:row>
    <x:row r="237" ht="18" customHeight="1">
      <x:c r="A237" s="6" t="str">
        <x:v>236</x:v>
      </x:c>
      <x:c r="B237" s="9" t="str"/>
      <x:c r="C237" s="9" t="str">
        <x:v>-27.256123499662706</x:v>
      </x:c>
      <x:c r="D237" s="9" t="str">
        <x:v>-14.86398297743911</x:v>
      </x:c>
      <x:c r="E237" s="9" t="str">
        <x:v>-21.038120666355773</x:v>
      </x:c>
    </x:row>
    <x:row r="238" ht="18" customHeight="1">
      <x:c r="A238" s="6" t="str">
        <x:v>237</x:v>
      </x:c>
      <x:c r="B238" s="9" t="str"/>
      <x:c r="C238" s="9" t="str">
        <x:v>-26.279567638572345</x:v>
      </x:c>
      <x:c r="D238" s="9" t="str">
        <x:v>-12.895604414581369</x:v>
      </x:c>
      <x:c r="E238" s="9" t="str">
        <x:v>-21.132986752371373</x:v>
      </x:c>
    </x:row>
    <x:row r="239" ht="18" customHeight="1">
      <x:c r="A239" s="6" t="str">
        <x:v>238</x:v>
      </x:c>
      <x:c r="B239" s="9" t="str"/>
      <x:c r="C239" s="9" t="str">
        <x:v>-24.33087160509518</x:v>
      </x:c>
      <x:c r="D239" s="9" t="str">
        <x:v>-12.583534347941452</x:v>
      </x:c>
      <x:c r="E239" s="9" t="str">
        <x:v>-22.168402860643205</x:v>
      </x:c>
    </x:row>
    <x:row r="240" ht="18" customHeight="1">
      <x:c r="A240" s="6" t="str">
        <x:v>239</x:v>
      </x:c>
      <x:c r="B240" s="9" t="str"/>
      <x:c r="C240" s="9" t="str">
        <x:v>-23.473736511220636</x:v>
      </x:c>
      <x:c r="D240" s="9" t="str">
        <x:v>-12.96697137004496</x:v>
      </x:c>
      <x:c r="E240" s="9" t="str">
        <x:v>-23.190206168396642</x:v>
      </x:c>
    </x:row>
    <x:row r="241" ht="18" customHeight="1">
      <x:c r="A241" s="6" t="str">
        <x:v>240</x:v>
      </x:c>
      <x:c r="B241" s="9" t="str"/>
      <x:c r="C241" s="9" t="str">
        <x:v>-24.215794787482565</x:v>
      </x:c>
      <x:c r="D241" s="9" t="str">
        <x:v>-13.62596655771121</x:v>
      </x:c>
      <x:c r="E241" s="9" t="str">
        <x:v>-21.25804601782692</x:v>
      </x:c>
    </x:row>
    <x:row r="242" ht="18" customHeight="1">
      <x:c r="A242" s="6" t="str">
        <x:v>241</x:v>
      </x:c>
      <x:c r="B242" s="9" t="str"/>
      <x:c r="C242" s="9" t="str">
        <x:v>-25.23945028754626</x:v>
      </x:c>
      <x:c r="D242" s="9" t="str">
        <x:v>-11.679643958264087</x:v>
      </x:c>
      <x:c r="E242" s="9" t="str">
        <x:v>-22.278198347262528</x:v>
      </x:c>
    </x:row>
    <x:row r="243" ht="18" customHeight="1">
      <x:c r="A243" s="6" t="str">
        <x:v>242</x:v>
      </x:c>
      <x:c r="B243" s="9" t="str"/>
      <x:c r="C243" s="9" t="str">
        <x:v>-26.300540360260115</x:v>
      </x:c>
      <x:c r="D243" s="9" t="str">
        <x:v>-12.697180179014714</x:v>
      </x:c>
      <x:c r="E243" s="9" t="str">
        <x:v>-23.306776879648233</x:v>
      </x:c>
    </x:row>
    <x:row r="244" ht="18" customHeight="1">
      <x:c r="A244" s="6" t="str">
        <x:v>243</x:v>
      </x:c>
      <x:c r="B244" s="9" t="str"/>
      <x:c r="C244" s="9" t="str">
        <x:v>-27.31755711395743</x:v>
      </x:c>
      <x:c r="D244" s="9" t="str">
        <x:v>-13.7170629972948</x:v>
      </x:c>
      <x:c r="E244" s="9" t="str">
        <x:v>-23.027217820362505</x:v>
      </x:c>
    </x:row>
    <x:row r="245" ht="18" customHeight="1">
      <x:c r="A245" s="6" t="str">
        <x:v>244</x:v>
      </x:c>
      <x:c r="B245" s="9" t="str"/>
      <x:c r="C245" s="9" t="str">
        <x:v>-26.99516465634701</x:v>
      </x:c>
      <x:c r="D245" s="9" t="str">
        <x:v>-14.751326609878964</x:v>
      </x:c>
      <x:c r="E245" s="9" t="str">
        <x:v>-24.036996882541537</x:v>
      </x:c>
    </x:row>
    <x:row r="246" ht="18" customHeight="1">
      <x:c r="A246" s="6" t="str">
        <x:v>245</x:v>
      </x:c>
      <x:c r="B246" s="9" t="str"/>
      <x:c r="C246" s="9" t="str">
        <x:v>-25.02732001703113</x:v>
      </x:c>
      <x:c r="D246" s="9" t="str">
        <x:v>-15.778113162111222</x:v>
      </x:c>
      <x:c r="E246" s="9" t="str">
        <x:v>-25.050643941911943</x:v>
      </x:c>
    </x:row>
    <x:row r="247" ht="18" customHeight="1">
      <x:c r="A247" s="6" t="str">
        <x:v>246</x:v>
      </x:c>
      <x:c r="B247" s="9" t="str"/>
      <x:c r="C247" s="9" t="str">
        <x:v>-26.04684713508152</x:v>
      </x:c>
      <x:c r="D247" s="9" t="str">
        <x:v>-15.41024601196399</x:v>
      </x:c>
      <x:c r="E247" s="9" t="str">
        <x:v>-26.06452329139032</x:v>
      </x:c>
    </x:row>
    <x:row r="248" ht="18" customHeight="1">
      <x:c r="A248" s="6" t="str">
        <x:v>247</x:v>
      </x:c>
      <x:c r="B248" s="9" t="str"/>
      <x:c r="C248" s="9" t="str">
        <x:v>-24.882874368934726</x:v>
      </x:c>
      <x:c r="D248" s="9" t="str">
        <x:v>-13.434759264407989</x:v>
      </x:c>
      <x:c r="E248" s="9" t="str">
        <x:v>-25.226233149842656</x:v>
      </x:c>
    </x:row>
    <x:row r="249" ht="18" customHeight="1">
      <x:c r="A249" s="6" t="str">
        <x:v>248</x:v>
      </x:c>
      <x:c r="B249" s="9" t="str"/>
      <x:c r="C249" s="9" t="str">
        <x:v>-25.915371413895333</x:v>
      </x:c>
      <x:c r="D249" s="9" t="str">
        <x:v>-13.424475167851492</x:v>
      </x:c>
      <x:c r="E249" s="9" t="str">
        <x:v>-26.2521277594253</x:v>
      </x:c>
    </x:row>
    <x:row r="250" ht="18" customHeight="1">
      <x:c r="A250" s="6" t="str">
        <x:v>249</x:v>
      </x:c>
      <x:c r="B250" s="9" t="str"/>
      <x:c r="C250" s="9" t="str">
        <x:v>-23.939970760677646</x:v>
      </x:c>
      <x:c r="D250" s="9" t="str">
        <x:v>-14.443307591936467</x:v>
      </x:c>
      <x:c r="E250" s="9" t="str">
        <x:v>-24.27558251438391</x:v>
      </x:c>
    </x:row>
    <x:row r="251" ht="18" customHeight="1">
      <x:c r="A251" s="6" t="str">
        <x:v>250</x:v>
      </x:c>
      <x:c r="B251" s="9" t="str"/>
      <x:c r="C251" s="9" t="str">
        <x:v>-24.234227111575237</x:v>
      </x:c>
      <x:c r="D251" s="9" t="str">
        <x:v>-13.984362447220516</x:v>
      </x:c>
      <x:c r="E251" s="9" t="str">
        <x:v>-22.31681199015357</x:v>
      </x:c>
    </x:row>
    <x:row r="252" ht="18" customHeight="1">
      <x:c r="A252" s="6" t="str">
        <x:v>251</x:v>
      </x:c>
      <x:c r="B252" s="9" t="str"/>
      <x:c r="C252" s="9" t="str">
        <x:v>-25.254981790499595</x:v>
      </x:c>
      <x:c r="D252" s="9" t="str">
        <x:v>-15.03135501069994</x:v>
      </x:c>
      <x:c r="E252" s="9" t="str">
        <x:v>-20.34313114531372</x:v>
      </x:c>
    </x:row>
    <x:row r="253" ht="18" customHeight="1">
      <x:c r="A253" s="6" t="str">
        <x:v>252</x:v>
      </x:c>
      <x:c r="B253" s="9" t="str"/>
      <x:c r="C253" s="9" t="str">
        <x:v>-25.83171253730337</x:v>
      </x:c>
      <x:c r="D253" s="9" t="str">
        <x:v>-15.502496383049783</x:v>
      </x:c>
      <x:c r="E253" s="9" t="str">
        <x:v>-18.361179464531688</x:v>
      </x:c>
    </x:row>
    <x:row r="254" ht="18" customHeight="1">
      <x:c r="A254" s="6" t="str">
        <x:v>253</x:v>
      </x:c>
      <x:c r="B254" s="9" t="str"/>
      <x:c r="C254" s="9" t="str">
        <x:v>-26.89086725373391</x:v>
      </x:c>
      <x:c r="D254" s="9" t="str">
        <x:v>-16.534856116025598</x:v>
      </x:c>
      <x:c r="E254" s="9" t="str">
        <x:v>-17.39218328999873</x:v>
      </x:c>
    </x:row>
    <x:row r="255" ht="18" customHeight="1">
      <x:c r="A255" s="6" t="str">
        <x:v>254</x:v>
      </x:c>
      <x:c r="B255" s="9" t="str"/>
      <x:c r="C255" s="9" t="str">
        <x:v>-26.58242619173241</x:v>
      </x:c>
      <x:c r="D255" s="9" t="str">
        <x:v>-17.59336714870475</x:v>
      </x:c>
      <x:c r="E255" s="9" t="str">
        <x:v>-17.394206831585194</x:v>
      </x:c>
    </x:row>
    <x:row r="256" ht="18" customHeight="1">
      <x:c r="A256" s="6" t="str">
        <x:v>255</x:v>
      </x:c>
      <x:c r="B256" s="9" t="str"/>
      <x:c r="C256" s="9" t="str">
        <x:v>-26.080848933431305</x:v>
      </x:c>
      <x:c r="D256" s="9" t="str">
        <x:v>-18.660782715823583</x:v>
      </x:c>
      <x:c r="E256" s="9" t="str">
        <x:v>-18.423858991748325</x:v>
      </x:c>
    </x:row>
    <x:row r="257" ht="18" customHeight="1">
      <x:c r="A257" s="6" t="str">
        <x:v>256</x:v>
      </x:c>
      <x:c r="B257" s="9" t="str"/>
      <x:c r="C257" s="9" t="str">
        <x:v>-26.230850628062207</x:v>
      </x:c>
      <x:c r="D257" s="9" t="str">
        <x:v>-19.70007592568746</x:v>
      </x:c>
      <x:c r="E257" s="9" t="str">
        <x:v>-19.49359164976423</x:v>
      </x:c>
    </x:row>
    <x:row r="258" ht="18" customHeight="1">
      <x:c r="A258" s="6" t="str">
        <x:v>257</x:v>
      </x:c>
      <x:c r="B258" s="9" t="str"/>
      <x:c r="C258" s="9" t="str">
        <x:v>-26.447443043484434</x:v>
      </x:c>
      <x:c r="D258" s="9" t="str">
        <x:v>-19.23963033435123</x:v>
      </x:c>
      <x:c r="E258" s="9" t="str">
        <x:v>-17.51191163342938</x:v>
      </x:c>
    </x:row>
    <x:row r="259" ht="18" customHeight="1">
      <x:c r="A259" s="6" t="str">
        <x:v>258</x:v>
      </x:c>
      <x:c r="B259" s="9" t="str"/>
      <x:c r="C259" s="9" t="str">
        <x:v>-27.479650379991988</x:v>
      </x:c>
      <x:c r="D259" s="9" t="str">
        <x:v>-19.02853383572898</x:v>
      </x:c>
      <x:c r="E259" s="9" t="str">
        <x:v>-18.52294807257245</x:v>
      </x:c>
    </x:row>
    <x:row r="260" ht="18" customHeight="1">
      <x:c r="A260" s="6" t="str">
        <x:v>259</x:v>
      </x:c>
      <x:c r="B260" s="9" t="str"/>
      <x:c r="C260" s="9" t="str">
        <x:v>-26.546277398974603</x:v>
      </x:c>
      <x:c r="D260" s="9" t="str">
        <x:v>-18.436580830503505</x:v>
      </x:c>
      <x:c r="E260" s="9" t="str">
        <x:v>-16.57282706908708</x:v>
      </x:c>
    </x:row>
    <x:row r="261" ht="18" customHeight="1">
      <x:c r="A261" s="6" t="str">
        <x:v>260</x:v>
      </x:c>
      <x:c r="B261" s="9" t="str"/>
      <x:c r="C261" s="9" t="str">
        <x:v>-27.602705104653925</x:v>
      </x:c>
      <x:c r="D261" s="9" t="str">
        <x:v>-16.488008809588184</x:v>
      </x:c>
      <x:c r="E261" s="9" t="str">
        <x:v>-14.614595365352168</x:v>
      </x:c>
    </x:row>
    <x:row r="262" ht="18" customHeight="1">
      <x:c r="A262" s="6" t="str">
        <x:v>261</x:v>
      </x:c>
      <x:c r="B262" s="9" t="str"/>
      <x:c r="C262" s="9" t="str">
        <x:v>-28.662333908651597</x:v>
      </x:c>
      <x:c r="D262" s="9" t="str">
        <x:v>-17.54374455959063</x:v>
      </x:c>
      <x:c r="E262" s="9" t="str">
        <x:v>-15.62917735781079</x:v>
      </x:c>
    </x:row>
    <x:row r="263" ht="18" customHeight="1">
      <x:c r="A263" s="6" t="str">
        <x:v>262</x:v>
      </x:c>
      <x:c r="B263" s="9" t="str"/>
      <x:c r="C263" s="9" t="str">
        <x:v>-29.33712496511425</x:v>
      </x:c>
      <x:c r="D263" s="9" t="str">
        <x:v>-18.58409469071528</x:v>
      </x:c>
      <x:c r="E263" s="9" t="str">
        <x:v>-15.77247239816566</x:v>
      </x:c>
    </x:row>
    <x:row r="264" ht="18" customHeight="1">
      <x:c r="A264" s="6" t="str">
        <x:v>263</x:v>
      </x:c>
      <x:c r="B264" s="9" t="str"/>
      <x:c r="C264" s="9" t="str">
        <x:v>-30.38507991974297</x:v>
      </x:c>
      <x:c r="D264" s="9" t="str">
        <x:v>-19.60207681937209</x:v>
      </x:c>
      <x:c r="E264" s="9" t="str">
        <x:v>-16.79560226290975</x:v>
      </x:c>
    </x:row>
    <x:row r="265" ht="18" customHeight="1">
      <x:c r="A265" s="6" t="str">
        <x:v>264</x:v>
      </x:c>
      <x:c r="B265" s="9" t="str"/>
      <x:c r="C265" s="9" t="str">
        <x:v>-28.43754136476747</x:v>
      </x:c>
      <x:c r="D265" s="9" t="str">
        <x:v>-17.613646756239447</x:v>
      </x:c>
      <x:c r="E265" s="9" t="str">
        <x:v>-17.86124968101818</x:v>
      </x:c>
    </x:row>
    <x:row r="266" ht="18" customHeight="1">
      <x:c r="A266" s="6" t="str">
        <x:v>265</x:v>
      </x:c>
      <x:c r="B266" s="9" t="str"/>
      <x:c r="C266" s="9" t="str">
        <x:v>-29.457227173215088</x:v>
      </x:c>
      <x:c r="D266" s="9" t="str">
        <x:v>-17.75977517895329</x:v>
      </x:c>
      <x:c r="E266" s="9" t="str">
        <x:v>-18.933076748398925</x:v>
      </x:c>
    </x:row>
    <x:row r="267" ht="18" customHeight="1">
      <x:c r="A267" s="6" t="str">
        <x:v>266</x:v>
      </x:c>
      <x:c r="B267" s="9" t="str"/>
      <x:c r="C267" s="9" t="str">
        <x:v>-28.59931877654239</x:v>
      </x:c>
      <x:c r="D267" s="9" t="str">
        <x:v>-18.822855165260314</x:v>
      </x:c>
      <x:c r="E267" s="9" t="str">
        <x:v>-19.491308663738913</x:v>
      </x:c>
    </x:row>
    <x:row r="268" ht="18" customHeight="1">
      <x:c r="A268" s="6" t="str">
        <x:v>267</x:v>
      </x:c>
      <x:c r="B268" s="9" t="str"/>
      <x:c r="C268" s="9" t="str">
        <x:v>-26.714768899491528</x:v>
      </x:c>
      <x:c r="D268" s="9" t="str">
        <x:v>-19.06362684277173</x:v>
      </x:c>
      <x:c r="E268" s="9" t="str">
        <x:v>-19.934961635752796</x:v>
      </x:c>
    </x:row>
    <x:row r="269" ht="18" customHeight="1">
      <x:c r="A269" s="6" t="str">
        <x:v>268</x:v>
      </x:c>
      <x:c r="B269" s="9" t="str"/>
      <x:c r="C269" s="9" t="str">
        <x:v>-27.776650938622375</x:v>
      </x:c>
      <x:c r="D269" s="9" t="str">
        <x:v>-20.088440460345446</x:v>
      </x:c>
      <x:c r="E269" s="9" t="str">
        <x:v>-20.9602584585124</x:v>
      </x:c>
    </x:row>
    <x:row r="270" ht="18" customHeight="1">
      <x:c r="A270" s="6" t="str">
        <x:v>269</x:v>
      </x:c>
      <x:c r="B270" s="9" t="str"/>
      <x:c r="C270" s="9" t="str">
        <x:v>-28.441408351931504</x:v>
      </x:c>
      <x:c r="D270" s="9" t="str">
        <x:v>-21.127220351685846</x:v>
      </x:c>
      <x:c r="E270" s="9" t="str">
        <x:v>-22.001784502765638</x:v>
      </x:c>
    </x:row>
    <x:row r="271" ht="18" customHeight="1">
      <x:c r="A271" s="6" t="str">
        <x:v>270</x:v>
      </x:c>
      <x:c r="B271" s="9" t="str"/>
      <x:c r="C271" s="9" t="str">
        <x:v>-29.45040080671096</x:v>
      </x:c>
      <x:c r="D271" s="9" t="str">
        <x:v>-20.78902897676648</x:v>
      </x:c>
      <x:c r="E271" s="9" t="str">
        <x:v>-20.9741028370217</x:v>
      </x:c>
    </x:row>
    <x:row r="272" ht="18" customHeight="1">
      <x:c r="A272" s="6" t="str">
        <x:v>271</x:v>
      </x:c>
      <x:c r="B272" s="9" t="str"/>
      <x:c r="C272" s="9" t="str">
        <x:v>-30.461041989488713</x:v>
      </x:c>
      <x:c r="D272" s="9" t="str">
        <x:v>-19.70466911467224</x:v>
      </x:c>
      <x:c r="E272" s="9" t="str">
        <x:v>-19.044796528784254</x:v>
      </x:c>
    </x:row>
    <x:row r="273" ht="18" customHeight="1">
      <x:c r="A273" s="6" t="str">
        <x:v>272</x:v>
      </x:c>
      <x:c r="B273" s="9" t="str"/>
      <x:c r="C273" s="9" t="str">
        <x:v>-30.45294303522524</x:v>
      </x:c>
      <x:c r="D273" s="9" t="str">
        <x:v>-20.715262952188695</x:v>
      </x:c>
      <x:c r="E273" s="9" t="str">
        <x:v>-20.067293135840636</x:v>
      </x:c>
    </x:row>
    <x:row r="274" ht="18" customHeight="1">
      <x:c r="A274" s="6" t="str">
        <x:v>273</x:v>
      </x:c>
      <x:c r="B274" s="9" t="str"/>
      <x:c r="C274" s="9" t="str">
        <x:v>-29.912890112311647</x:v>
      </x:c>
      <x:c r="D274" s="9" t="str">
        <x:v>-21.735162515885037</x:v>
      </x:c>
      <x:c r="E274" s="9" t="str">
        <x:v>-21.115410439827972</x:v>
      </x:c>
    </x:row>
    <x:row r="275" ht="18" customHeight="1">
      <x:c r="A275" s="6" t="str">
        <x:v>274</x:v>
      </x:c>
      <x:c r="B275" s="9" t="str"/>
      <x:c r="C275" s="9" t="str">
        <x:v>-29.412442186000842</x:v>
      </x:c>
      <x:c r="D275" s="9" t="str">
        <x:v>-22.742002805554755</x:v>
      </x:c>
      <x:c r="E275" s="9" t="str">
        <x:v>-19.446366834283772</x:v>
      </x:c>
    </x:row>
    <x:row r="276" ht="18" customHeight="1">
      <x:c r="A276" s="6" t="str">
        <x:v>275</x:v>
      </x:c>
      <x:c r="B276" s="9" t="str"/>
      <x:c r="C276" s="9" t="str">
        <x:v>-29.0468999678989</x:v>
      </x:c>
      <x:c r="D276" s="9" t="str">
        <x:v>-22.401049512316067</x:v>
      </x:c>
      <x:c r="E276" s="9" t="str">
        <x:v>-20.00573223450201</x:v>
      </x:c>
    </x:row>
    <x:row r="277" ht="18" customHeight="1">
      <x:c r="A277" s="6" t="str">
        <x:v>276</x:v>
      </x:c>
      <x:c r="B277" s="9" t="str"/>
      <x:c r="C277" s="9" t="str">
        <x:v>-29.48760968799933</x:v>
      </x:c>
      <x:c r="D277" s="9" t="str">
        <x:v>-21.74612291781355</x:v>
      </x:c>
      <x:c r="E277" s="9" t="str">
        <x:v>-21.015650459743192</x:v>
      </x:c>
    </x:row>
    <x:row r="278" ht="18" customHeight="1">
      <x:c r="A278" s="6" t="str">
        <x:v>277</x:v>
      </x:c>
      <x:c r="B278" s="9" t="str"/>
      <x:c r="C278" s="9" t="str">
        <x:v>-30.54204197546651</x:v>
      </x:c>
      <x:c r="D278" s="9" t="str">
        <x:v>-22.752575916434175</x:v>
      </x:c>
      <x:c r="E278" s="9" t="str">
        <x:v>-21.467495417003526</x:v>
      </x:c>
    </x:row>
    <x:row r="279" ht="18" customHeight="1">
      <x:c r="A279" s="6" t="str">
        <x:v>278</x:v>
      </x:c>
      <x:c r="B279" s="9" t="str"/>
      <x:c r="C279" s="9" t="str">
        <x:v>-28.558599849782578</x:v>
      </x:c>
      <x:c r="D279" s="9" t="str">
        <x:v>-23.772594544069747</x:v>
      </x:c>
      <x:c r="E279" s="9" t="str">
        <x:v>-19.66425926266532</x:v>
      </x:c>
    </x:row>
    <x:row r="280" ht="18" customHeight="1">
      <x:c r="A280" s="6" t="str">
        <x:v>279</x:v>
      </x:c>
      <x:c r="B280" s="9" t="str"/>
      <x:c r="C280" s="9" t="str">
        <x:v>-29.57151367442032</x:v>
      </x:c>
      <x:c r="D280" s="9" t="str">
        <x:v>-23.496800055812596</x:v>
      </x:c>
      <x:c r="E280" s="9" t="str">
        <x:v>-19.922848829978626</x:v>
      </x:c>
    </x:row>
    <x:row r="281" ht="18" customHeight="1">
      <x:c r="A281" s="6" t="str">
        <x:v>280</x:v>
      </x:c>
      <x:c r="B281" s="9" t="str"/>
      <x:c r="C281" s="9" t="str">
        <x:v>-28.85347725129044</x:v>
      </x:c>
      <x:c r="D281" s="9" t="str">
        <x:v>-24.548390521467784</x:v>
      </x:c>
      <x:c r="E281" s="9" t="str">
        <x:v>-17.945362891685352</x:v>
      </x:c>
    </x:row>
    <x:row r="282" ht="18" customHeight="1">
      <x:c r="A282" s="6" t="str">
        <x:v>281</x:v>
      </x:c>
      <x:c r="B282" s="9" t="str"/>
      <x:c r="C282" s="9" t="str">
        <x:v>-26.86900212067733</x:v>
      </x:c>
      <x:c r="D282" s="9" t="str">
        <x:v>-25.608683542437422</x:v>
      </x:c>
      <x:c r="E282" s="9" t="str">
        <x:v>-18.97944855424155</x:v>
      </x:c>
    </x:row>
    <x:row r="283" ht="18" customHeight="1">
      <x:c r="A283" s="6" t="str">
        <x:v>282</x:v>
      </x:c>
      <x:c r="B283" s="9" t="str"/>
      <x:c r="C283" s="9" t="str">
        <x:v>-27.91398713443465</x:v>
      </x:c>
      <x:c r="D283" s="9" t="str">
        <x:v>-26.658116907938577</x:v>
      </x:c>
      <x:c r="E283" s="9" t="str">
        <x:v>-20.007551489634267</x:v>
      </x:c>
    </x:row>
    <x:row r="284" ht="18" customHeight="1">
      <x:c r="A284" s="6" t="str">
        <x:v>283</x:v>
      </x:c>
      <x:c r="B284" s="9" t="str"/>
      <x:c r="C284" s="9" t="str">
        <x:v>-28.97217169082299</x:v>
      </x:c>
      <x:c r="D284" s="9" t="str">
        <x:v>-24.693953108970344</x:v>
      </x:c>
      <x:c r="E284" s="9" t="str">
        <x:v>-18.023673694370345</x:v>
      </x:c>
    </x:row>
    <x:row r="285" ht="18" customHeight="1">
      <x:c r="A285" s="6" t="str">
        <x:v>284</x:v>
      </x:c>
      <x:c r="B285" s="9" t="str"/>
      <x:c r="C285" s="9" t="str">
        <x:v>-27.009300514800998</x:v>
      </x:c>
      <x:c r="D285" s="9" t="str">
        <x:v>-24.328826281272175</x:v>
      </x:c>
      <x:c r="E285" s="9" t="str">
        <x:v>-19.05454964560882</x:v>
      </x:c>
    </x:row>
    <x:row r="286" ht="18" customHeight="1">
      <x:c r="A286" s="6" t="str">
        <x:v>285</x:v>
      </x:c>
      <x:c r="B286" s="9" t="str"/>
      <x:c r="C286" s="9" t="str">
        <x:v>-28.04649192807591</x:v>
      </x:c>
      <x:c r="D286" s="9" t="str">
        <x:v>-24.61776961358288</x:v>
      </x:c>
      <x:c r="E286" s="9" t="str">
        <x:v>-18.407336542469892</x:v>
      </x:c>
    </x:row>
    <x:row r="287" ht="18" customHeight="1">
      <x:c r="A287" s="6" t="str">
        <x:v>286</x:v>
      </x:c>
      <x:c r="B287" s="9" t="str"/>
      <x:c r="C287" s="9" t="str">
        <x:v>-29.058684072950673</x:v>
      </x:c>
      <x:c r="D287" s="9" t="str">
        <x:v>-25.193629170609437</x:v>
      </x:c>
      <x:c r="E287" s="9" t="str">
        <x:v>-19.414635603077368</x:v>
      </x:c>
    </x:row>
    <x:row r="288" ht="18" customHeight="1">
      <x:c r="A288" s="6" t="str">
        <x:v>287</x:v>
      </x:c>
      <x:c r="B288" s="9" t="str"/>
      <x:c r="C288" s="9" t="str">
        <x:v>-30.070687882149617</x:v>
      </x:c>
      <x:c r="D288" s="9" t="str">
        <x:v>-24.393054986661355</x:v>
      </x:c>
      <x:c r="E288" s="9" t="str">
        <x:v>-20.42381044457702</x:v>
      </x:c>
    </x:row>
    <x:row r="289" ht="18" customHeight="1">
      <x:c r="A289" s="6" t="str">
        <x:v>288</x:v>
      </x:c>
      <x:c r="B289" s="9" t="str"/>
      <x:c r="C289" s="9" t="str">
        <x:v>-28.10779503677198</x:v>
      </x:c>
      <x:c r="D289" s="9" t="str">
        <x:v>-25.495670860421463</x:v>
      </x:c>
      <x:c r="E289" s="9" t="str">
        <x:v>-21.448054803728777</x:v>
      </x:c>
    </x:row>
    <x:row r="290" ht="18" customHeight="1">
      <x:c r="A290" s="6" t="str">
        <x:v>289</x:v>
      </x:c>
      <x:c r="B290" s="9" t="str"/>
      <x:c r="C290" s="9" t="str">
        <x:v>-27.82076634943433</x:v>
      </x:c>
      <x:c r="D290" s="9" t="str">
        <x:v>-25.675726677805237</x:v>
      </x:c>
      <x:c r="E290" s="9" t="str">
        <x:v>-22.109616106823303</x:v>
      </x:c>
    </x:row>
    <x:row r="291" ht="18" customHeight="1">
      <x:c r="A291" s="6" t="str">
        <x:v>290</x:v>
      </x:c>
      <x:c r="B291" s="9" t="str"/>
      <x:c r="C291" s="9" t="str">
        <x:v>-27.654329270086084</x:v>
      </x:c>
      <x:c r="D291" s="9" t="str">
        <x:v>-25.372599916299688</x:v>
      </x:c>
      <x:c r="E291" s="9" t="str">
        <x:v>-23.12442177006544</x:v>
      </x:c>
    </x:row>
    <x:row r="292" ht="18" customHeight="1">
      <x:c r="A292" s="6" t="str">
        <x:v>291</x:v>
      </x:c>
      <x:c r="B292" s="9" t="str"/>
      <x:c r="C292" s="9" t="str">
        <x:v>-28.676712363004302</x:v>
      </x:c>
      <x:c r="D292" s="9" t="str">
        <x:v>-24.99985348634947</x:v>
      </x:c>
      <x:c r="E292" s="9" t="str">
        <x:v>-21.146300112673316</x:v>
      </x:c>
    </x:row>
    <x:row r="293" ht="18" customHeight="1">
      <x:c r="A293" s="6" t="str">
        <x:v>292</x:v>
      </x:c>
      <x:c r="B293" s="9" t="str"/>
      <x:c r="C293" s="9" t="str">
        <x:v>-28.07410684612897</x:v>
      </x:c>
      <x:c r="D293" s="9" t="str">
        <x:v>-26.033507660128397</x:v>
      </x:c>
      <x:c r="E293" s="9" t="str">
        <x:v>-22.196377548388867</x:v>
      </x:c>
    </x:row>
    <x:row r="294" ht="18" customHeight="1">
      <x:c r="A294" s="6" t="str">
        <x:v>293</x:v>
      </x:c>
      <x:c r="B294" s="9" t="str"/>
      <x:c r="C294" s="9" t="str">
        <x:v>-26.09569582886334</x:v>
      </x:c>
      <x:c r="D294" s="9" t="str">
        <x:v>-24.741393649919956</x:v>
      </x:c>
      <x:c r="E294" s="9" t="str">
        <x:v>-22.682947720363018</x:v>
      </x:c>
    </x:row>
    <x:row r="295" ht="18" customHeight="1">
      <x:c r="A295" s="6" t="str">
        <x:v>294</x:v>
      </x:c>
      <x:c r="B295" s="9" t="str"/>
      <x:c r="C295" s="9" t="str">
        <x:v>-24.821796263384684</x:v>
      </x:c>
      <x:c r="D295" s="9" t="str">
        <x:v>-24.347599105385438</x:v>
      </x:c>
      <x:c r="E295" s="9" t="str">
        <x:v>-23.704455205904907</x:v>
      </x:c>
    </x:row>
    <x:row r="296" ht="18" customHeight="1">
      <x:c r="A296" s="6" t="str">
        <x:v>295</x:v>
      </x:c>
      <x:c r="B296" s="9" t="str"/>
      <x:c r="C296" s="9" t="str">
        <x:v>-25.876693715076563</x:v>
      </x:c>
      <x:c r="D296" s="9" t="str">
        <x:v>-25.38129545988893</x:v>
      </x:c>
      <x:c r="E296" s="9" t="str">
        <x:v>-21.72551903923077</x:v>
      </x:c>
    </x:row>
    <x:row r="297" ht="18" customHeight="1">
      <x:c r="A297" s="6" t="str">
        <x:v>296</x:v>
      </x:c>
      <x:c r="B297" s="9" t="str"/>
      <x:c r="C297" s="9" t="str">
        <x:v>-26.92574084236962</x:v>
      </x:c>
      <x:c r="D297" s="9" t="str">
        <x:v>-25.189652425142416</x:v>
      </x:c>
      <x:c r="E297" s="9" t="str">
        <x:v>-19.74383282344876</x:v>
      </x:c>
    </x:row>
    <x:row r="298" ht="18" customHeight="1">
      <x:c r="A298" s="6" t="str">
        <x:v>297</x:v>
      </x:c>
      <x:c r="B298" s="9" t="str"/>
      <x:c r="C298" s="9" t="str">
        <x:v>-27.93588545473312</x:v>
      </x:c>
      <x:c r="D298" s="9" t="str">
        <x:v>-23.971852427807598</x:v>
      </x:c>
      <x:c r="E298" s="9" t="str">
        <x:v>-20.78870327578725</x:v>
      </x:c>
    </x:row>
    <x:row r="299" ht="18" customHeight="1">
      <x:c r="A299" s="6" t="str">
        <x:v>298</x:v>
      </x:c>
      <x:c r="B299" s="9" t="str"/>
      <x:c r="C299" s="9" t="str">
        <x:v>-26.75948620448098</x:v>
      </x:c>
      <x:c r="D299" s="9" t="str">
        <x:v>-22.00978660987443</x:v>
      </x:c>
      <x:c r="E299" s="9" t="str">
        <x:v>-18.817173729932904</x:v>
      </x:c>
    </x:row>
    <x:row r="300" ht="18" customHeight="1">
      <x:c r="A300" s="6" t="str">
        <x:v>299</x:v>
      </x:c>
      <x:c r="B300" s="9" t="str"/>
      <x:c r="C300" s="9" t="str">
        <x:v>-24.770203949053236</x:v>
      </x:c>
      <x:c r="D300" s="9" t="str">
        <x:v>-23.03749701124905</x:v>
      </x:c>
      <x:c r="E300" s="9" t="str">
        <x:v>-19.834998169716584</x:v>
      </x:c>
    </x:row>
    <x:row r="301" ht="18" customHeight="1">
      <x:c r="A301" s="6" t="str">
        <x:v>300</x:v>
      </x:c>
      <x:c r="B301" s="9" t="str"/>
      <x:c r="C301" s="9" t="str">
        <x:v>-22.787006931602903</x:v>
      </x:c>
      <x:c r="D301" s="9" t="str">
        <x:v>-24.073356906828522</x:v>
      </x:c>
      <x:c r="E301" s="9" t="str">
        <x:v>-20.885718565153148</x:v>
      </x:c>
    </x:row>
    <x:row r="302" ht="18" customHeight="1">
      <x:c r="A302" s="6" t="str">
        <x:v>301</x:v>
      </x:c>
      <x:c r="B302" s="9" t="str"/>
      <x:c r="C302" s="9" t="str">
        <x:v>-23.41512256371803</x:v>
      </x:c>
      <x:c r="D302" s="9" t="str">
        <x:v>-25.080747349123627</x:v>
      </x:c>
      <x:c r="E302" s="9" t="str">
        <x:v>-21.89305696842295</x:v>
      </x:c>
    </x:row>
    <x:row r="303" ht="18" customHeight="1">
      <x:c r="A303" s="6" t="str">
        <x:v>302</x:v>
      </x:c>
      <x:c r="B303" s="9" t="str"/>
      <x:c r="C303" s="9" t="str">
        <x:v>-23.744821921925695</x:v>
      </x:c>
      <x:c r="D303" s="9" t="str">
        <x:v>-26.118193687593614</x:v>
      </x:c>
      <x:c r="E303" s="9" t="str">
        <x:v>-20.5015204040662</x:v>
      </x:c>
    </x:row>
    <x:row r="304" ht="18" customHeight="1">
      <x:c r="A304" s="6" t="str">
        <x:v>303</x:v>
      </x:c>
      <x:c r="B304" s="9" t="str"/>
      <x:c r="C304" s="9" t="str">
        <x:v>-24.763250794280886</x:v>
      </x:c>
      <x:c r="D304" s="9" t="str">
        <x:v>-27.144784825920976</x:v>
      </x:c>
      <x:c r="E304" s="9" t="str">
        <x:v>-18.51948387672082</x:v>
      </x:c>
    </x:row>
    <x:row r="305" ht="18" customHeight="1">
      <x:c r="A305" s="6" t="str">
        <x:v>304</x:v>
      </x:c>
      <x:c r="B305" s="9" t="str"/>
      <x:c r="C305" s="9" t="str">
        <x:v>-25.774120044156533</x:v>
      </x:c>
      <x:c r="D305" s="9" t="str">
        <x:v>-28.156021598602997</x:v>
      </x:c>
      <x:c r="E305" s="9" t="str">
        <x:v>-17.844420913668237</x:v>
      </x:c>
    </x:row>
    <x:row r="306" ht="18" customHeight="1">
      <x:c r="A306" s="6" t="str">
        <x:v>305</x:v>
      </x:c>
      <x:c r="B306" s="9" t="str"/>
      <x:c r="C306" s="9" t="str">
        <x:v>-26.802382420522708</x:v>
      </x:c>
      <x:c r="D306" s="9" t="str">
        <x:v>-26.205359725525152</x:v>
      </x:c>
      <x:c r="E306" s="9" t="str">
        <x:v>-16.533818152040315</x:v>
      </x:c>
    </x:row>
    <x:row r="307" ht="18" customHeight="1">
      <x:c r="A307" s="6" t="str">
        <x:v>306</x:v>
      </x:c>
      <x:c r="B307" s="9" t="str"/>
      <x:c r="C307" s="9" t="str">
        <x:v>-27.050321412576306</x:v>
      </x:c>
      <x:c r="D307" s="9" t="str">
        <x:v>-24.473231357421135</x:v>
      </x:c>
      <x:c r="E307" s="9" t="str">
        <x:v>-16.91180822023259</x:v>
      </x:c>
    </x:row>
    <x:row r="308" ht="18" customHeight="1">
      <x:c r="A308" s="6" t="str">
        <x:v>307</x:v>
      </x:c>
      <x:c r="B308" s="9" t="str"/>
      <x:c r="C308" s="9" t="str">
        <x:v>-26.583823521341206</x:v>
      </x:c>
      <x:c r="D308" s="9" t="str">
        <x:v>-25.513771510855833</x:v>
      </x:c>
      <x:c r="E308" s="9" t="str">
        <x:v>-17.476190919737494</x:v>
      </x:c>
    </x:row>
    <x:row r="309" ht="18" customHeight="1">
      <x:c r="A309" s="6" t="str">
        <x:v>308</x:v>
      </x:c>
      <x:c r="B309" s="9" t="str"/>
      <x:c r="C309" s="9" t="str">
        <x:v>-25.54723966999305</x:v>
      </x:c>
      <x:c r="D309" s="9" t="str">
        <x:v>-26.530057292076663</x:v>
      </x:c>
      <x:c r="E309" s="9" t="str">
        <x:v>-18.487479277719103</x:v>
      </x:c>
    </x:row>
    <x:row r="310" ht="18" customHeight="1">
      <x:c r="A310" s="6" t="str">
        <x:v>309</x:v>
      </x:c>
      <x:c r="B310" s="9" t="str"/>
      <x:c r="C310" s="9" t="str">
        <x:v>-26.61946143286901</x:v>
      </x:c>
      <x:c r="D310" s="9" t="str">
        <x:v>-25.42036203994088</x:v>
      </x:c>
      <x:c r="E310" s="9" t="str">
        <x:v>-16.749409350964587</x:v>
      </x:c>
    </x:row>
    <x:row r="311" ht="18" customHeight="1">
      <x:c r="A311" s="6" t="str">
        <x:v>310</x:v>
      </x:c>
      <x:c r="B311" s="9" t="str"/>
      <x:c r="C311" s="9" t="str">
        <x:v>-27.69433525399866</x:v>
      </x:c>
      <x:c r="D311" s="9" t="str">
        <x:v>-25.32298305441295</x:v>
      </x:c>
      <x:c r="E311" s="9" t="str">
        <x:v>-16.26511174944087</x:v>
      </x:c>
    </x:row>
    <x:row r="312" ht="18" customHeight="1">
      <x:c r="A312" s="6" t="str">
        <x:v>311</x:v>
      </x:c>
      <x:c r="B312" s="9" t="str"/>
      <x:c r="C312" s="9" t="str">
        <x:v>-28.747316710526537</x:v>
      </x:c>
      <x:c r="D312" s="9" t="str">
        <x:v>-24.74593390433949</x:v>
      </x:c>
      <x:c r="E312" s="9" t="str">
        <x:v>-14.280473252085853</x:v>
      </x:c>
    </x:row>
    <x:row r="313" ht="18" customHeight="1">
      <x:c r="A313" s="6" t="str">
        <x:v>312</x:v>
      </x:c>
      <x:c r="B313" s="9" t="str"/>
      <x:c r="C313" s="9" t="str">
        <x:v>-26.778624090539132</x:v>
      </x:c>
      <x:c r="D313" s="9" t="str">
        <x:v>-22.76874728294145</x:v>
      </x:c>
      <x:c r="E313" s="9" t="str">
        <x:v>-12.32965920645906</x:v>
      </x:c>
    </x:row>
    <x:row r="314" ht="18" customHeight="1">
      <x:c r="A314" s="6" t="str">
        <x:v>313</x:v>
      </x:c>
      <x:c r="B314" s="9" t="str"/>
      <x:c r="C314" s="9" t="str">
        <x:v>-27.278517790614636</x:v>
      </x:c>
      <x:c r="D314" s="9" t="str">
        <x:v>-23.78336527097933</x:v>
      </x:c>
      <x:c r="E314" s="9" t="str">
        <x:v>-13.343561506887687</x:v>
      </x:c>
    </x:row>
    <x:row r="315" ht="18" customHeight="1">
      <x:c r="A315" s="6" t="str">
        <x:v>314</x:v>
      </x:c>
      <x:c r="B315" s="9" t="str"/>
      <x:c r="C315" s="9" t="str">
        <x:v>-27.58023868509125</x:v>
      </x:c>
      <x:c r="D315" s="9" t="str">
        <x:v>-24.798417320689175</x:v>
      </x:c>
      <x:c r="E315" s="9" t="str">
        <x:v>-12.697385691086998</x:v>
      </x:c>
    </x:row>
    <x:row r="316" ht="18" customHeight="1">
      <x:c r="A316" s="6" t="str">
        <x:v>315</x:v>
      </x:c>
      <x:c r="B316" s="9" t="str"/>
      <x:c r="C316" s="9" t="str">
        <x:v>-28.607223930166004</x:v>
      </x:c>
      <x:c r="D316" s="9" t="str">
        <x:v>-25.034893106468985</x:v>
      </x:c>
      <x:c r="E316" s="9" t="str">
        <x:v>-11.44732054844621</x:v>
      </x:c>
    </x:row>
    <x:row r="317" ht="18" customHeight="1">
      <x:c r="A317" s="6" t="str">
        <x:v>316</x:v>
      </x:c>
      <x:c r="B317" s="9" t="str"/>
      <x:c r="C317" s="9" t="str">
        <x:v>-29.62859445013633</x:v>
      </x:c>
      <x:c r="D317" s="9" t="str">
        <x:v>-26.057228485679016</x:v>
      </x:c>
      <x:c r="E317" s="9" t="str">
        <x:v>-9.464172230022474</x:v>
      </x:c>
    </x:row>
    <x:row r="318" ht="18" customHeight="1">
      <x:c r="A318" s="6" t="str">
        <x:v>317</x:v>
      </x:c>
      <x:c r="B318" s="9" t="str"/>
      <x:c r="C318" s="9" t="str">
        <x:v>-30.641183016962174</x:v>
      </x:c>
      <x:c r="D318" s="9" t="str">
        <x:v>-27.068209167896278</x:v>
      </x:c>
      <x:c r="E318" s="9" t="str">
        <x:v>-10.479605530494728</x:v>
      </x:c>
    </x:row>
    <x:row r="319" ht="18" customHeight="1">
      <x:c r="A319" s="6" t="str">
        <x:v>318</x:v>
      </x:c>
      <x:c r="B319" s="9" t="str"/>
      <x:c r="C319" s="9" t="str">
        <x:v>-31.652229465606123</x:v>
      </x:c>
      <x:c r="D319" s="9" t="str">
        <x:v>-26.507606999105313</x:v>
      </x:c>
      <x:c r="E319" s="9" t="str">
        <x:v>-11.539922416199042</x:v>
      </x:c>
    </x:row>
    <x:row r="320" ht="18" customHeight="1">
      <x:c r="A320" s="6" t="str">
        <x:v>319</x:v>
      </x:c>
      <x:c r="B320" s="9" t="str"/>
      <x:c r="C320" s="9" t="str">
        <x:v>-32.677723779659665</x:v>
      </x:c>
      <x:c r="D320" s="9" t="str">
        <x:v>-25.858556328352936</x:v>
      </x:c>
      <x:c r="E320" s="9" t="str">
        <x:v>-10.526743708811177</x:v>
      </x:c>
    </x:row>
    <x:row r="321" ht="18" customHeight="1">
      <x:c r="A321" s="6" t="str">
        <x:v>320</x:v>
      </x:c>
      <x:c r="B321" s="9" t="str"/>
      <x:c r="C321" s="9" t="str">
        <x:v>-33.015609725130076</x:v>
      </x:c>
      <x:c r="D321" s="9" t="str">
        <x:v>-26.876978248446896</x:v>
      </x:c>
      <x:c r="E321" s="9" t="str">
        <x:v>-11.568365525035233</x:v>
      </x:c>
    </x:row>
    <x:row r="322" ht="18" customHeight="1">
      <x:c r="A322" s="6" t="str">
        <x:v>321</x:v>
      </x:c>
      <x:c r="B322" s="9" t="str"/>
      <x:c r="C322" s="9" t="str">
        <x:v>-31.023291446633994</x:v>
      </x:c>
      <x:c r="D322" s="9" t="str">
        <x:v>-24.898448351618732</x:v>
      </x:c>
      <x:c r="E322" s="9" t="str">
        <x:v>-11.503594039932558</x:v>
      </x:c>
    </x:row>
    <x:row r="323" ht="18" customHeight="1">
      <x:c r="A323" s="6" t="str">
        <x:v>322</x:v>
      </x:c>
      <x:c r="B323" s="9" t="str"/>
      <x:c r="C323" s="9" t="str">
        <x:v>-30.815487298587396</x:v>
      </x:c>
      <x:c r="D323" s="9" t="str">
        <x:v>-25.92281798295067</x:v>
      </x:c>
      <x:c r="E323" s="9" t="str">
        <x:v>-11.284175255113162</x:v>
      </x:c>
    </x:row>
    <x:row r="324" ht="18" customHeight="1">
      <x:c r="A324" s="6" t="str">
        <x:v>323</x:v>
      </x:c>
      <x:c r="B324" s="9" t="str"/>
      <x:c r="C324" s="9" t="str">
        <x:v>-30.36135711264111</x:v>
      </x:c>
      <x:c r="D324" s="9" t="str">
        <x:v>-23.935246995231573</x:v>
      </x:c>
      <x:c r="E324" s="9" t="str">
        <x:v>-11.001435395037236</x:v>
      </x:c>
    </x:row>
    <x:row r="325" ht="18" customHeight="1">
      <x:c r="A325" s="6" t="str">
        <x:v>324</x:v>
      </x:c>
      <x:c r="B325" s="9" t="str"/>
      <x:c r="C325" s="9" t="str">
        <x:v>-31.369001533870605</x:v>
      </x:c>
      <x:c r="D325" s="9" t="str">
        <x:v>-24.959271838391047</x:v>
      </x:c>
      <x:c r="E325" s="9" t="str">
        <x:v>-12.036207227806296</x:v>
      </x:c>
    </x:row>
    <x:row r="326" ht="18" customHeight="1">
      <x:c r="A326" s="6" t="str">
        <x:v>325</x:v>
      </x:c>
      <x:c r="B326" s="9" t="str"/>
      <x:c r="C326" s="9" t="str">
        <x:v>-32.3774029205152</x:v>
      </x:c>
      <x:c r="D326" s="9" t="str">
        <x:v>-24.171059732032816</x:v>
      </x:c>
      <x:c r="E326" s="9" t="str">
        <x:v>-13.0625188582451</x:v>
      </x:c>
    </x:row>
    <x:row r="327" ht="18" customHeight="1">
      <x:c r="A327" s="6" t="str">
        <x:v>326</x:v>
      </x:c>
      <x:c r="B327" s="9" t="str"/>
      <x:c r="C327" s="9" t="str">
        <x:v>-32.15773250847093</x:v>
      </x:c>
      <x:c r="D327" s="9" t="str">
        <x:v>-23.81994948779689</x:v>
      </x:c>
      <x:c r="E327" s="9" t="str">
        <x:v>-14.094942534446254</x:v>
      </x:c>
    </x:row>
    <x:row r="328" ht="18" customHeight="1">
      <x:c r="A328" s="6" t="str">
        <x:v>327</x:v>
      </x:c>
      <x:c r="B328" s="9" t="str"/>
      <x:c r="C328" s="9" t="str">
        <x:v>-31.225804578536454</x:v>
      </x:c>
      <x:c r="D328" s="9" t="str">
        <x:v>-24.842680021507253</x:v>
      </x:c>
      <x:c r="E328" s="9" t="str">
        <x:v>-15.122304206719402</x:v>
      </x:c>
    </x:row>
    <x:row r="329" ht="18" customHeight="1">
      <x:c r="A329" s="6" t="str">
        <x:v>328</x:v>
      </x:c>
      <x:c r="B329" s="9" t="str"/>
      <x:c r="C329" s="9" t="str">
        <x:v>-29.26311089476468</x:v>
      </x:c>
      <x:c r="D329" s="9" t="str">
        <x:v>-25.85595778689914</x:v>
      </x:c>
      <x:c r="E329" s="9" t="str">
        <x:v>-16.12921809293846</x:v>
      </x:c>
    </x:row>
    <x:row r="330" ht="18" customHeight="1">
      <x:c r="A330" s="6" t="str">
        <x:v>329</x:v>
      </x:c>
      <x:c r="B330" s="9" t="str"/>
      <x:c r="C330" s="9" t="str">
        <x:v>-27.7671807655363</x:v>
      </x:c>
      <x:c r="D330" s="9" t="str">
        <x:v>-23.90077742768861</x:v>
      </x:c>
      <x:c r="E330" s="9" t="str">
        <x:v>-16.81605219023985</x:v>
      </x:c>
    </x:row>
    <x:row r="331" ht="18" customHeight="1">
      <x:c r="A331" s="6" t="str">
        <x:v>330</x:v>
      </x:c>
      <x:c r="B331" s="9" t="str"/>
      <x:c r="C331" s="9" t="str">
        <x:v>-27.005069993026197</x:v>
      </x:c>
      <x:c r="D331" s="9" t="str">
        <x:v>-24.499566944378333</x:v>
      </x:c>
      <x:c r="E331" s="9" t="str">
        <x:v>-17.150331248239972</x:v>
      </x:c>
    </x:row>
    <x:row r="332" ht="18" customHeight="1">
      <x:c r="A332" s="6" t="str">
        <x:v>331</x:v>
      </x:c>
      <x:c r="B332" s="9" t="str"/>
      <x:c r="C332" s="9" t="str">
        <x:v>-28.06259077781759</x:v>
      </x:c>
      <x:c r="D332" s="9" t="str">
        <x:v>-25.556478438732334</x:v>
      </x:c>
      <x:c r="E332" s="9" t="str">
        <x:v>-15.850249114163013</x:v>
      </x:c>
    </x:row>
    <x:row r="333" ht="18" customHeight="1">
      <x:c r="A333" s="6" t="str">
        <x:v>332</x:v>
      </x:c>
      <x:c r="B333" s="9" t="str"/>
      <x:c r="C333" s="9" t="str">
        <x:v>-29.111390372062502</x:v>
      </x:c>
      <x:c r="D333" s="9" t="str">
        <x:v>-26.574343564960188</x:v>
      </x:c>
      <x:c r="E333" s="9" t="str">
        <x:v>-15.334211082596248</x:v>
      </x:c>
    </x:row>
    <x:row r="334" ht="18" customHeight="1">
      <x:c r="A334" s="6" t="str">
        <x:v>333</x:v>
      </x:c>
      <x:c r="B334" s="9" t="str"/>
      <x:c r="C334" s="9" t="str">
        <x:v>-27.187728112590364</x:v>
      </x:c>
      <x:c r="D334" s="9" t="str">
        <x:v>-27.590871477294478</x:v>
      </x:c>
      <x:c r="E334" s="9" t="str">
        <x:v>-16.343292197226617</x:v>
      </x:c>
    </x:row>
    <x:row r="335" ht="18" customHeight="1">
      <x:c r="A335" s="6" t="str">
        <x:v>334</x:v>
      </x:c>
      <x:c r="B335" s="9" t="str"/>
      <x:c r="C335" s="9" t="str">
        <x:v>-28.205151794664104</x:v>
      </x:c>
      <x:c r="D335" s="9" t="str">
        <x:v>-28.612475205679104</x:v>
      </x:c>
      <x:c r="E335" s="9" t="str">
        <x:v>-17.35904688964073</x:v>
      </x:c>
    </x:row>
    <x:row r="336" ht="18" customHeight="1">
      <x:c r="A336" s="6" t="str">
        <x:v>335</x:v>
      </x:c>
      <x:c r="B336" s="9" t="str"/>
      <x:c r="C336" s="9" t="str">
        <x:v>-29.217301109282367</x:v>
      </x:c>
      <x:c r="D336" s="9" t="str">
        <x:v>-28.02888521567406</x:v>
      </x:c>
      <x:c r="E336" s="9" t="str">
        <x:v>-18.37857550361532</x:v>
      </x:c>
    </x:row>
    <x:row r="337" ht="18" customHeight="1">
      <x:c r="A337" s="6" t="str">
        <x:v>336</x:v>
      </x:c>
      <x:c r="B337" s="9" t="str"/>
      <x:c r="C337" s="9" t="str">
        <x:v>-27.227953809828215</x:v>
      </x:c>
      <x:c r="D337" s="9" t="str">
        <x:v>-29.05209042250693</x:v>
      </x:c>
      <x:c r="E337" s="9" t="str">
        <x:v>-19.385116489480414</x:v>
      </x:c>
    </x:row>
    <x:row r="338" ht="18" customHeight="1">
      <x:c r="A338" s="6" t="str">
        <x:v>337</x:v>
      </x:c>
      <x:c r="B338" s="9" t="str"/>
      <x:c r="C338" s="9" t="str">
        <x:v>-28.24664398399622</x:v>
      </x:c>
      <x:c r="D338" s="9" t="str">
        <x:v>-30.077090395424726</x:v>
      </x:c>
      <x:c r="E338" s="9" t="str">
        <x:v>-20.38964752869623</x:v>
      </x:c>
    </x:row>
    <x:row r="339" ht="18" customHeight="1">
      <x:c r="A339" s="6" t="str">
        <x:v>338</x:v>
      </x:c>
      <x:c r="B339" s="9" t="str"/>
      <x:c r="C339" s="9" t="str">
        <x:v>-26.264575761606576</x:v>
      </x:c>
      <x:c r="D339" s="9" t="str">
        <x:v>-29.853147593799815</x:v>
      </x:c>
      <x:c r="E339" s="9" t="str">
        <x:v>-19.814363865515674</x:v>
      </x:c>
    </x:row>
    <x:row r="340" ht="18" customHeight="1">
      <x:c r="A340" s="6" t="str">
        <x:v>339</x:v>
      </x:c>
      <x:c r="B340" s="9" t="str"/>
      <x:c r="C340" s="9" t="str">
        <x:v>-27.286918653516203</x:v>
      </x:c>
      <x:c r="D340" s="9" t="str">
        <x:v>-28.293987047525093</x:v>
      </x:c>
      <x:c r="E340" s="9" t="str">
        <x:v>-18.741172381432115</x:v>
      </x:c>
    </x:row>
    <x:row r="341" ht="18" customHeight="1">
      <x:c r="A341" s="6" t="str">
        <x:v>340</x:v>
      </x:c>
      <x:c r="B341" s="9" t="str"/>
      <x:c r="C341" s="9" t="str">
        <x:v>-25.299075546542223</x:v>
      </x:c>
      <x:c r="D341" s="9" t="str">
        <x:v>-26.330741967394403</x:v>
      </x:c>
      <x:c r="E341" s="9" t="str">
        <x:v>-18.961992884756523</x:v>
      </x:c>
    </x:row>
    <x:row r="342" ht="18" customHeight="1">
      <x:c r="A342" s="6" t="str">
        <x:v>341</x:v>
      </x:c>
      <x:c r="B342" s="9" t="str"/>
      <x:c r="C342" s="9" t="str">
        <x:v>-26.30628961379309</x:v>
      </x:c>
      <x:c r="D342" s="9" t="str">
        <x:v>-26.100505601337982</x:v>
      </x:c>
      <x:c r="E342" s="9" t="str">
        <x:v>-19.975793941709757</x:v>
      </x:c>
    </x:row>
    <x:row r="343" ht="18" customHeight="1">
      <x:c r="A343" s="6" t="str">
        <x:v>342</x:v>
      </x:c>
      <x:c r="B343" s="9" t="str"/>
      <x:c r="C343" s="9" t="str">
        <x:v>-26.165929824289787</x:v>
      </x:c>
      <x:c r="D343" s="9" t="str">
        <x:v>-26.093148206673607</x:v>
      </x:c>
      <x:c r="E343" s="9" t="str">
        <x:v>-20.983264853244215</x:v>
      </x:c>
    </x:row>
    <x:row r="344" ht="18" customHeight="1">
      <x:c r="A344" s="6" t="str">
        <x:v>343</x:v>
      </x:c>
      <x:c r="B344" s="9" t="str"/>
      <x:c r="C344" s="9" t="str">
        <x:v>-27.186011683653227</x:v>
      </x:c>
      <x:c r="D344" s="9" t="str">
        <x:v>-27.104773478412007</x:v>
      </x:c>
      <x:c r="E344" s="9" t="str">
        <x:v>-20.383317524273536</x:v>
      </x:c>
    </x:row>
    <x:row r="345" ht="18" customHeight="1">
      <x:c r="A345" s="6" t="str">
        <x:v>344</x:v>
      </x:c>
      <x:c r="B345" s="9" t="str"/>
      <x:c r="C345" s="9" t="str">
        <x:v>-28.194380535037336</x:v>
      </x:c>
      <x:c r="D345" s="9" t="str">
        <x:v>-25.448873476147472</x:v>
      </x:c>
      <x:c r="E345" s="9" t="str"/>
    </x:row>
    <x:row r="346" ht="18" customHeight="1">
      <x:c r="A346" s="6" t="str">
        <x:v>345</x:v>
      </x:c>
      <x:c r="B346" s="9" t="str"/>
      <x:c r="C346" s="9" t="str">
        <x:v>-28.51669109141264</x:v>
      </x:c>
      <x:c r="D346" s="9" t="str">
        <x:v>-26.467636766280663</x:v>
      </x:c>
      <x:c r="E346" s="9" t="str"/>
    </x:row>
    <x:row r="347" ht="18" customHeight="1">
      <x:c r="A347" s="6" t="str">
        <x:v>346</x:v>
      </x:c>
      <x:c r="B347" s="9" t="str"/>
      <x:c r="C347" s="9" t="str">
        <x:v>-26.963004580032237</x:v>
      </x:c>
      <x:c r="D347" s="9" t="str">
        <x:v>-27.484521251921734</x:v>
      </x:c>
      <x:c r="E347" s="9" t="str"/>
    </x:row>
    <x:row r="348" ht="18" customHeight="1">
      <x:c r="A348" s="6" t="str">
        <x:v>347</x:v>
      </x:c>
      <x:c r="B348" s="9" t="str"/>
      <x:c r="C348" s="9" t="str">
        <x:v>-27.97524746288995</x:v>
      </x:c>
      <x:c r="D348" s="9" t="str">
        <x:v>-28.50421495776862</x:v>
      </x:c>
      <x:c r="E348" s="9" t="str"/>
    </x:row>
    <x:row r="349" ht="18" customHeight="1">
      <x:c r="A349" s="6" t="str">
        <x:v>348</x:v>
      </x:c>
      <x:c r="B349" s="9" t="str"/>
      <x:c r="C349" s="9" t="str">
        <x:v>-27.61979482175181</x:v>
      </x:c>
      <x:c r="D349" s="9" t="str">
        <x:v>-27.65762381534729</x:v>
      </x:c>
      <x:c r="E349" s="9" t="str"/>
    </x:row>
    <x:row r="350" ht="18" customHeight="1">
      <x:c r="A350" s="6" t="str">
        <x:v>349</x:v>
      </x:c>
      <x:c r="B350" s="9" t="str"/>
      <x:c r="C350" s="9" t="str">
        <x:v>-28.424837502677512</x:v>
      </x:c>
      <x:c r="D350" s="9" t="str">
        <x:v>-25.676634176957986</x:v>
      </x:c>
      <x:c r="E350" s="9" t="str"/>
    </x:row>
    <x:row r="351" ht="18" customHeight="1">
      <x:c r="A351" s="6" t="str">
        <x:v>350</x:v>
      </x:c>
      <x:c r="B351" s="9" t="str"/>
      <x:c r="C351" s="9" t="str">
        <x:v>-29.430810519923174</x:v>
      </x:c>
      <x:c r="D351" s="9" t="str">
        <x:v>-25.595962556031726</x:v>
      </x:c>
      <x:c r="E351" s="9" t="str"/>
    </x:row>
    <x:row r="352" ht="18" customHeight="1">
      <x:c r="A352" s="6" t="str">
        <x:v>351</x:v>
      </x:c>
      <x:c r="B352" s="9" t="str"/>
      <x:c r="C352" s="9" t="str">
        <x:v>-27.436662358442902</x:v>
      </x:c>
      <x:c r="D352" s="9" t="str">
        <x:v>-23.61856986383666</x:v>
      </x:c>
      <x:c r="E352" s="9" t="str"/>
    </x:row>
    <x:row r="353" ht="18" customHeight="1">
      <x:c r="A353" s="6" t="str">
        <x:v>352</x:v>
      </x:c>
      <x:c r="B353" s="9" t="str"/>
      <x:c r="C353" s="9" t="str">
        <x:v>-25.44428297235494</x:v>
      </x:c>
      <x:c r="D353" s="9" t="str">
        <x:v>-24.647314973324338</x:v>
      </x:c>
      <x:c r="E353" s="9" t="str"/>
    </x:row>
    <x:row r="354" ht="18" customHeight="1">
      <x:c r="A354" s="6" t="str">
        <x:v>353</x:v>
      </x:c>
      <x:c r="B354" s="9" t="str"/>
      <x:c r="C354" s="9" t="str">
        <x:v>-26.457233535512337</x:v>
      </x:c>
      <x:c r="D354" s="9" t="str">
        <x:v>-25.659055505497076</x:v>
      </x:c>
      <x:c r="E354" s="9" t="str"/>
    </x:row>
    <x:row r="355" ht="18" customHeight="1">
      <x:c r="A355" s="6" t="str">
        <x:v>354</x:v>
      </x:c>
      <x:c r="B355" s="9" t="str"/>
      <x:c r="C355" s="9" t="str">
        <x:v>-27.466549400523487</x:v>
      </x:c>
      <x:c r="D355" s="9" t="str">
        <x:v>-25.78057027821469</x:v>
      </x:c>
      <x:c r="E355" s="9" t="str"/>
    </x:row>
    <x:row r="356" ht="18" customHeight="1">
      <x:c r="A356" s="6" t="str">
        <x:v>355</x:v>
      </x:c>
      <x:c r="B356" s="9" t="str"/>
      <x:c r="C356" s="9" t="str">
        <x:v>-28.4724362134157</x:v>
      </x:c>
      <x:c r="D356" s="9" t="str">
        <x:v>-26.790837345386628</x:v>
      </x:c>
      <x:c r="E356" s="9" t="str"/>
    </x:row>
    <x:row r="357" ht="18" customHeight="1">
      <x:c r="A357" s="6" t="str">
        <x:v>356</x:v>
      </x:c>
      <x:c r="B357" s="9" t="str"/>
      <x:c r="C357" s="9" t="str">
        <x:v>-28.106517757252803</x:v>
      </x:c>
      <x:c r="D357" s="9" t="str">
        <x:v>-26.789736315761676</x:v>
      </x:c>
      <x:c r="E357" s="9" t="str"/>
    </x:row>
    <x:row r="358" ht="18" customHeight="1">
      <x:c r="A358" s="6" t="str">
        <x:v>357</x:v>
      </x:c>
      <x:c r="B358" s="9" t="str"/>
      <x:c r="C358" s="9" t="str">
        <x:v>-28.26076199768025</x:v>
      </x:c>
      <x:c r="D358" s="9" t="str">
        <x:v>-24.805922667838086</x:v>
      </x:c>
      <x:c r="E358" s="9" t="str"/>
    </x:row>
    <x:row r="359" ht="18" customHeight="1">
      <x:c r="A359" s="6" t="str">
        <x:v>358</x:v>
      </x:c>
      <x:c r="B359" s="9" t="str"/>
      <x:c r="C359" s="9" t="str">
        <x:v>-29.28249380947055</x:v>
      </x:c>
      <x:c r="D359" s="9" t="str">
        <x:v>-25.831735174947248</x:v>
      </x:c>
      <x:c r="E359" s="9" t="str"/>
    </x:row>
    <x:row r="360" ht="18" customHeight="1">
      <x:c r="A360" s="6" t="str">
        <x:v>359</x:v>
      </x:c>
      <x:c r="B360" s="9" t="str"/>
      <x:c r="C360" s="9" t="str">
        <x:v>-27.31316496046994</x:v>
      </x:c>
      <x:c r="D360" s="9" t="str">
        <x:v>-26.847688702448917</x:v>
      </x:c>
      <x:c r="E360" s="9" t="str"/>
    </x:row>
    <x:row r="361" ht="18" customHeight="1">
      <x:c r="A361" s="6" t="str">
        <x:v>360</x:v>
      </x:c>
      <x:c r="B361" s="9" t="str"/>
      <x:c r="C361" s="9" t="str">
        <x:v>-27.144517322033742</x:v>
      </x:c>
      <x:c r="D361" s="9" t="str">
        <x:v>-26.639422558580264</x:v>
      </x:c>
      <x:c r="E361" s="9" t="str"/>
    </x:row>
    <x:row r="362" ht="18" customHeight="1">
      <x:c r="A362" s="6" t="str">
        <x:v>361</x:v>
      </x:c>
      <x:c r="B362" s="9" t="str"/>
      <x:c r="C362" s="9" t="str">
        <x:v>-26.73686173911898</x:v>
      </x:c>
      <x:c r="D362" s="9" t="str">
        <x:v>-27.651628173935176</x:v>
      </x:c>
      <x:c r="E362" s="9" t="str"/>
    </x:row>
    <x:row r="363" ht="18" customHeight="1">
      <x:c r="A363" s="6" t="str">
        <x:v>362</x:v>
      </x:c>
      <x:c r="B363" s="9" t="str"/>
      <x:c r="C363" s="9" t="str">
        <x:v>-27.75076964547381</x:v>
      </x:c>
      <x:c r="D363" s="9" t="str">
        <x:v>-28.665748529844237</x:v>
      </x:c>
      <x:c r="E363" s="9" t="str"/>
    </x:row>
    <x:row r="364" ht="18" customHeight="1">
      <x:c r="A364" s="6" t="str">
        <x:v>363</x:v>
      </x:c>
      <x:c r="B364" s="9" t="str"/>
      <x:c r="C364" s="9" t="str">
        <x:v>-26.430658951825265</x:v>
      </x:c>
      <x:c r="D364" s="9" t="str"/>
      <x:c r="E364" s="9" t="str"/>
    </x:row>
    <x:row r="365" ht="18" customHeight="1">
      <x:c r="A365" s="6" t="str">
        <x:v>364</x:v>
      </x:c>
      <x:c r="B365" s="9" t="str"/>
      <x:c r="C365" s="9" t="str">
        <x:v>-26.20470659693301</x:v>
      </x:c>
      <x:c r="D365" s="9" t="str"/>
      <x:c r="E365" s="9" t="str"/>
    </x:row>
    <x:row r="366" ht="18" customHeight="1">
      <x:c r="A366" s="6" t="str">
        <x:v>365</x:v>
      </x:c>
      <x:c r="B366" s="9" t="str"/>
      <x:c r="C366" s="9" t="str">
        <x:v>-27.24659371551899</x:v>
      </x:c>
      <x:c r="D366" s="9" t="str"/>
      <x:c r="E366" s="9" t="str"/>
    </x:row>
    <x:row r="367" ht="18" customHeight="1">
      <x:c r="A367" s="6" t="str">
        <x:v>366</x:v>
      </x:c>
      <x:c r="B367" s="9" t="str"/>
      <x:c r="C367" s="9" t="str">
        <x:v>-28.282348433372306</x:v>
      </x:c>
      <x:c r="D367" s="9" t="str"/>
      <x:c r="E367" s="9" t="str"/>
    </x:row>
    <x:row r="368" ht="18" customHeight="1">
      <x:c r="A368" s="6" t="str">
        <x:v>367</x:v>
      </x:c>
      <x:c r="B368" s="9" t="str"/>
      <x:c r="C368" s="9" t="str">
        <x:v>-29.315448113855034</x:v>
      </x:c>
      <x:c r="D368" s="9" t="str"/>
      <x:c r="E368" s="9" t="str"/>
    </x:row>
    <x:row r="369" ht="18" customHeight="1">
      <x:c r="A369" s="6" t="str">
        <x:v>368</x:v>
      </x:c>
      <x:c r="B369" s="9" t="str"/>
      <x:c r="C369" s="9" t="str">
        <x:v>-27.339766006753397</x:v>
      </x:c>
      <x:c r="D369" s="9" t="str"/>
      <x:c r="E369" s="9" t="str"/>
    </x:row>
    <x:row r="370" ht="18" customHeight="1">
      <x:c r="A370" s="6" t="str">
        <x:v>369</x:v>
      </x:c>
      <x:c r="B370" s="9" t="str"/>
      <x:c r="C370" s="9" t="str">
        <x:v>-26.847285021091707</x:v>
      </x:c>
      <x:c r="D370" s="9" t="str"/>
      <x:c r="E370" s="9" t="str"/>
    </x:row>
    <x:row r="371" ht="18" customHeight="1">
      <x:c r="A371" s="6" t="str">
        <x:v>370</x:v>
      </x:c>
      <x:c r="B371" s="9" t="str"/>
      <x:c r="C371" s="9" t="str">
        <x:v>-27.8754755226619</x:v>
      </x:c>
      <x:c r="D371" s="9" t="str"/>
      <x:c r="E371" s="9" t="str"/>
    </x:row>
    <x:row r="372" ht="18" customHeight="1">
      <x:c r="A372" s="6" t="str">
        <x:v>371</x:v>
      </x:c>
      <x:c r="B372" s="9" t="str"/>
      <x:c r="C372" s="9" t="str">
        <x:v>-28.56946042393135</x:v>
      </x:c>
      <x:c r="D372" s="9" t="str"/>
      <x:c r="E372" s="9" t="str"/>
    </x:row>
    <x:row r="373" ht="18" customHeight="1">
      <x:c r="A373" s="6" t="str">
        <x:v>372</x:v>
      </x:c>
      <x:c r="B373" s="9" t="str"/>
      <x:c r="C373" s="9" t="str">
        <x:v>-29.601937233723955</x:v>
      </x:c>
      <x:c r="D373" s="9" t="str"/>
      <x:c r="E373" s="9" t="str"/>
    </x:row>
    <x:row r="374" ht="18" customHeight="1">
      <x:c r="A374" s="6" t="str">
        <x:v>373</x:v>
      </x:c>
      <x:c r="B374" s="9" t="str"/>
      <x:c r="C374" s="9" t="str">
        <x:v>-29.534900371193213</x:v>
      </x:c>
      <x:c r="D374" s="9" t="str"/>
      <x:c r="E374" s="9" t="str"/>
    </x:row>
    <x:row r="375" ht="18" customHeight="1">
      <x:c r="A375" s="6" t="str">
        <x:v>374</x:v>
      </x:c>
      <x:c r="B375" s="9" t="str"/>
      <x:c r="C375" s="9" t="str">
        <x:v>-30.576720545013288</x:v>
      </x:c>
      <x:c r="D375" s="9" t="str"/>
      <x:c r="E375" s="9" t="str"/>
    </x:row>
    <x:row r="376" ht="18" customHeight="1">
      <x:c r="A376" s="6" t="str">
        <x:v>375</x:v>
      </x:c>
      <x:c r="B376" s="9" t="str"/>
      <x:c r="C376" s="9" t="str">
        <x:v>-30.452966102793447</x:v>
      </x:c>
      <x:c r="D376" s="9" t="str"/>
      <x:c r="E376" s="9" t="str"/>
    </x:row>
    <x:row r="377" ht="18" customHeight="1">
      <x:c r="A377" s="6" t="str">
        <x:v>376</x:v>
      </x:c>
      <x:c r="B377" s="9" t="str"/>
      <x:c r="C377" s="9" t="str">
        <x:v>-31.475231978569866</x:v>
      </x:c>
      <x:c r="D377" s="9" t="str"/>
      <x:c r="E377" s="9" t="str"/>
    </x:row>
    <x:row r="378" ht="18" customHeight="1">
      <x:c r="A378" s="6" t="str">
        <x:v>377</x:v>
      </x:c>
      <x:c r="B378" s="9" t="str"/>
      <x:c r="C378" s="9" t="str">
        <x:v>-32.49705412342574</x:v>
      </x:c>
      <x:c r="D378" s="9" t="str"/>
      <x:c r="E378" s="9" t="str"/>
    </x:row>
    <x:row r="379" ht="18" customHeight="1">
      <x:c r="A379" s="6" t="str">
        <x:v>378</x:v>
      </x:c>
      <x:c r="B379" s="9" t="str"/>
      <x:c r="C379" s="9" t="str">
        <x:v>-31.804626296583002</x:v>
      </x:c>
      <x:c r="D379" s="9" t="str"/>
      <x:c r="E379" s="9" t="str"/>
    </x:row>
    <x:row r="380" ht="18" customHeight="1">
      <x:c r="A380" s="6" t="str">
        <x:v>379</x:v>
      </x:c>
      <x:c r="B380" s="9" t="str"/>
      <x:c r="C380" s="9" t="str">
        <x:v>-32.83703356870333</x:v>
      </x:c>
      <x:c r="D380" s="9" t="str"/>
      <x:c r="E380" s="9" t="str"/>
    </x:row>
    <x:row r="381" ht="18" customHeight="1">
      <x:c r="A381" s="6" t="str">
        <x:v>380</x:v>
      </x:c>
      <x:c r="B381" s="9" t="str"/>
      <x:c r="C381" s="9" t="str">
        <x:v>-32.949677112995424</x:v>
      </x:c>
      <x:c r="D381" s="9" t="str"/>
      <x:c r="E381" s="9" t="str"/>
    </x:row>
    <x:row r="382" ht="18" customHeight="1">
      <x:c r="A382" s="6" t="str">
        <x:v>381</x:v>
      </x:c>
      <x:c r="B382" s="9" t="str"/>
      <x:c r="C382" s="9" t="str">
        <x:v>-32.400505211509625</x:v>
      </x:c>
      <x:c r="D382" s="9" t="str"/>
      <x:c r="E382" s="9" t="str"/>
    </x:row>
    <x:row r="383" ht="18" customHeight="1">
      <x:c r="A383" s="6" t="str">
        <x:v>382</x:v>
      </x:c>
      <x:c r="B383" s="9" t="str"/>
      <x:c r="C383" s="9" t="str">
        <x:v>-31.306973911436664</x:v>
      </x:c>
      <x:c r="D383" s="9" t="str"/>
      <x:c r="E383" s="9" t="str"/>
    </x:row>
    <x:row r="384" ht="18" customHeight="1">
      <x:c r="A384" s="6" t="str">
        <x:v>383</x:v>
      </x:c>
      <x:c r="B384" s="9" t="str"/>
      <x:c r="C384" s="9" t="str">
        <x:v>-32.35361322433979</x:v>
      </x:c>
      <x:c r="D384" s="9" t="str"/>
      <x:c r="E384" s="9" t="str"/>
    </x:row>
    <x:row r="385" ht="18" customHeight="1">
      <x:c r="A385" s="6" t="str">
        <x:v>384</x:v>
      </x:c>
      <x:c r="B385" s="9" t="str"/>
      <x:c r="C385" s="9" t="str">
        <x:v>-33.37937995916194</x:v>
      </x:c>
      <x:c r="D385" s="9" t="str"/>
      <x:c r="E385" s="9" t="str"/>
    </x:row>
    <x:row r="386" ht="18" customHeight="1">
      <x:c r="A386" s="6" t="str">
        <x:v>385</x:v>
      </x:c>
      <x:c r="B386" s="9" t="str"/>
      <x:c r="C386" s="9" t="str">
        <x:v>-34.406855697468586</x:v>
      </x:c>
      <x:c r="D386" s="9" t="str"/>
      <x:c r="E386" s="9" t="str"/>
    </x:row>
    <x:row r="387" ht="18" customHeight="1">
      <x:c r="A387" s="6" t="str">
        <x:v>386</x:v>
      </x:c>
      <x:c r="B387" s="9" t="str"/>
      <x:c r="C387" s="9" t="str">
        <x:v>-32.45292700251379</x:v>
      </x:c>
      <x:c r="D387" s="9" t="str"/>
      <x:c r="E387" s="9" t="str"/>
    </x:row>
    <x:row r="388" ht="18" customHeight="1">
      <x:c r="A388" s="6" t="str">
        <x:v>387</x:v>
      </x:c>
      <x:c r="B388" s="9" t="str"/>
      <x:c r="C388" s="9" t="str">
        <x:v>-30.477461642646464</x:v>
      </x:c>
      <x:c r="D388" s="9" t="str"/>
      <x:c r="E388" s="9" t="str"/>
    </x:row>
    <x:row r="389" ht="18" customHeight="1">
      <x:c r="A389" s="6" t="str">
        <x:v>388</x:v>
      </x:c>
      <x:c r="B389" s="9" t="str"/>
      <x:c r="C389" s="9" t="str">
        <x:v>-29.80697915183813</x:v>
      </x:c>
      <x:c r="D389" s="9" t="str"/>
      <x:c r="E389" s="9" t="str"/>
    </x:row>
    <x:row r="390" ht="18" customHeight="1">
      <x:c r="A390" s="6" t="str">
        <x:v>389</x:v>
      </x:c>
      <x:c r="B390" s="9" t="str"/>
      <x:c r="C390" s="9" t="str">
        <x:v>-30.841807725384854</x:v>
      </x:c>
      <x:c r="D390" s="9" t="str"/>
      <x:c r="E390" s="9" t="str"/>
    </x:row>
    <x:row r="391" ht="18" customHeight="1">
      <x:c r="A391" s="6" t="str">
        <x:v>390</x:v>
      </x:c>
      <x:c r="B391" s="9" t="str"/>
      <x:c r="C391" s="9" t="str">
        <x:v>-28.88546409825217</x:v>
      </x:c>
      <x:c r="D391" s="9" t="str"/>
      <x:c r="E391" s="9" t="str"/>
    </x:row>
    <x:row r="392" ht="18" customHeight="1">
      <x:c r="A392" s="6" t="str">
        <x:v>391</x:v>
      </x:c>
      <x:c r="B392" s="9" t="str"/>
      <x:c r="C392" s="9" t="str">
        <x:v>-29.91965599181855</x:v>
      </x:c>
      <x:c r="D392" s="9" t="str"/>
      <x:c r="E392" s="9" t="str"/>
    </x:row>
    <x:row r="393" ht="18" customHeight="1">
      <x:c r="A393" s="6" t="str">
        <x:v>392</x:v>
      </x:c>
      <x:c r="B393" s="9" t="str"/>
      <x:c r="C393" s="9" t="str">
        <x:v>-30.952741901758497</x:v>
      </x:c>
      <x:c r="D393" s="9" t="str"/>
      <x:c r="E393" s="9" t="str"/>
    </x:row>
    <x:row r="394" ht="18" customHeight="1">
      <x:c r="A394" s="6" t="str">
        <x:v>393</x:v>
      </x:c>
      <x:c r="B394" s="9" t="str"/>
      <x:c r="C394" s="9" t="str">
        <x:v>-30.95637910664539</x:v>
      </x:c>
      <x:c r="D394" s="9" t="str"/>
      <x:c r="E394" s="9" t="str"/>
    </x:row>
    <x:row r="395" ht="18" customHeight="1">
      <x:c r="A395" s="6" t="str">
        <x:v>394</x:v>
      </x:c>
      <x:c r="B395" s="9" t="str"/>
      <x:c r="C395" s="9" t="str">
        <x:v>-31.98665679493582</x:v>
      </x:c>
      <x:c r="D395" s="9" t="str"/>
      <x:c r="E395" s="9" t="str"/>
    </x:row>
    <x:row r="396" ht="18" customHeight="1">
      <x:c r="A396" s="6" t="str">
        <x:v>395</x:v>
      </x:c>
      <x:c r="B396" s="9" t="str"/>
      <x:c r="C396" s="9" t="str">
        <x:v>-31.550790824292807</x:v>
      </x:c>
      <x:c r="D396" s="9" t="str"/>
      <x:c r="E396" s="9" t="str"/>
    </x:row>
    <x:row r="397" ht="18" customHeight="1">
      <x:c r="A397" s="6" t="str">
        <x:v>396</x:v>
      </x:c>
      <x:c r="B397" s="9" t="str"/>
      <x:c r="C397" s="9" t="str">
        <x:v>-32.59669260237462</x:v>
      </x:c>
      <x:c r="D397" s="9" t="str"/>
      <x:c r="E397" s="9" t="str"/>
    </x:row>
    <x:row r="398" ht="18" customHeight="1">
      <x:c r="A398" s="6" t="str">
        <x:v>397</x:v>
      </x:c>
      <x:c r="B398" s="9" t="str"/>
      <x:c r="C398" s="9" t="str">
        <x:v>-32.3853246668424</x:v>
      </x:c>
      <x:c r="D398" s="9" t="str"/>
      <x:c r="E398" s="9" t="str"/>
    </x:row>
    <x:row r="399" ht="18" customHeight="1">
      <x:c r="A399" s="6" t="str">
        <x:v>398</x:v>
      </x:c>
      <x:c r="B399" s="9" t="str"/>
      <x:c r="C399" s="9" t="str">
        <x:v>-31.937920893324183</x:v>
      </x:c>
      <x:c r="D399" s="9" t="str"/>
      <x:c r="E399" s="9" t="str"/>
    </x:row>
    <x:row r="400" ht="18" customHeight="1">
      <x:c r="A400" s="6" t="str">
        <x:v>399</x:v>
      </x:c>
      <x:c r="B400" s="9" t="str"/>
      <x:c r="C400" s="9" t="str">
        <x:v>-32.95450264941187</x:v>
      </x:c>
      <x:c r="D400" s="9" t="str"/>
      <x:c r="E400" s="9" t="str"/>
    </x:row>
    <x:row r="401" ht="18" customHeight="1">
      <x:c r="A401" s="6" t="str">
        <x:v>400</x:v>
      </x:c>
      <x:c r="B401" s="9" t="str"/>
      <x:c r="C401" s="9" t="str">
        <x:v>-33.97920050335448</x:v>
      </x:c>
      <x:c r="D401" s="9" t="str"/>
      <x:c r="E401" s="9" t="str"/>
    </x:row>
    <x:row r="402" ht="18" customHeight="1">
      <x:c r="A402" s="6" t="str">
        <x:v>401</x:v>
      </x:c>
      <x:c r="B402" s="9" t="str"/>
      <x:c r="C402" s="9" t="str">
        <x:v>-34.147267851101844</x:v>
      </x:c>
      <x:c r="D402" s="9" t="str"/>
      <x:c r="E402" s="9" t="str"/>
    </x:row>
    <x:row r="403" ht="18" customHeight="1">
      <x:c r="A403" s="6" t="str">
        <x:v>402</x:v>
      </x:c>
      <x:c r="B403" s="9" t="str"/>
      <x:c r="C403" s="9" t="str">
        <x:v>-33.91113130238132</x:v>
      </x:c>
      <x:c r="D403" s="9" t="str"/>
      <x:c r="E403" s="9" t="str"/>
    </x:row>
    <x:row r="404" ht="18" customHeight="1">
      <x:c r="A404" s="6" t="str">
        <x:v>403</x:v>
      </x:c>
      <x:c r="B404" s="9" t="str"/>
      <x:c r="C404" s="9" t="str">
        <x:v>-33.522025019744106</x:v>
      </x:c>
      <x:c r="D404" s="9" t="str"/>
      <x:c r="E404" s="9" t="str"/>
    </x:row>
    <x:row r="405" ht="18" customHeight="1">
      <x:c r="A405" s="6" t="str">
        <x:v>404</x:v>
      </x:c>
      <x:c r="B405" s="9" t="str"/>
      <x:c r="C405" s="9" t="str">
        <x:v>-34.5385244229556</x:v>
      </x:c>
      <x:c r="D405" s="9" t="str"/>
      <x:c r="E405" s="9" t="str"/>
    </x:row>
    <x:row r="406" ht="18" customHeight="1">
      <x:c r="A406" s="6" t="str">
        <x:v>405</x:v>
      </x:c>
      <x:c r="B406" s="9" t="str"/>
      <x:c r="C406" s="9" t="str">
        <x:v>-33.271230707395134</x:v>
      </x:c>
      <x:c r="D406" s="9" t="str"/>
      <x:c r="E406" s="9" t="str"/>
    </x:row>
    <x:row r="407" ht="18" customHeight="1">
      <x:c r="A407" s="6" t="str">
        <x:v>406</x:v>
      </x:c>
      <x:c r="B407" s="9" t="str"/>
      <x:c r="C407" s="9" t="str">
        <x:v>-34.29567667062747</x:v>
      </x:c>
      <x:c r="D407" s="9" t="str"/>
      <x:c r="E407" s="9" t="str"/>
    </x:row>
    <x:row r="408" ht="18" customHeight="1">
      <x:c r="A408" s="6" t="str">
        <x:v>407</x:v>
      </x:c>
      <x:c r="B408" s="9" t="str"/>
      <x:c r="C408" s="9" t="str">
        <x:v>-32.31425586826382</x:v>
      </x:c>
      <x:c r="D408" s="9" t="str"/>
      <x:c r="E408" s="9" t="str"/>
    </x:row>
    <x:row r="409" ht="18" customHeight="1">
      <x:c r="A409" s="6" t="str">
        <x:v>408</x:v>
      </x:c>
      <x:c r="B409" s="9" t="str"/>
      <x:c r="C409" s="9" t="str">
        <x:v>-32.08736851213417</x:v>
      </x:c>
      <x:c r="D409" s="9" t="str"/>
      <x:c r="E409" s="9" t="str"/>
    </x:row>
    <x:row r="410" ht="18" customHeight="1">
      <x:c r="A410" s="6" t="str">
        <x:v>409</x:v>
      </x:c>
      <x:c r="B410" s="9" t="str"/>
      <x:c r="C410" s="9" t="str">
        <x:v>-31.609655423193217</x:v>
      </x:c>
      <x:c r="D410" s="9" t="str"/>
      <x:c r="E410" s="9" t="str"/>
    </x:row>
    <x:row r="411" ht="18" customHeight="1">
      <x:c r="A411" s="6" t="str">
        <x:v>410</x:v>
      </x:c>
      <x:c r="B411" s="9" t="str"/>
      <x:c r="C411" s="9" t="str">
        <x:v>-29.64794018285943</x:v>
      </x:c>
      <x:c r="D411" s="9" t="str"/>
      <x:c r="E411" s="9" t="str"/>
    </x:row>
    <x:row r="412" ht="18" customHeight="1">
      <x:c r="A412" s="6" t="str">
        <x:v>411</x:v>
      </x:c>
      <x:c r="B412" s="9" t="str"/>
      <x:c r="C412" s="9" t="str">
        <x:v>-30.71784938599725</x:v>
      </x:c>
      <x:c r="D412" s="9" t="str"/>
      <x:c r="E412" s="9" t="str"/>
    </x:row>
    <x:row r="413" ht="18" customHeight="1">
      <x:c r="A413" s="6" t="str">
        <x:v>412</x:v>
      </x:c>
      <x:c r="B413" s="9" t="str"/>
      <x:c r="C413" s="9" t="str">
        <x:v>-28.776351758648754</x:v>
      </x:c>
      <x:c r="D413" s="9" t="str"/>
      <x:c r="E413" s="9" t="str"/>
    </x:row>
    <x:row r="414" ht="18" customHeight="1">
      <x:c r="A414" s="6" t="str">
        <x:v>413</x:v>
      </x:c>
      <x:c r="B414" s="9" t="str"/>
      <x:c r="C414" s="9" t="str">
        <x:v>-28.338427097290264</x:v>
      </x:c>
      <x:c r="D414" s="9" t="str"/>
      <x:c r="E414" s="9" t="str"/>
    </x:row>
    <x:row r="415" ht="18" customHeight="1">
      <x:c r="A415" s="6" t="str">
        <x:v>414</x:v>
      </x:c>
      <x:c r="B415" s="9" t="str"/>
      <x:c r="C415" s="9" t="str">
        <x:v>-26.357721467858422</x:v>
      </x:c>
      <x:c r="D415" s="9" t="str"/>
      <x:c r="E415" s="9" t="str"/>
    </x:row>
    <x:row r="416" ht="18" customHeight="1">
      <x:c r="A416" s="6" t="str">
        <x:v>415</x:v>
      </x:c>
      <x:c r="B416" s="9" t="str"/>
      <x:c r="C416" s="9" t="str">
        <x:v>-27.39544131425179</x:v>
      </x:c>
      <x:c r="D416" s="9" t="str"/>
      <x:c r="E416" s="9" t="str"/>
    </x:row>
    <x:row r="417" ht="18" customHeight="1">
      <x:c r="A417" s="6" t="str">
        <x:v>416</x:v>
      </x:c>
      <x:c r="B417" s="9" t="str"/>
      <x:c r="C417" s="9" t="str">
        <x:v>-26.729526296488384</x:v>
      </x:c>
      <x:c r="D417" s="9" t="str"/>
      <x:c r="E417" s="9" t="str"/>
    </x:row>
    <x:row r="418" ht="18" customHeight="1">
      <x:c r="A418" s="6" t="str">
        <x:v>417</x:v>
      </x:c>
      <x:c r="B418" s="9" t="str"/>
      <x:c r="C418" s="9" t="str">
        <x:v>-26.964847189957517</x:v>
      </x:c>
      <x:c r="D418" s="9" t="str"/>
      <x:c r="E418" s="9" t="str"/>
    </x:row>
    <x:row r="419" ht="18" customHeight="1">
      <x:c r="A419" s="6" t="str">
        <x:v>418</x:v>
      </x:c>
      <x:c r="B419" s="9" t="str"/>
      <x:c r="C419" s="9" t="str">
        <x:v>-27.998325038764865</x:v>
      </x:c>
      <x:c r="D419" s="9" t="str"/>
      <x:c r="E419" s="9" t="str"/>
    </x:row>
    <x:row r="420" ht="18" customHeight="1">
      <x:c r="A420" s="6" t="str">
        <x:v>419</x:v>
      </x:c>
      <x:c r="B420" s="9" t="str"/>
      <x:c r="C420" s="9" t="str">
        <x:v>-28.155641661441635</x:v>
      </x:c>
      <x:c r="D420" s="9" t="str"/>
      <x:c r="E420" s="9" t="str"/>
    </x:row>
    <x:row r="421" ht="18" customHeight="1">
      <x:c r="A421" s="6" t="str">
        <x:v>420</x:v>
      </x:c>
      <x:c r="B421" s="9" t="str"/>
      <x:c r="C421" s="9" t="str">
        <x:v>-26.202764658200696</x:v>
      </x:c>
      <x:c r="D421" s="9" t="str"/>
      <x:c r="E421" s="9" t="str"/>
    </x:row>
    <x:row r="422" ht="18" customHeight="1">
      <x:c r="A422" s="6" t="str">
        <x:v>421</x:v>
      </x:c>
      <x:c r="B422" s="9" t="str"/>
      <x:c r="C422" s="9" t="str">
        <x:v>-26.344092573323394</x:v>
      </x:c>
      <x:c r="D422" s="9" t="str"/>
      <x:c r="E422" s="9" t="str"/>
    </x:row>
    <x:row r="423" ht="18" customHeight="1">
      <x:c r="A423" s="6" t="str">
        <x:v>422</x:v>
      </x:c>
      <x:c r="B423" s="9" t="str"/>
      <x:c r="C423" s="9" t="str">
        <x:v>-27.421700707067085</x:v>
      </x:c>
      <x:c r="D423" s="9" t="str"/>
      <x:c r="E423" s="9" t="str"/>
    </x:row>
    <x:row r="424" ht="18" customHeight="1">
      <x:c r="A424" s="6" t="str">
        <x:v>423</x:v>
      </x:c>
      <x:c r="B424" s="9" t="str"/>
      <x:c r="C424" s="9" t="str">
        <x:v>-26.604249037020473</x:v>
      </x:c>
      <x:c r="D424" s="9" t="str"/>
      <x:c r="E424" s="9" t="str"/>
    </x:row>
    <x:row r="425" ht="18" customHeight="1">
      <x:c r="A425" s="6" t="str">
        <x:v>424</x:v>
      </x:c>
      <x:c r="B425" s="9" t="str"/>
      <x:c r="C425" s="9" t="str">
        <x:v>-26.775716169462896</x:v>
      </x:c>
      <x:c r="D425" s="9" t="str"/>
      <x:c r="E425" s="9" t="str"/>
    </x:row>
    <x:row r="426" ht="18" customHeight="1">
      <x:c r="A426" s="6" t="str">
        <x:v>425</x:v>
      </x:c>
      <x:c r="B426" s="9" t="str"/>
      <x:c r="C426" s="9" t="str">
        <x:v>-27.80830886018572</x:v>
      </x:c>
      <x:c r="D426" s="9" t="str"/>
      <x:c r="E426" s="9" t="str"/>
    </x:row>
    <x:row r="427" ht="18" customHeight="1">
      <x:c r="A427" s="6" t="str">
        <x:v>426</x:v>
      </x:c>
      <x:c r="B427" s="9" t="str"/>
      <x:c r="C427" s="9" t="str">
        <x:v>-28.848764352253497</x:v>
      </x:c>
      <x:c r="D427" s="9" t="str"/>
      <x:c r="E427" s="9" t="str"/>
    </x:row>
    <x:row r="428" ht="18" customHeight="1">
      <x:c r="A428" s="6" t="str">
        <x:v>427</x:v>
      </x:c>
      <x:c r="B428" s="9" t="str"/>
      <x:c r="C428" s="9" t="str">
        <x:v>-28.6346147795861</x:v>
      </x:c>
      <x:c r="D428" s="9" t="str"/>
      <x:c r="E428" s="9" t="str"/>
    </x:row>
    <x:row r="429" ht="18" customHeight="1">
      <x:c r="A429" s="6" t="str">
        <x:v>428</x:v>
      </x:c>
      <x:c r="B429" s="9" t="str"/>
      <x:c r="C429" s="9" t="str">
        <x:v>-29.6859924843083</x:v>
      </x:c>
      <x:c r="D429" s="9" t="str"/>
      <x:c r="E429" s="9" t="str"/>
    </x:row>
    <x:row r="430" ht="18" customHeight="1">
      <x:c r="A430" s="6" t="str">
        <x:v>429</x:v>
      </x:c>
      <x:c r="B430" s="9" t="str"/>
      <x:c r="C430" s="9" t="str">
        <x:v>-30.707881020880063</x:v>
      </x:c>
      <x:c r="D430" s="9" t="str"/>
      <x:c r="E430" s="9" t="str"/>
    </x:row>
    <x:row r="431" ht="18" customHeight="1">
      <x:c r="A431" s="6" t="str">
        <x:v>430</x:v>
      </x:c>
      <x:c r="B431" s="9" t="str"/>
      <x:c r="C431" s="9" t="str">
        <x:v>-31.755846348248166</x:v>
      </x:c>
      <x:c r="D431" s="9" t="str"/>
      <x:c r="E431" s="9" t="str"/>
    </x:row>
    <x:row r="432" ht="18" customHeight="1">
      <x:c r="A432" s="6" t="str">
        <x:v>431</x:v>
      </x:c>
      <x:c r="B432" s="9" t="str"/>
      <x:c r="C432" s="9" t="str">
        <x:v>-29.80488961804669</x:v>
      </x:c>
      <x:c r="D432" s="9" t="str"/>
      <x:c r="E432" s="9" t="str"/>
    </x:row>
    <x:row r="433" ht="18" customHeight="1">
      <x:c r="A433" s="6" t="str">
        <x:v>432</x:v>
      </x:c>
      <x:c r="B433" s="9" t="str"/>
      <x:c r="C433" s="9" t="str">
        <x:v>-28.773562613849148</x:v>
      </x:c>
      <x:c r="D433" s="9" t="str"/>
      <x:c r="E433" s="9" t="str"/>
    </x:row>
    <x:row r="434" ht="18" customHeight="1">
      <x:c r="A434" s="6" t="str">
        <x:v>433</x:v>
      </x:c>
      <x:c r="B434" s="9" t="str"/>
      <x:c r="C434" s="9" t="str">
        <x:v>-26.805184050991407</x:v>
      </x:c>
      <x:c r="D434" s="9" t="str"/>
      <x:c r="E434" s="9" t="str"/>
    </x:row>
    <x:row r="435" ht="18" customHeight="1">
      <x:c r="A435" s="6" t="str">
        <x:v>434</x:v>
      </x:c>
      <x:c r="B435" s="9" t="str"/>
      <x:c r="C435" s="9" t="str">
        <x:v>-26.86195537323304</x:v>
      </x:c>
      <x:c r="D435" s="9" t="str"/>
      <x:c r="E435" s="9" t="str"/>
    </x:row>
    <x:row r="436" ht="18" customHeight="1">
      <x:c r="A436" s="6" t="str">
        <x:v>435</x:v>
      </x:c>
      <x:c r="B436" s="9" t="str"/>
      <x:c r="C436" s="9" t="str">
        <x:v>-27.89384479991773</x:v>
      </x:c>
      <x:c r="D436" s="9" t="str"/>
      <x:c r="E436" s="9" t="str"/>
    </x:row>
    <x:row r="437" ht="18" customHeight="1">
      <x:c r="A437" s="6" t="str">
        <x:v>436</x:v>
      </x:c>
      <x:c r="B437" s="9" t="str"/>
      <x:c r="C437" s="9" t="str">
        <x:v>-28.927694349637775</x:v>
      </x:c>
      <x:c r="D437" s="9" t="str"/>
      <x:c r="E437" s="9" t="str"/>
    </x:row>
    <x:row r="438" ht="18" customHeight="1">
      <x:c r="A438" s="6" t="str">
        <x:v>437</x:v>
      </x:c>
      <x:c r="B438" s="9" t="str"/>
      <x:c r="C438" s="9" t="str">
        <x:v>-28.61562428299786</x:v>
      </x:c>
      <x:c r="D438" s="9" t="str"/>
      <x:c r="E438" s="9" t="str"/>
    </x:row>
    <x:row r="439" ht="18" customHeight="1">
      <x:c r="A439" s="6" t="str">
        <x:v>438</x:v>
      </x:c>
      <x:c r="B439" s="9" t="str"/>
      <x:c r="C439" s="9" t="str">
        <x:v>-28.999061305101367</x:v>
      </x:c>
      <x:c r="D439" s="9" t="str"/>
      <x:c r="E439" s="9" t="str"/>
    </x:row>
    <x:row r="440" ht="18" customHeight="1">
      <x:c r="A440" s="6" t="str">
        <x:v>439</x:v>
      </x:c>
      <x:c r="B440" s="9" t="str"/>
      <x:c r="C440" s="9" t="str">
        <x:v>-29.65805649276762</x:v>
      </x:c>
      <x:c r="D440" s="9" t="str"/>
      <x:c r="E440" s="9" t="str"/>
    </x:row>
    <x:row r="441" ht="18" customHeight="1">
      <x:c r="A441" s="6" t="str">
        <x:v>440</x:v>
      </x:c>
      <x:c r="B441" s="9" t="str"/>
      <x:c r="C441" s="9" t="str">
        <x:v>-27.7117338933205</x:v>
      </x:c>
      <x:c r="D441" s="9" t="str"/>
      <x:c r="E441" s="9" t="str"/>
    </x:row>
    <x:row r="442" ht="18" customHeight="1">
      <x:c r="A442" s="6" t="str">
        <x:v>441</x:v>
      </x:c>
      <x:c r="B442" s="9" t="str"/>
      <x:c r="C442" s="9" t="str">
        <x:v>-28.729270114071127</x:v>
      </x:c>
      <x:c r="D442" s="9" t="str"/>
      <x:c r="E442" s="9" t="str"/>
    </x:row>
    <x:row r="443" ht="18" customHeight="1">
      <x:c r="A443" s="6" t="str">
        <x:v>442</x:v>
      </x:c>
      <x:c r="B443" s="9" t="str"/>
      <x:c r="C443" s="9" t="str">
        <x:v>-29.762162109899318</x:v>
      </x:c>
      <x:c r="D443" s="9" t="str"/>
      <x:c r="E443" s="9" t="str"/>
    </x:row>
    <x:row r="444" ht="18" customHeight="1">
      <x:c r="A444" s="6" t="str">
        <x:v>443</x:v>
      </x:c>
      <x:c r="B444" s="9" t="str"/>
      <x:c r="C444" s="9" t="str">
        <x:v>-30.782044928179403</x:v>
      </x:c>
      <x:c r="D444" s="9" t="str"/>
      <x:c r="E444" s="9" t="str"/>
    </x:row>
    <x:row r="445" ht="18" customHeight="1">
      <x:c r="A445" s="6" t="str">
        <x:v>444</x:v>
      </x:c>
      <x:c r="B445" s="9" t="str"/>
      <x:c r="C445" s="9" t="str">
        <x:v>-31.81630854076357</x:v>
      </x:c>
      <x:c r="D445" s="9" t="str"/>
      <x:c r="E445" s="9" t="str"/>
    </x:row>
    <x:row r="446" ht="18" customHeight="1">
      <x:c r="A446" s="6" t="str">
        <x:v>445</x:v>
      </x:c>
      <x:c r="B446" s="9" t="str"/>
      <x:c r="C446" s="9" t="str">
        <x:v>-32.26890973791996</x:v>
      </x:c>
      <x:c r="D446" s="9" t="str"/>
      <x:c r="E446" s="9" t="str"/>
    </x:row>
    <x:row r="447" ht="18" customHeight="1">
      <x:c r="A447" s="6" t="str">
        <x:v>446</x:v>
      </x:c>
      <x:c r="B447" s="9" t="str"/>
      <x:c r="C447" s="9" t="str">
        <x:v>-33.35508699124873</x:v>
      </x:c>
      <x:c r="D447" s="9" t="str"/>
      <x:c r="E447" s="9" t="str"/>
    </x:row>
    <x:row r="448" ht="18" customHeight="1">
      <x:c r="A448" s="6" t="str">
        <x:v>447</x:v>
      </x:c>
      <x:c r="B448" s="9" t="str"/>
      <x:c r="C448" s="9" t="str">
        <x:v>-34.409987827816714</x:v>
      </x:c>
      <x:c r="D448" s="9" t="str"/>
      <x:c r="E448" s="9" t="str"/>
    </x:row>
    <x:row r="449" ht="18" customHeight="1">
      <x:c r="A449" s="6" t="str">
        <x:v>448</x:v>
      </x:c>
      <x:c r="B449" s="9" t="str"/>
      <x:c r="C449" s="9" t="str">
        <x:v>-35.43677438004897</x:v>
      </x:c>
      <x:c r="D449" s="9" t="str"/>
      <x:c r="E449" s="9" t="str"/>
    </x:row>
    <x:row r="450" ht="18" customHeight="1">
      <x:c r="A450" s="6" t="str">
        <x:v>449</x:v>
      </x:c>
      <x:c r="B450" s="9" t="str"/>
      <x:c r="C450" s="9" t="str">
        <x:v>-36.46349073833106</x:v>
      </x:c>
      <x:c r="D450" s="9" t="str"/>
      <x:c r="E450" s="9" t="str"/>
    </x:row>
    <x:row r="451" ht="18" customHeight="1">
      <x:c r="A451" s="6" t="str">
        <x:v>450</x:v>
      </x:c>
      <x:c r="B451" s="9" t="str"/>
      <x:c r="C451" s="9" t="str">
        <x:v>-36.09562358818383</x:v>
      </x:c>
      <x:c r="D451" s="9" t="str"/>
      <x:c r="E451" s="9" t="str"/>
    </x:row>
    <x:row r="452" ht="18" customHeight="1">
      <x:c r="A452" s="6" t="str">
        <x:v>451</x:v>
      </x:c>
      <x:c r="B452" s="9" t="str"/>
      <x:c r="C452" s="9" t="str">
        <x:v>-37.13115758086239</x:v>
      </x:c>
      <x:c r="D452" s="9" t="str"/>
      <x:c r="E452" s="9" t="str"/>
    </x:row>
    <x:row r="453" ht="18" customHeight="1">
      <x:c r="A453" s="6" t="str">
        <x:v>452</x:v>
      </x:c>
      <x:c r="B453" s="9" t="str"/>
      <x:c r="C453" s="9" t="str">
        <x:v>-38.16325374045637</x:v>
      </x:c>
      <x:c r="D453" s="9" t="str"/>
      <x:c r="E453" s="9" t="str"/>
    </x:row>
    <x:row r="454" ht="18" customHeight="1">
      <x:c r="A454" s="6" t="str">
        <x:v>453</x:v>
      </x:c>
      <x:c r="B454" s="9" t="str"/>
      <x:c r="C454" s="9" t="str">
        <x:v>-39.21019405472963</x:v>
      </x:c>
      <x:c r="D454" s="9" t="str"/>
      <x:c r="E454" s="9" t="str"/>
    </x:row>
    <x:row r="455" ht="18" customHeight="1">
      <x:c r="A455" s="6" t="str">
        <x:v>454</x:v>
      </x:c>
      <x:c r="B455" s="9" t="str"/>
      <x:c r="C455" s="9" t="str">
        <x:v>-37.23470730717363</x:v>
      </x:c>
      <x:c r="D455" s="9" t="str"/>
      <x:c r="E455" s="9" t="str"/>
    </x:row>
    <x:row r="456" ht="18" customHeight="1">
      <x:c r="A456" s="6" t="str">
        <x:v>455</x:v>
      </x:c>
      <x:c r="B456" s="9" t="str"/>
      <x:c r="C456" s="9" t="str">
        <x:v>-35.246446593052376</x:v>
      </x:c>
      <x:c r="D456" s="9" t="str"/>
      <x:c r="E456" s="9" t="str"/>
    </x:row>
    <x:row r="457" ht="18" customHeight="1">
      <x:c r="A457" s="6" t="str">
        <x:v>456</x:v>
      </x:c>
      <x:c r="B457" s="9" t="str"/>
      <x:c r="C457" s="9" t="str">
        <x:v>-35.23616249649588</x:v>
      </x:c>
      <x:c r="D457" s="9" t="str"/>
      <x:c r="E457" s="9" t="str"/>
    </x:row>
    <x:row r="458" ht="18" customHeight="1">
      <x:c r="A458" s="6" t="str">
        <x:v>457</x:v>
      </x:c>
      <x:c r="B458" s="9" t="str"/>
      <x:c r="C458" s="9" t="str">
        <x:v>-33.29108002955097</x:v>
      </x:c>
      <x:c r="D458" s="9" t="str"/>
      <x:c r="E458" s="9" t="str"/>
    </x:row>
    <x:row r="459" ht="18" customHeight="1">
      <x:c r="A459" s="6" t="str">
        <x:v>458</x:v>
      </x:c>
      <x:c r="B459" s="9" t="str"/>
      <x:c r="C459" s="9" t="str">
        <x:v>-34.31201705731317</x:v>
      </x:c>
      <x:c r="D459" s="9" t="str"/>
      <x:c r="E459" s="9" t="str"/>
    </x:row>
    <x:row r="460" ht="18" customHeight="1">
      <x:c r="A460" s="6" t="str">
        <x:v>459</x:v>
      </x:c>
      <x:c r="B460" s="9" t="str"/>
      <x:c r="C460" s="9" t="str">
        <x:v>-35.381761550377355</x:v>
      </x:c>
      <x:c r="D460" s="9" t="str"/>
      <x:c r="E460" s="9" t="str"/>
    </x:row>
    <x:row r="461" ht="18" customHeight="1">
      <x:c r="A461" s="6" t="str">
        <x:v>460</x:v>
      </x:c>
      <x:c r="B461" s="9" t="str"/>
      <x:c r="C461" s="9" t="str">
        <x:v>-36.40059397446233</x:v>
      </x:c>
      <x:c r="D461" s="9" t="str"/>
      <x:c r="E461" s="9" t="str"/>
    </x:row>
    <x:row r="462" ht="18" customHeight="1">
      <x:c r="A462" s="6" t="str">
        <x:v>461</x:v>
      </x:c>
      <x:c r="B462" s="9" t="str"/>
      <x:c r="C462" s="9" t="str">
        <x:v>-37.435426655479844</x:v>
      </x:c>
      <x:c r="D462" s="9" t="str"/>
      <x:c r="E462" s="9" t="str"/>
    </x:row>
    <x:row r="463" ht="18" customHeight="1">
      <x:c r="A463" s="6" t="str">
        <x:v>462</x:v>
      </x:c>
      <x:c r="B463" s="9" t="str"/>
      <x:c r="C463" s="9" t="str">
        <x:v>-36.9764815107639</x:v>
      </x:c>
      <x:c r="D463" s="9" t="str"/>
      <x:c r="E463" s="9" t="str"/>
    </x:row>
    <x:row r="464" ht="18" customHeight="1">
      <x:c r="A464" s="6" t="str">
        <x:v>463</x:v>
      </x:c>
      <x:c r="B464" s="9" t="str"/>
      <x:c r="C464" s="9" t="str">
        <x:v>-38.023474074243325</x:v>
      </x:c>
      <x:c r="D464" s="9" t="str"/>
      <x:c r="E464" s="9" t="str"/>
    </x:row>
    <x:row r="465" ht="18" customHeight="1">
      <x:c r="A465" s="6" t="str">
        <x:v>464</x:v>
      </x:c>
      <x:c r="B465" s="9" t="str"/>
      <x:c r="C465" s="9" t="str">
        <x:v>-38.494615446593166</x:v>
      </x:c>
      <x:c r="D465" s="9" t="str"/>
      <x:c r="E465" s="9" t="str"/>
    </x:row>
    <x:row r="466" ht="18" customHeight="1">
      <x:c r="A466" s="6" t="str">
        <x:v>465</x:v>
      </x:c>
      <x:c r="B466" s="9" t="str"/>
      <x:c r="C466" s="9" t="str">
        <x:v>-39.52697517956898</x:v>
      </x:c>
      <x:c r="D466" s="9" t="str"/>
      <x:c r="E466" s="9" t="str"/>
    </x:row>
    <x:row r="467" ht="18" customHeight="1">
      <x:c r="A467" s="6" t="str">
        <x:v>466</x:v>
      </x:c>
      <x:c r="B467" s="9" t="str"/>
      <x:c r="C467" s="9" t="str">
        <x:v>-40.585486212248135</x:v>
      </x:c>
      <x:c r="D467" s="9" t="str"/>
      <x:c r="E467" s="9" t="str"/>
    </x:row>
    <x:row r="468" ht="18" customHeight="1">
      <x:c r="A468" s="6" t="str">
        <x:v>467</x:v>
      </x:c>
      <x:c r="B468" s="9" t="str"/>
      <x:c r="C468" s="9" t="str">
        <x:v>-41.614426871184094</x:v>
      </x:c>
      <x:c r="D468" s="9" t="str"/>
      <x:c r="E468" s="9" t="str"/>
    </x:row>
    <x:row r="469" ht="18" customHeight="1">
      <x:c r="A469" s="6" t="str">
        <x:v>468</x:v>
      </x:c>
      <x:c r="B469" s="9" t="str"/>
      <x:c r="C469" s="9" t="str">
        <x:v>-41.70929295719969</x:v>
      </x:c>
      <x:c r="D469" s="9" t="str"/>
      <x:c r="E469" s="9" t="str"/>
    </x:row>
    <x:row r="470" ht="18" customHeight="1">
      <x:c r="A470" s="6" t="str">
        <x:v>469</x:v>
      </x:c>
      <x:c r="B470" s="9" t="str"/>
      <x:c r="C470" s="9" t="str">
        <x:v>-42.77670852431852</x:v>
      </x:c>
      <x:c r="D470" s="9" t="str"/>
      <x:c r="E470" s="9" t="str"/>
    </x:row>
    <x:row r="471" ht="18" customHeight="1">
      <x:c r="A471" s="6" t="str">
        <x:v>470</x:v>
      </x:c>
      <x:c r="B471" s="9" t="str"/>
      <x:c r="C471" s="9" t="str">
        <x:v>-43.812124632590354</x:v>
      </x:c>
      <x:c r="D471" s="9" t="str"/>
      <x:c r="E471" s="9" t="str"/>
    </x:row>
    <x:row r="472" ht="18" customHeight="1">
      <x:c r="A472" s="6" t="str">
        <x:v>471</x:v>
      </x:c>
      <x:c r="B472" s="9" t="str"/>
      <x:c r="C472" s="9" t="str">
        <x:v>-44.85141784245423</x:v>
      </x:c>
      <x:c r="D472" s="9" t="str"/>
      <x:c r="E472" s="9" t="str"/>
    </x:row>
    <x:row r="473" ht="18" customHeight="1">
      <x:c r="A473" s="6" t="str">
        <x:v>472</x:v>
      </x:c>
      <x:c r="B473" s="9" t="str"/>
      <x:c r="C473" s="9" t="str">
        <x:v>-42.91925769188451</x:v>
      </x:c>
      <x:c r="D473" s="9" t="str"/>
      <x:c r="E473" s="9" t="str"/>
    </x:row>
    <x:row r="474" ht="18" customHeight="1">
      <x:c r="A474" s="6" t="str">
        <x:v>473</x:v>
      </x:c>
      <x:c r="B474" s="9" t="str"/>
      <x:c r="C474" s="9" t="str">
        <x:v>-42.45881210054828</x:v>
      </x:c>
      <x:c r="D474" s="9" t="str"/>
      <x:c r="E474" s="9" t="str"/>
    </x:row>
    <x:row r="475" ht="18" customHeight="1">
      <x:c r="A475" s="6" t="str">
        <x:v>474</x:v>
      </x:c>
      <x:c r="B475" s="9" t="str"/>
      <x:c r="C475" s="9" t="str">
        <x:v>-43.47896442998388</x:v>
      </x:c>
      <x:c r="D475" s="9" t="str"/>
      <x:c r="E475" s="9" t="str"/>
    </x:row>
    <x:row r="476" ht="18" customHeight="1">
      <x:c r="A476" s="6" t="str">
        <x:v>475</x:v>
      </x:c>
      <x:c r="B476" s="9" t="str"/>
      <x:c r="C476" s="9" t="str">
        <x:v>-43.267867931361636</x:v>
      </x:c>
      <x:c r="D476" s="9" t="str"/>
      <x:c r="E476" s="9" t="str"/>
    </x:row>
    <x:row r="477" ht="18" customHeight="1">
      <x:c r="A477" s="6" t="str">
        <x:v>476</x:v>
      </x:c>
      <x:c r="B477" s="9" t="str"/>
      <x:c r="C477" s="9" t="str">
        <x:v>-42.67591492613616</x:v>
      </x:c>
      <x:c r="D477" s="9" t="str"/>
      <x:c r="E477" s="9" t="str"/>
    </x:row>
    <x:row r="478" ht="18" customHeight="1">
      <x:c r="A478" s="6" t="str">
        <x:v>477</x:v>
      </x:c>
      <x:c r="B478" s="9" t="str"/>
      <x:c r="C478" s="9" t="str">
        <x:v>-40.72734290522084</x:v>
      </x:c>
      <x:c r="D478" s="9" t="str"/>
      <x:c r="E478" s="9" t="str"/>
    </x:row>
    <x:row r="479" ht="18" customHeight="1">
      <x:c r="A479" s="6" t="str">
        <x:v>478</x:v>
      </x:c>
      <x:c r="B479" s="9" t="str"/>
      <x:c r="C479" s="9" t="str">
        <x:v>-41.78307865522328</x:v>
      </x:c>
      <x:c r="D479" s="9" t="str"/>
      <x:c r="E479" s="9" t="str"/>
    </x:row>
    <x:row r="480" ht="18" customHeight="1">
      <x:c r="A480" s="6" t="str">
        <x:v>479</x:v>
      </x:c>
      <x:c r="B480" s="9" t="str"/>
      <x:c r="C480" s="9" t="str">
        <x:v>-42.823428786347925</x:v>
      </x:c>
      <x:c r="D480" s="9" t="str"/>
      <x:c r="E480" s="9" t="str"/>
    </x:row>
    <x:row r="481" ht="18" customHeight="1">
      <x:c r="A481" s="6" t="str">
        <x:v>480</x:v>
      </x:c>
      <x:c r="B481" s="9" t="str"/>
      <x:c r="C481" s="9" t="str">
        <x:v>-43.84141091500474</x:v>
      </x:c>
      <x:c r="D481" s="9" t="str"/>
      <x:c r="E481" s="9" t="str"/>
    </x:row>
    <x:row r="482" ht="18" customHeight="1">
      <x:c r="A482" s="6" t="str">
        <x:v>481</x:v>
      </x:c>
      <x:c r="B482" s="9" t="str"/>
      <x:c r="C482" s="9" t="str">
        <x:v>-41.8529808518721</x:v>
      </x:c>
      <x:c r="D482" s="9" t="str"/>
      <x:c r="E482" s="9" t="str"/>
    </x:row>
    <x:row r="483" ht="18" customHeight="1">
      <x:c r="A483" s="6" t="str">
        <x:v>482</x:v>
      </x:c>
      <x:c r="B483" s="9" t="str"/>
      <x:c r="C483" s="9" t="str">
        <x:v>-41.99910927458594</x:v>
      </x:c>
      <x:c r="D483" s="9" t="str"/>
      <x:c r="E483" s="9" t="str"/>
    </x:row>
    <x:row r="484" ht="18" customHeight="1">
      <x:c r="A484" s="6" t="str">
        <x:v>483</x:v>
      </x:c>
      <x:c r="B484" s="9" t="str"/>
      <x:c r="C484" s="9" t="str">
        <x:v>-43.02768780697164</x:v>
      </x:c>
      <x:c r="D484" s="9" t="str"/>
      <x:c r="E484" s="9" t="str"/>
    </x:row>
    <x:row r="485" ht="18" customHeight="1">
      <x:c r="A485" s="6" t="str">
        <x:v>484</x:v>
      </x:c>
      <x:c r="B485" s="9" t="str"/>
      <x:c r="C485" s="9" t="str">
        <x:v>-42.74812874768592</x:v>
      </x:c>
      <x:c r="D485" s="9" t="str"/>
      <x:c r="E485" s="9" t="str"/>
    </x:row>
    <x:row r="486" ht="18" customHeight="1">
      <x:c r="A486" s="6" t="str">
        <x:v>485</x:v>
      </x:c>
      <x:c r="B486" s="9" t="str"/>
      <x:c r="C486" s="9" t="str">
        <x:v>-43.81120873399294</x:v>
      </x:c>
      <x:c r="D486" s="9" t="str"/>
      <x:c r="E486" s="9" t="str"/>
    </x:row>
    <x:row r="487" ht="18" customHeight="1">
      <x:c r="A487" s="6" t="str">
        <x:v>486</x:v>
      </x:c>
      <x:c r="B487" s="9" t="str"/>
      <x:c r="C487" s="9" t="str">
        <x:v>-44.05198041150435</x:v>
      </x:c>
      <x:c r="D487" s="9" t="str"/>
      <x:c r="E487" s="9" t="str"/>
    </x:row>
    <x:row r="488" ht="18" customHeight="1">
      <x:c r="A488" s="6" t="str">
        <x:v>487</x:v>
      </x:c>
      <x:c r="B488" s="9" t="str"/>
      <x:c r="C488" s="9" t="str">
        <x:v>-45.076794029078066</x:v>
      </x:c>
      <x:c r="D488" s="9" t="str"/>
      <x:c r="E488" s="9" t="str"/>
    </x:row>
    <x:row r="489" ht="18" customHeight="1">
      <x:c r="A489" s="6" t="str">
        <x:v>488</x:v>
      </x:c>
      <x:c r="B489" s="9" t="str"/>
      <x:c r="C489" s="9" t="str">
        <x:v>-46.11557392041847</x:v>
      </x:c>
      <x:c r="D489" s="9" t="str"/>
      <x:c r="E489" s="9" t="str"/>
    </x:row>
    <x:row r="490" ht="18" customHeight="1">
      <x:c r="A490" s="6" t="str">
        <x:v>489</x:v>
      </x:c>
      <x:c r="B490" s="9" t="str"/>
      <x:c r="C490" s="9" t="str">
        <x:v>-47.1253529825975</x:v>
      </x:c>
      <x:c r="D490" s="9" t="str"/>
      <x:c r="E490" s="9" t="str"/>
    </x:row>
    <x:row r="491" ht="18" customHeight="1">
      <x:c r="A491" s="6" t="str">
        <x:v>490</x:v>
      </x:c>
      <x:c r="B491" s="9" t="str"/>
      <x:c r="C491" s="9" t="str">
        <x:v>-48.139000041967904</x:v>
      </x:c>
      <x:c r="D491" s="9" t="str"/>
      <x:c r="E491" s="9" t="str"/>
    </x:row>
    <x:row r="492" ht="18" customHeight="1">
      <x:c r="A492" s="6" t="str">
        <x:v>491</x:v>
      </x:c>
      <x:c r="B492" s="9" t="str"/>
      <x:c r="C492" s="9" t="str">
        <x:v>-49.15287939144628</x:v>
      </x:c>
      <x:c r="D492" s="9" t="str"/>
      <x:c r="E492" s="9" t="str"/>
    </x:row>
    <x:row r="493" ht="18" customHeight="1">
      <x:c r="A493" s="6" t="str">
        <x:v>492</x:v>
      </x:c>
      <x:c r="B493" s="9" t="str"/>
      <x:c r="C493" s="9" t="str">
        <x:v>-48.31458924989862</x:v>
      </x:c>
      <x:c r="D493" s="9" t="str"/>
      <x:c r="E493" s="9" t="str"/>
    </x:row>
    <x:row r="494" ht="18" customHeight="1">
      <x:c r="A494" s="6" t="str">
        <x:v>493</x:v>
      </x:c>
      <x:c r="B494" s="9" t="str"/>
      <x:c r="C494" s="9" t="str">
        <x:v>-47.976397874979256</x:v>
      </x:c>
      <x:c r="D494" s="9" t="str"/>
      <x:c r="E494" s="9" t="str"/>
    </x:row>
    <x:row r="495" ht="18" customHeight="1">
      <x:c r="A495" s="6" t="str">
        <x:v>494</x:v>
      </x:c>
      <x:c r="B495" s="9" t="str"/>
      <x:c r="C495" s="9" t="str">
        <x:v>-49.0022924845619</x:v>
      </x:c>
      <x:c r="D495" s="9" t="str"/>
      <x:c r="E495" s="9" t="str"/>
    </x:row>
    <x:row r="496" ht="18" customHeight="1">
      <x:c r="A496" s="6" t="str">
        <x:v>495</x:v>
      </x:c>
      <x:c r="B496" s="9" t="str"/>
      <x:c r="C496" s="9" t="str">
        <x:v>-47.025747239520506</x:v>
      </x:c>
      <x:c r="D496" s="9" t="str"/>
      <x:c r="E496" s="9" t="str"/>
    </x:row>
    <x:row r="497" ht="18" customHeight="1">
      <x:c r="A497" s="6" t="str">
        <x:v>496</x:v>
      </x:c>
      <x:c r="B497" s="9" t="str"/>
      <x:c r="C497" s="9" t="str">
        <x:v>-45.06697671529017</x:v>
      </x:c>
      <x:c r="D497" s="9" t="str"/>
      <x:c r="E497" s="9" t="str"/>
    </x:row>
    <x:row r="498" ht="18" customHeight="1">
      <x:c r="A498" s="6" t="str">
        <x:v>497</x:v>
      </x:c>
      <x:c r="B498" s="9" t="str"/>
      <x:c r="C498" s="9" t="str">
        <x:v>-43.98261685319593</x:v>
      </x:c>
      <x:c r="D498" s="9" t="str"/>
      <x:c r="E498" s="9" t="str"/>
    </x:row>
    <x:row r="499" ht="18" customHeight="1">
      <x:c r="A499" s="6" t="str">
        <x:v>498</x:v>
      </x:c>
      <x:c r="B499" s="9" t="str"/>
      <x:c r="C499" s="9" t="str">
        <x:v>-44.99321069071238</x:v>
      </x:c>
      <x:c r="D499" s="9" t="str"/>
      <x:c r="E499" s="9" t="str"/>
    </x:row>
    <x:row r="500" ht="18" customHeight="1">
      <x:c r="A500" s="6" t="str">
        <x:v>499</x:v>
      </x:c>
      <x:c r="B500" s="9" t="str"/>
      <x:c r="C500" s="9" t="str">
        <x:v>-43.019529845872526</x:v>
      </x:c>
      <x:c r="D500" s="9" t="str"/>
      <x:c r="E500" s="9" t="str"/>
    </x:row>
    <x:row r="501" ht="18" customHeight="1">
      <x:c r="A501" s="6" t="str">
        <x:v>500</x:v>
      </x:c>
      <x:c r="B501" s="9" t="str"/>
      <x:c r="C501" s="9" t="str">
        <x:v>-44.03942940956887</x:v>
      </x:c>
      <x:c r="D501" s="9" t="str"/>
      <x:c r="E501" s="9" t="str"/>
    </x:row>
    <x:row r="502" ht="18" customHeight="1">
      <x:c r="A502" s="6" t="str">
        <x:v>501</x:v>
      </x:c>
      <x:c r="B502" s="9" t="str"/>
      <x:c r="C502" s="9" t="str">
        <x:v>-42.057477728786836</x:v>
      </x:c>
      <x:c r="D502" s="9" t="str"/>
      <x:c r="E502" s="9" t="str"/>
    </x:row>
    <x:row r="503" ht="18" customHeight="1">
      <x:c r="A503" s="6" t="str">
        <x:v>502</x:v>
      </x:c>
      <x:c r="B503" s="9" t="str"/>
      <x:c r="C503" s="9" t="str">
        <x:v>-41.088481554253875</x:v>
      </x:c>
      <x:c r="D503" s="9" t="str"/>
      <x:c r="E503" s="9" t="str"/>
    </x:row>
    <x:row r="504" ht="18" customHeight="1">
      <x:c r="A504" s="6" t="str">
        <x:v>503</x:v>
      </x:c>
      <x:c r="B504" s="9" t="str"/>
      <x:c r="C504" s="9" t="str">
        <x:v>-42.09532184392359</x:v>
      </x:c>
      <x:c r="D504" s="9" t="str"/>
      <x:c r="E504" s="9" t="str"/>
    </x:row>
    <x:row r="505" ht="18" customHeight="1">
      <x:c r="A505" s="6" t="str">
        <x:v>504</x:v>
      </x:c>
      <x:c r="B505" s="9" t="str"/>
      <x:c r="C505" s="9" t="str">
        <x:v>-41.75436855068491</x:v>
      </x:c>
      <x:c r="D505" s="9" t="str"/>
      <x:c r="E505" s="9" t="str"/>
    </x:row>
    <x:row r="506" ht="18" customHeight="1">
      <x:c r="A506" s="6" t="str">
        <x:v>505</x:v>
      </x:c>
      <x:c r="B506" s="9" t="str"/>
      <x:c r="C506" s="9" t="str">
        <x:v>-41.099441956182396</x:v>
      </x:c>
      <x:c r="D506" s="9" t="str"/>
      <x:c r="E506" s="9" t="str"/>
    </x:row>
    <x:row r="507" ht="18" customHeight="1">
      <x:c r="A507" s="6" t="str">
        <x:v>506</x:v>
      </x:c>
      <x:c r="B507" s="9" t="str"/>
      <x:c r="C507" s="9" t="str">
        <x:v>-41.101465497768864</x:v>
      </x:c>
      <x:c r="D507" s="9" t="str"/>
      <x:c r="E507" s="9" t="str"/>
    </x:row>
    <x:row r="508" ht="18" customHeight="1">
      <x:c r="A508" s="6" t="str">
        <x:v>507</x:v>
      </x:c>
      <x:c r="B508" s="9" t="str"/>
      <x:c r="C508" s="9" t="str">
        <x:v>-42.10791849638949</x:v>
      </x:c>
      <x:c r="D508" s="9" t="str"/>
      <x:c r="E508" s="9" t="str"/>
    </x:row>
    <x:row r="509" ht="18" customHeight="1">
      <x:c r="A509" s="6" t="str">
        <x:v>508</x:v>
      </x:c>
      <x:c r="B509" s="9" t="str"/>
      <x:c r="C509" s="9" t="str">
        <x:v>-43.13757065655262</x:v>
      </x:c>
      <x:c r="D509" s="9" t="str"/>
      <x:c r="E509" s="9" t="str"/>
    </x:row>
    <x:row r="510" ht="18" customHeight="1">
      <x:c r="A510" s="6" t="str">
        <x:v>509</x:v>
      </x:c>
      <x:c r="B510" s="9" t="str"/>
      <x:c r="C510" s="9" t="str">
        <x:v>-44.20730331456852</x:v>
      </x:c>
      <x:c r="D510" s="9" t="str"/>
      <x:c r="E510" s="9" t="str"/>
    </x:row>
    <x:row r="511" ht="18" customHeight="1">
      <x:c r="A511" s="6" t="str">
        <x:v>510</x:v>
      </x:c>
      <x:c r="B511" s="9" t="str"/>
      <x:c r="C511" s="9" t="str">
        <x:v>-45.22732194220409</x:v>
      </x:c>
      <x:c r="D511" s="9" t="str"/>
      <x:c r="E511" s="9" t="str"/>
    </x:row>
    <x:row r="512" ht="18" customHeight="1">
      <x:c r="A512" s="6" t="str">
        <x:v>511</x:v>
      </x:c>
      <x:c r="B512" s="9" t="str"/>
      <x:c r="C512" s="9" t="str">
        <x:v>-43.24564192586924</x:v>
      </x:c>
      <x:c r="D512" s="9" t="str"/>
      <x:c r="E512" s="9" t="str"/>
    </x:row>
    <x:row r="513" ht="18" customHeight="1">
      <x:c r="A513" s="6" t="str">
        <x:v>512</x:v>
      </x:c>
      <x:c r="B513" s="9" t="str"/>
      <x:c r="C513" s="9" t="str">
        <x:v>-42.96984743761209</x:v>
      </x:c>
      <x:c r="D513" s="9" t="str"/>
      <x:c r="E513" s="9" t="str"/>
    </x:row>
    <x:row r="514" ht="18" customHeight="1">
      <x:c r="A514" s="6" t="str">
        <x:v>513</x:v>
      </x:c>
      <x:c r="B514" s="9" t="str"/>
      <x:c r="C514" s="9" t="str">
        <x:v>-43.98088387675516</x:v>
      </x:c>
      <x:c r="D514" s="9" t="str"/>
      <x:c r="E514" s="9" t="str"/>
    </x:row>
    <x:row r="515" ht="18" customHeight="1">
      <x:c r="A515" s="6" t="str">
        <x:v>514</x:v>
      </x:c>
      <x:c r="B515" s="9" t="str"/>
      <x:c r="C515" s="9" t="str">
        <x:v>-42.030762873269786</x:v>
      </x:c>
      <x:c r="D515" s="9" t="str"/>
      <x:c r="E515" s="9" t="str"/>
    </x:row>
    <x:row r="516" ht="18" customHeight="1">
      <x:c r="A516" s="6" t="str">
        <x:v>515</x:v>
      </x:c>
      <x:c r="B516" s="9" t="str"/>
      <x:c r="C516" s="9" t="str">
        <x:v>-43.082353338924975</x:v>
      </x:c>
      <x:c r="D516" s="9" t="str"/>
      <x:c r="E516" s="9" t="str"/>
    </x:row>
    <x:row r="517" ht="18" customHeight="1">
      <x:c r="A517" s="6" t="str">
        <x:v>516</x:v>
      </x:c>
      <x:c r="B517" s="9" t="str"/>
      <x:c r="C517" s="9" t="str">
        <x:v>-41.124121635190065</x:v>
      </x:c>
      <x:c r="D517" s="9" t="str"/>
      <x:c r="E517" s="9" t="str"/>
    </x:row>
    <x:row r="518" ht="18" customHeight="1">
      <x:c r="A518" s="6" t="str">
        <x:v>517</x:v>
      </x:c>
      <x:c r="B518" s="9" t="str"/>
      <x:c r="C518" s="9" t="str">
        <x:v>-42.1844146561597</x:v>
      </x:c>
      <x:c r="D518" s="9" t="str"/>
      <x:c r="E518" s="9" t="str"/>
    </x:row>
    <x:row r="519" ht="18" customHeight="1">
      <x:c r="A519" s="6" t="str">
        <x:v>518</x:v>
      </x:c>
      <x:c r="B519" s="9" t="str"/>
      <x:c r="C519" s="9" t="str">
        <x:v>-43.233848021660854</x:v>
      </x:c>
      <x:c r="D519" s="9" t="str"/>
      <x:c r="E519" s="9" t="str"/>
    </x:row>
    <x:row r="520" ht="18" customHeight="1">
      <x:c r="A520" s="6" t="str">
        <x:v>519</x:v>
      </x:c>
      <x:c r="B520" s="9" t="str"/>
      <x:c r="C520" s="9" t="str">
        <x:v>-44.24843001411948</x:v>
      </x:c>
      <x:c r="D520" s="9" t="str"/>
      <x:c r="E520" s="9" t="str"/>
    </x:row>
    <x:row r="521" ht="18" customHeight="1">
      <x:c r="A521" s="6" t="str">
        <x:v>520</x:v>
      </x:c>
      <x:c r="B521" s="9" t="str"/>
      <x:c r="C521" s="9" t="str">
        <x:v>-42.28426621515125</x:v>
      </x:c>
      <x:c r="D521" s="9" t="str"/>
      <x:c r="E521" s="9" t="str"/>
    </x:row>
    <x:row r="522" ht="18" customHeight="1">
      <x:c r="A522" s="6" t="str">
        <x:v>521</x:v>
      </x:c>
      <x:c r="B522" s="9" t="str"/>
      <x:c r="C522" s="9" t="str">
        <x:v>-42.42756125550612</x:v>
      </x:c>
      <x:c r="D522" s="9" t="str"/>
      <x:c r="E522" s="9" t="str"/>
    </x:row>
    <x:row r="523" ht="18" customHeight="1">
      <x:c r="A523" s="6" t="str">
        <x:v>522</x:v>
      </x:c>
      <x:c r="B523" s="9" t="str"/>
      <x:c r="C523" s="9" t="str">
        <x:v>-43.45069112025021</x:v>
      </x:c>
      <x:c r="D523" s="9" t="str"/>
      <x:c r="E523" s="9" t="str"/>
    </x:row>
    <x:row r="524" ht="18" customHeight="1">
      <x:c r="A524" s="6" t="str">
        <x:v>523</x:v>
      </x:c>
      <x:c r="B524" s="9" t="str"/>
      <x:c r="C524" s="9" t="str">
        <x:v>-43.08556429255204</x:v>
      </x:c>
      <x:c r="D524" s="9" t="str"/>
      <x:c r="E524" s="9" t="str"/>
    </x:row>
    <x:row r="525" ht="18" customHeight="1">
      <x:c r="A525" s="6" t="str">
        <x:v>524</x:v>
      </x:c>
      <x:c r="B525" s="9" t="str"/>
      <x:c r="C525" s="9" t="str">
        <x:v>-43.37450762486275</x:v>
      </x:c>
      <x:c r="D525" s="9" t="str"/>
      <x:c r="E525" s="9" t="str"/>
    </x:row>
    <x:row r="526" ht="18" customHeight="1">
      <x:c r="A526" s="6" t="str">
        <x:v>525</x:v>
      </x:c>
      <x:c r="B526" s="9" t="str"/>
      <x:c r="C526" s="9" t="str">
        <x:v>-44.440155042971185</x:v>
      </x:c>
      <x:c r="D526" s="9" t="str"/>
      <x:c r="E526" s="9" t="str"/>
    </x:row>
    <x:row r="527" ht="18" customHeight="1">
      <x:c r="A527" s="6" t="str">
        <x:v>526</x:v>
      </x:c>
      <x:c r="B527" s="9" t="str"/>
      <x:c r="C527" s="9" t="str">
        <x:v>-45.51198211035193</x:v>
      </x:c>
      <x:c r="D527" s="9" t="str"/>
      <x:c r="E527" s="9" t="str"/>
    </x:row>
    <x:row r="528" ht="18" customHeight="1">
      <x:c r="A528" s="6" t="str">
        <x:v>527</x:v>
      </x:c>
      <x:c r="B528" s="9" t="str"/>
      <x:c r="C528" s="9" t="str">
        <x:v>-46.08784166737849</x:v>
      </x:c>
      <x:c r="D528" s="9" t="str"/>
      <x:c r="E528" s="9" t="str"/>
    </x:row>
    <x:row r="529" ht="18" customHeight="1">
      <x:c r="A529" s="6" t="str">
        <x:v>528</x:v>
      </x:c>
      <x:c r="B529" s="9" t="str"/>
      <x:c r="C529" s="9" t="str">
        <x:v>-45.287267483430405</x:v>
      </x:c>
      <x:c r="D529" s="9" t="str"/>
      <x:c r="E529" s="9" t="str"/>
    </x:row>
    <x:row r="530" ht="18" customHeight="1">
      <x:c r="A530" s="6" t="str">
        <x:v>529</x:v>
      </x:c>
      <x:c r="B530" s="9" t="str"/>
      <x:c r="C530" s="9" t="str">
        <x:v>-46.38988335719051</x:v>
      </x:c>
      <x:c r="D530" s="9" t="str"/>
      <x:c r="E530" s="9" t="str"/>
    </x:row>
    <x:row r="531" ht="18" customHeight="1">
      <x:c r="A531" s="6" t="str">
        <x:v>530</x:v>
      </x:c>
      <x:c r="B531" s="9" t="str"/>
      <x:c r="C531" s="9" t="str">
        <x:v>-46.56993917457429</x:v>
      </x:c>
      <x:c r="D531" s="9" t="str"/>
      <x:c r="E531" s="9" t="str"/>
    </x:row>
    <x:row r="532" ht="18" customHeight="1">
      <x:c r="A532" s="6" t="str">
        <x:v>531</x:v>
      </x:c>
      <x:c r="B532" s="9" t="str"/>
      <x:c r="C532" s="9" t="str">
        <x:v>-47.128171089914275</x:v>
      </x:c>
      <x:c r="D532" s="9" t="str"/>
      <x:c r="E532" s="9" t="str"/>
    </x:row>
    <x:row r="533" ht="18" customHeight="1">
      <x:c r="A533" s="6" t="str">
        <x:v>532</x:v>
      </x:c>
      <x:c r="B533" s="9" t="str"/>
      <x:c r="C533" s="9" t="str">
        <x:v>-48.15346791267388</x:v>
      </x:c>
      <x:c r="D533" s="9" t="str"/>
      <x:c r="E533" s="9" t="str"/>
    </x:row>
    <x:row r="534" ht="18" customHeight="1">
      <x:c r="A534" s="6" t="str">
        <x:v>533</x:v>
      </x:c>
      <x:c r="B534" s="9" t="str"/>
      <x:c r="C534" s="9" t="str">
        <x:v>-47.85034115116834</x:v>
      </x:c>
      <x:c r="D534" s="9" t="str"/>
      <x:c r="E534" s="9" t="str"/>
    </x:row>
    <x:row r="535" ht="18" customHeight="1">
      <x:c r="A535" s="6" t="str">
        <x:v>534</x:v>
      </x:c>
      <x:c r="B535" s="9" t="str"/>
      <x:c r="C535" s="9" t="str">
        <x:v>-48.891867195421575</x:v>
      </x:c>
      <x:c r="D535" s="9" t="str"/>
      <x:c r="E535" s="9" t="str"/>
    </x:row>
    <x:row r="536" ht="18" customHeight="1">
      <x:c r="A536" s="6" t="str">
        <x:v>535</x:v>
      </x:c>
      <x:c r="B536" s="9" t="str"/>
      <x:c r="C536" s="9" t="str">
        <x:v>-47.864185529677634</x:v>
      </x:c>
      <x:c r="D536" s="9" t="str"/>
      <x:c r="E536" s="9" t="str"/>
    </x:row>
    <x:row r="537" ht="18" customHeight="1">
      <x:c r="A537" s="6" t="str">
        <x:v>536</x:v>
      </x:c>
      <x:c r="B537" s="9" t="str"/>
      <x:c r="C537" s="9" t="str">
        <x:v>-45.93487922144019</x:v>
      </x:c>
      <x:c r="D537" s="9" t="str"/>
      <x:c r="E537" s="9" t="str"/>
    </x:row>
    <x:row r="538" ht="18" customHeight="1">
      <x:c r="A538" s="6" t="str">
        <x:v>537</x:v>
      </x:c>
      <x:c r="B538" s="9" t="str"/>
      <x:c r="C538" s="9" t="str">
        <x:v>-46.95737582849657</x:v>
      </x:c>
      <x:c r="D538" s="9" t="str"/>
      <x:c r="E538" s="9" t="str"/>
    </x:row>
    <x:row r="539" ht="18" customHeight="1">
      <x:c r="A539" s="6" t="str">
        <x:v>538</x:v>
      </x:c>
      <x:c r="B539" s="9" t="str"/>
      <x:c r="C539" s="9" t="str">
        <x:v>-46.584629398546355</x:v>
      </x:c>
      <x:c r="D539" s="9" t="str"/>
      <x:c r="E539" s="9" t="str"/>
    </x:row>
    <x:row r="540" ht="18" customHeight="1">
      <x:c r="A540" s="6" t="str">
        <x:v>539</x:v>
      </x:c>
      <x:c r="B540" s="9" t="str"/>
      <x:c r="C540" s="9" t="str">
        <x:v>-47.61828357232528</x:v>
      </x:c>
      <x:c r="D540" s="9" t="str"/>
      <x:c r="E540" s="9" t="str"/>
    </x:row>
    <x:row r="541" ht="18" customHeight="1">
      <x:c r="A541" s="6" t="str">
        <x:v>540</x:v>
      </x:c>
      <x:c r="B541" s="9" t="str"/>
      <x:c r="C541" s="9" t="str">
        <x:v>-48.66640087631262</x:v>
      </x:c>
      <x:c r="D541" s="9" t="str"/>
      <x:c r="E541" s="9" t="str"/>
    </x:row>
    <x:row r="542" ht="18" customHeight="1">
      <x:c r="A542" s="6" t="str">
        <x:v>541</x:v>
      </x:c>
      <x:c r="B542" s="9" t="str"/>
      <x:c r="C542" s="9" t="str">
        <x:v>-47.374286866104185</x:v>
      </x:c>
      <x:c r="D542" s="9" t="str"/>
      <x:c r="E542" s="9" t="str"/>
    </x:row>
    <x:row r="543" ht="18" customHeight="1">
      <x:c r="A543" s="6" t="str">
        <x:v>542</x:v>
      </x:c>
      <x:c r="B543" s="9" t="str"/>
      <x:c r="C543" s="9" t="str">
        <x:v>-46.98049232156966</x:v>
      </x:c>
      <x:c r="D543" s="9" t="str"/>
      <x:c r="E543" s="9" t="str"/>
    </x:row>
    <x:row r="544" ht="18" customHeight="1">
      <x:c r="A544" s="6" t="str">
        <x:v>543</x:v>
      </x:c>
      <x:c r="B544" s="9" t="str"/>
      <x:c r="C544" s="9" t="str">
        <x:v>-48.014188676073154</x:v>
      </x:c>
      <x:c r="D544" s="9" t="str"/>
      <x:c r="E544" s="9" t="str"/>
    </x:row>
    <x:row r="545" ht="18" customHeight="1">
      <x:c r="A545" s="6" t="str">
        <x:v>544</x:v>
      </x:c>
      <x:c r="B545" s="9" t="str"/>
      <x:c r="C545" s="9" t="str">
        <x:v>-47.82254564132664</x:v>
      </x:c>
      <x:c r="D545" s="9" t="str"/>
      <x:c r="E545" s="9" t="str"/>
    </x:row>
    <x:row r="546" ht="18" customHeight="1">
      <x:c r="A546" s="6" t="str">
        <x:v>545</x:v>
      </x:c>
      <x:c r="B546" s="9" t="str"/>
      <x:c r="C546" s="9" t="str">
        <x:v>-46.153502035782445</x:v>
      </x:c>
      <x:c r="D546" s="9" t="str"/>
      <x:c r="E546" s="9" t="str"/>
    </x:row>
    <x:row r="547" ht="18" customHeight="1">
      <x:c r="A547" s="6" t="str">
        <x:v>546</x:v>
      </x:c>
      <x:c r="B547" s="9" t="str"/>
      <x:c r="C547" s="9" t="str">
        <x:v>-46.712867436000685</x:v>
      </x:c>
      <x:c r="D547" s="9" t="str"/>
      <x:c r="E547" s="9" t="str"/>
    </x:row>
    <x:row r="548" ht="18" customHeight="1">
      <x:c r="A548" s="6" t="str">
        <x:v>547</x:v>
      </x:c>
      <x:c r="B548" s="9" t="str"/>
      <x:c r="C548" s="9" t="str">
        <x:v>-45.49506743866586</x:v>
      </x:c>
      <x:c r="D548" s="9" t="str"/>
      <x:c r="E548" s="9" t="str"/>
    </x:row>
    <x:row r="549" ht="18" customHeight="1">
      <x:c r="A549" s="6" t="str">
        <x:v>548</x:v>
      </x:c>
      <x:c r="B549" s="9" t="str"/>
      <x:c r="C549" s="9" t="str">
        <x:v>-43.5330016207327</x:v>
      </x:c>
      <x:c r="D549" s="9" t="str"/>
      <x:c r="E549" s="9" t="str"/>
    </x:row>
    <x:row r="550" ht="18" customHeight="1">
      <x:c r="A550" s="6" t="str">
        <x:v>549</x:v>
      </x:c>
      <x:c r="B550" s="9" t="str"/>
      <x:c r="C550" s="9" t="str">
        <x:v>-43.98484657799303</x:v>
      </x:c>
      <x:c r="D550" s="9" t="str"/>
      <x:c r="E550" s="9" t="str"/>
    </x:row>
    <x:row r="551" ht="18" customHeight="1">
      <x:c r="A551" s="6" t="str">
        <x:v>550</x:v>
      </x:c>
      <x:c r="B551" s="9" t="str"/>
      <x:c r="C551" s="9" t="str">
        <x:v>-45.01255697936765</x:v>
      </x:c>
      <x:c r="D551" s="9" t="str"/>
      <x:c r="E551" s="9" t="str"/>
    </x:row>
    <x:row r="552" ht="18" customHeight="1">
      <x:c r="A552" s="6" t="str">
        <x:v>551</x:v>
      </x:c>
      <x:c r="B552" s="9" t="str"/>
      <x:c r="C552" s="9" t="str">
        <x:v>-43.209320825029444</x:v>
      </x:c>
      <x:c r="D552" s="9" t="str"/>
      <x:c r="E552" s="9" t="str"/>
    </x:row>
    <x:row r="553" ht="18" customHeight="1">
      <x:c r="A553" s="6" t="str">
        <x:v>552</x:v>
      </x:c>
      <x:c r="B553" s="9" t="str"/>
      <x:c r="C553" s="9" t="str">
        <x:v>-43.46791039234275</x:v>
      </x:c>
      <x:c r="D553" s="9" t="str"/>
      <x:c r="E553" s="9" t="str"/>
    </x:row>
    <x:row r="554" ht="18" customHeight="1">
      <x:c r="A554" s="6" t="str">
        <x:v>553</x:v>
      </x:c>
      <x:c r="B554" s="9" t="str"/>
      <x:c r="C554" s="9" t="str">
        <x:v>-44.49601332773547</x:v>
      </x:c>
      <x:c r="D554" s="9" t="str"/>
      <x:c r="E554" s="9" t="str"/>
    </x:row>
    <x:row r="555" ht="18" customHeight="1">
      <x:c r="A555" s="6" t="str">
        <x:v>554</x:v>
      </x:c>
      <x:c r="B555" s="9" t="str"/>
      <x:c r="C555" s="9" t="str">
        <x:v>-42.51213553247155</x:v>
      </x:c>
      <x:c r="D555" s="9" t="str"/>
      <x:c r="E555" s="9" t="str"/>
    </x:row>
    <x:row r="556" ht="18" customHeight="1">
      <x:c r="A556" s="6" t="str">
        <x:v>555</x:v>
      </x:c>
      <x:c r="B556" s="9" t="str"/>
      <x:c r="C556" s="9" t="str">
        <x:v>-43.543011483710025</x:v>
      </x:c>
      <x:c r="D556" s="9" t="str"/>
      <x:c r="E556" s="9" t="str"/>
    </x:row>
    <x:row r="557" ht="18" customHeight="1">
      <x:c r="A557" s="6" t="str">
        <x:v>556</x:v>
      </x:c>
      <x:c r="B557" s="9" t="str"/>
      <x:c r="C557" s="9" t="str">
        <x:v>-44.578871379289495</x:v>
      </x:c>
      <x:c r="D557" s="9" t="str"/>
      <x:c r="E557" s="9" t="str"/>
    </x:row>
    <x:row r="558" ht="18" customHeight="1">
      <x:c r="A558" s="6" t="str">
        <x:v>557</x:v>
      </x:c>
      <x:c r="B558" s="9" t="str"/>
      <x:c r="C558" s="9" t="str">
        <x:v>-43.93165827615057</x:v>
      </x:c>
      <x:c r="D558" s="9" t="str"/>
      <x:c r="E558" s="9" t="str"/>
    </x:row>
    <x:row r="559" ht="18" customHeight="1">
      <x:c r="A559" s="6" t="str">
        <x:v>558</x:v>
      </x:c>
      <x:c r="B559" s="9" t="str"/>
      <x:c r="C559" s="9" t="str">
        <x:v>-44.938957336758044</x:v>
      </x:c>
      <x:c r="D559" s="9" t="str"/>
      <x:c r="E559" s="9" t="str"/>
    </x:row>
    <x:row r="560" ht="18" customHeight="1">
      <x:c r="A560" s="6" t="str">
        <x:v>559</x:v>
      </x:c>
      <x:c r="B560" s="9" t="str"/>
      <x:c r="C560" s="9" t="str">
        <x:v>-45.94634777905315</x:v>
      </x:c>
      <x:c r="D560" s="9" t="str"/>
      <x:c r="E560" s="9" t="str"/>
    </x:row>
    <x:row r="561" ht="18" customHeight="1">
      <x:c r="A561" s="6" t="str">
        <x:v>560</x:v>
      </x:c>
      <x:c r="B561" s="9" t="str"/>
      <x:c r="C561" s="9" t="str">
        <x:v>-46.9555226205528</x:v>
      </x:c>
      <x:c r="D561" s="9" t="str"/>
      <x:c r="E561" s="9" t="str"/>
    </x:row>
    <x:row r="562" ht="18" customHeight="1">
      <x:c r="A562" s="6" t="str">
        <x:v>561</x:v>
      </x:c>
      <x:c r="B562" s="9" t="str"/>
      <x:c r="C562" s="9" t="str">
        <x:v>-47.97976697970456</x:v>
      </x:c>
      <x:c r="D562" s="9" t="str"/>
      <x:c r="E562" s="9" t="str"/>
    </x:row>
    <x:row r="563" ht="18" customHeight="1">
      <x:c r="A563" s="6" t="str">
        <x:v>562</x:v>
      </x:c>
      <x:c r="B563" s="9" t="str"/>
      <x:c r="C563" s="9" t="str">
        <x:v>-48.64132828279909</x:v>
      </x:c>
      <x:c r="D563" s="9" t="str"/>
      <x:c r="E563" s="9" t="str"/>
    </x:row>
    <x:row r="564" ht="18" customHeight="1">
      <x:c r="A564" s="6" t="str">
        <x:v>563</x:v>
      </x:c>
      <x:c r="B564" s="9" t="str"/>
      <x:c r="C564" s="9" t="str">
        <x:v>-49.67877462126908</x:v>
      </x:c>
      <x:c r="D564" s="9" t="str"/>
      <x:c r="E564" s="9" t="str"/>
    </x:row>
    <x:row r="565" ht="18" customHeight="1">
      <x:c r="A565" s="6" t="str">
        <x:v>564</x:v>
      </x:c>
      <x:c r="B565" s="9" t="str"/>
      <x:c r="C565" s="9" t="str">
        <x:v>-50.70536575959644</x:v>
      </x:c>
      <x:c r="D565" s="9" t="str"/>
      <x:c r="E565" s="9" t="str"/>
    </x:row>
    <x:row r="566" ht="18" customHeight="1">
      <x:c r="A566" s="6" t="str">
        <x:v>565</x:v>
      </x:c>
      <x:c r="B566" s="9" t="str"/>
      <x:c r="C566" s="9" t="str">
        <x:v>-51.720171422838575</x:v>
      </x:c>
      <x:c r="D566" s="9" t="str"/>
      <x:c r="E566" s="9" t="str"/>
    </x:row>
    <x:row r="567" ht="18" customHeight="1">
      <x:c r="A567" s="6" t="str">
        <x:v>566</x:v>
      </x:c>
      <x:c r="B567" s="9" t="str"/>
      <x:c r="C567" s="9" t="str">
        <x:v>-49.74204976544645</x:v>
      </x:c>
      <x:c r="D567" s="9" t="str"/>
      <x:c r="E567" s="9" t="str"/>
    </x:row>
    <x:row r="568" ht="18" customHeight="1">
      <x:c r="A568" s="6" t="str">
        <x:v>567</x:v>
      </x:c>
      <x:c r="B568" s="9" t="str"/>
      <x:c r="C568" s="9" t="str">
        <x:v>-50.75328653812847</x:v>
      </x:c>
      <x:c r="D568" s="9" t="str"/>
      <x:c r="E568" s="9" t="str"/>
    </x:row>
    <x:row r="569" ht="18" customHeight="1">
      <x:c r="A569" s="6" t="str">
        <x:v>568</x:v>
      </x:c>
      <x:c r="B569" s="9" t="str"/>
      <x:c r="C569" s="9" t="str">
        <x:v>-51.80336397384402</x:v>
      </x:c>
      <x:c r="D569" s="9" t="str"/>
      <x:c r="E569" s="9" t="str"/>
    </x:row>
    <x:row r="570" ht="18" customHeight="1">
      <x:c r="A570" s="6" t="str">
        <x:v>569</x:v>
      </x:c>
      <x:c r="B570" s="9" t="str"/>
      <x:c r="C570" s="9" t="str">
        <x:v>-49.85270210076618</x:v>
      </x:c>
      <x:c r="D570" s="9" t="str"/>
      <x:c r="E570" s="9" t="str"/>
    </x:row>
    <x:row r="571" ht="18" customHeight="1">
      <x:c r="A571" s="6" t="str">
        <x:v>570</x:v>
      </x:c>
      <x:c r="B571" s="9" t="str"/>
      <x:c r="C571" s="9" t="str">
        <x:v>-50.33927227274033</x:v>
      </x:c>
      <x:c r="D571" s="9" t="str"/>
      <x:c r="E571" s="9" t="str"/>
    </x:row>
    <x:row r="572" ht="18" customHeight="1">
      <x:c r="A572" s="6" t="str">
        <x:v>571</x:v>
      </x:c>
      <x:c r="B572" s="9" t="str"/>
      <x:c r="C572" s="9" t="str">
        <x:v>-51.36077975828222</x:v>
      </x:c>
      <x:c r="D572" s="9" t="str"/>
      <x:c r="E572" s="9" t="str"/>
    </x:row>
    <x:row r="573" ht="18" customHeight="1">
      <x:c r="A573" s="6" t="str">
        <x:v>572</x:v>
      </x:c>
      <x:c r="B573" s="9" t="str"/>
      <x:c r="C573" s="9" t="str">
        <x:v>-49.38184359160809</x:v>
      </x:c>
      <x:c r="D573" s="9" t="str"/>
      <x:c r="E573" s="9" t="str"/>
    </x:row>
    <x:row r="574" ht="18" customHeight="1">
      <x:c r="A574" s="6" t="str">
        <x:v>573</x:v>
      </x:c>
      <x:c r="B574" s="9" t="str"/>
      <x:c r="C574" s="9" t="str">
        <x:v>-47.400157375826076</x:v>
      </x:c>
      <x:c r="D574" s="9" t="str"/>
      <x:c r="E574" s="9" t="str"/>
    </x:row>
    <x:row r="575" ht="18" customHeight="1">
      <x:c r="A575" s="6" t="str">
        <x:v>574</x:v>
      </x:c>
      <x:c r="B575" s="9" t="str"/>
      <x:c r="C575" s="9" t="str">
        <x:v>-48.44502782816457</x:v>
      </x:c>
      <x:c r="D575" s="9" t="str"/>
      <x:c r="E575" s="9" t="str"/>
    </x:row>
    <x:row r="576" ht="18" customHeight="1">
      <x:c r="A576" s="6" t="str">
        <x:v>575</x:v>
      </x:c>
      <x:c r="B576" s="9" t="str"/>
      <x:c r="C576" s="9" t="str">
        <x:v>-46.473498282310224</x:v>
      </x:c>
      <x:c r="D576" s="9" t="str"/>
      <x:c r="E576" s="9" t="str"/>
    </x:row>
    <x:row r="577" ht="18" customHeight="1">
      <x:c r="A577" s="6" t="str">
        <x:v>576</x:v>
      </x:c>
      <x:c r="B577" s="9" t="str"/>
      <x:c r="C577" s="9" t="str">
        <x:v>-47.491322722093905</x:v>
      </x:c>
      <x:c r="D577" s="9" t="str"/>
      <x:c r="E577" s="9" t="str"/>
    </x:row>
    <x:row r="578" ht="18" customHeight="1">
      <x:c r="A578" s="6" t="str">
        <x:v>577</x:v>
      </x:c>
      <x:c r="B578" s="9" t="str"/>
      <x:c r="C578" s="9" t="str">
        <x:v>-45.75919435398989</x:v>
      </x:c>
      <x:c r="D578" s="9" t="str"/>
      <x:c r="E578" s="9" t="str"/>
    </x:row>
    <x:row r="579" ht="18" customHeight="1">
      <x:c r="A579" s="6" t="str">
        <x:v>578</x:v>
      </x:c>
      <x:c r="B579" s="9" t="str"/>
      <x:c r="C579" s="9" t="str">
        <x:v>-46.809914749426454</x:v>
      </x:c>
      <x:c r="D579" s="9" t="str"/>
      <x:c r="E579" s="9" t="str"/>
    </x:row>
    <x:row r="580" ht="18" customHeight="1">
      <x:c r="A580" s="6" t="str">
        <x:v>579</x:v>
      </x:c>
      <x:c r="B580" s="9" t="str"/>
      <x:c r="C580" s="9" t="str">
        <x:v>-47.85045490286115</x:v>
      </x:c>
      <x:c r="D580" s="9" t="str"/>
      <x:c r="E580" s="9" t="str"/>
    </x:row>
    <x:row r="581" ht="18" customHeight="1">
      <x:c r="A581" s="6" t="str">
        <x:v>580</x:v>
      </x:c>
      <x:c r="B581" s="9" t="str"/>
      <x:c r="C581" s="9" t="str">
        <x:v>-48.86674068408198</x:v>
      </x:c>
      <x:c r="D581" s="9" t="str"/>
      <x:c r="E581" s="9" t="str"/>
    </x:row>
    <x:row r="582" ht="18" customHeight="1">
      <x:c r="A582" s="6" t="str">
        <x:v>581</x:v>
      </x:c>
      <x:c r="B582" s="9" t="str"/>
      <x:c r="C582" s="9" t="str">
        <x:v>-47.7570454319462</x:v>
      </x:c>
      <x:c r="D582" s="9" t="str"/>
      <x:c r="E582" s="9" t="str"/>
    </x:row>
    <x:row r="583" ht="18" customHeight="1">
      <x:c r="A583" s="6" t="str">
        <x:v>582</x:v>
      </x:c>
      <x:c r="B583" s="9" t="str"/>
      <x:c r="C583" s="9" t="str">
        <x:v>-48.76438383521601</x:v>
      </x:c>
      <x:c r="D583" s="9" t="str"/>
      <x:c r="E583" s="9" t="str"/>
    </x:row>
    <x:row r="584" ht="18" customHeight="1">
      <x:c r="A584" s="6" t="str">
        <x:v>583</x:v>
      </x:c>
      <x:c r="B584" s="9" t="str"/>
      <x:c r="C584" s="9" t="str">
        <x:v>-48.66700484968808</x:v>
      </x:c>
      <x:c r="D584" s="9" t="str"/>
      <x:c r="E584" s="9" t="str"/>
    </x:row>
    <x:row r="585" ht="18" customHeight="1">
      <x:c r="A585" s="6" t="str">
        <x:v>584</x:v>
      </x:c>
      <x:c r="B585" s="9" t="str"/>
      <x:c r="C585" s="9" t="str">
        <x:v>-47.27546828533132</x:v>
      </x:c>
      <x:c r="D585" s="9" t="str"/>
      <x:c r="E585" s="9" t="str"/>
    </x:row>
    <x:row r="586" ht="18" customHeight="1">
      <x:c r="A586" s="6" t="str">
        <x:v>585</x:v>
      </x:c>
      <x:c r="B586" s="9" t="str"/>
      <x:c r="C586" s="9" t="str">
        <x:v>-45.29343175798594</x:v>
      </x:c>
      <x:c r="D586" s="9" t="str"/>
      <x:c r="E586" s="9" t="str"/>
    </x:row>
    <x:row r="587" ht="18" customHeight="1">
      <x:c r="A587" s="6" t="str">
        <x:v>586</x:v>
      </x:c>
      <x:c r="B587" s="9" t="str"/>
      <x:c r="C587" s="9" t="str">
        <x:v>-44.716382607912486</x:v>
      </x:c>
      <x:c r="D587" s="9" t="str"/>
      <x:c r="E587" s="9" t="str"/>
    </x:row>
    <x:row r="588" ht="18" customHeight="1">
      <x:c r="A588" s="6" t="str">
        <x:v>587</x:v>
      </x:c>
      <x:c r="B588" s="9" t="str"/>
      <x:c r="C588" s="9" t="str">
        <x:v>-42.739195986514446</x:v>
      </x:c>
      <x:c r="D588" s="9" t="str"/>
      <x:c r="E588" s="9" t="str"/>
    </x:row>
    <x:row r="589" ht="18" customHeight="1">
      <x:c r="A589" s="6" t="str">
        <x:v>588</x:v>
      </x:c>
      <x:c r="B589" s="9" t="str"/>
      <x:c r="C589" s="9" t="str">
        <x:v>-43.75381397455232</x:v>
      </x:c>
      <x:c r="D589" s="9" t="str"/>
      <x:c r="E589" s="9" t="str"/>
    </x:row>
    <x:row r="590" ht="18" customHeight="1">
      <x:c r="A590" s="6" t="str">
        <x:v>589</x:v>
      </x:c>
      <x:c r="B590" s="9" t="str"/>
      <x:c r="C590" s="9" t="str">
        <x:v>-43.07875101149974</x:v>
      </x:c>
      <x:c r="D590" s="9" t="str"/>
      <x:c r="E590" s="9" t="str"/>
    </x:row>
    <x:row r="591" ht="18" customHeight="1">
      <x:c r="A591" s="6" t="str">
        <x:v>590</x:v>
      </x:c>
      <x:c r="B591" s="9" t="str"/>
      <x:c r="C591" s="9" t="str">
        <x:v>-41.768148249871814</x:v>
      </x:c>
      <x:c r="D591" s="9" t="str"/>
      <x:c r="E591" s="9" t="str"/>
    </x:row>
    <x:row r="592" ht="18" customHeight="1">
      <x:c r="A592" s="6" t="str">
        <x:v>591</x:v>
      </x:c>
      <x:c r="B592" s="9" t="str"/>
      <x:c r="C592" s="9" t="str">
        <x:v>-42.33253094937672</x:v>
      </x:c>
      <x:c r="D592" s="9" t="str"/>
      <x:c r="E592" s="9" t="str"/>
    </x:row>
    <x:row r="593" ht="18" customHeight="1">
      <x:c r="A593" s="6" t="str">
        <x:v>592</x:v>
      </x:c>
      <x:c r="B593" s="9" t="str"/>
      <x:c r="C593" s="9" t="str">
        <x:v>-43.343819307358324</x:v>
      </x:c>
      <x:c r="D593" s="9" t="str"/>
      <x:c r="E593" s="9" t="str"/>
    </x:row>
    <x:row r="594" ht="18" customHeight="1">
      <x:c r="A594" s="6" t="str">
        <x:v>593</x:v>
      </x:c>
      <x:c r="B594" s="9" t="str"/>
      <x:c r="C594" s="9" t="str">
        <x:v>-44.35887135706817</x:v>
      </x:c>
      <x:c r="D594" s="9" t="str"/>
      <x:c r="E594" s="9" t="str"/>
    </x:row>
    <x:row r="595" ht="18" customHeight="1">
      <x:c r="A595" s="6" t="str">
        <x:v>594</x:v>
      </x:c>
      <x:c r="B595" s="9" t="str"/>
      <x:c r="C595" s="9" t="str">
        <x:v>-42.62080143031365</x:v>
      </x:c>
      <x:c r="D595" s="9" t="str"/>
      <x:c r="E595" s="9" t="str"/>
    </x:row>
    <x:row r="596" ht="18" customHeight="1">
      <x:c r="A596" s="6" t="str">
        <x:v>595</x:v>
      </x:c>
      <x:c r="B596" s="9" t="str"/>
      <x:c r="C596" s="9" t="str">
        <x:v>-42.85727721609346</x:v>
      </x:c>
      <x:c r="D596" s="9" t="str"/>
      <x:c r="E596" s="9" t="str"/>
    </x:row>
    <x:row r="597" ht="18" customHeight="1">
      <x:c r="A597" s="6" t="str">
        <x:v>596</x:v>
      </x:c>
      <x:c r="B597" s="9" t="str"/>
      <x:c r="C597" s="9" t="str">
        <x:v>-43.87961259530349</x:v>
      </x:c>
      <x:c r="D597" s="9" t="str"/>
      <x:c r="E597" s="9" t="str"/>
    </x:row>
    <x:row r="598" ht="18" customHeight="1">
      <x:c r="A598" s="6" t="str">
        <x:v>597</x:v>
      </x:c>
      <x:c r="B598" s="9" t="str"/>
      <x:c r="C598" s="9" t="str">
        <x:v>-44.89059327752076</x:v>
      </x:c>
      <x:c r="D598" s="9" t="str"/>
      <x:c r="E598" s="9" t="str"/>
    </x:row>
    <x:row r="599" ht="18" customHeight="1">
      <x:c r="A599" s="6" t="str">
        <x:v>598</x:v>
      </x:c>
      <x:c r="B599" s="9" t="str"/>
      <x:c r="C599" s="9" t="str">
        <x:v>-44.406295675997036</x:v>
      </x:c>
      <x:c r="D599" s="9" t="str"/>
      <x:c r="E599" s="9" t="str"/>
    </x:row>
    <x:row r="600" ht="18" customHeight="1">
      <x:c r="A600" s="6" t="str">
        <x:v>599</x:v>
      </x:c>
      <x:c r="B600" s="9" t="str"/>
      <x:c r="C600" s="9" t="str">
        <x:v>-43.84569350720607</x:v>
      </x:c>
      <x:c r="D600" s="9" t="str"/>
      <x:c r="E600" s="9" t="str"/>
    </x:row>
    <x:row r="601" ht="18" customHeight="1">
      <x:c r="A601" s="6" t="str">
        <x:v>600</x:v>
      </x:c>
      <x:c r="B601" s="9" t="str"/>
      <x:c r="C601" s="9" t="str">
        <x:v>-41.86105500985106</x:v>
      </x:c>
      <x:c r="D601" s="9" t="str"/>
      <x:c r="E601" s="9" t="str"/>
    </x:row>
    <x:row r="602" ht="18" customHeight="1">
      <x:c r="A602" s="6" t="str">
        <x:v>601</x:v>
      </x:c>
      <x:c r="B602" s="9" t="str"/>
      <x:c r="C602" s="9" t="str">
        <x:v>-41.21200433909868</x:v>
      </x:c>
      <x:c r="D602" s="9" t="str"/>
      <x:c r="E602" s="9" t="str"/>
    </x:row>
    <x:row r="603" ht="18" customHeight="1">
      <x:c r="A603" s="6" t="str">
        <x:v>602</x:v>
      </x:c>
      <x:c r="B603" s="9" t="str"/>
      <x:c r="C603" s="9" t="str">
        <x:v>-39.261190293471884</x:v>
      </x:c>
      <x:c r="D603" s="9" t="str"/>
      <x:c r="E603" s="9" t="str"/>
    </x:row>
    <x:row r="604" ht="18" customHeight="1">
      <x:c r="A604" s="6" t="str">
        <x:v>603</x:v>
      </x:c>
      <x:c r="B604" s="9" t="str"/>
      <x:c r="C604" s="9" t="str">
        <x:v>-40.27961221356584</x:v>
      </x:c>
      <x:c r="D604" s="9" t="str"/>
      <x:c r="E604" s="9" t="str"/>
    </x:row>
    <x:row r="605" ht="18" customHeight="1">
      <x:c r="A605" s="6" t="str">
        <x:v>604</x:v>
      </x:c>
      <x:c r="B605" s="9" t="str"/>
      <x:c r="C605" s="9" t="str">
        <x:v>-38.30108231673768</x:v>
      </x:c>
      <x:c r="D605" s="9" t="str"/>
      <x:c r="E605" s="9" t="str"/>
    </x:row>
    <x:row r="606" ht="18" customHeight="1">
      <x:c r="A606" s="6" t="str">
        <x:v>605</x:v>
      </x:c>
      <x:c r="B606" s="9" t="str"/>
      <x:c r="C606" s="9" t="str">
        <x:v>-39.3149846171663</x:v>
      </x:c>
      <x:c r="D606" s="9" t="str"/>
      <x:c r="E606" s="9" t="str"/>
    </x:row>
    <x:row r="607" ht="18" customHeight="1">
      <x:c r="A607" s="6" t="str">
        <x:v>606</x:v>
      </x:c>
      <x:c r="B607" s="9" t="str"/>
      <x:c r="C607" s="9" t="str">
        <x:v>-38.668808801365614</x:v>
      </x:c>
      <x:c r="D607" s="9" t="str"/>
      <x:c r="E607" s="9" t="str"/>
    </x:row>
    <x:row r="608" ht="18" customHeight="1">
      <x:c r="A608" s="6" t="str">
        <x:v>607</x:v>
      </x:c>
      <x:c r="B608" s="9" t="str"/>
      <x:c r="C608" s="9" t="str">
        <x:v>-39.69317843269755</x:v>
      </x:c>
      <x:c r="D608" s="9" t="str"/>
      <x:c r="E608" s="9" t="str"/>
    </x:row>
    <x:row r="609" ht="18" customHeight="1">
      <x:c r="A609" s="6" t="str">
        <x:v>608</x:v>
      </x:c>
      <x:c r="B609" s="9" t="str"/>
      <x:c r="C609" s="9" t="str">
        <x:v>-38.443113290056765</x:v>
      </x:c>
      <x:c r="D609" s="9" t="str"/>
      <x:c r="E609" s="9" t="str"/>
    </x:row>
    <x:row r="610" ht="18" customHeight="1">
      <x:c r="A610" s="6" t="str">
        <x:v>609</x:v>
      </x:c>
      <x:c r="B610" s="9" t="str"/>
      <x:c r="C610" s="9" t="str">
        <x:v>-36.45996497163303</x:v>
      </x:c>
      <x:c r="D610" s="9" t="str"/>
      <x:c r="E610" s="9" t="str"/>
    </x:row>
    <x:row r="611" ht="18" customHeight="1">
      <x:c r="A611" s="6" t="str">
        <x:v>610</x:v>
      </x:c>
      <x:c r="B611" s="9" t="str"/>
      <x:c r="C611" s="9" t="str">
        <x:v>-34.47239398391393</x:v>
      </x:c>
      <x:c r="D611" s="9" t="str"/>
      <x:c r="E611" s="9" t="str"/>
    </x:row>
    <x:row r="612" ht="18" customHeight="1">
      <x:c r="A612" s="6" t="str">
        <x:v>611</x:v>
      </x:c>
      <x:c r="B612" s="9" t="str"/>
      <x:c r="C612" s="9" t="str">
        <x:v>-35.487827284386185</x:v>
      </x:c>
      <x:c r="D612" s="9" t="str"/>
      <x:c r="E612" s="9" t="str"/>
    </x:row>
    <x:row r="613" ht="18" customHeight="1">
      <x:c r="A613" s="6" t="str">
        <x:v>612</x:v>
      </x:c>
      <x:c r="B613" s="9" t="str"/>
      <x:c r="C613" s="9" t="str">
        <x:v>-34.47464857699832</x:v>
      </x:c>
      <x:c r="D613" s="9" t="str"/>
      <x:c r="E613" s="9" t="str"/>
    </x:row>
    <x:row r="614" ht="18" customHeight="1">
      <x:c r="A614" s="6" t="str">
        <x:v>613</x:v>
      </x:c>
      <x:c r="B614" s="9" t="str"/>
      <x:c r="C614" s="9" t="str">
        <x:v>-35.49867342015779</x:v>
      </x:c>
      <x:c r="D614" s="9" t="str"/>
      <x:c r="E614" s="9" t="str"/>
    </x:row>
    <x:row r="615" ht="18" customHeight="1">
      <x:c r="A615" s="6" t="str">
        <x:v>614</x:v>
      </x:c>
      <x:c r="B615" s="9" t="str"/>
      <x:c r="C615" s="9" t="str">
        <x:v>-34.71046131379956</x:v>
      </x:c>
      <x:c r="D615" s="9" t="str"/>
      <x:c r="E615" s="9" t="str"/>
    </x:row>
    <x:row r="616" ht="18" customHeight="1">
      <x:c r="A616" s="6" t="str">
        <x:v>615</x:v>
      </x:c>
      <x:c r="B616" s="9" t="str"/>
      <x:c r="C616" s="9" t="str">
        <x:v>-34.35935106956364</x:v>
      </x:c>
      <x:c r="D616" s="9" t="str"/>
      <x:c r="E616" s="9" t="str"/>
    </x:row>
    <x:row r="617" ht="18" customHeight="1">
      <x:c r="A617" s="6" t="str">
        <x:v>616</x:v>
      </x:c>
      <x:c r="B617" s="9" t="str"/>
      <x:c r="C617" s="9" t="str">
        <x:v>-35.400972885787695</x:v>
      </x:c>
      <x:c r="D617" s="9" t="str"/>
      <x:c r="E617" s="9" t="str"/>
    </x:row>
    <x:row r="618" ht="18" customHeight="1">
      <x:c r="A618" s="6" t="str">
        <x:v>617</x:v>
      </x:c>
      <x:c r="B618" s="9" t="str"/>
      <x:c r="C618" s="9" t="str">
        <x:v>-36.42370341949806</x:v>
      </x:c>
      <x:c r="D618" s="9" t="str"/>
      <x:c r="E618" s="9" t="str"/>
    </x:row>
    <x:row r="619" ht="18" customHeight="1">
      <x:c r="A619" s="6" t="str">
        <x:v>618</x:v>
      </x:c>
      <x:c r="B619" s="9" t="str"/>
      <x:c r="C619" s="9" t="str">
        <x:v>-37.436981184889945</x:v>
      </x:c>
      <x:c r="D619" s="9" t="str"/>
      <x:c r="E619" s="9" t="str"/>
    </x:row>
    <x:row r="620" ht="18" customHeight="1">
      <x:c r="A620" s="6" t="str">
        <x:v>619</x:v>
      </x:c>
      <x:c r="B620" s="9" t="str"/>
      <x:c r="C620" s="9" t="str">
        <x:v>-37.37220969978727</x:v>
      </x:c>
      <x:c r="D620" s="9" t="str"/>
      <x:c r="E620" s="9" t="str"/>
    </x:row>
    <x:row r="621" ht="18" customHeight="1">
      <x:c r="A621" s="6" t="str">
        <x:v>620</x:v>
      </x:c>
      <x:c r="B621" s="9" t="str"/>
      <x:c r="C621" s="9" t="str">
        <x:v>-35.41702934057674</x:v>
      </x:c>
      <x:c r="D621" s="9" t="str"/>
      <x:c r="E621" s="9" t="str"/>
    </x:row>
    <x:row r="622" ht="18" customHeight="1">
      <x:c r="A622" s="6" t="str">
        <x:v>621</x:v>
      </x:c>
      <x:c r="B622" s="9" t="str"/>
      <x:c r="C622" s="9" t="str">
        <x:v>-35.19761055575734</x:v>
      </x:c>
      <x:c r="D622" s="9" t="str"/>
      <x:c r="E622" s="9" t="str"/>
    </x:row>
    <x:row r="623" ht="18" customHeight="1">
      <x:c r="A623" s="6" t="str">
        <x:v>622</x:v>
      </x:c>
      <x:c r="B623" s="9" t="str"/>
      <x:c r="C623" s="9" t="str">
        <x:v>-34.914870695681415</x:v>
      </x:c>
      <x:c r="D623" s="9" t="str"/>
      <x:c r="E623" s="9" t="str"/>
    </x:row>
    <x:row r="624" ht="18" customHeight="1">
      <x:c r="A624" s="6" t="str">
        <x:v>623</x:v>
      </x:c>
      <x:c r="B624" s="9" t="str"/>
      <x:c r="C624" s="9" t="str">
        <x:v>-35.513660212371136</x:v>
      </x:c>
      <x:c r="D624" s="9" t="str"/>
      <x:c r="E624" s="9" t="str"/>
    </x:row>
    <x:row r="625" ht="18" customHeight="1">
      <x:c r="A625" s="6" t="str">
        <x:v>624</x:v>
      </x:c>
      <x:c r="B625" s="9" t="str"/>
      <x:c r="C625" s="9" t="str">
        <x:v>-36.57057170672513</x:v>
      </x:c>
      <x:c r="D625" s="9" t="str"/>
      <x:c r="E625" s="9" t="str"/>
    </x:row>
    <x:row r="626" ht="18" customHeight="1">
      <x:c r="A626" s="6" t="str">
        <x:v>625</x:v>
      </x:c>
      <x:c r="B626" s="9" t="str"/>
      <x:c r="C626" s="9" t="str">
        <x:v>-37.60534353949419</x:v>
      </x:c>
      <x:c r="D626" s="9" t="str"/>
      <x:c r="E626" s="9" t="str"/>
    </x:row>
    <x:row r="627" ht="18" customHeight="1">
      <x:c r="A627" s="6" t="str">
        <x:v>626</x:v>
      </x:c>
      <x:c r="B627" s="9" t="str"/>
      <x:c r="C627" s="9" t="str">
        <x:v>-38.623208665722046</x:v>
      </x:c>
      <x:c r="D627" s="9" t="str"/>
      <x:c r="E627" s="9" t="str"/>
    </x:row>
    <x:row r="628" ht="18" customHeight="1">
      <x:c r="A628" s="6" t="str">
        <x:v>627</x:v>
      </x:c>
      <x:c r="B628" s="9" t="str"/>
      <x:c r="C628" s="9" t="str">
        <x:v>-39.639736578056336</x:v>
      </x:c>
      <x:c r="D628" s="9" t="str"/>
      <x:c r="E628" s="9" t="str"/>
    </x:row>
    <x:row r="629" ht="18" customHeight="1">
      <x:c r="A629" s="6" t="str">
        <x:v>628</x:v>
      </x:c>
      <x:c r="B629" s="9" t="str"/>
      <x:c r="C629" s="9" t="str">
        <x:v>-40.66134030644096</x:v>
      </x:c>
      <x:c r="D629" s="9" t="str"/>
      <x:c r="E629" s="9" t="str"/>
    </x:row>
    <x:row r="630" ht="18" customHeight="1">
      <x:c r="A630" s="6" t="str">
        <x:v>629</x:v>
      </x:c>
      <x:c r="B630" s="9" t="str"/>
      <x:c r="C630" s="9" t="str">
        <x:v>-40.07775031643592</x:v>
      </x:c>
      <x:c r="D630" s="9" t="str"/>
      <x:c r="E630" s="9" t="str"/>
    </x:row>
    <x:row r="631" ht="18" customHeight="1">
      <x:c r="A631" s="6" t="str">
        <x:v>630</x:v>
      </x:c>
      <x:c r="B631" s="9" t="str"/>
      <x:c r="C631" s="9" t="str">
        <x:v>-41.10406194687472</x:v>
      </x:c>
      <x:c r="D631" s="9" t="str"/>
      <x:c r="E631" s="9" t="str"/>
    </x:row>
    <x:row r="632" ht="18" customHeight="1">
      <x:c r="A632" s="6" t="str">
        <x:v>631</x:v>
      </x:c>
      <x:c r="B632" s="9" t="str"/>
      <x:c r="C632" s="9" t="str">
        <x:v>-42.12726715370759</x:v>
      </x:c>
      <x:c r="D632" s="9" t="str"/>
      <x:c r="E632" s="9" t="str"/>
    </x:row>
    <x:row r="633" ht="18" customHeight="1">
      <x:c r="A633" s="6" t="str">
        <x:v>632</x:v>
      </x:c>
      <x:c r="B633" s="9" t="str"/>
      <x:c r="C633" s="9" t="str">
        <x:v>-43.15226712662539</x:v>
      </x:c>
      <x:c r="D633" s="9" t="str"/>
      <x:c r="E633" s="9" t="str"/>
    </x:row>
    <x:row r="634" ht="18" customHeight="1">
      <x:c r="A634" s="6" t="str">
        <x:v>633</x:v>
      </x:c>
      <x:c r="B634" s="9" t="str"/>
      <x:c r="C634" s="9" t="str">
        <x:v>-44.184690802826545</x:v>
      </x:c>
      <x:c r="D634" s="9" t="str"/>
      <x:c r="E634" s="9" t="str"/>
    </x:row>
    <x:row r="635" ht="18" customHeight="1">
      <x:c r="A635" s="6" t="str">
        <x:v>634</x:v>
      </x:c>
      <x:c r="B635" s="9" t="str"/>
      <x:c r="C635" s="9" t="str">
        <x:v>-43.96074800120164</x:v>
      </x:c>
      <x:c r="D635" s="9" t="str"/>
      <x:c r="E635" s="9" t="str"/>
    </x:row>
    <x:row r="636" ht="18" customHeight="1">
      <x:c r="A636" s="6" t="str">
        <x:v>635</x:v>
      </x:c>
      <x:c r="B636" s="9" t="str"/>
      <x:c r="C636" s="9" t="str">
        <x:v>-42.40158745492692</x:v>
      </x:c>
      <x:c r="D636" s="9" t="str"/>
      <x:c r="E636" s="9" t="str"/>
    </x:row>
    <x:row r="637" ht="18" customHeight="1">
      <x:c r="A637" s="6" t="str">
        <x:v>636</x:v>
      </x:c>
      <x:c r="B637" s="9" t="str"/>
      <x:c r="C637" s="9" t="str">
        <x:v>-43.42894912720007</x:v>
      </x:c>
      <x:c r="D637" s="9" t="str"/>
      <x:c r="E637" s="9" t="str"/>
    </x:row>
    <x:row r="638" ht="18" customHeight="1">
      <x:c r="A638" s="6" t="str">
        <x:v>637</x:v>
      </x:c>
      <x:c r="B638" s="9" t="str"/>
      <x:c r="C638" s="9" t="str">
        <x:v>-41.46570404706938</x:v>
      </x:c>
      <x:c r="D638" s="9" t="str"/>
      <x:c r="E638" s="9" t="str"/>
    </x:row>
    <x:row r="639" ht="18" customHeight="1">
      <x:c r="A639" s="6" t="str">
        <x:v>638</x:v>
      </x:c>
      <x:c r="B639" s="9" t="str"/>
      <x:c r="C639" s="9" t="str">
        <x:v>-41.23546768101296</x:v>
      </x:c>
      <x:c r="D639" s="9" t="str"/>
      <x:c r="E639" s="9" t="str"/>
    </x:row>
    <x:row r="640" ht="18" customHeight="1">
      <x:c r="A640" s="6" t="str">
        <x:v>639</x:v>
      </x:c>
      <x:c r="B640" s="9" t="str"/>
      <x:c r="C640" s="9" t="str">
        <x:v>-41.22811028634859</x:v>
      </x:c>
      <x:c r="D640" s="9" t="str"/>
      <x:c r="E640" s="9" t="str"/>
    </x:row>
    <x:row r="641" ht="18" customHeight="1">
      <x:c r="A641" s="6" t="str">
        <x:v>640</x:v>
      </x:c>
      <x:c r="B641" s="9" t="str"/>
      <x:c r="C641" s="9" t="str">
        <x:v>-42.23973555808699</x:v>
      </x:c>
      <x:c r="D641" s="9" t="str"/>
      <x:c r="E641" s="9" t="str"/>
    </x:row>
    <x:row r="642" ht="18" customHeight="1">
      <x:c r="A642" s="6" t="str">
        <x:v>641</x:v>
      </x:c>
      <x:c r="B642" s="9" t="str"/>
      <x:c r="C642" s="9" t="str">
        <x:v>-43.24664944430605</x:v>
      </x:c>
      <x:c r="D642" s="9" t="str"/>
      <x:c r="E642" s="9" t="str"/>
    </x:row>
    <x:row r="643" ht="18" customHeight="1">
      <x:c r="A643" s="6" t="str">
        <x:v>642</x:v>
      </x:c>
      <x:c r="B643" s="9" t="str"/>
      <x:c r="C643" s="9" t="str">
        <x:v>-43.933483541607444</x:v>
      </x:c>
      <x:c r="D643" s="9" t="str"/>
      <x:c r="E643" s="9" t="str"/>
    </x:row>
    <x:row r="644" ht="18" customHeight="1">
      <x:c r="A644" s="6" t="str">
        <x:v>643</x:v>
      </x:c>
      <x:c r="B644" s="9" t="str"/>
      <x:c r="C644" s="9" t="str">
        <x:v>-42.277583539342906</x:v>
      </x:c>
      <x:c r="D644" s="9" t="str"/>
      <x:c r="E644" s="9" t="str"/>
    </x:row>
    <x:row r="645" ht="18" customHeight="1">
      <x:c r="A645" s="6" t="str">
        <x:v>644</x:v>
      </x:c>
      <x:c r="B645" s="9" t="str"/>
      <x:c r="C645" s="9" t="str">
        <x:v>-43.29634682947609</x:v>
      </x:c>
      <x:c r="D645" s="9" t="str"/>
      <x:c r="E645" s="9" t="str"/>
    </x:row>
    <x:row r="646" ht="18" customHeight="1">
      <x:c r="A646" s="6" t="str">
        <x:v>645</x:v>
      </x:c>
      <x:c r="B646" s="9" t="str"/>
      <x:c r="C646" s="9" t="str">
        <x:v>-44.313231315117164</x:v>
      </x:c>
      <x:c r="D646" s="9" t="str"/>
      <x:c r="E646" s="9" t="str"/>
    </x:row>
    <x:row r="647" ht="18" customHeight="1">
      <x:c r="A647" s="6" t="str">
        <x:v>646</x:v>
      </x:c>
      <x:c r="B647" s="9" t="str"/>
      <x:c r="C647" s="9" t="str">
        <x:v>-44.647510373117285</x:v>
      </x:c>
      <x:c r="D647" s="9" t="str"/>
      <x:c r="E647" s="9" t="str"/>
    </x:row>
    <x:row r="648" ht="18" customHeight="1">
      <x:c r="A648" s="6" t="str">
        <x:v>647</x:v>
      </x:c>
      <x:c r="B648" s="9" t="str"/>
      <x:c r="C648" s="9" t="str">
        <x:v>-45.66720407896417</x:v>
      </x:c>
      <x:c r="D648" s="9" t="str"/>
      <x:c r="E648" s="9" t="str"/>
    </x:row>
    <x:row r="649" ht="18" customHeight="1">
      <x:c r="A649" s="6" t="str">
        <x:v>648</x:v>
      </x:c>
      <x:c r="B649" s="9" t="str"/>
      <x:c r="C649" s="9" t="str">
        <x:v>-44.82061293654284</x:v>
      </x:c>
      <x:c r="D649" s="9" t="str"/>
      <x:c r="E649" s="9" t="str"/>
    </x:row>
    <x:row r="650" ht="18" customHeight="1">
      <x:c r="A650" s="6" t="str">
        <x:v>649</x:v>
      </x:c>
      <x:c r="B650" s="9" t="str"/>
      <x:c r="C650" s="9" t="str">
        <x:v>-42.83962329815353</x:v>
      </x:c>
      <x:c r="D650" s="9" t="str"/>
      <x:c r="E650" s="9" t="str"/>
    </x:row>
    <x:row r="651" ht="18" customHeight="1">
      <x:c r="A651" s="6" t="str">
        <x:v>650</x:v>
      </x:c>
      <x:c r="B651" s="9" t="str"/>
      <x:c r="C651" s="9" t="str">
        <x:v>-41.539541164076574</x:v>
      </x:c>
      <x:c r="D651" s="9" t="str"/>
      <x:c r="E651" s="9" t="str"/>
    </x:row>
    <x:row r="652" ht="18" customHeight="1">
      <x:c r="A652" s="6" t="str">
        <x:v>651</x:v>
      </x:c>
      <x:c r="B652" s="9" t="str"/>
      <x:c r="C652" s="9" t="str">
        <x:v>-41.458869543150314</x:v>
      </x:c>
      <x:c r="D652" s="9" t="str"/>
      <x:c r="E652" s="9" t="str"/>
    </x:row>
    <x:row r="653" ht="18" customHeight="1">
      <x:c r="A653" s="6" t="str">
        <x:v>652</x:v>
      </x:c>
      <x:c r="B653" s="9" t="str"/>
      <x:c r="C653" s="9" t="str">
        <x:v>-39.48147685095525</x:v>
      </x:c>
      <x:c r="D653" s="9" t="str"/>
      <x:c r="E653" s="9" t="str"/>
    </x:row>
    <x:row r="654" ht="18" customHeight="1">
      <x:c r="A654" s="6" t="str">
        <x:v>653</x:v>
      </x:c>
      <x:c r="B654" s="9" t="str"/>
      <x:c r="C654" s="9" t="str">
        <x:v>-40.51022196044292</x:v>
      </x:c>
      <x:c r="D654" s="9" t="str"/>
      <x:c r="E654" s="9" t="str"/>
    </x:row>
    <x:row r="655" ht="18" customHeight="1">
      <x:c r="A655" s="6" t="str">
        <x:v>654</x:v>
      </x:c>
      <x:c r="B655" s="9" t="str"/>
      <x:c r="C655" s="9" t="str">
        <x:v>-39.994183928876154</x:v>
      </x:c>
      <x:c r="D655" s="9" t="str"/>
      <x:c r="E655" s="9" t="str"/>
    </x:row>
    <x:row r="656" ht="18" customHeight="1">
      <x:c r="A656" s="6" t="str">
        <x:v>655</x:v>
      </x:c>
      <x:c r="B656" s="9" t="str"/>
      <x:c r="C656" s="9" t="str">
        <x:v>-41.00592446104889</x:v>
      </x:c>
      <x:c r="D656" s="9" t="str"/>
      <x:c r="E656" s="9" t="str"/>
    </x:row>
    <x:row r="657" ht="18" customHeight="1">
      <x:c r="A657" s="6" t="str">
        <x:v>656</x:v>
      </x:c>
      <x:c r="B657" s="9" t="str"/>
      <x:c r="C657" s="9" t="str">
        <x:v>-41.12743923376651</x:v>
      </x:c>
      <x:c r="D657" s="9" t="str"/>
      <x:c r="E657" s="9" t="str"/>
    </x:row>
    <x:row r="658" ht="18" customHeight="1">
      <x:c r="A658" s="6" t="str">
        <x:v>657</x:v>
      </x:c>
      <x:c r="B658" s="9" t="str"/>
      <x:c r="C658" s="9" t="str">
        <x:v>-42.13770630093845</x:v>
      </x:c>
      <x:c r="D658" s="9" t="str"/>
      <x:c r="E658" s="9" t="str"/>
    </x:row>
    <x:row r="659" ht="18" customHeight="1">
      <x:c r="A659" s="6" t="str">
        <x:v>658</x:v>
      </x:c>
      <x:c r="B659" s="9" t="str"/>
      <x:c r="C659" s="9" t="str">
        <x:v>-43.14678741556882</x:v>
      </x:c>
      <x:c r="D659" s="9" t="str"/>
      <x:c r="E659" s="9" t="str"/>
    </x:row>
    <x:row r="660" ht="18" customHeight="1">
      <x:c r="A660" s="6" t="str">
        <x:v>659</x:v>
      </x:c>
      <x:c r="B660" s="9" t="str"/>
      <x:c r="C660" s="9" t="str">
        <x:v>-44.16254210798293</x:v>
      </x:c>
      <x:c r="D660" s="9" t="str"/>
      <x:c r="E660" s="9" t="str"/>
    </x:row>
    <x:row r="661" ht="18" customHeight="1">
      <x:c r="A661" s="6" t="str">
        <x:v>660</x:v>
      </x:c>
      <x:c r="B661" s="9" t="str"/>
      <x:c r="C661" s="9" t="str">
        <x:v>-44.161441078357974</x:v>
      </x:c>
      <x:c r="D661" s="9" t="str"/>
      <x:c r="E661" s="9" t="str"/>
    </x:row>
    <x:row r="662" ht="18" customHeight="1">
      <x:c r="A662" s="6" t="str">
        <x:v>661</x:v>
      </x:c>
      <x:c r="B662" s="9" t="str"/>
      <x:c r="C662" s="9" t="str">
        <x:v>-42.177627430434384</x:v>
      </x:c>
      <x:c r="D662" s="9" t="str"/>
      <x:c r="E662" s="9" t="str"/>
    </x:row>
    <x:row r="663" ht="18" customHeight="1">
      <x:c r="A663" s="6" t="str">
        <x:v>662</x:v>
      </x:c>
      <x:c r="B663" s="9" t="str"/>
      <x:c r="C663" s="9" t="str">
        <x:v>-43.19715604440898</x:v>
      </x:c>
      <x:c r="D663" s="9" t="str"/>
      <x:c r="E663" s="9" t="str"/>
    </x:row>
    <x:row r="664" ht="18" customHeight="1">
      <x:c r="A664" s="6" t="str">
        <x:v>663</x:v>
      </x:c>
      <x:c r="B664" s="9" t="str"/>
      <x:c r="C664" s="9" t="str">
        <x:v>-44.222968551518136</x:v>
      </x:c>
      <x:c r="D664" s="9" t="str"/>
      <x:c r="E664" s="9" t="str"/>
    </x:row>
    <x:row r="665" ht="18" customHeight="1">
      <x:c r="A665" s="6" t="str">
        <x:v>664</x:v>
      </x:c>
      <x:c r="B665" s="9" t="str"/>
      <x:c r="C665" s="9" t="str">
        <x:v>-45.22950953738323</x:v>
      </x:c>
      <x:c r="D665" s="9" t="str"/>
      <x:c r="E665" s="9" t="str"/>
    </x:row>
    <x:row r="666" ht="18" customHeight="1">
      <x:c r="A666" s="6" t="str">
        <x:v>665</x:v>
      </x:c>
      <x:c r="B666" s="9" t="str"/>
      <x:c r="C666" s="9" t="str">
        <x:v>-46.23404057659904</x:v>
      </x:c>
      <x:c r="D666" s="9" t="str"/>
      <x:c r="E666" s="9" t="str"/>
    </x:row>
    <x:row r="667" ht="18" customHeight="1">
      <x:c r="A667" s="6" t="str">
        <x:v>666</x:v>
      </x:c>
      <x:c r="B667" s="9" t="str"/>
      <x:c r="C667" s="9" t="str">
        <x:v>-47.249994104100715</x:v>
      </x:c>
      <x:c r="D667" s="9" t="str"/>
      <x:c r="E667" s="9" t="str"/>
    </x:row>
    <x:row r="668" ht="18" customHeight="1">
      <x:c r="A668" s="6" t="str">
        <x:v>667</x:v>
      </x:c>
      <x:c r="B668" s="9" t="str"/>
      <x:c r="C668" s="9" t="str">
        <x:v>-46.67471044092016</x:v>
      </x:c>
      <x:c r="D668" s="9" t="str"/>
      <x:c r="E668" s="9" t="str"/>
    </x:row>
    <x:row r="669" ht="18" customHeight="1">
      <x:c r="A669" s="6" t="str">
        <x:v>668</x:v>
      </x:c>
      <x:c r="B669" s="9" t="str"/>
      <x:c r="C669" s="9" t="str">
        <x:v>-46.4664442970515</x:v>
      </x:c>
      <x:c r="D669" s="9" t="str"/>
      <x:c r="E669" s="9" t="str"/>
    </x:row>
    <x:row r="670" ht="18" customHeight="1">
      <x:c r="A670" s="6" t="str">
        <x:v>669</x:v>
      </x:c>
      <x:c r="B670" s="9" t="str"/>
      <x:c r="C670" s="9" t="str">
        <x:v>-45.393252812967944</x:v>
      </x:c>
      <x:c r="D670" s="9" t="str"/>
      <x:c r="E670" s="9" t="str"/>
    </x:row>
    <x:row r="671" ht="18" customHeight="1">
      <x:c r="A671" s="6" t="str">
        <x:v>670</x:v>
      </x:c>
      <x:c r="B671" s="9" t="str"/>
      <x:c r="C671" s="9" t="str">
        <x:v>-45.614073316292355</x:v>
      </x:c>
      <x:c r="D671" s="9" t="str"/>
      <x:c r="E671" s="9" t="str"/>
    </x:row>
    <x:row r="672" ht="18" customHeight="1">
      <x:c r="A672" s="6" t="str">
        <x:v>671</x:v>
      </x:c>
      <x:c r="B672" s="9" t="str"/>
      <x:c r="C672" s="9" t="str">
        <x:v>-46.62627893164727</x:v>
      </x:c>
      <x:c r="D672" s="9" t="str"/>
      <x:c r="E672" s="9" t="str"/>
    </x:row>
    <x:row r="673" ht="18" customHeight="1">
      <x:c r="A673" s="6" t="str">
        <x:v>672</x:v>
      </x:c>
      <x:c r="B673" s="9" t="str"/>
      <x:c r="C673" s="9" t="str">
        <x:v>-47.640079988600505</x:v>
      </x:c>
      <x:c r="D673" s="9" t="str"/>
      <x:c r="E673" s="9" t="str"/>
    </x:row>
    <x:row r="674" ht="18" customHeight="1">
      <x:c r="A674" s="6" t="str">
        <x:v>673</x:v>
      </x:c>
      <x:c r="B674" s="9" t="str"/>
      <x:c r="C674" s="9" t="str">
        <x:v>-48.65420034450957</x:v>
      </x:c>
      <x:c r="D674" s="9" t="str"/>
      <x:c r="E674" s="9" t="str"/>
    </x:row>
    <x:row r="675" ht="18" customHeight="1">
      <x:c r="A675" s="6" t="str">
        <x:v>674</x:v>
      </x:c>
      <x:c r="B675" s="9" t="str"/>
      <x:c r="C675" s="9" t="str">
        <x:v>-48.05425301553889</x:v>
      </x:c>
      <x:c r="D675" s="9" t="str"/>
      <x:c r="E675" s="9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12" hidden="0" customWidth="1"/>
    <x:col min="5" max="5" width="14" hidden="0" customWidth="1"/>
    <x:col min="6" max="6" width="13" hidden="0" customWidth="1"/>
    <x:col min="7" max="7" width="20" hidden="0" customWidth="1"/>
    <x:col min="8" max="8" width="12" hidden="0" customWidth="1"/>
    <x:col min="9" max="9" width="16" hidden="0" customWidth="1"/>
    <x:col min="10" max="10" width="14" hidden="0" customWidth="1"/>
    <x:col min="11" max="11" width="10" hidden="0" customWidth="1"/>
    <x:col min="12" max="12" width="15" hidden="0" customWidth="1"/>
    <x:col min="13" max="13" width="10" hidden="0" customWidth="1"/>
    <x:col min="14" max="14" width="12" hidden="0" customWidth="1"/>
    <x:col min="15" max="15" width="11" hidden="0" customWidth="1"/>
    <x:col min="16" max="16" width="18" hidden="0" customWidth="1"/>
    <x:col min="17" max="17" width="10" hidden="0" customWidth="1"/>
    <x:col min="18" max="18" width="14" hidden="0" customWidth="1"/>
    <x:col min="19" max="19" width="12" hidden="0" customWidth="1"/>
    <x:col min="20" max="20" width="10" hidden="0" customWidth="1"/>
    <x:col min="21" max="21" width="13" hidden="0" customWidth="1"/>
    <x:col min="22" max="22" width="11" hidden="0" customWidth="1"/>
    <x:col min="23" max="23" width="11" hidden="0" customWidth="1"/>
  </x:cols>
  <x:sheetData>
    <x:row r="1" ht="46" customHeight="1">
      <x:c r="A1" s="5" t="str">
        <x:v>baseline</x:v>
      </x:c>
      <x:c r="B1" s="5" t="str">
        <x:v>N</x:v>
      </x:c>
      <x:c r="C1" s="5" t="str">
        <x:v>pct_all_trades</x:v>
      </x:c>
      <x:c r="D1" s="5" t="str">
        <x:v>gross_wins</x:v>
      </x:c>
      <x:c r="E1" s="5" t="str">
        <x:v>gross_losses</x:v>
      </x:c>
      <x:c r="F1" s="5" t="str">
        <x:v>gross_flats</x:v>
      </x:c>
      <x:c r="G1" s="5" t="str">
        <x:v>gross_win_rate_pct</x:v>
      </x:c>
      <x:c r="H1" s="5" t="str">
        <x:v>gross_AvgR</x:v>
      </x:c>
      <x:c r="I1" s="5" t="str">
        <x:v>gross_median_R</x:v>
      </x:c>
      <x:c r="J1" s="5" t="str">
        <x:v>gross_TotalR</x:v>
      </x:c>
      <x:c r="K1" s="5" t="str">
        <x:v>gross_PF</x:v>
      </x:c>
      <x:c r="L1" s="5" t="str">
        <x:v>gross_MaxDD_R</x:v>
      </x:c>
      <x:c r="M1" s="5" t="str">
        <x:v>net_wins</x:v>
      </x:c>
      <x:c r="N1" s="5" t="str">
        <x:v>net_losses</x:v>
      </x:c>
      <x:c r="O1" s="5" t="str">
        <x:v>net_flats</x:v>
      </x:c>
      <x:c r="P1" s="5" t="str">
        <x:v>net_win_rate_pct</x:v>
      </x:c>
      <x:c r="Q1" s="5" t="str">
        <x:v>net_AvgR</x:v>
      </x:c>
      <x:c r="R1" s="5" t="str">
        <x:v>net_median_R</x:v>
      </x:c>
      <x:c r="S1" s="5" t="str">
        <x:v>net_TotalR</x:v>
      </x:c>
      <x:c r="T1" s="5" t="str">
        <x:v>net_PF</x:v>
      </x:c>
      <x:c r="U1" s="5" t="str">
        <x:v>net_MaxDD_R</x:v>
      </x:c>
      <x:c r="V1" s="5" t="str">
        <x:v>avg_MFE_R</x:v>
      </x:c>
      <x:c r="W1" s="5" t="str">
        <x:v>avg_MAE_R</x:v>
      </x:c>
    </x:row>
    <x:row r="2" ht="18" customHeight="1">
      <x:c r="A2" s="13" t="str">
        <x:v>705-trade development</x:v>
      </x:c>
      <x:c r="B2" s="14" t="str">
        <x:v>705</x:v>
      </x:c>
      <x:c r="C2" s="15" t="str">
        <x:v>100.0</x:v>
      </x:c>
      <x:c r="D2" s="14" t="str">
        <x:v>289</x:v>
      </x:c>
      <x:c r="E2" s="14" t="str">
        <x:v>415</x:v>
      </x:c>
      <x:c r="F2" s="14" t="str">
        <x:v>1</x:v>
      </x:c>
      <x:c r="G2" s="15" t="str">
        <x:v>40.99290780141844</x:v>
      </x:c>
      <x:c r="H2" s="16" t="str">
        <x:v>-0.03634126434069508</x:v>
      </x:c>
      <x:c r="I2" s="16" t="str">
        <x:v>-0.6087169597707835</x:v>
      </x:c>
      <x:c r="J2" s="16" t="str">
        <x:v>-25.620591360190033</x:v>
      </x:c>
      <x:c r="K2" s="16" t="str">
        <x:v>0.9304045369352899</x:v>
      </x:c>
      <x:c r="L2" s="16" t="str">
        <x:v>42.43787130874263</x:v>
      </x:c>
      <x:c r="M2" s="14" t="str">
        <x:v>284</x:v>
      </x:c>
      <x:c r="N2" s="14" t="str">
        <x:v>421</x:v>
      </x:c>
      <x:c r="O2" s="14" t="str">
        <x:v>0</x:v>
      </x:c>
      <x:c r="P2" s="15" t="str">
        <x:v>40.283687943262414</x:v>
      </x:c>
      <x:c r="Q2" s="16" t="str">
        <x:v>-0.06957314333917415</x:v>
      </x:c>
      <x:c r="R2" s="16" t="str">
        <x:v>-0.661561303094527</x:v>
      </x:c>
      <x:c r="S2" s="16" t="str">
        <x:v>-49.04906605411777</x:v>
      </x:c>
      <x:c r="T2" s="16" t="str">
        <x:v>0.8717849563156026</x:v>
      </x:c>
      <x:c r="U2" s="16" t="str">
        <x:v>60.29673416610867</x:v>
      </x:c>
      <x:c r="V2" s="16" t="str">
        <x:v>1.0192036899220243</x:v>
      </x:c>
      <x:c r="W2" s="16" t="str">
        <x:v>0.9002764811316044</x:v>
      </x:c>
    </x:row>
  </x:sheetData>
  <x:conditionalFormatting sqref="Q2:Q2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S2:S2">
    <x:cfRule type="colorScale" priority="2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T2:T2">
    <x:cfRule type="colorScale" priority="3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</x:cols>
  <x:sheetData>
    <x:row r="1" ht="46" customHeight="1">
      <x:c r="A1" s="5" t="str">
        <x:v>field</x:v>
      </x:c>
      <x:c r="B1" s="5" t="str">
        <x:v>mismatches</x:v>
      </x:c>
    </x:row>
    <x:row r="2" ht="18" customHeight="1">
      <x:c r="A2" s="13" t="str">
        <x:v>model</x:v>
      </x:c>
      <x:c r="B2" s="13" t="str">
        <x:v>0</x:v>
      </x:c>
    </x:row>
    <x:row r="3" ht="18" customHeight="1">
      <x:c r="A3" s="13" t="str">
        <x:v>direction</x:v>
      </x:c>
      <x:c r="B3" s="13" t="str">
        <x:v>0</x:v>
      </x:c>
    </x:row>
    <x:row r="4" ht="18" customHeight="1">
      <x:c r="A4" s="13" t="str">
        <x:v>setup_timestamp</x:v>
      </x:c>
      <x:c r="B4" s="13" t="str">
        <x:v>0</x:v>
      </x:c>
    </x:row>
    <x:row r="5" ht="18" customHeight="1">
      <x:c r="A5" s="13" t="str">
        <x:v>bos_timestamp</x:v>
      </x:c>
      <x:c r="B5" s="13" t="str">
        <x:v>0</x:v>
      </x:c>
    </x:row>
    <x:row r="6" ht="18" customHeight="1">
      <x:c r="A6" s="13" t="str">
        <x:v>retest_timestamp</x:v>
      </x:c>
      <x:c r="B6" s="13" t="str">
        <x:v>0</x:v>
      </x:c>
    </x:row>
    <x:row r="7" ht="18" customHeight="1">
      <x:c r="A7" s="13" t="str">
        <x:v>confirm_timestamp</x:v>
      </x:c>
      <x:c r="B7" s="13" t="str">
        <x:v>0</x:v>
      </x:c>
    </x:row>
    <x:row r="8" ht="18" customHeight="1">
      <x:c r="A8" s="13" t="str">
        <x:v>entry_timestamp</x:v>
      </x:c>
      <x:c r="B8" s="13" t="str">
        <x:v>0</x:v>
      </x:c>
    </x:row>
    <x:row r="9" ht="18" customHeight="1">
      <x:c r="A9" s="13" t="str">
        <x:v>exit_timestamp</x:v>
      </x:c>
      <x:c r="B9" s="13" t="str">
        <x:v>0</x:v>
      </x:c>
    </x:row>
    <x:row r="10" ht="18" customHeight="1">
      <x:c r="A10" s="13" t="str">
        <x:v>entry_price</x:v>
      </x:c>
      <x:c r="B10" s="13" t="str">
        <x:v>0</x:v>
      </x:c>
    </x:row>
    <x:row r="11" ht="18" customHeight="1">
      <x:c r="A11" s="13" t="str">
        <x:v>stop_price</x:v>
      </x:c>
      <x:c r="B11" s="13" t="str">
        <x:v>0</x:v>
      </x:c>
    </x:row>
    <x:row r="12" ht="18" customHeight="1">
      <x:c r="A12" s="13" t="str">
        <x:v>target_price</x:v>
      </x:c>
      <x:c r="B12" s="13" t="str">
        <x:v>0</x:v>
      </x:c>
    </x:row>
    <x:row r="13" ht="18" customHeight="1">
      <x:c r="A13" s="13" t="str">
        <x:v>exit_price</x:v>
      </x:c>
      <x:c r="B13" s="13" t="str">
        <x:v>0</x:v>
      </x:c>
    </x:row>
    <x:row r="14" ht="18" customHeight="1">
      <x:c r="A14" s="13" t="str">
        <x:v>result_R</x:v>
      </x:c>
      <x:c r="B14" s="13" t="str">
        <x:v>0</x:v>
      </x:c>
    </x:row>
    <x:row r="15" ht="18" customHeight="1">
      <x:c r="A15" s="13" t="str">
        <x:v>score</x:v>
      </x:c>
      <x:c r="B15" s="13" t="str">
        <x:v>0</x:v>
      </x:c>
    </x:row>
    <x:row r="16" ht="18" customHeight="1">
      <x:c r="A16" s="13" t="str">
        <x:v>htf_regime</x:v>
      </x:c>
      <x:c r="B16" s="13" t="str">
        <x:v>0</x:v>
      </x:c>
    </x:row>
    <x:row r="17" ht="18" customHeight="1">
      <x:c r="A17" s="13" t="str">
        <x:v>session_bucket</x:v>
      </x:c>
      <x:c r="B17" s="13" t="str">
        <x:v>0</x:v>
      </x:c>
    </x:row>
    <x:row r="18" ht="18" customHeight="1">
      <x:c r="A18" s="13" t="str">
        <x:v>exit_reason</x:v>
      </x:c>
      <x:c r="B18" s="13" t="str">
        <x:v>0</x:v>
      </x:c>
    </x:row>
  </x:sheetData>
  <x:conditionalFormatting sqref="B2:B18">
    <x:cfRule type="containsText" dxfId="3" priority="1" operator="containsText" text="0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82" t="str">
        <x:v>Structural family comparison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2"/>
      <x:c r="P1" s="82"/>
    </x:row>
    <x:row r="2">
      <x:c r="A2" s="82"/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  <x:c r="O2" s="82"/>
      <x:c r="P2" s="82"/>
    </x:row>
    <x:row r="3" ht="24" customHeight="1">
      <x:c r="A3" s="83" t="str">
        <x:v>Five adequate-N three-factor families · after costs · descriptive forensic comparison, not a candidate filter</x:v>
      </x:c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  <x:c r="O3" s="83"/>
      <x:c r="P3" s="83"/>
    </x:row>
    <x:row r="30" ht="32" customHeight="1">
      <x:c r="A30" s="86" t="str">
        <x:v>Family</x:v>
      </x:c>
      <x:c r="B30" s="86" t="str">
        <x:v>Net Avg R</x:v>
      </x:c>
      <x:c r="C30" t="str"/>
      <x:c r="D30" s="86" t="str">
        <x:v>Family</x:v>
      </x:c>
      <x:c r="E30" s="86" t="str">
        <x:v>Net Total R</x:v>
      </x:c>
      <x:c r="F30" t="str"/>
      <x:c r="G30" s="86" t="str">
        <x:v>Family</x:v>
      </x:c>
      <x:c r="H30" s="86" t="str">
        <x:v>Net PF</x:v>
      </x:c>
      <x:c r="I30" t="str"/>
      <x:c r="J30" s="86" t="str">
        <x:v>Family</x:v>
      </x:c>
      <x:c r="K30" s="86" t="str">
        <x:v>N</x:v>
      </x:c>
    </x:row>
    <x:row r="31">
      <x:c r="A31" s="11" t="str">
        <x:v>Short × Same × No reclaim</x:v>
      </x:c>
      <x:c r="B31" s="11" t="str">
        <x:f>'Family Tests'!R2</x:f>
        <x:v>-0.03209074317996406</x:v>
      </x:c>
      <x:c r="D31" s="11" t="str">
        <x:v>Short × Same × No reclaim</x:v>
      </x:c>
      <x:c r="E31" s="11" t="str">
        <x:f>'Family Tests'!T2</x:f>
        <x:v>-0.994813038578886</x:v>
      </x:c>
      <x:c r="G31" s="11" t="str">
        <x:v>Short × Same × No reclaim</x:v>
      </x:c>
      <x:c r="H31" s="11" t="str">
        <x:f>'Family Tests'!U2</x:f>
        <x:v>0.9432164459913266</x:v>
      </x:c>
      <x:c r="J31" s="11" t="str">
        <x:v>Short × Same × No reclaim</x:v>
      </x:c>
      <x:c r="K31" s="11" t="str">
        <x:f>'Family Tests'!C2</x:f>
        <x:v>31</x:v>
      </x:c>
    </x:row>
    <x:row r="32">
      <x:c r="A32" s="11" t="str">
        <x:v>Short × Same × Reclaim</x:v>
      </x:c>
      <x:c r="B32" s="11" t="str">
        <x:f>'Family Tests'!R3</x:f>
        <x:v>-0.03938232974546615</x:v>
      </x:c>
      <x:c r="D32" s="11" t="str">
        <x:v>Short × Same × Reclaim</x:v>
      </x:c>
      <x:c r="E32" s="11" t="str">
        <x:f>'Family Tests'!T3</x:f>
        <x:v>-7.679554300365899</x:v>
      </x:c>
      <x:c r="G32" s="11" t="str">
        <x:v>Short × Same × Reclaim</x:v>
      </x:c>
      <x:c r="H32" s="11" t="str">
        <x:f>'Family Tests'!U3</x:f>
        <x:v>0.9295293060095574</x:v>
      </x:c>
      <x:c r="J32" s="11" t="str">
        <x:v>Short × Same × Reclaim</x:v>
      </x:c>
      <x:c r="K32" s="11" t="str">
        <x:f>'Family Tests'!C3</x:f>
        <x:v>195</x:v>
      </x:c>
    </x:row>
    <x:row r="33">
      <x:c r="A33" s="11" t="str">
        <x:v>Short × Same × Shallow</x:v>
      </x:c>
      <x:c r="B33" s="11" t="str">
        <x:f>'Family Tests'!R4</x:f>
        <x:v>-0.05214977888529126</x:v>
      </x:c>
      <x:c r="D33" s="11" t="str">
        <x:v>Short × Same × Shallow</x:v>
      </x:c>
      <x:c r="E33" s="11" t="str">
        <x:f>'Family Tests'!T4</x:f>
        <x:v>-4.432731205249757</x:v>
      </x:c>
      <x:c r="G33" s="11" t="str">
        <x:v>Short × Same × Shallow</x:v>
      </x:c>
      <x:c r="H33" s="11" t="str">
        <x:f>'Family Tests'!U4</x:f>
        <x:v>0.9059803396009476</x:v>
      </x:c>
      <x:c r="J33" s="11" t="str">
        <x:v>Short × Same × Shallow</x:v>
      </x:c>
      <x:c r="K33" s="11" t="str">
        <x:f>'Family Tests'!C4</x:f>
        <x:v>85</x:v>
      </x:c>
    </x:row>
    <x:row r="34">
      <x:c r="A34" s="11" t="str">
        <x:v>Long × Same × Reclaim</x:v>
      </x:c>
      <x:c r="B34" s="11" t="str">
        <x:f>'Family Tests'!R5</x:f>
        <x:v>-0.0589890695932279</x:v>
      </x:c>
      <x:c r="D34" s="11" t="str">
        <x:v>Long × Same × Reclaim</x:v>
      </x:c>
      <x:c r="E34" s="11" t="str">
        <x:f>'Family Tests'!T5</x:f>
        <x:v>-13.095573449696595</x:v>
      </x:c>
      <x:c r="G34" s="11" t="str">
        <x:v>Long × Same × Reclaim</x:v>
      </x:c>
      <x:c r="H34" s="11" t="str">
        <x:f>'Family Tests'!U5</x:f>
        <x:v>0.8844147579186667</x:v>
      </x:c>
      <x:c r="J34" s="11" t="str">
        <x:v>Long × Same × Reclaim</x:v>
      </x:c>
      <x:c r="K34" s="11" t="str">
        <x:f>'Family Tests'!C5</x:f>
        <x:v>222</x:v>
      </x:c>
    </x:row>
    <x:row r="35">
      <x:c r="A35" s="11" t="str">
        <x:v>Long × Same × Shallow</x:v>
      </x:c>
      <x:c r="B35" s="11" t="str">
        <x:f>'Family Tests'!R6</x:f>
        <x:v>-0.11049556035857784</x:v>
      </x:c>
      <x:c r="D35" s="11" t="str">
        <x:v>Long × Same × Shallow</x:v>
      </x:c>
      <x:c r="E35" s="11" t="str">
        <x:f>'Family Tests'!T6</x:f>
        <x:v>-8.839644828686227</x:v>
      </x:c>
      <x:c r="G35" s="11" t="str">
        <x:v>Long × Same × Shallow</x:v>
      </x:c>
      <x:c r="H35" s="11" t="str">
        <x:f>'Family Tests'!U6</x:f>
        <x:v>0.7901929623320415</x:v>
      </x:c>
      <x:c r="J35" s="11" t="str">
        <x:v>Long × Same × Shallow</x:v>
      </x:c>
      <x:c r="K35" s="11" t="str">
        <x:f>'Family Tests'!C6</x:f>
        <x:v>80</x:v>
      </x:c>
    </x:row>
  </x:sheetData>
  <x:mergeCells>
    <x:mergeCell ref="A1:P2"/>
    <x:mergeCell ref="A3:P3"/>
  </x:mergeCells>
  <x:pageMargins left="0.7" right="0.7" top="0.75" bottom="0.75" header="0.3" footer="0.3"/>
  <x:drawing xmlns:r="http://schemas.openxmlformats.org/officeDocument/2006/relationships" r:id="Rd8c0f9126bfe45a8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82" t="str">
        <x:v>Cumulative performance and time stability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2"/>
      <x:c r="P1" s="82"/>
    </x:row>
    <x:row r="2">
      <x:c r="A2" s="82"/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  <x:c r="O2" s="82"/>
      <x:c r="P2" s="82"/>
    </x:row>
    <x:row r="3" ht="24" customHeight="1">
      <x:c r="A3" s="83" t="str">
        <x:v>The least-negative family is not profitable and is not stable; curves are shown for diagnosis only</x:v>
      </x:c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  <x:c r="O3" s="83"/>
      <x:c r="P3" s="83"/>
    </x:row>
    <x:row r="30" ht="32" customHeight="1">
      <x:c r="A30" s="86" t="str">
        <x:v>trade_sequence</x:v>
      </x:c>
      <x:c r="B30" s="86" t="str">
        <x:v>best_family_cumulative_net_R</x:v>
      </x:c>
      <x:c r="C30" s="86" t="str">
        <x:v>complement_cumulative_net_R</x:v>
      </x:c>
      <x:c r="D30" s="86" t="str">
        <x:v>long_cumulative_net_R</x:v>
      </x:c>
      <x:c r="E30" s="86" t="str">
        <x:v>short_cumulative_net_R</x:v>
      </x:c>
      <x:c r="G30" s="86" t="str">
        <x:v>Trade sequence</x:v>
      </x:c>
      <x:c r="H30" s="86" t="str">
        <x:v>Complement cumulative net R</x:v>
      </x:c>
      <x:c r="J30" s="86" t="str">
        <x:v>Trade sequence</x:v>
      </x:c>
      <x:c r="K30" s="86" t="str">
        <x:v>Long cumulative net R</x:v>
      </x:c>
      <x:c r="L30" s="86" t="str">
        <x:v>Short cumulative net R</x:v>
      </x:c>
      <x:c r="N30" s="86" t="str">
        <x:v>Year</x:v>
      </x:c>
      <x:c r="O30" s="86" t="str">
        <x:v>Least-negative family</x:v>
      </x:c>
      <x:c r="P30" s="86" t="str">
        <x:v>Largest loss contributor</x:v>
      </x:c>
    </x:row>
    <x:row r="31">
      <x:c r="A31" s="11" t="str">
        <x:f>'Cumulative'!A2</x:f>
        <x:v>1</x:v>
      </x:c>
      <x:c r="B31" s="11" t="str">
        <x:f>'Cumulative'!B2</x:f>
        <x:v>0.26754379407886186</x:v>
      </x:c>
      <x:c r="C31" s="11" t="str">
        <x:f>'Cumulative'!C2</x:f>
        <x:v>0.6259783903060969</x:v>
      </x:c>
      <x:c r="D31" s="11" t="str">
        <x:f>'Cumulative'!D2</x:f>
        <x:v>1.978976759436004</x:v>
      </x:c>
      <x:c r="E31" s="11" t="str">
        <x:f>'Cumulative'!E2</x:f>
        <x:v>0.6259783903060969</x:v>
      </x:c>
      <x:c r="G31" s="11" t="str">
        <x:f>'Cumulative'!A2</x:f>
        <x:v>1</x:v>
      </x:c>
      <x:c r="H31" s="11" t="str">
        <x:f>'Cumulative'!C2</x:f>
        <x:v>0.6259783903060969</x:v>
      </x:c>
      <x:c r="I31" s="87"/>
      <x:c r="J31" s="11" t="str">
        <x:f>'Cumulative'!A2</x:f>
        <x:v>1</x:v>
      </x:c>
      <x:c r="K31" s="11" t="str">
        <x:f>'Cumulative'!D2</x:f>
        <x:v>1.978976759436004</x:v>
      </x:c>
      <x:c r="L31" s="11" t="str">
        <x:f>'Cumulative'!E2</x:f>
        <x:v>0.6259783903060969</x:v>
      </x:c>
      <x:c r="N31" s="11" t="str">
        <x:v>2024</x:v>
      </x:c>
      <x:c r="O31" s="11" t="str">
        <x:f>'Stability'!V17</x:f>
        <x:v>-1.6858842240050491</x:v>
      </x:c>
      <x:c r="P31" s="11" t="str">
        <x:f>'Stability'!V2</x:f>
        <x:v>-3.2847058867012597</x:v>
      </x:c>
    </x:row>
    <x:row r="32">
      <x:c r="A32" s="11" t="str">
        <x:f>'Cumulative'!A3</x:f>
        <x:v>2</x:v>
      </x:c>
      <x:c r="B32" s="11" t="str">
        <x:f>'Cumulative'!B3</x:f>
        <x:v>-0.7610132805381711</x:v>
      </x:c>
      <x:c r="C32" s="11" t="str">
        <x:f>'Cumulative'!C3</x:f>
        <x:v>-0.40254608521040214</x:v>
      </x:c>
      <x:c r="D32" s="11" t="str">
        <x:f>'Cumulative'!D3</x:f>
        <x:v>0.9169786351969444</x:v>
      </x:c>
      <x:c r="E32" s="11" t="str">
        <x:f>'Cumulative'!E3</x:f>
        <x:v>-0.40254608521040214</x:v>
      </x:c>
      <x:c r="G32" s="11" t="str">
        <x:f>'Cumulative'!A3</x:f>
        <x:v>2</x:v>
      </x:c>
      <x:c r="H32" s="11" t="str">
        <x:f>'Cumulative'!C3</x:f>
        <x:v>-0.40254608521040214</x:v>
      </x:c>
      <x:c r="I32" s="87"/>
      <x:c r="J32" s="11" t="str">
        <x:f>'Cumulative'!A3</x:f>
        <x:v>2</x:v>
      </x:c>
      <x:c r="K32" s="11" t="str">
        <x:f>'Cumulative'!D3</x:f>
        <x:v>0.9169786351969444</x:v>
      </x:c>
      <x:c r="L32" s="11" t="str">
        <x:f>'Cumulative'!E3</x:f>
        <x:v>-0.40254608521040214</x:v>
      </x:c>
      <x:c r="N32" s="11" t="str">
        <x:v>2025</x:v>
      </x:c>
      <x:c r="O32" s="11" t="str">
        <x:f>'Stability'!V18</x:f>
        <x:v>3.203367000361319</x:v>
      </x:c>
      <x:c r="P32" s="11" t="str">
        <x:f>'Stability'!V3</x:f>
        <x:v>-17.84519671303032</x:v>
      </x:c>
    </x:row>
    <x:row r="33">
      <x:c r="A33" s="11" t="str">
        <x:f>'Cumulative'!A4</x:f>
        <x:v>3</x:v>
      </x:c>
      <x:c r="B33" s="11" t="str">
        <x:f>'Cumulative'!B4</x:f>
        <x:v>1.2265425577160654</x:v>
      </x:c>
      <x:c r="C33" s="11" t="str">
        <x:f>'Cumulative'!C4</x:f>
        <x:v>-1.4228208867153411</x:v>
      </x:c>
      <x:c r="D33" s="11" t="str">
        <x:f>'Cumulative'!D4</x:f>
        <x:v>-0.14272852200289798</x:v>
      </x:c>
      <x:c r="E33" s="11" t="str">
        <x:f>'Cumulative'!E4</x:f>
        <x:v>-0.13500229113154028</x:v>
      </x:c>
      <x:c r="G33" s="11" t="str">
        <x:f>'Cumulative'!A4</x:f>
        <x:v>3</x:v>
      </x:c>
      <x:c r="H33" s="11" t="str">
        <x:f>'Cumulative'!C4</x:f>
        <x:v>-1.4228208867153411</x:v>
      </x:c>
      <x:c r="I33" s="87"/>
      <x:c r="J33" s="11" t="str">
        <x:f>'Cumulative'!A4</x:f>
        <x:v>3</x:v>
      </x:c>
      <x:c r="K33" s="11" t="str">
        <x:f>'Cumulative'!D4</x:f>
        <x:v>-0.14272852200289798</x:v>
      </x:c>
      <x:c r="L33" s="11" t="str">
        <x:f>'Cumulative'!E4</x:f>
        <x:v>-0.13500229113154028</x:v>
      </x:c>
      <x:c r="N33" s="11" t="str">
        <x:v>2026</x:v>
      </x:c>
      <x:c r="O33" s="11" t="str">
        <x:f>'Stability'!V19</x:f>
        <x:v>-2.5122958149351557</x:v>
      </x:c>
      <x:c r="P33" s="11" t="str">
        <x:f>'Stability'!V4</x:f>
        <x:v>8.03432915003498</x:v>
      </x:c>
    </x:row>
    <x:row r="34">
      <x:c r="A34" s="11" t="str">
        <x:f>'Cumulative'!A5</x:f>
        <x:v>4</x:v>
      </x:c>
      <x:c r="B34" s="11" t="str">
        <x:f>'Cumulative'!B5</x:f>
        <x:v>0.14587293967020143</x:v>
      </x:c>
      <x:c r="C34" s="11" t="str">
        <x:f>'Cumulative'!C5</x:f>
        <x:v>0.5561558727206628</x:v>
      </x:c>
      <x:c r="D34" s="11" t="str">
        <x:f>'Cumulative'!D5</x:f>
        <x:v>-1.2615099872442326</x:v>
      </x:c>
      <x:c r="E34" s="11" t="str">
        <x:f>'Cumulative'!E5</x:f>
        <x:v>-1.1552770926364793</x:v>
      </x:c>
      <x:c r="G34" s="11" t="str">
        <x:f>'Cumulative'!A5</x:f>
        <x:v>4</x:v>
      </x:c>
      <x:c r="H34" s="11" t="str">
        <x:f>'Cumulative'!C5</x:f>
        <x:v>0.5561558727206628</x:v>
      </x:c>
      <x:c r="I34" s="87"/>
      <x:c r="J34" s="11" t="str">
        <x:f>'Cumulative'!A5</x:f>
        <x:v>4</x:v>
      </x:c>
      <x:c r="K34" s="11" t="str">
        <x:f>'Cumulative'!D5</x:f>
        <x:v>-1.2615099872442326</x:v>
      </x:c>
      <x:c r="L34" s="11" t="str">
        <x:f>'Cumulative'!E5</x:f>
        <x:v>-1.1552770926364793</x:v>
      </x:c>
    </x:row>
    <x:row r="35">
      <x:c r="A35" s="11" t="str">
        <x:f>'Cumulative'!A6</x:f>
        <x:v>5</x:v>
      </x:c>
      <x:c r="B35" s="11" t="str">
        <x:f>'Cumulative'!B6</x:f>
        <x:v>-0.9406032364090768</x:v>
      </x:c>
      <x:c r="C35" s="11" t="str">
        <x:f>'Cumulative'!C6</x:f>
        <x:v>-0.5058422515183967</x:v>
      </x:c>
      <x:c r="D35" s="11" t="str">
        <x:f>'Cumulative'!D6</x:f>
        <x:v>-2.2929840441258285</x:v>
      </x:c>
      <x:c r="E35" s="11" t="str">
        <x:f>'Cumulative'!E6</x:f>
        <x:v>-2.1838341672535124</x:v>
      </x:c>
      <x:c r="G35" s="11" t="str">
        <x:f>'Cumulative'!A6</x:f>
        <x:v>5</x:v>
      </x:c>
      <x:c r="H35" s="11" t="str">
        <x:f>'Cumulative'!C6</x:f>
        <x:v>-0.5058422515183967</x:v>
      </x:c>
      <x:c r="I35" s="87"/>
      <x:c r="J35" s="11" t="str">
        <x:f>'Cumulative'!A6</x:f>
        <x:v>5</x:v>
      </x:c>
      <x:c r="K35" s="11" t="str">
        <x:f>'Cumulative'!D6</x:f>
        <x:v>-2.2929840441258285</x:v>
      </x:c>
      <x:c r="L35" s="11" t="str">
        <x:f>'Cumulative'!E6</x:f>
        <x:v>-2.1838341672535124</x:v>
      </x:c>
    </x:row>
    <x:row r="36">
      <x:c r="A36" s="11" t="str">
        <x:f>'Cumulative'!A7</x:f>
        <x:v>6</x:v>
      </x:c>
      <x:c r="B36" s="11" t="str">
        <x:f>'Cumulative'!B7</x:f>
        <x:v>1.0317141266716607</x:v>
      </x:c>
      <x:c r="C36" s="11" t="str">
        <x:f>'Cumulative'!C7</x:f>
        <x:v>-1.565549408718239</x:v>
      </x:c>
      <x:c r="D36" s="11" t="str">
        <x:f>'Cumulative'!D7</x:f>
        <x:v>-0.37242778766347806</x:v>
      </x:c>
      <x:c r="E36" s="11" t="str">
        <x:f>'Cumulative'!E7</x:f>
        <x:v>-1.0381992486022567</x:v>
      </x:c>
      <x:c r="G36" s="11" t="str">
        <x:f>'Cumulative'!A7</x:f>
        <x:v>6</x:v>
      </x:c>
      <x:c r="H36" s="11" t="str">
        <x:f>'Cumulative'!C7</x:f>
        <x:v>-1.565549408718239</x:v>
      </x:c>
      <x:c r="I36" s="87"/>
      <x:c r="J36" s="11" t="str">
        <x:f>'Cumulative'!A7</x:f>
        <x:v>6</x:v>
      </x:c>
      <x:c r="K36" s="11" t="str">
        <x:f>'Cumulative'!D7</x:f>
        <x:v>-0.37242778766347806</x:v>
      </x:c>
      <x:c r="L36" s="11" t="str">
        <x:f>'Cumulative'!E7</x:f>
        <x:v>-1.0381992486022567</x:v>
      </x:c>
    </x:row>
    <x:row r="37">
      <x:c r="A37" s="11" t="str">
        <x:f>'Cumulative'!A8</x:f>
        <x:v>7</x:v>
      </x:c>
      <x:c r="B37" s="11" t="str">
        <x:f>'Cumulative'!B8</x:f>
        <x:v>0.01573856018935582</x:v>
      </x:c>
      <x:c r="C37" s="11" t="str">
        <x:f>'Cumulative'!C8</x:f>
        <x:v>-2.6843308739595737</x:v>
      </x:c>
      <x:c r="D37" s="11" t="str">
        <x:f>'Cumulative'!D8</x:f>
        <x:v>0.39697843192551097</x:v>
      </x:c>
      <x:c r="E37" s="11" t="str">
        <x:f>'Cumulative'!E8</x:f>
        <x:v>-1.3345183997301386</x:v>
      </x:c>
      <x:c r="G37" s="11" t="str">
        <x:f>'Cumulative'!A8</x:f>
        <x:v>7</x:v>
      </x:c>
      <x:c r="H37" s="11" t="str">
        <x:f>'Cumulative'!C8</x:f>
        <x:v>-2.6843308739595737</x:v>
      </x:c>
      <x:c r="I37" s="87"/>
      <x:c r="J37" s="11" t="str">
        <x:f>'Cumulative'!A8</x:f>
        <x:v>7</x:v>
      </x:c>
      <x:c r="K37" s="11" t="str">
        <x:f>'Cumulative'!D8</x:f>
        <x:v>0.39697843192551097</x:v>
      </x:c>
      <x:c r="L37" s="11" t="str">
        <x:f>'Cumulative'!E8</x:f>
        <x:v>-1.3345183997301386</x:v>
      </x:c>
    </x:row>
    <x:row r="38">
      <x:c r="A38" s="11" t="str">
        <x:f>'Cumulative'!A9</x:f>
        <x:v>8</x:v>
      </x:c>
      <x:c r="B38" s="11" t="str">
        <x:f>'Cumulative'!B9</x:f>
        <x:v>-1.0167470459449555</x:v>
      </x:c>
      <x:c r="C38" s="11" t="str">
        <x:f>'Cumulative'!C9</x:f>
        <x:v>-3.71580493084117</x:v>
      </x:c>
      <x:c r="D38" s="11" t="str">
        <x:f>'Cumulative'!D9</x:f>
        <x:v>0.9750344538500066</x:v>
      </x:c>
      <x:c r="E38" s="11" t="str">
        <x:f>'Cumulative'!E9</x:f>
        <x:v>0.6314994722215586</x:v>
      </x:c>
      <x:c r="G38" s="11" t="str">
        <x:f>'Cumulative'!A9</x:f>
        <x:v>8</x:v>
      </x:c>
      <x:c r="H38" s="11" t="str">
        <x:f>'Cumulative'!C9</x:f>
        <x:v>-3.71580493084117</x:v>
      </x:c>
      <x:c r="I38" s="87"/>
      <x:c r="J38" s="11" t="str">
        <x:f>'Cumulative'!A9</x:f>
        <x:v>8</x:v>
      </x:c>
      <x:c r="K38" s="11" t="str">
        <x:f>'Cumulative'!D9</x:f>
        <x:v>0.9750344538500066</x:v>
      </x:c>
      <x:c r="L38" s="11" t="str">
        <x:f>'Cumulative'!E9</x:f>
        <x:v>0.6314994722215586</x:v>
      </x:c>
    </x:row>
    <x:row r="39">
      <x:c r="A39" s="11" t="str">
        <x:f>'Cumulative'!A10</x:f>
        <x:v>9</x:v>
      </x:c>
      <x:c r="B39" s="11" t="str">
        <x:f>'Cumulative'!B10</x:f>
        <x:v>-0.40256190898199196</x:v>
      </x:c>
      <x:c r="C39" s="11" t="str">
        <x:f>'Cumulative'!C10</x:f>
        <x:v>-1.7952486743788194</x:v>
      </x:c>
      <x:c r="D39" s="11" t="str">
        <x:f>'Cumulative'!D10</x:f>
        <x:v>1.3576166239844711</x:v>
      </x:c>
      <x:c r="E39" s="11" t="str">
        <x:f>'Cumulative'!E10</x:f>
        <x:v>2.5459247089591344</x:v>
      </x:c>
      <x:c r="G39" s="11" t="str">
        <x:f>'Cumulative'!A10</x:f>
        <x:v>9</x:v>
      </x:c>
      <x:c r="H39" s="11" t="str">
        <x:f>'Cumulative'!C10</x:f>
        <x:v>-1.7952486743788194</x:v>
      </x:c>
      <x:c r="I39" s="87"/>
      <x:c r="J39" s="11" t="str">
        <x:f>'Cumulative'!A10</x:f>
        <x:v>9</x:v>
      </x:c>
      <x:c r="K39" s="11" t="str">
        <x:f>'Cumulative'!D10</x:f>
        <x:v>1.3576166239844711</x:v>
      </x:c>
      <x:c r="L39" s="11" t="str">
        <x:f>'Cumulative'!E10</x:f>
        <x:v>2.5459247089591344</x:v>
      </x:c>
    </x:row>
    <x:row r="40">
      <x:c r="A40" s="11" t="str">
        <x:f>'Cumulative'!A11</x:f>
        <x:v>10</x:v>
      </x:c>
      <x:c r="B40" s="11" t="str">
        <x:f>'Cumulative'!B11</x:f>
        <x:v>-1.4596397214583097</x:v>
      </x:c>
      <x:c r="C40" s="11" t="str">
        <x:f>'Cumulative'!C11</x:f>
        <x:v>-1.0258424547898304</x:v>
      </x:c>
      <x:c r="D40" s="11" t="str">
        <x:f>'Cumulative'!D11</x:f>
        <x:v>0.2912521799145056</x:v>
      </x:c>
      <x:c r="E40" s="11" t="str">
        <x:f>'Cumulative'!E11</x:f>
        <x:v>1.5128297360499514</x:v>
      </x:c>
      <x:c r="G40" s="11" t="str">
        <x:f>'Cumulative'!A11</x:f>
        <x:v>10</x:v>
      </x:c>
      <x:c r="H40" s="11" t="str">
        <x:f>'Cumulative'!C11</x:f>
        <x:v>-1.0258424547898304</x:v>
      </x:c>
      <x:c r="I40" s="87"/>
      <x:c r="J40" s="11" t="str">
        <x:f>'Cumulative'!A11</x:f>
        <x:v>10</x:v>
      </x:c>
      <x:c r="K40" s="11" t="str">
        <x:f>'Cumulative'!D11</x:f>
        <x:v>0.2912521799145056</x:v>
      </x:c>
      <x:c r="L40" s="11" t="str">
        <x:f>'Cumulative'!E11</x:f>
        <x:v>1.5128297360499514</x:v>
      </x:c>
    </x:row>
    <x:row r="41">
      <x:c r="A41" s="11" t="str">
        <x:f>'Cumulative'!A12</x:f>
        <x:v>11</x:v>
      </x:c>
      <x:c r="B41" s="11" t="str">
        <x:f>'Cumulative'!B12</x:f>
        <x:v>0.12261411299045655</x:v>
      </x:c>
      <x:c r="C41" s="11" t="str">
        <x:f>'Cumulative'!C12</x:f>
        <x:v>-0.4477864328653347</x:v>
      </x:c>
      <x:c r="D41" s="11" t="str">
        <x:f>'Cumulative'!D12</x:f>
        <x:v>-0.725419616550786</x:v>
      </x:c>
      <x:c r="E41" s="11" t="str">
        <x:f>'Cumulative'!E12</x:f>
        <x:v>3.488552208147226</x:v>
      </x:c>
      <x:c r="G41" s="11" t="str">
        <x:f>'Cumulative'!A12</x:f>
        <x:v>11</x:v>
      </x:c>
      <x:c r="H41" s="11" t="str">
        <x:f>'Cumulative'!C12</x:f>
        <x:v>-0.4477864328653347</x:v>
      </x:c>
      <x:c r="I41" s="87"/>
      <x:c r="J41" s="11" t="str">
        <x:f>'Cumulative'!A12</x:f>
        <x:v>11</x:v>
      </x:c>
      <x:c r="K41" s="11" t="str">
        <x:f>'Cumulative'!D12</x:f>
        <x:v>-0.725419616550786</x:v>
      </x:c>
      <x:c r="L41" s="11" t="str">
        <x:f>'Cumulative'!E12</x:f>
        <x:v>3.488552208147226</x:v>
      </x:c>
    </x:row>
    <x:row r="42">
      <x:c r="A42" s="11" t="str">
        <x:f>'Cumulative'!A13</x:f>
        <x:v>12</x:v>
      </x:c>
      <x:c r="B42" s="11" t="str">
        <x:f>'Cumulative'!B13</x:f>
        <x:v>2.029809133536956</x:v>
      </x:c>
      <x:c r="C42" s="11" t="str">
        <x:f>'Cumulative'!C13</x:f>
        <x:v>-0.06520426273087021</x:v>
      </x:c>
      <x:c r="D42" s="11" t="str">
        <x:f>'Cumulative'!D13</x:f>
        <x:v>-1.7529953742843587</x:v>
      </x:c>
      <x:c r="E42" s="11" t="str">
        <x:f>'Cumulative'!E13</x:f>
        <x:v>2.469157196490764</x:v>
      </x:c>
      <x:c r="G42" s="11" t="str">
        <x:f>'Cumulative'!A13</x:f>
        <x:v>12</x:v>
      </x:c>
      <x:c r="H42" s="11" t="str">
        <x:f>'Cumulative'!C13</x:f>
        <x:v>-0.06520426273087021</x:v>
      </x:c>
      <x:c r="I42" s="87"/>
      <x:c r="J42" s="11" t="str">
        <x:f>'Cumulative'!A13</x:f>
        <x:v>12</x:v>
      </x:c>
      <x:c r="K42" s="11" t="str">
        <x:f>'Cumulative'!D13</x:f>
        <x:v>-1.7529953742843587</x:v>
      </x:c>
      <x:c r="L42" s="11" t="str">
        <x:f>'Cumulative'!E13</x:f>
        <x:v>2.469157196490764</x:v>
      </x:c>
    </x:row>
    <x:row r="43">
      <x:c r="A43" s="11" t="str">
        <x:f>'Cumulative'!A14</x:f>
        <x:v>13</x:v>
      </x:c>
      <x:c r="B43" s="11" t="str">
        <x:f>'Cumulative'!B14</x:f>
        <x:v>0.9522139778662915</x:v>
      </x:c>
      <x:c r="C43" s="11" t="str">
        <x:f>'Cumulative'!C14</x:f>
        <x:v>-1.1315687068008358</x:v>
      </x:c>
      <x:c r="D43" s="11" t="str">
        <x:f>'Cumulative'!D14</x:f>
        <x:v>-2.7720387339524883</x:v>
      </x:c>
      <x:c r="E43" s="11" t="str">
        <x:f>'Cumulative'!E14</x:f>
        <x:v>3.443195669777497</x:v>
      </x:c>
      <x:c r="G43" s="11" t="str">
        <x:f>'Cumulative'!A14</x:f>
        <x:v>13</x:v>
      </x:c>
      <x:c r="H43" s="11" t="str">
        <x:f>'Cumulative'!C14</x:f>
        <x:v>-1.1315687068008358</x:v>
      </x:c>
      <x:c r="I43" s="87"/>
      <x:c r="J43" s="11" t="str">
        <x:f>'Cumulative'!A14</x:f>
        <x:v>13</x:v>
      </x:c>
      <x:c r="K43" s="11" t="str">
        <x:f>'Cumulative'!D14</x:f>
        <x:v>-2.7720387339524883</x:v>
      </x:c>
      <x:c r="L43" s="11" t="str">
        <x:f>'Cumulative'!E14</x:f>
        <x:v>3.443195669777497</x:v>
      </x:c>
    </x:row>
    <x:row r="44">
      <x:c r="A44" s="11" t="str">
        <x:f>'Cumulative'!A15</x:f>
        <x:v>14</x:v>
      </x:c>
      <x:c r="B44" s="11" t="str">
        <x:f>'Cumulative'!B15</x:f>
        <x:v>-0.10027715645408031</x:v>
      </x:c>
      <x:c r="C44" s="11" t="str">
        <x:f>'Cumulative'!C15</x:f>
        <x:v>-2.1482405032661274</x:v>
      </x:c>
      <x:c r="D44" s="11" t="str">
        <x:f>'Cumulative'!D15</x:f>
        <x:v>-2.80357742060385</x:v>
      </x:c>
      <x:c r="E44" s="11" t="str">
        <x:f>'Cumulative'!E15</x:f>
        <x:v>2.379795806238847</x:v>
      </x:c>
      <x:c r="G44" s="11" t="str">
        <x:f>'Cumulative'!A15</x:f>
        <x:v>14</x:v>
      </x:c>
      <x:c r="H44" s="11" t="str">
        <x:f>'Cumulative'!C15</x:f>
        <x:v>-2.1482405032661274</x:v>
      </x:c>
      <x:c r="I44" s="87"/>
      <x:c r="J44" s="11" t="str">
        <x:f>'Cumulative'!A15</x:f>
        <x:v>14</x:v>
      </x:c>
      <x:c r="K44" s="11" t="str">
        <x:f>'Cumulative'!D15</x:f>
        <x:v>-2.80357742060385</x:v>
      </x:c>
      <x:c r="L44" s="11" t="str">
        <x:f>'Cumulative'!E15</x:f>
        <x:v>2.379795806238847</x:v>
      </x:c>
    </x:row>
    <x:row r="45">
      <x:c r="A45" s="11" t="str">
        <x:f>'Cumulative'!A16</x:f>
        <x:v>15</x:v>
      </x:c>
      <x:c r="B45" s="11" t="str">
        <x:f>'Cumulative'!B16</x:f>
        <x:v>-1.1782981600852982</x:v>
      </x:c>
      <x:c r="C45" s="11" t="str">
        <x:f>'Cumulative'!C16</x:f>
        <x:v>-3.1758162609997003</x:v>
      </x:c>
      <x:c r="D45" s="11" t="str">
        <x:f>'Cumulative'!D16</x:f>
        <x:v>-0.8270261185084924</x:v>
      </x:c>
      <x:c r="E45" s="11" t="str">
        <x:f>'Cumulative'!E16</x:f>
        <x:v>2.4921024739046054</x:v>
      </x:c>
      <x:c r="G45" s="11" t="str">
        <x:f>'Cumulative'!A16</x:f>
        <x:v>15</x:v>
      </x:c>
      <x:c r="H45" s="11" t="str">
        <x:f>'Cumulative'!C16</x:f>
        <x:v>-3.1758162609997003</x:v>
      </x:c>
      <x:c r="I45" s="87"/>
      <x:c r="J45" s="11" t="str">
        <x:f>'Cumulative'!A16</x:f>
        <x:v>15</x:v>
      </x:c>
      <x:c r="K45" s="11" t="str">
        <x:f>'Cumulative'!D16</x:f>
        <x:v>-0.8270261185084924</x:v>
      </x:c>
      <x:c r="L45" s="11" t="str">
        <x:f>'Cumulative'!E16</x:f>
        <x:v>2.4921024739046054</x:v>
      </x:c>
    </x:row>
    <x:row r="46">
      <x:c r="A46" s="11" t="str">
        <x:f>'Cumulative'!A17</x:f>
        <x:v>16</x:v>
      </x:c>
      <x:c r="B46" s="11" t="str">
        <x:f>'Cumulative'!B17</x:f>
        <x:v>-0.6738986140637306</x:v>
      </x:c>
      <x:c r="C46" s="11" t="str">
        <x:f>'Cumulative'!C17</x:f>
        <x:v>-4.19485962066783</x:v>
      </x:c>
      <x:c r="D46" s="11" t="str">
        <x:f>'Cumulative'!D17</x:f>
        <x:v>1.105441644271835</x:v>
      </x:c>
      <x:c r="E46" s="11" t="str">
        <x:f>'Cumulative'!E17</x:f>
        <x:v>1.4382310763015005</x:v>
      </x:c>
      <x:c r="G46" s="11" t="str">
        <x:f>'Cumulative'!A17</x:f>
        <x:v>16</x:v>
      </x:c>
      <x:c r="H46" s="11" t="str">
        <x:f>'Cumulative'!C17</x:f>
        <x:v>-4.19485962066783</x:v>
      </x:c>
      <x:c r="I46" s="87"/>
      <x:c r="J46" s="11" t="str">
        <x:f>'Cumulative'!A17</x:f>
        <x:v>16</x:v>
      </x:c>
      <x:c r="K46" s="11" t="str">
        <x:f>'Cumulative'!D17</x:f>
        <x:v>1.105441644271835</x:v>
      </x:c>
      <x:c r="L46" s="11" t="str">
        <x:f>'Cumulative'!E17</x:f>
        <x:v>1.4382310763015005</x:v>
      </x:c>
    </x:row>
    <x:row r="47">
      <x:c r="A47" s="11" t="str">
        <x:f>'Cumulative'!A18</x:f>
        <x:v>17</x:v>
      </x:c>
      <x:c r="B47" s="11" t="str">
        <x:f>'Cumulative'!B18</x:f>
        <x:v>-1.6858842240050493</x:v>
      </x:c>
      <x:c r="C47" s="11" t="str">
        <x:f>'Cumulative'!C18</x:f>
        <x:v>-3.0492247020165744</x:v>
      </x:c>
      <x:c r="D47" s="11" t="str">
        <x:f>'Cumulative'!D18</x:f>
        <x:v>0.06922104077186786</x:v>
      </x:c>
      <x:c r="E47" s="11" t="str">
        <x:f>'Cumulative'!E18</x:f>
        <x:v>0.4127970184846961</x:v>
      </x:c>
      <x:c r="G47" s="11" t="str">
        <x:f>'Cumulative'!A18</x:f>
        <x:v>17</x:v>
      </x:c>
      <x:c r="H47" s="11" t="str">
        <x:f>'Cumulative'!C18</x:f>
        <x:v>-3.0492247020165744</x:v>
      </x:c>
      <x:c r="I47" s="87"/>
      <x:c r="J47" s="11" t="str">
        <x:f>'Cumulative'!A18</x:f>
        <x:v>17</x:v>
      </x:c>
      <x:c r="K47" s="11" t="str">
        <x:f>'Cumulative'!D18</x:f>
        <x:v>0.06922104077186786</x:v>
      </x:c>
      <x:c r="L47" s="11" t="str">
        <x:f>'Cumulative'!E18</x:f>
        <x:v>0.4127970184846961</x:v>
      </x:c>
    </x:row>
    <x:row r="48">
      <x:c r="A48" s="11" t="str">
        <x:f>'Cumulative'!A19</x:f>
        <x:v>18</x:v>
      </x:c>
      <x:c r="B48" s="11" t="str">
        <x:f>'Cumulative'!B19</x:f>
        <x:v>0.29624080778518436</x:v>
      </x:c>
      <x:c r="C48" s="11" t="str">
        <x:f>'Cumulative'!C19</x:f>
        <x:v>-3.080763388667936</x:v>
      </x:c>
      <x:c r="D48" s="11" t="str">
        <x:f>'Cumulative'!D19</x:f>
        <x:v>-1.0015570040920856</x:v>
      </x:c>
      <x:c r="E48" s="11" t="str">
        <x:f>'Cumulative'!E19</x:f>
        <x:v>2.286198923781847</x:v>
      </x:c>
      <x:c r="G48" s="11" t="str">
        <x:f>'Cumulative'!A19</x:f>
        <x:v>18</x:v>
      </x:c>
      <x:c r="H48" s="11" t="str">
        <x:f>'Cumulative'!C19</x:f>
        <x:v>-3.080763388667936</x:v>
      </x:c>
      <x:c r="I48" s="87"/>
      <x:c r="J48" s="11" t="str">
        <x:f>'Cumulative'!A19</x:f>
        <x:v>18</x:v>
      </x:c>
      <x:c r="K48" s="11" t="str">
        <x:f>'Cumulative'!D19</x:f>
        <x:v>-1.0015570040920856</x:v>
      </x:c>
      <x:c r="L48" s="11" t="str">
        <x:f>'Cumulative'!E19</x:f>
        <x:v>2.286198923781847</x:v>
      </x:c>
    </x:row>
    <x:row r="49">
      <x:c r="A49" s="11" t="str">
        <x:f>'Cumulative'!A20</x:f>
        <x:v>19</x:v>
      </x:c>
      <x:c r="B49" s="11" t="str">
        <x:f>'Cumulative'!B20</x:f>
        <x:v>1.1179593469914093</x:v>
      </x:c>
      <x:c r="C49" s="11" t="str">
        <x:f>'Cumulative'!C20</x:f>
        <x:v>-1.1042120865725784</x:v>
      </x:c>
      <x:c r="D49" s="11" t="str">
        <x:f>'Cumulative'!D20</x:f>
        <x:v>-0.3112412081909439</x:v>
      </x:c>
      <x:c r="E49" s="11" t="str">
        <x:f>'Cumulative'!E20</x:f>
        <x:v>1.2619329498462415</x:v>
      </x:c>
      <x:c r="G49" s="11" t="str">
        <x:f>'Cumulative'!A20</x:f>
        <x:v>19</x:v>
      </x:c>
      <x:c r="H49" s="11" t="str">
        <x:f>'Cumulative'!C20</x:f>
        <x:v>-1.1042120865725784</x:v>
      </x:c>
      <x:c r="I49" s="87"/>
      <x:c r="J49" s="11" t="str">
        <x:f>'Cumulative'!A20</x:f>
        <x:v>19</x:v>
      </x:c>
      <x:c r="K49" s="11" t="str">
        <x:f>'Cumulative'!D20</x:f>
        <x:v>-0.3112412081909439</x:v>
      </x:c>
      <x:c r="L49" s="11" t="str">
        <x:f>'Cumulative'!E20</x:f>
        <x:v>1.2619329498462415</x:v>
      </x:c>
    </x:row>
    <x:row r="50">
      <x:c r="A50" s="11" t="str">
        <x:f>'Cumulative'!A21</x:f>
        <x:v>20</x:v>
      </x:c>
      <x:c r="B50" s="11" t="str">
        <x:f>'Cumulative'!B21</x:f>
        <x:v>1.7197205905197865</x:v>
      </x:c>
      <x:c r="C50" s="11" t="str">
        <x:f>'Cumulative'!C21</x:f>
        <x:v>-1.4005312377004604</x:v>
      </x:c>
      <x:c r="D50" s="11" t="str">
        <x:f>'Cumulative'!D21</x:f>
        <x:v>-1.3673794614806463</x:v>
      </x:c>
      <x:c r="E50" s="11" t="str">
        <x:f>'Cumulative'!E21</x:f>
        <x:v>2.247141421669233</x:v>
      </x:c>
      <x:c r="G50" s="11" t="str">
        <x:f>'Cumulative'!A21</x:f>
        <x:v>20</x:v>
      </x:c>
      <x:c r="H50" s="11" t="str">
        <x:f>'Cumulative'!C21</x:f>
        <x:v>-1.4005312377004604</x:v>
      </x:c>
      <x:c r="I50" s="87"/>
      <x:c r="J50" s="11" t="str">
        <x:f>'Cumulative'!A21</x:f>
        <x:v>20</x:v>
      </x:c>
      <x:c r="K50" s="11" t="str">
        <x:f>'Cumulative'!D21</x:f>
        <x:v>-1.3673794614806463</x:v>
      </x:c>
      <x:c r="L50" s="11" t="str">
        <x:f>'Cumulative'!E21</x:f>
        <x:v>2.247141421669233</x:v>
      </x:c>
    </x:row>
    <x:row r="51">
      <x:c r="A51" s="11" t="str">
        <x:f>'Cumulative'!A22</x:f>
        <x:v>21</x:v>
      </x:c>
      <x:c r="B51" s="11" t="str">
        <x:f>'Cumulative'!B22</x:f>
        <x:v>2.0911217898657966</x:v>
      </x:c>
      <x:c r="C51" s="11" t="str">
        <x:f>'Cumulative'!C22</x:f>
        <x:v>0.5319365250798671</x:v>
      </x:c>
      <x:c r="D51" s="11" t="str">
        <x:f>'Cumulative'!D22</x:f>
        <x:v>-1.3106346313494448</x:v>
      </x:c>
      <x:c r="E51" s="11" t="str">
        <x:f>'Cumulative'!E22</x:f>
        <x:v>2.726191390688846</x:v>
      </x:c>
      <x:c r="G51" s="11" t="str">
        <x:f>'Cumulative'!A22</x:f>
        <x:v>21</x:v>
      </x:c>
      <x:c r="H51" s="11" t="str">
        <x:f>'Cumulative'!C22</x:f>
        <x:v>0.5319365250798671</x:v>
      </x:c>
      <x:c r="I51" s="87"/>
      <x:c r="J51" s="11" t="str">
        <x:f>'Cumulative'!A22</x:f>
        <x:v>21</x:v>
      </x:c>
      <x:c r="K51" s="11" t="str">
        <x:f>'Cumulative'!D22</x:f>
        <x:v>-1.3106346313494448</x:v>
      </x:c>
      <x:c r="L51" s="11" t="str">
        <x:f>'Cumulative'!E22</x:f>
        <x:v>2.726191390688846</x:v>
      </x:c>
    </x:row>
    <x:row r="52">
      <x:c r="A52" s="11" t="str">
        <x:f>'Cumulative'!A23</x:f>
        <x:v>22</x:v>
      </x:c>
      <x:c r="B52" s="11" t="str">
        <x:f>'Cumulative'!B23</x:f>
        <x:v>1.0483079207543589</x:v>
      </x:c>
      <x:c r="C52" s="11" t="str">
        <x:f>'Cumulative'!C23</x:f>
        <x:v>2.497954397031564</x:v>
      </x:c>
      <x:c r="D52" s="11" t="str">
        <x:f>'Cumulative'!D23</x:f>
        <x:v>-2.3620209447610185</x:v>
      </x:c>
      <x:c r="E52" s="11" t="str">
        <x:f>'Cumulative'!E23</x:f>
        <x:v>1.7029690533704795</x:v>
      </x:c>
      <x:c r="G52" s="11" t="str">
        <x:f>'Cumulative'!A23</x:f>
        <x:v>22</x:v>
      </x:c>
      <x:c r="H52" s="11" t="str">
        <x:f>'Cumulative'!C23</x:f>
        <x:v>2.497954397031564</x:v>
      </x:c>
      <x:c r="I52" s="87"/>
      <x:c r="J52" s="11" t="str">
        <x:f>'Cumulative'!A23</x:f>
        <x:v>22</x:v>
      </x:c>
      <x:c r="K52" s="11" t="str">
        <x:f>'Cumulative'!D23</x:f>
        <x:v>-2.3620209447610185</x:v>
      </x:c>
      <x:c r="L52" s="11" t="str">
        <x:f>'Cumulative'!E23</x:f>
        <x:v>1.7029690533704795</x:v>
      </x:c>
    </x:row>
    <x:row r="53">
      <x:c r="A53" s="11" t="str">
        <x:f>'Cumulative'!A24</x:f>
        <x:v>23</x:v>
      </x:c>
      <x:c r="B53" s="11" t="str">
        <x:f>'Cumulative'!B24</x:f>
        <x:v>2.9829390561235867</x:v>
      </x:c>
      <x:c r="C53" s="11" t="str">
        <x:f>'Cumulative'!C24</x:f>
        <x:v>1.4617337935315968</x:v>
      </x:c>
      <x:c r="D53" s="11" t="str">
        <x:f>'Cumulative'!D24</x:f>
        <x:v>-3.410613032567988</x:v>
      </x:c>
      <x:c r="E53" s="11" t="str">
        <x:f>'Cumulative'!E24</x:f>
        <x:v>0.6748932326882815</x:v>
      </x:c>
      <x:c r="G53" s="11" t="str">
        <x:f>'Cumulative'!A24</x:f>
        <x:v>23</x:v>
      </x:c>
      <x:c r="H53" s="11" t="str">
        <x:f>'Cumulative'!C24</x:f>
        <x:v>1.4617337935315968</x:v>
      </x:c>
      <x:c r="I53" s="87"/>
      <x:c r="J53" s="11" t="str">
        <x:f>'Cumulative'!A24</x:f>
        <x:v>23</x:v>
      </x:c>
      <x:c r="K53" s="11" t="str">
        <x:f>'Cumulative'!D24</x:f>
        <x:v>-3.410613032567988</x:v>
      </x:c>
      <x:c r="L53" s="11" t="str">
        <x:f>'Cumulative'!E24</x:f>
        <x:v>0.6748932326882815</x:v>
      </x:c>
    </x:row>
    <x:row r="54">
      <x:c r="A54" s="11" t="str">
        <x:f>'Cumulative'!A25</x:f>
        <x:v>24</x:v>
      </x:c>
      <x:c r="B54" s="11" t="str">
        <x:f>'Cumulative'!B25</x:f>
        <x:v>1.9611357483701508</x:v>
      </x:c>
      <x:c r="C54" s="11" t="str">
        <x:f>'Cumulative'!C25</x:f>
        <x:v>3.3761590302691724</x:v>
      </x:c>
      <x:c r="D54" s="11" t="str">
        <x:f>'Cumulative'!D25</x:f>
        <x:v>-2.771262464671618</x:v>
      </x:c>
      <x:c r="E54" s="11" t="str">
        <x:f>'Cumulative'!E25</x:f>
        <x:v>2.662449070942518</x:v>
      </x:c>
      <x:c r="G54" s="11" t="str">
        <x:f>'Cumulative'!A25</x:f>
        <x:v>24</x:v>
      </x:c>
      <x:c r="H54" s="11" t="str">
        <x:f>'Cumulative'!C25</x:f>
        <x:v>3.3761590302691724</x:v>
      </x:c>
      <x:c r="I54" s="87"/>
      <x:c r="J54" s="11" t="str">
        <x:f>'Cumulative'!A25</x:f>
        <x:v>24</x:v>
      </x:c>
      <x:c r="K54" s="11" t="str">
        <x:f>'Cumulative'!D25</x:f>
        <x:v>-2.771262464671618</x:v>
      </x:c>
      <x:c r="L54" s="11" t="str">
        <x:f>'Cumulative'!E25</x:f>
        <x:v>2.662449070942518</x:v>
      </x:c>
    </x:row>
    <x:row r="55">
      <x:c r="A55" s="11" t="str">
        <x:f>'Cumulative'!A26</x:f>
        <x:v>25</x:v>
      </x:c>
      <x:c r="B55" s="11" t="str">
        <x:f>'Cumulative'!B26</x:f>
        <x:v>1.5174827763562697</x:v>
      </x:c>
      <x:c r="C55" s="11" t="str">
        <x:f>'Cumulative'!C26</x:f>
        <x:v>2.305380985405219</x:v>
      </x:c>
      <x:c r="D55" s="11" t="str">
        <x:f>'Cumulative'!D26</x:f>
        <x:v>-3.8178669808131662</x:v>
      </x:c>
      <x:c r="E55" s="11" t="str">
        <x:f>'Cumulative'!E26</x:f>
        <x:v>1.6334777313966349</x:v>
      </x:c>
      <x:c r="G55" s="11" t="str">
        <x:f>'Cumulative'!A26</x:f>
        <x:v>25</x:v>
      </x:c>
      <x:c r="H55" s="11" t="str">
        <x:f>'Cumulative'!C26</x:f>
        <x:v>2.305380985405219</x:v>
      </x:c>
      <x:c r="I55" s="87"/>
      <x:c r="J55" s="11" t="str">
        <x:f>'Cumulative'!A26</x:f>
        <x:v>25</x:v>
      </x:c>
      <x:c r="K55" s="11" t="str">
        <x:f>'Cumulative'!D26</x:f>
        <x:v>-3.8178669808131662</x:v>
      </x:c>
      <x:c r="L55" s="11" t="str">
        <x:f>'Cumulative'!E26</x:f>
        <x:v>1.6334777313966349</x:v>
      </x:c>
    </x:row>
    <x:row r="56">
      <x:c r="A56" s="11" t="str">
        <x:f>'Cumulative'!A27</x:f>
        <x:v>26</x:v>
      </x:c>
      <x:c r="B56" s="11" t="str">
        <x:f>'Cumulative'!B27</x:f>
        <x:v>0.5075645511150875</x:v>
      </x:c>
      <x:c r="C56" s="11" t="str">
        <x:f>'Cumulative'!C27</x:f>
        <x:v>2.9956967813063606</x:v>
      </x:c>
      <x:c r="D56" s="11" t="str">
        <x:f>'Cumulative'!D27</x:f>
        <x:v>-2.843006724631425</x:v>
      </x:c>
      <x:c r="E56" s="11" t="str">
        <x:f>'Cumulative'!E27</x:f>
        <x:v>1.6248618758553925</x:v>
      </x:c>
      <x:c r="G56" s="11" t="str">
        <x:f>'Cumulative'!A27</x:f>
        <x:v>26</x:v>
      </x:c>
      <x:c r="H56" s="11" t="str">
        <x:f>'Cumulative'!C27</x:f>
        <x:v>2.9956967813063606</x:v>
      </x:c>
      <x:c r="I56" s="87"/>
      <x:c r="J56" s="11" t="str">
        <x:f>'Cumulative'!A27</x:f>
        <x:v>26</x:v>
      </x:c>
      <x:c r="K56" s="11" t="str">
        <x:f>'Cumulative'!D27</x:f>
        <x:v>-2.843006724631425</x:v>
      </x:c>
      <x:c r="L56" s="11" t="str">
        <x:f>'Cumulative'!E27</x:f>
        <x:v>1.6248618758553925</x:v>
      </x:c>
    </x:row>
    <x:row r="57">
      <x:c r="A57" s="11" t="str">
        <x:f>'Cumulative'!A28</x:f>
        <x:v>27</x:v>
      </x:c>
      <x:c r="B57" s="11" t="str">
        <x:f>'Cumulative'!B28</x:f>
        <x:v>2.485050489408362</x:v>
      </x:c>
      <x:c r="C57" s="11" t="str">
        <x:f>'Cumulative'!C28</x:f>
        <x:v>1.9395585280166583</x:v>
      </x:c>
      <x:c r="D57" s="11" t="str">
        <x:f>'Cumulative'!D28</x:f>
        <x:v>-3.863334556638183</x:v>
      </x:c>
      <x:c r="E57" s="11" t="str">
        <x:f>'Cumulative'!E28</x:f>
        <x:v>0.6057552258046004</x:v>
      </x:c>
      <x:c r="G57" s="11" t="str">
        <x:f>'Cumulative'!A28</x:f>
        <x:v>27</x:v>
      </x:c>
      <x:c r="H57" s="11" t="str">
        <x:f>'Cumulative'!C28</x:f>
        <x:v>1.9395585280166583</x:v>
      </x:c>
      <x:c r="I57" s="87"/>
      <x:c r="J57" s="11" t="str">
        <x:f>'Cumulative'!A28</x:f>
        <x:v>27</x:v>
      </x:c>
      <x:c r="K57" s="11" t="str">
        <x:f>'Cumulative'!D28</x:f>
        <x:v>-3.863334556638183</x:v>
      </x:c>
      <x:c r="L57" s="11" t="str">
        <x:f>'Cumulative'!E28</x:f>
        <x:v>0.6057552258046004</x:v>
      </x:c>
    </x:row>
    <x:row r="58">
      <x:c r="A58" s="11" t="str">
        <x:f>'Cumulative'!A29</x:f>
        <x:v>28</x:v>
      </x:c>
      <x:c r="B58" s="11" t="str">
        <x:f>'Cumulative'!B29</x:f>
        <x:v>1.4509648268521633</x:v>
      </x:c>
      <x:c r="C58" s="11" t="str">
        <x:f>'Cumulative'!C29</x:f>
        <x:v>1.9963033581478598</x:v>
      </x:c>
      <x:c r="D58" s="11" t="str">
        <x:f>'Cumulative'!D29</x:f>
        <x:v>-2.665352898254139</x:v>
      </x:c>
      <x:c r="E58" s="11" t="str">
        <x:f>'Cumulative'!E29</x:f>
        <x:v>-0.4236296697051869</x:v>
      </x:c>
      <x:c r="G58" s="11" t="str">
        <x:f>'Cumulative'!A29</x:f>
        <x:v>28</x:v>
      </x:c>
      <x:c r="H58" s="11" t="str">
        <x:f>'Cumulative'!C29</x:f>
        <x:v>1.9963033581478598</x:v>
      </x:c>
      <x:c r="I58" s="87"/>
      <x:c r="J58" s="11" t="str">
        <x:f>'Cumulative'!A29</x:f>
        <x:v>28</x:v>
      </x:c>
      <x:c r="K58" s="11" t="str">
        <x:f>'Cumulative'!D29</x:f>
        <x:v>-2.665352898254139</x:v>
      </x:c>
      <x:c r="L58" s="11" t="str">
        <x:f>'Cumulative'!E29</x:f>
        <x:v>-0.4236296697051869</x:v>
      </x:c>
    </x:row>
    <x:row r="59">
      <x:c r="A59" s="11" t="str">
        <x:f>'Cumulative'!A30</x:f>
        <x:v>29</x:v>
      </x:c>
      <x:c r="B59" s="11" t="str">
        <x:f>'Cumulative'!B30</x:f>
        <x:v>1.072974758659887</x:v>
      </x:c>
      <x:c r="C59" s="11" t="str">
        <x:f>'Cumulative'!C30</x:f>
        <x:v>0.944917044736286</x:v>
      </x:c>
      <x:c r="D59" s="11" t="str">
        <x:f>'Cumulative'!D30</x:f>
        <x:v>-2.907617841493788</x:v>
      </x:c>
      <x:c r="E59" s="11" t="str">
        <x:f>'Cumulative'!E30</x:f>
        <x:v>1.5104252825558735</x:v>
      </x:c>
      <x:c r="G59" s="11" t="str">
        <x:f>'Cumulative'!A30</x:f>
        <x:v>29</x:v>
      </x:c>
      <x:c r="H59" s="11" t="str">
        <x:f>'Cumulative'!C30</x:f>
        <x:v>0.944917044736286</x:v>
      </x:c>
      <x:c r="I59" s="87"/>
      <x:c r="J59" s="11" t="str">
        <x:f>'Cumulative'!A30</x:f>
        <x:v>29</x:v>
      </x:c>
      <x:c r="K59" s="11" t="str">
        <x:f>'Cumulative'!D30</x:f>
        <x:v>-2.907617841493788</x:v>
      </x:c>
      <x:c r="L59" s="11" t="str">
        <x:f>'Cumulative'!E30</x:f>
        <x:v>1.5104252825558735</x:v>
      </x:c>
    </x:row>
    <x:row r="60">
      <x:c r="A60" s="11" t="str">
        <x:f>'Cumulative'!A31</x:f>
        <x:v>30</x:v>
      </x:c>
      <x:c r="B60" s="11" t="str">
        <x:f>'Cumulative'!B31</x:f>
        <x:v>0.012657872955573746</x:v>
      </x:c>
      <x:c r="C60" s="11" t="str">
        <x:f>'Cumulative'!C31</x:f>
        <x:v>-0.10367504307068365</x:v>
      </x:c>
      <x:c r="D60" s="11" t="str">
        <x:f>'Cumulative'!D31</x:f>
        <x:v>-0.9653703234899156</x:v>
      </x:c>
      <x:c r="E60" s="11" t="str">
        <x:f>'Cumulative'!E31</x:f>
        <x:v>3.435753442084489</x:v>
      </x:c>
      <x:c r="G60" s="11" t="str">
        <x:f>'Cumulative'!A31</x:f>
        <x:v>30</x:v>
      </x:c>
      <x:c r="H60" s="11" t="str">
        <x:f>'Cumulative'!C31</x:f>
        <x:v>-0.10367504307068365</x:v>
      </x:c>
      <x:c r="I60" s="87"/>
      <x:c r="J60" s="11" t="str">
        <x:f>'Cumulative'!A31</x:f>
        <x:v>30</x:v>
      </x:c>
      <x:c r="K60" s="11" t="str">
        <x:f>'Cumulative'!D31</x:f>
        <x:v>-0.9653703234899156</x:v>
      </x:c>
      <x:c r="L60" s="11" t="str">
        <x:f>'Cumulative'!E31</x:f>
        <x:v>3.435753442084489</x:v>
      </x:c>
    </x:row>
    <x:row r="61">
      <x:c r="A61" s="11" t="str">
        <x:f>'Cumulative'!A32</x:f>
        <x:v>31</x:v>
      </x:c>
      <x:c r="B61" s="11" t="str">
        <x:f>'Cumulative'!B32</x:f>
        <x:v>-0.994813038578886</x:v>
      </x:c>
      <x:c r="C61" s="11" t="str">
        <x:f>'Cumulative'!C32</x:f>
        <x:v>-1.1367700159798666</x:v>
      </x:c>
      <x:c r="D61" s="11" t="str">
        <x:f>'Cumulative'!D32</x:f>
        <x:v>-1.817477725333141</x:v>
      </x:c>
      <x:c r="E61" s="11" t="str">
        <x:f>'Cumulative'!E32</x:f>
        <x:v>2.3433482291879946</x:v>
      </x:c>
      <x:c r="G61" s="11" t="str">
        <x:f>'Cumulative'!A32</x:f>
        <x:v>31</x:v>
      </x:c>
      <x:c r="H61" s="11" t="str">
        <x:f>'Cumulative'!C32</x:f>
        <x:v>-1.1367700159798666</x:v>
      </x:c>
      <x:c r="I61" s="87"/>
      <x:c r="J61" s="11" t="str">
        <x:f>'Cumulative'!A32</x:f>
        <x:v>31</x:v>
      </x:c>
      <x:c r="K61" s="11" t="str">
        <x:f>'Cumulative'!D32</x:f>
        <x:v>-1.817477725333141</x:v>
      </x:c>
      <x:c r="L61" s="11" t="str">
        <x:f>'Cumulative'!E32</x:f>
        <x:v>2.3433482291879946</x:v>
      </x:c>
    </x:row>
    <x:row r="62">
      <x:c r="A62" s="11" t="str">
        <x:f>'Cumulative'!A33</x:f>
        <x:v>32</x:v>
      </x:c>
      <x:c r="B62" s="11" t="str">
        <x:f>'Cumulative'!B33</x:f>
      </x:c>
      <x:c r="C62" s="11" t="str">
        <x:f>'Cumulative'!C33</x:f>
        <x:v>-0.4974194480834969</x:v>
      </x:c>
      <x:c r="D62" s="11" t="str">
        <x:f>'Cumulative'!D33</x:f>
        <x:v>-2.9485920846691047</x:v>
      </x:c>
      <x:c r="E62" s="11" t="str">
        <x:f>'Cumulative'!E33</x:f>
        <x:v>1.3110705664296893</x:v>
      </x:c>
      <x:c r="G62" s="11" t="str">
        <x:f>'Cumulative'!A33</x:f>
        <x:v>32</x:v>
      </x:c>
      <x:c r="H62" s="11" t="str">
        <x:f>'Cumulative'!C33</x:f>
        <x:v>-0.4974194480834969</x:v>
      </x:c>
      <x:c r="I62" s="87"/>
      <x:c r="J62" s="11" t="str">
        <x:f>'Cumulative'!A33</x:f>
        <x:v>32</x:v>
      </x:c>
      <x:c r="K62" s="11" t="str">
        <x:f>'Cumulative'!D33</x:f>
        <x:v>-2.9485920846691047</x:v>
      </x:c>
      <x:c r="L62" s="11" t="str">
        <x:f>'Cumulative'!E33</x:f>
        <x:v>1.3110705664296893</x:v>
      </x:c>
    </x:row>
    <x:row r="63">
      <x:c r="A63" s="11" t="str">
        <x:f>'Cumulative'!A34</x:f>
        <x:v>33</x:v>
      </x:c>
      <x:c r="B63" s="11" t="str">
        <x:f>'Cumulative'!B34</x:f>
      </x:c>
      <x:c r="C63" s="11" t="str">
        <x:f>'Cumulative'!C34</x:f>
        <x:v>-1.5440239642250448</x:v>
      </x:c>
      <x:c r="D63" s="11" t="str">
        <x:f>'Cumulative'!D34</x:f>
        <x:v>-3.9776343998303467</x:v>
      </x:c>
      <x:c r="E63" s="11" t="str">
        <x:f>'Cumulative'!E34</x:f>
        <x:v>0.26607857811125557</x:v>
      </x:c>
      <x:c r="G63" s="11" t="str">
        <x:f>'Cumulative'!A34</x:f>
        <x:v>33</x:v>
      </x:c>
      <x:c r="H63" s="11" t="str">
        <x:f>'Cumulative'!C34</x:f>
        <x:v>-1.5440239642250448</x:v>
      </x:c>
      <x:c r="I63" s="87"/>
      <x:c r="J63" s="11" t="str">
        <x:f>'Cumulative'!A34</x:f>
        <x:v>33</x:v>
      </x:c>
      <x:c r="K63" s="11" t="str">
        <x:f>'Cumulative'!D34</x:f>
        <x:v>-3.9776343998303467</x:v>
      </x:c>
      <x:c r="L63" s="11" t="str">
        <x:f>'Cumulative'!E34</x:f>
        <x:v>0.26607857811125557</x:v>
      </x:c>
    </x:row>
    <x:row r="64">
      <x:c r="A64" s="11" t="str">
        <x:f>'Cumulative'!A35</x:f>
        <x:v>34</x:v>
      </x:c>
      <x:c r="B64" s="11" t="str">
        <x:f>'Cumulative'!B35</x:f>
      </x:c>
      <x:c r="C64" s="11" t="str">
        <x:f>'Cumulative'!C35</x:f>
        <x:v>0.43169850787222974</x:v>
      </x:c>
      <x:c r="D64" s="11" t="str">
        <x:f>'Cumulative'!D35</x:f>
        <x:v>-1.9978320295320138</x:v>
      </x:c>
      <x:c r="E64" s="11" t="str">
        <x:f>'Cumulative'!E35</x:f>
        <x:v>-0.7488356352462306</x:v>
      </x:c>
      <x:c r="G64" s="11" t="str">
        <x:f>'Cumulative'!A35</x:f>
        <x:v>34</x:v>
      </x:c>
      <x:c r="H64" s="11" t="str">
        <x:f>'Cumulative'!C35</x:f>
        <x:v>0.43169850787222974</x:v>
      </x:c>
      <x:c r="I64" s="87"/>
      <x:c r="J64" s="11" t="str">
        <x:f>'Cumulative'!A35</x:f>
        <x:v>34</x:v>
      </x:c>
      <x:c r="K64" s="11" t="str">
        <x:f>'Cumulative'!D35</x:f>
        <x:v>-1.9978320295320138</x:v>
      </x:c>
      <x:c r="L64" s="11" t="str">
        <x:f>'Cumulative'!E35</x:f>
        <x:v>-0.7488356352462306</x:v>
      </x:c>
    </x:row>
    <x:row r="65">
      <x:c r="A65" s="11" t="str">
        <x:f>'Cumulative'!A36</x:f>
        <x:v>35</x:v>
      </x:c>
      <x:c r="B65" s="11" t="str">
        <x:f>'Cumulative'!B36</x:f>
      </x:c>
      <x:c r="C65" s="11" t="str">
        <x:f>'Cumulative'!C36</x:f>
        <x:v>-0.5876965037842321</x:v>
      </x:c>
      <x:c r="D65" s="11" t="str">
        <x:f>'Cumulative'!D36</x:f>
        <x:v>-3.0565811046353684</x:v>
      </x:c>
      <x:c r="E65" s="11" t="str">
        <x:f>'Cumulative'!E36</x:f>
        <x:v>-0.19284958627003168</x:v>
      </x:c>
      <x:c r="G65" s="11" t="str">
        <x:f>'Cumulative'!A36</x:f>
        <x:v>35</x:v>
      </x:c>
      <x:c r="H65" s="11" t="str">
        <x:f>'Cumulative'!C36</x:f>
        <x:v>-0.5876965037842321</x:v>
      </x:c>
      <x:c r="I65" s="87"/>
      <x:c r="J65" s="11" t="str">
        <x:f>'Cumulative'!A36</x:f>
        <x:v>35</x:v>
      </x:c>
      <x:c r="K65" s="11" t="str">
        <x:f>'Cumulative'!D36</x:f>
        <x:v>-3.0565811046353684</x:v>
      </x:c>
      <x:c r="L65" s="11" t="str">
        <x:f>'Cumulative'!E36</x:f>
        <x:v>-0.19284958627003168</x:v>
      </x:c>
    </x:row>
    <x:row r="66">
      <x:c r="A66" s="11" t="str">
        <x:f>'Cumulative'!A37</x:f>
        <x:v>36</x:v>
      </x:c>
      <x:c r="B66" s="11" t="str">
        <x:f>'Cumulative'!B37</x:f>
      </x:c>
      <x:c r="C66" s="11" t="str">
        <x:f>'Cumulative'!C37</x:f>
        <x:v>0.38634196950250077</x:v>
      </x:c>
      <x:c r="D66" s="11" t="str">
        <x:f>'Cumulative'!D37</x:f>
        <x:v>-1.5927268615424206</x:v>
      </x:c>
      <x:c r="E66" s="11" t="str">
        <x:f>'Cumulative'!E37</x:f>
        <x:v>-1.232727881148466</x:v>
      </x:c>
      <x:c r="G66" s="11" t="str">
        <x:f>'Cumulative'!A37</x:f>
        <x:v>36</x:v>
      </x:c>
      <x:c r="H66" s="11" t="str">
        <x:f>'Cumulative'!C37</x:f>
        <x:v>0.38634196950250077</x:v>
      </x:c>
      <x:c r="I66" s="87"/>
      <x:c r="J66" s="11" t="str">
        <x:f>'Cumulative'!A37</x:f>
        <x:v>36</x:v>
      </x:c>
      <x:c r="K66" s="11" t="str">
        <x:f>'Cumulative'!D37</x:f>
        <x:v>-1.5927268615424206</x:v>
      </x:c>
      <x:c r="L66" s="11" t="str">
        <x:f>'Cumulative'!E37</x:f>
        <x:v>-1.232727881148466</x:v>
      </x:c>
    </x:row>
    <x:row r="67">
      <x:c r="A67" s="11" t="str">
        <x:f>'Cumulative'!A38</x:f>
        <x:v>37</x:v>
      </x:c>
      <x:c r="B67" s="11" t="str">
        <x:f>'Cumulative'!B38</x:f>
      </x:c>
      <x:c r="C67" s="11" t="str">
        <x:f>'Cumulative'!C38</x:f>
        <x:v>-0.6770578940361489</x:v>
      </x:c>
      <x:c r="D67" s="11" t="str">
        <x:f>'Cumulative'!D38</x:f>
        <x:v>-1.1780738459092206</x:v>
      </x:c>
      <x:c r="E67" s="11" t="str">
        <x:f>'Cumulative'!E38</x:f>
        <x:v>0.753284222719399</x:v>
      </x:c>
      <x:c r="G67" s="11" t="str">
        <x:f>'Cumulative'!A38</x:f>
        <x:v>37</x:v>
      </x:c>
      <x:c r="H67" s="11" t="str">
        <x:f>'Cumulative'!C38</x:f>
        <x:v>-0.6770578940361489</x:v>
      </x:c>
      <x:c r="I67" s="87"/>
      <x:c r="J67" s="11" t="str">
        <x:f>'Cumulative'!A38</x:f>
        <x:v>37</x:v>
      </x:c>
      <x:c r="K67" s="11" t="str">
        <x:f>'Cumulative'!D38</x:f>
        <x:v>-1.1780738459092206</x:v>
      </x:c>
      <x:c r="L67" s="11" t="str">
        <x:f>'Cumulative'!E38</x:f>
        <x:v>0.753284222719399</x:v>
      </x:c>
    </x:row>
    <x:row r="68">
      <x:c r="A68" s="11" t="str">
        <x:f>'Cumulative'!A39</x:f>
        <x:v>38</x:v>
      </x:c>
      <x:c r="B68" s="11" t="str">
        <x:f>'Cumulative'!B39</x:f>
      </x:c>
      <x:c r="C68" s="11" t="str">
        <x:f>'Cumulative'!C39</x:f>
        <x:v>0.2978023621455922</x:v>
      </x:c>
      <x:c r="D68" s="11" t="str">
        <x:f>'Cumulative'!D39</x:f>
        <x:v>0.7534267843104938</x:v>
      </x:c>
      <x:c r="E68" s="11" t="str">
        <x:f>'Cumulative'!E39</x:f>
        <x:v>2.735208606899242</x:v>
      </x:c>
      <x:c r="G68" s="11" t="str">
        <x:f>'Cumulative'!A39</x:f>
        <x:v>38</x:v>
      </x:c>
      <x:c r="H68" s="11" t="str">
        <x:f>'Cumulative'!C39</x:f>
        <x:v>0.2978023621455922</x:v>
      </x:c>
      <x:c r="I68" s="87"/>
      <x:c r="J68" s="11" t="str">
        <x:f>'Cumulative'!A39</x:f>
        <x:v>38</x:v>
      </x:c>
      <x:c r="K68" s="11" t="str">
        <x:f>'Cumulative'!D39</x:f>
        <x:v>0.7534267843104938</x:v>
      </x:c>
      <x:c r="L68" s="11" t="str">
        <x:f>'Cumulative'!E39</x:f>
        <x:v>2.735208606899242</x:v>
      </x:c>
    </x:row>
    <x:row r="69">
      <x:c r="A69" s="11" t="str">
        <x:f>'Cumulative'!A40</x:f>
        <x:v>39</x:v>
      </x:c>
      <x:c r="B69" s="11" t="str">
        <x:f>'Cumulative'!B40</x:f>
      </x:c>
      <x:c r="C69" s="11" t="str">
        <x:f>'Cumulative'!C40</x:f>
        <x:v>0.41010902981135045</x:v>
      </x:c>
      <x:c r="D69" s="11" t="str">
        <x:f>'Cumulative'!D40</x:f>
        <x:v>-0.26451959083391574</x:v>
      </x:c>
      <x:c r="E69" s="11" t="str">
        <x:f>'Cumulative'!E40</x:f>
        <x:v>4.572412607229686</x:v>
      </x:c>
      <x:c r="G69" s="11" t="str">
        <x:f>'Cumulative'!A40</x:f>
        <x:v>39</x:v>
      </x:c>
      <x:c r="H69" s="11" t="str">
        <x:f>'Cumulative'!C40</x:f>
        <x:v>0.41010902981135045</x:v>
      </x:c>
      <x:c r="I69" s="87"/>
      <x:c r="J69" s="11" t="str">
        <x:f>'Cumulative'!A40</x:f>
        <x:v>39</x:v>
      </x:c>
      <x:c r="K69" s="11" t="str">
        <x:f>'Cumulative'!D40</x:f>
        <x:v>-0.26451959083391574</x:v>
      </x:c>
      <x:c r="L69" s="11" t="str">
        <x:f>'Cumulative'!E40</x:f>
        <x:v>4.572412607229686</x:v>
      </x:c>
    </x:row>
    <x:row r="70">
      <x:c r="A70" s="11" t="str">
        <x:f>'Cumulative'!A41</x:f>
        <x:v>40</x:v>
      </x:c>
      <x:c r="B70" s="11" t="str">
        <x:f>'Cumulative'!B41</x:f>
      </x:c>
      <x:c r="C70" s="11" t="str">
        <x:f>'Cumulative'!C41</x:f>
        <x:v>-0.6102188021954077</x:v>
      </x:c>
      <x:c r="D70" s="11" t="str">
        <x:f>'Cumulative'!D41</x:f>
        <x:v>-1.2795458000243498</x:v>
      </x:c>
      <x:c r="E70" s="11" t="str">
        <x:f>'Cumulative'!E41</x:f>
        <x:v>4.197636958329087</x:v>
      </x:c>
      <x:c r="G70" s="11" t="str">
        <x:f>'Cumulative'!A41</x:f>
        <x:v>40</x:v>
      </x:c>
      <x:c r="H70" s="11" t="str">
        <x:f>'Cumulative'!C41</x:f>
        <x:v>-0.6102188021954077</x:v>
      </x:c>
      <x:c r="I70" s="87"/>
      <x:c r="J70" s="11" t="str">
        <x:f>'Cumulative'!A41</x:f>
        <x:v>40</x:v>
      </x:c>
      <x:c r="K70" s="11" t="str">
        <x:f>'Cumulative'!D41</x:f>
        <x:v>-1.2795458000243498</x:v>
      </x:c>
      <x:c r="L70" s="11" t="str">
        <x:f>'Cumulative'!E41</x:f>
        <x:v>4.197636958329087</x:v>
      </x:c>
    </x:row>
    <x:row r="71">
      <x:c r="A71" s="11" t="str">
        <x:f>'Cumulative'!A42</x:f>
        <x:v>41</x:v>
      </x:c>
      <x:c r="B71" s="11" t="str">
        <x:f>'Cumulative'!B42</x:f>
      </x:c>
      <x:c r="C71" s="11" t="str">
        <x:f>'Cumulative'!C42</x:f>
        <x:v>0.5877628561886367</x:v>
      </x:c>
      <x:c r="D71" s="11" t="str">
        <x:f>'Cumulative'!D42</x:f>
        <x:v>-2.293156248965686</x:v>
      </x:c>
      <x:c r="E71" s="11" t="str">
        <x:f>'Cumulative'!E42</x:f>
        <x:v>3.144422990510728</x:v>
      </x:c>
      <x:c r="G71" s="11" t="str">
        <x:f>'Cumulative'!A42</x:f>
        <x:v>41</x:v>
      </x:c>
      <x:c r="H71" s="11" t="str">
        <x:f>'Cumulative'!C42</x:f>
        <x:v>0.5877628561886367</x:v>
      </x:c>
      <x:c r="I71" s="87"/>
      <x:c r="J71" s="11" t="str">
        <x:f>'Cumulative'!A42</x:f>
        <x:v>41</x:v>
      </x:c>
      <x:c r="K71" s="11" t="str">
        <x:f>'Cumulative'!D42</x:f>
        <x:v>-2.293156248965686</x:v>
      </x:c>
      <x:c r="L71" s="11" t="str">
        <x:f>'Cumulative'!E42</x:f>
        <x:v>3.144422990510728</x:v>
      </x:c>
    </x:row>
    <x:row r="72">
      <x:c r="A72" s="11" t="str">
        <x:f>'Cumulative'!A43</x:f>
        <x:v>42</x:v>
      </x:c>
      <x:c r="B72" s="11" t="str">
        <x:f>'Cumulative'!B43</x:f>
      </x:c>
      <x:c r="C72" s="11" t="str">
        <x:f>'Cumulative'!C43</x:f>
        <x:v>0.34549791294898763</x:v>
      </x:c>
      <x:c r="D72" s="11" t="str">
        <x:f>'Cumulative'!D43</x:f>
        <x:v>-0.3239531018330093</x:v>
      </x:c>
      <x:c r="E72" s="11" t="str">
        <x:f>'Cumulative'!E43</x:f>
        <x:v>2.0637533724648645</x:v>
      </x:c>
      <x:c r="G72" s="11" t="str">
        <x:f>'Cumulative'!A43</x:f>
        <x:v>42</x:v>
      </x:c>
      <x:c r="H72" s="11" t="str">
        <x:f>'Cumulative'!C43</x:f>
        <x:v>0.34549791294898763</x:v>
      </x:c>
      <x:c r="I72" s="87"/>
      <x:c r="J72" s="11" t="str">
        <x:f>'Cumulative'!A43</x:f>
        <x:v>42</x:v>
      </x:c>
      <x:c r="K72" s="11" t="str">
        <x:f>'Cumulative'!D43</x:f>
        <x:v>-0.3239531018330093</x:v>
      </x:c>
      <x:c r="L72" s="11" t="str">
        <x:f>'Cumulative'!E43</x:f>
        <x:v>2.0637533724648645</x:v>
      </x:c>
    </x:row>
    <x:row r="73">
      <x:c r="A73" s="11" t="str">
        <x:f>'Cumulative'!A44</x:f>
        <x:v>43</x:v>
      </x:c>
      <x:c r="B73" s="11" t="str">
        <x:f>'Cumulative'!B44</x:f>
      </x:c>
      <x:c r="C73" s="11" t="str">
        <x:f>'Cumulative'!C44</x:f>
        <x:v>2.28774543095286</x:v>
      </x:c>
      <x:c r="D73" s="11" t="str">
        <x:f>'Cumulative'!D44</x:f>
        <x:v>1.6269798166341933</x:v>
      </x:c>
      <x:c r="E73" s="11" t="str">
        <x:f>'Cumulative'!E44</x:f>
        <x:v>0.9772771963855862</x:v>
      </x:c>
      <x:c r="G73" s="11" t="str">
        <x:f>'Cumulative'!A44</x:f>
        <x:v>43</x:v>
      </x:c>
      <x:c r="H73" s="11" t="str">
        <x:f>'Cumulative'!C44</x:f>
        <x:v>2.28774543095286</x:v>
      </x:c>
      <x:c r="I73" s="87"/>
      <x:c r="J73" s="11" t="str">
        <x:f>'Cumulative'!A44</x:f>
        <x:v>43</x:v>
      </x:c>
      <x:c r="K73" s="11" t="str">
        <x:f>'Cumulative'!D44</x:f>
        <x:v>1.6269798166341933</x:v>
      </x:c>
      <x:c r="L73" s="11" t="str">
        <x:f>'Cumulative'!E44</x:f>
        <x:v>0.9772771963855862</x:v>
      </x:c>
    </x:row>
    <x:row r="74">
      <x:c r="A74" s="11" t="str">
        <x:f>'Cumulative'!A45</x:f>
        <x:v>44</x:v>
      </x:c>
      <x:c r="B74" s="11" t="str">
        <x:f>'Cumulative'!B45</x:f>
      </x:c>
      <x:c r="C74" s="11" t="str">
        <x:f>'Cumulative'!C45</x:f>
        <x:v>1.4356380291096347</x:v>
      </x:c>
      <x:c r="D74" s="11" t="str">
        <x:f>'Cumulative'!D45</x:f>
        <x:v>3.605270641493996</x:v>
      </x:c>
      <x:c r="E74" s="11" t="str">
        <x:f>'Cumulative'!E45</x:f>
        <x:v>1.2416581630100532</x:v>
      </x:c>
      <x:c r="G74" s="11" t="str">
        <x:f>'Cumulative'!A45</x:f>
        <x:v>44</x:v>
      </x:c>
      <x:c r="H74" s="11" t="str">
        <x:f>'Cumulative'!C45</x:f>
        <x:v>1.4356380291096347</x:v>
      </x:c>
      <x:c r="I74" s="87"/>
      <x:c r="J74" s="11" t="str">
        <x:f>'Cumulative'!A45</x:f>
        <x:v>44</x:v>
      </x:c>
      <x:c r="K74" s="11" t="str">
        <x:f>'Cumulative'!D45</x:f>
        <x:v>3.605270641493996</x:v>
      </x:c>
      <x:c r="L74" s="11" t="str">
        <x:f>'Cumulative'!E45</x:f>
        <x:v>1.2416581630100532</x:v>
      </x:c>
    </x:row>
    <x:row r="75">
      <x:c r="A75" s="11" t="str">
        <x:f>'Cumulative'!A46</x:f>
        <x:v>45</x:v>
      </x:c>
      <x:c r="B75" s="11" t="str">
        <x:f>'Cumulative'!B46</x:f>
      </x:c>
      <x:c r="C75" s="11" t="str">
        <x:f>'Cumulative'!C46</x:f>
        <x:v>0.3817666315065298</x:v>
      </x:c>
      <x:c r="D75" s="11" t="str">
        <x:f>'Cumulative'!D46</x:f>
        <x:v>5.560995344306004</x:v>
      </x:c>
      <x:c r="E75" s="11" t="str">
        <x:f>'Cumulative'!E46</x:f>
        <x:v>0.19994132641898266</x:v>
      </x:c>
      <x:c r="G75" s="11" t="str">
        <x:f>'Cumulative'!A46</x:f>
        <x:v>45</x:v>
      </x:c>
      <x:c r="H75" s="11" t="str">
        <x:f>'Cumulative'!C46</x:f>
        <x:v>0.3817666315065298</x:v>
      </x:c>
      <x:c r="I75" s="87"/>
      <x:c r="J75" s="11" t="str">
        <x:f>'Cumulative'!A46</x:f>
        <x:v>45</x:v>
      </x:c>
      <x:c r="K75" s="11" t="str">
        <x:f>'Cumulative'!D46</x:f>
        <x:v>5.560995344306004</x:v>
      </x:c>
      <x:c r="L75" s="11" t="str">
        <x:f>'Cumulative'!E46</x:f>
        <x:v>0.19994132641898266</x:v>
      </x:c>
    </x:row>
    <x:row r="76">
      <x:c r="A76" s="11" t="str">
        <x:f>'Cumulative'!A47</x:f>
        <x:v>46</x:v>
      </x:c>
      <x:c r="B76" s="11" t="str">
        <x:f>'Cumulative'!B47</x:f>
      </x:c>
      <x:c r="C76" s="11" t="str">
        <x:f>'Cumulative'!C47</x:f>
        <x:v>-0.6436674263102746</x:v>
      </x:c>
      <x:c r="D76" s="11" t="str">
        <x:f>'Cumulative'!D47</x:f>
        <x:v>6.5085815770323325</x:v>
      </x:c>
      <x:c r="E76" s="11" t="str">
        <x:f>'Cumulative'!E47</x:f>
        <x:v>1.8273223506472285</x:v>
      </x:c>
      <x:c r="G76" s="11" t="str">
        <x:f>'Cumulative'!A47</x:f>
        <x:v>46</x:v>
      </x:c>
      <x:c r="H76" s="11" t="str">
        <x:f>'Cumulative'!C47</x:f>
        <x:v>-0.6436674263102746</x:v>
      </x:c>
      <x:c r="I76" s="87"/>
      <x:c r="J76" s="11" t="str">
        <x:f>'Cumulative'!A47</x:f>
        <x:v>46</x:v>
      </x:c>
      <x:c r="K76" s="11" t="str">
        <x:f>'Cumulative'!D47</x:f>
        <x:v>6.5085815770323325</x:v>
      </x:c>
      <x:c r="L76" s="11" t="str">
        <x:f>'Cumulative'!E47</x:f>
        <x:v>1.8273223506472285</x:v>
      </x:c>
    </x:row>
    <x:row r="77">
      <x:c r="A77" s="11" t="str">
        <x:f>'Cumulative'!A48</x:f>
        <x:v>47</x:v>
      </x:c>
      <x:c r="B77" s="11" t="str">
        <x:f>'Cumulative'!B48</x:f>
      </x:c>
      <x:c r="C77" s="11" t="str">
        <x:f>'Cumulative'!C48</x:f>
        <x:v>-1.7747817856462385</x:v>
      </x:c>
      <x:c r="D77" s="11" t="str">
        <x:f>'Cumulative'!D48</x:f>
        <x:v>6.319753804504848</x:v>
      </x:c>
      <x:c r="E77" s="11" t="str">
        <x:f>'Cumulative'!E48</x:f>
        <x:v>1.248155658221546</x:v>
      </x:c>
      <x:c r="G77" s="11" t="str">
        <x:f>'Cumulative'!A48</x:f>
        <x:v>47</x:v>
      </x:c>
      <x:c r="H77" s="11" t="str">
        <x:f>'Cumulative'!C48</x:f>
        <x:v>-1.7747817856462385</x:v>
      </x:c>
      <x:c r="I77" s="87"/>
      <x:c r="J77" s="11" t="str">
        <x:f>'Cumulative'!A48</x:f>
        <x:v>47</x:v>
      </x:c>
      <x:c r="K77" s="11" t="str">
        <x:f>'Cumulative'!D48</x:f>
        <x:v>6.319753804504848</x:v>
      </x:c>
      <x:c r="L77" s="11" t="str">
        <x:f>'Cumulative'!E48</x:f>
        <x:v>1.248155658221546</x:v>
      </x:c>
    </x:row>
    <x:row r="78">
      <x:c r="A78" s="11" t="str">
        <x:f>'Cumulative'!A49</x:f>
        <x:v>48</x:v>
      </x:c>
      <x:c r="B78" s="11" t="str">
        <x:f>'Cumulative'!B49</x:f>
      </x:c>
      <x:c r="C78" s="11" t="str">
        <x:f>'Cumulative'!C49</x:f>
        <x:v>0.09862011965091289</x:v>
      </x:c>
      <x:c r="D78" s="11" t="str">
        <x:f>'Cumulative'!D49</x:f>
        <x:v>5.289613834148507</x:v>
      </x:c>
      <x:c r="E78" s="11" t="str">
        <x:f>'Cumulative'!E49</x:f>
        <x:v>3.2204730213022836</x:v>
      </x:c>
      <x:c r="G78" s="11" t="str">
        <x:f>'Cumulative'!A49</x:f>
        <x:v>48</x:v>
      </x:c>
      <x:c r="H78" s="11" t="str">
        <x:f>'Cumulative'!C49</x:f>
        <x:v>0.09862011965091289</x:v>
      </x:c>
      <x:c r="I78" s="87"/>
      <x:c r="J78" s="11" t="str">
        <x:f>'Cumulative'!A49</x:f>
        <x:v>48</x:v>
      </x:c>
      <x:c r="K78" s="11" t="str">
        <x:f>'Cumulative'!D49</x:f>
        <x:v>5.289613834148507</x:v>
      </x:c>
      <x:c r="L78" s="11" t="str">
        <x:f>'Cumulative'!E49</x:f>
        <x:v>3.2204730213022836</x:v>
      </x:c>
    </x:row>
    <x:row r="79">
      <x:c r="A79" s="11" t="str">
        <x:f>'Cumulative'!A50</x:f>
        <x:v>49</x:v>
      </x:c>
      <x:c r="B79" s="11" t="str">
        <x:f>'Cumulative'!B50</x:f>
      </x:c>
      <x:c r="C79" s="11" t="str">
        <x:f>'Cumulative'!C50</x:f>
        <x:v>-0.9256458542846928</x:v>
      </x:c>
      <x:c r="D79" s="11" t="str">
        <x:f>'Cumulative'!D50</x:f>
        <x:v>4.1766223898960195</x:v>
      </x:c>
      <x:c r="E79" s="11" t="str">
        <x:f>'Cumulative'!E50</x:f>
        <x:v>2.1800074748128146</x:v>
      </x:c>
      <x:c r="G79" s="11" t="str">
        <x:f>'Cumulative'!A50</x:f>
        <x:v>49</x:v>
      </x:c>
      <x:c r="H79" s="11" t="str">
        <x:f>'Cumulative'!C50</x:f>
        <x:v>-0.9256458542846928</x:v>
      </x:c>
      <x:c r="I79" s="87"/>
      <x:c r="J79" s="11" t="str">
        <x:f>'Cumulative'!A50</x:f>
        <x:v>49</x:v>
      </x:c>
      <x:c r="K79" s="11" t="str">
        <x:f>'Cumulative'!D50</x:f>
        <x:v>4.1766223898960195</x:v>
      </x:c>
      <x:c r="L79" s="11" t="str">
        <x:f>'Cumulative'!E50</x:f>
        <x:v>2.1800074748128146</x:v>
      </x:c>
    </x:row>
    <x:row r="80">
      <x:c r="A80" s="11" t="str">
        <x:f>'Cumulative'!A51</x:f>
        <x:v>50</x:v>
      </x:c>
      <x:c r="B80" s="11" t="str">
        <x:f>'Cumulative'!B51</x:f>
      </x:c>
      <x:c r="C80" s="11" t="str">
        <x:f>'Cumulative'!C51</x:f>
        <x:v>-1.954688169445935</x:v>
      </x:c>
      <x:c r="D80" s="11" t="str">
        <x:f>'Cumulative'!D51</x:f>
        <x:v>3.074979311882089</x:v>
      </x:c>
      <x:c r="E80" s="11" t="str">
        <x:f>'Cumulative'!E51</x:f>
        <x:v>1.1431108394984468</x:v>
      </x:c>
      <x:c r="G80" s="11" t="str">
        <x:f>'Cumulative'!A51</x:f>
        <x:v>50</x:v>
      </x:c>
      <x:c r="H80" s="11" t="str">
        <x:f>'Cumulative'!C51</x:f>
        <x:v>-1.954688169445935</x:v>
      </x:c>
      <x:c r="I80" s="87"/>
      <x:c r="J80" s="11" t="str">
        <x:f>'Cumulative'!A51</x:f>
        <x:v>50</x:v>
      </x:c>
      <x:c r="K80" s="11" t="str">
        <x:f>'Cumulative'!D51</x:f>
        <x:v>3.074979311882089</x:v>
      </x:c>
      <x:c r="L80" s="11" t="str">
        <x:f>'Cumulative'!E51</x:f>
        <x:v>1.1431108394984468</x:v>
      </x:c>
    </x:row>
    <x:row r="81">
      <x:c r="A81" s="11" t="str">
        <x:f>'Cumulative'!A52</x:f>
        <x:v>51</x:v>
      </x:c>
      <x:c r="B81" s="11" t="str">
        <x:f>'Cumulative'!B52</x:f>
      </x:c>
      <x:c r="C81" s="11" t="str">
        <x:f>'Cumulative'!C52</x:f>
        <x:v>0.025114200852397905</x:v>
      </x:c>
      <x:c r="D81" s="11" t="str">
        <x:f>'Cumulative'!D52</x:f>
        <x:v>2.0211988798036606</x:v>
      </x:c>
      <x:c r="E81" s="11" t="str">
        <x:f>'Cumulative'!E52</x:f>
        <x:v>0.11546477008234923</x:v>
      </x:c>
      <x:c r="G81" s="11" t="str">
        <x:f>'Cumulative'!A52</x:f>
        <x:v>51</x:v>
      </x:c>
      <x:c r="H81" s="11" t="str">
        <x:f>'Cumulative'!C52</x:f>
        <x:v>0.025114200852397905</x:v>
      </x:c>
      <x:c r="I81" s="87"/>
      <x:c r="J81" s="11" t="str">
        <x:f>'Cumulative'!A52</x:f>
        <x:v>51</x:v>
      </x:c>
      <x:c r="K81" s="11" t="str">
        <x:f>'Cumulative'!D52</x:f>
        <x:v>2.0211988798036606</x:v>
      </x:c>
      <x:c r="L81" s="11" t="str">
        <x:f>'Cumulative'!E52</x:f>
        <x:v>0.11546477008234923</x:v>
      </x:c>
    </x:row>
    <x:row r="82">
      <x:c r="A82" s="11" t="str">
        <x:f>'Cumulative'!A53</x:f>
        <x:v>52</x:v>
      </x:c>
      <x:c r="B82" s="11" t="str">
        <x:f>'Cumulative'!B53</x:f>
      </x:c>
      <x:c r="C82" s="11" t="str">
        <x:f>'Cumulative'!C53</x:f>
        <x:v>1.0103226726753896</x:v>
      </x:c>
      <x:c r="D82" s="11" t="str">
        <x:f>'Cumulative'!D53</x:f>
        <x:v>1.0076531181983746</x:v>
      </x:c>
      <x:c r="E82" s="11" t="str">
        <x:f>'Cumulative'!E53</x:f>
        <x:v>-0.965955272688396</x:v>
      </x:c>
      <x:c r="G82" s="11" t="str">
        <x:f>'Cumulative'!A53</x:f>
        <x:v>52</x:v>
      </x:c>
      <x:c r="H82" s="11" t="str">
        <x:f>'Cumulative'!C53</x:f>
        <x:v>1.0103226726753896</x:v>
      </x:c>
      <x:c r="I82" s="87"/>
      <x:c r="J82" s="11" t="str">
        <x:f>'Cumulative'!A53</x:f>
        <x:v>52</x:v>
      </x:c>
      <x:c r="K82" s="11" t="str">
        <x:f>'Cumulative'!D53</x:f>
        <x:v>1.0076531181983746</x:v>
      </x:c>
      <x:c r="L82" s="11" t="str">
        <x:f>'Cumulative'!E53</x:f>
        <x:v>-0.965955272688396</x:v>
      </x:c>
    </x:row>
    <x:row r="83">
      <x:c r="A83" s="11" t="str">
        <x:f>'Cumulative'!A54</x:f>
        <x:v>53</x:v>
      </x:c>
      <x:c r="B83" s="11" t="str">
        <x:f>'Cumulative'!B54</x:f>
      </x:c>
      <x:c r="C83" s="11" t="str">
        <x:f>'Cumulative'!C54</x:f>
        <x:v>-0.048426402427965254</x:v>
      </x:c>
      <x:c r="D83" s="11" t="str">
        <x:f>'Cumulative'!D54</x:f>
        <x:v>1.624577726590577</x:v>
      </x:c>
      <x:c r="E83" s="11" t="str">
        <x:f>'Cumulative'!E54</x:f>
        <x:v>-1.986116048269864</x:v>
      </x:c>
      <x:c r="G83" s="11" t="str">
        <x:f>'Cumulative'!A54</x:f>
        <x:v>53</x:v>
      </x:c>
      <x:c r="H83" s="11" t="str">
        <x:f>'Cumulative'!C54</x:f>
        <x:v>-0.048426402427965254</x:v>
      </x:c>
      <x:c r="I83" s="87"/>
      <x:c r="J83" s="11" t="str">
        <x:f>'Cumulative'!A54</x:f>
        <x:v>53</x:v>
      </x:c>
      <x:c r="K83" s="11" t="str">
        <x:f>'Cumulative'!D54</x:f>
        <x:v>1.624577726590577</x:v>
      </x:c>
      <x:c r="L83" s="11" t="str">
        <x:f>'Cumulative'!E54</x:f>
        <x:v>-1.986116048269864</x:v>
      </x:c>
    </x:row>
    <x:row r="84">
      <x:c r="A84" s="11" t="str">
        <x:f>'Cumulative'!A55</x:f>
        <x:v>54</x:v>
      </x:c>
      <x:c r="B84" s="11" t="str">
        <x:f>'Cumulative'!B55</x:f>
      </x:c>
      <x:c r="C84" s="11" t="str">
        <x:f>'Cumulative'!C55</x:f>
        <x:v>0.43062356659164785</x:v>
      </x:c>
      <x:c r="D84" s="11" t="str">
        <x:f>'Cumulative'!D55</x:f>
        <x:v>1.9455864954981499</x:v>
      </x:c>
      <x:c r="E84" s="11" t="str">
        <x:f>'Cumulative'!E55</x:f>
        <x:v>-0.025652412681096637</x:v>
      </x:c>
      <x:c r="G84" s="11" t="str">
        <x:f>'Cumulative'!A55</x:f>
        <x:v>54</x:v>
      </x:c>
      <x:c r="H84" s="11" t="str">
        <x:f>'Cumulative'!C55</x:f>
        <x:v>0.43062356659164785</x:v>
      </x:c>
      <x:c r="I84" s="87"/>
      <x:c r="J84" s="11" t="str">
        <x:f>'Cumulative'!A55</x:f>
        <x:v>54</x:v>
      </x:c>
      <x:c r="K84" s="11" t="str">
        <x:f>'Cumulative'!D55</x:f>
        <x:v>1.9455864954981499</x:v>
      </x:c>
      <x:c r="L84" s="11" t="str">
        <x:f>'Cumulative'!E55</x:f>
        <x:v>-0.025652412681096637</x:v>
      </x:c>
    </x:row>
    <x:row r="85">
      <x:c r="A85" s="11" t="str">
        <x:f>'Cumulative'!A56</x:f>
        <x:v>55</x:v>
      </x:c>
      <x:c r="B85" s="11" t="str">
        <x:f>'Cumulative'!B56</x:f>
      </x:c>
      <x:c r="C85" s="11" t="str">
        <x:f>'Cumulative'!C56</x:f>
        <x:v>-0.5925987707267188</x:v>
      </x:c>
      <x:c r="D85" s="11" t="str">
        <x:f>'Cumulative'!D56</x:f>
        <x:v>2.902169815033046</x:v>
      </x:c>
      <x:c r="E85" s="11" t="str">
        <x:f>'Cumulative'!E56</x:f>
        <x:v>0.16377480424809782</x:v>
      </x:c>
      <x:c r="G85" s="11" t="str">
        <x:f>'Cumulative'!A56</x:f>
        <x:v>55</x:v>
      </x:c>
      <x:c r="H85" s="11" t="str">
        <x:f>'Cumulative'!C56</x:f>
        <x:v>-0.5925987707267188</x:v>
      </x:c>
      <x:c r="I85" s="87"/>
      <x:c r="J85" s="11" t="str">
        <x:f>'Cumulative'!A56</x:f>
        <x:v>55</x:v>
      </x:c>
      <x:c r="K85" s="11" t="str">
        <x:f>'Cumulative'!D56</x:f>
        <x:v>2.902169815033046</x:v>
      </x:c>
      <x:c r="L85" s="11" t="str">
        <x:f>'Cumulative'!E56</x:f>
        <x:v>0.16377480424809782</x:v>
      </x:c>
    </x:row>
    <x:row r="86">
      <x:c r="A86" s="11" t="str">
        <x:f>'Cumulative'!A57</x:f>
        <x:v>56</x:v>
      </x:c>
      <x:c r="B86" s="11" t="str">
        <x:f>'Cumulative'!B57</x:f>
      </x:c>
      <x:c r="C86" s="11" t="str">
        <x:f>'Cumulative'!C57</x:f>
        <x:v>0.8712554723662289</x:v>
      </x:c>
      <x:c r="D86" s="11" t="str">
        <x:f>'Cumulative'!D57</x:f>
        <x:v>2.824937214811179</x:v>
      </x:c>
      <x:c r="E86" s="11" t="str">
        <x:f>'Cumulative'!E57</x:f>
        <x:v>-0.9124440294733944</x:v>
      </x:c>
      <x:c r="G86" s="11" t="str">
        <x:f>'Cumulative'!A57</x:f>
        <x:v>56</x:v>
      </x:c>
      <x:c r="H86" s="11" t="str">
        <x:f>'Cumulative'!C57</x:f>
        <x:v>0.8712554723662289</x:v>
      </x:c>
      <x:c r="I86" s="87"/>
      <x:c r="J86" s="11" t="str">
        <x:f>'Cumulative'!A57</x:f>
        <x:v>56</x:v>
      </x:c>
      <x:c r="K86" s="11" t="str">
        <x:f>'Cumulative'!D57</x:f>
        <x:v>2.824937214811179</x:v>
      </x:c>
      <x:c r="L86" s="11" t="str">
        <x:f>'Cumulative'!E57</x:f>
        <x:v>-0.9124440294733944</x:v>
      </x:c>
    </x:row>
    <x:row r="87">
      <x:c r="A87" s="11" t="str">
        <x:f>'Cumulative'!A58</x:f>
        <x:v>57</x:v>
      </x:c>
      <x:c r="B87" s="11" t="str">
        <x:f>'Cumulative'!B58</x:f>
      </x:c>
      <x:c r="C87" s="11" t="str">
        <x:f>'Cumulative'!C58</x:f>
        <x:v>1.285908487999429</x:v>
      </x:c>
      <x:c r="D87" s="11" t="str">
        <x:f>'Cumulative'!D58</x:f>
        <x:v>4.780580239037418</x:v>
      </x:c>
      <x:c r="E87" s="11" t="str">
        <x:f>'Cumulative'!E58</x:f>
        <x:v>-1.660430836627286</x:v>
      </x:c>
      <x:c r="G87" s="11" t="str">
        <x:f>'Cumulative'!A58</x:f>
        <x:v>57</x:v>
      </x:c>
      <x:c r="H87" s="11" t="str">
        <x:f>'Cumulative'!C58</x:f>
        <x:v>1.285908487999429</x:v>
      </x:c>
      <x:c r="I87" s="87"/>
      <x:c r="J87" s="11" t="str">
        <x:f>'Cumulative'!A58</x:f>
        <x:v>57</x:v>
      </x:c>
      <x:c r="K87" s="11" t="str">
        <x:f>'Cumulative'!D58</x:f>
        <x:v>4.780580239037418</x:v>
      </x:c>
      <x:c r="L87" s="11" t="str">
        <x:f>'Cumulative'!E58</x:f>
        <x:v>-1.660430836627286</x:v>
      </x:c>
    </x:row>
    <x:row r="88">
      <x:c r="A88" s="11" t="str">
        <x:f>'Cumulative'!A59</x:f>
        <x:v>58</x:v>
      </x:c>
      <x:c r="B88" s="11" t="str">
        <x:f>'Cumulative'!B59</x:f>
      </x:c>
      <x:c r="C88" s="11" t="str">
        <x:f>'Cumulative'!C59</x:f>
        <x:v>0.25783266731723087</x:v>
      </x:c>
      <x:c r="D88" s="11" t="str">
        <x:f>'Cumulative'!D59</x:f>
        <x:v>4.152641086868409</x:v>
      </x:c>
      <x:c r="E88" s="11" t="str">
        <x:f>'Cumulative'!E59</x:f>
        <x:v>-2.7796094537003775</x:v>
      </x:c>
      <x:c r="G88" s="11" t="str">
        <x:f>'Cumulative'!A59</x:f>
        <x:v>58</x:v>
      </x:c>
      <x:c r="H88" s="11" t="str">
        <x:f>'Cumulative'!C59</x:f>
        <x:v>0.25783266731723087</x:v>
      </x:c>
      <x:c r="I88" s="87"/>
      <x:c r="J88" s="11" t="str">
        <x:f>'Cumulative'!A59</x:f>
        <x:v>58</x:v>
      </x:c>
      <x:c r="K88" s="11" t="str">
        <x:f>'Cumulative'!D59</x:f>
        <x:v>4.152641086868409</x:v>
      </x:c>
      <x:c r="L88" s="11" t="str">
        <x:f>'Cumulative'!E59</x:f>
        <x:v>-2.7796094537003775</x:v>
      </x:c>
    </x:row>
    <x:row r="89">
      <x:c r="A89" s="11" t="str">
        <x:f>'Cumulative'!A60</x:f>
        <x:v>59</x:v>
      </x:c>
      <x:c r="B89" s="11" t="str">
        <x:f>'Cumulative'!B60</x:f>
      </x:c>
      <x:c r="C89" s="11" t="str">
        <x:f>'Cumulative'!C60</x:f>
        <x:v>2.1893332975369453</x:v>
      </x:c>
      <x:c r="D89" s="11" t="str">
        <x:f>'Cumulative'!D60</x:f>
        <x:v>3.0683560604144358</x:v>
      </x:c>
      <x:c r="E89" s="11" t="str">
        <x:f>'Cumulative'!E60</x:f>
        <x:v>-3.8170252119626715</x:v>
      </x:c>
      <x:c r="G89" s="11" t="str">
        <x:f>'Cumulative'!A60</x:f>
        <x:v>59</x:v>
      </x:c>
      <x:c r="H89" s="11" t="str">
        <x:f>'Cumulative'!C60</x:f>
        <x:v>2.1893332975369453</x:v>
      </x:c>
      <x:c r="I89" s="87"/>
      <x:c r="J89" s="11" t="str">
        <x:f>'Cumulative'!A60</x:f>
        <x:v>59</x:v>
      </x:c>
      <x:c r="K89" s="11" t="str">
        <x:f>'Cumulative'!D60</x:f>
        <x:v>3.0683560604144358</x:v>
      </x:c>
      <x:c r="L89" s="11" t="str">
        <x:f>'Cumulative'!E60</x:f>
        <x:v>-3.8170252119626715</x:v>
      </x:c>
    </x:row>
    <x:row r="90">
      <x:c r="A90" s="11" t="str">
        <x:f>'Cumulative'!A61</x:f>
        <x:v>60</x:v>
      </x:c>
      <x:c r="B90" s="11" t="str">
        <x:f>'Cumulative'!B61</x:f>
      </x:c>
      <x:c r="C90" s="11" t="str">
        <x:f>'Cumulative'!C61</x:f>
        <x:v>1.1713869223925357</x:v>
      </x:c>
      <x:c r="D90" s="11" t="str">
        <x:f>'Cumulative'!D61</x:f>
        <x:v>2.035996603396855</x:v>
      </x:c>
      <x:c r="E90" s="11" t="str">
        <x:f>'Cumulative'!E61</x:f>
        <x:v>-4.986688575155284</x:v>
      </x:c>
      <x:c r="G90" s="11" t="str">
        <x:f>'Cumulative'!A61</x:f>
        <x:v>60</x:v>
      </x:c>
      <x:c r="H90" s="11" t="str">
        <x:f>'Cumulative'!C61</x:f>
        <x:v>1.1713869223925357</x:v>
      </x:c>
      <x:c r="I90" s="87"/>
      <x:c r="J90" s="11" t="str">
        <x:f>'Cumulative'!A61</x:f>
        <x:v>60</x:v>
      </x:c>
      <x:c r="K90" s="11" t="str">
        <x:f>'Cumulative'!D61</x:f>
        <x:v>2.035996603396855</x:v>
      </x:c>
      <x:c r="L90" s="11" t="str">
        <x:f>'Cumulative'!E61</x:f>
        <x:v>-4.986688575155284</x:v>
      </x:c>
    </x:row>
    <x:row r="91">
      <x:c r="A91" s="11" t="str">
        <x:f>'Cumulative'!A62</x:f>
        <x:v>61</x:v>
      </x:c>
      <x:c r="B91" s="11" t="str">
        <x:f>'Cumulative'!B62</x:f>
      </x:c>
      <x:c r="C91" s="11" t="str">
        <x:f>'Cumulative'!C62</x:f>
        <x:v>0.15636071320210165</x:v>
      </x:c>
      <x:c r="D91" s="11" t="str">
        <x:f>'Cumulative'!D62</x:f>
        <x:v>1.7493965640832938</x:v>
      </x:c>
      <x:c r="E91" s="11" t="str">
        <x:f>'Cumulative'!E62</x:f>
        <x:v>-6.008288277195918</x:v>
      </x:c>
      <x:c r="G91" s="11" t="str">
        <x:f>'Cumulative'!A62</x:f>
        <x:v>61</x:v>
      </x:c>
      <x:c r="H91" s="11" t="str">
        <x:f>'Cumulative'!C62</x:f>
        <x:v>0.15636071320210165</x:v>
      </x:c>
      <x:c r="I91" s="87"/>
      <x:c r="J91" s="11" t="str">
        <x:f>'Cumulative'!A62</x:f>
        <x:v>61</x:v>
      </x:c>
      <x:c r="K91" s="11" t="str">
        <x:f>'Cumulative'!D62</x:f>
        <x:v>1.7493965640832938</x:v>
      </x:c>
      <x:c r="L91" s="11" t="str">
        <x:f>'Cumulative'!E62</x:f>
        <x:v>-6.008288277195918</x:v>
      </x:c>
    </x:row>
    <x:row r="92">
      <x:c r="A92" s="11" t="str">
        <x:f>'Cumulative'!A63</x:f>
        <x:v>62</x:v>
      </x:c>
      <x:c r="B92" s="11" t="str">
        <x:f>'Cumulative'!B63</x:f>
      </x:c>
      <x:c r="C92" s="11" t="str">
        <x:f>'Cumulative'!C63</x:f>
        <x:v>-0.8726106263437816</x:v>
      </x:c>
      <x:c r="D92" s="11" t="str">
        <x:f>'Cumulative'!D63</x:f>
        <x:v>0.719162185031265</x:v>
      </x:c>
      <x:c r="E92" s="11" t="str">
        <x:f>'Cumulative'!E63</x:f>
        <x:v>-6.066656067763188</x:v>
      </x:c>
      <x:c r="G92" s="11" t="str">
        <x:f>'Cumulative'!A63</x:f>
        <x:v>62</x:v>
      </x:c>
      <x:c r="H92" s="11" t="str">
        <x:f>'Cumulative'!C63</x:f>
        <x:v>-0.8726106263437816</x:v>
      </x:c>
      <x:c r="I92" s="87"/>
      <x:c r="J92" s="11" t="str">
        <x:f>'Cumulative'!A63</x:f>
        <x:v>62</x:v>
      </x:c>
      <x:c r="K92" s="11" t="str">
        <x:f>'Cumulative'!D63</x:f>
        <x:v>0.719162185031265</x:v>
      </x:c>
      <x:c r="L92" s="11" t="str">
        <x:f>'Cumulative'!E63</x:f>
        <x:v>-6.066656067763188</x:v>
      </x:c>
    </x:row>
    <x:row r="93">
      <x:c r="A93" s="11" t="str">
        <x:f>'Cumulative'!A64</x:f>
        <x:v>63</x:v>
      </x:c>
      <x:c r="B93" s="11" t="str">
        <x:f>'Cumulative'!B64</x:f>
      </x:c>
      <x:c r="C93" s="11" t="str">
        <x:f>'Cumulative'!C64</x:f>
        <x:v>-0.881226481885024</x:v>
      </x:c>
      <x:c r="D93" s="11" t="str">
        <x:f>'Cumulative'!D64</x:f>
        <x:v>-0.317242564071331</x:v>
      </x:c>
      <x:c r="E93" s="11" t="str">
        <x:f>'Cumulative'!E64</x:f>
        <x:v>-7.148506471179056</x:v>
      </x:c>
      <x:c r="G93" s="11" t="str">
        <x:f>'Cumulative'!A64</x:f>
        <x:v>63</x:v>
      </x:c>
      <x:c r="H93" s="11" t="str">
        <x:f>'Cumulative'!C64</x:f>
        <x:v>-0.881226481885024</x:v>
      </x:c>
      <x:c r="I93" s="87"/>
      <x:c r="J93" s="11" t="str">
        <x:f>'Cumulative'!A64</x:f>
        <x:v>63</x:v>
      </x:c>
      <x:c r="K93" s="11" t="str">
        <x:f>'Cumulative'!D64</x:f>
        <x:v>-0.317242564071331</x:v>
      </x:c>
      <x:c r="L93" s="11" t="str">
        <x:f>'Cumulative'!E64</x:f>
        <x:v>-7.148506471179056</x:v>
      </x:c>
    </x:row>
    <x:row r="94">
      <x:c r="A94" s="11" t="str">
        <x:f>'Cumulative'!A65</x:f>
        <x:v>64</x:v>
      </x:c>
      <x:c r="B94" s="11" t="str">
        <x:f>'Cumulative'!B65</x:f>
      </x:c>
      <x:c r="C94" s="11" t="str">
        <x:f>'Cumulative'!C65</x:f>
        <x:v>-1.8948369308263604</x:v>
      </x:c>
      <x:c r="D94" s="11" t="str">
        <x:f>'Cumulative'!D65</x:f>
        <x:v>-0.9134947645168492</x:v>
      </x:c>
      <x:c r="E94" s="11" t="str">
        <x:f>'Cumulative'!E65</x:f>
        <x:v>-8.172338982642067</x:v>
      </x:c>
      <x:c r="G94" s="11" t="str">
        <x:f>'Cumulative'!A65</x:f>
        <x:v>64</x:v>
      </x:c>
      <x:c r="H94" s="11" t="str">
        <x:f>'Cumulative'!C65</x:f>
        <x:v>-1.8948369308263604</x:v>
      </x:c>
      <x:c r="I94" s="87"/>
      <x:c r="J94" s="11" t="str">
        <x:f>'Cumulative'!A65</x:f>
        <x:v>64</x:v>
      </x:c>
      <x:c r="K94" s="11" t="str">
        <x:f>'Cumulative'!D65</x:f>
        <x:v>-0.9134947645168492</x:v>
      </x:c>
      <x:c r="L94" s="11" t="str">
        <x:f>'Cumulative'!E65</x:f>
        <x:v>-8.172338982642067</x:v>
      </x:c>
    </x:row>
    <x:row r="95">
      <x:c r="A95" s="11" t="str">
        <x:f>'Cumulative'!A66</x:f>
        <x:v>65</x:v>
      </x:c>
      <x:c r="B95" s="11" t="str">
        <x:f>'Cumulative'!B66</x:f>
      </x:c>
      <x:c r="C95" s="11" t="str">
        <x:f>'Cumulative'!C66</x:f>
        <x:v>0.07436621630631635</x:v>
      </x:c>
      <x:c r="D95" s="11" t="str">
        <x:f>'Cumulative'!D66</x:f>
        <x:v>1.0275654891563977</x:v>
      </x:c>
      <x:c r="E95" s="11" t="str">
        <x:f>'Cumulative'!E66</x:f>
        <x:v>-7.1367663289485535</x:v>
      </x:c>
      <x:c r="G95" s="11" t="str">
        <x:f>'Cumulative'!A66</x:f>
        <x:v>65</x:v>
      </x:c>
      <x:c r="H95" s="11" t="str">
        <x:f>'Cumulative'!C66</x:f>
        <x:v>0.07436621630631635</x:v>
      </x:c>
      <x:c r="I95" s="87"/>
      <x:c r="J95" s="11" t="str">
        <x:f>'Cumulative'!A66</x:f>
        <x:v>65</x:v>
      </x:c>
      <x:c r="K95" s="11" t="str">
        <x:f>'Cumulative'!D66</x:f>
        <x:v>1.0275654891563977</x:v>
      </x:c>
      <x:c r="L95" s="11" t="str">
        <x:f>'Cumulative'!E66</x:f>
        <x:v>-7.1367663289485535</x:v>
      </x:c>
    </x:row>
    <x:row r="96">
      <x:c r="A96" s="11" t="str">
        <x:f>'Cumulative'!A67</x:f>
        <x:v>66</x:v>
      </x:c>
      <x:c r="B96" s="11" t="str">
        <x:f>'Cumulative'!B67</x:f>
      </x:c>
      <x:c r="C96" s="11" t="str">
        <x:f>'Cumulative'!C67</x:f>
        <x:v>-0.9447404337444758</x:v>
      </x:c>
      <x:c r="D96" s="11" t="str">
        <x:f>'Cumulative'!D67</x:f>
        <x:v>0.18044771972529872</x:v>
      </x:c>
      <x:c r="E96" s="11" t="str">
        <x:f>'Cumulative'!E67</x:f>
        <x:v>-7.125131843888654</x:v>
      </x:c>
      <x:c r="G96" s="11" t="str">
        <x:f>'Cumulative'!A67</x:f>
        <x:v>66</x:v>
      </x:c>
      <x:c r="H96" s="11" t="str">
        <x:f>'Cumulative'!C67</x:f>
        <x:v>-0.9447404337444758</x:v>
      </x:c>
      <x:c r="I96" s="87"/>
      <x:c r="J96" s="11" t="str">
        <x:f>'Cumulative'!A67</x:f>
        <x:v>66</x:v>
      </x:c>
      <x:c r="K96" s="11" t="str">
        <x:f>'Cumulative'!D67</x:f>
        <x:v>0.18044771972529872</x:v>
      </x:c>
      <x:c r="L96" s="11" t="str">
        <x:f>'Cumulative'!E67</x:f>
        <x:v>-7.125131843888654</x:v>
      </x:c>
    </x:row>
    <x:row r="97">
      <x:c r="A97" s="11" t="str">
        <x:f>'Cumulative'!A68</x:f>
        <x:v>67</x:v>
      </x:c>
      <x:c r="B97" s="11" t="str">
        <x:f>'Cumulative'!B68</x:f>
      </x:c>
      <x:c r="C97" s="11" t="str">
        <x:f>'Cumulative'!C68</x:f>
        <x:v>1.0061924847227268</x:v>
      </x:c>
      <x:c r="D97" s="11" t="str">
        <x:f>'Cumulative'!D68</x:f>
        <x:v>-0.8519652332186058</x:v>
      </x:c>
      <x:c r="E97" s="11" t="str">
        <x:f>'Cumulative'!E68</x:f>
        <x:v>-5.17228153014106</x:v>
      </x:c>
      <x:c r="G97" s="11" t="str">
        <x:f>'Cumulative'!A68</x:f>
        <x:v>67</x:v>
      </x:c>
      <x:c r="H97" s="11" t="str">
        <x:f>'Cumulative'!C68</x:f>
        <x:v>1.0061924847227268</x:v>
      </x:c>
      <x:c r="I97" s="87"/>
      <x:c r="J97" s="11" t="str">
        <x:f>'Cumulative'!A68</x:f>
        <x:v>67</x:v>
      </x:c>
      <x:c r="K97" s="11" t="str">
        <x:f>'Cumulative'!D68</x:f>
        <x:v>-0.8519652332186058</x:v>
      </x:c>
      <x:c r="L97" s="11" t="str">
        <x:f>'Cumulative'!E68</x:f>
        <x:v>-5.17228153014106</x:v>
      </x:c>
    </x:row>
    <x:row r="98">
      <x:c r="A98" s="11" t="str">
        <x:f>'Cumulative'!A69</x:f>
        <x:v>68</x:v>
      </x:c>
      <x:c r="B98" s="11" t="str">
        <x:f>'Cumulative'!B69</x:f>
      </x:c>
      <x:c r="C98" s="11" t="str">
        <x:f>'Cumulative'!C69</x:f>
        <x:v>2.9844833095825294</x:v>
      </x:c>
      <x:c r="D98" s="11" t="str">
        <x:f>'Cumulative'!D69</x:f>
        <x:v>-1.3908246728534372</x:v>
      </x:c>
      <x:c r="E98" s="11" t="str">
        <x:f>'Cumulative'!E69</x:f>
        <x:v>-6.2239023048850335</x:v>
      </x:c>
      <x:c r="G98" s="11" t="str">
        <x:f>'Cumulative'!A69</x:f>
        <x:v>68</x:v>
      </x:c>
      <x:c r="H98" s="11" t="str">
        <x:f>'Cumulative'!C69</x:f>
        <x:v>2.9844833095825294</x:v>
      </x:c>
      <x:c r="I98" s="87"/>
      <x:c r="J98" s="11" t="str">
        <x:f>'Cumulative'!A69</x:f>
        <x:v>68</x:v>
      </x:c>
      <x:c r="K98" s="11" t="str">
        <x:f>'Cumulative'!D69</x:f>
        <x:v>-1.3908246728534372</x:v>
      </x:c>
      <x:c r="L98" s="11" t="str">
        <x:f>'Cumulative'!E69</x:f>
        <x:v>-6.2239023048850335</x:v>
      </x:c>
    </x:row>
    <x:row r="99">
      <x:c r="A99" s="11" t="str">
        <x:f>'Cumulative'!A70</x:f>
        <x:v>69</x:v>
      </x:c>
      <x:c r="B99" s="11" t="str">
        <x:f>'Cumulative'!B70</x:f>
      </x:c>
      <x:c r="C99" s="11" t="str">
        <x:f>'Cumulative'!C70</x:f>
        <x:v>4.940208012394537</x:v>
      </x:c>
      <x:c r="D99" s="11" t="str">
        <x:f>'Cumulative'!D70</x:f>
        <x:v>-2.512860121259684</x:v>
      </x:c>
      <x:c r="E99" s="11" t="str">
        <x:f>'Cumulative'!E70</x:f>
        <x:v>-7.318994920245428</x:v>
      </x:c>
      <x:c r="G99" s="11" t="str">
        <x:f>'Cumulative'!A70</x:f>
        <x:v>69</x:v>
      </x:c>
      <x:c r="H99" s="11" t="str">
        <x:f>'Cumulative'!C70</x:f>
        <x:v>4.940208012394537</x:v>
      </x:c>
      <x:c r="I99" s="87"/>
      <x:c r="J99" s="11" t="str">
        <x:f>'Cumulative'!A70</x:f>
        <x:v>69</x:v>
      </x:c>
      <x:c r="K99" s="11" t="str">
        <x:f>'Cumulative'!D70</x:f>
        <x:v>-2.512860121259684</x:v>
      </x:c>
      <x:c r="L99" s="11" t="str">
        <x:f>'Cumulative'!E70</x:f>
        <x:v>-7.318994920245428</x:v>
      </x:c>
    </x:row>
    <x:row r="100">
      <x:c r="A100" s="11" t="str">
        <x:f>'Cumulative'!A71</x:f>
        <x:v>70</x:v>
      </x:c>
      <x:c r="B100" s="11" t="str">
        <x:f>'Cumulative'!B71</x:f>
      </x:c>
      <x:c r="C100" s="11" t="str">
        <x:f>'Cumulative'!C71</x:f>
        <x:v>3.9108231168847496</x:v>
      </x:c>
      <x:c r="D100" s="11" t="str">
        <x:f>'Cumulative'!D71</x:f>
        <x:v>-3.637348614597859</x:v>
      </x:c>
      <x:c r="E100" s="11" t="str">
        <x:f>'Cumulative'!E71</x:f>
        <x:v>-8.38638660008683</x:v>
      </x:c>
      <x:c r="G100" s="11" t="str">
        <x:f>'Cumulative'!A71</x:f>
        <x:v>70</x:v>
      </x:c>
      <x:c r="H100" s="11" t="str">
        <x:f>'Cumulative'!C71</x:f>
        <x:v>3.9108231168847496</x:v>
      </x:c>
      <x:c r="I100" s="87"/>
      <x:c r="J100" s="11" t="str">
        <x:f>'Cumulative'!A71</x:f>
        <x:v>70</x:v>
      </x:c>
      <x:c r="K100" s="11" t="str">
        <x:f>'Cumulative'!D71</x:f>
        <x:v>-3.637348614597859</x:v>
      </x:c>
      <x:c r="L100" s="11" t="str">
        <x:f>'Cumulative'!E71</x:f>
        <x:v>-8.38638660008683</x:v>
      </x:c>
    </x:row>
    <x:row r="101">
      <x:c r="A101" s="11" t="str">
        <x:f>'Cumulative'!A72</x:f>
        <x:v>71</x:v>
      </x:c>
      <x:c r="B101" s="11" t="str">
        <x:f>'Cumulative'!B72</x:f>
      </x:c>
      <x:c r="C101" s="11" t="str">
        <x:f>'Cumulative'!C72</x:f>
        <x:v>4.858409349611078</x:v>
      </x:c>
      <x:c r="D101" s="11" t="str">
        <x:f>'Cumulative'!D72</x:f>
        <x:v>-4.746021032596366</x:v>
      </x:c>
      <x:c r="E101" s="11" t="str">
        <x:f>'Cumulative'!E72</x:f>
        <x:v>-9.472496439822757</x:v>
      </x:c>
      <x:c r="G101" s="11" t="str">
        <x:f>'Cumulative'!A72</x:f>
        <x:v>71</x:v>
      </x:c>
      <x:c r="H101" s="11" t="str">
        <x:f>'Cumulative'!C72</x:f>
        <x:v>4.858409349611078</x:v>
      </x:c>
      <x:c r="I101" s="87"/>
      <x:c r="J101" s="11" t="str">
        <x:f>'Cumulative'!A72</x:f>
        <x:v>71</x:v>
      </x:c>
      <x:c r="K101" s="11" t="str">
        <x:f>'Cumulative'!D72</x:f>
        <x:v>-4.746021032596366</x:v>
      </x:c>
      <x:c r="L101" s="11" t="str">
        <x:f>'Cumulative'!E72</x:f>
        <x:v>-9.472496439822757</x:v>
      </x:c>
    </x:row>
    <x:row r="102">
      <x:c r="A102" s="11" t="str">
        <x:f>'Cumulative'!A73</x:f>
        <x:v>72</x:v>
      </x:c>
      <x:c r="B102" s="11" t="str">
        <x:f>'Cumulative'!B73</x:f>
      </x:c>
      <x:c r="C102" s="11" t="str">
        <x:f>'Cumulative'!C73</x:f>
        <x:v>6.792464301872139</x:v>
      </x:c>
      <x:c r="D102" s="11" t="str">
        <x:f>'Cumulative'!D73</x:f>
        <x:v>-5.786903902827538</x:v>
      </x:c>
      <x:c r="E102" s="11" t="str">
        <x:f>'Cumulative'!E73</x:f>
        <x:v>-7.504302872772425</x:v>
      </x:c>
      <x:c r="G102" s="11" t="str">
        <x:f>'Cumulative'!A73</x:f>
        <x:v>72</x:v>
      </x:c>
      <x:c r="H102" s="11" t="str">
        <x:f>'Cumulative'!C73</x:f>
        <x:v>6.792464301872139</x:v>
      </x:c>
      <x:c r="I102" s="87"/>
      <x:c r="J102" s="11" t="str">
        <x:f>'Cumulative'!A73</x:f>
        <x:v>72</x:v>
      </x:c>
      <x:c r="K102" s="11" t="str">
        <x:f>'Cumulative'!D73</x:f>
        <x:v>-5.786903902827538</x:v>
      </x:c>
      <x:c r="L102" s="11" t="str">
        <x:f>'Cumulative'!E73</x:f>
        <x:v>-7.504302872772425</x:v>
      </x:c>
    </x:row>
    <x:row r="103">
      <x:c r="A103" s="11" t="str">
        <x:f>'Cumulative'!A74</x:f>
        <x:v>73</x:v>
      </x:c>
      <x:c r="B103" s="11" t="str">
        <x:f>'Cumulative'!B74</x:f>
      </x:c>
      <x:c r="C103" s="11" t="str">
        <x:f>'Cumulative'!C74</x:f>
        <x:v>8.717792461400755</x:v>
      </x:c>
      <x:c r="D103" s="11" t="str">
        <x:f>'Cumulative'!D74</x:f>
        <x:v>-6.815369687903706</x:v>
      </x:c>
      <x:c r="E103" s="11" t="str">
        <x:f>'Cumulative'!E74</x:f>
        <x:v>-8.52027843925473</x:v>
      </x:c>
      <x:c r="G103" s="11" t="str">
        <x:f>'Cumulative'!A74</x:f>
        <x:v>73</x:v>
      </x:c>
      <x:c r="H103" s="11" t="str">
        <x:f>'Cumulative'!C74</x:f>
        <x:v>8.717792461400755</x:v>
      </x:c>
      <x:c r="I103" s="87"/>
      <x:c r="J103" s="11" t="str">
        <x:f>'Cumulative'!A74</x:f>
        <x:v>73</x:v>
      </x:c>
      <x:c r="K103" s="11" t="str">
        <x:f>'Cumulative'!D74</x:f>
        <x:v>-6.815369687903706</x:v>
      </x:c>
      <x:c r="L103" s="11" t="str">
        <x:f>'Cumulative'!E74</x:f>
        <x:v>-8.52027843925473</x:v>
      </x:c>
    </x:row>
    <x:row r="104">
      <x:c r="A104" s="11" t="str">
        <x:f>'Cumulative'!A75</x:f>
        <x:v>74</x:v>
      </x:c>
      <x:c r="B104" s="11" t="str">
        <x:f>'Cumulative'!B75</x:f>
      </x:c>
      <x:c r="C104" s="11" t="str">
        <x:f>'Cumulative'!C75</x:f>
        <x:v>8.528964688873272</x:v>
      </x:c>
      <x:c r="D104" s="11" t="str">
        <x:f>'Cumulative'!D75</x:f>
        <x:v>-4.854046384505315</x:v>
      </x:c>
      <x:c r="E104" s="11" t="str">
        <x:f>'Cumulative'!E75</x:f>
        <x:v>-6.531795144453343</x:v>
      </x:c>
      <x:c r="G104" s="11" t="str">
        <x:f>'Cumulative'!A75</x:f>
        <x:v>74</x:v>
      </x:c>
      <x:c r="H104" s="11" t="str">
        <x:f>'Cumulative'!C75</x:f>
        <x:v>8.528964688873272</x:v>
      </x:c>
      <x:c r="I104" s="87"/>
      <x:c r="J104" s="11" t="str">
        <x:f>'Cumulative'!A75</x:f>
        <x:v>74</x:v>
      </x:c>
      <x:c r="K104" s="11" t="str">
        <x:f>'Cumulative'!D75</x:f>
        <x:v>-4.854046384505315</x:v>
      </x:c>
      <x:c r="L104" s="11" t="str">
        <x:f>'Cumulative'!E75</x:f>
        <x:v>-6.531795144453343</x:v>
      </x:c>
    </x:row>
    <x:row r="105">
      <x:c r="A105" s="11" t="str">
        <x:f>'Cumulative'!A76</x:f>
        <x:v>75</x:v>
      </x:c>
      <x:c r="B105" s="11" t="str">
        <x:f>'Cumulative'!B76</x:f>
      </x:c>
      <x:c r="C105" s="11" t="str">
        <x:f>'Cumulative'!C76</x:f>
        <x:v>7.49882471851693</x:v>
      </x:c>
      <x:c r="D105" s="11" t="str">
        <x:f>'Cumulative'!D76</x:f>
        <x:v>-5.95497543657577</x:v>
      </x:c>
      <x:c r="E105" s="11" t="str">
        <x:f>'Cumulative'!E76</x:f>
        <x:v>-7.545763314429084</x:v>
      </x:c>
      <x:c r="G105" s="11" t="str">
        <x:f>'Cumulative'!A76</x:f>
        <x:v>75</x:v>
      </x:c>
      <x:c r="H105" s="11" t="str">
        <x:f>'Cumulative'!C76</x:f>
        <x:v>7.49882471851693</x:v>
      </x:c>
      <x:c r="I105" s="87"/>
      <x:c r="J105" s="11" t="str">
        <x:f>'Cumulative'!A76</x:f>
        <x:v>75</x:v>
      </x:c>
      <x:c r="K105" s="11" t="str">
        <x:f>'Cumulative'!D76</x:f>
        <x:v>-5.95497543657577</x:v>
      </x:c>
      <x:c r="L105" s="11" t="str">
        <x:f>'Cumulative'!E76</x:f>
        <x:v>-7.545763314429084</x:v>
      </x:c>
    </x:row>
    <x:row r="106">
      <x:c r="A106" s="11" t="str">
        <x:f>'Cumulative'!A77</x:f>
        <x:v>76</x:v>
      </x:c>
      <x:c r="B106" s="11" t="str">
        <x:f>'Cumulative'!B77</x:f>
      </x:c>
      <x:c r="C106" s="11" t="str">
        <x:f>'Cumulative'!C77</x:f>
        <x:v>6.385833274264444</x:v>
      </x:c>
      <x:c r="D106" s="11" t="str">
        <x:f>'Cumulative'!D77</x:f>
        <x:v>-6.180548100332273</x:v>
      </x:c>
      <x:c r="E106" s="11" t="str">
        <x:f>'Cumulative'!E77</x:f>
        <x:v>-8.55980470544777</x:v>
      </x:c>
      <x:c r="G106" s="11" t="str">
        <x:f>'Cumulative'!A77</x:f>
        <x:v>76</x:v>
      </x:c>
      <x:c r="H106" s="11" t="str">
        <x:f>'Cumulative'!C77</x:f>
        <x:v>6.385833274264444</x:v>
      </x:c>
      <x:c r="I106" s="87"/>
      <x:c r="J106" s="11" t="str">
        <x:f>'Cumulative'!A77</x:f>
        <x:v>76</x:v>
      </x:c>
      <x:c r="K106" s="11" t="str">
        <x:f>'Cumulative'!D77</x:f>
        <x:v>-6.180548100332273</x:v>
      </x:c>
      <x:c r="L106" s="11" t="str">
        <x:f>'Cumulative'!E77</x:f>
        <x:v>-8.55980470544777</x:v>
      </x:c>
    </x:row>
    <x:row r="107">
      <x:c r="A107" s="11" t="str">
        <x:f>'Cumulative'!A78</x:f>
        <x:v>77</x:v>
      </x:c>
      <x:c r="B107" s="11" t="str">
        <x:f>'Cumulative'!B78</x:f>
      </x:c>
      <x:c r="C107" s="11" t="str">
        <x:f>'Cumulative'!C78</x:f>
        <x:v>5.293428061367949</x:v>
      </x:c>
      <x:c r="D107" s="11" t="str">
        <x:f>'Cumulative'!D78</x:f>
        <x:v>-6.658497047500798</x:v>
      </x:c>
      <x:c r="E107" s="11" t="str">
        <x:f>'Cumulative'!E78</x:f>
        <x:v>-9.592290311582081</x:v>
      </x:c>
      <x:c r="G107" s="11" t="str">
        <x:f>'Cumulative'!A78</x:f>
        <x:v>77</x:v>
      </x:c>
      <x:c r="H107" s="11" t="str">
        <x:f>'Cumulative'!C78</x:f>
        <x:v>5.293428061367949</x:v>
      </x:c>
      <x:c r="I107" s="87"/>
      <x:c r="J107" s="11" t="str">
        <x:f>'Cumulative'!A78</x:f>
        <x:v>77</x:v>
      </x:c>
      <x:c r="K107" s="11" t="str">
        <x:f>'Cumulative'!D78</x:f>
        <x:v>-6.658497047500798</x:v>
      </x:c>
      <x:c r="L107" s="11" t="str">
        <x:f>'Cumulative'!E78</x:f>
        <x:v>-9.592290311582081</x:v>
      </x:c>
    </x:row>
    <x:row r="108">
      <x:c r="A108" s="11" t="str">
        <x:f>'Cumulative'!A79</x:f>
        <x:v>78</x:v>
      </x:c>
      <x:c r="B108" s="11" t="str">
        <x:f>'Cumulative'!B79</x:f>
      </x:c>
      <x:c r="C108" s="11" t="str">
        <x:f>'Cumulative'!C79</x:f>
        <x:v>4.191784983354019</x:v>
      </x:c>
      <x:c r="D108" s="11" t="str">
        <x:f>'Cumulative'!D79</x:f>
        <x:v>-5.844925393566932</x:v>
      </x:c>
      <x:c r="E108" s="11" t="str">
        <x:f>'Cumulative'!E79</x:f>
        <x:v>-10.16834697980792</x:v>
      </x:c>
      <x:c r="G108" s="11" t="str">
        <x:f>'Cumulative'!A79</x:f>
        <x:v>78</x:v>
      </x:c>
      <x:c r="H108" s="11" t="str">
        <x:f>'Cumulative'!C79</x:f>
        <x:v>4.191784983354019</x:v>
      </x:c>
      <x:c r="I108" s="87"/>
      <x:c r="J108" s="11" t="str">
        <x:f>'Cumulative'!A79</x:f>
        <x:v>78</x:v>
      </x:c>
      <x:c r="K108" s="11" t="str">
        <x:f>'Cumulative'!D79</x:f>
        <x:v>-5.844925393566932</x:v>
      </x:c>
      <x:c r="L108" s="11" t="str">
        <x:f>'Cumulative'!E79</x:f>
        <x:v>-10.16834697980792</x:v>
      </x:c>
    </x:row>
    <x:row r="109">
      <x:c r="A109" s="11" t="str">
        <x:f>'Cumulative'!A80</x:f>
        <x:v>79</x:v>
      </x:c>
      <x:c r="B109" s="11" t="str">
        <x:f>'Cumulative'!B80</x:f>
      </x:c>
      <x:c r="C109" s="11" t="str">
        <x:f>'Cumulative'!C80</x:f>
        <x:v>3.1595073205957136</x:v>
      </x:c>
      <x:c r="D109" s="11" t="str">
        <x:f>'Cumulative'!D80</x:f>
        <x:v>-4.912337338141729</x:v>
      </x:c>
      <x:c r="E109" s="11" t="str">
        <x:f>'Cumulative'!E80</x:f>
        <x:v>-10.403959965177789</x:v>
      </x:c>
      <x:c r="G109" s="11" t="str">
        <x:f>'Cumulative'!A80</x:f>
        <x:v>79</x:v>
      </x:c>
      <x:c r="H109" s="11" t="str">
        <x:f>'Cumulative'!C80</x:f>
        <x:v>3.1595073205957136</x:v>
      </x:c>
      <x:c r="I109" s="87"/>
      <x:c r="J109" s="11" t="str">
        <x:f>'Cumulative'!A80</x:f>
        <x:v>79</x:v>
      </x:c>
      <x:c r="K109" s="11" t="str">
        <x:f>'Cumulative'!D80</x:f>
        <x:v>-4.912337338141729</x:v>
      </x:c>
      <x:c r="L109" s="11" t="str">
        <x:f>'Cumulative'!E80</x:f>
        <x:v>-10.403959965177789</x:v>
      </x:c>
    </x:row>
    <x:row r="110">
      <x:c r="A110" s="11" t="str">
        <x:f>'Cumulative'!A81</x:f>
        <x:v>80</x:v>
      </x:c>
      <x:c r="B110" s="11" t="str">
        <x:f>'Cumulative'!B81</x:f>
      </x:c>
      <x:c r="C110" s="11" t="str">
        <x:f>'Cumulative'!C81</x:f>
        <x:v>2.1057268885172853</x:v>
      </x:c>
      <x:c r="D110" s="11" t="str">
        <x:f>'Cumulative'!D81</x:f>
        <x:v>-4.625161269792607</x:v>
      </x:c>
      <x:c r="E110" s="11" t="str">
        <x:f>'Cumulative'!E81</x:f>
        <x:v>-11.437100075577403</x:v>
      </x:c>
      <x:c r="G110" s="11" t="str">
        <x:f>'Cumulative'!A81</x:f>
        <x:v>80</x:v>
      </x:c>
      <x:c r="H110" s="11" t="str">
        <x:f>'Cumulative'!C81</x:f>
        <x:v>2.1057268885172853</x:v>
      </x:c>
      <x:c r="I110" s="87"/>
      <x:c r="J110" s="11" t="str">
        <x:f>'Cumulative'!A81</x:f>
        <x:v>80</x:v>
      </x:c>
      <x:c r="K110" s="11" t="str">
        <x:f>'Cumulative'!D81</x:f>
        <x:v>-4.625161269792607</x:v>
      </x:c>
      <x:c r="L110" s="11" t="str">
        <x:f>'Cumulative'!E81</x:f>
        <x:v>-11.437100075577403</x:v>
      </x:c>
    </x:row>
    <x:row r="111">
      <x:c r="A111" s="11" t="str">
        <x:f>'Cumulative'!A82</x:f>
        <x:v>81</x:v>
      </x:c>
      <x:c r="B111" s="11" t="str">
        <x:f>'Cumulative'!B82</x:f>
      </x:c>
      <x:c r="C111" s="11" t="str">
        <x:f>'Cumulative'!C82</x:f>
        <x:v>1.0921811269119992</x:v>
      </x:c>
      <x:c r="D111" s="11" t="str">
        <x:f>'Cumulative'!D82</x:f>
        <x:v>-4.4404155318603395</x:v>
      </x:c>
      <x:c r="E111" s="11" t="str">
        <x:f>'Cumulative'!E82</x:f>
        <x:v>-9.450583312713194</x:v>
      </x:c>
      <x:c r="G111" s="11" t="str">
        <x:f>'Cumulative'!A82</x:f>
        <x:v>81</x:v>
      </x:c>
      <x:c r="H111" s="11" t="str">
        <x:f>'Cumulative'!C82</x:f>
        <x:v>1.0921811269119992</x:v>
      </x:c>
      <x:c r="I111" s="87"/>
      <x:c r="J111" s="11" t="str">
        <x:f>'Cumulative'!A82</x:f>
        <x:v>81</x:v>
      </x:c>
      <x:c r="K111" s="11" t="str">
        <x:f>'Cumulative'!D82</x:f>
        <x:v>-4.4404155318603395</x:v>
      </x:c>
      <x:c r="L111" s="11" t="str">
        <x:f>'Cumulative'!E82</x:f>
        <x:v>-9.450583312713194</x:v>
      </x:c>
    </x:row>
    <x:row r="112">
      <x:c r="A112" s="11" t="str">
        <x:f>'Cumulative'!A83</x:f>
        <x:v>82</x:v>
      </x:c>
      <x:c r="B112" s="11" t="str">
        <x:f>'Cumulative'!B83</x:f>
      </x:c>
      <x:c r="C112" s="11" t="str">
        <x:f>'Cumulative'!C83</x:f>
        <x:v>0.04718913859356544</x:v>
      </x:c>
      <x:c r="D112" s="11" t="str">
        <x:f>'Cumulative'!D83</x:f>
        <x:v>-5.4708612621370065</x:v>
      </x:c>
      <x:c r="E112" s="11" t="str">
        <x:f>'Cumulative'!E83</x:f>
        <x:v>-10.472114504979007</x:v>
      </x:c>
      <x:c r="G112" s="11" t="str">
        <x:f>'Cumulative'!A83</x:f>
        <x:v>82</x:v>
      </x:c>
      <x:c r="H112" s="11" t="str">
        <x:f>'Cumulative'!C83</x:f>
        <x:v>0.04718913859356544</x:v>
      </x:c>
      <x:c r="I112" s="87"/>
      <x:c r="J112" s="11" t="str">
        <x:f>'Cumulative'!A83</x:f>
        <x:v>82</x:v>
      </x:c>
      <x:c r="K112" s="11" t="str">
        <x:f>'Cumulative'!D83</x:f>
        <x:v>-5.4708612621370065</x:v>
      </x:c>
      <x:c r="L112" s="11" t="str">
        <x:f>'Cumulative'!E83</x:f>
        <x:v>-10.472114504979007</x:v>
      </x:c>
    </x:row>
    <x:row r="113">
      <x:c r="A113" s="11" t="str">
        <x:f>'Cumulative'!A84</x:f>
        <x:v>83</x:v>
      </x:c>
      <x:c r="B113" s="11" t="str">
        <x:f>'Cumulative'!B84</x:f>
      </x:c>
      <x:c r="C113" s="11" t="str">
        <x:f>'Cumulative'!C84</x:f>
        <x:v>-0.9677250747639208</x:v>
      </x:c>
      <x:c r="D113" s="11" t="str">
        <x:f>'Cumulative'!D84</x:f>
        <x:v>-4.650936158929408</x:v>
      </x:c>
      <x:c r="E113" s="11" t="str">
        <x:f>'Cumulative'!E84</x:f>
        <x:v>-8.482132218299554</x:v>
      </x:c>
      <x:c r="G113" s="11" t="str">
        <x:f>'Cumulative'!A84</x:f>
        <x:v>83</x:v>
      </x:c>
      <x:c r="H113" s="11" t="str">
        <x:f>'Cumulative'!C84</x:f>
        <x:v>-0.9677250747639208</x:v>
      </x:c>
      <x:c r="I113" s="87"/>
      <x:c r="J113" s="11" t="str">
        <x:f>'Cumulative'!A84</x:f>
        <x:v>83</x:v>
      </x:c>
      <x:c r="K113" s="11" t="str">
        <x:f>'Cumulative'!D84</x:f>
        <x:v>-4.650936158929408</x:v>
      </x:c>
      <x:c r="L113" s="11" t="str">
        <x:f>'Cumulative'!E84</x:f>
        <x:v>-8.482132218299554</x:v>
      </x:c>
    </x:row>
    <x:row r="114">
      <x:c r="A114" s="11" t="str">
        <x:f>'Cumulative'!A85</x:f>
        <x:v>84</x:v>
      </x:c>
      <x:c r="B114" s="11" t="str">
        <x:f>'Cumulative'!B85</x:f>
      </x:c>
      <x:c r="C114" s="11" t="str">
        <x:f>'Cumulative'!C85</x:f>
        <x:v>-0.35080046637171824</x:v>
      </x:c>
      <x:c r="D114" s="11" t="str">
        <x:f>'Cumulative'!D85</x:f>
        <x:v>-3.8692727820668495</x:v>
      </x:c>
      <x:c r="E114" s="11" t="str">
        <x:f>'Cumulative'!E85</x:f>
        <x:v>-9.49291944683016</x:v>
      </x:c>
      <x:c r="G114" s="11" t="str">
        <x:f>'Cumulative'!A85</x:f>
        <x:v>84</x:v>
      </x:c>
      <x:c r="H114" s="11" t="str">
        <x:f>'Cumulative'!C85</x:f>
        <x:v>-0.35080046637171824</x:v>
      </x:c>
      <x:c r="I114" s="87"/>
      <x:c r="J114" s="11" t="str">
        <x:f>'Cumulative'!A85</x:f>
        <x:v>84</x:v>
      </x:c>
      <x:c r="K114" s="11" t="str">
        <x:f>'Cumulative'!D85</x:f>
        <x:v>-3.8692727820668495</x:v>
      </x:c>
      <x:c r="L114" s="11" t="str">
        <x:f>'Cumulative'!E85</x:f>
        <x:v>-9.49291944683016</x:v>
      </x:c>
    </x:row>
    <x:row r="115">
      <x:c r="A115" s="11" t="str">
        <x:f>'Cumulative'!A86</x:f>
        <x:v>85</x:v>
      </x:c>
      <x:c r="B115" s="11" t="str">
        <x:f>'Cumulative'!B86</x:f>
      </x:c>
      <x:c r="C115" s="11" t="str">
        <x:f>'Cumulative'!C86</x:f>
        <x:v>0.20518558260448072</x:v>
      </x:c>
      <x:c r="D115" s="11" t="str">
        <x:f>'Cumulative'!D86</x:f>
        <x:v>-1.9068992938593219</x:v>
      </x:c>
      <x:c r="E115" s="11" t="str">
        <x:f>'Cumulative'!E86</x:f>
        <x:v>-10.499396266063258</x:v>
      </x:c>
      <x:c r="G115" s="11" t="str">
        <x:f>'Cumulative'!A86</x:f>
        <x:v>85</x:v>
      </x:c>
      <x:c r="H115" s="11" t="str">
        <x:f>'Cumulative'!C86</x:f>
        <x:v>0.20518558260448072</x:v>
      </x:c>
      <x:c r="I115" s="87"/>
      <x:c r="J115" s="11" t="str">
        <x:f>'Cumulative'!A86</x:f>
        <x:v>85</x:v>
      </x:c>
      <x:c r="K115" s="11" t="str">
        <x:f>'Cumulative'!D86</x:f>
        <x:v>-1.9068992938593219</x:v>
      </x:c>
      <x:c r="L115" s="11" t="str">
        <x:f>'Cumulative'!E86</x:f>
        <x:v>-10.499396266063258</x:v>
      </x:c>
    </x:row>
    <x:row r="116">
      <x:c r="A116" s="11" t="str">
        <x:f>'Cumulative'!A87</x:f>
        <x:v>86</x:v>
      </x:c>
      <x:c r="B116" s="11" t="str">
        <x:f>'Cumulative'!B87</x:f>
      </x:c>
      <x:c r="C116" s="11" t="str">
        <x:f>'Cumulative'!C87</x:f>
        <x:v>0.5261943515120535</x:v>
      </x:c>
      <x:c r="D116" s="11" t="str">
        <x:f>'Cumulative'!D87</x:f>
        <x:v>-2.9268987869106162</x:v>
      </x:c>
      <x:c r="E116" s="11" t="str">
        <x:f>'Cumulative'!E87</x:f>
        <x:v>-10.042755115440135</x:v>
      </x:c>
      <x:c r="G116" s="11" t="str">
        <x:f>'Cumulative'!A87</x:f>
        <x:v>86</x:v>
      </x:c>
      <x:c r="H116" s="11" t="str">
        <x:f>'Cumulative'!C87</x:f>
        <x:v>0.5261943515120535</x:v>
      </x:c>
      <x:c r="I116" s="87"/>
      <x:c r="J116" s="11" t="str">
        <x:f>'Cumulative'!A87</x:f>
        <x:v>86</x:v>
      </x:c>
      <x:c r="K116" s="11" t="str">
        <x:f>'Cumulative'!D87</x:f>
        <x:v>-2.9268987869106162</x:v>
      </x:c>
      <x:c r="L116" s="11" t="str">
        <x:f>'Cumulative'!E87</x:f>
        <x:v>-10.042755115440135</x:v>
      </x:c>
    </x:row>
    <x:row r="117">
      <x:c r="A117" s="11" t="str">
        <x:f>'Cumulative'!A88</x:f>
        <x:v>87</x:v>
      </x:c>
      <x:c r="B117" s="11" t="str">
        <x:f>'Cumulative'!B88</x:f>
      </x:c>
      <x:c r="C117" s="11" t="str">
        <x:f>'Cumulative'!C88</x:f>
        <x:v>1.4827776710469498</x:v>
      </x:c>
      <x:c r="D117" s="11" t="str">
        <x:f>'Cumulative'!D88</x:f>
        <x:v>-3.9437605007924734</x:v>
      </x:c>
      <x:c r="E117" s="11" t="str">
        <x:f>'Cumulative'!E88</x:f>
        <x:v>-11.052090006580805</x:v>
      </x:c>
      <x:c r="G117" s="11" t="str">
        <x:f>'Cumulative'!A88</x:f>
        <x:v>87</x:v>
      </x:c>
      <x:c r="H117" s="11" t="str">
        <x:f>'Cumulative'!C88</x:f>
        <x:v>1.4827776710469498</x:v>
      </x:c>
      <x:c r="I117" s="87"/>
      <x:c r="J117" s="11" t="str">
        <x:f>'Cumulative'!A88</x:f>
        <x:v>87</x:v>
      </x:c>
      <x:c r="K117" s="11" t="str">
        <x:f>'Cumulative'!D88</x:f>
        <x:v>-3.9437605007924734</x:v>
      </x:c>
      <x:c r="L117" s="11" t="str">
        <x:f>'Cumulative'!E88</x:f>
        <x:v>-11.052090006580805</x:v>
      </x:c>
    </x:row>
    <x:row r="118">
      <x:c r="A118" s="11" t="str">
        <x:f>'Cumulative'!A89</x:f>
        <x:v>88</x:v>
      </x:c>
      <x:c r="B118" s="11" t="str">
        <x:f>'Cumulative'!B89</x:f>
      </x:c>
      <x:c r="C118" s="11" t="str">
        <x:f>'Cumulative'!C89</x:f>
        <x:v>0.4428993761685154</x:v>
      </x:c>
      <x:c r="D118" s="11" t="str">
        <x:f>'Cumulative'!D89</x:f>
        <x:v>-4.974737286346784</x:v>
      </x:c>
      <x:c r="E118" s="11" t="str">
        <x:f>'Cumulative'!E89</x:f>
        <x:v>-10.437904869617842</x:v>
      </x:c>
      <x:c r="G118" s="11" t="str">
        <x:f>'Cumulative'!A89</x:f>
        <x:v>88</x:v>
      </x:c>
      <x:c r="H118" s="11" t="str">
        <x:f>'Cumulative'!C89</x:f>
        <x:v>0.4428993761685154</x:v>
      </x:c>
      <x:c r="I118" s="87"/>
      <x:c r="J118" s="11" t="str">
        <x:f>'Cumulative'!A89</x:f>
        <x:v>88</x:v>
      </x:c>
      <x:c r="K118" s="11" t="str">
        <x:f>'Cumulative'!D89</x:f>
        <x:v>-4.974737286346784</x:v>
      </x:c>
      <x:c r="L118" s="11" t="str">
        <x:f>'Cumulative'!E89</x:f>
        <x:v>-10.437904869617842</x:v>
      </x:c>
    </x:row>
    <x:row r="119">
      <x:c r="A119" s="11" t="str">
        <x:f>'Cumulative'!A90</x:f>
        <x:v>89</x:v>
      </x:c>
      <x:c r="B119" s="11" t="str">
        <x:f>'Cumulative'!B90</x:f>
      </x:c>
      <x:c r="C119" s="11" t="str">
        <x:f>'Cumulative'!C90</x:f>
        <x:v>2.4289114800363807</x:v>
      </x:c>
      <x:c r="D119" s="11" t="str">
        <x:f>'Cumulative'!D90</x:f>
        <x:v>-5.035890504334524</x:v>
      </x:c>
      <x:c r="E119" s="11" t="str">
        <x:f>'Cumulative'!E90</x:f>
        <x:v>-11.494982682094161</x:v>
      </x:c>
      <x:c r="G119" s="11" t="str">
        <x:f>'Cumulative'!A90</x:f>
        <x:v>89</x:v>
      </x:c>
      <x:c r="H119" s="11" t="str">
        <x:f>'Cumulative'!C90</x:f>
        <x:v>2.4289114800363807</x:v>
      </x:c>
      <x:c r="I119" s="87"/>
      <x:c r="J119" s="11" t="str">
        <x:f>'Cumulative'!A90</x:f>
        <x:v>89</x:v>
      </x:c>
      <x:c r="K119" s="11" t="str">
        <x:f>'Cumulative'!D90</x:f>
        <x:v>-5.035890504334524</x:v>
      </x:c>
      <x:c r="L119" s="11" t="str">
        <x:f>'Cumulative'!E90</x:f>
        <x:v>-11.494982682094161</x:v>
      </x:c>
    </x:row>
    <x:row r="120">
      <x:c r="A120" s="11" t="str">
        <x:f>'Cumulative'!A91</x:f>
        <x:v>90</x:v>
      </x:c>
      <x:c r="B120" s="11" t="str">
        <x:f>'Cumulative'!B91</x:f>
      </x:c>
      <x:c r="C120" s="11" t="str">
        <x:f>'Cumulative'!C91</x:f>
        <x:v>2.3516788798145134</x:v>
      </x:c>
      <x:c r="D120" s="11" t="str">
        <x:f>'Cumulative'!D91</x:f>
        <x:v>-3.6375108197502697</x:v>
      </x:c>
      <x:c r="E120" s="11" t="str">
        <x:f>'Cumulative'!E91</x:f>
        <x:v>-12.512937965363735</x:v>
      </x:c>
      <x:c r="G120" s="11" t="str">
        <x:f>'Cumulative'!A91</x:f>
        <x:v>90</x:v>
      </x:c>
      <x:c r="H120" s="11" t="str">
        <x:f>'Cumulative'!C91</x:f>
        <x:v>2.3516788798145134</x:v>
      </x:c>
      <x:c r="I120" s="87"/>
      <x:c r="J120" s="11" t="str">
        <x:f>'Cumulative'!A91</x:f>
        <x:v>90</x:v>
      </x:c>
      <x:c r="K120" s="11" t="str">
        <x:f>'Cumulative'!D91</x:f>
        <x:v>-3.6375108197502697</x:v>
      </x:c>
      <x:c r="L120" s="11" t="str">
        <x:f>'Cumulative'!E91</x:f>
        <x:v>-12.512937965363735</x:v>
      </x:c>
    </x:row>
    <x:row r="121">
      <x:c r="A121" s="11" t="str">
        <x:f>'Cumulative'!A92</x:f>
        <x:v>91</x:v>
      </x:c>
      <x:c r="B121" s="11" t="str">
        <x:f>'Cumulative'!B92</x:f>
      </x:c>
      <x:c r="C121" s="11" t="str">
        <x:f>'Cumulative'!C92</x:f>
        <x:v>4.333603263994356</x:v>
      </x:c>
      <x:c r="D121" s="11" t="str">
        <x:f>'Cumulative'!D92</x:f>
        <x:v>-4.665670863830675</x:v>
      </x:c>
      <x:c r="E121" s="11" t="str">
        <x:f>'Cumulative'!E92</x:f>
        <x:v>-13.554379456945863</x:v>
      </x:c>
      <x:c r="G121" s="11" t="str">
        <x:f>'Cumulative'!A92</x:f>
        <x:v>91</x:v>
      </x:c>
      <x:c r="H121" s="11" t="str">
        <x:f>'Cumulative'!C92</x:f>
        <x:v>4.333603263994356</x:v>
      </x:c>
      <x:c r="I121" s="87"/>
      <x:c r="J121" s="11" t="str">
        <x:f>'Cumulative'!A92</x:f>
        <x:v>91</x:v>
      </x:c>
      <x:c r="K121" s="11" t="str">
        <x:f>'Cumulative'!D92</x:f>
        <x:v>-4.665670863830675</x:v>
      </x:c>
      <x:c r="L121" s="11" t="str">
        <x:f>'Cumulative'!E92</x:f>
        <x:v>-13.554379456945863</x:v>
      </x:c>
    </x:row>
    <x:row r="122">
      <x:c r="A122" s="11" t="str">
        <x:f>'Cumulative'!A93</x:f>
        <x:v>92</x:v>
      </x:c>
      <x:c r="B122" s="11" t="str">
        <x:f>'Cumulative'!B93</x:f>
      </x:c>
      <x:c r="C122" s="11" t="str">
        <x:f>'Cumulative'!C93</x:f>
        <x:v>6.289246288220594</x:v>
      </x:c>
      <x:c r="D122" s="11" t="str">
        <x:f>'Cumulative'!D93</x:f>
        <x:v>-4.5476554652901955</x:v>
      </x:c>
      <x:c r="E122" s="11" t="str">
        <x:f>'Cumulative'!E93</x:f>
        <x:v>-11.972125622497098</x:v>
      </x:c>
      <x:c r="G122" s="11" t="str">
        <x:f>'Cumulative'!A93</x:f>
        <x:v>92</x:v>
      </x:c>
      <x:c r="H122" s="11" t="str">
        <x:f>'Cumulative'!C93</x:f>
        <x:v>6.289246288220594</x:v>
      </x:c>
      <x:c r="I122" s="87"/>
      <x:c r="J122" s="11" t="str">
        <x:f>'Cumulative'!A93</x:f>
        <x:v>92</x:v>
      </x:c>
      <x:c r="K122" s="11" t="str">
        <x:f>'Cumulative'!D93</x:f>
        <x:v>-4.5476554652901955</x:v>
      </x:c>
      <x:c r="L122" s="11" t="str">
        <x:f>'Cumulative'!E93</x:f>
        <x:v>-11.972125622497098</x:v>
      </x:c>
    </x:row>
    <x:row r="123">
      <x:c r="A123" s="11" t="str">
        <x:f>'Cumulative'!A94</x:f>
        <x:v>93</x:v>
      </x:c>
      <x:c r="B123" s="11" t="str">
        <x:f>'Cumulative'!B94</x:f>
      </x:c>
      <x:c r="C123" s="11" t="str">
        <x:f>'Cumulative'!C94</x:f>
        <x:v>5.661307136051586</x:v>
      </x:c>
      <x:c r="D123" s="11" t="str">
        <x:f>'Cumulative'!D94</x:f>
        <x:v>-5.163138846672561</x:v>
      </x:c>
      <x:c r="E123" s="11" t="str">
        <x:f>'Cumulative'!E94</x:f>
        <x:v>-10.000484486347109</x:v>
      </x:c>
      <x:c r="G123" s="11" t="str">
        <x:f>'Cumulative'!A94</x:f>
        <x:v>93</x:v>
      </x:c>
      <x:c r="H123" s="11" t="str">
        <x:f>'Cumulative'!C94</x:f>
        <x:v>5.661307136051586</x:v>
      </x:c>
      <x:c r="I123" s="87"/>
      <x:c r="J123" s="11" t="str">
        <x:f>'Cumulative'!A94</x:f>
        <x:v>93</x:v>
      </x:c>
      <x:c r="K123" s="11" t="str">
        <x:f>'Cumulative'!D94</x:f>
        <x:v>-5.163138846672561</x:v>
      </x:c>
      <x:c r="L123" s="11" t="str">
        <x:f>'Cumulative'!E94</x:f>
        <x:v>-10.000484486347109</x:v>
      </x:c>
    </x:row>
    <x:row r="124">
      <x:c r="A124" s="11" t="str">
        <x:f>'Cumulative'!A95</x:f>
        <x:v>94</x:v>
      </x:c>
      <x:c r="B124" s="11" t="str">
        <x:f>'Cumulative'!B95</x:f>
      </x:c>
      <x:c r="C124" s="11" t="str">
        <x:f>'Cumulative'!C95</x:f>
        <x:v>4.577022109597612</x:v>
      </x:c>
      <x:c r="D124" s="11" t="str">
        <x:f>'Cumulative'!D95</x:f>
        <x:v>-6.303902863310316</x:v>
      </x:c>
      <x:c r="E124" s="11" t="str">
        <x:f>'Cumulative'!E95</x:f>
        <x:v>-11.03029256315879</x:v>
      </x:c>
      <x:c r="G124" s="11" t="str">
        <x:f>'Cumulative'!A95</x:f>
        <x:v>94</x:v>
      </x:c>
      <x:c r="H124" s="11" t="str">
        <x:f>'Cumulative'!C95</x:f>
        <x:v>4.577022109597612</x:v>
      </x:c>
      <x:c r="I124" s="87"/>
      <x:c r="J124" s="11" t="str">
        <x:f>'Cumulative'!A95</x:f>
        <x:v>94</x:v>
      </x:c>
      <x:c r="K124" s="11" t="str">
        <x:f>'Cumulative'!D95</x:f>
        <x:v>-6.303902863310316</x:v>
      </x:c>
      <x:c r="L124" s="11" t="str">
        <x:f>'Cumulative'!E95</x:f>
        <x:v>-11.03029256315879</x:v>
      </x:c>
    </x:row>
    <x:row r="125">
      <x:c r="A125" s="11" t="str">
        <x:f>'Cumulative'!A96</x:f>
        <x:v>95</x:v>
      </x:c>
      <x:c r="B125" s="11" t="str">
        <x:f>'Cumulative'!B96</x:f>
      </x:c>
      <x:c r="C125" s="11" t="str">
        <x:f>'Cumulative'!C96</x:f>
        <x:v>3.5446626525800315</x:v>
      </x:c>
      <x:c r="D125" s="11" t="str">
        <x:f>'Cumulative'!D96</x:f>
        <x:v>-7.337939092697155</x:v>
      </x:c>
      <x:c r="E125" s="11" t="str">
        <x:f>'Cumulative'!E96</x:f>
        <x:v>-12.06003279980515</x:v>
      </x:c>
      <x:c r="G125" s="11" t="str">
        <x:f>'Cumulative'!A96</x:f>
        <x:v>95</x:v>
      </x:c>
      <x:c r="H125" s="11" t="str">
        <x:f>'Cumulative'!C96</x:f>
        <x:v>3.5446626525800315</x:v>
      </x:c>
      <x:c r="I125" s="87"/>
      <x:c r="J125" s="11" t="str">
        <x:f>'Cumulative'!A96</x:f>
        <x:v>95</x:v>
      </x:c>
      <x:c r="K125" s="11" t="str">
        <x:f>'Cumulative'!D96</x:f>
        <x:v>-7.337939092697155</x:v>
      </x:c>
      <x:c r="L125" s="11" t="str">
        <x:f>'Cumulative'!E96</x:f>
        <x:v>-12.06003279980515</x:v>
      </x:c>
    </x:row>
    <x:row r="126">
      <x:c r="A126" s="11" t="str">
        <x:f>'Cumulative'!A97</x:f>
        <x:v>96</x:v>
      </x:c>
      <x:c r="B126" s="11" t="str">
        <x:f>'Cumulative'!B97</x:f>
      </x:c>
      <x:c r="C126" s="11" t="str">
        <x:f>'Cumulative'!C97</x:f>
        <x:v>3.2580626132664703</x:v>
      </x:c>
      <x:c r="D126" s="11" t="str">
        <x:f>'Cumulative'!D97</x:f>
        <x:v>-8.371895553667521</x:v>
      </x:c>
      <x:c r="E126" s="11" t="str">
        <x:f>'Cumulative'!E97</x:f>
        <x:v>-10.15283777925865</x:v>
      </x:c>
      <x:c r="G126" s="11" t="str">
        <x:f>'Cumulative'!A97</x:f>
        <x:v>96</x:v>
      </x:c>
      <x:c r="H126" s="11" t="str">
        <x:f>'Cumulative'!C97</x:f>
        <x:v>3.2580626132664703</x:v>
      </x:c>
      <x:c r="I126" s="87"/>
      <x:c r="J126" s="11" t="str">
        <x:f>'Cumulative'!A97</x:f>
        <x:v>96</x:v>
      </x:c>
      <x:c r="K126" s="11" t="str">
        <x:f>'Cumulative'!D97</x:f>
        <x:v>-8.371895553667521</x:v>
      </x:c>
      <x:c r="L126" s="11" t="str">
        <x:f>'Cumulative'!E97</x:f>
        <x:v>-10.15283777925865</x:v>
      </x:c>
    </x:row>
    <x:row r="127">
      <x:c r="A127" s="11" t="str">
        <x:f>'Cumulative'!A98</x:f>
        <x:v>97</x:v>
      </x:c>
      <x:c r="B127" s="11" t="str">
        <x:f>'Cumulative'!B98</x:f>
      </x:c>
      <x:c r="C127" s="11" t="str">
        <x:f>'Cumulative'!C98</x:f>
        <x:v>5.095266613596914</x:v>
      </x:c>
      <x:c r="D127" s="11" t="str">
        <x:f>'Cumulative'!D98</x:f>
        <x:v>-8.909937805133133</x:v>
      </x:c>
      <x:c r="E127" s="11" t="str">
        <x:f>'Cumulative'!E98</x:f>
        <x:v>-10.314626568899667</x:v>
      </x:c>
      <x:c r="G127" s="11" t="str">
        <x:f>'Cumulative'!A98</x:f>
        <x:v>97</x:v>
      </x:c>
      <x:c r="H127" s="11" t="str">
        <x:f>'Cumulative'!C98</x:f>
        <x:v>5.095266613596914</x:v>
      </x:c>
      <x:c r="I127" s="87"/>
      <x:c r="J127" s="11" t="str">
        <x:f>'Cumulative'!A98</x:f>
        <x:v>97</x:v>
      </x:c>
      <x:c r="K127" s="11" t="str">
        <x:f>'Cumulative'!D98</x:f>
        <x:v>-8.909937805133133</x:v>
      </x:c>
      <x:c r="L127" s="11" t="str">
        <x:f>'Cumulative'!E98</x:f>
        <x:v>-10.314626568899667</x:v>
      </x:c>
    </x:row>
    <x:row r="128">
      <x:c r="A128" s="11" t="str">
        <x:f>'Cumulative'!A99</x:f>
        <x:v>98</x:v>
      </x:c>
      <x:c r="B128" s="11" t="str">
        <x:f>'Cumulative'!B99</x:f>
      </x:c>
      <x:c r="C128" s="11" t="str">
        <x:f>'Cumulative'!C99</x:f>
        <x:v>4.065032234544885</x:v>
      </x:c>
      <x:c r="D128" s="11" t="str">
        <x:f>'Cumulative'!D99</x:f>
        <x:v>-9.934397785239643</x:v>
      </x:c>
      <x:c r="E128" s="11" t="str">
        <x:f>'Cumulative'!E99</x:f>
        <x:v>-9.36720354510317</x:v>
      </x:c>
      <x:c r="G128" s="11" t="str">
        <x:f>'Cumulative'!A99</x:f>
        <x:v>98</x:v>
      </x:c>
      <x:c r="H128" s="11" t="str">
        <x:f>'Cumulative'!C99</x:f>
        <x:v>4.065032234544885</x:v>
      </x:c>
      <x:c r="I128" s="87"/>
      <x:c r="J128" s="11" t="str">
        <x:f>'Cumulative'!A99</x:f>
        <x:v>98</x:v>
      </x:c>
      <x:c r="K128" s="11" t="str">
        <x:f>'Cumulative'!D99</x:f>
        <x:v>-9.934397785239643</x:v>
      </x:c>
      <x:c r="L128" s="11" t="str">
        <x:f>'Cumulative'!E99</x:f>
        <x:v>-9.36720354510317</x:v>
      </x:c>
    </x:row>
    <x:row r="129">
      <x:c r="A129" s="11" t="str">
        <x:f>'Cumulative'!A100</x:f>
        <x:v>99</x:v>
      </x:c>
      <x:c r="B129" s="11" t="str">
        <x:f>'Cumulative'!B100</x:f>
      </x:c>
      <x:c r="C129" s="11" t="str">
        <x:f>'Cumulative'!C100</x:f>
        <x:v>3.028627485442289</x:v>
      </x:c>
      <x:c r="D129" s="11" t="str">
        <x:f>'Cumulative'!D100</x:f>
        <x:v>-10.950447633403703</x:v>
      </x:c>
      <x:c r="E129" s="11" t="str">
        <x:f>'Cumulative'!E100</x:f>
        <x:v>-10.404874066961703</x:v>
      </x:c>
      <x:c r="G129" s="11" t="str">
        <x:f>'Cumulative'!A100</x:f>
        <x:v>99</x:v>
      </x:c>
      <x:c r="H129" s="11" t="str">
        <x:f>'Cumulative'!C100</x:f>
        <x:v>3.028627485442289</x:v>
      </x:c>
      <x:c r="I129" s="87"/>
      <x:c r="J129" s="11" t="str">
        <x:f>'Cumulative'!A100</x:f>
        <x:v>99</x:v>
      </x:c>
      <x:c r="K129" s="11" t="str">
        <x:f>'Cumulative'!D100</x:f>
        <x:v>-10.950447633403703</x:v>
      </x:c>
      <x:c r="L129" s="11" t="str">
        <x:f>'Cumulative'!E100</x:f>
        <x:v>-10.404874066961703</x:v>
      </x:c>
    </x:row>
    <x:row r="130">
      <x:c r="A130" s="11" t="str">
        <x:f>'Cumulative'!A101</x:f>
        <x:v>100</x:v>
      </x:c>
      <x:c r="B130" s="11" t="str">
        <x:f>'Cumulative'!B101</x:f>
      </x:c>
      <x:c r="C130" s="11" t="str">
        <x:f>'Cumulative'!C101</x:f>
        <x:v>2.432375284996771</x:v>
      </x:c>
      <x:c r="D130" s="11" t="str">
        <x:f>'Cumulative'!D101</x:f>
        <x:v>-11.959347317187671</x:v>
      </x:c>
      <x:c r="E130" s="11" t="str">
        <x:f>'Cumulative'!E101</x:f>
        <x:v>-8.428564973921251</x:v>
      </x:c>
      <x:c r="G130" s="11" t="str">
        <x:f>'Cumulative'!A101</x:f>
        <x:v>100</x:v>
      </x:c>
      <x:c r="H130" s="11" t="str">
        <x:f>'Cumulative'!C101</x:f>
        <x:v>2.432375284996771</x:v>
      </x:c>
      <x:c r="I130" s="87"/>
      <x:c r="J130" s="11" t="str">
        <x:f>'Cumulative'!A101</x:f>
        <x:v>100</x:v>
      </x:c>
      <x:c r="K130" s="11" t="str">
        <x:f>'Cumulative'!D101</x:f>
        <x:v>-11.959347317187671</x:v>
      </x:c>
      <x:c r="L130" s="11" t="str">
        <x:f>'Cumulative'!E101</x:f>
        <x:v>-8.428564973921251</x:v>
      </x:c>
    </x:row>
    <x:row r="131">
      <x:c r="A131" s="11" t="str">
        <x:f>'Cumulative'!A102</x:f>
        <x:v>101</x:v>
      </x:c>
      <x:c r="B131" s="11" t="str">
        <x:f>'Cumulative'!B102</x:f>
      </x:c>
      <x:c r="C131" s="11" t="str">
        <x:f>'Cumulative'!C102</x:f>
        <x:v>2.057599636096172</x:v>
      </x:c>
      <x:c r="D131" s="11" t="str">
        <x:f>'Cumulative'!D102</x:f>
        <x:v>-13.013659534947767</x:v>
      </x:c>
      <x:c r="E131" s="11" t="str">
        <x:f>'Cumulative'!E102</x:f>
        <x:v>-9.444847203934655</x:v>
      </x:c>
      <x:c r="G131" s="11" t="str">
        <x:f>'Cumulative'!A102</x:f>
        <x:v>101</x:v>
      </x:c>
      <x:c r="H131" s="11" t="str">
        <x:f>'Cumulative'!C102</x:f>
        <x:v>2.057599636096172</x:v>
      </x:c>
      <x:c r="I131" s="87"/>
      <x:c r="J131" s="11" t="str">
        <x:f>'Cumulative'!A102</x:f>
        <x:v>101</x:v>
      </x:c>
      <x:c r="K131" s="11" t="str">
        <x:f>'Cumulative'!D102</x:f>
        <x:v>-13.013659534947767</x:v>
      </x:c>
      <x:c r="L131" s="11" t="str">
        <x:f>'Cumulative'!E102</x:f>
        <x:v>-9.444847203934655</x:v>
      </x:c>
    </x:row>
    <x:row r="132">
      <x:c r="A132" s="11" t="str">
        <x:f>'Cumulative'!A103</x:f>
        <x:v>102</x:v>
      </x:c>
      <x:c r="B132" s="11" t="str">
        <x:f>'Cumulative'!B103</x:f>
      </x:c>
      <x:c r="C132" s="11" t="str">
        <x:f>'Cumulative'!C103</x:f>
        <x:v>3.998659889769419</x:v>
      </x:c>
      <x:c r="D132" s="11" t="str">
        <x:f>'Cumulative'!D103</x:f>
        <x:v>-11.524186426472685</x:v>
      </x:c>
      <x:c r="E132" s="11" t="str">
        <x:f>'Cumulative'!E103</x:f>
        <x:v>-9.417175517933007</x:v>
      </x:c>
      <x:c r="G132" s="11" t="str">
        <x:f>'Cumulative'!A103</x:f>
        <x:v>102</x:v>
      </x:c>
      <x:c r="H132" s="11" t="str">
        <x:f>'Cumulative'!C103</x:f>
        <x:v>3.998659889769419</x:v>
      </x:c>
      <x:c r="I132" s="87"/>
      <x:c r="J132" s="11" t="str">
        <x:f>'Cumulative'!A103</x:f>
        <x:v>102</x:v>
      </x:c>
      <x:c r="K132" s="11" t="str">
        <x:f>'Cumulative'!D103</x:f>
        <x:v>-11.524186426472685</x:v>
      </x:c>
      <x:c r="L132" s="11" t="str">
        <x:f>'Cumulative'!E103</x:f>
        <x:v>-9.417175517933007</x:v>
      </x:c>
    </x:row>
    <x:row r="133">
      <x:c r="A133" s="11" t="str">
        <x:f>'Cumulative'!A104</x:f>
        <x:v>103</x:v>
      </x:c>
      <x:c r="B133" s="11" t="str">
        <x:f>'Cumulative'!B104</x:f>
      </x:c>
      <x:c r="C133" s="11" t="str">
        <x:f>'Cumulative'!C104</x:f>
        <x:v>3.15154212033832</x:v>
      </x:c>
      <x:c r="D133" s="11" t="str">
        <x:f>'Cumulative'!D104</x:f>
        <x:v>-12.537436576755297</x:v>
      </x:c>
      <x:c r="E133" s="11" t="str">
        <x:f>'Cumulative'!E104</x:f>
        <x:v>-10.440881263568457</x:v>
      </x:c>
      <x:c r="G133" s="11" t="str">
        <x:f>'Cumulative'!A104</x:f>
        <x:v>103</x:v>
      </x:c>
      <x:c r="H133" s="11" t="str">
        <x:f>'Cumulative'!C104</x:f>
        <x:v>3.15154212033832</x:v>
      </x:c>
      <x:c r="I133" s="87"/>
      <x:c r="J133" s="11" t="str">
        <x:f>'Cumulative'!A104</x:f>
        <x:v>103</x:v>
      </x:c>
      <x:c r="K133" s="11" t="str">
        <x:f>'Cumulative'!D104</x:f>
        <x:v>-12.537436576755297</x:v>
      </x:c>
      <x:c r="L133" s="11" t="str">
        <x:f>'Cumulative'!E104</x:f>
        <x:v>-10.440881263568457</x:v>
      </x:c>
    </x:row>
    <x:row r="134">
      <x:c r="A134" s="11" t="str">
        <x:f>'Cumulative'!A105</x:f>
        <x:v>104</x:v>
      </x:c>
      <x:c r="B134" s="11" t="str">
        <x:f>'Cumulative'!B105</x:f>
      </x:c>
      <x:c r="C134" s="11" t="str">
        <x:f>'Cumulative'!C105</x:f>
        <x:v>2.0983281525199606</x:v>
      </x:c>
      <x:c r="D134" s="11" t="str">
        <x:f>'Cumulative'!D105</x:f>
        <x:v>-13.544582867816178</x:v>
      </x:c>
      <x:c r="E134" s="11" t="str">
        <x:f>'Cumulative'!E105</x:f>
        <x:v>-11.18099012006325</x:v>
      </x:c>
      <x:c r="G134" s="11" t="str">
        <x:f>'Cumulative'!A105</x:f>
        <x:v>104</x:v>
      </x:c>
      <x:c r="H134" s="11" t="str">
        <x:f>'Cumulative'!C105</x:f>
        <x:v>2.0983281525199606</x:v>
      </x:c>
      <x:c r="I134" s="87"/>
      <x:c r="J134" s="11" t="str">
        <x:f>'Cumulative'!A105</x:f>
        <x:v>104</x:v>
      </x:c>
      <x:c r="K134" s="11" t="str">
        <x:f>'Cumulative'!D105</x:f>
        <x:v>-13.544582867816178</x:v>
      </x:c>
      <x:c r="L134" s="11" t="str">
        <x:f>'Cumulative'!E105</x:f>
        <x:v>-11.18099012006325</x:v>
      </x:c>
    </x:row>
    <x:row r="135">
      <x:c r="A135" s="11" t="str">
        <x:f>'Cumulative'!A106</x:f>
        <x:v>105</x:v>
      </x:c>
      <x:c r="B135" s="11" t="str">
        <x:f>'Cumulative'!B106</x:f>
      </x:c>
      <x:c r="C135" s="11" t="str">
        <x:f>'Cumulative'!C106</x:f>
        <x:v>1.065915199576056</x:v>
      </x:c>
      <x:c r="D135" s="11" t="str">
        <x:f>'Cumulative'!D106</x:f>
        <x:v>-13.022425651548847</x:v>
      </x:c>
      <x:c r="E135" s="11" t="str">
        <x:f>'Cumulative'!E106</x:f>
        <x:v>-10.079493375090001</x:v>
      </x:c>
      <x:c r="G135" s="11" t="str">
        <x:f>'Cumulative'!A106</x:f>
        <x:v>105</x:v>
      </x:c>
      <x:c r="H135" s="11" t="str">
        <x:f>'Cumulative'!C106</x:f>
        <x:v>1.065915199576056</x:v>
      </x:c>
      <x:c r="I135" s="87"/>
      <x:c r="J135" s="11" t="str">
        <x:f>'Cumulative'!A106</x:f>
        <x:v>105</x:v>
      </x:c>
      <x:c r="K135" s="11" t="str">
        <x:f>'Cumulative'!D106</x:f>
        <x:v>-13.022425651548847</x:v>
      </x:c>
      <x:c r="L135" s="11" t="str">
        <x:f>'Cumulative'!E106</x:f>
        <x:v>-10.079493375090001</x:v>
      </x:c>
    </x:row>
    <x:row r="136">
      <x:c r="A136" s="11" t="str">
        <x:f>'Cumulative'!A107</x:f>
        <x:v>106</x:v>
      </x:c>
      <x:c r="B136" s="11" t="str">
        <x:f>'Cumulative'!B107</x:f>
      </x:c>
      <x:c r="C136" s="11" t="str">
        <x:f>'Cumulative'!C107</x:f>
        <x:v>0.5270557599412247</x:v>
      </x:c>
      <x:c r="D136" s="11" t="str">
        <x:f>'Cumulative'!D107</x:f>
        <x:v>-12.092979997807458</x:v>
      </x:c>
      <x:c r="E136" s="11" t="str">
        <x:f>'Cumulative'!E107</x:f>
        <x:v>-11.154183128220232</x:v>
      </x:c>
      <x:c r="G136" s="11" t="str">
        <x:f>'Cumulative'!A107</x:f>
        <x:v>106</x:v>
      </x:c>
      <x:c r="H136" s="11" t="str">
        <x:f>'Cumulative'!C107</x:f>
        <x:v>0.5270557599412247</x:v>
      </x:c>
      <x:c r="I136" s="87"/>
      <x:c r="J136" s="11" t="str">
        <x:f>'Cumulative'!A107</x:f>
        <x:v>106</x:v>
      </x:c>
      <x:c r="K136" s="11" t="str">
        <x:f>'Cumulative'!D107</x:f>
        <x:v>-12.092979997807458</x:v>
      </x:c>
      <x:c r="L136" s="11" t="str">
        <x:f>'Cumulative'!E107</x:f>
        <x:v>-11.154183128220232</x:v>
      </x:c>
    </x:row>
    <x:row r="137">
      <x:c r="A137" s="11" t="str">
        <x:f>'Cumulative'!A108</x:f>
        <x:v>107</x:v>
      </x:c>
      <x:c r="B137" s="11" t="str">
        <x:f>'Cumulative'!B108</x:f>
      </x:c>
      <x:c r="C137" s="11" t="str">
        <x:f>'Cumulative'!C108</x:f>
        <x:v>-0.5949796884650218</x:v>
      </x:c>
      <x:c r="D137" s="11" t="str">
        <x:f>'Cumulative'!D108</x:f>
        <x:v>-11.859999525846131</x:v>
      </x:c>
      <x:c r="E137" s="11" t="str">
        <x:f>'Cumulative'!E108</x:f>
        <x:v>-12.201127937453862</x:v>
      </x:c>
      <x:c r="G137" s="11" t="str">
        <x:f>'Cumulative'!A108</x:f>
        <x:v>107</x:v>
      </x:c>
      <x:c r="H137" s="11" t="str">
        <x:f>'Cumulative'!C108</x:f>
        <x:v>-0.5949796884650218</x:v>
      </x:c>
      <x:c r="I137" s="87"/>
      <x:c r="J137" s="11" t="str">
        <x:f>'Cumulative'!A108</x:f>
        <x:v>107</x:v>
      </x:c>
      <x:c r="K137" s="11" t="str">
        <x:f>'Cumulative'!D108</x:f>
        <x:v>-11.859999525846131</x:v>
      </x:c>
      <x:c r="L137" s="11" t="str">
        <x:f>'Cumulative'!E108</x:f>
        <x:v>-12.201127937453862</x:v>
      </x:c>
    </x:row>
    <x:row r="138">
      <x:c r="A138" s="11" t="str">
        <x:f>'Cumulative'!A109</x:f>
        <x:v>108</x:v>
      </x:c>
      <x:c r="B138" s="11" t="str">
        <x:f>'Cumulative'!B109</x:f>
      </x:c>
      <x:c r="C138" s="11" t="str">
        <x:f>'Cumulative'!C109</x:f>
        <x:v>-0.3305987218405548</x:v>
      </x:c>
      <x:c r="D138" s="11" t="str">
        <x:f>'Cumulative'!D109</x:f>
        <x:v>-11.839550417226375</x:v>
      </x:c>
      <x:c r="E138" s="11" t="str">
        <x:f>'Cumulative'!E109</x:f>
        <x:v>-13.278723093124526</x:v>
      </x:c>
      <x:c r="G138" s="11" t="str">
        <x:f>'Cumulative'!A109</x:f>
        <x:v>108</x:v>
      </x:c>
      <x:c r="H138" s="11" t="str">
        <x:f>'Cumulative'!C109</x:f>
        <x:v>-0.3305987218405548</x:v>
      </x:c>
      <x:c r="I138" s="87"/>
      <x:c r="J138" s="11" t="str">
        <x:f>'Cumulative'!A109</x:f>
        <x:v>108</x:v>
      </x:c>
      <x:c r="K138" s="11" t="str">
        <x:f>'Cumulative'!D109</x:f>
        <x:v>-11.839550417226375</x:v>
      </x:c>
      <x:c r="L138" s="11" t="str">
        <x:f>'Cumulative'!E109</x:f>
        <x:v>-13.278723093124526</x:v>
      </x:c>
    </x:row>
    <x:row r="139">
      <x:c r="A139" s="11" t="str">
        <x:f>'Cumulative'!A110</x:f>
        <x:v>109</x:v>
      </x:c>
      <x:c r="B139" s="11" t="str">
        <x:f>'Cumulative'!B110</x:f>
      </x:c>
      <x:c r="C139" s="11" t="str">
        <x:f>'Cumulative'!C110</x:f>
        <x:v>-1.3723155584316253</x:v>
      </x:c>
      <x:c r="D139" s="11" t="str">
        <x:f>'Cumulative'!D110</x:f>
        <x:v>-10.463455650229934</x:v>
      </x:c>
      <x:c r="E139" s="11" t="str">
        <x:f>'Cumulative'!E110</x:f>
        <x:v>-14.33692269648667</x:v>
      </x:c>
      <x:c r="G139" s="11" t="str">
        <x:f>'Cumulative'!A110</x:f>
        <x:v>109</x:v>
      </x:c>
      <x:c r="H139" s="11" t="str">
        <x:f>'Cumulative'!C110</x:f>
        <x:v>-1.3723155584316253</x:v>
      </x:c>
      <x:c r="I139" s="87"/>
      <x:c r="J139" s="11" t="str">
        <x:f>'Cumulative'!A110</x:f>
        <x:v>109</x:v>
      </x:c>
      <x:c r="K139" s="11" t="str">
        <x:f>'Cumulative'!D110</x:f>
        <x:v>-10.463455650229934</x:v>
      </x:c>
      <x:c r="L139" s="11" t="str">
        <x:f>'Cumulative'!E110</x:f>
        <x:v>-14.33692269648667</x:v>
      </x:c>
    </x:row>
    <x:row r="140">
      <x:c r="A140" s="11" t="str">
        <x:f>'Cumulative'!A111</x:f>
        <x:v>110</x:v>
      </x:c>
      <x:c r="B140" s="11" t="str">
        <x:f>'Cumulative'!B111</x:f>
      </x:c>
      <x:c r="C140" s="11" t="str">
        <x:f>'Cumulative'!C111</x:f>
        <x:v>-2.4968040517698005</x:v>
      </x:c>
      <x:c r="D140" s="11" t="str">
        <x:f>'Cumulative'!D111</x:f>
        <x:v>-11.487420798950541</x:v>
      </x:c>
      <x:c r="E140" s="11" t="str">
        <x:f>'Cumulative'!E111</x:f>
        <x:v>-15.356818944999056</x:v>
      </x:c>
      <x:c r="G140" s="11" t="str">
        <x:f>'Cumulative'!A111</x:f>
        <x:v>110</x:v>
      </x:c>
      <x:c r="H140" s="11" t="str">
        <x:f>'Cumulative'!C111</x:f>
        <x:v>-2.4968040517698005</x:v>
      </x:c>
      <x:c r="I140" s="87"/>
      <x:c r="J140" s="11" t="str">
        <x:f>'Cumulative'!A111</x:f>
        <x:v>110</x:v>
      </x:c>
      <x:c r="K140" s="11" t="str">
        <x:f>'Cumulative'!D111</x:f>
        <x:v>-11.487420798950541</x:v>
      </x:c>
      <x:c r="L140" s="11" t="str">
        <x:f>'Cumulative'!E111</x:f>
        <x:v>-15.356818944999056</x:v>
      </x:c>
    </x:row>
    <x:row r="141">
      <x:c r="A141" s="11" t="str">
        <x:f>'Cumulative'!A112</x:f>
        <x:v>111</x:v>
      </x:c>
      <x:c r="B141" s="11" t="str">
        <x:f>'Cumulative'!B112</x:f>
      </x:c>
      <x:c r="C141" s="11" t="str">
        <x:f>'Cumulative'!C112</x:f>
        <x:v>-3.605476469768308</x:v>
      </x:c>
      <x:c r="D141" s="11" t="str">
        <x:f>'Cumulative'!D112</x:f>
        <x:v>-12.500246256549296</x:v>
      </x:c>
      <x:c r="E141" s="11" t="str">
        <x:f>'Cumulative'!E112</x:f>
        <x:v>-16.40931007931943</x:v>
      </x:c>
      <x:c r="G141" s="11" t="str">
        <x:f>'Cumulative'!A112</x:f>
        <x:v>111</x:v>
      </x:c>
      <x:c r="H141" s="11" t="str">
        <x:f>'Cumulative'!C112</x:f>
        <x:v>-3.605476469768308</x:v>
      </x:c>
      <x:c r="I141" s="87"/>
      <x:c r="J141" s="11" t="str">
        <x:f>'Cumulative'!A112</x:f>
        <x:v>111</x:v>
      </x:c>
      <x:c r="K141" s="11" t="str">
        <x:f>'Cumulative'!D112</x:f>
        <x:v>-12.500246256549296</x:v>
      </x:c>
      <x:c r="L141" s="11" t="str">
        <x:f>'Cumulative'!E112</x:f>
        <x:v>-16.40931007931943</x:v>
      </x:c>
    </x:row>
    <x:row r="142">
      <x:c r="A142" s="11" t="str">
        <x:f>'Cumulative'!A113</x:f>
        <x:v>112</x:v>
      </x:c>
      <x:c r="B142" s="11" t="str">
        <x:f>'Cumulative'!B113</x:f>
      </x:c>
      <x:c r="C142" s="11" t="str">
        <x:f>'Cumulative'!C113</x:f>
        <x:v>-4.64635933999948</x:v>
      </x:c>
      <x:c r="D142" s="11" t="str">
        <x:f>'Cumulative'!D113</x:f>
        <x:v>-11.086490170190839</x:v>
      </x:c>
      <x:c r="E142" s="11" t="str">
        <x:f>'Cumulative'!E113</x:f>
        <x:v>-14.861700193996901</x:v>
      </x:c>
      <x:c r="G142" s="11" t="str">
        <x:f>'Cumulative'!A113</x:f>
        <x:v>112</x:v>
      </x:c>
      <x:c r="H142" s="11" t="str">
        <x:f>'Cumulative'!C113</x:f>
        <x:v>-4.64635933999948</x:v>
      </x:c>
      <x:c r="I142" s="87"/>
      <x:c r="J142" s="11" t="str">
        <x:f>'Cumulative'!A113</x:f>
        <x:v>112</x:v>
      </x:c>
      <x:c r="K142" s="11" t="str">
        <x:f>'Cumulative'!D113</x:f>
        <x:v>-11.086490170190839</x:v>
      </x:c>
      <x:c r="L142" s="11" t="str">
        <x:f>'Cumulative'!E113</x:f>
        <x:v>-14.861700193996901</x:v>
      </x:c>
    </x:row>
    <x:row r="143">
      <x:c r="A143" s="11" t="str">
        <x:f>'Cumulative'!A114</x:f>
        <x:v>113</x:v>
      </x:c>
      <x:c r="B143" s="11" t="str">
        <x:f>'Cumulative'!B114</x:f>
      </x:c>
      <x:c r="C143" s="11" t="str">
        <x:f>'Cumulative'!C114</x:f>
        <x:v>-5.674825125075648</x:v>
      </x:c>
      <x:c r="D143" s="11" t="str">
        <x:f>'Cumulative'!D114</x:f>
        <x:v>-11.775751236209773</x:v>
      </x:c>
      <x:c r="E143" s="11" t="str">
        <x:f>'Cumulative'!E114</x:f>
        <x:v>-15.906471446960204</x:v>
      </x:c>
      <x:c r="G143" s="11" t="str">
        <x:f>'Cumulative'!A114</x:f>
        <x:v>113</x:v>
      </x:c>
      <x:c r="H143" s="11" t="str">
        <x:f>'Cumulative'!C114</x:f>
        <x:v>-5.674825125075648</x:v>
      </x:c>
      <x:c r="I143" s="87"/>
      <x:c r="J143" s="11" t="str">
        <x:f>'Cumulative'!A114</x:f>
        <x:v>113</x:v>
      </x:c>
      <x:c r="K143" s="11" t="str">
        <x:f>'Cumulative'!D114</x:f>
        <x:v>-11.775751236209773</x:v>
      </x:c>
      <x:c r="L143" s="11" t="str">
        <x:f>'Cumulative'!E114</x:f>
        <x:v>-15.906471446960204</x:v>
      </x:c>
    </x:row>
    <x:row r="144">
      <x:c r="A144" s="11" t="str">
        <x:f>'Cumulative'!A115</x:f>
        <x:v>114</x:v>
      </x:c>
      <x:c r="B144" s="11" t="str">
        <x:f>'Cumulative'!B115</x:f>
      </x:c>
      <x:c r="C144" s="11" t="str">
        <x:f>'Cumulative'!C115</x:f>
        <x:v>-4.047444100847402</x:v>
      </x:c>
      <x:c r="D144" s="11" t="str">
        <x:f>'Cumulative'!D115</x:f>
        <x:v>-10.516379746253593</x:v>
      </x:c>
      <x:c r="E144" s="11" t="str">
        <x:f>'Cumulative'!E115</x:f>
        <x:v>-16.951162187472562</x:v>
      </x:c>
      <x:c r="G144" s="11" t="str">
        <x:f>'Cumulative'!A115</x:f>
        <x:v>114</x:v>
      </x:c>
      <x:c r="H144" s="11" t="str">
        <x:f>'Cumulative'!C115</x:f>
        <x:v>-4.047444100847402</x:v>
      </x:c>
      <x:c r="I144" s="87"/>
      <x:c r="J144" s="11" t="str">
        <x:f>'Cumulative'!A115</x:f>
        <x:v>114</x:v>
      </x:c>
      <x:c r="K144" s="11" t="str">
        <x:f>'Cumulative'!D115</x:f>
        <x:v>-10.516379746253593</x:v>
      </x:c>
      <x:c r="L144" s="11" t="str">
        <x:f>'Cumulative'!E115</x:f>
        <x:v>-16.951162187472562</x:v>
      </x:c>
    </x:row>
    <x:row r="145">
      <x:c r="A145" s="11" t="str">
        <x:f>'Cumulative'!A116</x:f>
        <x:v>115</x:v>
      </x:c>
      <x:c r="B145" s="11" t="str">
        <x:f>'Cumulative'!B116</x:f>
      </x:c>
      <x:c r="C145" s="11" t="str">
        <x:f>'Cumulative'!C116</x:f>
        <x:v>-4.626610793273084</x:v>
      </x:c>
      <x:c r="D145" s="11" t="str">
        <x:f>'Cumulative'!D116</x:f>
        <x:v>-11.538269508834754</x:v>
      </x:c>
      <x:c r="E145" s="11" t="str">
        <x:f>'Cumulative'!E116</x:f>
        <x:v>-17.97475788888165</x:v>
      </x:c>
      <x:c r="G145" s="11" t="str">
        <x:f>'Cumulative'!A116</x:f>
        <x:v>115</x:v>
      </x:c>
      <x:c r="H145" s="11" t="str">
        <x:f>'Cumulative'!C116</x:f>
        <x:v>-4.626610793273084</x:v>
      </x:c>
      <x:c r="I145" s="87"/>
      <x:c r="J145" s="11" t="str">
        <x:f>'Cumulative'!A116</x:f>
        <x:v>115</x:v>
      </x:c>
      <x:c r="K145" s="11" t="str">
        <x:f>'Cumulative'!D116</x:f>
        <x:v>-11.538269508834754</x:v>
      </x:c>
      <x:c r="L145" s="11" t="str">
        <x:f>'Cumulative'!E116</x:f>
        <x:v>-17.97475788888165</x:v>
      </x:c>
    </x:row>
    <x:row r="146">
      <x:c r="A146" s="11" t="str">
        <x:f>'Cumulative'!A117</x:f>
        <x:v>116</x:v>
      </x:c>
      <x:c r="B146" s="11" t="str">
        <x:f>'Cumulative'!B117</x:f>
      </x:c>
      <x:c r="C146" s="11" t="str">
        <x:f>'Cumulative'!C117</x:f>
        <x:v>-5.667076339762553</x:v>
      </x:c>
      <x:c r="D146" s="11" t="str">
        <x:f>'Cumulative'!D117</x:f>
        <x:v>-9.572837593010313</x:v>
      </x:c>
      <x:c r="E146" s="11" t="str">
        <x:f>'Cumulative'!E117</x:f>
        <x:v>-18.991774642578967</x:v>
      </x:c>
      <x:c r="G146" s="11" t="str">
        <x:f>'Cumulative'!A117</x:f>
        <x:v>116</x:v>
      </x:c>
      <x:c r="H146" s="11" t="str">
        <x:f>'Cumulative'!C117</x:f>
        <x:v>-5.667076339762553</x:v>
      </x:c>
      <x:c r="I146" s="87"/>
      <x:c r="J146" s="11" t="str">
        <x:f>'Cumulative'!A117</x:f>
        <x:v>116</x:v>
      </x:c>
      <x:c r="K146" s="11" t="str">
        <x:f>'Cumulative'!D117</x:f>
        <x:v>-9.572837593010313</x:v>
      </x:c>
      <x:c r="L146" s="11" t="str">
        <x:f>'Cumulative'!E117</x:f>
        <x:v>-18.991774642578967</x:v>
      </x:c>
    </x:row>
    <x:row r="147">
      <x:c r="A147" s="11" t="str">
        <x:f>'Cumulative'!A118</x:f>
        <x:v>117</x:v>
      </x:c>
      <x:c r="B147" s="11" t="str">
        <x:f>'Cumulative'!B118</x:f>
      </x:c>
      <x:c r="C147" s="11" t="str">
        <x:f>'Cumulative'!C118</x:f>
        <x:v>-3.705753036364162</x:v>
      </x:c>
      <x:c r="D147" s="11" t="str">
        <x:f>'Cumulative'!D118</x:f>
        <x:v>-10.58877881316811</x:v>
      </x:c>
      <x:c r="E147" s="11" t="str">
        <x:f>'Cumulative'!E118</x:f>
        <x:v>-17.023930003263086</x:v>
      </x:c>
      <x:c r="G147" s="11" t="str">
        <x:f>'Cumulative'!A118</x:f>
        <x:v>117</x:v>
      </x:c>
      <x:c r="H147" s="11" t="str">
        <x:f>'Cumulative'!C118</x:f>
        <x:v>-3.705753036364162</x:v>
      </x:c>
      <x:c r="I147" s="87"/>
      <x:c r="J147" s="11" t="str">
        <x:f>'Cumulative'!A118</x:f>
        <x:v>117</x:v>
      </x:c>
      <x:c r="K147" s="11" t="str">
        <x:f>'Cumulative'!D118</x:f>
        <x:v>-10.58877881316811</x:v>
      </x:c>
      <x:c r="L147" s="11" t="str">
        <x:f>'Cumulative'!E118</x:f>
        <x:v>-17.023930003263086</x:v>
      </x:c>
    </x:row>
    <x:row r="148">
      <x:c r="A148" s="11" t="str">
        <x:f>'Cumulative'!A119</x:f>
        <x:v>118</x:v>
      </x:c>
      <x:c r="B148" s="11" t="str">
        <x:f>'Cumulative'!B119</x:f>
      </x:c>
      <x:c r="C148" s="11" t="str">
        <x:f>'Cumulative'!C119</x:f>
        <x:v>-4.74264967167853</x:v>
      </x:c>
      <x:c r="D148" s="11" t="str">
        <x:f>'Cumulative'!D119</x:f>
        <x:v>-11.636723464115253</x:v>
      </x:c>
      <x:c r="E148" s="11" t="str">
        <x:f>'Cumulative'!E119</x:f>
        <x:v>-18.043457121313477</x:v>
      </x:c>
      <x:c r="G148" s="11" t="str">
        <x:f>'Cumulative'!A119</x:f>
        <x:v>118</x:v>
      </x:c>
      <x:c r="H148" s="11" t="str">
        <x:f>'Cumulative'!C119</x:f>
        <x:v>-4.74264967167853</x:v>
      </x:c>
      <x:c r="I148" s="87"/>
      <x:c r="J148" s="11" t="str">
        <x:f>'Cumulative'!A119</x:f>
        <x:v>118</x:v>
      </x:c>
      <x:c r="K148" s="11" t="str">
        <x:f>'Cumulative'!D119</x:f>
        <x:v>-11.636723464115253</x:v>
      </x:c>
      <x:c r="L148" s="11" t="str">
        <x:f>'Cumulative'!E119</x:f>
        <x:v>-18.043457121313477</x:v>
      </x:c>
    </x:row>
    <x:row r="149">
      <x:c r="A149" s="11" t="str">
        <x:f>'Cumulative'!A120</x:f>
        <x:v>119</x:v>
      </x:c>
      <x:c r="B149" s="11" t="str">
        <x:f>'Cumulative'!B120</x:f>
      </x:c>
      <x:c r="C149" s="11" t="str">
        <x:f>'Cumulative'!C120</x:f>
        <x:v>-5.770295741094627</x:v>
      </x:c>
      <x:c r="D149" s="11" t="str">
        <x:f>'Cumulative'!D120</x:f>
        <x:v>-10.965589044604796</x:v>
      </x:c>
      <x:c r="E149" s="11" t="str">
        <x:f>'Cumulative'!E120</x:f>
        <x:v>-19.102611837744014</x:v>
      </x:c>
      <x:c r="G149" s="11" t="str">
        <x:f>'Cumulative'!A120</x:f>
        <x:v>119</x:v>
      </x:c>
      <x:c r="H149" s="11" t="str">
        <x:f>'Cumulative'!C120</x:f>
        <x:v>-5.770295741094627</x:v>
      </x:c>
      <x:c r="I149" s="87"/>
      <x:c r="J149" s="11" t="str">
        <x:f>'Cumulative'!A120</x:f>
        <x:v>119</x:v>
      </x:c>
      <x:c r="K149" s="11" t="str">
        <x:f>'Cumulative'!D120</x:f>
        <x:v>-10.965589044604796</x:v>
      </x:c>
      <x:c r="L149" s="11" t="str">
        <x:f>'Cumulative'!E120</x:f>
        <x:v>-19.102611837744014</x:v>
      </x:c>
    </x:row>
    <x:row r="150">
      <x:c r="A150" s="11" t="str">
        <x:f>'Cumulative'!A121</x:f>
        <x:v>120</x:v>
      </x:c>
      <x:c r="B150" s="11" t="str">
        <x:f>'Cumulative'!B121</x:f>
      </x:c>
      <x:c r="C150" s="11" t="str">
        <x:f>'Cumulative'!C121</x:f>
        <x:v>-6.871224793165084</x:v>
      </x:c>
      <x:c r="D150" s="11" t="str">
        <x:f>'Cumulative'!D121</x:f>
        <x:v>-12.011787291045371</x:v>
      </x:c>
      <x:c r="E150" s="11" t="str">
        <x:f>'Cumulative'!E121</x:f>
        <x:v>-20.180632841375232</x:v>
      </x:c>
      <x:c r="G150" s="11" t="str">
        <x:f>'Cumulative'!A121</x:f>
        <x:v>120</x:v>
      </x:c>
      <x:c r="H150" s="11" t="str">
        <x:f>'Cumulative'!C121</x:f>
        <x:v>-6.871224793165084</x:v>
      </x:c>
      <x:c r="I150" s="87"/>
      <x:c r="J150" s="11" t="str">
        <x:f>'Cumulative'!A121</x:f>
        <x:v>120</x:v>
      </x:c>
      <x:c r="K150" s="11" t="str">
        <x:f>'Cumulative'!D121</x:f>
        <x:v>-12.011787291045371</x:v>
      </x:c>
      <x:c r="L150" s="11" t="str">
        <x:f>'Cumulative'!E121</x:f>
        <x:v>-20.180632841375232</x:v>
      </x:c>
    </x:row>
    <x:row r="151">
      <x:c r="A151" s="11" t="str">
        <x:f>'Cumulative'!A122</x:f>
        <x:v>121</x:v>
      </x:c>
      <x:c r="B151" s="11" t="str">
        <x:f>'Cumulative'!B122</x:f>
      </x:c>
      <x:c r="C151" s="11" t="str">
        <x:f>'Cumulative'!C122</x:f>
        <x:v>-7.096797456921586</x:v>
      </x:c>
      <x:c r="D151" s="11" t="str">
        <x:f>'Cumulative'!D122</x:f>
        <x:v>-11.541624387523626</x:v>
      </x:c>
      <x:c r="E151" s="11" t="str">
        <x:f>'Cumulative'!E122</x:f>
        <x:v>-20.39722525679746</x:v>
      </x:c>
      <x:c r="G151" s="11" t="str">
        <x:f>'Cumulative'!A122</x:f>
        <x:v>121</x:v>
      </x:c>
      <x:c r="H151" s="11" t="str">
        <x:f>'Cumulative'!C122</x:f>
        <x:v>-7.096797456921586</x:v>
      </x:c>
      <x:c r="I151" s="87"/>
      <x:c r="J151" s="11" t="str">
        <x:f>'Cumulative'!A122</x:f>
        <x:v>121</x:v>
      </x:c>
      <x:c r="K151" s="11" t="str">
        <x:f>'Cumulative'!D122</x:f>
        <x:v>-11.541624387523626</x:v>
      </x:c>
      <x:c r="L151" s="11" t="str">
        <x:f>'Cumulative'!E122</x:f>
        <x:v>-20.39722525679746</x:v>
      </x:c>
    </x:row>
    <x:row r="152">
      <x:c r="A152" s="11" t="str">
        <x:f>'Cumulative'!A123</x:f>
        <x:v>122</x:v>
      </x:c>
      <x:c r="B152" s="11" t="str">
        <x:f>'Cumulative'!B123</x:f>
      </x:c>
      <x:c r="C152" s="11" t="str">
        <x:f>'Cumulative'!C123</x:f>
        <x:v>-8.178217499692332</x:v>
      </x:c>
      <x:c r="D152" s="11" t="str">
        <x:f>'Cumulative'!D123</x:f>
        <x:v>-12.561231996501787</x:v>
      </x:c>
      <x:c r="E152" s="11" t="str">
        <x:f>'Cumulative'!E123</x:f>
        <x:v>-21.45365296247678</x:v>
      </x:c>
      <x:c r="G152" s="11" t="str">
        <x:f>'Cumulative'!A123</x:f>
        <x:v>122</x:v>
      </x:c>
      <x:c r="H152" s="11" t="str">
        <x:f>'Cumulative'!C123</x:f>
        <x:v>-8.178217499692332</x:v>
      </x:c>
      <x:c r="I152" s="87"/>
      <x:c r="J152" s="11" t="str">
        <x:f>'Cumulative'!A123</x:f>
        <x:v>122</x:v>
      </x:c>
      <x:c r="K152" s="11" t="str">
        <x:f>'Cumulative'!D123</x:f>
        <x:v>-12.561231996501787</x:v>
      </x:c>
      <x:c r="L152" s="11" t="str">
        <x:f>'Cumulative'!E123</x:f>
        <x:v>-21.45365296247678</x:v>
      </x:c>
    </x:row>
    <x:row r="153">
      <x:c r="A153" s="11" t="str">
        <x:f>'Cumulative'!A124</x:f>
        <x:v>123</x:v>
      </x:c>
      <x:c r="B153" s="11" t="str">
        <x:f>'Cumulative'!B124</x:f>
      </x:c>
      <x:c r="C153" s="11" t="str">
        <x:f>'Cumulative'!C124</x:f>
        <x:v>-8.656166446860857</x:v>
      </x:c>
      <x:c r="D153" s="11" t="str">
        <x:f>'Cumulative'!D124</x:f>
        <x:v>-13.575456167683349</x:v>
      </x:c>
      <x:c r="E153" s="11" t="str">
        <x:f>'Cumulative'!E124</x:f>
        <x:v>-20.949253416455214</x:v>
      </x:c>
      <x:c r="G153" s="11" t="str">
        <x:f>'Cumulative'!A124</x:f>
        <x:v>123</x:v>
      </x:c>
      <x:c r="H153" s="11" t="str">
        <x:f>'Cumulative'!C124</x:f>
        <x:v>-8.656166446860857</x:v>
      </x:c>
      <x:c r="I153" s="87"/>
      <x:c r="J153" s="11" t="str">
        <x:f>'Cumulative'!A124</x:f>
        <x:v>123</x:v>
      </x:c>
      <x:c r="K153" s="11" t="str">
        <x:f>'Cumulative'!D124</x:f>
        <x:v>-13.575456167683349</x:v>
      </x:c>
      <x:c r="L153" s="11" t="str">
        <x:f>'Cumulative'!E124</x:f>
        <x:v>-20.949253416455214</x:v>
      </x:c>
    </x:row>
    <x:row r="154">
      <x:c r="A154" s="11" t="str">
        <x:f>'Cumulative'!A125</x:f>
        <x:v>124</x:v>
      </x:c>
      <x:c r="B154" s="11" t="str">
        <x:f>'Cumulative'!B125</x:f>
      </x:c>
      <x:c r="C154" s="11" t="str">
        <x:f>'Cumulative'!C125</x:f>
        <x:v>-7.842594792926991</x:v>
      </x:c>
      <x:c r="D154" s="11" t="str">
        <x:f>'Cumulative'!D125</x:f>
        <x:v>-14.487019878265114</x:v>
      </x:c>
      <x:c r="E154" s="11" t="str">
        <x:f>'Cumulative'!E125</x:f>
        <x:v>-22.008882220452886</x:v>
      </x:c>
      <x:c r="G154" s="11" t="str">
        <x:f>'Cumulative'!A125</x:f>
        <x:v>124</x:v>
      </x:c>
      <x:c r="H154" s="11" t="str">
        <x:f>'Cumulative'!C125</x:f>
        <x:v>-7.842594792926991</x:v>
      </x:c>
      <x:c r="I154" s="87"/>
      <x:c r="J154" s="11" t="str">
        <x:f>'Cumulative'!A125</x:f>
        <x:v>124</x:v>
      </x:c>
      <x:c r="K154" s="11" t="str">
        <x:f>'Cumulative'!D125</x:f>
        <x:v>-14.487019878265114</x:v>
      </x:c>
      <x:c r="L154" s="11" t="str">
        <x:f>'Cumulative'!E125</x:f>
        <x:v>-22.008882220452886</x:v>
      </x:c>
    </x:row>
    <x:row r="155">
      <x:c r="A155" s="11" t="str">
        <x:f>'Cumulative'!A126</x:f>
        <x:v>125</x:v>
      </x:c>
      <x:c r="B155" s="11" t="str">
        <x:f>'Cumulative'!B126</x:f>
      </x:c>
      <x:c r="C155" s="11" t="str">
        <x:f>'Cumulative'!C126</x:f>
        <x:v>-8.862755568508458</x:v>
      </x:c>
      <x:c r="D155" s="11" t="str">
        <x:f>'Cumulative'!D126</x:f>
        <x:v>-15.153403416055188</x:v>
      </x:c>
      <x:c r="E155" s="11" t="str">
        <x:f>'Cumulative'!E126</x:f>
        <x:v>-22.68367327691554</x:v>
      </x:c>
      <x:c r="G155" s="11" t="str">
        <x:f>'Cumulative'!A126</x:f>
        <x:v>125</x:v>
      </x:c>
      <x:c r="H155" s="11" t="str">
        <x:f>'Cumulative'!C126</x:f>
        <x:v>-8.862755568508458</x:v>
      </x:c>
      <x:c r="I155" s="87"/>
      <x:c r="J155" s="11" t="str">
        <x:f>'Cumulative'!A126</x:f>
        <x:v>125</x:v>
      </x:c>
      <x:c r="K155" s="11" t="str">
        <x:f>'Cumulative'!D126</x:f>
        <x:v>-15.153403416055188</x:v>
      </x:c>
      <x:c r="L155" s="11" t="str">
        <x:f>'Cumulative'!E126</x:f>
        <x:v>-22.68367327691554</x:v>
      </x:c>
    </x:row>
    <x:row r="156">
      <x:c r="A156" s="11" t="str">
        <x:f>'Cumulative'!A127</x:f>
        <x:v>126</x:v>
      </x:c>
      <x:c r="B156" s="11" t="str">
        <x:f>'Cumulative'!B127</x:f>
      </x:c>
      <x:c r="C156" s="11" t="str">
        <x:f>'Cumulative'!C127</x:f>
        <x:v>-7.930167513083255</x:v>
      </x:c>
      <x:c r="D156" s="11" t="str">
        <x:f>'Cumulative'!D127</x:f>
        <x:v>-13.832504722430965</x:v>
      </x:c>
      <x:c r="E156" s="11" t="str">
        <x:f>'Cumulative'!E127</x:f>
        <x:v>-23.73162823154426</x:v>
      </x:c>
      <x:c r="G156" s="11" t="str">
        <x:f>'Cumulative'!A127</x:f>
        <x:v>126</x:v>
      </x:c>
      <x:c r="H156" s="11" t="str">
        <x:f>'Cumulative'!C127</x:f>
        <x:v>-7.930167513083255</x:v>
      </x:c>
      <x:c r="I156" s="87"/>
      <x:c r="J156" s="11" t="str">
        <x:f>'Cumulative'!A127</x:f>
        <x:v>126</x:v>
      </x:c>
      <x:c r="K156" s="11" t="str">
        <x:f>'Cumulative'!D127</x:f>
        <x:v>-13.832504722430965</x:v>
      </x:c>
      <x:c r="L156" s="11" t="str">
        <x:f>'Cumulative'!E127</x:f>
        <x:v>-23.73162823154426</x:v>
      </x:c>
    </x:row>
    <x:row r="157">
      <x:c r="A157" s="11" t="str">
        <x:f>'Cumulative'!A128</x:f>
        <x:v>127</x:v>
      </x:c>
      <x:c r="B157" s="11" t="str">
        <x:f>'Cumulative'!B128</x:f>
      </x:c>
      <x:c r="C157" s="11" t="str">
        <x:f>'Cumulative'!C128</x:f>
        <x:v>-5.969703877494488</x:v>
      </x:c>
      <x:c r="D157" s="11" t="str">
        <x:f>'Cumulative'!D128</x:f>
        <x:v>-11.859972765860782</x:v>
      </x:c>
      <x:c r="E157" s="11" t="str">
        <x:f>'Cumulative'!E128</x:f>
        <x:v>-22.873719834871565</x:v>
      </x:c>
      <x:c r="G157" s="11" t="str">
        <x:f>'Cumulative'!A128</x:f>
        <x:v>127</x:v>
      </x:c>
      <x:c r="H157" s="11" t="str">
        <x:f>'Cumulative'!C128</x:f>
        <x:v>-5.969703877494488</x:v>
      </x:c>
      <x:c r="I157" s="87"/>
      <x:c r="J157" s="11" t="str">
        <x:f>'Cumulative'!A128</x:f>
        <x:v>127</x:v>
      </x:c>
      <x:c r="K157" s="11" t="str">
        <x:f>'Cumulative'!D128</x:f>
        <x:v>-11.859972765860782</x:v>
      </x:c>
      <x:c r="L157" s="11" t="str">
        <x:f>'Cumulative'!E128</x:f>
        <x:v>-22.873719834871565</x:v>
      </x:c>
    </x:row>
    <x:row r="158">
      <x:c r="A158" s="11" t="str">
        <x:f>'Cumulative'!A129</x:f>
        <x:v>128</x:v>
      </x:c>
      <x:c r="B158" s="11" t="str">
        <x:f>'Cumulative'!B129</x:f>
      </x:c>
      <x:c r="C158" s="11" t="str">
        <x:f>'Cumulative'!C129</x:f>
        <x:v>-5.682527809145366</x:v>
      </x:c>
      <x:c r="D158" s="11" t="str">
        <x:f>'Cumulative'!D129</x:f>
        <x:v>-10.203779200120755</x:v>
      </x:c>
      <x:c r="E158" s="11" t="str">
        <x:f>'Cumulative'!E129</x:f>
        <x:v>-20.989169957820703</x:v>
      </x:c>
      <x:c r="G158" s="11" t="str">
        <x:f>'Cumulative'!A129</x:f>
        <x:v>128</x:v>
      </x:c>
      <x:c r="H158" s="11" t="str">
        <x:f>'Cumulative'!C129</x:f>
        <x:v>-5.682527809145366</x:v>
      </x:c>
      <x:c r="I158" s="87"/>
      <x:c r="J158" s="11" t="str">
        <x:f>'Cumulative'!A129</x:f>
        <x:v>128</x:v>
      </x:c>
      <x:c r="K158" s="11" t="str">
        <x:f>'Cumulative'!D129</x:f>
        <x:v>-10.203779200120755</x:v>
      </x:c>
      <x:c r="L158" s="11" t="str">
        <x:f>'Cumulative'!E129</x:f>
        <x:v>-20.989169957820703</x:v>
      </x:c>
    </x:row>
    <x:row r="159">
      <x:c r="A159" s="11" t="str">
        <x:f>'Cumulative'!A130</x:f>
        <x:v>129</x:v>
      </x:c>
      <x:c r="B159" s="11" t="str">
        <x:f>'Cumulative'!B130</x:f>
      </x:c>
      <x:c r="C159" s="11" t="str">
        <x:f>'Cumulative'!C130</x:f>
        <x:v>-5.4977820712130985</x:v>
      </x:c>
      <x:c r="D159" s="11" t="str">
        <x:f>'Cumulative'!D130</x:f>
        <x:v>-9.56317403455962</x:v>
      </x:c>
      <x:c r="E159" s="11" t="str">
        <x:f>'Cumulative'!E130</x:f>
        <x:v>-21.653927371129832</x:v>
      </x:c>
      <x:c r="G159" s="11" t="str">
        <x:f>'Cumulative'!A130</x:f>
        <x:v>129</x:v>
      </x:c>
      <x:c r="H159" s="11" t="str">
        <x:f>'Cumulative'!C130</x:f>
        <x:v>-5.4977820712130985</x:v>
      </x:c>
      <x:c r="I159" s="87"/>
      <x:c r="J159" s="11" t="str">
        <x:f>'Cumulative'!A130</x:f>
        <x:v>129</x:v>
      </x:c>
      <x:c r="K159" s="11" t="str">
        <x:f>'Cumulative'!D130</x:f>
        <x:v>-9.56317403455962</x:v>
      </x:c>
      <x:c r="L159" s="11" t="str">
        <x:f>'Cumulative'!E130</x:f>
        <x:v>-21.653927371129832</x:v>
      </x:c>
    </x:row>
    <x:row r="160">
      <x:c r="A160" s="11" t="str">
        <x:f>'Cumulative'!A131</x:f>
        <x:v>130</x:v>
      </x:c>
      <x:c r="B160" s="11" t="str">
        <x:f>'Cumulative'!B131</x:f>
      </x:c>
      <x:c r="C160" s="11" t="str">
        <x:f>'Cumulative'!C131</x:f>
        <x:v>-5.308354854283904</x:v>
      </x:c>
      <x:c r="D160" s="11" t="str">
        <x:f>'Cumulative'!D131</x:f>
        <x:v>-9.584565614890007</x:v>
      </x:c>
      <x:c r="E160" s="11" t="str">
        <x:f>'Cumulative'!E131</x:f>
        <x:v>-22.665912981071152</x:v>
      </x:c>
      <x:c r="G160" s="11" t="str">
        <x:f>'Cumulative'!A131</x:f>
        <x:v>130</x:v>
      </x:c>
      <x:c r="H160" s="11" t="str">
        <x:f>'Cumulative'!C131</x:f>
        <x:v>-5.308354854283904</x:v>
      </x:c>
      <x:c r="I160" s="87"/>
      <x:c r="J160" s="11" t="str">
        <x:f>'Cumulative'!A131</x:f>
        <x:v>130</x:v>
      </x:c>
      <x:c r="K160" s="11" t="str">
        <x:f>'Cumulative'!D131</x:f>
        <x:v>-9.584565614890007</x:v>
      </x:c>
      <x:c r="L160" s="11" t="str">
        <x:f>'Cumulative'!E131</x:f>
        <x:v>-22.665912981071152</x:v>
      </x:c>
    </x:row>
    <x:row r="161">
      <x:c r="A161" s="11" t="str">
        <x:f>'Cumulative'!A132</x:f>
        <x:v>131</x:v>
      </x:c>
      <x:c r="B161" s="11" t="str">
        <x:f>'Cumulative'!B132</x:f>
      </x:c>
      <x:c r="C161" s="11" t="str">
        <x:f>'Cumulative'!C132</x:f>
        <x:v>-6.384573688005396</x:v>
      </x:c>
      <x:c r="D161" s="11" t="str">
        <x:f>'Cumulative'!D132</x:f>
        <x:v>-10.61822864067872</x:v>
      </x:c>
      <x:c r="E161" s="11" t="str">
        <x:f>'Cumulative'!E132</x:f>
        <x:v>-23.676554163848905</x:v>
      </x:c>
      <x:c r="G161" s="11" t="str">
        <x:f>'Cumulative'!A132</x:f>
        <x:v>131</x:v>
      </x:c>
      <x:c r="H161" s="11" t="str">
        <x:f>'Cumulative'!C132</x:f>
        <x:v>-6.384573688005396</x:v>
      </x:c>
      <x:c r="I161" s="87"/>
      <x:c r="J161" s="11" t="str">
        <x:f>'Cumulative'!A132</x:f>
        <x:v>131</x:v>
      </x:c>
      <x:c r="K161" s="11" t="str">
        <x:f>'Cumulative'!D132</x:f>
        <x:v>-10.61822864067872</x:v>
      </x:c>
      <x:c r="L161" s="11" t="str">
        <x:f>'Cumulative'!E132</x:f>
        <x:v>-23.676554163848905</x:v>
      </x:c>
    </x:row>
    <x:row r="162">
      <x:c r="A162" s="11" t="str">
        <x:f>'Cumulative'!A133</x:f>
        <x:v>132</x:v>
      </x:c>
      <x:c r="B162" s="11" t="str">
        <x:f>'Cumulative'!B133</x:f>
      </x:c>
      <x:c r="C162" s="11" t="str">
        <x:f>'Cumulative'!C133</x:f>
        <x:v>-7.132560495159288</x:v>
      </x:c>
      <x:c r="D162" s="11" t="str">
        <x:f>'Cumulative'!D133</x:f>
        <x:v>-9.226820559723558</x:v>
      </x:c>
      <x:c r="E162" s="11" t="str">
        <x:f>'Cumulative'!E133</x:f>
        <x:v>-23.1761062375381</x:v>
      </x:c>
      <x:c r="G162" s="11" t="str">
        <x:f>'Cumulative'!A133</x:f>
        <x:v>132</x:v>
      </x:c>
      <x:c r="H162" s="11" t="str">
        <x:f>'Cumulative'!C133</x:f>
        <x:v>-7.132560495159288</x:v>
      </x:c>
      <x:c r="I162" s="87"/>
      <x:c r="J162" s="11" t="str">
        <x:f>'Cumulative'!A133</x:f>
        <x:v>132</x:v>
      </x:c>
      <x:c r="K162" s="11" t="str">
        <x:f>'Cumulative'!D133</x:f>
        <x:v>-9.226820559723558</x:v>
      </x:c>
      <x:c r="L162" s="11" t="str">
        <x:f>'Cumulative'!E133</x:f>
        <x:v>-23.1761062375381</x:v>
      </x:c>
    </x:row>
    <x:row r="163">
      <x:c r="A163" s="11" t="str">
        <x:f>'Cumulative'!A134</x:f>
        <x:v>133</x:v>
      </x:c>
      <x:c r="B163" s="11" t="str">
        <x:f>'Cumulative'!B134</x:f>
      </x:c>
      <x:c r="C163" s="11" t="str">
        <x:f>'Cumulative'!C134</x:f>
        <x:v>-8.251739112232379</x:v>
      </x:c>
      <x:c r="D163" s="11" t="str">
        <x:f>'Cumulative'!D134</x:f>
        <x:v>-10.28063304121195</x:v>
      </x:c>
      <x:c r="E163" s="11" t="str">
        <x:f>'Cumulative'!E134</x:f>
        <x:v>-24.23053852500528</x:v>
      </x:c>
      <x:c r="G163" s="11" t="str">
        <x:f>'Cumulative'!A134</x:f>
        <x:v>133</x:v>
      </x:c>
      <x:c r="H163" s="11" t="str">
        <x:f>'Cumulative'!C134</x:f>
        <x:v>-8.251739112232379</x:v>
      </x:c>
      <x:c r="I163" s="87"/>
      <x:c r="J163" s="11" t="str">
        <x:f>'Cumulative'!A134</x:f>
        <x:v>133</x:v>
      </x:c>
      <x:c r="K163" s="11" t="str">
        <x:f>'Cumulative'!D134</x:f>
        <x:v>-10.28063304121195</x:v>
      </x:c>
      <x:c r="L163" s="11" t="str">
        <x:f>'Cumulative'!E134</x:f>
        <x:v>-24.23053852500528</x:v>
      </x:c>
    </x:row>
    <x:row r="164">
      <x:c r="A164" s="11" t="str">
        <x:f>'Cumulative'!A135</x:f>
        <x:v>134</x:v>
      </x:c>
      <x:c r="B164" s="11" t="str">
        <x:f>'Cumulative'!B135</x:f>
      </x:c>
      <x:c r="C164" s="11" t="str">
        <x:f>'Cumulative'!C135</x:f>
        <x:v>-9.289154870494674</x:v>
      </x:c>
      <x:c r="D164" s="11" t="str">
        <x:f>'Cumulative'!D135</x:f>
        <x:v>-11.330080000583138</x:v>
      </x:c>
      <x:c r="E164" s="11" t="str">
        <x:f>'Cumulative'!E135</x:f>
        <x:v>-22.247096399321347</x:v>
      </x:c>
      <x:c r="G164" s="11" t="str">
        <x:f>'Cumulative'!A135</x:f>
        <x:v>134</x:v>
      </x:c>
      <x:c r="H164" s="11" t="str">
        <x:f>'Cumulative'!C135</x:f>
        <x:v>-9.289154870494674</x:v>
      </x:c>
      <x:c r="I164" s="87"/>
      <x:c r="J164" s="11" t="str">
        <x:f>'Cumulative'!A135</x:f>
        <x:v>134</x:v>
      </x:c>
      <x:c r="K164" s="11" t="str">
        <x:f>'Cumulative'!D135</x:f>
        <x:v>-11.330080000583138</x:v>
      </x:c>
      <x:c r="L164" s="11" t="str">
        <x:f>'Cumulative'!E135</x:f>
        <x:v>-22.247096399321347</x:v>
      </x:c>
    </x:row>
    <x:row r="165">
      <x:c r="A165" s="11" t="str">
        <x:f>'Cumulative'!A136</x:f>
        <x:v>135</x:v>
      </x:c>
      <x:c r="B165" s="11" t="str">
        <x:f>'Cumulative'!B136</x:f>
      </x:c>
      <x:c r="C165" s="11" t="str">
        <x:f>'Cumulative'!C136</x:f>
        <x:v>-10.319600600771341</x:v>
      </x:c>
      <x:c r="D165" s="11" t="str">
        <x:f>'Cumulative'!D136</x:f>
        <x:v>-9.381642767235139</x:v>
      </x:c>
      <x:c r="E165" s="11" t="str">
        <x:f>'Cumulative'!E136</x:f>
        <x:v>-23.26001022395909</x:v>
      </x:c>
      <x:c r="G165" s="11" t="str">
        <x:f>'Cumulative'!A136</x:f>
        <x:v>135</x:v>
      </x:c>
      <x:c r="H165" s="11" t="str">
        <x:f>'Cumulative'!C136</x:f>
        <x:v>-10.319600600771341</x:v>
      </x:c>
      <x:c r="I165" s="87"/>
      <x:c r="J165" s="11" t="str">
        <x:f>'Cumulative'!A136</x:f>
        <x:v>135</x:v>
      </x:c>
      <x:c r="K165" s="11" t="str">
        <x:f>'Cumulative'!D136</x:f>
        <x:v>-9.381642767235139</x:v>
      </x:c>
      <x:c r="L165" s="11" t="str">
        <x:f>'Cumulative'!E136</x:f>
        <x:v>-23.26001022395909</x:v>
      </x:c>
    </x:row>
    <x:row r="166">
      <x:c r="A166" s="11" t="str">
        <x:f>'Cumulative'!A137</x:f>
        <x:v>136</x:v>
      </x:c>
      <x:c r="B166" s="11" t="str">
        <x:f>'Cumulative'!B137</x:f>
      </x:c>
      <x:c r="C166" s="11" t="str">
        <x:f>'Cumulative'!C137</x:f>
        <x:v>-9.499675497563743</x:v>
      </x:c>
      <x:c r="D166" s="11" t="str">
        <x:f>'Cumulative'!D137</x:f>
        <x:v>-8.405086906144778</x:v>
      </x:c>
      <x:c r="E166" s="11" t="str">
        <x:f>'Cumulative'!E137</x:f>
        <x:v>-21.277885192168856</x:v>
      </x:c>
      <x:c r="G166" s="11" t="str">
        <x:f>'Cumulative'!A137</x:f>
        <x:v>136</x:v>
      </x:c>
      <x:c r="H166" s="11" t="str">
        <x:f>'Cumulative'!C137</x:f>
        <x:v>-9.499675497563743</x:v>
      </x:c>
      <x:c r="I166" s="87"/>
      <x:c r="J166" s="11" t="str">
        <x:f>'Cumulative'!A137</x:f>
        <x:v>136</x:v>
      </x:c>
      <x:c r="K166" s="11" t="str">
        <x:f>'Cumulative'!D137</x:f>
        <x:v>-8.405086906144778</x:v>
      </x:c>
      <x:c r="L166" s="11" t="str">
        <x:f>'Cumulative'!E137</x:f>
        <x:v>-21.277885192168856</x:v>
      </x:c>
    </x:row>
    <x:row r="167">
      <x:c r="A167" s="11" t="str">
        <x:f>'Cumulative'!A138</x:f>
        <x:v>137</x:v>
      </x:c>
      <x:c r="B167" s="11" t="str">
        <x:f>'Cumulative'!B138</x:f>
      </x:c>
      <x:c r="C167" s="11" t="str">
        <x:f>'Cumulative'!C138</x:f>
        <x:v>-10.669338860756357</x:v>
      </x:c>
      <x:c r="D167" s="11" t="str">
        <x:f>'Cumulative'!D138</x:f>
        <x:v>-6.456390872667612</x:v>
      </x:c>
      <x:c r="E167" s="11" t="str">
        <x:f>'Cumulative'!E138</x:f>
        <x:v>-22.322870205926176</x:v>
      </x:c>
      <x:c r="G167" s="11" t="str">
        <x:f>'Cumulative'!A138</x:f>
        <x:v>137</x:v>
      </x:c>
      <x:c r="H167" s="11" t="str">
        <x:f>'Cumulative'!C138</x:f>
        <x:v>-10.669338860756357</x:v>
      </x:c>
      <x:c r="I167" s="87"/>
      <x:c r="J167" s="11" t="str">
        <x:f>'Cumulative'!A138</x:f>
        <x:v>137</x:v>
      </x:c>
      <x:c r="K167" s="11" t="str">
        <x:f>'Cumulative'!D138</x:f>
        <x:v>-6.456390872667612</x:v>
      </x:c>
      <x:c r="L167" s="11" t="str">
        <x:f>'Cumulative'!E138</x:f>
        <x:v>-22.322870205926176</x:v>
      </x:c>
    </x:row>
    <x:row r="168">
      <x:c r="A168" s="11" t="str">
        <x:f>'Cumulative'!A139</x:f>
        <x:v>138</x:v>
      </x:c>
      <x:c r="B168" s="11" t="str">
        <x:f>'Cumulative'!B139</x:f>
      </x:c>
      <x:c r="C168" s="11" t="str">
        <x:f>'Cumulative'!C139</x:f>
        <x:v>-9.887675483893798</x:v>
      </x:c>
      <x:c r="D168" s="11" t="str">
        <x:f>'Cumulative'!D139</x:f>
        <x:v>-5.599255778793067</x:v>
      </x:c>
      <x:c r="E168" s="11" t="str">
        <x:f>'Cumulative'!E139</x:f>
        <x:v>-20.359999029904188</x:v>
      </x:c>
      <x:c r="G168" s="11" t="str">
        <x:f>'Cumulative'!A139</x:f>
        <x:v>138</x:v>
      </x:c>
      <x:c r="H168" s="11" t="str">
        <x:f>'Cumulative'!C139</x:f>
        <x:v>-9.887675483893798</x:v>
      </x:c>
      <x:c r="I168" s="87"/>
      <x:c r="J168" s="11" t="str">
        <x:f>'Cumulative'!A139</x:f>
        <x:v>138</x:v>
      </x:c>
      <x:c r="K168" s="11" t="str">
        <x:f>'Cumulative'!D139</x:f>
        <x:v>-5.599255778793067</x:v>
      </x:c>
      <x:c r="L168" s="11" t="str">
        <x:f>'Cumulative'!E139</x:f>
        <x:v>-20.359999029904188</x:v>
      </x:c>
    </x:row>
    <x:row r="169">
      <x:c r="A169" s="11" t="str">
        <x:f>'Cumulative'!A140</x:f>
        <x:v>139</x:v>
      </x:c>
      <x:c r="B169" s="11" t="str">
        <x:f>'Cumulative'!B140</x:f>
      </x:c>
      <x:c r="C169" s="11" t="str">
        <x:f>'Cumulative'!C140</x:f>
        <x:v>-10.909275185934431</x:v>
      </x:c>
      <x:c r="D169" s="11" t="str">
        <x:f>'Cumulative'!D140</x:f>
        <x:v>-6.341314055054997</x:v>
      </x:c>
      <x:c r="E169" s="11" t="str">
        <x:f>'Cumulative'!E140</x:f>
        <x:v>-21.3971904431791</x:v>
      </x:c>
      <x:c r="G169" s="11" t="str">
        <x:f>'Cumulative'!A140</x:f>
        <x:v>139</x:v>
      </x:c>
      <x:c r="H169" s="11" t="str">
        <x:f>'Cumulative'!C140</x:f>
        <x:v>-10.909275185934431</x:v>
      </x:c>
      <x:c r="I169" s="87"/>
      <x:c r="J169" s="11" t="str">
        <x:f>'Cumulative'!A140</x:f>
        <x:v>139</x:v>
      </x:c>
      <x:c r="K169" s="11" t="str">
        <x:f>'Cumulative'!D140</x:f>
        <x:v>-6.341314055054997</x:v>
      </x:c>
      <x:c r="L169" s="11" t="str">
        <x:f>'Cumulative'!E140</x:f>
        <x:v>-21.3971904431791</x:v>
      </x:c>
    </x:row>
    <x:row r="170">
      <x:c r="A170" s="11" t="str">
        <x:f>'Cumulative'!A141</x:f>
        <x:v>140</x:v>
      </x:c>
      <x:c r="B170" s="11" t="str">
        <x:f>'Cumulative'!B141</x:f>
      </x:c>
      <x:c r="C170" s="11" t="str">
        <x:f>'Cumulative'!C141</x:f>
        <x:v>-10.967642976501702</x:v>
      </x:c>
      <x:c r="D170" s="11" t="str">
        <x:f>'Cumulative'!D141</x:f>
        <x:v>-7.364969555118691</x:v>
      </x:c>
      <x:c r="E170" s="11" t="str">
        <x:f>'Cumulative'!E141</x:f>
        <x:v>-22.409382588053862</x:v>
      </x:c>
      <x:c r="G170" s="11" t="str">
        <x:f>'Cumulative'!A141</x:f>
        <x:v>140</x:v>
      </x:c>
      <x:c r="H170" s="11" t="str">
        <x:f>'Cumulative'!C141</x:f>
        <x:v>-10.967642976501702</x:v>
      </x:c>
      <x:c r="I170" s="87"/>
      <x:c r="J170" s="11" t="str">
        <x:f>'Cumulative'!A141</x:f>
        <x:v>140</x:v>
      </x:c>
      <x:c r="K170" s="11" t="str">
        <x:f>'Cumulative'!D141</x:f>
        <x:v>-7.364969555118691</x:v>
      </x:c>
      <x:c r="L170" s="11" t="str">
        <x:f>'Cumulative'!E141</x:f>
        <x:v>-22.409382588053862</x:v>
      </x:c>
    </x:row>
    <x:row r="171">
      <x:c r="A171" s="11" t="str">
        <x:f>'Cumulative'!A142</x:f>
        <x:v>141</x:v>
      </x:c>
      <x:c r="B171" s="11" t="str">
        <x:f>'Cumulative'!B142</x:f>
      </x:c>
      <x:c r="C171" s="11" t="str">
        <x:f>'Cumulative'!C142</x:f>
        <x:v>-12.04949337991757</x:v>
      </x:c>
      <x:c r="D171" s="11" t="str">
        <x:f>'Cumulative'!D142</x:f>
        <x:v>-8.426059627832547</x:v>
      </x:c>
      <x:c r="E171" s="11" t="str">
        <x:f>'Cumulative'!E142</x:f>
        <x:v>-23.421386397252807</x:v>
      </x:c>
      <x:c r="G171" s="11" t="str">
        <x:f>'Cumulative'!A142</x:f>
        <x:v>141</x:v>
      </x:c>
      <x:c r="H171" s="11" t="str">
        <x:f>'Cumulative'!C142</x:f>
        <x:v>-12.04949337991757</x:v>
      </x:c>
      <x:c r="I171" s="87"/>
      <x:c r="J171" s="11" t="str">
        <x:f>'Cumulative'!A142</x:f>
        <x:v>141</x:v>
      </x:c>
      <x:c r="K171" s="11" t="str">
        <x:f>'Cumulative'!D142</x:f>
        <x:v>-8.426059627832547</x:v>
      </x:c>
      <x:c r="L171" s="11" t="str">
        <x:f>'Cumulative'!E142</x:f>
        <x:v>-23.421386397252807</x:v>
      </x:c>
    </x:row>
    <x:row r="172">
      <x:c r="A172" s="11" t="str">
        <x:f>'Cumulative'!A143</x:f>
        <x:v>142</x:v>
      </x:c>
      <x:c r="B172" s="11" t="str">
        <x:f>'Cumulative'!B143</x:f>
      </x:c>
      <x:c r="C172" s="11" t="str">
        <x:f>'Cumulative'!C143</x:f>
        <x:v>-10.087119891710042</x:v>
      </x:c>
      <x:c r="D172" s="11" t="str">
        <x:f>'Cumulative'!D143</x:f>
        <x:v>-8.103667170222126</x:v>
      </x:c>
      <x:c r="E172" s="11" t="str">
        <x:f>'Cumulative'!E143</x:f>
        <x:v>-23.134357709915157</x:v>
      </x:c>
      <x:c r="G172" s="11" t="str">
        <x:f>'Cumulative'!A143</x:f>
        <x:v>142</x:v>
      </x:c>
      <x:c r="H172" s="11" t="str">
        <x:f>'Cumulative'!C143</x:f>
        <x:v>-10.087119891710042</x:v>
      </x:c>
      <x:c r="I172" s="87"/>
      <x:c r="J172" s="11" t="str">
        <x:f>'Cumulative'!A143</x:f>
        <x:v>142</x:v>
      </x:c>
      <x:c r="K172" s="11" t="str">
        <x:f>'Cumulative'!D143</x:f>
        <x:v>-8.103667170222126</x:v>
      </x:c>
      <x:c r="L172" s="11" t="str">
        <x:f>'Cumulative'!E143</x:f>
        <x:v>-23.134357709915157</x:v>
      </x:c>
    </x:row>
    <x:row r="173">
      <x:c r="A173" s="11" t="str">
        <x:f>'Cumulative'!A144</x:f>
        <x:v>143</x:v>
      </x:c>
      <x:c r="B173" s="11" t="str">
        <x:f>'Cumulative'!B144</x:f>
      </x:c>
      <x:c r="C173" s="11" t="str">
        <x:f>'Cumulative'!C144</x:f>
        <x:v>-11.107119384761337</x:v>
      </x:c>
      <x:c r="D173" s="11" t="str">
        <x:f>'Cumulative'!D144</x:f>
        <x:v>-6.939694404075332</x:v>
      </x:c>
      <x:c r="E173" s="11" t="str">
        <x:f>'Cumulative'!E144</x:f>
        <x:v>-22.531752193039825</x:v>
      </x:c>
      <x:c r="G173" s="11" t="str">
        <x:f>'Cumulative'!A144</x:f>
        <x:v>143</x:v>
      </x:c>
      <x:c r="H173" s="11" t="str">
        <x:f>'Cumulative'!C144</x:f>
        <x:v>-11.107119384761337</x:v>
      </x:c>
      <x:c r="I173" s="87"/>
      <x:c r="J173" s="11" t="str">
        <x:f>'Cumulative'!A144</x:f>
        <x:v>143</x:v>
      </x:c>
      <x:c r="K173" s="11" t="str">
        <x:f>'Cumulative'!D144</x:f>
        <x:v>-6.939694404075332</x:v>
      </x:c>
      <x:c r="L173" s="11" t="str">
        <x:f>'Cumulative'!E144</x:f>
        <x:v>-22.531752193039825</x:v>
      </x:c>
    </x:row>
    <x:row r="174">
      <x:c r="A174" s="11" t="str">
        <x:f>'Cumulative'!A145</x:f>
        <x:v>144</x:v>
      </x:c>
      <x:c r="B174" s="11" t="str">
        <x:f>'Cumulative'!B145</x:f>
      </x:c>
      <x:c r="C174" s="11" t="str">
        <x:f>'Cumulative'!C145</x:f>
        <x:v>-12.130951896224348</x:v>
      </x:c>
      <x:c r="D174" s="11" t="str">
        <x:f>'Cumulative'!D145</x:f>
        <x:v>-7.97219144903594</x:v>
      </x:c>
      <x:c r="E174" s="11" t="str">
        <x:f>'Cumulative'!E145</x:f>
        <x:v>-23.541896805403326</x:v>
      </x:c>
      <x:c r="G174" s="11" t="str">
        <x:f>'Cumulative'!A145</x:f>
        <x:v>144</x:v>
      </x:c>
      <x:c r="H174" s="11" t="str">
        <x:f>'Cumulative'!C145</x:f>
        <x:v>-12.130951896224348</x:v>
      </x:c>
      <x:c r="I174" s="87"/>
      <x:c r="J174" s="11" t="str">
        <x:f>'Cumulative'!A145</x:f>
        <x:v>144</x:v>
      </x:c>
      <x:c r="K174" s="11" t="str">
        <x:f>'Cumulative'!D145</x:f>
        <x:v>-7.97219144903594</x:v>
      </x:c>
      <x:c r="L174" s="11" t="str">
        <x:f>'Cumulative'!E145</x:f>
        <x:v>-23.541896805403326</x:v>
      </x:c>
    </x:row>
    <x:row r="175">
      <x:c r="A175" s="11" t="str">
        <x:f>'Cumulative'!A146</x:f>
        <x:v>145</x:v>
      </x:c>
      <x:c r="B175" s="11" t="str">
        <x:f>'Cumulative'!B146</x:f>
      </x:c>
      <x:c r="C175" s="11" t="str">
        <x:f>'Cumulative'!C146</x:f>
        <x:v>-11.095379242530834</x:v>
      </x:c>
      <x:c r="D175" s="11" t="str">
        <x:f>'Cumulative'!D146</x:f>
        <x:v>-5.996790795818252</x:v>
      </x:c>
      <x:c r="E175" s="11" t="str">
        <x:f>'Cumulative'!E146</x:f>
        <x:v>-21.552614549975583</x:v>
      </x:c>
      <x:c r="G175" s="11" t="str">
        <x:f>'Cumulative'!A146</x:f>
        <x:v>145</x:v>
      </x:c>
      <x:c r="H175" s="11" t="str">
        <x:f>'Cumulative'!C146</x:f>
        <x:v>-11.095379242530834</x:v>
      </x:c>
      <x:c r="I175" s="87"/>
      <x:c r="J175" s="11" t="str">
        <x:f>'Cumulative'!A146</x:f>
        <x:v>145</x:v>
      </x:c>
      <x:c r="K175" s="11" t="str">
        <x:f>'Cumulative'!D146</x:f>
        <x:v>-5.996790795818252</x:v>
      </x:c>
      <x:c r="L175" s="11" t="str">
        <x:f>'Cumulative'!E146</x:f>
        <x:v>-21.552614549975583</x:v>
      </x:c>
    </x:row>
    <x:row r="176">
      <x:c r="A176" s="11" t="str">
        <x:f>'Cumulative'!A147</x:f>
        <x:v>146</x:v>
      </x:c>
      <x:c r="B176" s="11" t="str">
        <x:f>'Cumulative'!B147</x:f>
      </x:c>
      <x:c r="C176" s="11" t="str">
        <x:f>'Cumulative'!C147</x:f>
        <x:v>-12.112240956412691</x:v>
      </x:c>
      <x:c r="D176" s="11" t="str">
        <x:f>'Cumulative'!D147</x:f>
        <x:v>-6.291047146715842</x:v>
      </x:c>
      <x:c r="E176" s="11" t="str">
        <x:f>'Cumulative'!E147</x:f>
        <x:v>-19.56941753252525</x:v>
      </x:c>
      <x:c r="G176" s="11" t="str">
        <x:f>'Cumulative'!A147</x:f>
        <x:v>146</x:v>
      </x:c>
      <x:c r="H176" s="11" t="str">
        <x:f>'Cumulative'!C147</x:f>
        <x:v>-12.112240956412691</x:v>
      </x:c>
      <x:c r="I176" s="87"/>
      <x:c r="J176" s="11" t="str">
        <x:f>'Cumulative'!A147</x:f>
        <x:v>146</x:v>
      </x:c>
      <x:c r="K176" s="11" t="str">
        <x:f>'Cumulative'!D147</x:f>
        <x:v>-6.291047146715842</x:v>
      </x:c>
      <x:c r="L176" s="11" t="str">
        <x:f>'Cumulative'!E147</x:f>
        <x:v>-19.56941753252525</x:v>
      </x:c>
    </x:row>
    <x:row r="177">
      <x:c r="A177" s="11" t="str">
        <x:f>'Cumulative'!A148</x:f>
        <x:v>147</x:v>
      </x:c>
      <x:c r="B177" s="11" t="str">
        <x:f>'Cumulative'!B148</x:f>
      </x:c>
      <x:c r="C177" s="11" t="str">
        <x:f>'Cumulative'!C148</x:f>
        <x:v>-12.10060647135279</x:v>
      </x:c>
      <x:c r="D177" s="11" t="str">
        <x:f>'Cumulative'!D148</x:f>
        <x:v>-7.3118018256402015</x:v>
      </x:c>
      <x:c r="E177" s="11" t="str">
        <x:f>'Cumulative'!E148</x:f>
        <x:v>-18.747698993319027</x:v>
      </x:c>
      <x:c r="G177" s="11" t="str">
        <x:f>'Cumulative'!A148</x:f>
        <x:v>147</x:v>
      </x:c>
      <x:c r="H177" s="11" t="str">
        <x:f>'Cumulative'!C148</x:f>
        <x:v>-12.10060647135279</x:v>
      </x:c>
      <x:c r="I177" s="87"/>
      <x:c r="J177" s="11" t="str">
        <x:f>'Cumulative'!A148</x:f>
        <x:v>147</x:v>
      </x:c>
      <x:c r="K177" s="11" t="str">
        <x:f>'Cumulative'!D148</x:f>
        <x:v>-7.3118018256402015</x:v>
      </x:c>
      <x:c r="L177" s="11" t="str">
        <x:f>'Cumulative'!E148</x:f>
        <x:v>-18.747698993319027</x:v>
      </x:c>
    </x:row>
    <x:row r="178">
      <x:c r="A178" s="11" t="str">
        <x:f>'Cumulative'!A149</x:f>
        <x:v>148</x:v>
      </x:c>
      <x:c r="B178" s="11" t="str">
        <x:f>'Cumulative'!B149</x:f>
      </x:c>
      <x:c r="C178" s="11" t="str">
        <x:f>'Cumulative'!C149</x:f>
        <x:v>-10.147756157605198</x:v>
      </x:c>
      <x:c r="D178" s="11" t="str">
        <x:f>'Cumulative'!D149</x:f>
        <x:v>-7.888532572443976</x:v>
      </x:c>
      <x:c r="E178" s="11" t="str">
        <x:f>'Cumulative'!E149</x:f>
        <x:v>-19.758568243194674</x:v>
      </x:c>
      <x:c r="G178" s="11" t="str">
        <x:f>'Cumulative'!A149</x:f>
        <x:v>148</x:v>
      </x:c>
      <x:c r="H178" s="11" t="str">
        <x:f>'Cumulative'!C149</x:f>
        <x:v>-10.147756157605198</x:v>
      </x:c>
      <x:c r="I178" s="87"/>
      <x:c r="J178" s="11" t="str">
        <x:f>'Cumulative'!A149</x:f>
        <x:v>148</x:v>
      </x:c>
      <x:c r="K178" s="11" t="str">
        <x:f>'Cumulative'!D149</x:f>
        <x:v>-7.888532572443976</x:v>
      </x:c>
      <x:c r="L178" s="11" t="str">
        <x:f>'Cumulative'!E149</x:f>
        <x:v>-19.758568243194674</x:v>
      </x:c>
    </x:row>
    <x:row r="179">
      <x:c r="A179" s="11" t="str">
        <x:f>'Cumulative'!A150</x:f>
        <x:v>149</x:v>
      </x:c>
      <x:c r="B179" s="11" t="str">
        <x:f>'Cumulative'!B150</x:f>
      </x:c>
      <x:c r="C179" s="11" t="str">
        <x:f>'Cumulative'!C150</x:f>
        <x:v>-11.178732943159508</x:v>
      </x:c>
      <x:c r="D179" s="11" t="str">
        <x:f>'Cumulative'!D150</x:f>
        <x:v>-7.580091510442478</x:v>
      </x:c>
      <x:c r="E179" s="11" t="str">
        <x:f>'Cumulative'!E150</x:f>
        <x:v>-20.78683061956085</x:v>
      </x:c>
      <x:c r="G179" s="11" t="str">
        <x:f>'Cumulative'!A150</x:f>
        <x:v>149</x:v>
      </x:c>
      <x:c r="H179" s="11" t="str">
        <x:f>'Cumulative'!C150</x:f>
        <x:v>-11.178732943159508</x:v>
      </x:c>
      <x:c r="I179" s="87"/>
      <x:c r="J179" s="11" t="str">
        <x:f>'Cumulative'!A150</x:f>
        <x:v>149</x:v>
      </x:c>
      <x:c r="K179" s="11" t="str">
        <x:f>'Cumulative'!D150</x:f>
        <x:v>-7.580091510442478</x:v>
      </x:c>
      <x:c r="L179" s="11" t="str">
        <x:f>'Cumulative'!E150</x:f>
        <x:v>-20.78683061956085</x:v>
      </x:c>
    </x:row>
    <x:row r="180">
      <x:c r="A180" s="11" t="str">
        <x:f>'Cumulative'!A151</x:f>
        <x:v>150</x:v>
      </x:c>
      <x:c r="B180" s="11" t="str">
        <x:f>'Cumulative'!B151</x:f>
      </x:c>
      <x:c r="C180" s="11" t="str">
        <x:f>'Cumulative'!C151</x:f>
        <x:v>-11.239886161147247</x:v>
      </x:c>
      <x:c r="D180" s="11" t="str">
        <x:f>'Cumulative'!D151</x:f>
        <x:v>-7.078514252141375</x:v>
      </x:c>
      <x:c r="E180" s="11" t="str">
        <x:f>'Cumulative'!E151</x:f>
        <x:v>-21.034769611614447</x:v>
      </x:c>
      <x:c r="G180" s="11" t="str">
        <x:f>'Cumulative'!A151</x:f>
        <x:v>150</x:v>
      </x:c>
      <x:c r="H180" s="11" t="str">
        <x:f>'Cumulative'!C151</x:f>
        <x:v>-11.239886161147247</x:v>
      </x:c>
      <x:c r="I180" s="87"/>
      <x:c r="J180" s="11" t="str">
        <x:f>'Cumulative'!A151</x:f>
        <x:v>150</x:v>
      </x:c>
      <x:c r="K180" s="11" t="str">
        <x:f>'Cumulative'!D151</x:f>
        <x:v>-7.078514252141375</x:v>
      </x:c>
      <x:c r="L180" s="11" t="str">
        <x:f>'Cumulative'!E151</x:f>
        <x:v>-21.034769611614447</x:v>
      </x:c>
    </x:row>
    <x:row r="181">
      <x:c r="A181" s="11" t="str">
        <x:f>'Cumulative'!A152</x:f>
        <x:v>151</x:v>
      </x:c>
      <x:c r="B181" s="11" t="str">
        <x:f>'Cumulative'!B152</x:f>
      </x:c>
      <x:c r="C181" s="11" t="str">
        <x:f>'Cumulative'!C152</x:f>
        <x:v>-9.841506476562992</x:v>
      </x:c>
      <x:c r="D181" s="11" t="str">
        <x:f>'Cumulative'!D152</x:f>
        <x:v>-7.228515946772276</x:v>
      </x:c>
      <x:c r="E181" s="11" t="str">
        <x:f>'Cumulative'!E152</x:f>
        <x:v>-22.106991374490406</x:v>
      </x:c>
      <x:c r="G181" s="11" t="str">
        <x:f>'Cumulative'!A152</x:f>
        <x:v>151</x:v>
      </x:c>
      <x:c r="H181" s="11" t="str">
        <x:f>'Cumulative'!C152</x:f>
        <x:v>-9.841506476562992</x:v>
      </x:c>
      <x:c r="I181" s="87"/>
      <x:c r="J181" s="11" t="str">
        <x:f>'Cumulative'!A152</x:f>
        <x:v>151</x:v>
      </x:c>
      <x:c r="K181" s="11" t="str">
        <x:f>'Cumulative'!D152</x:f>
        <x:v>-7.228515946772276</x:v>
      </x:c>
      <x:c r="L181" s="11" t="str">
        <x:f>'Cumulative'!E152</x:f>
        <x:v>-22.106991374490406</x:v>
      </x:c>
    </x:row>
    <x:row r="182">
      <x:c r="A182" s="11" t="str">
        <x:f>'Cumulative'!A153</x:f>
        <x:v>152</x:v>
      </x:c>
      <x:c r="B182" s="11" t="str">
        <x:f>'Cumulative'!B153</x:f>
      </x:c>
      <x:c r="C182" s="11" t="str">
        <x:f>'Cumulative'!C153</x:f>
        <x:v>-10.893127251306966</x:v>
      </x:c>
      <x:c r="D182" s="11" t="str">
        <x:f>'Cumulative'!D153</x:f>
        <x:v>-8.26072328327983</x:v>
      </x:c>
      <x:c r="E182" s="11" t="str">
        <x:f>'Cumulative'!E153</x:f>
        <x:v>-23.159972831018283</x:v>
      </x:c>
      <x:c r="G182" s="11" t="str">
        <x:f>'Cumulative'!A153</x:f>
        <x:v>152</x:v>
      </x:c>
      <x:c r="H182" s="11" t="str">
        <x:f>'Cumulative'!C153</x:f>
        <x:v>-10.893127251306966</x:v>
      </x:c>
      <x:c r="I182" s="87"/>
      <x:c r="J182" s="11" t="str">
        <x:f>'Cumulative'!A153</x:f>
        <x:v>152</x:v>
      </x:c>
      <x:c r="K182" s="11" t="str">
        <x:f>'Cumulative'!D153</x:f>
        <x:v>-8.26072328327983</x:v>
      </x:c>
      <x:c r="L182" s="11" t="str">
        <x:f>'Cumulative'!E153</x:f>
        <x:v>-23.159972831018283</x:v>
      </x:c>
    </x:row>
    <x:row r="183">
      <x:c r="A183" s="11" t="str">
        <x:f>'Cumulative'!A154</x:f>
        <x:v>153</x:v>
      </x:c>
      <x:c r="B183" s="11" t="str">
        <x:f>'Cumulative'!B154</x:f>
      </x:c>
      <x:c r="C183" s="11" t="str">
        <x:f>'Cumulative'!C154</x:f>
        <x:v>-11.921287295387371</x:v>
      </x:c>
      <x:c r="D183" s="11" t="str">
        <x:f>'Cumulative'!D154</x:f>
        <x:v>-7.327350302262445</x:v>
      </x:c>
      <x:c r="E183" s="11" t="str">
        <x:f>'Cumulative'!E154</x:f>
        <x:v>-21.19128021103088</x:v>
      </x:c>
      <x:c r="G183" s="11" t="str">
        <x:f>'Cumulative'!A154</x:f>
        <x:v>153</x:v>
      </x:c>
      <x:c r="H183" s="11" t="str">
        <x:f>'Cumulative'!C154</x:f>
        <x:v>-11.921287295387371</x:v>
      </x:c>
      <x:c r="I183" s="87"/>
      <x:c r="J183" s="11" t="str">
        <x:f>'Cumulative'!A154</x:f>
        <x:v>153</x:v>
      </x:c>
      <x:c r="K183" s="11" t="str">
        <x:f>'Cumulative'!D154</x:f>
        <x:v>-7.327350302262445</x:v>
      </x:c>
      <x:c r="L183" s="11" t="str">
        <x:f>'Cumulative'!E154</x:f>
        <x:v>-21.19128021103088</x:v>
      </x:c>
    </x:row>
    <x:row r="184">
      <x:c r="A184" s="11" t="str">
        <x:f>'Cumulative'!A155</x:f>
        <x:v>154</x:v>
      </x:c>
      <x:c r="B184" s="11" t="str">
        <x:f>'Cumulative'!B155</x:f>
      </x:c>
      <x:c r="C184" s="11" t="str">
        <x:f>'Cumulative'!C155</x:f>
        <x:v>-11.80327189684689</x:v>
      </x:c>
      <x:c r="D184" s="11" t="str">
        <x:f>'Cumulative'!D155</x:f>
        <x:v>-5.379811747286945</x:v>
      </x:c>
      <x:c r="E184" s="11" t="str">
        <x:f>'Cumulative'!E155</x:f>
        <x:v>-22.212650731001204</x:v>
      </x:c>
      <x:c r="G184" s="11" t="str">
        <x:f>'Cumulative'!A155</x:f>
        <x:v>154</x:v>
      </x:c>
      <x:c r="H184" s="11" t="str">
        <x:f>'Cumulative'!C155</x:f>
        <x:v>-11.80327189684689</x:v>
      </x:c>
      <x:c r="I184" s="87"/>
      <x:c r="J184" s="11" t="str">
        <x:f>'Cumulative'!A155</x:f>
        <x:v>154</x:v>
      </x:c>
      <x:c r="K184" s="11" t="str">
        <x:f>'Cumulative'!D155</x:f>
        <x:v>-5.379811747286945</x:v>
      </x:c>
      <x:c r="L184" s="11" t="str">
        <x:f>'Cumulative'!E155</x:f>
        <x:v>-22.212650731001204</x:v>
      </x:c>
    </x:row>
    <x:row r="185">
      <x:c r="A185" s="11" t="str">
        <x:f>'Cumulative'!A156</x:f>
        <x:v>155</x:v>
      </x:c>
      <x:c r="B185" s="11" t="str">
        <x:f>'Cumulative'!B156</x:f>
      </x:c>
      <x:c r="C185" s="11" t="str">
        <x:f>'Cumulative'!C156</x:f>
        <x:v>-12.898364512207285</x:v>
      </x:c>
      <x:c r="D185" s="11" t="str">
        <x:f>'Cumulative'!D156</x:f>
        <x:v>-6.399497555734564</x:v>
      </x:c>
      <x:c r="E185" s="11" t="str">
        <x:f>'Cumulative'!E156</x:f>
        <x:v>-23.238145045054743</x:v>
      </x:c>
      <x:c r="G185" s="11" t="str">
        <x:f>'Cumulative'!A156</x:f>
        <x:v>155</x:v>
      </x:c>
      <x:c r="H185" s="11" t="str">
        <x:f>'Cumulative'!C156</x:f>
        <x:v>-12.898364512207285</x:v>
      </x:c>
      <x:c r="I185" s="87"/>
      <x:c r="J185" s="11" t="str">
        <x:f>'Cumulative'!A156</x:f>
        <x:v>155</x:v>
      </x:c>
      <x:c r="K185" s="11" t="str">
        <x:f>'Cumulative'!D156</x:f>
        <x:v>-6.399497555734564</x:v>
      </x:c>
      <x:c r="L185" s="11" t="str">
        <x:f>'Cumulative'!E156</x:f>
        <x:v>-23.238145045054743</x:v>
      </x:c>
    </x:row>
    <x:row r="186">
      <x:c r="A186" s="11" t="str">
        <x:f>'Cumulative'!A157</x:f>
        <x:v>156</x:v>
      </x:c>
      <x:c r="B186" s="11" t="str">
        <x:f>'Cumulative'!B157</x:f>
      </x:c>
      <x:c r="C186" s="11" t="str">
        <x:f>'Cumulative'!C157</x:f>
        <x:v>-13.513847893589652</x:v>
      </x:c>
      <x:c r="D186" s="11" t="str">
        <x:f>'Cumulative'!D157</x:f>
        <x:v>-7.461379594865411</x:v>
      </x:c>
      <x:c r="E186" s="11" t="str">
        <x:f>'Cumulative'!E157</x:f>
        <x:v>-21.24582676655866</x:v>
      </x:c>
      <x:c r="G186" s="11" t="str">
        <x:f>'Cumulative'!A157</x:f>
        <x:v>156</x:v>
      </x:c>
      <x:c r="H186" s="11" t="str">
        <x:f>'Cumulative'!C157</x:f>
        <x:v>-13.513847893589652</x:v>
      </x:c>
      <x:c r="I186" s="87"/>
      <x:c r="J186" s="11" t="str">
        <x:f>'Cumulative'!A157</x:f>
        <x:v>156</x:v>
      </x:c>
      <x:c r="K186" s="11" t="str">
        <x:f>'Cumulative'!D157</x:f>
        <x:v>-7.461379594865411</x:v>
      </x:c>
      <x:c r="L186" s="11" t="str">
        <x:f>'Cumulative'!E157</x:f>
        <x:v>-21.24582676655866</x:v>
      </x:c>
    </x:row>
    <x:row r="187">
      <x:c r="A187" s="11" t="str">
        <x:f>'Cumulative'!A158</x:f>
        <x:v>157</x:v>
      </x:c>
      <x:c r="B187" s="11" t="str">
        <x:f>'Cumulative'!B158</x:f>
      </x:c>
      <x:c r="C187" s="11" t="str">
        <x:f>'Cumulative'!C158</x:f>
        <x:v>-14.581239573431056</x:v>
      </x:c>
      <x:c r="D187" s="11" t="str">
        <x:f>'Cumulative'!D158</x:f>
        <x:v>-8.470372049644869</x:v>
      </x:c>
      <x:c r="E187" s="11" t="str">
        <x:f>'Cumulative'!E158</x:f>
        <x:v>-22.253471187788158</x:v>
      </x:c>
      <x:c r="G187" s="11" t="str">
        <x:f>'Cumulative'!A158</x:f>
        <x:v>157</x:v>
      </x:c>
      <x:c r="H187" s="11" t="str">
        <x:f>'Cumulative'!C158</x:f>
        <x:v>-14.581239573431056</x:v>
      </x:c>
      <x:c r="I187" s="87"/>
      <x:c r="J187" s="11" t="str">
        <x:f>'Cumulative'!A158</x:f>
        <x:v>157</x:v>
      </x:c>
      <x:c r="K187" s="11" t="str">
        <x:f>'Cumulative'!D158</x:f>
        <x:v>-8.470372049644869</x:v>
      </x:c>
      <x:c r="L187" s="11" t="str">
        <x:f>'Cumulative'!E158</x:f>
        <x:v>-22.253471187788158</x:v>
      </x:c>
    </x:row>
    <x:row r="188">
      <x:c r="A188" s="11" t="str">
        <x:f>'Cumulative'!A159</x:f>
        <x:v>158</x:v>
      </x:c>
      <x:c r="B188" s="11" t="str">
        <x:f>'Cumulative'!B159</x:f>
      </x:c>
      <x:c r="C188" s="11" t="str">
        <x:f>'Cumulative'!C159</x:f>
        <x:v>-15.72200359006881</x:v>
      </x:c>
      <x:c r="D188" s="11" t="str">
        <x:f>'Cumulative'!D159</x:f>
        <x:v>-8.462273095381393</x:v>
      </x:c>
      <x:c r="E188" s="11" t="str">
        <x:f>'Cumulative'!E159</x:f>
        <x:v>-22.03380077574388</x:v>
      </x:c>
      <x:c r="G188" s="11" t="str">
        <x:f>'Cumulative'!A159</x:f>
        <x:v>158</x:v>
      </x:c>
      <x:c r="H188" s="11" t="str">
        <x:f>'Cumulative'!C159</x:f>
        <x:v>-15.72200359006881</x:v>
      </x:c>
      <x:c r="I188" s="87"/>
      <x:c r="J188" s="11" t="str">
        <x:f>'Cumulative'!A159</x:f>
        <x:v>158</x:v>
      </x:c>
      <x:c r="K188" s="11" t="str">
        <x:f>'Cumulative'!D159</x:f>
        <x:v>-8.462273095381393</x:v>
      </x:c>
      <x:c r="L188" s="11" t="str">
        <x:f>'Cumulative'!E159</x:f>
        <x:v>-22.03380077574388</x:v>
      </x:c>
    </x:row>
    <x:row r="189">
      <x:c r="A189" s="11" t="str">
        <x:f>'Cumulative'!A160</x:f>
        <x:v>159</x:v>
      </x:c>
      <x:c r="B189" s="11" t="str">
        <x:f>'Cumulative'!B160</x:f>
      </x:c>
      <x:c r="C189" s="11" t="str">
        <x:f>'Cumulative'!C160</x:f>
        <x:v>-16.808113429804738</x:v>
      </x:c>
      <x:c r="D189" s="11" t="str">
        <x:f>'Cumulative'!D160</x:f>
        <x:v>-7.922220172467801</x:v>
      </x:c>
      <x:c r="E189" s="11" t="str">
        <x:f>'Cumulative'!E160</x:f>
        <x:v>-20.071107091972106</x:v>
      </x:c>
      <x:c r="G189" s="11" t="str">
        <x:f>'Cumulative'!A160</x:f>
        <x:v>159</x:v>
      </x:c>
      <x:c r="H189" s="11" t="str">
        <x:f>'Cumulative'!C160</x:f>
        <x:v>-16.808113429804738</x:v>
      </x:c>
      <x:c r="I189" s="87"/>
      <x:c r="J189" s="11" t="str">
        <x:f>'Cumulative'!A160</x:f>
        <x:v>159</x:v>
      </x:c>
      <x:c r="K189" s="11" t="str">
        <x:f>'Cumulative'!D160</x:f>
        <x:v>-7.922220172467801</x:v>
      </x:c>
      <x:c r="L189" s="11" t="str">
        <x:f>'Cumulative'!E160</x:f>
        <x:v>-20.071107091972106</x:v>
      </x:c>
    </x:row>
    <x:row r="190">
      <x:c r="A190" s="11" t="str">
        <x:f>'Cumulative'!A161</x:f>
        <x:v>160</x:v>
      </x:c>
      <x:c r="B190" s="11" t="str">
        <x:f>'Cumulative'!B161</x:f>
      </x:c>
      <x:c r="C190" s="11" t="str">
        <x:f>'Cumulative'!C161</x:f>
        <x:v>-17.842149659191577</x:v>
      </x:c>
      <x:c r="D190" s="11" t="str">
        <x:f>'Cumulative'!D161</x:f>
        <x:v>-7.556677954365859</x:v>
      </x:c>
      <x:c r="E190" s="11" t="str">
        <x:f>'Cumulative'!E161</x:f>
        <x:v>-18.575176962743726</x:v>
      </x:c>
      <x:c r="G190" s="11" t="str">
        <x:f>'Cumulative'!A161</x:f>
        <x:v>160</x:v>
      </x:c>
      <x:c r="H190" s="11" t="str">
        <x:f>'Cumulative'!C161</x:f>
        <x:v>-17.842149659191577</x:v>
      </x:c>
      <x:c r="I190" s="87"/>
      <x:c r="J190" s="11" t="str">
        <x:f>'Cumulative'!A161</x:f>
        <x:v>160</x:v>
      </x:c>
      <x:c r="K190" s="11" t="str">
        <x:f>'Cumulative'!D161</x:f>
        <x:v>-7.556677954365859</x:v>
      </x:c>
      <x:c r="L190" s="11" t="str">
        <x:f>'Cumulative'!E161</x:f>
        <x:v>-18.575176962743726</x:v>
      </x:c>
    </x:row>
    <x:row r="191">
      <x:c r="A191" s="11" t="str">
        <x:f>'Cumulative'!A162</x:f>
        <x:v>161</x:v>
      </x:c>
      <x:c r="B191" s="11" t="str">
        <x:f>'Cumulative'!B162</x:f>
      </x:c>
      <x:c r="C191" s="11" t="str">
        <x:f>'Cumulative'!C162</x:f>
        <x:v>-18.876106120161943</x:v>
      </x:c>
      <x:c r="D191" s="11" t="str">
        <x:f>'Cumulative'!D162</x:f>
        <x:v>-7.997387674466292</x:v>
      </x:c>
      <x:c r="E191" s="11" t="str">
        <x:f>'Cumulative'!E162</x:f>
        <x:v>-17.813066190233624</x:v>
      </x:c>
      <x:c r="G191" s="11" t="str">
        <x:f>'Cumulative'!A162</x:f>
        <x:v>161</x:v>
      </x:c>
      <x:c r="H191" s="11" t="str">
        <x:f>'Cumulative'!C162</x:f>
        <x:v>-18.876106120161943</x:v>
      </x:c>
      <x:c r="I191" s="87"/>
      <x:c r="J191" s="11" t="str">
        <x:f>'Cumulative'!A162</x:f>
        <x:v>161</x:v>
      </x:c>
      <x:c r="K191" s="11" t="str">
        <x:f>'Cumulative'!D162</x:f>
        <x:v>-7.997387674466292</x:v>
      </x:c>
      <x:c r="L191" s="11" t="str">
        <x:f>'Cumulative'!E162</x:f>
        <x:v>-17.813066190233624</x:v>
      </x:c>
    </x:row>
    <x:row r="192">
      <x:c r="A192" s="11" t="str">
        <x:f>'Cumulative'!A163</x:f>
        <x:v>162</x:v>
      </x:c>
      <x:c r="B192" s="11" t="str">
        <x:f>'Cumulative'!B163</x:f>
      </x:c>
      <x:c r="C192" s="11" t="str">
        <x:f>'Cumulative'!C163</x:f>
        <x:v>-19.414148371627554</x:v>
      </x:c>
      <x:c r="D192" s="11" t="str">
        <x:f>'Cumulative'!D163</x:f>
        <x:v>-7.279351251336413</x:v>
      </x:c>
      <x:c r="E192" s="11" t="str">
        <x:f>'Cumulative'!E163</x:f>
        <x:v>-18.861865784478535</x:v>
      </x:c>
      <x:c r="G192" s="11" t="str">
        <x:f>'Cumulative'!A163</x:f>
        <x:v>162</x:v>
      </x:c>
      <x:c r="H192" s="11" t="str">
        <x:f>'Cumulative'!C163</x:f>
        <x:v>-19.414148371627554</x:v>
      </x:c>
      <x:c r="I192" s="87"/>
      <x:c r="J192" s="11" t="str">
        <x:f>'Cumulative'!A163</x:f>
        <x:v>162</x:v>
      </x:c>
      <x:c r="K192" s="11" t="str">
        <x:f>'Cumulative'!D163</x:f>
        <x:v>-7.279351251336413</x:v>
      </x:c>
      <x:c r="L192" s="11" t="str">
        <x:f>'Cumulative'!E163</x:f>
        <x:v>-18.861865784478535</x:v>
      </x:c>
    </x:row>
    <x:row r="193">
      <x:c r="A193" s="11" t="str">
        <x:f>'Cumulative'!A164</x:f>
        <x:v>163</x:v>
      </x:c>
      <x:c r="B193" s="11" t="str">
        <x:f>'Cumulative'!B164</x:f>
      </x:c>
      <x:c r="C193" s="11" t="str">
        <x:f>'Cumulative'!C164</x:f>
        <x:v>-17.445954804577223</x:v>
      </x:c>
      <x:c r="D193" s="11" t="str">
        <x:f>'Cumulative'!D164</x:f>
        <x:v>-5.294876120723304</x:v>
      </x:c>
      <x:c r="E193" s="11" t="str">
        <x:f>'Cumulative'!E164</x:f>
        <x:v>-16.938203525006397</x:v>
      </x:c>
      <x:c r="G193" s="11" t="str">
        <x:f>'Cumulative'!A164</x:f>
        <x:v>163</x:v>
      </x:c>
      <x:c r="H193" s="11" t="str">
        <x:f>'Cumulative'!C164</x:f>
        <x:v>-17.445954804577223</x:v>
      </x:c>
      <x:c r="I193" s="87"/>
      <x:c r="J193" s="11" t="str">
        <x:f>'Cumulative'!A164</x:f>
        <x:v>163</x:v>
      </x:c>
      <x:c r="K193" s="11" t="str">
        <x:f>'Cumulative'!D164</x:f>
        <x:v>-5.294876120723304</x:v>
      </x:c>
      <x:c r="L193" s="11" t="str">
        <x:f>'Cumulative'!E164</x:f>
        <x:v>-16.938203525006397</x:v>
      </x:c>
    </x:row>
    <x:row r="194">
      <x:c r="A194" s="11" t="str">
        <x:f>'Cumulative'!A165</x:f>
        <x:v>164</x:v>
      </x:c>
      <x:c r="B194" s="11" t="str">
        <x:f>'Cumulative'!B165</x:f>
      </x:c>
      <x:c r="C194" s="11" t="str">
        <x:f>'Cumulative'!C165</x:f>
        <x:v>-18.470414784683733</x:v>
      </x:c>
      <x:c r="D194" s="11" t="str">
        <x:f>'Cumulative'!D165</x:f>
        <x:v>-6.353060677111643</x:v>
      </x:c>
      <x:c r="E194" s="11" t="str">
        <x:f>'Cumulative'!E165</x:f>
        <x:v>-17.955627207080138</x:v>
      </x:c>
      <x:c r="G194" s="11" t="str">
        <x:f>'Cumulative'!A165</x:f>
        <x:v>164</x:v>
      </x:c>
      <x:c r="H194" s="11" t="str">
        <x:f>'Cumulative'!C165</x:f>
        <x:v>-18.470414784683733</x:v>
      </x:c>
      <x:c r="I194" s="87"/>
      <x:c r="J194" s="11" t="str">
        <x:f>'Cumulative'!A165</x:f>
        <x:v>164</x:v>
      </x:c>
      <x:c r="K194" s="11" t="str">
        <x:f>'Cumulative'!D165</x:f>
        <x:v>-6.353060677111643</x:v>
      </x:c>
      <x:c r="L194" s="11" t="str">
        <x:f>'Cumulative'!E165</x:f>
        <x:v>-17.955627207080138</x:v>
      </x:c>
    </x:row>
    <x:row r="195">
      <x:c r="A195" s="11" t="str">
        <x:f>'Cumulative'!A166</x:f>
        <x:v>165</x:v>
      </x:c>
      <x:c r="B195" s="11" t="str">
        <x:f>'Cumulative'!B166</x:f>
      </x:c>
      <x:c r="C195" s="11" t="str">
        <x:f>'Cumulative'!C166</x:f>
        <x:v>-16.481931489882346</x:v>
      </x:c>
      <x:c r="D195" s="11" t="str">
        <x:f>'Cumulative'!D166</x:f>
        <x:v>-4.390167831734003</x:v>
      </x:c>
      <x:c r="E195" s="11" t="str">
        <x:f>'Cumulative'!E166</x:f>
        <x:v>-15.966279907625985</x:v>
      </x:c>
      <x:c r="G195" s="11" t="str">
        <x:f>'Cumulative'!A166</x:f>
        <x:v>165</x:v>
      </x:c>
      <x:c r="H195" s="11" t="str">
        <x:f>'Cumulative'!C166</x:f>
        <x:v>-16.481931489882346</x:v>
      </x:c>
      <x:c r="I195" s="87"/>
      <x:c r="J195" s="11" t="str">
        <x:f>'Cumulative'!A166</x:f>
        <x:v>165</x:v>
      </x:c>
      <x:c r="K195" s="11" t="str">
        <x:f>'Cumulative'!D166</x:f>
        <x:v>-4.390167831734003</x:v>
      </x:c>
      <x:c r="L195" s="11" t="str">
        <x:f>'Cumulative'!E166</x:f>
        <x:v>-15.966279907625985</x:v>
      </x:c>
    </x:row>
    <x:row r="196">
      <x:c r="A196" s="11" t="str">
        <x:f>'Cumulative'!A167</x:f>
        <x:v>166</x:v>
      </x:c>
      <x:c r="B196" s="11" t="str">
        <x:f>'Cumulative'!B167</x:f>
      </x:c>
      <x:c r="C196" s="11" t="str">
        <x:f>'Cumulative'!C167</x:f>
        <x:v>-17.495899659858086</x:v>
      </x:c>
      <x:c r="D196" s="11" t="str">
        <x:f>'Cumulative'!D167</x:f>
        <x:v>-4.22373075238576</x:v>
      </x:c>
      <x:c r="E196" s="11" t="str">
        <x:f>'Cumulative'!E167</x:f>
        <x:v>-16.98497008179399</x:v>
      </x:c>
      <x:c r="G196" s="11" t="str">
        <x:f>'Cumulative'!A167</x:f>
        <x:v>166</x:v>
      </x:c>
      <x:c r="H196" s="11" t="str">
        <x:f>'Cumulative'!C167</x:f>
        <x:v>-17.495899659858086</x:v>
      </x:c>
      <x:c r="I196" s="87"/>
      <x:c r="J196" s="11" t="str">
        <x:f>'Cumulative'!A167</x:f>
        <x:v>166</x:v>
      </x:c>
      <x:c r="K196" s="11" t="str">
        <x:f>'Cumulative'!D167</x:f>
        <x:v>-4.22373075238576</x:v>
      </x:c>
      <x:c r="L196" s="11" t="str">
        <x:f>'Cumulative'!E167</x:f>
        <x:v>-16.98497008179399</x:v>
      </x:c>
    </x:row>
    <x:row r="197">
      <x:c r="A197" s="11" t="str">
        <x:f>'Cumulative'!A168</x:f>
        <x:v>167</x:v>
      </x:c>
      <x:c r="B197" s="11" t="str">
        <x:f>'Cumulative'!B168</x:f>
      </x:c>
      <x:c r="C197" s="11" t="str">
        <x:f>'Cumulative'!C168</x:f>
        <x:v>-18.509941050876773</x:v>
      </x:c>
      <x:c r="D197" s="11" t="str">
        <x:f>'Cumulative'!D168</x:f>
        <x:v>-5.246113845303979</x:v>
      </x:c>
      <x:c r="E197" s="11" t="str">
        <x:f>'Cumulative'!E168</x:f>
        <x:v>-15.002901859404348</x:v>
      </x:c>
      <x:c r="G197" s="11" t="str">
        <x:f>'Cumulative'!A168</x:f>
        <x:v>167</x:v>
      </x:c>
      <x:c r="H197" s="11" t="str">
        <x:f>'Cumulative'!C168</x:f>
        <x:v>-18.509941050876773</x:v>
      </x:c>
      <x:c r="I197" s="87"/>
      <x:c r="J197" s="11" t="str">
        <x:f>'Cumulative'!A168</x:f>
        <x:v>167</x:v>
      </x:c>
      <x:c r="K197" s="11" t="str">
        <x:f>'Cumulative'!D168</x:f>
        <x:v>-5.246113845303979</x:v>
      </x:c>
      <x:c r="L197" s="11" t="str">
        <x:f>'Cumulative'!E168</x:f>
        <x:v>-15.002901859404348</x:v>
      </x:c>
    </x:row>
    <x:row r="198">
      <x:c r="A198" s="11" t="str">
        <x:f>'Cumulative'!A169</x:f>
        <x:v>168</x:v>
      </x:c>
      <x:c r="B198" s="11" t="str">
        <x:f>'Cumulative'!B169</x:f>
      </x:c>
      <x:c r="C198" s="11" t="str">
        <x:f>'Cumulative'!C169</x:f>
        <x:v>-19.525990899040835</x:v>
      </x:c>
      <x:c r="D198" s="11" t="str">
        <x:f>'Cumulative'!D169</x:f>
        <x:v>-3.2677028280383498</x:v>
      </x:c>
      <x:c r="E198" s="11" t="str">
        <x:f>'Cumulative'!E169</x:f>
        <x:v>-16.025244751313977</x:v>
      </x:c>
      <x:c r="G198" s="11" t="str">
        <x:f>'Cumulative'!A169</x:f>
        <x:v>168</x:v>
      </x:c>
      <x:c r="H198" s="11" t="str">
        <x:f>'Cumulative'!C169</x:f>
        <x:v>-19.525990899040835</x:v>
      </x:c>
      <x:c r="I198" s="87"/>
      <x:c r="J198" s="11" t="str">
        <x:f>'Cumulative'!A169</x:f>
        <x:v>168</x:v>
      </x:c>
      <x:c r="K198" s="11" t="str">
        <x:f>'Cumulative'!D169</x:f>
        <x:v>-3.2677028280383498</x:v>
      </x:c>
      <x:c r="L198" s="11" t="str">
        <x:f>'Cumulative'!E169</x:f>
        <x:v>-16.025244751313977</x:v>
      </x:c>
    </x:row>
    <x:row r="199">
      <x:c r="A199" s="11" t="str">
        <x:f>'Cumulative'!A170</x:f>
        <x:v>169</x:v>
      </x:c>
      <x:c r="B199" s="11" t="str">
        <x:f>'Cumulative'!B170</x:f>
      </x:c>
      <x:c r="C199" s="11" t="str">
        <x:f>'Cumulative'!C170</x:f>
        <x:v>-20.102047567266673</x:v>
      </x:c>
      <x:c r="D199" s="11" t="str">
        <x:f>'Cumulative'!D170</x:f>
        <x:v>-1.9938032625596924</x:v>
      </x:c>
      <x:c r="E199" s="11" t="str">
        <x:f>'Cumulative'!E170</x:f>
        <x:v>-17.045326610677417</x:v>
      </x:c>
      <x:c r="G199" s="11" t="str">
        <x:f>'Cumulative'!A170</x:f>
        <x:v>169</x:v>
      </x:c>
      <x:c r="H199" s="11" t="str">
        <x:f>'Cumulative'!C170</x:f>
        <x:v>-20.102047567266673</x:v>
      </x:c>
      <x:c r="I199" s="87"/>
      <x:c r="J199" s="11" t="str">
        <x:f>'Cumulative'!A170</x:f>
        <x:v>169</x:v>
      </x:c>
      <x:c r="K199" s="11" t="str">
        <x:f>'Cumulative'!D170</x:f>
        <x:v>-1.9938032625596924</x:v>
      </x:c>
      <x:c r="L199" s="11" t="str">
        <x:f>'Cumulative'!E170</x:f>
        <x:v>-17.045326610677417</x:v>
      </x:c>
    </x:row>
    <x:row r="200">
      <x:c r="A200" s="11" t="str">
        <x:f>'Cumulative'!A171</x:f>
        <x:v>170</x:v>
      </x:c>
      <x:c r="B200" s="11" t="str">
        <x:f>'Cumulative'!B171</x:f>
      </x:c>
      <x:c r="C200" s="11" t="str">
        <x:f>'Cumulative'!C171</x:f>
        <x:v>-20.337660552636542</x:v>
      </x:c>
      <x:c r="D200" s="11" t="str">
        <x:f>'Cumulative'!D171</x:f>
        <x:v>-3.048700714251571</x:v>
      </x:c>
      <x:c r="E200" s="11" t="str">
        <x:f>'Cumulative'!E171</x:f>
        <x:v>-18.053695462061526</x:v>
      </x:c>
      <x:c r="G200" s="11" t="str">
        <x:f>'Cumulative'!A171</x:f>
        <x:v>170</x:v>
      </x:c>
      <x:c r="H200" s="11" t="str">
        <x:f>'Cumulative'!C171</x:f>
        <x:v>-20.337660552636542</x:v>
      </x:c>
      <x:c r="I200" s="87"/>
      <x:c r="J200" s="11" t="str">
        <x:f>'Cumulative'!A171</x:f>
        <x:v>170</x:v>
      </x:c>
      <x:c r="K200" s="11" t="str">
        <x:f>'Cumulative'!D171</x:f>
        <x:v>-3.048700714251571</x:v>
      </x:c>
      <x:c r="L200" s="11" t="str">
        <x:f>'Cumulative'!E171</x:f>
        <x:v>-18.053695462061526</x:v>
      </x:c>
    </x:row>
    <x:row r="201">
      <x:c r="A201" s="11" t="str">
        <x:f>'Cumulative'!A172</x:f>
        <x:v>171</x:v>
      </x:c>
      <x:c r="B201" s="11" t="str">
        <x:f>'Cumulative'!B172</x:f>
      </x:c>
      <x:c r="C201" s="11" t="str">
        <x:f>'Cumulative'!C172</x:f>
        <x:v>-21.370800663036157</x:v>
      </x:c>
      <x:c r="D201" s="11" t="str">
        <x:f>'Cumulative'!D172</x:f>
        <x:v>-4.097747841544628</x:v>
      </x:c>
      <x:c r="E201" s="11" t="str">
        <x:f>'Cumulative'!E172</x:f>
        <x:v>-18.37600601843683</x:v>
      </x:c>
      <x:c r="G201" s="11" t="str">
        <x:f>'Cumulative'!A172</x:f>
        <x:v>171</x:v>
      </x:c>
      <x:c r="H201" s="11" t="str">
        <x:f>'Cumulative'!C172</x:f>
        <x:v>-21.370800663036157</x:v>
      </x:c>
      <x:c r="I201" s="87"/>
      <x:c r="J201" s="11" t="str">
        <x:f>'Cumulative'!A172</x:f>
        <x:v>171</x:v>
      </x:c>
      <x:c r="K201" s="11" t="str">
        <x:f>'Cumulative'!D172</x:f>
        <x:v>-4.097747841544628</x:v>
      </x:c>
      <x:c r="L201" s="11" t="str">
        <x:f>'Cumulative'!E172</x:f>
        <x:v>-18.37600601843683</x:v>
      </x:c>
    </x:row>
    <x:row r="202">
      <x:c r="A202" s="11" t="str">
        <x:f>'Cumulative'!A173</x:f>
        <x:v>172</x:v>
      </x:c>
      <x:c r="B202" s="11" t="str">
        <x:f>'Cumulative'!B173</x:f>
      </x:c>
      <x:c r="C202" s="11" t="str">
        <x:f>'Cumulative'!C173</x:f>
        <x:v>-22.379700346820123</x:v>
      </x:c>
      <x:c r="D202" s="11" t="str">
        <x:f>'Cumulative'!D173</x:f>
        <x:v>-2.921348591292487</x:v>
      </x:c>
      <x:c r="E202" s="11" t="str">
        <x:f>'Cumulative'!E173</x:f>
        <x:v>-16.822319507056427</x:v>
      </x:c>
      <x:c r="G202" s="11" t="str">
        <x:f>'Cumulative'!A173</x:f>
        <x:v>172</x:v>
      </x:c>
      <x:c r="H202" s="11" t="str">
        <x:f>'Cumulative'!C173</x:f>
        <x:v>-22.379700346820123</x:v>
      </x:c>
      <x:c r="I202" s="87"/>
      <x:c r="J202" s="11" t="str">
        <x:f>'Cumulative'!A173</x:f>
        <x:v>172</x:v>
      </x:c>
      <x:c r="K202" s="11" t="str">
        <x:f>'Cumulative'!D173</x:f>
        <x:v>-2.921348591292487</x:v>
      </x:c>
      <x:c r="L202" s="11" t="str">
        <x:f>'Cumulative'!E173</x:f>
        <x:v>-16.822319507056427</x:v>
      </x:c>
    </x:row>
    <x:row r="203">
      <x:c r="A203" s="11" t="str">
        <x:f>'Cumulative'!A174</x:f>
        <x:v>173</x:v>
      </x:c>
      <x:c r="B203" s="11" t="str">
        <x:f>'Cumulative'!B174</x:f>
      </x:c>
      <x:c r="C203" s="11" t="str">
        <x:f>'Cumulative'!C174</x:f>
        <x:v>-23.434012564580218</x:v>
      </x:c>
      <x:c r="D203" s="11" t="str">
        <x:f>'Cumulative'!D174</x:f>
        <x:v>-3.5494642234076146</x:v>
      </x:c>
      <x:c r="E203" s="11" t="str">
        <x:f>'Cumulative'!E174</x:f>
        <x:v>-17.83456238991414</x:v>
      </x:c>
      <x:c r="G203" s="11" t="str">
        <x:f>'Cumulative'!A174</x:f>
        <x:v>173</x:v>
      </x:c>
      <x:c r="H203" s="11" t="str">
        <x:f>'Cumulative'!C174</x:f>
        <x:v>-23.434012564580218</x:v>
      </x:c>
      <x:c r="I203" s="87"/>
      <x:c r="J203" s="11" t="str">
        <x:f>'Cumulative'!A174</x:f>
        <x:v>173</x:v>
      </x:c>
      <x:c r="K203" s="11" t="str">
        <x:f>'Cumulative'!D174</x:f>
        <x:v>-3.5494642234076146</x:v>
      </x:c>
      <x:c r="L203" s="11" t="str">
        <x:f>'Cumulative'!E174</x:f>
        <x:v>-17.83456238991414</x:v>
      </x:c>
    </x:row>
    <x:row r="204">
      <x:c r="A204" s="11" t="str">
        <x:f>'Cumulative'!A175</x:f>
        <x:v>174</x:v>
      </x:c>
      <x:c r="B204" s="11" t="str">
        <x:f>'Cumulative'!B175</x:f>
      </x:c>
      <x:c r="C204" s="11" t="str">
        <x:f>'Cumulative'!C175</x:f>
        <x:v>-21.944539456105137</x:v>
      </x:c>
      <x:c r="D204" s="11" t="str">
        <x:f>'Cumulative'!D175</x:f>
        <x:v>-3.8791635816152805</x:v>
      </x:c>
      <x:c r="E204" s="11" t="str">
        <x:f>'Cumulative'!E175</x:f>
        <x:v>-18.639605070839842</x:v>
      </x:c>
      <x:c r="G204" s="11" t="str">
        <x:f>'Cumulative'!A175</x:f>
        <x:v>174</x:v>
      </x:c>
      <x:c r="H204" s="11" t="str">
        <x:f>'Cumulative'!C175</x:f>
        <x:v>-21.944539456105137</x:v>
      </x:c>
      <x:c r="I204" s="87"/>
      <x:c r="J204" s="11" t="str">
        <x:f>'Cumulative'!A175</x:f>
        <x:v>174</x:v>
      </x:c>
      <x:c r="K204" s="11" t="str">
        <x:f>'Cumulative'!D175</x:f>
        <x:v>-3.8791635816152805</x:v>
      </x:c>
      <x:c r="L204" s="11" t="str">
        <x:f>'Cumulative'!E175</x:f>
        <x:v>-18.639605070839842</x:v>
      </x:c>
    </x:row>
    <x:row r="205">
      <x:c r="A205" s="11" t="str">
        <x:f>'Cumulative'!A176</x:f>
        <x:v>175</x:v>
      </x:c>
      <x:c r="B205" s="11" t="str">
        <x:f>'Cumulative'!B176</x:f>
      </x:c>
      <x:c r="C205" s="11" t="str">
        <x:f>'Cumulative'!C176</x:f>
        <x:v>-19.958022693240927</x:v>
      </x:c>
      <x:c r="D205" s="11" t="str">
        <x:f>'Cumulative'!D176</x:f>
        <x:v>-4.897592453970473</x:v>
      </x:c>
      <x:c r="E205" s="11" t="str">
        <x:f>'Cumulative'!E176</x:f>
        <x:v>-16.64545690935957</x:v>
      </x:c>
      <x:c r="G205" s="11" t="str">
        <x:f>'Cumulative'!A176</x:f>
        <x:v>175</x:v>
      </x:c>
      <x:c r="H205" s="11" t="str">
        <x:f>'Cumulative'!C176</x:f>
        <x:v>-19.958022693240927</x:v>
      </x:c>
      <x:c r="I205" s="87"/>
      <x:c r="J205" s="11" t="str">
        <x:f>'Cumulative'!A176</x:f>
        <x:v>175</x:v>
      </x:c>
      <x:c r="K205" s="11" t="str">
        <x:f>'Cumulative'!D176</x:f>
        <x:v>-4.897592453970473</x:v>
      </x:c>
      <x:c r="L205" s="11" t="str">
        <x:f>'Cumulative'!E176</x:f>
        <x:v>-16.64545690935957</x:v>
      </x:c>
    </x:row>
    <x:row r="206">
      <x:c r="A206" s="11" t="str">
        <x:f>'Cumulative'!A177</x:f>
        <x:v>176</x:v>
      </x:c>
      <x:c r="B206" s="11" t="str">
        <x:f>'Cumulative'!B177</x:f>
      </x:c>
      <x:c r="C206" s="11" t="str">
        <x:f>'Cumulative'!C177</x:f>
        <x:v>-20.97127284352354</x:v>
      </x:c>
      <x:c r="D206" s="11" t="str">
        <x:f>'Cumulative'!D177</x:f>
        <x:v>-4.431094562735375</x:v>
      </x:c>
      <x:c r="E206" s="11" t="str">
        <x:f>'Cumulative'!E177</x:f>
        <x:v>-17.658407472516966</x:v>
      </x:c>
      <x:c r="G206" s="11" t="str">
        <x:f>'Cumulative'!A177</x:f>
        <x:v>176</x:v>
      </x:c>
      <x:c r="H206" s="11" t="str">
        <x:f>'Cumulative'!C177</x:f>
        <x:v>-20.97127284352354</x:v>
      </x:c>
      <x:c r="I206" s="87"/>
      <x:c r="J206" s="11" t="str">
        <x:f>'Cumulative'!A177</x:f>
        <x:v>176</x:v>
      </x:c>
      <x:c r="K206" s="11" t="str">
        <x:f>'Cumulative'!D177</x:f>
        <x:v>-4.431094562735375</x:v>
      </x:c>
      <x:c r="L206" s="11" t="str">
        <x:f>'Cumulative'!E177</x:f>
        <x:v>-17.658407472516966</x:v>
      </x:c>
    </x:row>
    <x:row r="207">
      <x:c r="A207" s="11" t="str">
        <x:f>'Cumulative'!A178</x:f>
        <x:v>177</x:v>
      </x:c>
      <x:c r="B207" s="11" t="str">
        <x:f>'Cumulative'!B178</x:f>
      </x:c>
      <x:c r="C207" s="11" t="str">
        <x:f>'Cumulative'!C178</x:f>
        <x:v>-21.99280403578935</x:v>
      </x:c>
      <x:c r="D207" s="11" t="str">
        <x:f>'Cumulative'!D178</x:f>
        <x:v>-3.3945107113872184</x:v>
      </x:c>
      <x:c r="E207" s="11" t="str">
        <x:f>'Cumulative'!E178</x:f>
        <x:v>-17.292489016354068</x:v>
      </x:c>
      <x:c r="G207" s="11" t="str">
        <x:f>'Cumulative'!A178</x:f>
        <x:v>177</x:v>
      </x:c>
      <x:c r="H207" s="11" t="str">
        <x:f>'Cumulative'!C178</x:f>
        <x:v>-21.99280403578935</x:v>
      </x:c>
      <x:c r="I207" s="87"/>
      <x:c r="J207" s="11" t="str">
        <x:f>'Cumulative'!A178</x:f>
        <x:v>177</x:v>
      </x:c>
      <x:c r="K207" s="11" t="str">
        <x:f>'Cumulative'!D178</x:f>
        <x:v>-3.3945107113872184</x:v>
      </x:c>
      <x:c r="L207" s="11" t="str">
        <x:f>'Cumulative'!E178</x:f>
        <x:v>-17.292489016354068</x:v>
      </x:c>
    </x:row>
    <x:row r="208">
      <x:c r="A208" s="11" t="str">
        <x:f>'Cumulative'!A179</x:f>
        <x:v>178</x:v>
      </x:c>
      <x:c r="B208" s="11" t="str">
        <x:f>'Cumulative'!B179</x:f>
      </x:c>
      <x:c r="C208" s="11" t="str">
        <x:f>'Cumulative'!C179</x:f>
        <x:v>-20.0028217491099</x:v>
      </x:c>
      <x:c r="D208" s="11" t="str">
        <x:f>'Cumulative'!D179</x:f>
        <x:v>-4.469384532516868</x:v>
      </x:c>
      <x:c r="E208" s="11" t="str">
        <x:f>'Cumulative'!E179</x:f>
        <x:v>-16.690727772825692</x:v>
      </x:c>
      <x:c r="G208" s="11" t="str">
        <x:f>'Cumulative'!A179</x:f>
        <x:v>178</x:v>
      </x:c>
      <x:c r="H208" s="11" t="str">
        <x:f>'Cumulative'!C179</x:f>
        <x:v>-20.0028217491099</x:v>
      </x:c>
      <x:c r="I208" s="87"/>
      <x:c r="J208" s="11" t="str">
        <x:f>'Cumulative'!A179</x:f>
        <x:v>178</x:v>
      </x:c>
      <x:c r="K208" s="11" t="str">
        <x:f>'Cumulative'!D179</x:f>
        <x:v>-4.469384532516868</x:v>
      </x:c>
      <x:c r="L208" s="11" t="str">
        <x:f>'Cumulative'!E179</x:f>
        <x:v>-16.690727772825692</x:v>
      </x:c>
    </x:row>
    <x:row r="209">
      <x:c r="A209" s="11" t="str">
        <x:f>'Cumulative'!A180</x:f>
        <x:v>179</x:v>
      </x:c>
      <x:c r="B209" s="11" t="str">
        <x:f>'Cumulative'!B180</x:f>
      </x:c>
      <x:c r="C209" s="11" t="str">
        <x:f>'Cumulative'!C180</x:f>
        <x:v>-21.0136089776405</x:v>
      </x:c>
      <x:c r="D209" s="11" t="str">
        <x:f>'Cumulative'!D180</x:f>
        <x:v>-4.969278232592371</x:v>
      </x:c>
      <x:c r="E209" s="11" t="str">
        <x:f>'Cumulative'!E180</x:f>
        <x:v>-16.84497201325314</x:v>
      </x:c>
      <x:c r="G209" s="11" t="str">
        <x:f>'Cumulative'!A180</x:f>
        <x:v>179</x:v>
      </x:c>
      <x:c r="H209" s="11" t="str">
        <x:f>'Cumulative'!C180</x:f>
        <x:v>-21.0136089776405</x:v>
      </x:c>
      <x:c r="I209" s="87"/>
      <x:c r="J209" s="11" t="str">
        <x:f>'Cumulative'!A180</x:f>
        <x:v>179</x:v>
      </x:c>
      <x:c r="K209" s="11" t="str">
        <x:f>'Cumulative'!D180</x:f>
        <x:v>-4.969278232592371</x:v>
      </x:c>
      <x:c r="L209" s="11" t="str">
        <x:f>'Cumulative'!E180</x:f>
        <x:v>-16.84497201325314</x:v>
      </x:c>
    </x:row>
    <x:row r="210">
      <x:c r="A210" s="11" t="str">
        <x:f>'Cumulative'!A181</x:f>
        <x:v>180</x:v>
      </x:c>
      <x:c r="B210" s="11" t="str">
        <x:f>'Cumulative'!B181</x:f>
      </x:c>
      <x:c r="C210" s="11" t="str">
        <x:f>'Cumulative'!C181</x:f>
        <x:v>-22.0200857968736</x:v>
      </x:c>
      <x:c r="D210" s="11" t="str">
        <x:f>'Cumulative'!D181</x:f>
        <x:v>-5.270999127068985</x:v>
      </x:c>
      <x:c r="E210" s="11" t="str">
        <x:f>'Cumulative'!E181</x:f>
        <x:v>-17.86670382504344</x:v>
      </x:c>
      <x:c r="G210" s="11" t="str">
        <x:f>'Cumulative'!A181</x:f>
        <x:v>180</x:v>
      </x:c>
      <x:c r="H210" s="11" t="str">
        <x:f>'Cumulative'!C181</x:f>
        <x:v>-22.0200857968736</x:v>
      </x:c>
      <x:c r="I210" s="87"/>
      <x:c r="J210" s="11" t="str">
        <x:f>'Cumulative'!A181</x:f>
        <x:v>180</x:v>
      </x:c>
      <x:c r="K210" s="11" t="str">
        <x:f>'Cumulative'!D181</x:f>
        <x:v>-5.270999127068985</x:v>
      </x:c>
      <x:c r="L210" s="11" t="str">
        <x:f>'Cumulative'!E181</x:f>
        <x:v>-17.86670382504344</x:v>
      </x:c>
    </x:row>
    <x:row r="211">
      <x:c r="A211" s="11" t="str">
        <x:f>'Cumulative'!A182</x:f>
        <x:v>181</x:v>
      </x:c>
      <x:c r="B211" s="11" t="str">
        <x:f>'Cumulative'!B182</x:f>
      </x:c>
      <x:c r="C211" s="11" t="str">
        <x:f>'Cumulative'!C182</x:f>
        <x:v>-23.027232087934483</x:v>
      </x:c>
      <x:c r="D211" s="11" t="str">
        <x:f>'Cumulative'!D182</x:f>
        <x:v>-6.297984372143739</x:v>
      </x:c>
      <x:c r="E211" s="11" t="str">
        <x:f>'Cumulative'!E182</x:f>
        <x:v>-17.698056186607243</x:v>
      </x:c>
      <x:c r="G211" s="11" t="str">
        <x:f>'Cumulative'!A182</x:f>
        <x:v>181</x:v>
      </x:c>
      <x:c r="H211" s="11" t="str">
        <x:f>'Cumulative'!C182</x:f>
        <x:v>-23.027232087934483</x:v>
      </x:c>
      <x:c r="I211" s="87"/>
      <x:c r="J211" s="11" t="str">
        <x:f>'Cumulative'!A182</x:f>
        <x:v>181</x:v>
      </x:c>
      <x:c r="K211" s="11" t="str">
        <x:f>'Cumulative'!D182</x:f>
        <x:v>-6.297984372143739</x:v>
      </x:c>
      <x:c r="L211" s="11" t="str">
        <x:f>'Cumulative'!E182</x:f>
        <x:v>-17.698056186607243</x:v>
      </x:c>
    </x:row>
    <x:row r="212">
      <x:c r="A212" s="11" t="str">
        <x:f>'Cumulative'!A183</x:f>
        <x:v>182</x:v>
      </x:c>
      <x:c r="B212" s="11" t="str">
        <x:f>'Cumulative'!B183</x:f>
      </x:c>
      <x:c r="C212" s="11" t="str">
        <x:f>'Cumulative'!C183</x:f>
        <x:v>-22.50507487166715</x:v>
      </x:c>
      <x:c r="D212" s="11" t="str">
        <x:f>'Cumulative'!D183</x:f>
        <x:v>-7.310572938969584</x:v>
      </x:c>
      <x:c r="E212" s="11" t="str">
        <x:f>'Cumulative'!E183</x:f>
        <x:v>-17.29040060369248</x:v>
      </x:c>
      <x:c r="G212" s="11" t="str">
        <x:f>'Cumulative'!A183</x:f>
        <x:v>182</x:v>
      </x:c>
      <x:c r="H212" s="11" t="str">
        <x:f>'Cumulative'!C183</x:f>
        <x:v>-22.50507487166715</x:v>
      </x:c>
      <x:c r="I212" s="87"/>
      <x:c r="J212" s="11" t="str">
        <x:f>'Cumulative'!A183</x:f>
        <x:v>182</x:v>
      </x:c>
      <x:c r="K212" s="11" t="str">
        <x:f>'Cumulative'!D183</x:f>
        <x:v>-7.310572938969584</x:v>
      </x:c>
      <x:c r="L212" s="11" t="str">
        <x:f>'Cumulative'!E183</x:f>
        <x:v>-17.29040060369248</x:v>
      </x:c>
    </x:row>
    <x:row r="213">
      <x:c r="A213" s="11" t="str">
        <x:f>'Cumulative'!A184</x:f>
        <x:v>183</x:v>
      </x:c>
      <x:c r="B213" s="11" t="str">
        <x:f>'Cumulative'!B184</x:f>
      </x:c>
      <x:c r="C213" s="11" t="str">
        <x:f>'Cumulative'!C184</x:f>
        <x:v>-21.575629217925762</x:v>
      </x:c>
      <x:c r="D213" s="11" t="str">
        <x:f>'Cumulative'!D184</x:f>
        <x:v>-8.321619387613534</x:v>
      </x:c>
      <x:c r="E213" s="11" t="str">
        <x:f>'Cumulative'!E184</x:f>
        <x:v>-16.91899940434647</x:v>
      </x:c>
      <x:c r="G213" s="11" t="str">
        <x:f>'Cumulative'!A184</x:f>
        <x:v>183</x:v>
      </x:c>
      <x:c r="H213" s="11" t="str">
        <x:f>'Cumulative'!C184</x:f>
        <x:v>-21.575629217925762</x:v>
      </x:c>
      <x:c r="I213" s="87"/>
      <x:c r="J213" s="11" t="str">
        <x:f>'Cumulative'!A184</x:f>
        <x:v>183</x:v>
      </x:c>
      <x:c r="K213" s="11" t="str">
        <x:f>'Cumulative'!D184</x:f>
        <x:v>-8.321619387613534</x:v>
      </x:c>
      <x:c r="L213" s="11" t="str">
        <x:f>'Cumulative'!E184</x:f>
        <x:v>-16.91899940434647</x:v>
      </x:c>
    </x:row>
    <x:row r="214">
      <x:c r="A214" s="11" t="str">
        <x:f>'Cumulative'!A185</x:f>
        <x:v>184</x:v>
      </x:c>
      <x:c r="B214" s="11" t="str">
        <x:f>'Cumulative'!B185</x:f>
      </x:c>
      <x:c r="C214" s="11" t="str">
        <x:f>'Cumulative'!C185</x:f>
        <x:v>-21.118988067302638</x:v>
      </x:c>
      <x:c r="D214" s="11" t="str">
        <x:f>'Cumulative'!D185</x:f>
        <x:v>-8.659505333083947</x:v>
      </x:c>
      <x:c r="E214" s="11" t="str">
        <x:f>'Cumulative'!E185</x:f>
        <x:v>-15.598888710697924</x:v>
      </x:c>
      <x:c r="G214" s="11" t="str">
        <x:f>'Cumulative'!A185</x:f>
        <x:v>184</x:v>
      </x:c>
      <x:c r="H214" s="11" t="str">
        <x:f>'Cumulative'!C185</x:f>
        <x:v>-21.118988067302638</x:v>
      </x:c>
      <x:c r="I214" s="87"/>
      <x:c r="J214" s="11" t="str">
        <x:f>'Cumulative'!A185</x:f>
        <x:v>184</x:v>
      </x:c>
      <x:c r="K214" s="11" t="str">
        <x:f>'Cumulative'!D185</x:f>
        <x:v>-8.659505333083947</x:v>
      </x:c>
      <x:c r="L214" s="11" t="str">
        <x:f>'Cumulative'!E185</x:f>
        <x:v>-15.598888710697924</x:v>
      </x:c>
    </x:row>
    <x:row r="215">
      <x:c r="A215" s="11" t="str">
        <x:f>'Cumulative'!A186</x:f>
        <x:v>185</x:v>
      </x:c>
      <x:c r="B215" s="11" t="str">
        <x:f>'Cumulative'!B186</x:f>
      </x:c>
      <x:c r="C215" s="11" t="str">
        <x:f>'Cumulative'!C186</x:f>
        <x:v>-22.128322958443306</x:v>
      </x:c>
      <x:c r="D215" s="11" t="str">
        <x:f>'Cumulative'!D186</x:f>
        <x:v>-8.451701185037349</x:v>
      </x:c>
      <x:c r="E215" s="11" t="str">
        <x:f>'Cumulative'!E186</x:f>
        <x:v>-15.372936355805672</x:v>
      </x:c>
      <x:c r="G215" s="11" t="str">
        <x:f>'Cumulative'!A186</x:f>
        <x:v>185</x:v>
      </x:c>
      <x:c r="H215" s="11" t="str">
        <x:f>'Cumulative'!C186</x:f>
        <x:v>-22.128322958443306</x:v>
      </x:c>
      <x:c r="I215" s="87"/>
      <x:c r="J215" s="11" t="str">
        <x:f>'Cumulative'!A186</x:f>
        <x:v>185</x:v>
      </x:c>
      <x:c r="K215" s="11" t="str">
        <x:f>'Cumulative'!D186</x:f>
        <x:v>-8.451701185037349</x:v>
      </x:c>
      <x:c r="L215" s="11" t="str">
        <x:f>'Cumulative'!E186</x:f>
        <x:v>-15.372936355805672</x:v>
      </x:c>
    </x:row>
    <x:row r="216">
      <x:c r="A216" s="11" t="str">
        <x:f>'Cumulative'!A187</x:f>
        <x:v>186</x:v>
      </x:c>
      <x:c r="B216" s="11" t="str">
        <x:f>'Cumulative'!B187</x:f>
      </x:c>
      <x:c r="C216" s="11" t="str">
        <x:f>'Cumulative'!C187</x:f>
        <x:v>-21.89534248648198</x:v>
      </x:c>
      <x:c r="D216" s="11" t="str">
        <x:f>'Cumulative'!D187</x:f>
        <x:v>-7.997570999091062</x:v>
      </x:c>
      <x:c r="E216" s="11" t="str">
        <x:f>'Cumulative'!E187</x:f>
        <x:v>-16.408691073658986</x:v>
      </x:c>
      <x:c r="G216" s="11" t="str">
        <x:f>'Cumulative'!A187</x:f>
        <x:v>186</x:v>
      </x:c>
      <x:c r="H216" s="11" t="str">
        <x:f>'Cumulative'!C187</x:f>
        <x:v>-21.89534248648198</x:v>
      </x:c>
      <x:c r="I216" s="87"/>
      <x:c r="J216" s="11" t="str">
        <x:f>'Cumulative'!A187</x:f>
        <x:v>186</x:v>
      </x:c>
      <x:c r="K216" s="11" t="str">
        <x:f>'Cumulative'!D187</x:f>
        <x:v>-7.997570999091062</x:v>
      </x:c>
      <x:c r="L216" s="11" t="str">
        <x:f>'Cumulative'!E187</x:f>
        <x:v>-16.408691073658986</x:v>
      </x:c>
    </x:row>
    <x:row r="217">
      <x:c r="A217" s="11" t="str">
        <x:f>'Cumulative'!A188</x:f>
        <x:v>187</x:v>
      </x:c>
      <x:c r="B217" s="11" t="str">
        <x:f>'Cumulative'!B188</x:f>
      </x:c>
      <x:c r="C217" s="11" t="str">
        <x:f>'Cumulative'!C188</x:f>
        <x:v>-21.874893377862225</x:v>
      </x:c>
      <x:c r="D217" s="11" t="str">
        <x:f>'Cumulative'!D188</x:f>
        <x:v>-9.00597238573566</x:v>
      </x:c>
      <x:c r="E217" s="11" t="str">
        <x:f>'Cumulative'!E188</x:f>
        <x:v>-14.433008966557347</x:v>
      </x:c>
      <x:c r="G217" s="11" t="str">
        <x:f>'Cumulative'!A188</x:f>
        <x:v>187</x:v>
      </x:c>
      <x:c r="H217" s="11" t="str">
        <x:f>'Cumulative'!C188</x:f>
        <x:v>-21.874893377862225</x:v>
      </x:c>
      <x:c r="I217" s="87"/>
      <x:c r="J217" s="11" t="str">
        <x:f>'Cumulative'!A188</x:f>
        <x:v>187</x:v>
      </x:c>
      <x:c r="K217" s="11" t="str">
        <x:f>'Cumulative'!D188</x:f>
        <x:v>-9.00597238573566</x:v>
      </x:c>
      <x:c r="L217" s="11" t="str">
        <x:f>'Cumulative'!E188</x:f>
        <x:v>-14.433008966557347</x:v>
      </x:c>
    </x:row>
    <x:row r="218">
      <x:c r="A218" s="11" t="str">
        <x:f>'Cumulative'!A189</x:f>
        <x:v>188</x:v>
      </x:c>
      <x:c r="B218" s="11" t="str">
        <x:f>'Cumulative'!B189</x:f>
      </x:c>
      <x:c r="C218" s="11" t="str">
        <x:f>'Cumulative'!C189</x:f>
        <x:v>-20.498798610865784</x:v>
      </x:c>
      <x:c r="D218" s="11" t="str">
        <x:f>'Cumulative'!D189</x:f>
        <x:v>-8.074044455801186</x:v>
      </x:c>
      <x:c r="E218" s="11" t="str">
        <x:f>'Cumulative'!E189</x:f>
        <x:v>-15.46119946812754</x:v>
      </x:c>
      <x:c r="G218" s="11" t="str">
        <x:f>'Cumulative'!A189</x:f>
        <x:v>188</x:v>
      </x:c>
      <x:c r="H218" s="11" t="str">
        <x:f>'Cumulative'!C189</x:f>
        <x:v>-20.498798610865784</x:v>
      </x:c>
      <x:c r="I218" s="87"/>
      <x:c r="J218" s="11" t="str">
        <x:f>'Cumulative'!A189</x:f>
        <x:v>188</x:v>
      </x:c>
      <x:c r="K218" s="11" t="str">
        <x:f>'Cumulative'!D189</x:f>
        <x:v>-8.074044455801186</x:v>
      </x:c>
      <x:c r="L218" s="11" t="str">
        <x:f>'Cumulative'!E189</x:f>
        <x:v>-15.46119946812754</x:v>
      </x:c>
    </x:row>
    <x:row r="219">
      <x:c r="A219" s="11" t="str">
        <x:f>'Cumulative'!A190</x:f>
        <x:v>189</x:v>
      </x:c>
      <x:c r="B219" s="11" t="str">
        <x:f>'Cumulative'!B190</x:f>
      </x:c>
      <x:c r="C219" s="11" t="str">
        <x:f>'Cumulative'!C190</x:f>
        <x:v>-21.522763759586393</x:v>
      </x:c>
      <x:c r="D219" s="11" t="str">
        <x:f>'Cumulative'!D190</x:f>
        <x:v>-9.13156524059258</x:v>
      </x:c>
      <x:c r="E219" s="11" t="str">
        <x:f>'Cumulative'!E190</x:f>
        <x:v>-16.503019641947613</x:v>
      </x:c>
      <x:c r="G219" s="11" t="str">
        <x:f>'Cumulative'!A190</x:f>
        <x:v>189</x:v>
      </x:c>
      <x:c r="H219" s="11" t="str">
        <x:f>'Cumulative'!C190</x:f>
        <x:v>-21.522763759586393</x:v>
      </x:c>
      <x:c r="I219" s="87"/>
      <x:c r="J219" s="11" t="str">
        <x:f>'Cumulative'!A190</x:f>
        <x:v>189</x:v>
      </x:c>
      <x:c r="K219" s="11" t="str">
        <x:f>'Cumulative'!D190</x:f>
        <x:v>-9.13156524059258</x:v>
      </x:c>
      <x:c r="L219" s="11" t="str">
        <x:f>'Cumulative'!E190</x:f>
        <x:v>-16.503019641947613</x:v>
      </x:c>
    </x:row>
    <x:row r="220">
      <x:c r="A220" s="11" t="str">
        <x:f>'Cumulative'!A191</x:f>
        <x:v>190</x:v>
      </x:c>
      <x:c r="B220" s="11" t="str">
        <x:f>'Cumulative'!B191</x:f>
      </x:c>
      <x:c r="C220" s="11" t="str">
        <x:f>'Cumulative'!C191</x:f>
        <x:v>-22.54071904285597</x:v>
      </x:c>
      <x:c r="D220" s="11" t="str">
        <x:f>'Cumulative'!D191</x:f>
        <x:v>-10.143714555210845</x:v>
      </x:c>
      <x:c r="E220" s="11" t="str">
        <x:f>'Cumulative'!E191</x:f>
        <x:v>-17.52484178680349</x:v>
      </x:c>
      <x:c r="G220" s="11" t="str">
        <x:f>'Cumulative'!A191</x:f>
        <x:v>190</x:v>
      </x:c>
      <x:c r="H220" s="11" t="str">
        <x:f>'Cumulative'!C191</x:f>
        <x:v>-22.54071904285597</x:v>
      </x:c>
      <x:c r="I220" s="87"/>
      <x:c r="J220" s="11" t="str">
        <x:f>'Cumulative'!A191</x:f>
        <x:v>190</x:v>
      </x:c>
      <x:c r="K220" s="11" t="str">
        <x:f>'Cumulative'!D191</x:f>
        <x:v>-10.143714555210845</x:v>
      </x:c>
      <x:c r="L220" s="11" t="str">
        <x:f>'Cumulative'!E191</x:f>
        <x:v>-17.52484178680349</x:v>
      </x:c>
    </x:row>
    <x:row r="221">
      <x:c r="A221" s="11" t="str">
        <x:f>'Cumulative'!A192</x:f>
        <x:v>191</x:v>
      </x:c>
      <x:c r="B221" s="11" t="str">
        <x:f>'Cumulative'!B192</x:f>
      </x:c>
      <x:c r="C221" s="11" t="str">
        <x:f>'Cumulative'!C192</x:f>
        <x:v>-23.582160534438096</x:v>
      </x:c>
      <x:c r="D221" s="11" t="str">
        <x:f>'Cumulative'!D192</x:f>
        <x:v>-8.155871448236866</x:v>
      </x:c>
      <x:c r="E221" s="11" t="str">
        <x:f>'Cumulative'!E192</x:f>
        <x:v>-16.83241395996075</x:v>
      </x:c>
      <x:c r="G221" s="11" t="str">
        <x:f>'Cumulative'!A192</x:f>
        <x:v>191</x:v>
      </x:c>
      <x:c r="H221" s="11" t="str">
        <x:f>'Cumulative'!C192</x:f>
        <x:v>-23.582160534438096</x:v>
      </x:c>
      <x:c r="I221" s="87"/>
      <x:c r="J221" s="11" t="str">
        <x:f>'Cumulative'!A192</x:f>
        <x:v>191</x:v>
      </x:c>
      <x:c r="K221" s="11" t="str">
        <x:f>'Cumulative'!D192</x:f>
        <x:v>-8.155871448236866</x:v>
      </x:c>
      <x:c r="L221" s="11" t="str">
        <x:f>'Cumulative'!E192</x:f>
        <x:v>-16.83241395996075</x:v>
      </x:c>
    </x:row>
    <x:row r="222">
      <x:c r="A222" s="11" t="str">
        <x:f>'Cumulative'!A193</x:f>
        <x:v>192</x:v>
      </x:c>
      <x:c r="B222" s="11" t="str">
        <x:f>'Cumulative'!B193</x:f>
      </x:c>
      <x:c r="C222" s="11" t="str">
        <x:f>'Cumulative'!C193</x:f>
        <x:v>-21.61051939828811</x:v>
      </x:c>
      <x:c r="D222" s="11" t="str">
        <x:f>'Cumulative'!D193</x:f>
        <x:v>-9.163085515487731</x:v>
      </x:c>
      <x:c r="E222" s="11" t="str">
        <x:f>'Cumulative'!E193</x:f>
        <x:v>-17.864821232081084</x:v>
      </x:c>
      <x:c r="G222" s="11" t="str">
        <x:f>'Cumulative'!A193</x:f>
        <x:v>192</x:v>
      </x:c>
      <x:c r="H222" s="11" t="str">
        <x:f>'Cumulative'!C193</x:f>
        <x:v>-21.61051939828811</x:v>
      </x:c>
      <x:c r="I222" s="87"/>
      <x:c r="J222" s="11" t="str">
        <x:f>'Cumulative'!A193</x:f>
        <x:v>192</x:v>
      </x:c>
      <x:c r="K222" s="11" t="str">
        <x:f>'Cumulative'!D193</x:f>
        <x:v>-9.163085515487731</x:v>
      </x:c>
      <x:c r="L222" s="11" t="str">
        <x:f>'Cumulative'!E193</x:f>
        <x:v>-17.864821232081084</x:v>
      </x:c>
    </x:row>
    <x:row r="223">
      <x:c r="A223" s="11" t="str">
        <x:f>'Cumulative'!A194</x:f>
        <x:v>193</x:v>
      </x:c>
      <x:c r="B223" s="11" t="str">
        <x:f>'Cumulative'!B194</x:f>
      </x:c>
      <x:c r="C223" s="11" t="str">
        <x:f>'Cumulative'!C194</x:f>
        <x:v>-22.623344855886863</x:v>
      </x:c>
      <x:c r="D223" s="11" t="str">
        <x:f>'Cumulative'!D194</x:f>
        <x:v>-9.022725725984426</x:v>
      </x:c>
      <x:c r="E223" s="11" t="str">
        <x:f>'Cumulative'!E194</x:f>
        <x:v>-18.907635101192522</x:v>
      </x:c>
      <x:c r="G223" s="11" t="str">
        <x:f>'Cumulative'!A194</x:f>
        <x:v>193</x:v>
      </x:c>
      <x:c r="H223" s="11" t="str">
        <x:f>'Cumulative'!C194</x:f>
        <x:v>-22.623344855886863</x:v>
      </x:c>
      <x:c r="I223" s="87"/>
      <x:c r="J223" s="11" t="str">
        <x:f>'Cumulative'!A194</x:f>
        <x:v>193</x:v>
      </x:c>
      <x:c r="K223" s="11" t="str">
        <x:f>'Cumulative'!D194</x:f>
        <x:v>-9.022725725984426</x:v>
      </x:c>
      <x:c r="L223" s="11" t="str">
        <x:f>'Cumulative'!E194</x:f>
        <x:v>-18.907635101192522</x:v>
      </x:c>
    </x:row>
    <x:row r="224">
      <x:c r="A224" s="11" t="str">
        <x:f>'Cumulative'!A195</x:f>
        <x:v>194</x:v>
      </x:c>
      <x:c r="B224" s="11" t="str">
        <x:f>'Cumulative'!B195</x:f>
      </x:c>
      <x:c r="C224" s="11" t="str">
        <x:f>'Cumulative'!C195</x:f>
        <x:v>-23.653152932698543</x:v>
      </x:c>
      <x:c r="D224" s="11" t="str">
        <x:f>'Cumulative'!D195</x:f>
        <x:v>-8.667273084846284</x:v>
      </x:c>
      <x:c r="E224" s="11" t="str">
        <x:f>'Cumulative'!E195</x:f>
        <x:v>-18.358463199706723</x:v>
      </x:c>
      <x:c r="G224" s="11" t="str">
        <x:f>'Cumulative'!A195</x:f>
        <x:v>194</x:v>
      </x:c>
      <x:c r="H224" s="11" t="str">
        <x:f>'Cumulative'!C195</x:f>
        <x:v>-23.653152932698543</x:v>
      </x:c>
      <x:c r="I224" s="87"/>
      <x:c r="J224" s="11" t="str">
        <x:f>'Cumulative'!A195</x:f>
        <x:v>194</x:v>
      </x:c>
      <x:c r="K224" s="11" t="str">
        <x:f>'Cumulative'!D195</x:f>
        <x:v>-8.667273084846284</x:v>
      </x:c>
      <x:c r="L224" s="11" t="str">
        <x:f>'Cumulative'!E195</x:f>
        <x:v>-18.358463199706723</x:v>
      </x:c>
    </x:row>
    <x:row r="225">
      <x:c r="A225" s="11" t="str">
        <x:f>'Cumulative'!A196</x:f>
        <x:v>195</x:v>
      </x:c>
      <x:c r="B225" s="11" t="str">
        <x:f>'Cumulative'!B196</x:f>
      </x:c>
      <x:c r="C225" s="11" t="str">
        <x:f>'Cumulative'!C196</x:f>
        <x:v>-24.6828931693449</x:v>
      </x:c>
      <x:c r="D225" s="11" t="str">
        <x:f>'Cumulative'!D196</x:f>
        <x:v>-9.673246102091946</x:v>
      </x:c>
      <x:c r="E225" s="11" t="str">
        <x:f>'Cumulative'!E196</x:f>
        <x:v>-17.264931899633762</x:v>
      </x:c>
      <x:c r="G225" s="11" t="str">
        <x:f>'Cumulative'!A196</x:f>
        <x:v>195</x:v>
      </x:c>
      <x:c r="H225" s="11" t="str">
        <x:f>'Cumulative'!C196</x:f>
        <x:v>-24.6828931693449</x:v>
      </x:c>
      <x:c r="I225" s="87"/>
      <x:c r="J225" s="11" t="str">
        <x:f>'Cumulative'!A196</x:f>
        <x:v>195</x:v>
      </x:c>
      <x:c r="K225" s="11" t="str">
        <x:f>'Cumulative'!D196</x:f>
        <x:v>-9.673246102091946</x:v>
      </x:c>
      <x:c r="L225" s="11" t="str">
        <x:f>'Cumulative'!E196</x:f>
        <x:v>-17.264931899633762</x:v>
      </x:c>
    </x:row>
    <x:row r="226">
      <x:c r="A226" s="11" t="str">
        <x:f>'Cumulative'!A197</x:f>
        <x:v>196</x:v>
      </x:c>
      <x:c r="B226" s="11" t="str">
        <x:f>'Cumulative'!B197</x:f>
      </x:c>
      <x:c r="C226" s="11" t="str">
        <x:f>'Cumulative'!C197</x:f>
        <x:v>-23.269137082986443</x:v>
      </x:c>
      <x:c r="D226" s="11" t="str">
        <x:f>'Cumulative'!D197</x:f>
        <x:v>-7.680866716003985</x:v>
      </x:c>
      <x:c r="E226" s="11" t="str">
        <x:f>'Cumulative'!E197</x:f>
        <x:v>-18.292407637940414</x:v>
      </x:c>
      <x:c r="G226" s="11" t="str">
        <x:f>'Cumulative'!A197</x:f>
        <x:v>196</x:v>
      </x:c>
      <x:c r="H226" s="11" t="str">
        <x:f>'Cumulative'!C197</x:f>
        <x:v>-23.269137082986443</x:v>
      </x:c>
      <x:c r="I226" s="87"/>
      <x:c r="J226" s="11" t="str">
        <x:f>'Cumulative'!A197</x:f>
        <x:v>196</x:v>
      </x:c>
      <x:c r="K226" s="11" t="str">
        <x:f>'Cumulative'!D197</x:f>
        <x:v>-7.680866716003985</x:v>
      </x:c>
      <x:c r="L226" s="11" t="str">
        <x:f>'Cumulative'!E197</x:f>
        <x:v>-18.292407637940414</x:v>
      </x:c>
    </x:row>
    <x:row r="227">
      <x:c r="A227" s="11" t="str">
        <x:f>'Cumulative'!A198</x:f>
        <x:v>197</x:v>
      </x:c>
      <x:c r="B227" s="11" t="str">
        <x:f>'Cumulative'!B198</x:f>
      </x:c>
      <x:c r="C227" s="11" t="str">
        <x:f>'Cumulative'!C198</x:f>
        <x:v>-23.958398149005376</x:v>
      </x:c>
      <x:c r="D227" s="11" t="str">
        <x:f>'Cumulative'!D198</x:f>
        <x:v>-8.690182581015137</x:v>
      </x:c>
      <x:c r="E227" s="11" t="str">
        <x:f>'Cumulative'!E198</x:f>
        <x:v>-16.31694227807309</x:v>
      </x:c>
      <x:c r="G227" s="11" t="str">
        <x:f>'Cumulative'!A198</x:f>
        <x:v>197</x:v>
      </x:c>
      <x:c r="H227" s="11" t="str">
        <x:f>'Cumulative'!C198</x:f>
        <x:v>-23.958398149005376</x:v>
      </x:c>
      <x:c r="I227" s="87"/>
      <x:c r="J227" s="11" t="str">
        <x:f>'Cumulative'!A198</x:f>
        <x:v>197</x:v>
      </x:c>
      <x:c r="K227" s="11" t="str">
        <x:f>'Cumulative'!D198</x:f>
        <x:v>-8.690182581015137</x:v>
      </x:c>
      <x:c r="L227" s="11" t="str">
        <x:f>'Cumulative'!E198</x:f>
        <x:v>-16.31694227807309</x:v>
      </x:c>
    </x:row>
    <x:row r="228">
      <x:c r="A228" s="11" t="str">
        <x:f>'Cumulative'!A199</x:f>
        <x:v>198</x:v>
      </x:c>
      <x:c r="B228" s="11" t="str">
        <x:f>'Cumulative'!B199</x:f>
      </x:c>
      <x:c r="C228" s="11" t="str">
        <x:f>'Cumulative'!C199</x:f>
        <x:v>-22.699026659049196</x:v>
      </x:c>
      <x:c r="D228" s="11" t="str">
        <x:f>'Cumulative'!D199</x:f>
        <x:v>-9.69606939390735</x:v>
      </x:c>
      <x:c r="E228" s="11" t="str">
        <x:f>'Cumulative'!E199</x:f>
        <x:v>-17.35177085161981</x:v>
      </x:c>
      <x:c r="G228" s="11" t="str">
        <x:f>'Cumulative'!A199</x:f>
        <x:v>198</x:v>
      </x:c>
      <x:c r="H228" s="11" t="str">
        <x:f>'Cumulative'!C199</x:f>
        <x:v>-22.699026659049196</x:v>
      </x:c>
      <x:c r="I228" s="87"/>
      <x:c r="J228" s="11" t="str">
        <x:f>'Cumulative'!A199</x:f>
        <x:v>198</x:v>
      </x:c>
      <x:c r="K228" s="11" t="str">
        <x:f>'Cumulative'!D199</x:f>
        <x:v>-9.69606939390735</x:v>
      </x:c>
      <x:c r="L228" s="11" t="str">
        <x:f>'Cumulative'!E199</x:f>
        <x:v>-17.35177085161981</x:v>
      </x:c>
    </x:row>
    <x:row r="229">
      <x:c r="A229" s="11" t="str">
        <x:f>'Cumulative'!A200</x:f>
        <x:v>199</x:v>
      </x:c>
      <x:c r="B229" s="11" t="str">
        <x:f>'Cumulative'!B200</x:f>
      </x:c>
      <x:c r="C229" s="11" t="str">
        <x:f>'Cumulative'!C200</x:f>
        <x:v>-23.720916421630356</x:v>
      </x:c>
      <x:c r="D229" s="11" t="str">
        <x:f>'Cumulative'!D200</x:f>
        <x:v>-7.726740544906741</x:v>
      </x:c>
      <x:c r="E229" s="11" t="str">
        <x:f>'Cumulative'!E200</x:f>
        <x:v>-17.355408056506704</x:v>
      </x:c>
      <x:c r="G229" s="11" t="str">
        <x:f>'Cumulative'!A200</x:f>
        <x:v>199</x:v>
      </x:c>
      <x:c r="H229" s="11" t="str">
        <x:f>'Cumulative'!C200</x:f>
        <x:v>-23.720916421630356</x:v>
      </x:c>
      <x:c r="I229" s="87"/>
      <x:c r="J229" s="11" t="str">
        <x:f>'Cumulative'!A200</x:f>
        <x:v>199</x:v>
      </x:c>
      <x:c r="K229" s="11" t="str">
        <x:f>'Cumulative'!D200</x:f>
        <x:v>-7.726740544906741</x:v>
      </x:c>
      <x:c r="L229" s="11" t="str">
        <x:f>'Cumulative'!E200</x:f>
        <x:v>-17.355408056506704</x:v>
      </x:c>
    </x:row>
    <x:row r="230">
      <x:c r="A230" s="11" t="str">
        <x:f>'Cumulative'!A201</x:f>
        <x:v>200</x:v>
      </x:c>
      <x:c r="B230" s="11" t="str">
        <x:f>'Cumulative'!B201</x:f>
      </x:c>
      <x:c r="C230" s="11" t="str">
        <x:f>'Cumulative'!C201</x:f>
        <x:v>-23.882705211271375</x:v>
      </x:c>
      <x:c r="D230" s="11" t="str">
        <x:f>'Cumulative'!D201</x:f>
        <x:v>-8.74064845126157</x:v>
      </x:c>
      <x:c r="E230" s="11" t="str">
        <x:f>'Cumulative'!E201</x:f>
        <x:v>-16.908004282988486</x:v>
      </x:c>
      <x:c r="G230" s="11" t="str">
        <x:f>'Cumulative'!A201</x:f>
        <x:v>200</x:v>
      </x:c>
      <x:c r="H230" s="11" t="str">
        <x:f>'Cumulative'!C201</x:f>
        <x:v>-23.882705211271375</x:v>
      </x:c>
      <x:c r="I230" s="87"/>
      <x:c r="J230" s="11" t="str">
        <x:f>'Cumulative'!A201</x:f>
        <x:v>200</x:v>
      </x:c>
      <x:c r="K230" s="11" t="str">
        <x:f>'Cumulative'!D201</x:f>
        <x:v>-8.74064845126157</x:v>
      </x:c>
      <x:c r="L230" s="11" t="str">
        <x:f>'Cumulative'!E201</x:f>
        <x:v>-16.908004282988486</x:v>
      </x:c>
    </x:row>
    <x:row r="231">
      <x:c r="A231" s="11" t="str">
        <x:f>'Cumulative'!A202</x:f>
        <x:v>201</x:v>
      </x:c>
      <x:c r="B231" s="11" t="str">
        <x:f>'Cumulative'!B202</x:f>
      </x:c>
      <x:c r="C231" s="11" t="str">
        <x:f>'Cumulative'!C202</x:f>
        <x:v>-21.917273295446932</x:v>
      </x:c>
      <x:c r="D231" s="11" t="str">
        <x:f>'Cumulative'!D202</x:f>
        <x:v>-9.78253556984755</x:v>
      </x:c>
      <x:c r="E231" s="11" t="str">
        <x:f>'Cumulative'!E202</x:f>
        <x:v>-17.076071630735854</x:v>
      </x:c>
      <x:c r="G231" s="11" t="str">
        <x:f>'Cumulative'!A202</x:f>
        <x:v>201</x:v>
      </x:c>
      <x:c r="H231" s="11" t="str">
        <x:f>'Cumulative'!C202</x:f>
        <x:v>-21.917273295446932</x:v>
      </x:c>
      <x:c r="I231" s="87"/>
      <x:c r="J231" s="11" t="str">
        <x:f>'Cumulative'!A202</x:f>
        <x:v>201</x:v>
      </x:c>
      <x:c r="K231" s="11" t="str">
        <x:f>'Cumulative'!D202</x:f>
        <x:v>-9.78253556984755</x:v>
      </x:c>
      <x:c r="L231" s="11" t="str">
        <x:f>'Cumulative'!E202</x:f>
        <x:v>-17.076071630735854</x:v>
      </x:c>
    </x:row>
    <x:row r="232">
      <x:c r="A232" s="11" t="str">
        <x:f>'Cumulative'!A203</x:f>
        <x:v>202</x:v>
      </x:c>
      <x:c r="B232" s="11" t="str">
        <x:f>'Cumulative'!B203</x:f>
      </x:c>
      <x:c r="C232" s="11" t="str">
        <x:f>'Cumulative'!C203</x:f>
        <x:v>-22.933214515604732</x:v>
      </x:c>
      <x:c r="D232" s="11" t="str">
        <x:f>'Cumulative'!D203</x:f>
        <x:v>-10.815635250330276</x:v>
      </x:c>
      <x:c r="E232" s="11" t="str">
        <x:f>'Cumulative'!E203</x:f>
        <x:v>-16.686965348098642</x:v>
      </x:c>
      <x:c r="G232" s="11" t="str">
        <x:f>'Cumulative'!A203</x:f>
        <x:v>202</x:v>
      </x:c>
      <x:c r="H232" s="11" t="str">
        <x:f>'Cumulative'!C203</x:f>
        <x:v>-22.933214515604732</x:v>
      </x:c>
      <x:c r="I232" s="87"/>
      <x:c r="J232" s="11" t="str">
        <x:f>'Cumulative'!A203</x:f>
        <x:v>202</x:v>
      </x:c>
      <x:c r="K232" s="11" t="str">
        <x:f>'Cumulative'!D203</x:f>
        <x:v>-10.815635250330276</x:v>
      </x:c>
      <x:c r="L232" s="11" t="str">
        <x:f>'Cumulative'!E203</x:f>
        <x:v>-16.686965348098642</x:v>
      </x:c>
    </x:row>
    <x:row r="233">
      <x:c r="A233" s="11" t="str">
        <x:f>'Cumulative'!A204</x:f>
        <x:v>203</x:v>
      </x:c>
      <x:c r="B233" s="11" t="str">
        <x:f>'Cumulative'!B204</x:f>
      </x:c>
      <x:c r="C233" s="11" t="str">
        <x:f>'Cumulative'!C204</x:f>
        <x:v>-21.985791491808236</x:v>
      </x:c>
      <x:c r="D233" s="11" t="str">
        <x:f>'Cumulative'!D204</x:f>
        <x:v>-10.323154264668586</x:v>
      </x:c>
      <x:c r="E233" s="11" t="str">
        <x:f>'Cumulative'!E204</x:f>
        <x:v>-17.703464751310133</x:v>
      </x:c>
      <x:c r="G233" s="11" t="str">
        <x:f>'Cumulative'!A204</x:f>
        <x:v>203</x:v>
      </x:c>
      <x:c r="H233" s="11" t="str">
        <x:f>'Cumulative'!C204</x:f>
        <x:v>-21.985791491808236</x:v>
      </x:c>
      <x:c r="I233" s="87"/>
      <x:c r="J233" s="11" t="str">
        <x:f>'Cumulative'!A204</x:f>
        <x:v>203</x:v>
      </x:c>
      <x:c r="K233" s="11" t="str">
        <x:f>'Cumulative'!D204</x:f>
        <x:v>-10.323154264668586</x:v>
      </x:c>
      <x:c r="L233" s="11" t="str">
        <x:f>'Cumulative'!E204</x:f>
        <x:v>-17.703464751310133</x:v>
      </x:c>
    </x:row>
    <x:row r="234">
      <x:c r="A234" s="11" t="str">
        <x:f>'Cumulative'!A205</x:f>
        <x:v>204</x:v>
      </x:c>
      <x:c r="B234" s="11" t="str">
        <x:f>'Cumulative'!B205</x:f>
      </x:c>
      <x:c r="C234" s="11" t="str">
        <x:f>'Cumulative'!C205</x:f>
        <x:v>-23.033736142755377</x:v>
      </x:c>
      <x:c r="D234" s="11" t="str">
        <x:f>'Cumulative'!D205</x:f>
        <x:v>-11.017139165938033</x:v>
      </x:c>
      <x:c r="E234" s="11" t="str">
        <x:f>'Cumulative'!E205</x:f>
        <x:v>-15.72204394894648</x:v>
      </x:c>
      <x:c r="G234" s="11" t="str">
        <x:f>'Cumulative'!A205</x:f>
        <x:v>204</x:v>
      </x:c>
      <x:c r="H234" s="11" t="str">
        <x:f>'Cumulative'!C205</x:f>
        <x:v>-23.033736142755377</x:v>
      </x:c>
      <x:c r="I234" s="87"/>
      <x:c r="J234" s="11" t="str">
        <x:f>'Cumulative'!A205</x:f>
        <x:v>204</x:v>
      </x:c>
      <x:c r="K234" s="11" t="str">
        <x:f>'Cumulative'!D205</x:f>
        <x:v>-11.017139165938033</x:v>
      </x:c>
      <x:c r="L234" s="11" t="str">
        <x:f>'Cumulative'!E205</x:f>
        <x:v>-15.72204394894648</x:v>
      </x:c>
    </x:row>
    <x:row r="235">
      <x:c r="A235" s="11" t="str">
        <x:f>'Cumulative'!A206</x:f>
        <x:v>205</x:v>
      </x:c>
      <x:c r="B235" s="11" t="str">
        <x:f>'Cumulative'!B206</x:f>
      </x:c>
      <x:c r="C235" s="11" t="str">
        <x:f>'Cumulative'!C206</x:f>
        <x:v>-24.07140666461391</x:v>
      </x:c>
      <x:c r="D235" s="11" t="str">
        <x:f>'Cumulative'!D206</x:f>
        <x:v>-12.049615975730639</x:v>
      </x:c>
      <x:c r="E235" s="11" t="str">
        <x:f>'Cumulative'!E206</x:f>
        <x:v>-15.49515659281683</x:v>
      </x:c>
      <x:c r="G235" s="11" t="str">
        <x:f>'Cumulative'!A206</x:f>
        <x:v>205</x:v>
      </x:c>
      <x:c r="H235" s="11" t="str">
        <x:f>'Cumulative'!C206</x:f>
        <x:v>-24.07140666461391</x:v>
      </x:c>
      <x:c r="I235" s="87"/>
      <x:c r="J235" s="11" t="str">
        <x:f>'Cumulative'!A206</x:f>
        <x:v>205</x:v>
      </x:c>
      <x:c r="K235" s="11" t="str">
        <x:f>'Cumulative'!D206</x:f>
        <x:v>-12.049615975730639</x:v>
      </x:c>
      <x:c r="L235" s="11" t="str">
        <x:f>'Cumulative'!E206</x:f>
        <x:v>-15.49515659281683</x:v>
      </x:c>
    </x:row>
    <x:row r="236">
      <x:c r="A236" s="11" t="str">
        <x:f>'Cumulative'!A207</x:f>
        <x:v>206</x:v>
      </x:c>
      <x:c r="B236" s="11" t="str">
        <x:f>'Cumulative'!B207</x:f>
      </x:c>
      <x:c r="C236" s="11" t="str">
        <x:f>'Cumulative'!C207</x:f>
        <x:v>-23.400272245103455</x:v>
      </x:c>
      <x:c r="D236" s="11" t="str">
        <x:f>'Cumulative'!D207</x:f>
        <x:v>-11.982579113199897</x:v>
      </x:c>
      <x:c r="E236" s="11" t="str">
        <x:f>'Cumulative'!E207</x:f>
        <x:v>-15.017443503875878</x:v>
      </x:c>
      <x:c r="G236" s="11" t="str">
        <x:f>'Cumulative'!A207</x:f>
        <x:v>206</x:v>
      </x:c>
      <x:c r="H236" s="11" t="str">
        <x:f>'Cumulative'!C207</x:f>
        <x:v>-23.400272245103455</x:v>
      </x:c>
      <x:c r="I236" s="87"/>
      <x:c r="J236" s="11" t="str">
        <x:f>'Cumulative'!A207</x:f>
        <x:v>206</x:v>
      </x:c>
      <x:c r="K236" s="11" t="str">
        <x:f>'Cumulative'!D207</x:f>
        <x:v>-11.982579113199897</x:v>
      </x:c>
      <x:c r="L236" s="11" t="str">
        <x:f>'Cumulative'!E207</x:f>
        <x:v>-15.017443503875878</x:v>
      </x:c>
    </x:row>
    <x:row r="237">
      <x:c r="A237" s="11" t="str">
        <x:f>'Cumulative'!A208</x:f>
        <x:v>207</x:v>
      </x:c>
      <x:c r="B237" s="11" t="str">
        <x:f>'Cumulative'!B208</x:f>
      </x:c>
      <x:c r="C237" s="11" t="str">
        <x:f>'Cumulative'!C208</x:f>
        <x:v>-24.44647049154403</x:v>
      </x:c>
      <x:c r="D237" s="11" t="str">
        <x:f>'Cumulative'!D208</x:f>
        <x:v>-11.858824670980056</x:v>
      </x:c>
      <x:c r="E237" s="11" t="str">
        <x:f>'Cumulative'!E208</x:f>
        <x:v>-13.05572826354209</x:v>
      </x:c>
      <x:c r="G237" s="11" t="str">
        <x:f>'Cumulative'!A208</x:f>
        <x:v>207</x:v>
      </x:c>
      <x:c r="H237" s="11" t="str">
        <x:f>'Cumulative'!C208</x:f>
        <x:v>-24.44647049154403</x:v>
      </x:c>
      <x:c r="I237" s="87"/>
      <x:c r="J237" s="11" t="str">
        <x:f>'Cumulative'!A208</x:f>
        <x:v>207</x:v>
      </x:c>
      <x:c r="K237" s="11" t="str">
        <x:f>'Cumulative'!D208</x:f>
        <x:v>-11.858824670980056</x:v>
      </x:c>
      <x:c r="L237" s="11" t="str">
        <x:f>'Cumulative'!E208</x:f>
        <x:v>-13.05572826354209</x:v>
      </x:c>
    </x:row>
    <x:row r="238">
      <x:c r="A238" s="11" t="str">
        <x:f>'Cumulative'!A209</x:f>
        <x:v>208</x:v>
      </x:c>
      <x:c r="B238" s="11" t="str">
        <x:f>'Cumulative'!B209</x:f>
      </x:c>
      <x:c r="C238" s="11" t="str">
        <x:f>'Cumulative'!C209</x:f>
        <x:v>-22.470161398503578</x:v>
      </x:c>
      <x:c r="D238" s="11" t="str">
        <x:f>'Cumulative'!D209</x:f>
        <x:v>-12.881090546756477</x:v>
      </x:c>
      <x:c r="E238" s="11" t="str">
        <x:f>'Cumulative'!E209</x:f>
        <x:v>-14.093448109935457</x:v>
      </x:c>
      <x:c r="G238" s="11" t="str">
        <x:f>'Cumulative'!A209</x:f>
        <x:v>208</x:v>
      </x:c>
      <x:c r="H238" s="11" t="str">
        <x:f>'Cumulative'!C209</x:f>
        <x:v>-22.470161398503578</x:v>
      </x:c>
      <x:c r="I238" s="87"/>
      <x:c r="J238" s="11" t="str">
        <x:f>'Cumulative'!A209</x:f>
        <x:v>208</x:v>
      </x:c>
      <x:c r="K238" s="11" t="str">
        <x:f>'Cumulative'!D209</x:f>
        <x:v>-12.881090546756477</x:v>
      </x:c>
      <x:c r="L238" s="11" t="str">
        <x:f>'Cumulative'!E209</x:f>
        <x:v>-14.093448109935457</x:v>
      </x:c>
    </x:row>
    <x:row r="239">
      <x:c r="A239" s="11" t="str">
        <x:f>'Cumulative'!A210</x:f>
        <x:v>209</x:v>
      </x:c>
      <x:c r="B239" s="11" t="str">
        <x:f>'Cumulative'!B210</x:f>
      </x:c>
      <x:c r="C239" s="11" t="str">
        <x:f>'Cumulative'!C210</x:f>
        <x:v>-23.48644362851698</x:v>
      </x:c>
      <x:c r="D239" s="11" t="str">
        <x:f>'Cumulative'!D210</x:f>
        <x:v>-12.993734091048571</x:v>
      </x:c>
      <x:c r="E239" s="11" t="str">
        <x:f>'Cumulative'!E210</x:f>
        <x:v>-14.32876900340459</x:v>
      </x:c>
      <x:c r="G239" s="11" t="str">
        <x:f>'Cumulative'!A210</x:f>
        <x:v>209</x:v>
      </x:c>
      <x:c r="H239" s="11" t="str">
        <x:f>'Cumulative'!C210</x:f>
        <x:v>-23.48644362851698</x:v>
      </x:c>
      <x:c r="I239" s="87"/>
      <x:c r="J239" s="11" t="str">
        <x:f>'Cumulative'!A210</x:f>
        <x:v>209</x:v>
      </x:c>
      <x:c r="K239" s="11" t="str">
        <x:f>'Cumulative'!D210</x:f>
        <x:v>-12.993734091048571</x:v>
      </x:c>
      <x:c r="L239" s="11" t="str">
        <x:f>'Cumulative'!E210</x:f>
        <x:v>-14.32876900340459</x:v>
      </x:c>
    </x:row>
    <x:row r="240">
      <x:c r="A240" s="11" t="str">
        <x:f>'Cumulative'!A211</x:f>
        <x:v>210</x:v>
      </x:c>
      <x:c r="B240" s="11" t="str">
        <x:f>'Cumulative'!B211</x:f>
      </x:c>
      <x:c r="C240" s="11" t="str">
        <x:f>'Cumulative'!C211</x:f>
        <x:v>-23.016280724995234</x:v>
      </x:c>
      <x:c r="D240" s="11" t="str">
        <x:f>'Cumulative'!D211</x:f>
        <x:v>-14.040373403951696</x:v>
      </x:c>
      <x:c r="E240" s="11" t="str">
        <x:f>'Cumulative'!E211</x:f>
        <x:v>-15.362246852211936</x:v>
      </x:c>
      <x:c r="G240" s="11" t="str">
        <x:f>'Cumulative'!A211</x:f>
        <x:v>210</x:v>
      </x:c>
      <x:c r="H240" s="11" t="str">
        <x:f>'Cumulative'!C211</x:f>
        <x:v>-23.016280724995234</x:v>
      </x:c>
      <x:c r="I240" s="87"/>
      <x:c r="J240" s="11" t="str">
        <x:f>'Cumulative'!A211</x:f>
        <x:v>210</x:v>
      </x:c>
      <x:c r="K240" s="11" t="str">
        <x:f>'Cumulative'!D211</x:f>
        <x:v>-14.040373403951696</x:v>
      </x:c>
      <x:c r="L240" s="11" t="str">
        <x:f>'Cumulative'!E211</x:f>
        <x:v>-15.362246852211936</x:v>
      </x:c>
    </x:row>
    <x:row r="241">
      <x:c r="A241" s="11" t="str">
        <x:f>'Cumulative'!A212</x:f>
        <x:v>211</x:v>
      </x:c>
      <x:c r="B241" s="11" t="str">
        <x:f>'Cumulative'!B212</x:f>
      </x:c>
      <x:c r="C241" s="11" t="str">
        <x:f>'Cumulative'!C212</x:f>
        <x:v>-22.988609038993584</x:v>
      </x:c>
      <x:c r="D241" s="11" t="str">
        <x:f>'Cumulative'!D212</x:f>
        <x:v>-15.066140138773848</x:v>
      </x:c>
      <x:c r="E241" s="11" t="str">
        <x:f>'Cumulative'!E212</x:f>
        <x:v>-13.409369848970996</x:v>
      </x:c>
      <x:c r="G241" s="11" t="str">
        <x:f>'Cumulative'!A212</x:f>
        <x:v>211</x:v>
      </x:c>
      <x:c r="H241" s="11" t="str">
        <x:f>'Cumulative'!C212</x:f>
        <x:v>-22.988609038993584</x:v>
      </x:c>
      <x:c r="I241" s="87"/>
      <x:c r="J241" s="11" t="str">
        <x:f>'Cumulative'!A212</x:f>
        <x:v>211</x:v>
      </x:c>
      <x:c r="K241" s="11" t="str">
        <x:f>'Cumulative'!D212</x:f>
        <x:v>-15.066140138773848</x:v>
      </x:c>
      <x:c r="L241" s="11" t="str">
        <x:f>'Cumulative'!E212</x:f>
        <x:v>-13.409369848970996</x:v>
      </x:c>
    </x:row>
    <x:row r="242">
      <x:c r="A242" s="11" t="str">
        <x:f>'Cumulative'!A213</x:f>
        <x:v>212</x:v>
      </x:c>
      <x:c r="B242" s="11" t="str">
        <x:f>'Cumulative'!B213</x:f>
      </x:c>
      <x:c r="C242" s="11" t="str">
        <x:f>'Cumulative'!C213</x:f>
        <x:v>-24.008216647971746</x:v>
      </x:c>
      <x:c r="D242" s="11" t="str">
        <x:f>'Cumulative'!D213</x:f>
        <x:v>-13.11221144381905</x:v>
      </x:c>
      <x:c r="E242" s="11" t="str">
        <x:f>'Cumulative'!E213</x:f>
        <x:v>-13.550697764093695</x:v>
      </x:c>
      <x:c r="G242" s="11" t="str">
        <x:f>'Cumulative'!A213</x:f>
        <x:v>212</x:v>
      </x:c>
      <x:c r="H242" s="11" t="str">
        <x:f>'Cumulative'!C213</x:f>
        <x:v>-24.008216647971746</x:v>
      </x:c>
      <x:c r="I242" s="87"/>
      <x:c r="J242" s="11" t="str">
        <x:f>'Cumulative'!A213</x:f>
        <x:v>212</x:v>
      </x:c>
      <x:c r="K242" s="11" t="str">
        <x:f>'Cumulative'!D213</x:f>
        <x:v>-13.11221144381905</x:v>
      </x:c>
      <x:c r="L242" s="11" t="str">
        <x:f>'Cumulative'!E213</x:f>
        <x:v>-13.550697764093695</x:v>
      </x:c>
    </x:row>
    <x:row r="243">
      <x:c r="A243" s="11" t="str">
        <x:f>'Cumulative'!A214</x:f>
        <x:v>213</x:v>
      </x:c>
      <x:c r="B243" s="11" t="str">
        <x:f>'Cumulative'!B214</x:f>
      </x:c>
      <x:c r="C243" s="11" t="str">
        <x:f>'Cumulative'!C214</x:f>
        <x:v>-25.02244081915331</x:v>
      </x:c>
      <x:c r="D243" s="11" t="str">
        <x:f>'Cumulative'!D214</x:f>
        <x:v>-12.441728953010717</x:v>
      </x:c>
      <x:c r="E243" s="11" t="str">
        <x:f>'Cumulative'!E214</x:f>
        <x:v>-12.733246094047084</x:v>
      </x:c>
      <x:c r="G243" s="11" t="str">
        <x:f>'Cumulative'!A214</x:f>
        <x:v>213</x:v>
      </x:c>
      <x:c r="H243" s="11" t="str">
        <x:f>'Cumulative'!C214</x:f>
        <x:v>-25.02244081915331</x:v>
      </x:c>
      <x:c r="I243" s="87"/>
      <x:c r="J243" s="11" t="str">
        <x:f>'Cumulative'!A214</x:f>
        <x:v>213</x:v>
      </x:c>
      <x:c r="K243" s="11" t="str">
        <x:f>'Cumulative'!D214</x:f>
        <x:v>-12.441728953010717</x:v>
      </x:c>
      <x:c r="L243" s="11" t="str">
        <x:f>'Cumulative'!E214</x:f>
        <x:v>-12.733246094047084</x:v>
      </x:c>
    </x:row>
    <x:row r="244">
      <x:c r="A244" s="11" t="str">
        <x:f>'Cumulative'!A215</x:f>
        <x:v>214</x:v>
      </x:c>
      <x:c r="B244" s="11" t="str">
        <x:f>'Cumulative'!B215</x:f>
      </x:c>
      <x:c r="C244" s="11" t="str">
        <x:f>'Cumulative'!C215</x:f>
        <x:v>-25.934004529735077</x:v>
      </x:c>
      <x:c r="D244" s="11" t="str">
        <x:f>'Cumulative'!D215</x:f>
        <x:v>-10.485385325878037</x:v>
      </x:c>
      <x:c r="E244" s="11" t="str">
        <x:f>'Cumulative'!E215</x:f>
        <x:v>-13.77370158611486</x:v>
      </x:c>
      <x:c r="G244" s="11" t="str">
        <x:f>'Cumulative'!A215</x:f>
        <x:v>214</x:v>
      </x:c>
      <x:c r="H244" s="11" t="str">
        <x:f>'Cumulative'!C215</x:f>
        <x:v>-25.934004529735077</x:v>
      </x:c>
      <x:c r="I244" s="87"/>
      <x:c r="J244" s="11" t="str">
        <x:f>'Cumulative'!A215</x:f>
        <x:v>214</x:v>
      </x:c>
      <x:c r="K244" s="11" t="str">
        <x:f>'Cumulative'!D215</x:f>
        <x:v>-10.485385325878037</x:v>
      </x:c>
      <x:c r="L244" s="11" t="str">
        <x:f>'Cumulative'!E215</x:f>
        <x:v>-13.77370158611486</x:v>
      </x:c>
    </x:row>
    <x:row r="245">
      <x:c r="A245" s="11" t="str">
        <x:f>'Cumulative'!A216</x:f>
        <x:v>215</x:v>
      </x:c>
      <x:c r="B245" s="11" t="str">
        <x:f>'Cumulative'!B216</x:f>
      </x:c>
      <x:c r="C245" s="11" t="str">
        <x:f>'Cumulative'!C216</x:f>
        <x:v>-26.600388067525152</x:v>
      </x:c>
      <x:c r="D245" s="11" t="str">
        <x:f>'Cumulative'!D216</x:f>
        <x:v>-11.519577219444418</x:v>
      </x:c>
      <x:c r="E245" s="11" t="str">
        <x:f>'Cumulative'!E216</x:f>
        <x:v>-14.795590122686624</x:v>
      </x:c>
      <x:c r="G245" s="11" t="str">
        <x:f>'Cumulative'!A216</x:f>
        <x:v>215</x:v>
      </x:c>
      <x:c r="H245" s="11" t="str">
        <x:f>'Cumulative'!C216</x:f>
        <x:v>-26.600388067525152</x:v>
      </x:c>
      <x:c r="I245" s="87"/>
      <x:c r="J245" s="11" t="str">
        <x:f>'Cumulative'!A216</x:f>
        <x:v>215</x:v>
      </x:c>
      <x:c r="K245" s="11" t="str">
        <x:f>'Cumulative'!D216</x:f>
        <x:v>-11.519577219444418</x:v>
      </x:c>
      <x:c r="L245" s="11" t="str">
        <x:f>'Cumulative'!E216</x:f>
        <x:v>-14.795590122686624</x:v>
      </x:c>
    </x:row>
    <x:row r="246">
      <x:c r="A246" s="11" t="str">
        <x:f>'Cumulative'!A217</x:f>
        <x:v>216</x:v>
      </x:c>
      <x:c r="B246" s="11" t="str">
        <x:f>'Cumulative'!B217</x:f>
      </x:c>
      <x:c r="C246" s="11" t="str">
        <x:f>'Cumulative'!C217</x:f>
        <x:v>-25.27948937390093</x:v>
      </x:c>
      <x:c r="D246" s="11" t="str">
        <x:f>'Cumulative'!D217</x:f>
        <x:v>-12.552663129384364</x:v>
      </x:c>
      <x:c r="E246" s="11" t="str">
        <x:f>'Cumulative'!E217</x:f>
        <x:v>-15.843555450054728</x:v>
      </x:c>
      <x:c r="G246" s="11" t="str">
        <x:f>'Cumulative'!A217</x:f>
        <x:v>216</x:v>
      </x:c>
      <x:c r="H246" s="11" t="str">
        <x:f>'Cumulative'!C217</x:f>
        <x:v>-25.27948937390093</x:v>
      </x:c>
      <x:c r="I246" s="87"/>
      <x:c r="J246" s="11" t="str">
        <x:f>'Cumulative'!A217</x:f>
        <x:v>216</x:v>
      </x:c>
      <x:c r="K246" s="11" t="str">
        <x:f>'Cumulative'!D217</x:f>
        <x:v>-12.552663129384364</x:v>
      </x:c>
      <x:c r="L246" s="11" t="str">
        <x:f>'Cumulative'!E217</x:f>
        <x:v>-15.843555450054728</x:v>
      </x:c>
    </x:row>
    <x:row r="247">
      <x:c r="A247" s="11" t="str">
        <x:f>'Cumulative'!A218</x:f>
        <x:v>217</x:v>
      </x:c>
      <x:c r="B247" s="11" t="str">
        <x:f>'Cumulative'!B218</x:f>
      </x:c>
      <x:c r="C247" s="11" t="str">
        <x:f>'Cumulative'!C218</x:f>
        <x:v>-23.306957417330747</x:v>
      </x:c>
      <x:c r="D247" s="11" t="str">
        <x:f>'Cumulative'!D218</x:f>
        <x:v>-13.582940817674793</x:v>
      </x:c>
      <x:c r="E247" s="11" t="str">
        <x:f>'Cumulative'!E218</x:f>
        <x:v>-13.892598719853252</x:v>
      </x:c>
      <x:c r="G247" s="11" t="str">
        <x:f>'Cumulative'!A218</x:f>
        <x:v>217</x:v>
      </x:c>
      <x:c r="H247" s="11" t="str">
        <x:f>'Cumulative'!C218</x:f>
        <x:v>-23.306957417330747</x:v>
      </x:c>
      <x:c r="I247" s="87"/>
      <x:c r="J247" s="11" t="str">
        <x:f>'Cumulative'!A218</x:f>
        <x:v>217</x:v>
      </x:c>
      <x:c r="K247" s="11" t="str">
        <x:f>'Cumulative'!D218</x:f>
        <x:v>-13.582940817674793</x:v>
      </x:c>
      <x:c r="L247" s="11" t="str">
        <x:f>'Cumulative'!E218</x:f>
        <x:v>-13.892598719853252</x:v>
      </x:c>
    </x:row>
    <x:row r="248">
      <x:c r="A248" s="11" t="str">
        <x:f>'Cumulative'!A219</x:f>
        <x:v>218</x:v>
      </x:c>
      <x:c r="B248" s="11" t="str">
        <x:f>'Cumulative'!B219</x:f>
      </x:c>
      <x:c r="C248" s="11" t="str">
        <x:f>'Cumulative'!C219</x:f>
        <x:v>-21.650763851590717</x:v>
      </x:c>
      <x:c r="D248" s="11" t="str">
        <x:f>'Cumulative'!D219</x:f>
        <x:v>-13.14707484703178</x:v>
      </x:c>
      <x:c r="E248" s="11" t="str">
        <x:f>'Cumulative'!E219</x:f>
        <x:v>-12.861271715655711</x:v>
      </x:c>
      <x:c r="G248" s="11" t="str">
        <x:f>'Cumulative'!A219</x:f>
        <x:v>218</x:v>
      </x:c>
      <x:c r="H248" s="11" t="str">
        <x:f>'Cumulative'!C219</x:f>
        <x:v>-21.650763851590717</x:v>
      </x:c>
      <x:c r="I248" s="87"/>
      <x:c r="J248" s="11" t="str">
        <x:f>'Cumulative'!A219</x:f>
        <x:v>218</x:v>
      </x:c>
      <x:c r="K248" s="11" t="str">
        <x:f>'Cumulative'!D219</x:f>
        <x:v>-13.14707484703178</x:v>
      </x:c>
      <x:c r="L248" s="11" t="str">
        <x:f>'Cumulative'!E219</x:f>
        <x:v>-12.861271715655711</x:v>
      </x:c>
    </x:row>
    <x:row r="249">
      <x:c r="A249" s="11" t="str">
        <x:f>'Cumulative'!A220</x:f>
        <x:v>219</x:v>
      </x:c>
      <x:c r="B249" s="11" t="str">
        <x:f>'Cumulative'!B220</x:f>
      </x:c>
      <x:c r="C249" s="11" t="str">
        <x:f>'Cumulative'!C220</x:f>
        <x:v>-21.010158686029584</x:v>
      </x:c>
      <x:c r="D249" s="11" t="str">
        <x:f>'Cumulative'!D220</x:f>
        <x:v>-14.19297662511359</x:v>
      </x:c>
      <x:c r="E249" s="11" t="str">
        <x:f>'Cumulative'!E220</x:f>
        <x:v>-12.918043037897345</x:v>
      </x:c>
      <x:c r="G249" s="11" t="str">
        <x:f>'Cumulative'!A220</x:f>
        <x:v>219</x:v>
      </x:c>
      <x:c r="H249" s="11" t="str">
        <x:f>'Cumulative'!C220</x:f>
        <x:v>-21.010158686029584</x:v>
      </x:c>
      <x:c r="I249" s="87"/>
      <x:c r="J249" s="11" t="str">
        <x:f>'Cumulative'!A220</x:f>
        <x:v>219</x:v>
      </x:c>
      <x:c r="K249" s="11" t="str">
        <x:f>'Cumulative'!D220</x:f>
        <x:v>-14.19297662511359</x:v>
      </x:c>
      <x:c r="L249" s="11" t="str">
        <x:f>'Cumulative'!E220</x:f>
        <x:v>-12.918043037897345</x:v>
      </x:c>
    </x:row>
    <x:row r="250">
      <x:c r="A250" s="11" t="str">
        <x:f>'Cumulative'!A221</x:f>
        <x:v>220</x:v>
      </x:c>
      <x:c r="B250" s="11" t="str">
        <x:f>'Cumulative'!B221</x:f>
      </x:c>
      <x:c r="C250" s="11" t="str">
        <x:f>'Cumulative'!C221</x:f>
        <x:v>-21.03155026635997</x:v>
      </x:c>
      <x:c r="D250" s="11" t="str">
        <x:f>'Cumulative'!D221</x:f>
        <x:v>-13.981608689581371</x:v>
      </x:c>
      <x:c r="E250" s="11" t="str">
        <x:f>'Cumulative'!E221</x:f>
        <x:v>-13.949932464582034</x:v>
      </x:c>
      <x:c r="G250" s="11" t="str">
        <x:f>'Cumulative'!A221</x:f>
        <x:v>220</x:v>
      </x:c>
      <x:c r="H250" s="11" t="str">
        <x:f>'Cumulative'!C221</x:f>
        <x:v>-21.03155026635997</x:v>
      </x:c>
      <x:c r="I250" s="87"/>
      <x:c r="J250" s="11" t="str">
        <x:f>'Cumulative'!A221</x:f>
        <x:v>220</x:v>
      </x:c>
      <x:c r="K250" s="11" t="str">
        <x:f>'Cumulative'!D221</x:f>
        <x:v>-13.981608689581371</x:v>
      </x:c>
      <x:c r="L250" s="11" t="str">
        <x:f>'Cumulative'!E221</x:f>
        <x:v>-13.949932464582034</x:v>
      </x:c>
    </x:row>
    <x:row r="251">
      <x:c r="A251" s="11" t="str">
        <x:f>'Cumulative'!A222</x:f>
        <x:v>221</x:v>
      </x:c>
      <x:c r="B251" s="11" t="str">
        <x:f>'Cumulative'!B222</x:f>
      </x:c>
      <x:c r="C251" s="11" t="str">
        <x:f>'Cumulative'!C222</x:f>
        <x:v>-22.05525601199542</x:v>
      </x:c>
      <x:c r="D251" s="11" t="str">
        <x:f>'Cumulative'!D222</x:f>
        <x:v>-14.998190445669058</x:v>
      </x:c>
      <x:c r="E251" s="11" t="str">
        <x:f>'Cumulative'!E222</x:f>
        <x:v>-12.015301329212805</x:v>
      </x:c>
      <x:c r="G251" s="11" t="str">
        <x:f>'Cumulative'!A222</x:f>
        <x:v>221</x:v>
      </x:c>
      <x:c r="H251" s="11" t="str">
        <x:f>'Cumulative'!C222</x:f>
        <x:v>-22.05525601199542</x:v>
      </x:c>
      <x:c r="I251" s="87"/>
      <x:c r="J251" s="11" t="str">
        <x:f>'Cumulative'!A222</x:f>
        <x:v>221</x:v>
      </x:c>
      <x:c r="K251" s="11" t="str">
        <x:f>'Cumulative'!D222</x:f>
        <x:v>-14.998190445669058</x:v>
      </x:c>
      <x:c r="L251" s="11" t="str">
        <x:f>'Cumulative'!E222</x:f>
        <x:v>-12.015301329212805</x:v>
      </x:c>
    </x:row>
    <x:row r="252">
      <x:c r="A252" s="11" t="str">
        <x:f>'Cumulative'!A223</x:f>
        <x:v>222</x:v>
      </x:c>
      <x:c r="B252" s="11" t="str">
        <x:f>'Cumulative'!B223</x:f>
      </x:c>
      <x:c r="C252" s="11" t="str">
        <x:f>'Cumulative'!C223</x:f>
        <x:v>-23.088919037784134</x:v>
      </x:c>
      <x:c r="D252" s="11" t="str">
        <x:f>'Cumulative'!D223</x:f>
        <x:v>-16.022888299611665</x:v>
      </x:c>
      <x:c r="E252" s="11" t="str">
        <x:f>'Cumulative'!E223</x:f>
        <x:v>-13.049150878932851</x:v>
      </x:c>
      <x:c r="G252" s="11" t="str">
        <x:f>'Cumulative'!A223</x:f>
        <x:v>222</x:v>
      </x:c>
      <x:c r="H252" s="11" t="str">
        <x:f>'Cumulative'!C223</x:f>
        <x:v>-23.088919037784134</x:v>
      </x:c>
      <x:c r="I252" s="87"/>
      <x:c r="J252" s="11" t="str">
        <x:f>'Cumulative'!A223</x:f>
        <x:v>222</x:v>
      </x:c>
      <x:c r="K252" s="11" t="str">
        <x:f>'Cumulative'!D223</x:f>
        <x:v>-16.022888299611665</x:v>
      </x:c>
      <x:c r="L252" s="11" t="str">
        <x:f>'Cumulative'!E223</x:f>
        <x:v>-13.049150878932851</x:v>
      </x:c>
    </x:row>
    <x:row r="253">
      <x:c r="A253" s="11" t="str">
        <x:f>'Cumulative'!A224</x:f>
        <x:v>223</x:v>
      </x:c>
      <x:c r="B253" s="11" t="str">
        <x:f>'Cumulative'!B224</x:f>
      </x:c>
      <x:c r="C253" s="11" t="str">
        <x:f>'Cumulative'!C224</x:f>
        <x:v>-23.829027894278926</x:v>
      </x:c>
      <x:c r="D253" s="11" t="str">
        <x:f>'Cumulative'!D224</x:f>
        <x:v>-15.78675175089114</x:v>
      </x:c>
      <x:c r="E253" s="11" t="str">
        <x:f>'Cumulative'!E224</x:f>
        <x:v>-14.08204287476104</x:v>
      </x:c>
      <x:c r="G253" s="11" t="str">
        <x:f>'Cumulative'!A224</x:f>
        <x:v>223</x:v>
      </x:c>
      <x:c r="H253" s="11" t="str">
        <x:f>'Cumulative'!C224</x:f>
        <x:v>-23.829027894278926</x:v>
      </x:c>
      <x:c r="I253" s="87"/>
      <x:c r="J253" s="11" t="str">
        <x:f>'Cumulative'!A224</x:f>
        <x:v>223</x:v>
      </x:c>
      <x:c r="K253" s="11" t="str">
        <x:f>'Cumulative'!D224</x:f>
        <x:v>-15.78675175089114</x:v>
      </x:c>
      <x:c r="L253" s="11" t="str">
        <x:f>'Cumulative'!E224</x:f>
        <x:v>-14.08204287476104</x:v>
      </x:c>
    </x:row>
    <x:row r="254">
      <x:c r="A254" s="11" t="str">
        <x:f>'Cumulative'!A225</x:f>
        <x:v>224</x:v>
      </x:c>
      <x:c r="B254" s="11" t="str">
        <x:f>'Cumulative'!B225</x:f>
      </x:c>
      <x:c r="C254" s="11" t="str">
        <x:f>'Cumulative'!C225</x:f>
        <x:v>-22.727531149305676</x:v>
      </x:c>
      <x:c r="D254" s="11" t="str">
        <x:f>'Cumulative'!D225</x:f>
        <x:v>-14.519458035330674</x:v>
      </x:c>
      <x:c r="E254" s="11" t="str">
        <x:f>'Cumulative'!E225</x:f>
        <x:v>-14.534644071917434</x:v>
      </x:c>
      <x:c r="G254" s="11" t="str">
        <x:f>'Cumulative'!A225</x:f>
        <x:v>224</x:v>
      </x:c>
      <x:c r="H254" s="11" t="str">
        <x:f>'Cumulative'!C225</x:f>
        <x:v>-22.727531149305676</x:v>
      </x:c>
      <x:c r="I254" s="87"/>
      <x:c r="J254" s="11" t="str">
        <x:f>'Cumulative'!A225</x:f>
        <x:v>224</x:v>
      </x:c>
      <x:c r="K254" s="11" t="str">
        <x:f>'Cumulative'!D225</x:f>
        <x:v>-14.519458035330674</x:v>
      </x:c>
      <x:c r="L254" s="11" t="str">
        <x:f>'Cumulative'!E225</x:f>
        <x:v>-14.534644071917434</x:v>
      </x:c>
    </x:row>
    <x:row r="255">
      <x:c r="A255" s="11" t="str">
        <x:f>'Cumulative'!A226</x:f>
        <x:v>225</x:v>
      </x:c>
      <x:c r="B255" s="11" t="str">
        <x:f>'Cumulative'!B226</x:f>
      </x:c>
      <x:c r="C255" s="11" t="str">
        <x:f>'Cumulative'!C226</x:f>
        <x:v>-21.336123068350513</x:v>
      </x:c>
      <x:c r="D255" s="11" t="str">
        <x:f>'Cumulative'!D226</x:f>
        <x:v>-15.543903998563016</x:v>
      </x:c>
      <x:c r="E255" s="11" t="str">
        <x:f>'Cumulative'!E226</x:f>
        <x:v>-15.620821325246206</x:v>
      </x:c>
      <x:c r="G255" s="11" t="str">
        <x:f>'Cumulative'!A226</x:f>
        <x:v>225</x:v>
      </x:c>
      <x:c r="H255" s="11" t="str">
        <x:f>'Cumulative'!C226</x:f>
        <x:v>-21.336123068350513</x:v>
      </x:c>
      <x:c r="I255" s="87"/>
      <x:c r="J255" s="11" t="str">
        <x:f>'Cumulative'!A226</x:f>
        <x:v>225</x:v>
      </x:c>
      <x:c r="K255" s="11" t="str">
        <x:f>'Cumulative'!D226</x:f>
        <x:v>-15.543903998563016</x:v>
      </x:c>
      <x:c r="L255" s="11" t="str">
        <x:f>'Cumulative'!E226</x:f>
        <x:v>-15.620821325246206</x:v>
      </x:c>
    </x:row>
    <x:row r="256">
      <x:c r="A256" s="11" t="str">
        <x:f>'Cumulative'!A227</x:f>
        <x:v>226</x:v>
      </x:c>
      <x:c r="B256" s="11" t="str">
        <x:f>'Cumulative'!B227</x:f>
      </x:c>
      <x:c r="C256" s="11" t="str">
        <x:f>'Cumulative'!C227</x:f>
        <x:v>-22.410812821480746</x:v>
      </x:c>
      <x:c r="D256" s="11" t="str">
        <x:f>'Cumulative'!D227</x:f>
        <x:v>-16.613813201700836</x:v>
      </x:c>
      <x:c r="E256" s="11" t="str">
        <x:f>'Cumulative'!E227</x:f>
        <x:v>-16.675722161814186</x:v>
      </x:c>
      <x:c r="G256" s="11" t="str">
        <x:f>'Cumulative'!A227</x:f>
        <x:v>226</x:v>
      </x:c>
      <x:c r="H256" s="11" t="str">
        <x:f>'Cumulative'!C227</x:f>
        <x:v>-22.410812821480746</x:v>
      </x:c>
      <x:c r="I256" s="87"/>
      <x:c r="J256" s="11" t="str">
        <x:f>'Cumulative'!A227</x:f>
        <x:v>226</x:v>
      </x:c>
      <x:c r="K256" s="11" t="str">
        <x:f>'Cumulative'!D227</x:f>
        <x:v>-16.613813201700836</x:v>
      </x:c>
      <x:c r="L256" s="11" t="str">
        <x:f>'Cumulative'!E227</x:f>
        <x:v>-16.675722161814186</x:v>
      </x:c>
    </x:row>
    <x:row r="257">
      <x:c r="A257" s="11" t="str">
        <x:f>'Cumulative'!A228</x:f>
        <x:v>227</x:v>
      </x:c>
      <x:c r="B257" s="11" t="str">
        <x:f>'Cumulative'!B228</x:f>
      </x:c>
      <x:c r="C257" s="11" t="str">
        <x:f>'Cumulative'!C228</x:f>
        <x:v>-23.457757630714376</x:v>
      </x:c>
      <x:c r="D257" s="11" t="str">
        <x:f>'Cumulative'!D228</x:f>
        <x:v>-14.672315574352337</x:v>
      </x:c>
      <x:c r="E257" s="11" t="str">
        <x:f>'Cumulative'!E228</x:f>
        <x:v>-17.702438520096273</x:v>
      </x:c>
      <x:c r="G257" s="11" t="str">
        <x:f>'Cumulative'!A228</x:f>
        <x:v>227</x:v>
      </x:c>
      <x:c r="H257" s="11" t="str">
        <x:f>'Cumulative'!C228</x:f>
        <x:v>-23.457757630714376</x:v>
      </x:c>
      <x:c r="I257" s="87"/>
      <x:c r="J257" s="11" t="str">
        <x:f>'Cumulative'!A228</x:f>
        <x:v>227</x:v>
      </x:c>
      <x:c r="K257" s="11" t="str">
        <x:f>'Cumulative'!D228</x:f>
        <x:v>-14.672315574352337</x:v>
      </x:c>
      <x:c r="L257" s="11" t="str">
        <x:f>'Cumulative'!E228</x:f>
        <x:v>-17.702438520096273</x:v>
      </x:c>
    </x:row>
    <x:row r="258">
      <x:c r="A258" s="11" t="str">
        <x:f>'Cumulative'!A229</x:f>
        <x:v>228</x:v>
      </x:c>
      <x:c r="B258" s="11" t="str">
        <x:f>'Cumulative'!B229</x:f>
      </x:c>
      <x:c r="C258" s="11" t="str">
        <x:f>'Cumulative'!C229</x:f>
        <x:v>-24.51595723407652</x:v>
      </x:c>
      <x:c r="D258" s="11" t="str">
        <x:f>'Cumulative'!D229</x:f>
        <x:v>-14.234390912993847</x:v>
      </x:c>
      <x:c r="E258" s="11" t="str">
        <x:f>'Cumulative'!E229</x:f>
        <x:v>-18.737972512774842</x:v>
      </x:c>
      <x:c r="G258" s="11" t="str">
        <x:f>'Cumulative'!A229</x:f>
        <x:v>228</x:v>
      </x:c>
      <x:c r="H258" s="11" t="str">
        <x:f>'Cumulative'!C229</x:f>
        <x:v>-24.51595723407652</x:v>
      </x:c>
      <x:c r="I258" s="87"/>
      <x:c r="J258" s="11" t="str">
        <x:f>'Cumulative'!A229</x:f>
        <x:v>228</x:v>
      </x:c>
      <x:c r="K258" s="11" t="str">
        <x:f>'Cumulative'!D229</x:f>
        <x:v>-14.234390912993847</x:v>
      </x:c>
      <x:c r="L258" s="11" t="str">
        <x:f>'Cumulative'!E229</x:f>
        <x:v>-18.737972512774842</x:v>
      </x:c>
    </x:row>
    <x:row r="259">
      <x:c r="A259" s="11" t="str">
        <x:f>'Cumulative'!A230</x:f>
        <x:v>229</x:v>
      </x:c>
      <x:c r="B259" s="11" t="str">
        <x:f>'Cumulative'!B230</x:f>
      </x:c>
      <x:c r="C259" s="11" t="str">
        <x:f>'Cumulative'!C230</x:f>
        <x:v>-25.569769715564913</x:v>
      </x:c>
      <x:c r="D259" s="11" t="str">
        <x:f>'Cumulative'!D230</x:f>
        <x:v>-12.253685283562005</x:v>
      </x:c>
      <x:c r="E259" s="11" t="str">
        <x:f>'Cumulative'!E230</x:f>
        <x:v>-19.770068672368822</x:v>
      </x:c>
      <x:c r="G259" s="11" t="str">
        <x:f>'Cumulative'!A230</x:f>
        <x:v>229</x:v>
      </x:c>
      <x:c r="H259" s="11" t="str">
        <x:f>'Cumulative'!C230</x:f>
        <x:v>-25.569769715564913</x:v>
      </x:c>
      <x:c r="I259" s="87"/>
      <x:c r="J259" s="11" t="str">
        <x:f>'Cumulative'!A230</x:f>
        <x:v>229</x:v>
      </x:c>
      <x:c r="K259" s="11" t="str">
        <x:f>'Cumulative'!D230</x:f>
        <x:v>-12.253685283562005</x:v>
      </x:c>
      <x:c r="L259" s="11" t="str">
        <x:f>'Cumulative'!E230</x:f>
        <x:v>-19.770068672368822</x:v>
      </x:c>
    </x:row>
    <x:row r="260">
      <x:c r="A260" s="11" t="str">
        <x:f>'Cumulative'!A231</x:f>
        <x:v>230</x:v>
      </x:c>
      <x:c r="B260" s="11" t="str">
        <x:f>'Cumulative'!B231</x:f>
      </x:c>
      <x:c r="C260" s="11" t="str">
        <x:f>'Cumulative'!C231</x:f>
        <x:v>-26.589665964077298</x:v>
      </x:c>
      <x:c r="D260" s="11" t="str">
        <x:f>'Cumulative'!D231</x:f>
        <x:v>-11.5877702657986</x:v>
      </x:c>
      <x:c r="E260" s="11" t="str">
        <x:f>'Cumulative'!E231</x:f>
        <x:v>-20.81700898664208</x:v>
      </x:c>
      <x:c r="G260" s="11" t="str">
        <x:f>'Cumulative'!A231</x:f>
        <x:v>230</x:v>
      </x:c>
      <x:c r="H260" s="11" t="str">
        <x:f>'Cumulative'!C231</x:f>
        <x:v>-26.589665964077298</x:v>
      </x:c>
      <x:c r="I260" s="87"/>
      <x:c r="J260" s="11" t="str">
        <x:f>'Cumulative'!A231</x:f>
        <x:v>230</x:v>
      </x:c>
      <x:c r="K260" s="11" t="str">
        <x:f>'Cumulative'!D231</x:f>
        <x:v>-11.5877702657986</x:v>
      </x:c>
      <x:c r="L260" s="11" t="str">
        <x:f>'Cumulative'!E231</x:f>
        <x:v>-20.81700898664208</x:v>
      </x:c>
    </x:row>
    <x:row r="261">
      <x:c r="A261" s="11" t="str">
        <x:f>'Cumulative'!A232</x:f>
        <x:v>231</x:v>
      </x:c>
      <x:c r="B261" s="11" t="str">
        <x:f>'Cumulative'!B232</x:f>
      </x:c>
      <x:c r="C261" s="11" t="str">
        <x:f>'Cumulative'!C232</x:f>
        <x:v>-27.639112923448486</x:v>
      </x:c>
      <x:c r="D261" s="11" t="str">
        <x:f>'Cumulative'!D232</x:f>
        <x:v>-11.74508688847537</x:v>
      </x:c>
      <x:c r="E261" s="11" t="str">
        <x:f>'Cumulative'!E232</x:f>
        <x:v>-18.828748272520826</x:v>
      </x:c>
      <x:c r="G261" s="11" t="str">
        <x:f>'Cumulative'!A232</x:f>
        <x:v>231</x:v>
      </x:c>
      <x:c r="H261" s="11" t="str">
        <x:f>'Cumulative'!C232</x:f>
        <x:v>-27.639112923448486</x:v>
      </x:c>
      <x:c r="I261" s="87"/>
      <x:c r="J261" s="11" t="str">
        <x:f>'Cumulative'!A232</x:f>
        <x:v>231</x:v>
      </x:c>
      <x:c r="K261" s="11" t="str">
        <x:f>'Cumulative'!D232</x:f>
        <x:v>-11.74508688847537</x:v>
      </x:c>
      <x:c r="L261" s="11" t="str">
        <x:f>'Cumulative'!E232</x:f>
        <x:v>-18.828748272520826</x:v>
      </x:c>
    </x:row>
    <x:row r="262">
      <x:c r="A262" s="11" t="str">
        <x:f>'Cumulative'!A233</x:f>
        <x:v>232</x:v>
      </x:c>
      <x:c r="B262" s="11" t="str">
        <x:f>'Cumulative'!B233</x:f>
      </x:c>
      <x:c r="C262" s="11" t="str">
        <x:f>'Cumulative'!C233</x:f>
        <x:v>-26.091503038125957</x:v>
      </x:c>
      <x:c r="D262" s="11" t="str">
        <x:f>'Cumulative'!D233</x:f>
        <x:v>-12.82269502221906</x:v>
      </x:c>
      <x:c r="E262" s="11" t="str">
        <x:f>'Cumulative'!E233</x:f>
        <x:v>-16.883665805575916</x:v>
      </x:c>
      <x:c r="G262" s="11" t="str">
        <x:f>'Cumulative'!A233</x:f>
        <x:v>232</x:v>
      </x:c>
      <x:c r="H262" s="11" t="str">
        <x:f>'Cumulative'!C233</x:f>
        <x:v>-26.091503038125957</x:v>
      </x:c>
      <x:c r="I262" s="87"/>
      <x:c r="J262" s="11" t="str">
        <x:f>'Cumulative'!A233</x:f>
        <x:v>232</x:v>
      </x:c>
      <x:c r="K262" s="11" t="str">
        <x:f>'Cumulative'!D233</x:f>
        <x:v>-12.82269502221906</x:v>
      </x:c>
      <x:c r="L262" s="11" t="str">
        <x:f>'Cumulative'!E233</x:f>
        <x:v>-16.883665805575916</x:v>
      </x:c>
    </x:row>
    <x:row r="263">
      <x:c r="A263" s="11" t="str">
        <x:f>'Cumulative'!A234</x:f>
        <x:v>233</x:v>
      </x:c>
      <x:c r="B263" s="11" t="str">
        <x:f>'Cumulative'!B234</x:f>
      </x:c>
      <x:c r="C263" s="11" t="str">
        <x:f>'Cumulative'!C234</x:f>
        <x:v>-24.143065804777958</x:v>
      </x:c>
      <x:c r="D263" s="11" t="str">
        <x:f>'Cumulative'!D234</x:f>
        <x:v>-12.994162154661483</x:v>
      </x:c>
      <x:c r="E263" s="11" t="str">
        <x:f>'Cumulative'!E234</x:f>
        <x:v>-17.904602833338117</x:v>
      </x:c>
      <x:c r="G263" s="11" t="str">
        <x:f>'Cumulative'!A234</x:f>
        <x:v>233</x:v>
      </x:c>
      <x:c r="H263" s="11" t="str">
        <x:f>'Cumulative'!C234</x:f>
        <x:v>-24.143065804777958</x:v>
      </x:c>
      <x:c r="I263" s="87"/>
      <x:c r="J263" s="11" t="str">
        <x:f>'Cumulative'!A234</x:f>
        <x:v>233</x:v>
      </x:c>
      <x:c r="K263" s="11" t="str">
        <x:f>'Cumulative'!D234</x:f>
        <x:v>-12.994162154661483</x:v>
      </x:c>
      <x:c r="L263" s="11" t="str">
        <x:f>'Cumulative'!E234</x:f>
        <x:v>-17.904602833338117</x:v>
      </x:c>
    </x:row>
    <x:row r="264">
      <x:c r="A264" s="11" t="str">
        <x:f>'Cumulative'!A235</x:f>
        <x:v>234</x:v>
      </x:c>
      <x:c r="B264" s="11" t="str">
        <x:f>'Cumulative'!B235</x:f>
      </x:c>
      <x:c r="C264" s="11" t="str">
        <x:f>'Cumulative'!C235</x:f>
        <x:v>-25.18783705774126</x:v>
      </x:c>
      <x:c r="D264" s="11" t="str">
        <x:f>'Cumulative'!D235</x:f>
        <x:v>-14.026754845384305</x:v>
      </x:c>
      <x:c r="E264" s="11" t="str">
        <x:f>'Cumulative'!E235</x:f>
        <x:v>-18.974347326402302</x:v>
      </x:c>
      <x:c r="G264" s="11" t="str">
        <x:f>'Cumulative'!A235</x:f>
        <x:v>234</x:v>
      </x:c>
      <x:c r="H264" s="11" t="str">
        <x:f>'Cumulative'!C235</x:f>
        <x:v>-25.18783705774126</x:v>
      </x:c>
      <x:c r="I264" s="87"/>
      <x:c r="J264" s="11" t="str">
        <x:f>'Cumulative'!A235</x:f>
        <x:v>234</x:v>
      </x:c>
      <x:c r="K264" s="11" t="str">
        <x:f>'Cumulative'!D235</x:f>
        <x:v>-14.026754845384305</x:v>
      </x:c>
      <x:c r="L264" s="11" t="str">
        <x:f>'Cumulative'!E235</x:f>
        <x:v>-18.974347326402302</x:v>
      </x:c>
    </x:row>
    <x:row r="265">
      <x:c r="A265" s="11" t="str">
        <x:f>'Cumulative'!A236</x:f>
        <x:v>235</x:v>
      </x:c>
      <x:c r="B265" s="11" t="str">
        <x:f>'Cumulative'!B236</x:f>
      </x:c>
      <x:c r="C265" s="11" t="str">
        <x:f>'Cumulative'!C236</x:f>
        <x:v>-26.232527798253617</x:v>
      </x:c>
      <x:c r="D265" s="11" t="str">
        <x:f>'Cumulative'!D236</x:f>
        <x:v>-13.812605272716912</x:v>
      </x:c>
      <x:c r="E265" s="11" t="str">
        <x:f>'Cumulative'!E236</x:f>
        <x:v>-20.009180007419815</x:v>
      </x:c>
      <x:c r="G265" s="11" t="str">
        <x:f>'Cumulative'!A236</x:f>
        <x:v>235</x:v>
      </x:c>
      <x:c r="H265" s="11" t="str">
        <x:f>'Cumulative'!C236</x:f>
        <x:v>-26.232527798253617</x:v>
      </x:c>
      <x:c r="I265" s="87"/>
      <x:c r="J265" s="11" t="str">
        <x:f>'Cumulative'!A236</x:f>
        <x:v>235</x:v>
      </x:c>
      <x:c r="K265" s="11" t="str">
        <x:f>'Cumulative'!D236</x:f>
        <x:v>-13.812605272716912</x:v>
      </x:c>
      <x:c r="L265" s="11" t="str">
        <x:f>'Cumulative'!E236</x:f>
        <x:v>-20.009180007419815</x:v>
      </x:c>
    </x:row>
    <x:row r="266">
      <x:c r="A266" s="11" t="str">
        <x:f>'Cumulative'!A237</x:f>
        <x:v>236</x:v>
      </x:c>
      <x:c r="B266" s="11" t="str">
        <x:f>'Cumulative'!B237</x:f>
      </x:c>
      <x:c r="C266" s="11" t="str">
        <x:f>'Cumulative'!C237</x:f>
        <x:v>-27.256123499662706</x:v>
      </x:c>
      <x:c r="D266" s="11" t="str">
        <x:f>'Cumulative'!D237</x:f>
        <x:v>-14.86398297743911</x:v>
      </x:c>
      <x:c r="E266" s="11" t="str">
        <x:f>'Cumulative'!E237</x:f>
        <x:v>-21.038120666355773</x:v>
      </x:c>
      <x:c r="G266" s="11" t="str">
        <x:f>'Cumulative'!A237</x:f>
        <x:v>236</x:v>
      </x:c>
      <x:c r="H266" s="11" t="str">
        <x:f>'Cumulative'!C237</x:f>
        <x:v>-27.256123499662706</x:v>
      </x:c>
      <x:c r="I266" s="87"/>
      <x:c r="J266" s="11" t="str">
        <x:f>'Cumulative'!A237</x:f>
        <x:v>236</x:v>
      </x:c>
      <x:c r="K266" s="11" t="str">
        <x:f>'Cumulative'!D237</x:f>
        <x:v>-14.86398297743911</x:v>
      </x:c>
      <x:c r="L266" s="11" t="str">
        <x:f>'Cumulative'!E237</x:f>
        <x:v>-21.038120666355773</x:v>
      </x:c>
    </x:row>
    <x:row r="267">
      <x:c r="A267" s="11" t="str">
        <x:f>'Cumulative'!A238</x:f>
        <x:v>237</x:v>
      </x:c>
      <x:c r="B267" s="11" t="str">
        <x:f>'Cumulative'!B238</x:f>
      </x:c>
      <x:c r="C267" s="11" t="str">
        <x:f>'Cumulative'!C238</x:f>
        <x:v>-26.279567638572345</x:v>
      </x:c>
      <x:c r="D267" s="11" t="str">
        <x:f>'Cumulative'!D238</x:f>
        <x:v>-12.895604414581369</x:v>
      </x:c>
      <x:c r="E267" s="11" t="str">
        <x:f>'Cumulative'!E238</x:f>
        <x:v>-21.132986752371373</x:v>
      </x:c>
      <x:c r="G267" s="11" t="str">
        <x:f>'Cumulative'!A238</x:f>
        <x:v>237</x:v>
      </x:c>
      <x:c r="H267" s="11" t="str">
        <x:f>'Cumulative'!C238</x:f>
        <x:v>-26.279567638572345</x:v>
      </x:c>
      <x:c r="I267" s="87"/>
      <x:c r="J267" s="11" t="str">
        <x:f>'Cumulative'!A238</x:f>
        <x:v>237</x:v>
      </x:c>
      <x:c r="K267" s="11" t="str">
        <x:f>'Cumulative'!D238</x:f>
        <x:v>-12.895604414581369</x:v>
      </x:c>
      <x:c r="L267" s="11" t="str">
        <x:f>'Cumulative'!E238</x:f>
        <x:v>-21.132986752371373</x:v>
      </x:c>
    </x:row>
    <x:row r="268">
      <x:c r="A268" s="11" t="str">
        <x:f>'Cumulative'!A239</x:f>
        <x:v>238</x:v>
      </x:c>
      <x:c r="B268" s="11" t="str">
        <x:f>'Cumulative'!B239</x:f>
      </x:c>
      <x:c r="C268" s="11" t="str">
        <x:f>'Cumulative'!C239</x:f>
        <x:v>-24.33087160509518</x:v>
      </x:c>
      <x:c r="D268" s="11" t="str">
        <x:f>'Cumulative'!D239</x:f>
        <x:v>-12.583534347941452</x:v>
      </x:c>
      <x:c r="E268" s="11" t="str">
        <x:f>'Cumulative'!E239</x:f>
        <x:v>-22.168402860643205</x:v>
      </x:c>
      <x:c r="G268" s="11" t="str">
        <x:f>'Cumulative'!A239</x:f>
        <x:v>238</x:v>
      </x:c>
      <x:c r="H268" s="11" t="str">
        <x:f>'Cumulative'!C239</x:f>
        <x:v>-24.33087160509518</x:v>
      </x:c>
      <x:c r="I268" s="87"/>
      <x:c r="J268" s="11" t="str">
        <x:f>'Cumulative'!A239</x:f>
        <x:v>238</x:v>
      </x:c>
      <x:c r="K268" s="11" t="str">
        <x:f>'Cumulative'!D239</x:f>
        <x:v>-12.583534347941452</x:v>
      </x:c>
      <x:c r="L268" s="11" t="str">
        <x:f>'Cumulative'!E239</x:f>
        <x:v>-22.168402860643205</x:v>
      </x:c>
    </x:row>
    <x:row r="269">
      <x:c r="A269" s="11" t="str">
        <x:f>'Cumulative'!A240</x:f>
        <x:v>239</x:v>
      </x:c>
      <x:c r="B269" s="11" t="str">
        <x:f>'Cumulative'!B240</x:f>
      </x:c>
      <x:c r="C269" s="11" t="str">
        <x:f>'Cumulative'!C240</x:f>
        <x:v>-23.473736511220636</x:v>
      </x:c>
      <x:c r="D269" s="11" t="str">
        <x:f>'Cumulative'!D240</x:f>
        <x:v>-12.96697137004496</x:v>
      </x:c>
      <x:c r="E269" s="11" t="str">
        <x:f>'Cumulative'!E240</x:f>
        <x:v>-23.190206168396642</x:v>
      </x:c>
      <x:c r="G269" s="11" t="str">
        <x:f>'Cumulative'!A240</x:f>
        <x:v>239</x:v>
      </x:c>
      <x:c r="H269" s="11" t="str">
        <x:f>'Cumulative'!C240</x:f>
        <x:v>-23.473736511220636</x:v>
      </x:c>
      <x:c r="I269" s="87"/>
      <x:c r="J269" s="11" t="str">
        <x:f>'Cumulative'!A240</x:f>
        <x:v>239</x:v>
      </x:c>
      <x:c r="K269" s="11" t="str">
        <x:f>'Cumulative'!D240</x:f>
        <x:v>-12.96697137004496</x:v>
      </x:c>
      <x:c r="L269" s="11" t="str">
        <x:f>'Cumulative'!E240</x:f>
        <x:v>-23.190206168396642</x:v>
      </x:c>
    </x:row>
    <x:row r="270">
      <x:c r="A270" s="11" t="str">
        <x:f>'Cumulative'!A241</x:f>
        <x:v>240</x:v>
      </x:c>
      <x:c r="B270" s="11" t="str">
        <x:f>'Cumulative'!B241</x:f>
      </x:c>
      <x:c r="C270" s="11" t="str">
        <x:f>'Cumulative'!C241</x:f>
        <x:v>-24.215794787482565</x:v>
      </x:c>
      <x:c r="D270" s="11" t="str">
        <x:f>'Cumulative'!D241</x:f>
        <x:v>-13.62596655771121</x:v>
      </x:c>
      <x:c r="E270" s="11" t="str">
        <x:f>'Cumulative'!E241</x:f>
        <x:v>-21.25804601782692</x:v>
      </x:c>
      <x:c r="G270" s="11" t="str">
        <x:f>'Cumulative'!A241</x:f>
        <x:v>240</x:v>
      </x:c>
      <x:c r="H270" s="11" t="str">
        <x:f>'Cumulative'!C241</x:f>
        <x:v>-24.215794787482565</x:v>
      </x:c>
      <x:c r="I270" s="87"/>
      <x:c r="J270" s="11" t="str">
        <x:f>'Cumulative'!A241</x:f>
        <x:v>240</x:v>
      </x:c>
      <x:c r="K270" s="11" t="str">
        <x:f>'Cumulative'!D241</x:f>
        <x:v>-13.62596655771121</x:v>
      </x:c>
      <x:c r="L270" s="11" t="str">
        <x:f>'Cumulative'!E241</x:f>
        <x:v>-21.25804601782692</x:v>
      </x:c>
    </x:row>
    <x:row r="271">
      <x:c r="A271" s="11" t="str">
        <x:f>'Cumulative'!A242</x:f>
        <x:v>241</x:v>
      </x:c>
      <x:c r="B271" s="11" t="str">
        <x:f>'Cumulative'!B242</x:f>
      </x:c>
      <x:c r="C271" s="11" t="str">
        <x:f>'Cumulative'!C242</x:f>
        <x:v>-25.23945028754626</x:v>
      </x:c>
      <x:c r="D271" s="11" t="str">
        <x:f>'Cumulative'!D242</x:f>
        <x:v>-11.679643958264087</x:v>
      </x:c>
      <x:c r="E271" s="11" t="str">
        <x:f>'Cumulative'!E242</x:f>
        <x:v>-22.278198347262528</x:v>
      </x:c>
      <x:c r="G271" s="11" t="str">
        <x:f>'Cumulative'!A242</x:f>
        <x:v>241</x:v>
      </x:c>
      <x:c r="H271" s="11" t="str">
        <x:f>'Cumulative'!C242</x:f>
        <x:v>-25.23945028754626</x:v>
      </x:c>
      <x:c r="I271" s="87"/>
      <x:c r="J271" s="11" t="str">
        <x:f>'Cumulative'!A242</x:f>
        <x:v>241</x:v>
      </x:c>
      <x:c r="K271" s="11" t="str">
        <x:f>'Cumulative'!D242</x:f>
        <x:v>-11.679643958264087</x:v>
      </x:c>
      <x:c r="L271" s="11" t="str">
        <x:f>'Cumulative'!E242</x:f>
        <x:v>-22.278198347262528</x:v>
      </x:c>
    </x:row>
    <x:row r="272">
      <x:c r="A272" s="11" t="str">
        <x:f>'Cumulative'!A243</x:f>
        <x:v>242</x:v>
      </x:c>
      <x:c r="B272" s="11" t="str">
        <x:f>'Cumulative'!B243</x:f>
      </x:c>
      <x:c r="C272" s="11" t="str">
        <x:f>'Cumulative'!C243</x:f>
        <x:v>-26.300540360260115</x:v>
      </x:c>
      <x:c r="D272" s="11" t="str">
        <x:f>'Cumulative'!D243</x:f>
        <x:v>-12.697180179014714</x:v>
      </x:c>
      <x:c r="E272" s="11" t="str">
        <x:f>'Cumulative'!E243</x:f>
        <x:v>-23.306776879648233</x:v>
      </x:c>
      <x:c r="G272" s="11" t="str">
        <x:f>'Cumulative'!A243</x:f>
        <x:v>242</x:v>
      </x:c>
      <x:c r="H272" s="11" t="str">
        <x:f>'Cumulative'!C243</x:f>
        <x:v>-26.300540360260115</x:v>
      </x:c>
      <x:c r="I272" s="87"/>
      <x:c r="J272" s="11" t="str">
        <x:f>'Cumulative'!A243</x:f>
        <x:v>242</x:v>
      </x:c>
      <x:c r="K272" s="11" t="str">
        <x:f>'Cumulative'!D243</x:f>
        <x:v>-12.697180179014714</x:v>
      </x:c>
      <x:c r="L272" s="11" t="str">
        <x:f>'Cumulative'!E243</x:f>
        <x:v>-23.306776879648233</x:v>
      </x:c>
    </x:row>
    <x:row r="273">
      <x:c r="A273" s="11" t="str">
        <x:f>'Cumulative'!A244</x:f>
        <x:v>243</x:v>
      </x:c>
      <x:c r="B273" s="11" t="str">
        <x:f>'Cumulative'!B244</x:f>
      </x:c>
      <x:c r="C273" s="11" t="str">
        <x:f>'Cumulative'!C244</x:f>
        <x:v>-27.31755711395743</x:v>
      </x:c>
      <x:c r="D273" s="11" t="str">
        <x:f>'Cumulative'!D244</x:f>
        <x:v>-13.7170629972948</x:v>
      </x:c>
      <x:c r="E273" s="11" t="str">
        <x:f>'Cumulative'!E244</x:f>
        <x:v>-23.027217820362505</x:v>
      </x:c>
      <x:c r="G273" s="11" t="str">
        <x:f>'Cumulative'!A244</x:f>
        <x:v>243</x:v>
      </x:c>
      <x:c r="H273" s="11" t="str">
        <x:f>'Cumulative'!C244</x:f>
        <x:v>-27.31755711395743</x:v>
      </x:c>
      <x:c r="I273" s="87"/>
      <x:c r="J273" s="11" t="str">
        <x:f>'Cumulative'!A244</x:f>
        <x:v>243</x:v>
      </x:c>
      <x:c r="K273" s="11" t="str">
        <x:f>'Cumulative'!D244</x:f>
        <x:v>-13.7170629972948</x:v>
      </x:c>
      <x:c r="L273" s="11" t="str">
        <x:f>'Cumulative'!E244</x:f>
        <x:v>-23.027217820362505</x:v>
      </x:c>
    </x:row>
    <x:row r="274">
      <x:c r="A274" s="11" t="str">
        <x:f>'Cumulative'!A245</x:f>
        <x:v>244</x:v>
      </x:c>
      <x:c r="B274" s="11" t="str">
        <x:f>'Cumulative'!B245</x:f>
      </x:c>
      <x:c r="C274" s="11" t="str">
        <x:f>'Cumulative'!C245</x:f>
        <x:v>-26.99516465634701</x:v>
      </x:c>
      <x:c r="D274" s="11" t="str">
        <x:f>'Cumulative'!D245</x:f>
        <x:v>-14.751326609878964</x:v>
      </x:c>
      <x:c r="E274" s="11" t="str">
        <x:f>'Cumulative'!E245</x:f>
        <x:v>-24.036996882541537</x:v>
      </x:c>
      <x:c r="G274" s="11" t="str">
        <x:f>'Cumulative'!A245</x:f>
        <x:v>244</x:v>
      </x:c>
      <x:c r="H274" s="11" t="str">
        <x:f>'Cumulative'!C245</x:f>
        <x:v>-26.99516465634701</x:v>
      </x:c>
      <x:c r="I274" s="87"/>
      <x:c r="J274" s="11" t="str">
        <x:f>'Cumulative'!A245</x:f>
        <x:v>244</x:v>
      </x:c>
      <x:c r="K274" s="11" t="str">
        <x:f>'Cumulative'!D245</x:f>
        <x:v>-14.751326609878964</x:v>
      </x:c>
      <x:c r="L274" s="11" t="str">
        <x:f>'Cumulative'!E245</x:f>
        <x:v>-24.036996882541537</x:v>
      </x:c>
    </x:row>
    <x:row r="275">
      <x:c r="A275" s="11" t="str">
        <x:f>'Cumulative'!A246</x:f>
        <x:v>245</x:v>
      </x:c>
      <x:c r="B275" s="11" t="str">
        <x:f>'Cumulative'!B246</x:f>
      </x:c>
      <x:c r="C275" s="11" t="str">
        <x:f>'Cumulative'!C246</x:f>
        <x:v>-25.02732001703113</x:v>
      </x:c>
      <x:c r="D275" s="11" t="str">
        <x:f>'Cumulative'!D246</x:f>
        <x:v>-15.778113162111222</x:v>
      </x:c>
      <x:c r="E275" s="11" t="str">
        <x:f>'Cumulative'!E246</x:f>
        <x:v>-25.050643941911943</x:v>
      </x:c>
      <x:c r="G275" s="11" t="str">
        <x:f>'Cumulative'!A246</x:f>
        <x:v>245</x:v>
      </x:c>
      <x:c r="H275" s="11" t="str">
        <x:f>'Cumulative'!C246</x:f>
        <x:v>-25.02732001703113</x:v>
      </x:c>
      <x:c r="I275" s="87"/>
      <x:c r="J275" s="11" t="str">
        <x:f>'Cumulative'!A246</x:f>
        <x:v>245</x:v>
      </x:c>
      <x:c r="K275" s="11" t="str">
        <x:f>'Cumulative'!D246</x:f>
        <x:v>-15.778113162111222</x:v>
      </x:c>
      <x:c r="L275" s="11" t="str">
        <x:f>'Cumulative'!E246</x:f>
        <x:v>-25.050643941911943</x:v>
      </x:c>
    </x:row>
    <x:row r="276">
      <x:c r="A276" s="11" t="str">
        <x:f>'Cumulative'!A247</x:f>
        <x:v>246</x:v>
      </x:c>
      <x:c r="B276" s="11" t="str">
        <x:f>'Cumulative'!B247</x:f>
      </x:c>
      <x:c r="C276" s="11" t="str">
        <x:f>'Cumulative'!C247</x:f>
        <x:v>-26.04684713508152</x:v>
      </x:c>
      <x:c r="D276" s="11" t="str">
        <x:f>'Cumulative'!D247</x:f>
        <x:v>-15.41024601196399</x:v>
      </x:c>
      <x:c r="E276" s="11" t="str">
        <x:f>'Cumulative'!E247</x:f>
        <x:v>-26.06452329139032</x:v>
      </x:c>
      <x:c r="G276" s="11" t="str">
        <x:f>'Cumulative'!A247</x:f>
        <x:v>246</x:v>
      </x:c>
      <x:c r="H276" s="11" t="str">
        <x:f>'Cumulative'!C247</x:f>
        <x:v>-26.04684713508152</x:v>
      </x:c>
      <x:c r="I276" s="87"/>
      <x:c r="J276" s="11" t="str">
        <x:f>'Cumulative'!A247</x:f>
        <x:v>246</x:v>
      </x:c>
      <x:c r="K276" s="11" t="str">
        <x:f>'Cumulative'!D247</x:f>
        <x:v>-15.41024601196399</x:v>
      </x:c>
      <x:c r="L276" s="11" t="str">
        <x:f>'Cumulative'!E247</x:f>
        <x:v>-26.06452329139032</x:v>
      </x:c>
    </x:row>
    <x:row r="277">
      <x:c r="A277" s="11" t="str">
        <x:f>'Cumulative'!A248</x:f>
        <x:v>247</x:v>
      </x:c>
      <x:c r="B277" s="11" t="str">
        <x:f>'Cumulative'!B248</x:f>
      </x:c>
      <x:c r="C277" s="11" t="str">
        <x:f>'Cumulative'!C248</x:f>
        <x:v>-24.882874368934726</x:v>
      </x:c>
      <x:c r="D277" s="11" t="str">
        <x:f>'Cumulative'!D248</x:f>
        <x:v>-13.434759264407989</x:v>
      </x:c>
      <x:c r="E277" s="11" t="str">
        <x:f>'Cumulative'!E248</x:f>
        <x:v>-25.226233149842656</x:v>
      </x:c>
      <x:c r="G277" s="11" t="str">
        <x:f>'Cumulative'!A248</x:f>
        <x:v>247</x:v>
      </x:c>
      <x:c r="H277" s="11" t="str">
        <x:f>'Cumulative'!C248</x:f>
        <x:v>-24.882874368934726</x:v>
      </x:c>
      <x:c r="I277" s="87"/>
      <x:c r="J277" s="11" t="str">
        <x:f>'Cumulative'!A248</x:f>
        <x:v>247</x:v>
      </x:c>
      <x:c r="K277" s="11" t="str">
        <x:f>'Cumulative'!D248</x:f>
        <x:v>-13.434759264407989</x:v>
      </x:c>
      <x:c r="L277" s="11" t="str">
        <x:f>'Cumulative'!E248</x:f>
        <x:v>-25.226233149842656</x:v>
      </x:c>
    </x:row>
    <x:row r="278">
      <x:c r="A278" s="11" t="str">
        <x:f>'Cumulative'!A249</x:f>
        <x:v>248</x:v>
      </x:c>
      <x:c r="B278" s="11" t="str">
        <x:f>'Cumulative'!B249</x:f>
      </x:c>
      <x:c r="C278" s="11" t="str">
        <x:f>'Cumulative'!C249</x:f>
        <x:v>-25.915371413895333</x:v>
      </x:c>
      <x:c r="D278" s="11" t="str">
        <x:f>'Cumulative'!D249</x:f>
        <x:v>-13.424475167851492</x:v>
      </x:c>
      <x:c r="E278" s="11" t="str">
        <x:f>'Cumulative'!E249</x:f>
        <x:v>-26.2521277594253</x:v>
      </x:c>
      <x:c r="G278" s="11" t="str">
        <x:f>'Cumulative'!A249</x:f>
        <x:v>248</x:v>
      </x:c>
      <x:c r="H278" s="11" t="str">
        <x:f>'Cumulative'!C249</x:f>
        <x:v>-25.915371413895333</x:v>
      </x:c>
      <x:c r="I278" s="87"/>
      <x:c r="J278" s="11" t="str">
        <x:f>'Cumulative'!A249</x:f>
        <x:v>248</x:v>
      </x:c>
      <x:c r="K278" s="11" t="str">
        <x:f>'Cumulative'!D249</x:f>
        <x:v>-13.424475167851492</x:v>
      </x:c>
      <x:c r="L278" s="11" t="str">
        <x:f>'Cumulative'!E249</x:f>
        <x:v>-26.2521277594253</x:v>
      </x:c>
    </x:row>
    <x:row r="279">
      <x:c r="A279" s="11" t="str">
        <x:f>'Cumulative'!A250</x:f>
        <x:v>249</x:v>
      </x:c>
      <x:c r="B279" s="11" t="str">
        <x:f>'Cumulative'!B250</x:f>
      </x:c>
      <x:c r="C279" s="11" t="str">
        <x:f>'Cumulative'!C250</x:f>
        <x:v>-23.939970760677646</x:v>
      </x:c>
      <x:c r="D279" s="11" t="str">
        <x:f>'Cumulative'!D250</x:f>
        <x:v>-14.443307591936467</x:v>
      </x:c>
      <x:c r="E279" s="11" t="str">
        <x:f>'Cumulative'!E250</x:f>
        <x:v>-24.27558251438391</x:v>
      </x:c>
      <x:c r="G279" s="11" t="str">
        <x:f>'Cumulative'!A250</x:f>
        <x:v>249</x:v>
      </x:c>
      <x:c r="H279" s="11" t="str">
        <x:f>'Cumulative'!C250</x:f>
        <x:v>-23.939970760677646</x:v>
      </x:c>
      <x:c r="I279" s="87"/>
      <x:c r="J279" s="11" t="str">
        <x:f>'Cumulative'!A250</x:f>
        <x:v>249</x:v>
      </x:c>
      <x:c r="K279" s="11" t="str">
        <x:f>'Cumulative'!D250</x:f>
        <x:v>-14.443307591936467</x:v>
      </x:c>
      <x:c r="L279" s="11" t="str">
        <x:f>'Cumulative'!E250</x:f>
        <x:v>-24.27558251438391</x:v>
      </x:c>
    </x:row>
    <x:row r="280">
      <x:c r="A280" s="11" t="str">
        <x:f>'Cumulative'!A251</x:f>
        <x:v>250</x:v>
      </x:c>
      <x:c r="B280" s="11" t="str">
        <x:f>'Cumulative'!B251</x:f>
      </x:c>
      <x:c r="C280" s="11" t="str">
        <x:f>'Cumulative'!C251</x:f>
        <x:v>-24.234227111575237</x:v>
      </x:c>
      <x:c r="D280" s="11" t="str">
        <x:f>'Cumulative'!D251</x:f>
        <x:v>-13.984362447220516</x:v>
      </x:c>
      <x:c r="E280" s="11" t="str">
        <x:f>'Cumulative'!E251</x:f>
        <x:v>-22.31681199015357</x:v>
      </x:c>
      <x:c r="G280" s="11" t="str">
        <x:f>'Cumulative'!A251</x:f>
        <x:v>250</x:v>
      </x:c>
      <x:c r="H280" s="11" t="str">
        <x:f>'Cumulative'!C251</x:f>
        <x:v>-24.234227111575237</x:v>
      </x:c>
      <x:c r="I280" s="87"/>
      <x:c r="J280" s="11" t="str">
        <x:f>'Cumulative'!A251</x:f>
        <x:v>250</x:v>
      </x:c>
      <x:c r="K280" s="11" t="str">
        <x:f>'Cumulative'!D251</x:f>
        <x:v>-13.984362447220516</x:v>
      </x:c>
      <x:c r="L280" s="11" t="str">
        <x:f>'Cumulative'!E251</x:f>
        <x:v>-22.31681199015357</x:v>
      </x:c>
    </x:row>
    <x:row r="281">
      <x:c r="A281" s="11" t="str">
        <x:f>'Cumulative'!A252</x:f>
        <x:v>251</x:v>
      </x:c>
      <x:c r="B281" s="11" t="str">
        <x:f>'Cumulative'!B252</x:f>
      </x:c>
      <x:c r="C281" s="11" t="str">
        <x:f>'Cumulative'!C252</x:f>
        <x:v>-25.254981790499595</x:v>
      </x:c>
      <x:c r="D281" s="11" t="str">
        <x:f>'Cumulative'!D252</x:f>
        <x:v>-15.03135501069994</x:v>
      </x:c>
      <x:c r="E281" s="11" t="str">
        <x:f>'Cumulative'!E252</x:f>
        <x:v>-20.34313114531372</x:v>
      </x:c>
      <x:c r="G281" s="11" t="str">
        <x:f>'Cumulative'!A252</x:f>
        <x:v>251</x:v>
      </x:c>
      <x:c r="H281" s="11" t="str">
        <x:f>'Cumulative'!C252</x:f>
        <x:v>-25.254981790499595</x:v>
      </x:c>
      <x:c r="I281" s="87"/>
      <x:c r="J281" s="11" t="str">
        <x:f>'Cumulative'!A252</x:f>
        <x:v>251</x:v>
      </x:c>
      <x:c r="K281" s="11" t="str">
        <x:f>'Cumulative'!D252</x:f>
        <x:v>-15.03135501069994</x:v>
      </x:c>
      <x:c r="L281" s="11" t="str">
        <x:f>'Cumulative'!E252</x:f>
        <x:v>-20.34313114531372</x:v>
      </x:c>
    </x:row>
    <x:row r="282">
      <x:c r="A282" s="11" t="str">
        <x:f>'Cumulative'!A253</x:f>
        <x:v>252</x:v>
      </x:c>
      <x:c r="B282" s="11" t="str">
        <x:f>'Cumulative'!B253</x:f>
      </x:c>
      <x:c r="C282" s="11" t="str">
        <x:f>'Cumulative'!C253</x:f>
        <x:v>-25.83171253730337</x:v>
      </x:c>
      <x:c r="D282" s="11" t="str">
        <x:f>'Cumulative'!D253</x:f>
        <x:v>-15.502496383049783</x:v>
      </x:c>
      <x:c r="E282" s="11" t="str">
        <x:f>'Cumulative'!E253</x:f>
        <x:v>-18.361179464531688</x:v>
      </x:c>
      <x:c r="G282" s="11" t="str">
        <x:f>'Cumulative'!A253</x:f>
        <x:v>252</x:v>
      </x:c>
      <x:c r="H282" s="11" t="str">
        <x:f>'Cumulative'!C253</x:f>
        <x:v>-25.83171253730337</x:v>
      </x:c>
      <x:c r="I282" s="87"/>
      <x:c r="J282" s="11" t="str">
        <x:f>'Cumulative'!A253</x:f>
        <x:v>252</x:v>
      </x:c>
      <x:c r="K282" s="11" t="str">
        <x:f>'Cumulative'!D253</x:f>
        <x:v>-15.502496383049783</x:v>
      </x:c>
      <x:c r="L282" s="11" t="str">
        <x:f>'Cumulative'!E253</x:f>
        <x:v>-18.361179464531688</x:v>
      </x:c>
    </x:row>
    <x:row r="283">
      <x:c r="A283" s="11" t="str">
        <x:f>'Cumulative'!A254</x:f>
        <x:v>253</x:v>
      </x:c>
      <x:c r="B283" s="11" t="str">
        <x:f>'Cumulative'!B254</x:f>
      </x:c>
      <x:c r="C283" s="11" t="str">
        <x:f>'Cumulative'!C254</x:f>
        <x:v>-26.89086725373391</x:v>
      </x:c>
      <x:c r="D283" s="11" t="str">
        <x:f>'Cumulative'!D254</x:f>
        <x:v>-16.534856116025598</x:v>
      </x:c>
      <x:c r="E283" s="11" t="str">
        <x:f>'Cumulative'!E254</x:f>
        <x:v>-17.39218328999873</x:v>
      </x:c>
      <x:c r="G283" s="11" t="str">
        <x:f>'Cumulative'!A254</x:f>
        <x:v>253</x:v>
      </x:c>
      <x:c r="H283" s="11" t="str">
        <x:f>'Cumulative'!C254</x:f>
        <x:v>-26.89086725373391</x:v>
      </x:c>
      <x:c r="I283" s="87"/>
      <x:c r="J283" s="11" t="str">
        <x:f>'Cumulative'!A254</x:f>
        <x:v>253</x:v>
      </x:c>
      <x:c r="K283" s="11" t="str">
        <x:f>'Cumulative'!D254</x:f>
        <x:v>-16.534856116025598</x:v>
      </x:c>
      <x:c r="L283" s="11" t="str">
        <x:f>'Cumulative'!E254</x:f>
        <x:v>-17.39218328999873</x:v>
      </x:c>
    </x:row>
    <x:row r="284">
      <x:c r="A284" s="11" t="str">
        <x:f>'Cumulative'!A255</x:f>
        <x:v>254</x:v>
      </x:c>
      <x:c r="B284" s="11" t="str">
        <x:f>'Cumulative'!B255</x:f>
      </x:c>
      <x:c r="C284" s="11" t="str">
        <x:f>'Cumulative'!C255</x:f>
        <x:v>-26.58242619173241</x:v>
      </x:c>
      <x:c r="D284" s="11" t="str">
        <x:f>'Cumulative'!D255</x:f>
        <x:v>-17.59336714870475</x:v>
      </x:c>
      <x:c r="E284" s="11" t="str">
        <x:f>'Cumulative'!E255</x:f>
        <x:v>-17.394206831585194</x:v>
      </x:c>
      <x:c r="G284" s="11" t="str">
        <x:f>'Cumulative'!A255</x:f>
        <x:v>254</x:v>
      </x:c>
      <x:c r="H284" s="11" t="str">
        <x:f>'Cumulative'!C255</x:f>
        <x:v>-26.58242619173241</x:v>
      </x:c>
      <x:c r="I284" s="87"/>
      <x:c r="J284" s="11" t="str">
        <x:f>'Cumulative'!A255</x:f>
        <x:v>254</x:v>
      </x:c>
      <x:c r="K284" s="11" t="str">
        <x:f>'Cumulative'!D255</x:f>
        <x:v>-17.59336714870475</x:v>
      </x:c>
      <x:c r="L284" s="11" t="str">
        <x:f>'Cumulative'!E255</x:f>
        <x:v>-17.394206831585194</x:v>
      </x:c>
    </x:row>
    <x:row r="285">
      <x:c r="A285" s="11" t="str">
        <x:f>'Cumulative'!A256</x:f>
        <x:v>255</x:v>
      </x:c>
      <x:c r="B285" s="11" t="str">
        <x:f>'Cumulative'!B256</x:f>
      </x:c>
      <x:c r="C285" s="11" t="str">
        <x:f>'Cumulative'!C256</x:f>
        <x:v>-26.080848933431305</x:v>
      </x:c>
      <x:c r="D285" s="11" t="str">
        <x:f>'Cumulative'!D256</x:f>
        <x:v>-18.660782715823583</x:v>
      </x:c>
      <x:c r="E285" s="11" t="str">
        <x:f>'Cumulative'!E256</x:f>
        <x:v>-18.423858991748325</x:v>
      </x:c>
      <x:c r="G285" s="11" t="str">
        <x:f>'Cumulative'!A256</x:f>
        <x:v>255</x:v>
      </x:c>
      <x:c r="H285" s="11" t="str">
        <x:f>'Cumulative'!C256</x:f>
        <x:v>-26.080848933431305</x:v>
      </x:c>
      <x:c r="I285" s="87"/>
      <x:c r="J285" s="11" t="str">
        <x:f>'Cumulative'!A256</x:f>
        <x:v>255</x:v>
      </x:c>
      <x:c r="K285" s="11" t="str">
        <x:f>'Cumulative'!D256</x:f>
        <x:v>-18.660782715823583</x:v>
      </x:c>
      <x:c r="L285" s="11" t="str">
        <x:f>'Cumulative'!E256</x:f>
        <x:v>-18.423858991748325</x:v>
      </x:c>
    </x:row>
    <x:row r="286">
      <x:c r="A286" s="11" t="str">
        <x:f>'Cumulative'!A257</x:f>
        <x:v>256</x:v>
      </x:c>
      <x:c r="B286" s="11" t="str">
        <x:f>'Cumulative'!B257</x:f>
      </x:c>
      <x:c r="C286" s="11" t="str">
        <x:f>'Cumulative'!C257</x:f>
        <x:v>-26.230850628062207</x:v>
      </x:c>
      <x:c r="D286" s="11" t="str">
        <x:f>'Cumulative'!D257</x:f>
        <x:v>-19.70007592568746</x:v>
      </x:c>
      <x:c r="E286" s="11" t="str">
        <x:f>'Cumulative'!E257</x:f>
        <x:v>-19.49359164976423</x:v>
      </x:c>
      <x:c r="G286" s="11" t="str">
        <x:f>'Cumulative'!A257</x:f>
        <x:v>256</x:v>
      </x:c>
      <x:c r="H286" s="11" t="str">
        <x:f>'Cumulative'!C257</x:f>
        <x:v>-26.230850628062207</x:v>
      </x:c>
      <x:c r="I286" s="87"/>
      <x:c r="J286" s="11" t="str">
        <x:f>'Cumulative'!A257</x:f>
        <x:v>256</x:v>
      </x:c>
      <x:c r="K286" s="11" t="str">
        <x:f>'Cumulative'!D257</x:f>
        <x:v>-19.70007592568746</x:v>
      </x:c>
      <x:c r="L286" s="11" t="str">
        <x:f>'Cumulative'!E257</x:f>
        <x:v>-19.49359164976423</x:v>
      </x:c>
    </x:row>
    <x:row r="287">
      <x:c r="A287" s="11" t="str">
        <x:f>'Cumulative'!A258</x:f>
        <x:v>257</x:v>
      </x:c>
      <x:c r="B287" s="11" t="str">
        <x:f>'Cumulative'!B258</x:f>
      </x:c>
      <x:c r="C287" s="11" t="str">
        <x:f>'Cumulative'!C258</x:f>
        <x:v>-26.447443043484434</x:v>
      </x:c>
      <x:c r="D287" s="11" t="str">
        <x:f>'Cumulative'!D258</x:f>
        <x:v>-19.23963033435123</x:v>
      </x:c>
      <x:c r="E287" s="11" t="str">
        <x:f>'Cumulative'!E258</x:f>
        <x:v>-17.51191163342938</x:v>
      </x:c>
      <x:c r="G287" s="11" t="str">
        <x:f>'Cumulative'!A258</x:f>
        <x:v>257</x:v>
      </x:c>
      <x:c r="H287" s="11" t="str">
        <x:f>'Cumulative'!C258</x:f>
        <x:v>-26.447443043484434</x:v>
      </x:c>
      <x:c r="I287" s="87"/>
      <x:c r="J287" s="11" t="str">
        <x:f>'Cumulative'!A258</x:f>
        <x:v>257</x:v>
      </x:c>
      <x:c r="K287" s="11" t="str">
        <x:f>'Cumulative'!D258</x:f>
        <x:v>-19.23963033435123</x:v>
      </x:c>
      <x:c r="L287" s="11" t="str">
        <x:f>'Cumulative'!E258</x:f>
        <x:v>-17.51191163342938</x:v>
      </x:c>
    </x:row>
    <x:row r="288">
      <x:c r="A288" s="11" t="str">
        <x:f>'Cumulative'!A259</x:f>
        <x:v>258</x:v>
      </x:c>
      <x:c r="B288" s="11" t="str">
        <x:f>'Cumulative'!B259</x:f>
      </x:c>
      <x:c r="C288" s="11" t="str">
        <x:f>'Cumulative'!C259</x:f>
        <x:v>-27.479650379991988</x:v>
      </x:c>
      <x:c r="D288" s="11" t="str">
        <x:f>'Cumulative'!D259</x:f>
        <x:v>-19.02853383572898</x:v>
      </x:c>
      <x:c r="E288" s="11" t="str">
        <x:f>'Cumulative'!E259</x:f>
        <x:v>-18.52294807257245</x:v>
      </x:c>
      <x:c r="G288" s="11" t="str">
        <x:f>'Cumulative'!A259</x:f>
        <x:v>258</x:v>
      </x:c>
      <x:c r="H288" s="11" t="str">
        <x:f>'Cumulative'!C259</x:f>
        <x:v>-27.479650379991988</x:v>
      </x:c>
      <x:c r="I288" s="87"/>
      <x:c r="J288" s="11" t="str">
        <x:f>'Cumulative'!A259</x:f>
        <x:v>258</x:v>
      </x:c>
      <x:c r="K288" s="11" t="str">
        <x:f>'Cumulative'!D259</x:f>
        <x:v>-19.02853383572898</x:v>
      </x:c>
      <x:c r="L288" s="11" t="str">
        <x:f>'Cumulative'!E259</x:f>
        <x:v>-18.52294807257245</x:v>
      </x:c>
    </x:row>
    <x:row r="289">
      <x:c r="A289" s="11" t="str">
        <x:f>'Cumulative'!A260</x:f>
        <x:v>259</x:v>
      </x:c>
      <x:c r="B289" s="11" t="str">
        <x:f>'Cumulative'!B260</x:f>
      </x:c>
      <x:c r="C289" s="11" t="str">
        <x:f>'Cumulative'!C260</x:f>
        <x:v>-26.546277398974603</x:v>
      </x:c>
      <x:c r="D289" s="11" t="str">
        <x:f>'Cumulative'!D260</x:f>
        <x:v>-18.436580830503505</x:v>
      </x:c>
      <x:c r="E289" s="11" t="str">
        <x:f>'Cumulative'!E260</x:f>
        <x:v>-16.57282706908708</x:v>
      </x:c>
      <x:c r="G289" s="11" t="str">
        <x:f>'Cumulative'!A260</x:f>
        <x:v>259</x:v>
      </x:c>
      <x:c r="H289" s="11" t="str">
        <x:f>'Cumulative'!C260</x:f>
        <x:v>-26.546277398974603</x:v>
      </x:c>
      <x:c r="I289" s="87"/>
      <x:c r="J289" s="11" t="str">
        <x:f>'Cumulative'!A260</x:f>
        <x:v>259</x:v>
      </x:c>
      <x:c r="K289" s="11" t="str">
        <x:f>'Cumulative'!D260</x:f>
        <x:v>-18.436580830503505</x:v>
      </x:c>
      <x:c r="L289" s="11" t="str">
        <x:f>'Cumulative'!E260</x:f>
        <x:v>-16.57282706908708</x:v>
      </x:c>
    </x:row>
    <x:row r="290">
      <x:c r="A290" s="11" t="str">
        <x:f>'Cumulative'!A261</x:f>
        <x:v>260</x:v>
      </x:c>
      <x:c r="B290" s="11" t="str">
        <x:f>'Cumulative'!B261</x:f>
      </x:c>
      <x:c r="C290" s="11" t="str">
        <x:f>'Cumulative'!C261</x:f>
        <x:v>-27.602705104653925</x:v>
      </x:c>
      <x:c r="D290" s="11" t="str">
        <x:f>'Cumulative'!D261</x:f>
        <x:v>-16.488008809588184</x:v>
      </x:c>
      <x:c r="E290" s="11" t="str">
        <x:f>'Cumulative'!E261</x:f>
        <x:v>-14.614595365352168</x:v>
      </x:c>
      <x:c r="G290" s="11" t="str">
        <x:f>'Cumulative'!A261</x:f>
        <x:v>260</x:v>
      </x:c>
      <x:c r="H290" s="11" t="str">
        <x:f>'Cumulative'!C261</x:f>
        <x:v>-27.602705104653925</x:v>
      </x:c>
      <x:c r="I290" s="87"/>
      <x:c r="J290" s="11" t="str">
        <x:f>'Cumulative'!A261</x:f>
        <x:v>260</x:v>
      </x:c>
      <x:c r="K290" s="11" t="str">
        <x:f>'Cumulative'!D261</x:f>
        <x:v>-16.488008809588184</x:v>
      </x:c>
      <x:c r="L290" s="11" t="str">
        <x:f>'Cumulative'!E261</x:f>
        <x:v>-14.614595365352168</x:v>
      </x:c>
    </x:row>
    <x:row r="291">
      <x:c r="A291" s="11" t="str">
        <x:f>'Cumulative'!A262</x:f>
        <x:v>261</x:v>
      </x:c>
      <x:c r="B291" s="11" t="str">
        <x:f>'Cumulative'!B262</x:f>
      </x:c>
      <x:c r="C291" s="11" t="str">
        <x:f>'Cumulative'!C262</x:f>
        <x:v>-28.662333908651597</x:v>
      </x:c>
      <x:c r="D291" s="11" t="str">
        <x:f>'Cumulative'!D262</x:f>
        <x:v>-17.54374455959063</x:v>
      </x:c>
      <x:c r="E291" s="11" t="str">
        <x:f>'Cumulative'!E262</x:f>
        <x:v>-15.62917735781079</x:v>
      </x:c>
      <x:c r="G291" s="11" t="str">
        <x:f>'Cumulative'!A262</x:f>
        <x:v>261</x:v>
      </x:c>
      <x:c r="H291" s="11" t="str">
        <x:f>'Cumulative'!C262</x:f>
        <x:v>-28.662333908651597</x:v>
      </x:c>
      <x:c r="I291" s="87"/>
      <x:c r="J291" s="11" t="str">
        <x:f>'Cumulative'!A262</x:f>
        <x:v>261</x:v>
      </x:c>
      <x:c r="K291" s="11" t="str">
        <x:f>'Cumulative'!D262</x:f>
        <x:v>-17.54374455959063</x:v>
      </x:c>
      <x:c r="L291" s="11" t="str">
        <x:f>'Cumulative'!E262</x:f>
        <x:v>-15.62917735781079</x:v>
      </x:c>
    </x:row>
    <x:row r="292">
      <x:c r="A292" s="11" t="str">
        <x:f>'Cumulative'!A263</x:f>
        <x:v>262</x:v>
      </x:c>
      <x:c r="B292" s="11" t="str">
        <x:f>'Cumulative'!B263</x:f>
      </x:c>
      <x:c r="C292" s="11" t="str">
        <x:f>'Cumulative'!C263</x:f>
        <x:v>-29.33712496511425</x:v>
      </x:c>
      <x:c r="D292" s="11" t="str">
        <x:f>'Cumulative'!D263</x:f>
        <x:v>-18.58409469071528</x:v>
      </x:c>
      <x:c r="E292" s="11" t="str">
        <x:f>'Cumulative'!E263</x:f>
        <x:v>-15.77247239816566</x:v>
      </x:c>
      <x:c r="G292" s="11" t="str">
        <x:f>'Cumulative'!A263</x:f>
        <x:v>262</x:v>
      </x:c>
      <x:c r="H292" s="11" t="str">
        <x:f>'Cumulative'!C263</x:f>
        <x:v>-29.33712496511425</x:v>
      </x:c>
      <x:c r="I292" s="87"/>
      <x:c r="J292" s="11" t="str">
        <x:f>'Cumulative'!A263</x:f>
        <x:v>262</x:v>
      </x:c>
      <x:c r="K292" s="11" t="str">
        <x:f>'Cumulative'!D263</x:f>
        <x:v>-18.58409469071528</x:v>
      </x:c>
      <x:c r="L292" s="11" t="str">
        <x:f>'Cumulative'!E263</x:f>
        <x:v>-15.77247239816566</x:v>
      </x:c>
    </x:row>
    <x:row r="293">
      <x:c r="A293" s="11" t="str">
        <x:f>'Cumulative'!A264</x:f>
        <x:v>263</x:v>
      </x:c>
      <x:c r="B293" s="11" t="str">
        <x:f>'Cumulative'!B264</x:f>
      </x:c>
      <x:c r="C293" s="11" t="str">
        <x:f>'Cumulative'!C264</x:f>
        <x:v>-30.38507991974297</x:v>
      </x:c>
      <x:c r="D293" s="11" t="str">
        <x:f>'Cumulative'!D264</x:f>
        <x:v>-19.60207681937209</x:v>
      </x:c>
      <x:c r="E293" s="11" t="str">
        <x:f>'Cumulative'!E264</x:f>
        <x:v>-16.79560226290975</x:v>
      </x:c>
      <x:c r="G293" s="11" t="str">
        <x:f>'Cumulative'!A264</x:f>
        <x:v>263</x:v>
      </x:c>
      <x:c r="H293" s="11" t="str">
        <x:f>'Cumulative'!C264</x:f>
        <x:v>-30.38507991974297</x:v>
      </x:c>
      <x:c r="I293" s="87"/>
      <x:c r="J293" s="11" t="str">
        <x:f>'Cumulative'!A264</x:f>
        <x:v>263</x:v>
      </x:c>
      <x:c r="K293" s="11" t="str">
        <x:f>'Cumulative'!D264</x:f>
        <x:v>-19.60207681937209</x:v>
      </x:c>
      <x:c r="L293" s="11" t="str">
        <x:f>'Cumulative'!E264</x:f>
        <x:v>-16.79560226290975</x:v>
      </x:c>
    </x:row>
    <x:row r="294">
      <x:c r="A294" s="11" t="str">
        <x:f>'Cumulative'!A265</x:f>
        <x:v>264</x:v>
      </x:c>
      <x:c r="B294" s="11" t="str">
        <x:f>'Cumulative'!B265</x:f>
      </x:c>
      <x:c r="C294" s="11" t="str">
        <x:f>'Cumulative'!C265</x:f>
        <x:v>-28.43754136476747</x:v>
      </x:c>
      <x:c r="D294" s="11" t="str">
        <x:f>'Cumulative'!D265</x:f>
        <x:v>-17.613646756239447</x:v>
      </x:c>
      <x:c r="E294" s="11" t="str">
        <x:f>'Cumulative'!E265</x:f>
        <x:v>-17.86124968101818</x:v>
      </x:c>
      <x:c r="G294" s="11" t="str">
        <x:f>'Cumulative'!A265</x:f>
        <x:v>264</x:v>
      </x:c>
      <x:c r="H294" s="11" t="str">
        <x:f>'Cumulative'!C265</x:f>
        <x:v>-28.43754136476747</x:v>
      </x:c>
      <x:c r="I294" s="87"/>
      <x:c r="J294" s="11" t="str">
        <x:f>'Cumulative'!A265</x:f>
        <x:v>264</x:v>
      </x:c>
      <x:c r="K294" s="11" t="str">
        <x:f>'Cumulative'!D265</x:f>
        <x:v>-17.613646756239447</x:v>
      </x:c>
      <x:c r="L294" s="11" t="str">
        <x:f>'Cumulative'!E265</x:f>
        <x:v>-17.86124968101818</x:v>
      </x:c>
    </x:row>
    <x:row r="295">
      <x:c r="A295" s="11" t="str">
        <x:f>'Cumulative'!A266</x:f>
        <x:v>265</x:v>
      </x:c>
      <x:c r="B295" s="11" t="str">
        <x:f>'Cumulative'!B266</x:f>
      </x:c>
      <x:c r="C295" s="11" t="str">
        <x:f>'Cumulative'!C266</x:f>
        <x:v>-29.457227173215088</x:v>
      </x:c>
      <x:c r="D295" s="11" t="str">
        <x:f>'Cumulative'!D266</x:f>
        <x:v>-17.75977517895329</x:v>
      </x:c>
      <x:c r="E295" s="11" t="str">
        <x:f>'Cumulative'!E266</x:f>
        <x:v>-18.933076748398925</x:v>
      </x:c>
      <x:c r="G295" s="11" t="str">
        <x:f>'Cumulative'!A266</x:f>
        <x:v>265</x:v>
      </x:c>
      <x:c r="H295" s="11" t="str">
        <x:f>'Cumulative'!C266</x:f>
        <x:v>-29.457227173215088</x:v>
      </x:c>
      <x:c r="I295" s="87"/>
      <x:c r="J295" s="11" t="str">
        <x:f>'Cumulative'!A266</x:f>
        <x:v>265</x:v>
      </x:c>
      <x:c r="K295" s="11" t="str">
        <x:f>'Cumulative'!D266</x:f>
        <x:v>-17.75977517895329</x:v>
      </x:c>
      <x:c r="L295" s="11" t="str">
        <x:f>'Cumulative'!E266</x:f>
        <x:v>-18.933076748398925</x:v>
      </x:c>
    </x:row>
    <x:row r="296">
      <x:c r="A296" s="11" t="str">
        <x:f>'Cumulative'!A267</x:f>
        <x:v>266</x:v>
      </x:c>
      <x:c r="B296" s="11" t="str">
        <x:f>'Cumulative'!B267</x:f>
      </x:c>
      <x:c r="C296" s="11" t="str">
        <x:f>'Cumulative'!C267</x:f>
        <x:v>-28.59931877654239</x:v>
      </x:c>
      <x:c r="D296" s="11" t="str">
        <x:f>'Cumulative'!D267</x:f>
        <x:v>-18.822855165260314</x:v>
      </x:c>
      <x:c r="E296" s="11" t="str">
        <x:f>'Cumulative'!E267</x:f>
        <x:v>-19.491308663738913</x:v>
      </x:c>
      <x:c r="G296" s="11" t="str">
        <x:f>'Cumulative'!A267</x:f>
        <x:v>266</x:v>
      </x:c>
      <x:c r="H296" s="11" t="str">
        <x:f>'Cumulative'!C267</x:f>
        <x:v>-28.59931877654239</x:v>
      </x:c>
      <x:c r="I296" s="87"/>
      <x:c r="J296" s="11" t="str">
        <x:f>'Cumulative'!A267</x:f>
        <x:v>266</x:v>
      </x:c>
      <x:c r="K296" s="11" t="str">
        <x:f>'Cumulative'!D267</x:f>
        <x:v>-18.822855165260314</x:v>
      </x:c>
      <x:c r="L296" s="11" t="str">
        <x:f>'Cumulative'!E267</x:f>
        <x:v>-19.491308663738913</x:v>
      </x:c>
    </x:row>
    <x:row r="297">
      <x:c r="A297" s="11" t="str">
        <x:f>'Cumulative'!A268</x:f>
        <x:v>267</x:v>
      </x:c>
      <x:c r="B297" s="11" t="str">
        <x:f>'Cumulative'!B268</x:f>
      </x:c>
      <x:c r="C297" s="11" t="str">
        <x:f>'Cumulative'!C268</x:f>
        <x:v>-26.714768899491528</x:v>
      </x:c>
      <x:c r="D297" s="11" t="str">
        <x:f>'Cumulative'!D268</x:f>
        <x:v>-19.06362684277173</x:v>
      </x:c>
      <x:c r="E297" s="11" t="str">
        <x:f>'Cumulative'!E268</x:f>
        <x:v>-19.934961635752796</x:v>
      </x:c>
      <x:c r="G297" s="11" t="str">
        <x:f>'Cumulative'!A268</x:f>
        <x:v>267</x:v>
      </x:c>
      <x:c r="H297" s="11" t="str">
        <x:f>'Cumulative'!C268</x:f>
        <x:v>-26.714768899491528</x:v>
      </x:c>
      <x:c r="I297" s="87"/>
      <x:c r="J297" s="11" t="str">
        <x:f>'Cumulative'!A268</x:f>
        <x:v>267</x:v>
      </x:c>
      <x:c r="K297" s="11" t="str">
        <x:f>'Cumulative'!D268</x:f>
        <x:v>-19.06362684277173</x:v>
      </x:c>
      <x:c r="L297" s="11" t="str">
        <x:f>'Cumulative'!E268</x:f>
        <x:v>-19.934961635752796</x:v>
      </x:c>
    </x:row>
    <x:row r="298">
      <x:c r="A298" s="11" t="str">
        <x:f>'Cumulative'!A269</x:f>
        <x:v>268</x:v>
      </x:c>
      <x:c r="B298" s="11" t="str">
        <x:f>'Cumulative'!B269</x:f>
      </x:c>
      <x:c r="C298" s="11" t="str">
        <x:f>'Cumulative'!C269</x:f>
        <x:v>-27.776650938622375</x:v>
      </x:c>
      <x:c r="D298" s="11" t="str">
        <x:f>'Cumulative'!D269</x:f>
        <x:v>-20.088440460345446</x:v>
      </x:c>
      <x:c r="E298" s="11" t="str">
        <x:f>'Cumulative'!E269</x:f>
        <x:v>-20.9602584585124</x:v>
      </x:c>
      <x:c r="G298" s="11" t="str">
        <x:f>'Cumulative'!A269</x:f>
        <x:v>268</x:v>
      </x:c>
      <x:c r="H298" s="11" t="str">
        <x:f>'Cumulative'!C269</x:f>
        <x:v>-27.776650938622375</x:v>
      </x:c>
      <x:c r="I298" s="87"/>
      <x:c r="J298" s="11" t="str">
        <x:f>'Cumulative'!A269</x:f>
        <x:v>268</x:v>
      </x:c>
      <x:c r="K298" s="11" t="str">
        <x:f>'Cumulative'!D269</x:f>
        <x:v>-20.088440460345446</x:v>
      </x:c>
      <x:c r="L298" s="11" t="str">
        <x:f>'Cumulative'!E269</x:f>
        <x:v>-20.9602584585124</x:v>
      </x:c>
    </x:row>
    <x:row r="299">
      <x:c r="A299" s="11" t="str">
        <x:f>'Cumulative'!A270</x:f>
        <x:v>269</x:v>
      </x:c>
      <x:c r="B299" s="11" t="str">
        <x:f>'Cumulative'!B270</x:f>
      </x:c>
      <x:c r="C299" s="11" t="str">
        <x:f>'Cumulative'!C270</x:f>
        <x:v>-28.441408351931504</x:v>
      </x:c>
      <x:c r="D299" s="11" t="str">
        <x:f>'Cumulative'!D270</x:f>
        <x:v>-21.127220351685846</x:v>
      </x:c>
      <x:c r="E299" s="11" t="str">
        <x:f>'Cumulative'!E270</x:f>
        <x:v>-22.001784502765638</x:v>
      </x:c>
      <x:c r="G299" s="11" t="str">
        <x:f>'Cumulative'!A270</x:f>
        <x:v>269</x:v>
      </x:c>
      <x:c r="H299" s="11" t="str">
        <x:f>'Cumulative'!C270</x:f>
        <x:v>-28.441408351931504</x:v>
      </x:c>
      <x:c r="I299" s="87"/>
      <x:c r="J299" s="11" t="str">
        <x:f>'Cumulative'!A270</x:f>
        <x:v>269</x:v>
      </x:c>
      <x:c r="K299" s="11" t="str">
        <x:f>'Cumulative'!D270</x:f>
        <x:v>-21.127220351685846</x:v>
      </x:c>
      <x:c r="L299" s="11" t="str">
        <x:f>'Cumulative'!E270</x:f>
        <x:v>-22.001784502765638</x:v>
      </x:c>
    </x:row>
    <x:row r="300">
      <x:c r="A300" s="11" t="str">
        <x:f>'Cumulative'!A271</x:f>
        <x:v>270</x:v>
      </x:c>
      <x:c r="B300" s="11" t="str">
        <x:f>'Cumulative'!B271</x:f>
      </x:c>
      <x:c r="C300" s="11" t="str">
        <x:f>'Cumulative'!C271</x:f>
        <x:v>-29.45040080671096</x:v>
      </x:c>
      <x:c r="D300" s="11" t="str">
        <x:f>'Cumulative'!D271</x:f>
        <x:v>-20.78902897676648</x:v>
      </x:c>
      <x:c r="E300" s="11" t="str">
        <x:f>'Cumulative'!E271</x:f>
        <x:v>-20.9741028370217</x:v>
      </x:c>
      <x:c r="G300" s="11" t="str">
        <x:f>'Cumulative'!A271</x:f>
        <x:v>270</x:v>
      </x:c>
      <x:c r="H300" s="11" t="str">
        <x:f>'Cumulative'!C271</x:f>
        <x:v>-29.45040080671096</x:v>
      </x:c>
      <x:c r="I300" s="87"/>
      <x:c r="J300" s="11" t="str">
        <x:f>'Cumulative'!A271</x:f>
        <x:v>270</x:v>
      </x:c>
      <x:c r="K300" s="11" t="str">
        <x:f>'Cumulative'!D271</x:f>
        <x:v>-20.78902897676648</x:v>
      </x:c>
      <x:c r="L300" s="11" t="str">
        <x:f>'Cumulative'!E271</x:f>
        <x:v>-20.9741028370217</x:v>
      </x:c>
    </x:row>
    <x:row r="301">
      <x:c r="A301" s="11" t="str">
        <x:f>'Cumulative'!A272</x:f>
        <x:v>271</x:v>
      </x:c>
      <x:c r="B301" s="11" t="str">
        <x:f>'Cumulative'!B272</x:f>
      </x:c>
      <x:c r="C301" s="11" t="str">
        <x:f>'Cumulative'!C272</x:f>
        <x:v>-30.461041989488713</x:v>
      </x:c>
      <x:c r="D301" s="11" t="str">
        <x:f>'Cumulative'!D272</x:f>
        <x:v>-19.70466911467224</x:v>
      </x:c>
      <x:c r="E301" s="11" t="str">
        <x:f>'Cumulative'!E272</x:f>
        <x:v>-19.044796528784254</x:v>
      </x:c>
      <x:c r="G301" s="11" t="str">
        <x:f>'Cumulative'!A272</x:f>
        <x:v>271</x:v>
      </x:c>
      <x:c r="H301" s="11" t="str">
        <x:f>'Cumulative'!C272</x:f>
        <x:v>-30.461041989488713</x:v>
      </x:c>
      <x:c r="I301" s="87"/>
      <x:c r="J301" s="11" t="str">
        <x:f>'Cumulative'!A272</x:f>
        <x:v>271</x:v>
      </x:c>
      <x:c r="K301" s="11" t="str">
        <x:f>'Cumulative'!D272</x:f>
        <x:v>-19.70466911467224</x:v>
      </x:c>
      <x:c r="L301" s="11" t="str">
        <x:f>'Cumulative'!E272</x:f>
        <x:v>-19.044796528784254</x:v>
      </x:c>
    </x:row>
    <x:row r="302">
      <x:c r="A302" s="11" t="str">
        <x:f>'Cumulative'!A273</x:f>
        <x:v>272</x:v>
      </x:c>
      <x:c r="B302" s="11" t="str">
        <x:f>'Cumulative'!B273</x:f>
      </x:c>
      <x:c r="C302" s="11" t="str">
        <x:f>'Cumulative'!C273</x:f>
        <x:v>-30.45294303522524</x:v>
      </x:c>
      <x:c r="D302" s="11" t="str">
        <x:f>'Cumulative'!D273</x:f>
        <x:v>-20.715262952188695</x:v>
      </x:c>
      <x:c r="E302" s="11" t="str">
        <x:f>'Cumulative'!E273</x:f>
        <x:v>-20.067293135840636</x:v>
      </x:c>
      <x:c r="G302" s="11" t="str">
        <x:f>'Cumulative'!A273</x:f>
        <x:v>272</x:v>
      </x:c>
      <x:c r="H302" s="11" t="str">
        <x:f>'Cumulative'!C273</x:f>
        <x:v>-30.45294303522524</x:v>
      </x:c>
      <x:c r="I302" s="87"/>
      <x:c r="J302" s="11" t="str">
        <x:f>'Cumulative'!A273</x:f>
        <x:v>272</x:v>
      </x:c>
      <x:c r="K302" s="11" t="str">
        <x:f>'Cumulative'!D273</x:f>
        <x:v>-20.715262952188695</x:v>
      </x:c>
      <x:c r="L302" s="11" t="str">
        <x:f>'Cumulative'!E273</x:f>
        <x:v>-20.067293135840636</x:v>
      </x:c>
    </x:row>
    <x:row r="303">
      <x:c r="A303" s="11" t="str">
        <x:f>'Cumulative'!A274</x:f>
        <x:v>273</x:v>
      </x:c>
      <x:c r="B303" s="11" t="str">
        <x:f>'Cumulative'!B274</x:f>
      </x:c>
      <x:c r="C303" s="11" t="str">
        <x:f>'Cumulative'!C274</x:f>
        <x:v>-29.912890112311647</x:v>
      </x:c>
      <x:c r="D303" s="11" t="str">
        <x:f>'Cumulative'!D274</x:f>
        <x:v>-21.735162515885037</x:v>
      </x:c>
      <x:c r="E303" s="11" t="str">
        <x:f>'Cumulative'!E274</x:f>
        <x:v>-21.115410439827972</x:v>
      </x:c>
      <x:c r="G303" s="11" t="str">
        <x:f>'Cumulative'!A274</x:f>
        <x:v>273</x:v>
      </x:c>
      <x:c r="H303" s="11" t="str">
        <x:f>'Cumulative'!C274</x:f>
        <x:v>-29.912890112311647</x:v>
      </x:c>
      <x:c r="I303" s="87"/>
      <x:c r="J303" s="11" t="str">
        <x:f>'Cumulative'!A274</x:f>
        <x:v>273</x:v>
      </x:c>
      <x:c r="K303" s="11" t="str">
        <x:f>'Cumulative'!D274</x:f>
        <x:v>-21.735162515885037</x:v>
      </x:c>
      <x:c r="L303" s="11" t="str">
        <x:f>'Cumulative'!E274</x:f>
        <x:v>-21.115410439827972</x:v>
      </x:c>
    </x:row>
    <x:row r="304">
      <x:c r="A304" s="11" t="str">
        <x:f>'Cumulative'!A275</x:f>
        <x:v>274</x:v>
      </x:c>
      <x:c r="B304" s="11" t="str">
        <x:f>'Cumulative'!B275</x:f>
      </x:c>
      <x:c r="C304" s="11" t="str">
        <x:f>'Cumulative'!C275</x:f>
        <x:v>-29.412442186000842</x:v>
      </x:c>
      <x:c r="D304" s="11" t="str">
        <x:f>'Cumulative'!D275</x:f>
        <x:v>-22.742002805554755</x:v>
      </x:c>
      <x:c r="E304" s="11" t="str">
        <x:f>'Cumulative'!E275</x:f>
        <x:v>-19.446366834283772</x:v>
      </x:c>
      <x:c r="G304" s="11" t="str">
        <x:f>'Cumulative'!A275</x:f>
        <x:v>274</x:v>
      </x:c>
      <x:c r="H304" s="11" t="str">
        <x:f>'Cumulative'!C275</x:f>
        <x:v>-29.412442186000842</x:v>
      </x:c>
      <x:c r="I304" s="87"/>
      <x:c r="J304" s="11" t="str">
        <x:f>'Cumulative'!A275</x:f>
        <x:v>274</x:v>
      </x:c>
      <x:c r="K304" s="11" t="str">
        <x:f>'Cumulative'!D275</x:f>
        <x:v>-22.742002805554755</x:v>
      </x:c>
      <x:c r="L304" s="11" t="str">
        <x:f>'Cumulative'!E275</x:f>
        <x:v>-19.446366834283772</x:v>
      </x:c>
    </x:row>
    <x:row r="305">
      <x:c r="A305" s="11" t="str">
        <x:f>'Cumulative'!A276</x:f>
        <x:v>275</x:v>
      </x:c>
      <x:c r="B305" s="11" t="str">
        <x:f>'Cumulative'!B276</x:f>
      </x:c>
      <x:c r="C305" s="11" t="str">
        <x:f>'Cumulative'!C276</x:f>
        <x:v>-29.0468999678989</x:v>
      </x:c>
      <x:c r="D305" s="11" t="str">
        <x:f>'Cumulative'!D276</x:f>
        <x:v>-22.401049512316067</x:v>
      </x:c>
      <x:c r="E305" s="11" t="str">
        <x:f>'Cumulative'!E276</x:f>
        <x:v>-20.00573223450201</x:v>
      </x:c>
      <x:c r="G305" s="11" t="str">
        <x:f>'Cumulative'!A276</x:f>
        <x:v>275</x:v>
      </x:c>
      <x:c r="H305" s="11" t="str">
        <x:f>'Cumulative'!C276</x:f>
        <x:v>-29.0468999678989</x:v>
      </x:c>
      <x:c r="I305" s="87"/>
      <x:c r="J305" s="11" t="str">
        <x:f>'Cumulative'!A276</x:f>
        <x:v>275</x:v>
      </x:c>
      <x:c r="K305" s="11" t="str">
        <x:f>'Cumulative'!D276</x:f>
        <x:v>-22.401049512316067</x:v>
      </x:c>
      <x:c r="L305" s="11" t="str">
        <x:f>'Cumulative'!E276</x:f>
        <x:v>-20.00573223450201</x:v>
      </x:c>
    </x:row>
    <x:row r="306">
      <x:c r="A306" s="11" t="str">
        <x:f>'Cumulative'!A277</x:f>
        <x:v>276</x:v>
      </x:c>
      <x:c r="B306" s="11" t="str">
        <x:f>'Cumulative'!B277</x:f>
      </x:c>
      <x:c r="C306" s="11" t="str">
        <x:f>'Cumulative'!C277</x:f>
        <x:v>-29.48760968799933</x:v>
      </x:c>
      <x:c r="D306" s="11" t="str">
        <x:f>'Cumulative'!D277</x:f>
        <x:v>-21.74612291781355</x:v>
      </x:c>
      <x:c r="E306" s="11" t="str">
        <x:f>'Cumulative'!E277</x:f>
        <x:v>-21.015650459743192</x:v>
      </x:c>
      <x:c r="G306" s="11" t="str">
        <x:f>'Cumulative'!A277</x:f>
        <x:v>276</x:v>
      </x:c>
      <x:c r="H306" s="11" t="str">
        <x:f>'Cumulative'!C277</x:f>
        <x:v>-29.48760968799933</x:v>
      </x:c>
      <x:c r="I306" s="87"/>
      <x:c r="J306" s="11" t="str">
        <x:f>'Cumulative'!A277</x:f>
        <x:v>276</x:v>
      </x:c>
      <x:c r="K306" s="11" t="str">
        <x:f>'Cumulative'!D277</x:f>
        <x:v>-21.74612291781355</x:v>
      </x:c>
      <x:c r="L306" s="11" t="str">
        <x:f>'Cumulative'!E277</x:f>
        <x:v>-21.015650459743192</x:v>
      </x:c>
    </x:row>
    <x:row r="307">
      <x:c r="A307" s="11" t="str">
        <x:f>'Cumulative'!A278</x:f>
        <x:v>277</x:v>
      </x:c>
      <x:c r="B307" s="11" t="str">
        <x:f>'Cumulative'!B278</x:f>
      </x:c>
      <x:c r="C307" s="11" t="str">
        <x:f>'Cumulative'!C278</x:f>
        <x:v>-30.54204197546651</x:v>
      </x:c>
      <x:c r="D307" s="11" t="str">
        <x:f>'Cumulative'!D278</x:f>
        <x:v>-22.752575916434175</x:v>
      </x:c>
      <x:c r="E307" s="11" t="str">
        <x:f>'Cumulative'!E278</x:f>
        <x:v>-21.467495417003526</x:v>
      </x:c>
      <x:c r="G307" s="11" t="str">
        <x:f>'Cumulative'!A278</x:f>
        <x:v>277</x:v>
      </x:c>
      <x:c r="H307" s="11" t="str">
        <x:f>'Cumulative'!C278</x:f>
        <x:v>-30.54204197546651</x:v>
      </x:c>
      <x:c r="I307" s="87"/>
      <x:c r="J307" s="11" t="str">
        <x:f>'Cumulative'!A278</x:f>
        <x:v>277</x:v>
      </x:c>
      <x:c r="K307" s="11" t="str">
        <x:f>'Cumulative'!D278</x:f>
        <x:v>-22.752575916434175</x:v>
      </x:c>
      <x:c r="L307" s="11" t="str">
        <x:f>'Cumulative'!E278</x:f>
        <x:v>-21.467495417003526</x:v>
      </x:c>
    </x:row>
    <x:row r="308">
      <x:c r="A308" s="11" t="str">
        <x:f>'Cumulative'!A279</x:f>
        <x:v>278</x:v>
      </x:c>
      <x:c r="B308" s="11" t="str">
        <x:f>'Cumulative'!B279</x:f>
      </x:c>
      <x:c r="C308" s="11" t="str">
        <x:f>'Cumulative'!C279</x:f>
        <x:v>-28.558599849782578</x:v>
      </x:c>
      <x:c r="D308" s="11" t="str">
        <x:f>'Cumulative'!D279</x:f>
        <x:v>-23.772594544069747</x:v>
      </x:c>
      <x:c r="E308" s="11" t="str">
        <x:f>'Cumulative'!E279</x:f>
        <x:v>-19.66425926266532</x:v>
      </x:c>
      <x:c r="G308" s="11" t="str">
        <x:f>'Cumulative'!A279</x:f>
        <x:v>278</x:v>
      </x:c>
      <x:c r="H308" s="11" t="str">
        <x:f>'Cumulative'!C279</x:f>
        <x:v>-28.558599849782578</x:v>
      </x:c>
      <x:c r="I308" s="87"/>
      <x:c r="J308" s="11" t="str">
        <x:f>'Cumulative'!A279</x:f>
        <x:v>278</x:v>
      </x:c>
      <x:c r="K308" s="11" t="str">
        <x:f>'Cumulative'!D279</x:f>
        <x:v>-23.772594544069747</x:v>
      </x:c>
      <x:c r="L308" s="11" t="str">
        <x:f>'Cumulative'!E279</x:f>
        <x:v>-19.66425926266532</x:v>
      </x:c>
    </x:row>
    <x:row r="309">
      <x:c r="A309" s="11" t="str">
        <x:f>'Cumulative'!A280</x:f>
        <x:v>279</x:v>
      </x:c>
      <x:c r="B309" s="11" t="str">
        <x:f>'Cumulative'!B280</x:f>
      </x:c>
      <x:c r="C309" s="11" t="str">
        <x:f>'Cumulative'!C280</x:f>
        <x:v>-29.57151367442032</x:v>
      </x:c>
      <x:c r="D309" s="11" t="str">
        <x:f>'Cumulative'!D280</x:f>
        <x:v>-23.496800055812596</x:v>
      </x:c>
      <x:c r="E309" s="11" t="str">
        <x:f>'Cumulative'!E280</x:f>
        <x:v>-19.922848829978626</x:v>
      </x:c>
      <x:c r="G309" s="11" t="str">
        <x:f>'Cumulative'!A280</x:f>
        <x:v>279</x:v>
      </x:c>
      <x:c r="H309" s="11" t="str">
        <x:f>'Cumulative'!C280</x:f>
        <x:v>-29.57151367442032</x:v>
      </x:c>
      <x:c r="I309" s="87"/>
      <x:c r="J309" s="11" t="str">
        <x:f>'Cumulative'!A280</x:f>
        <x:v>279</x:v>
      </x:c>
      <x:c r="K309" s="11" t="str">
        <x:f>'Cumulative'!D280</x:f>
        <x:v>-23.496800055812596</x:v>
      </x:c>
      <x:c r="L309" s="11" t="str">
        <x:f>'Cumulative'!E280</x:f>
        <x:v>-19.922848829978626</x:v>
      </x:c>
    </x:row>
    <x:row r="310">
      <x:c r="A310" s="11" t="str">
        <x:f>'Cumulative'!A281</x:f>
        <x:v>280</x:v>
      </x:c>
      <x:c r="B310" s="11" t="str">
        <x:f>'Cumulative'!B281</x:f>
      </x:c>
      <x:c r="C310" s="11" t="str">
        <x:f>'Cumulative'!C281</x:f>
        <x:v>-28.85347725129044</x:v>
      </x:c>
      <x:c r="D310" s="11" t="str">
        <x:f>'Cumulative'!D281</x:f>
        <x:v>-24.548390521467784</x:v>
      </x:c>
      <x:c r="E310" s="11" t="str">
        <x:f>'Cumulative'!E281</x:f>
        <x:v>-17.945362891685352</x:v>
      </x:c>
      <x:c r="G310" s="11" t="str">
        <x:f>'Cumulative'!A281</x:f>
        <x:v>280</x:v>
      </x:c>
      <x:c r="H310" s="11" t="str">
        <x:f>'Cumulative'!C281</x:f>
        <x:v>-28.85347725129044</x:v>
      </x:c>
      <x:c r="I310" s="87"/>
      <x:c r="J310" s="11" t="str">
        <x:f>'Cumulative'!A281</x:f>
        <x:v>280</x:v>
      </x:c>
      <x:c r="K310" s="11" t="str">
        <x:f>'Cumulative'!D281</x:f>
        <x:v>-24.548390521467784</x:v>
      </x:c>
      <x:c r="L310" s="11" t="str">
        <x:f>'Cumulative'!E281</x:f>
        <x:v>-17.945362891685352</x:v>
      </x:c>
    </x:row>
    <x:row r="311">
      <x:c r="A311" s="11" t="str">
        <x:f>'Cumulative'!A282</x:f>
        <x:v>281</x:v>
      </x:c>
      <x:c r="B311" s="11" t="str">
        <x:f>'Cumulative'!B282</x:f>
      </x:c>
      <x:c r="C311" s="11" t="str">
        <x:f>'Cumulative'!C282</x:f>
        <x:v>-26.86900212067733</x:v>
      </x:c>
      <x:c r="D311" s="11" t="str">
        <x:f>'Cumulative'!D282</x:f>
        <x:v>-25.608683542437422</x:v>
      </x:c>
      <x:c r="E311" s="11" t="str">
        <x:f>'Cumulative'!E282</x:f>
        <x:v>-18.97944855424155</x:v>
      </x:c>
      <x:c r="G311" s="11" t="str">
        <x:f>'Cumulative'!A282</x:f>
        <x:v>281</x:v>
      </x:c>
      <x:c r="H311" s="11" t="str">
        <x:f>'Cumulative'!C282</x:f>
        <x:v>-26.86900212067733</x:v>
      </x:c>
      <x:c r="I311" s="87"/>
      <x:c r="J311" s="11" t="str">
        <x:f>'Cumulative'!A282</x:f>
        <x:v>281</x:v>
      </x:c>
      <x:c r="K311" s="11" t="str">
        <x:f>'Cumulative'!D282</x:f>
        <x:v>-25.608683542437422</x:v>
      </x:c>
      <x:c r="L311" s="11" t="str">
        <x:f>'Cumulative'!E282</x:f>
        <x:v>-18.97944855424155</x:v>
      </x:c>
    </x:row>
    <x:row r="312">
      <x:c r="A312" s="11" t="str">
        <x:f>'Cumulative'!A283</x:f>
        <x:v>282</x:v>
      </x:c>
      <x:c r="B312" s="11" t="str">
        <x:f>'Cumulative'!B283</x:f>
      </x:c>
      <x:c r="C312" s="11" t="str">
        <x:f>'Cumulative'!C283</x:f>
        <x:v>-27.91398713443465</x:v>
      </x:c>
      <x:c r="D312" s="11" t="str">
        <x:f>'Cumulative'!D283</x:f>
        <x:v>-26.658116907938577</x:v>
      </x:c>
      <x:c r="E312" s="11" t="str">
        <x:f>'Cumulative'!E283</x:f>
        <x:v>-20.007551489634267</x:v>
      </x:c>
      <x:c r="G312" s="11" t="str">
        <x:f>'Cumulative'!A283</x:f>
        <x:v>282</x:v>
      </x:c>
      <x:c r="H312" s="11" t="str">
        <x:f>'Cumulative'!C283</x:f>
        <x:v>-27.91398713443465</x:v>
      </x:c>
      <x:c r="I312" s="87"/>
      <x:c r="J312" s="11" t="str">
        <x:f>'Cumulative'!A283</x:f>
        <x:v>282</x:v>
      </x:c>
      <x:c r="K312" s="11" t="str">
        <x:f>'Cumulative'!D283</x:f>
        <x:v>-26.658116907938577</x:v>
      </x:c>
      <x:c r="L312" s="11" t="str">
        <x:f>'Cumulative'!E283</x:f>
        <x:v>-20.007551489634267</x:v>
      </x:c>
    </x:row>
    <x:row r="313">
      <x:c r="A313" s="11" t="str">
        <x:f>'Cumulative'!A284</x:f>
        <x:v>283</x:v>
      </x:c>
      <x:c r="B313" s="11" t="str">
        <x:f>'Cumulative'!B284</x:f>
      </x:c>
      <x:c r="C313" s="11" t="str">
        <x:f>'Cumulative'!C284</x:f>
        <x:v>-28.97217169082299</x:v>
      </x:c>
      <x:c r="D313" s="11" t="str">
        <x:f>'Cumulative'!D284</x:f>
        <x:v>-24.693953108970344</x:v>
      </x:c>
      <x:c r="E313" s="11" t="str">
        <x:f>'Cumulative'!E284</x:f>
        <x:v>-18.023673694370345</x:v>
      </x:c>
      <x:c r="G313" s="11" t="str">
        <x:f>'Cumulative'!A284</x:f>
        <x:v>283</x:v>
      </x:c>
      <x:c r="H313" s="11" t="str">
        <x:f>'Cumulative'!C284</x:f>
        <x:v>-28.97217169082299</x:v>
      </x:c>
      <x:c r="I313" s="87"/>
      <x:c r="J313" s="11" t="str">
        <x:f>'Cumulative'!A284</x:f>
        <x:v>283</x:v>
      </x:c>
      <x:c r="K313" s="11" t="str">
        <x:f>'Cumulative'!D284</x:f>
        <x:v>-24.693953108970344</x:v>
      </x:c>
      <x:c r="L313" s="11" t="str">
        <x:f>'Cumulative'!E284</x:f>
        <x:v>-18.023673694370345</x:v>
      </x:c>
    </x:row>
    <x:row r="314">
      <x:c r="A314" s="11" t="str">
        <x:f>'Cumulative'!A285</x:f>
        <x:v>284</x:v>
      </x:c>
      <x:c r="B314" s="11" t="str">
        <x:f>'Cumulative'!B285</x:f>
      </x:c>
      <x:c r="C314" s="11" t="str">
        <x:f>'Cumulative'!C285</x:f>
        <x:v>-27.009300514800998</x:v>
      </x:c>
      <x:c r="D314" s="11" t="str">
        <x:f>'Cumulative'!D285</x:f>
        <x:v>-24.328826281272175</x:v>
      </x:c>
      <x:c r="E314" s="11" t="str">
        <x:f>'Cumulative'!E285</x:f>
        <x:v>-19.05454964560882</x:v>
      </x:c>
      <x:c r="G314" s="11" t="str">
        <x:f>'Cumulative'!A285</x:f>
        <x:v>284</x:v>
      </x:c>
      <x:c r="H314" s="11" t="str">
        <x:f>'Cumulative'!C285</x:f>
        <x:v>-27.009300514800998</x:v>
      </x:c>
      <x:c r="I314" s="87"/>
      <x:c r="J314" s="11" t="str">
        <x:f>'Cumulative'!A285</x:f>
        <x:v>284</x:v>
      </x:c>
      <x:c r="K314" s="11" t="str">
        <x:f>'Cumulative'!D285</x:f>
        <x:v>-24.328826281272175</x:v>
      </x:c>
      <x:c r="L314" s="11" t="str">
        <x:f>'Cumulative'!E285</x:f>
        <x:v>-19.05454964560882</x:v>
      </x:c>
    </x:row>
    <x:row r="315">
      <x:c r="A315" s="11" t="str">
        <x:f>'Cumulative'!A286</x:f>
        <x:v>285</x:v>
      </x:c>
      <x:c r="B315" s="11" t="str">
        <x:f>'Cumulative'!B286</x:f>
      </x:c>
      <x:c r="C315" s="11" t="str">
        <x:f>'Cumulative'!C286</x:f>
        <x:v>-28.04649192807591</x:v>
      </x:c>
      <x:c r="D315" s="11" t="str">
        <x:f>'Cumulative'!D286</x:f>
        <x:v>-24.61776961358288</x:v>
      </x:c>
      <x:c r="E315" s="11" t="str">
        <x:f>'Cumulative'!E286</x:f>
        <x:v>-18.407336542469892</x:v>
      </x:c>
      <x:c r="G315" s="11" t="str">
        <x:f>'Cumulative'!A286</x:f>
        <x:v>285</x:v>
      </x:c>
      <x:c r="H315" s="11" t="str">
        <x:f>'Cumulative'!C286</x:f>
        <x:v>-28.04649192807591</x:v>
      </x:c>
      <x:c r="I315" s="87"/>
      <x:c r="J315" s="11" t="str">
        <x:f>'Cumulative'!A286</x:f>
        <x:v>285</x:v>
      </x:c>
      <x:c r="K315" s="11" t="str">
        <x:f>'Cumulative'!D286</x:f>
        <x:v>-24.61776961358288</x:v>
      </x:c>
      <x:c r="L315" s="11" t="str">
        <x:f>'Cumulative'!E286</x:f>
        <x:v>-18.407336542469892</x:v>
      </x:c>
    </x:row>
    <x:row r="316">
      <x:c r="A316" s="11" t="str">
        <x:f>'Cumulative'!A287</x:f>
        <x:v>286</x:v>
      </x:c>
      <x:c r="B316" s="11" t="str">
        <x:f>'Cumulative'!B287</x:f>
      </x:c>
      <x:c r="C316" s="11" t="str">
        <x:f>'Cumulative'!C287</x:f>
        <x:v>-29.058684072950673</x:v>
      </x:c>
      <x:c r="D316" s="11" t="str">
        <x:f>'Cumulative'!D287</x:f>
        <x:v>-25.193629170609437</x:v>
      </x:c>
      <x:c r="E316" s="11" t="str">
        <x:f>'Cumulative'!E287</x:f>
        <x:v>-19.414635603077368</x:v>
      </x:c>
      <x:c r="G316" s="11" t="str">
        <x:f>'Cumulative'!A287</x:f>
        <x:v>286</x:v>
      </x:c>
      <x:c r="H316" s="11" t="str">
        <x:f>'Cumulative'!C287</x:f>
        <x:v>-29.058684072950673</x:v>
      </x:c>
      <x:c r="I316" s="87"/>
      <x:c r="J316" s="11" t="str">
        <x:f>'Cumulative'!A287</x:f>
        <x:v>286</x:v>
      </x:c>
      <x:c r="K316" s="11" t="str">
        <x:f>'Cumulative'!D287</x:f>
        <x:v>-25.193629170609437</x:v>
      </x:c>
      <x:c r="L316" s="11" t="str">
        <x:f>'Cumulative'!E287</x:f>
        <x:v>-19.414635603077368</x:v>
      </x:c>
    </x:row>
    <x:row r="317">
      <x:c r="A317" s="11" t="str">
        <x:f>'Cumulative'!A288</x:f>
        <x:v>287</x:v>
      </x:c>
      <x:c r="B317" s="11" t="str">
        <x:f>'Cumulative'!B288</x:f>
      </x:c>
      <x:c r="C317" s="11" t="str">
        <x:f>'Cumulative'!C288</x:f>
        <x:v>-30.070687882149617</x:v>
      </x:c>
      <x:c r="D317" s="11" t="str">
        <x:f>'Cumulative'!D288</x:f>
        <x:v>-24.393054986661355</x:v>
      </x:c>
      <x:c r="E317" s="11" t="str">
        <x:f>'Cumulative'!E288</x:f>
        <x:v>-20.42381044457702</x:v>
      </x:c>
      <x:c r="G317" s="11" t="str">
        <x:f>'Cumulative'!A288</x:f>
        <x:v>287</x:v>
      </x:c>
      <x:c r="H317" s="11" t="str">
        <x:f>'Cumulative'!C288</x:f>
        <x:v>-30.070687882149617</x:v>
      </x:c>
      <x:c r="I317" s="87"/>
      <x:c r="J317" s="11" t="str">
        <x:f>'Cumulative'!A288</x:f>
        <x:v>287</x:v>
      </x:c>
      <x:c r="K317" s="11" t="str">
        <x:f>'Cumulative'!D288</x:f>
        <x:v>-24.393054986661355</x:v>
      </x:c>
      <x:c r="L317" s="11" t="str">
        <x:f>'Cumulative'!E288</x:f>
        <x:v>-20.42381044457702</x:v>
      </x:c>
    </x:row>
    <x:row r="318">
      <x:c r="A318" s="11" t="str">
        <x:f>'Cumulative'!A289</x:f>
        <x:v>288</x:v>
      </x:c>
      <x:c r="B318" s="11" t="str">
        <x:f>'Cumulative'!B289</x:f>
      </x:c>
      <x:c r="C318" s="11" t="str">
        <x:f>'Cumulative'!C289</x:f>
        <x:v>-28.10779503677198</x:v>
      </x:c>
      <x:c r="D318" s="11" t="str">
        <x:f>'Cumulative'!D289</x:f>
        <x:v>-25.495670860421463</x:v>
      </x:c>
      <x:c r="E318" s="11" t="str">
        <x:f>'Cumulative'!E289</x:f>
        <x:v>-21.448054803728777</x:v>
      </x:c>
      <x:c r="G318" s="11" t="str">
        <x:f>'Cumulative'!A289</x:f>
        <x:v>288</x:v>
      </x:c>
      <x:c r="H318" s="11" t="str">
        <x:f>'Cumulative'!C289</x:f>
        <x:v>-28.10779503677198</x:v>
      </x:c>
      <x:c r="I318" s="87"/>
      <x:c r="J318" s="11" t="str">
        <x:f>'Cumulative'!A289</x:f>
        <x:v>288</x:v>
      </x:c>
      <x:c r="K318" s="11" t="str">
        <x:f>'Cumulative'!D289</x:f>
        <x:v>-25.495670860421463</x:v>
      </x:c>
      <x:c r="L318" s="11" t="str">
        <x:f>'Cumulative'!E289</x:f>
        <x:v>-21.448054803728777</x:v>
      </x:c>
    </x:row>
    <x:row r="319">
      <x:c r="A319" s="11" t="str">
        <x:f>'Cumulative'!A290</x:f>
        <x:v>289</x:v>
      </x:c>
      <x:c r="B319" s="11" t="str">
        <x:f>'Cumulative'!B290</x:f>
      </x:c>
      <x:c r="C319" s="11" t="str">
        <x:f>'Cumulative'!C290</x:f>
        <x:v>-27.82076634943433</x:v>
      </x:c>
      <x:c r="D319" s="11" t="str">
        <x:f>'Cumulative'!D290</x:f>
        <x:v>-25.675726677805237</x:v>
      </x:c>
      <x:c r="E319" s="11" t="str">
        <x:f>'Cumulative'!E290</x:f>
        <x:v>-22.109616106823303</x:v>
      </x:c>
      <x:c r="G319" s="11" t="str">
        <x:f>'Cumulative'!A290</x:f>
        <x:v>289</x:v>
      </x:c>
      <x:c r="H319" s="11" t="str">
        <x:f>'Cumulative'!C290</x:f>
        <x:v>-27.82076634943433</x:v>
      </x:c>
      <x:c r="I319" s="87"/>
      <x:c r="J319" s="11" t="str">
        <x:f>'Cumulative'!A290</x:f>
        <x:v>289</x:v>
      </x:c>
      <x:c r="K319" s="11" t="str">
        <x:f>'Cumulative'!D290</x:f>
        <x:v>-25.675726677805237</x:v>
      </x:c>
      <x:c r="L319" s="11" t="str">
        <x:f>'Cumulative'!E290</x:f>
        <x:v>-22.109616106823303</x:v>
      </x:c>
    </x:row>
    <x:row r="320">
      <x:c r="A320" s="11" t="str">
        <x:f>'Cumulative'!A291</x:f>
        <x:v>290</x:v>
      </x:c>
      <x:c r="B320" s="11" t="str">
        <x:f>'Cumulative'!B291</x:f>
      </x:c>
      <x:c r="C320" s="11" t="str">
        <x:f>'Cumulative'!C291</x:f>
        <x:v>-27.654329270086084</x:v>
      </x:c>
      <x:c r="D320" s="11" t="str">
        <x:f>'Cumulative'!D291</x:f>
        <x:v>-25.372599916299688</x:v>
      </x:c>
      <x:c r="E320" s="11" t="str">
        <x:f>'Cumulative'!E291</x:f>
        <x:v>-23.12442177006544</x:v>
      </x:c>
      <x:c r="G320" s="11" t="str">
        <x:f>'Cumulative'!A291</x:f>
        <x:v>290</x:v>
      </x:c>
      <x:c r="H320" s="11" t="str">
        <x:f>'Cumulative'!C291</x:f>
        <x:v>-27.654329270086084</x:v>
      </x:c>
      <x:c r="I320" s="87"/>
      <x:c r="J320" s="11" t="str">
        <x:f>'Cumulative'!A291</x:f>
        <x:v>290</x:v>
      </x:c>
      <x:c r="K320" s="11" t="str">
        <x:f>'Cumulative'!D291</x:f>
        <x:v>-25.372599916299688</x:v>
      </x:c>
      <x:c r="L320" s="11" t="str">
        <x:f>'Cumulative'!E291</x:f>
        <x:v>-23.12442177006544</x:v>
      </x:c>
    </x:row>
    <x:row r="321">
      <x:c r="A321" s="11" t="str">
        <x:f>'Cumulative'!A292</x:f>
        <x:v>291</x:v>
      </x:c>
      <x:c r="B321" s="11" t="str">
        <x:f>'Cumulative'!B292</x:f>
      </x:c>
      <x:c r="C321" s="11" t="str">
        <x:f>'Cumulative'!C292</x:f>
        <x:v>-28.676712363004302</x:v>
      </x:c>
      <x:c r="D321" s="11" t="str">
        <x:f>'Cumulative'!D292</x:f>
        <x:v>-24.99985348634947</x:v>
      </x:c>
      <x:c r="E321" s="11" t="str">
        <x:f>'Cumulative'!E292</x:f>
        <x:v>-21.146300112673316</x:v>
      </x:c>
      <x:c r="G321" s="11" t="str">
        <x:f>'Cumulative'!A292</x:f>
        <x:v>291</x:v>
      </x:c>
      <x:c r="H321" s="11" t="str">
        <x:f>'Cumulative'!C292</x:f>
        <x:v>-28.676712363004302</x:v>
      </x:c>
      <x:c r="I321" s="87"/>
      <x:c r="J321" s="11" t="str">
        <x:f>'Cumulative'!A292</x:f>
        <x:v>291</x:v>
      </x:c>
      <x:c r="K321" s="11" t="str">
        <x:f>'Cumulative'!D292</x:f>
        <x:v>-24.99985348634947</x:v>
      </x:c>
      <x:c r="L321" s="11" t="str">
        <x:f>'Cumulative'!E292</x:f>
        <x:v>-21.146300112673316</x:v>
      </x:c>
    </x:row>
    <x:row r="322">
      <x:c r="A322" s="11" t="str">
        <x:f>'Cumulative'!A293</x:f>
        <x:v>292</x:v>
      </x:c>
      <x:c r="B322" s="11" t="str">
        <x:f>'Cumulative'!B293</x:f>
      </x:c>
      <x:c r="C322" s="11" t="str">
        <x:f>'Cumulative'!C293</x:f>
        <x:v>-28.07410684612897</x:v>
      </x:c>
      <x:c r="D322" s="11" t="str">
        <x:f>'Cumulative'!D293</x:f>
        <x:v>-26.033507660128397</x:v>
      </x:c>
      <x:c r="E322" s="11" t="str">
        <x:f>'Cumulative'!E293</x:f>
        <x:v>-22.196377548388867</x:v>
      </x:c>
      <x:c r="G322" s="11" t="str">
        <x:f>'Cumulative'!A293</x:f>
        <x:v>292</x:v>
      </x:c>
      <x:c r="H322" s="11" t="str">
        <x:f>'Cumulative'!C293</x:f>
        <x:v>-28.07410684612897</x:v>
      </x:c>
      <x:c r="I322" s="87"/>
      <x:c r="J322" s="11" t="str">
        <x:f>'Cumulative'!A293</x:f>
        <x:v>292</x:v>
      </x:c>
      <x:c r="K322" s="11" t="str">
        <x:f>'Cumulative'!D293</x:f>
        <x:v>-26.033507660128397</x:v>
      </x:c>
      <x:c r="L322" s="11" t="str">
        <x:f>'Cumulative'!E293</x:f>
        <x:v>-22.196377548388867</x:v>
      </x:c>
    </x:row>
    <x:row r="323">
      <x:c r="A323" s="11" t="str">
        <x:f>'Cumulative'!A294</x:f>
        <x:v>293</x:v>
      </x:c>
      <x:c r="B323" s="11" t="str">
        <x:f>'Cumulative'!B294</x:f>
      </x:c>
      <x:c r="C323" s="11" t="str">
        <x:f>'Cumulative'!C294</x:f>
        <x:v>-26.09569582886334</x:v>
      </x:c>
      <x:c r="D323" s="11" t="str">
        <x:f>'Cumulative'!D294</x:f>
        <x:v>-24.741393649919956</x:v>
      </x:c>
      <x:c r="E323" s="11" t="str">
        <x:f>'Cumulative'!E294</x:f>
        <x:v>-22.682947720363018</x:v>
      </x:c>
      <x:c r="G323" s="11" t="str">
        <x:f>'Cumulative'!A294</x:f>
        <x:v>293</x:v>
      </x:c>
      <x:c r="H323" s="11" t="str">
        <x:f>'Cumulative'!C294</x:f>
        <x:v>-26.09569582886334</x:v>
      </x:c>
      <x:c r="I323" s="87"/>
      <x:c r="J323" s="11" t="str">
        <x:f>'Cumulative'!A294</x:f>
        <x:v>293</x:v>
      </x:c>
      <x:c r="K323" s="11" t="str">
        <x:f>'Cumulative'!D294</x:f>
        <x:v>-24.741393649919956</x:v>
      </x:c>
      <x:c r="L323" s="11" t="str">
        <x:f>'Cumulative'!E294</x:f>
        <x:v>-22.682947720363018</x:v>
      </x:c>
    </x:row>
    <x:row r="324">
      <x:c r="A324" s="11" t="str">
        <x:f>'Cumulative'!A295</x:f>
        <x:v>294</x:v>
      </x:c>
      <x:c r="B324" s="11" t="str">
        <x:f>'Cumulative'!B295</x:f>
      </x:c>
      <x:c r="C324" s="11" t="str">
        <x:f>'Cumulative'!C295</x:f>
        <x:v>-24.821796263384684</x:v>
      </x:c>
      <x:c r="D324" s="11" t="str">
        <x:f>'Cumulative'!D295</x:f>
        <x:v>-24.347599105385438</x:v>
      </x:c>
      <x:c r="E324" s="11" t="str">
        <x:f>'Cumulative'!E295</x:f>
        <x:v>-23.704455205904907</x:v>
      </x:c>
      <x:c r="G324" s="11" t="str">
        <x:f>'Cumulative'!A295</x:f>
        <x:v>294</x:v>
      </x:c>
      <x:c r="H324" s="11" t="str">
        <x:f>'Cumulative'!C295</x:f>
        <x:v>-24.821796263384684</x:v>
      </x:c>
      <x:c r="I324" s="87"/>
      <x:c r="J324" s="11" t="str">
        <x:f>'Cumulative'!A295</x:f>
        <x:v>294</x:v>
      </x:c>
      <x:c r="K324" s="11" t="str">
        <x:f>'Cumulative'!D295</x:f>
        <x:v>-24.347599105385438</x:v>
      </x:c>
      <x:c r="L324" s="11" t="str">
        <x:f>'Cumulative'!E295</x:f>
        <x:v>-23.704455205904907</x:v>
      </x:c>
    </x:row>
    <x:row r="325">
      <x:c r="A325" s="11" t="str">
        <x:f>'Cumulative'!A296</x:f>
        <x:v>295</x:v>
      </x:c>
      <x:c r="B325" s="11" t="str">
        <x:f>'Cumulative'!B296</x:f>
      </x:c>
      <x:c r="C325" s="11" t="str">
        <x:f>'Cumulative'!C296</x:f>
        <x:v>-25.876693715076563</x:v>
      </x:c>
      <x:c r="D325" s="11" t="str">
        <x:f>'Cumulative'!D296</x:f>
        <x:v>-25.38129545988893</x:v>
      </x:c>
      <x:c r="E325" s="11" t="str">
        <x:f>'Cumulative'!E296</x:f>
        <x:v>-21.72551903923077</x:v>
      </x:c>
      <x:c r="G325" s="11" t="str">
        <x:f>'Cumulative'!A296</x:f>
        <x:v>295</x:v>
      </x:c>
      <x:c r="H325" s="11" t="str">
        <x:f>'Cumulative'!C296</x:f>
        <x:v>-25.876693715076563</x:v>
      </x:c>
      <x:c r="I325" s="87"/>
      <x:c r="J325" s="11" t="str">
        <x:f>'Cumulative'!A296</x:f>
        <x:v>295</x:v>
      </x:c>
      <x:c r="K325" s="11" t="str">
        <x:f>'Cumulative'!D296</x:f>
        <x:v>-25.38129545988893</x:v>
      </x:c>
      <x:c r="L325" s="11" t="str">
        <x:f>'Cumulative'!E296</x:f>
        <x:v>-21.72551903923077</x:v>
      </x:c>
    </x:row>
    <x:row r="326">
      <x:c r="A326" s="11" t="str">
        <x:f>'Cumulative'!A297</x:f>
        <x:v>296</x:v>
      </x:c>
      <x:c r="B326" s="11" t="str">
        <x:f>'Cumulative'!B297</x:f>
      </x:c>
      <x:c r="C326" s="11" t="str">
        <x:f>'Cumulative'!C297</x:f>
        <x:v>-26.92574084236962</x:v>
      </x:c>
      <x:c r="D326" s="11" t="str">
        <x:f>'Cumulative'!D297</x:f>
        <x:v>-25.189652425142416</x:v>
      </x:c>
      <x:c r="E326" s="11" t="str">
        <x:f>'Cumulative'!E297</x:f>
        <x:v>-19.74383282344876</x:v>
      </x:c>
      <x:c r="G326" s="11" t="str">
        <x:f>'Cumulative'!A297</x:f>
        <x:v>296</x:v>
      </x:c>
      <x:c r="H326" s="11" t="str">
        <x:f>'Cumulative'!C297</x:f>
        <x:v>-26.92574084236962</x:v>
      </x:c>
      <x:c r="I326" s="87"/>
      <x:c r="J326" s="11" t="str">
        <x:f>'Cumulative'!A297</x:f>
        <x:v>296</x:v>
      </x:c>
      <x:c r="K326" s="11" t="str">
        <x:f>'Cumulative'!D297</x:f>
        <x:v>-25.189652425142416</x:v>
      </x:c>
      <x:c r="L326" s="11" t="str">
        <x:f>'Cumulative'!E297</x:f>
        <x:v>-19.74383282344876</x:v>
      </x:c>
    </x:row>
    <x:row r="327">
      <x:c r="A327" s="11" t="str">
        <x:f>'Cumulative'!A298</x:f>
        <x:v>297</x:v>
      </x:c>
      <x:c r="B327" s="11" t="str">
        <x:f>'Cumulative'!B298</x:f>
      </x:c>
      <x:c r="C327" s="11" t="str">
        <x:f>'Cumulative'!C298</x:f>
        <x:v>-27.93588545473312</x:v>
      </x:c>
      <x:c r="D327" s="11" t="str">
        <x:f>'Cumulative'!D298</x:f>
        <x:v>-23.971852427807598</x:v>
      </x:c>
      <x:c r="E327" s="11" t="str">
        <x:f>'Cumulative'!E298</x:f>
        <x:v>-20.78870327578725</x:v>
      </x:c>
      <x:c r="G327" s="11" t="str">
        <x:f>'Cumulative'!A298</x:f>
        <x:v>297</x:v>
      </x:c>
      <x:c r="H327" s="11" t="str">
        <x:f>'Cumulative'!C298</x:f>
        <x:v>-27.93588545473312</x:v>
      </x:c>
      <x:c r="I327" s="87"/>
      <x:c r="J327" s="11" t="str">
        <x:f>'Cumulative'!A298</x:f>
        <x:v>297</x:v>
      </x:c>
      <x:c r="K327" s="11" t="str">
        <x:f>'Cumulative'!D298</x:f>
        <x:v>-23.971852427807598</x:v>
      </x:c>
      <x:c r="L327" s="11" t="str">
        <x:f>'Cumulative'!E298</x:f>
        <x:v>-20.78870327578725</x:v>
      </x:c>
    </x:row>
    <x:row r="328">
      <x:c r="A328" s="11" t="str">
        <x:f>'Cumulative'!A299</x:f>
        <x:v>298</x:v>
      </x:c>
      <x:c r="B328" s="11" t="str">
        <x:f>'Cumulative'!B299</x:f>
      </x:c>
      <x:c r="C328" s="11" t="str">
        <x:f>'Cumulative'!C299</x:f>
        <x:v>-26.75948620448098</x:v>
      </x:c>
      <x:c r="D328" s="11" t="str">
        <x:f>'Cumulative'!D299</x:f>
        <x:v>-22.00978660987443</x:v>
      </x:c>
      <x:c r="E328" s="11" t="str">
        <x:f>'Cumulative'!E299</x:f>
        <x:v>-18.817173729932904</x:v>
      </x:c>
      <x:c r="G328" s="11" t="str">
        <x:f>'Cumulative'!A299</x:f>
        <x:v>298</x:v>
      </x:c>
      <x:c r="H328" s="11" t="str">
        <x:f>'Cumulative'!C299</x:f>
        <x:v>-26.75948620448098</x:v>
      </x:c>
      <x:c r="I328" s="87"/>
      <x:c r="J328" s="11" t="str">
        <x:f>'Cumulative'!A299</x:f>
        <x:v>298</x:v>
      </x:c>
      <x:c r="K328" s="11" t="str">
        <x:f>'Cumulative'!D299</x:f>
        <x:v>-22.00978660987443</x:v>
      </x:c>
      <x:c r="L328" s="11" t="str">
        <x:f>'Cumulative'!E299</x:f>
        <x:v>-18.817173729932904</x:v>
      </x:c>
    </x:row>
    <x:row r="329">
      <x:c r="A329" s="11" t="str">
        <x:f>'Cumulative'!A300</x:f>
        <x:v>299</x:v>
      </x:c>
      <x:c r="B329" s="11" t="str">
        <x:f>'Cumulative'!B300</x:f>
      </x:c>
      <x:c r="C329" s="11" t="str">
        <x:f>'Cumulative'!C300</x:f>
        <x:v>-24.770203949053236</x:v>
      </x:c>
      <x:c r="D329" s="11" t="str">
        <x:f>'Cumulative'!D300</x:f>
        <x:v>-23.03749701124905</x:v>
      </x:c>
      <x:c r="E329" s="11" t="str">
        <x:f>'Cumulative'!E300</x:f>
        <x:v>-19.834998169716584</x:v>
      </x:c>
      <x:c r="G329" s="11" t="str">
        <x:f>'Cumulative'!A300</x:f>
        <x:v>299</x:v>
      </x:c>
      <x:c r="H329" s="11" t="str">
        <x:f>'Cumulative'!C300</x:f>
        <x:v>-24.770203949053236</x:v>
      </x:c>
      <x:c r="I329" s="87"/>
      <x:c r="J329" s="11" t="str">
        <x:f>'Cumulative'!A300</x:f>
        <x:v>299</x:v>
      </x:c>
      <x:c r="K329" s="11" t="str">
        <x:f>'Cumulative'!D300</x:f>
        <x:v>-23.03749701124905</x:v>
      </x:c>
      <x:c r="L329" s="11" t="str">
        <x:f>'Cumulative'!E300</x:f>
        <x:v>-19.834998169716584</x:v>
      </x:c>
    </x:row>
    <x:row r="330">
      <x:c r="A330" s="11" t="str">
        <x:f>'Cumulative'!A301</x:f>
        <x:v>300</x:v>
      </x:c>
      <x:c r="B330" s="11" t="str">
        <x:f>'Cumulative'!B301</x:f>
      </x:c>
      <x:c r="C330" s="11" t="str">
        <x:f>'Cumulative'!C301</x:f>
        <x:v>-22.787006931602903</x:v>
      </x:c>
      <x:c r="D330" s="11" t="str">
        <x:f>'Cumulative'!D301</x:f>
        <x:v>-24.073356906828522</x:v>
      </x:c>
      <x:c r="E330" s="11" t="str">
        <x:f>'Cumulative'!E301</x:f>
        <x:v>-20.885718565153148</x:v>
      </x:c>
      <x:c r="G330" s="11" t="str">
        <x:f>'Cumulative'!A301</x:f>
        <x:v>300</x:v>
      </x:c>
      <x:c r="H330" s="11" t="str">
        <x:f>'Cumulative'!C301</x:f>
        <x:v>-22.787006931602903</x:v>
      </x:c>
      <x:c r="I330" s="87"/>
      <x:c r="J330" s="11" t="str">
        <x:f>'Cumulative'!A301</x:f>
        <x:v>300</x:v>
      </x:c>
      <x:c r="K330" s="11" t="str">
        <x:f>'Cumulative'!D301</x:f>
        <x:v>-24.073356906828522</x:v>
      </x:c>
      <x:c r="L330" s="11" t="str">
        <x:f>'Cumulative'!E301</x:f>
        <x:v>-20.885718565153148</x:v>
      </x:c>
    </x:row>
    <x:row r="331">
      <x:c r="A331" s="11" t="str">
        <x:f>'Cumulative'!A302</x:f>
        <x:v>301</x:v>
      </x:c>
      <x:c r="B331" s="11" t="str">
        <x:f>'Cumulative'!B302</x:f>
      </x:c>
      <x:c r="C331" s="11" t="str">
        <x:f>'Cumulative'!C302</x:f>
        <x:v>-23.41512256371803</x:v>
      </x:c>
      <x:c r="D331" s="11" t="str">
        <x:f>'Cumulative'!D302</x:f>
        <x:v>-25.080747349123627</x:v>
      </x:c>
      <x:c r="E331" s="11" t="str">
        <x:f>'Cumulative'!E302</x:f>
        <x:v>-21.89305696842295</x:v>
      </x:c>
      <x:c r="G331" s="11" t="str">
        <x:f>'Cumulative'!A302</x:f>
        <x:v>301</x:v>
      </x:c>
      <x:c r="H331" s="11" t="str">
        <x:f>'Cumulative'!C302</x:f>
        <x:v>-23.41512256371803</x:v>
      </x:c>
      <x:c r="I331" s="87"/>
      <x:c r="J331" s="11" t="str">
        <x:f>'Cumulative'!A302</x:f>
        <x:v>301</x:v>
      </x:c>
      <x:c r="K331" s="11" t="str">
        <x:f>'Cumulative'!D302</x:f>
        <x:v>-25.080747349123627</x:v>
      </x:c>
      <x:c r="L331" s="11" t="str">
        <x:f>'Cumulative'!E302</x:f>
        <x:v>-21.89305696842295</x:v>
      </x:c>
    </x:row>
    <x:row r="332">
      <x:c r="A332" s="11" t="str">
        <x:f>'Cumulative'!A303</x:f>
        <x:v>302</x:v>
      </x:c>
      <x:c r="B332" s="11" t="str">
        <x:f>'Cumulative'!B303</x:f>
      </x:c>
      <x:c r="C332" s="11" t="str">
        <x:f>'Cumulative'!C303</x:f>
        <x:v>-23.744821921925695</x:v>
      </x:c>
      <x:c r="D332" s="11" t="str">
        <x:f>'Cumulative'!D303</x:f>
        <x:v>-26.118193687593614</x:v>
      </x:c>
      <x:c r="E332" s="11" t="str">
        <x:f>'Cumulative'!E303</x:f>
        <x:v>-20.5015204040662</x:v>
      </x:c>
      <x:c r="G332" s="11" t="str">
        <x:f>'Cumulative'!A303</x:f>
        <x:v>302</x:v>
      </x:c>
      <x:c r="H332" s="11" t="str">
        <x:f>'Cumulative'!C303</x:f>
        <x:v>-23.744821921925695</x:v>
      </x:c>
      <x:c r="I332" s="87"/>
      <x:c r="J332" s="11" t="str">
        <x:f>'Cumulative'!A303</x:f>
        <x:v>302</x:v>
      </x:c>
      <x:c r="K332" s="11" t="str">
        <x:f>'Cumulative'!D303</x:f>
        <x:v>-26.118193687593614</x:v>
      </x:c>
      <x:c r="L332" s="11" t="str">
        <x:f>'Cumulative'!E303</x:f>
        <x:v>-20.5015204040662</x:v>
      </x:c>
    </x:row>
    <x:row r="333">
      <x:c r="A333" s="11" t="str">
        <x:f>'Cumulative'!A304</x:f>
        <x:v>303</x:v>
      </x:c>
      <x:c r="B333" s="11" t="str">
        <x:f>'Cumulative'!B304</x:f>
      </x:c>
      <x:c r="C333" s="11" t="str">
        <x:f>'Cumulative'!C304</x:f>
        <x:v>-24.763250794280886</x:v>
      </x:c>
      <x:c r="D333" s="11" t="str">
        <x:f>'Cumulative'!D304</x:f>
        <x:v>-27.144784825920976</x:v>
      </x:c>
      <x:c r="E333" s="11" t="str">
        <x:f>'Cumulative'!E304</x:f>
        <x:v>-18.51948387672082</x:v>
      </x:c>
      <x:c r="G333" s="11" t="str">
        <x:f>'Cumulative'!A304</x:f>
        <x:v>303</x:v>
      </x:c>
      <x:c r="H333" s="11" t="str">
        <x:f>'Cumulative'!C304</x:f>
        <x:v>-24.763250794280886</x:v>
      </x:c>
      <x:c r="I333" s="87"/>
      <x:c r="J333" s="11" t="str">
        <x:f>'Cumulative'!A304</x:f>
        <x:v>303</x:v>
      </x:c>
      <x:c r="K333" s="11" t="str">
        <x:f>'Cumulative'!D304</x:f>
        <x:v>-27.144784825920976</x:v>
      </x:c>
      <x:c r="L333" s="11" t="str">
        <x:f>'Cumulative'!E304</x:f>
        <x:v>-18.51948387672082</x:v>
      </x:c>
    </x:row>
    <x:row r="334">
      <x:c r="A334" s="11" t="str">
        <x:f>'Cumulative'!A305</x:f>
        <x:v>304</x:v>
      </x:c>
      <x:c r="B334" s="11" t="str">
        <x:f>'Cumulative'!B305</x:f>
      </x:c>
      <x:c r="C334" s="11" t="str">
        <x:f>'Cumulative'!C305</x:f>
        <x:v>-25.774120044156533</x:v>
      </x:c>
      <x:c r="D334" s="11" t="str">
        <x:f>'Cumulative'!D305</x:f>
        <x:v>-28.156021598602997</x:v>
      </x:c>
      <x:c r="E334" s="11" t="str">
        <x:f>'Cumulative'!E305</x:f>
        <x:v>-17.844420913668237</x:v>
      </x:c>
      <x:c r="G334" s="11" t="str">
        <x:f>'Cumulative'!A305</x:f>
        <x:v>304</x:v>
      </x:c>
      <x:c r="H334" s="11" t="str">
        <x:f>'Cumulative'!C305</x:f>
        <x:v>-25.774120044156533</x:v>
      </x:c>
      <x:c r="I334" s="87"/>
      <x:c r="J334" s="11" t="str">
        <x:f>'Cumulative'!A305</x:f>
        <x:v>304</x:v>
      </x:c>
      <x:c r="K334" s="11" t="str">
        <x:f>'Cumulative'!D305</x:f>
        <x:v>-28.156021598602997</x:v>
      </x:c>
      <x:c r="L334" s="11" t="str">
        <x:f>'Cumulative'!E305</x:f>
        <x:v>-17.844420913668237</x:v>
      </x:c>
    </x:row>
    <x:row r="335">
      <x:c r="A335" s="11" t="str">
        <x:f>'Cumulative'!A306</x:f>
        <x:v>305</x:v>
      </x:c>
      <x:c r="B335" s="11" t="str">
        <x:f>'Cumulative'!B306</x:f>
      </x:c>
      <x:c r="C335" s="11" t="str">
        <x:f>'Cumulative'!C306</x:f>
        <x:v>-26.802382420522708</x:v>
      </x:c>
      <x:c r="D335" s="11" t="str">
        <x:f>'Cumulative'!D306</x:f>
        <x:v>-26.205359725525152</x:v>
      </x:c>
      <x:c r="E335" s="11" t="str">
        <x:f>'Cumulative'!E306</x:f>
        <x:v>-16.533818152040315</x:v>
      </x:c>
      <x:c r="G335" s="11" t="str">
        <x:f>'Cumulative'!A306</x:f>
        <x:v>305</x:v>
      </x:c>
      <x:c r="H335" s="11" t="str">
        <x:f>'Cumulative'!C306</x:f>
        <x:v>-26.802382420522708</x:v>
      </x:c>
      <x:c r="I335" s="87"/>
      <x:c r="J335" s="11" t="str">
        <x:f>'Cumulative'!A306</x:f>
        <x:v>305</x:v>
      </x:c>
      <x:c r="K335" s="11" t="str">
        <x:f>'Cumulative'!D306</x:f>
        <x:v>-26.205359725525152</x:v>
      </x:c>
      <x:c r="L335" s="11" t="str">
        <x:f>'Cumulative'!E306</x:f>
        <x:v>-16.533818152040315</x:v>
      </x:c>
    </x:row>
    <x:row r="336">
      <x:c r="A336" s="11" t="str">
        <x:f>'Cumulative'!A307</x:f>
        <x:v>306</x:v>
      </x:c>
      <x:c r="B336" s="11" t="str">
        <x:f>'Cumulative'!B307</x:f>
      </x:c>
      <x:c r="C336" s="11" t="str">
        <x:f>'Cumulative'!C307</x:f>
        <x:v>-27.050321412576306</x:v>
      </x:c>
      <x:c r="D336" s="11" t="str">
        <x:f>'Cumulative'!D307</x:f>
        <x:v>-24.473231357421135</x:v>
      </x:c>
      <x:c r="E336" s="11" t="str">
        <x:f>'Cumulative'!E307</x:f>
        <x:v>-16.91180822023259</x:v>
      </x:c>
      <x:c r="G336" s="11" t="str">
        <x:f>'Cumulative'!A307</x:f>
        <x:v>306</x:v>
      </x:c>
      <x:c r="H336" s="11" t="str">
        <x:f>'Cumulative'!C307</x:f>
        <x:v>-27.050321412576306</x:v>
      </x:c>
      <x:c r="I336" s="87"/>
      <x:c r="J336" s="11" t="str">
        <x:f>'Cumulative'!A307</x:f>
        <x:v>306</x:v>
      </x:c>
      <x:c r="K336" s="11" t="str">
        <x:f>'Cumulative'!D307</x:f>
        <x:v>-24.473231357421135</x:v>
      </x:c>
      <x:c r="L336" s="11" t="str">
        <x:f>'Cumulative'!E307</x:f>
        <x:v>-16.91180822023259</x:v>
      </x:c>
    </x:row>
    <x:row r="337">
      <x:c r="A337" s="11" t="str">
        <x:f>'Cumulative'!A308</x:f>
        <x:v>307</x:v>
      </x:c>
      <x:c r="B337" s="11" t="str">
        <x:f>'Cumulative'!B308</x:f>
      </x:c>
      <x:c r="C337" s="11" t="str">
        <x:f>'Cumulative'!C308</x:f>
        <x:v>-26.583823521341206</x:v>
      </x:c>
      <x:c r="D337" s="11" t="str">
        <x:f>'Cumulative'!D308</x:f>
        <x:v>-25.513771510855833</x:v>
      </x:c>
      <x:c r="E337" s="11" t="str">
        <x:f>'Cumulative'!E308</x:f>
        <x:v>-17.476190919737494</x:v>
      </x:c>
      <x:c r="G337" s="11" t="str">
        <x:f>'Cumulative'!A308</x:f>
        <x:v>307</x:v>
      </x:c>
      <x:c r="H337" s="11" t="str">
        <x:f>'Cumulative'!C308</x:f>
        <x:v>-26.583823521341206</x:v>
      </x:c>
      <x:c r="I337" s="87"/>
      <x:c r="J337" s="11" t="str">
        <x:f>'Cumulative'!A308</x:f>
        <x:v>307</x:v>
      </x:c>
      <x:c r="K337" s="11" t="str">
        <x:f>'Cumulative'!D308</x:f>
        <x:v>-25.513771510855833</x:v>
      </x:c>
      <x:c r="L337" s="11" t="str">
        <x:f>'Cumulative'!E308</x:f>
        <x:v>-17.476190919737494</x:v>
      </x:c>
    </x:row>
    <x:row r="338">
      <x:c r="A338" s="11" t="str">
        <x:f>'Cumulative'!A309</x:f>
        <x:v>308</x:v>
      </x:c>
      <x:c r="B338" s="11" t="str">
        <x:f>'Cumulative'!B309</x:f>
      </x:c>
      <x:c r="C338" s="11" t="str">
        <x:f>'Cumulative'!C309</x:f>
        <x:v>-25.54723966999305</x:v>
      </x:c>
      <x:c r="D338" s="11" t="str">
        <x:f>'Cumulative'!D309</x:f>
        <x:v>-26.530057292076663</x:v>
      </x:c>
      <x:c r="E338" s="11" t="str">
        <x:f>'Cumulative'!E309</x:f>
        <x:v>-18.487479277719103</x:v>
      </x:c>
      <x:c r="G338" s="11" t="str">
        <x:f>'Cumulative'!A309</x:f>
        <x:v>308</x:v>
      </x:c>
      <x:c r="H338" s="11" t="str">
        <x:f>'Cumulative'!C309</x:f>
        <x:v>-25.54723966999305</x:v>
      </x:c>
      <x:c r="I338" s="87"/>
      <x:c r="J338" s="11" t="str">
        <x:f>'Cumulative'!A309</x:f>
        <x:v>308</x:v>
      </x:c>
      <x:c r="K338" s="11" t="str">
        <x:f>'Cumulative'!D309</x:f>
        <x:v>-26.530057292076663</x:v>
      </x:c>
      <x:c r="L338" s="11" t="str">
        <x:f>'Cumulative'!E309</x:f>
        <x:v>-18.487479277719103</x:v>
      </x:c>
    </x:row>
    <x:row r="339">
      <x:c r="A339" s="11" t="str">
        <x:f>'Cumulative'!A310</x:f>
        <x:v>309</x:v>
      </x:c>
      <x:c r="B339" s="11" t="str">
        <x:f>'Cumulative'!B310</x:f>
      </x:c>
      <x:c r="C339" s="11" t="str">
        <x:f>'Cumulative'!C310</x:f>
        <x:v>-26.61946143286901</x:v>
      </x:c>
      <x:c r="D339" s="11" t="str">
        <x:f>'Cumulative'!D310</x:f>
        <x:v>-25.42036203994088</x:v>
      </x:c>
      <x:c r="E339" s="11" t="str">
        <x:f>'Cumulative'!E310</x:f>
        <x:v>-16.749409350964587</x:v>
      </x:c>
      <x:c r="G339" s="11" t="str">
        <x:f>'Cumulative'!A310</x:f>
        <x:v>309</x:v>
      </x:c>
      <x:c r="H339" s="11" t="str">
        <x:f>'Cumulative'!C310</x:f>
        <x:v>-26.61946143286901</x:v>
      </x:c>
      <x:c r="I339" s="87"/>
      <x:c r="J339" s="11" t="str">
        <x:f>'Cumulative'!A310</x:f>
        <x:v>309</x:v>
      </x:c>
      <x:c r="K339" s="11" t="str">
        <x:f>'Cumulative'!D310</x:f>
        <x:v>-25.42036203994088</x:v>
      </x:c>
      <x:c r="L339" s="11" t="str">
        <x:f>'Cumulative'!E310</x:f>
        <x:v>-16.749409350964587</x:v>
      </x:c>
    </x:row>
    <x:row r="340">
      <x:c r="A340" s="11" t="str">
        <x:f>'Cumulative'!A311</x:f>
        <x:v>310</x:v>
      </x:c>
      <x:c r="B340" s="11" t="str">
        <x:f>'Cumulative'!B311</x:f>
      </x:c>
      <x:c r="C340" s="11" t="str">
        <x:f>'Cumulative'!C311</x:f>
        <x:v>-27.69433525399866</x:v>
      </x:c>
      <x:c r="D340" s="11" t="str">
        <x:f>'Cumulative'!D311</x:f>
        <x:v>-25.32298305441295</x:v>
      </x:c>
      <x:c r="E340" s="11" t="str">
        <x:f>'Cumulative'!E311</x:f>
        <x:v>-16.26511174944087</x:v>
      </x:c>
      <x:c r="G340" s="11" t="str">
        <x:f>'Cumulative'!A311</x:f>
        <x:v>310</x:v>
      </x:c>
      <x:c r="H340" s="11" t="str">
        <x:f>'Cumulative'!C311</x:f>
        <x:v>-27.69433525399866</x:v>
      </x:c>
      <x:c r="I340" s="87"/>
      <x:c r="J340" s="11" t="str">
        <x:f>'Cumulative'!A311</x:f>
        <x:v>310</x:v>
      </x:c>
      <x:c r="K340" s="11" t="str">
        <x:f>'Cumulative'!D311</x:f>
        <x:v>-25.32298305441295</x:v>
      </x:c>
      <x:c r="L340" s="11" t="str">
        <x:f>'Cumulative'!E311</x:f>
        <x:v>-16.26511174944087</x:v>
      </x:c>
    </x:row>
    <x:row r="341">
      <x:c r="A341" s="11" t="str">
        <x:f>'Cumulative'!A312</x:f>
        <x:v>311</x:v>
      </x:c>
      <x:c r="B341" s="11" t="str">
        <x:f>'Cumulative'!B312</x:f>
      </x:c>
      <x:c r="C341" s="11" t="str">
        <x:f>'Cumulative'!C312</x:f>
        <x:v>-28.747316710526537</x:v>
      </x:c>
      <x:c r="D341" s="11" t="str">
        <x:f>'Cumulative'!D312</x:f>
        <x:v>-24.74593390433949</x:v>
      </x:c>
      <x:c r="E341" s="11" t="str">
        <x:f>'Cumulative'!E312</x:f>
        <x:v>-14.280473252085853</x:v>
      </x:c>
      <x:c r="G341" s="11" t="str">
        <x:f>'Cumulative'!A312</x:f>
        <x:v>311</x:v>
      </x:c>
      <x:c r="H341" s="11" t="str">
        <x:f>'Cumulative'!C312</x:f>
        <x:v>-28.747316710526537</x:v>
      </x:c>
      <x:c r="I341" s="87"/>
      <x:c r="J341" s="11" t="str">
        <x:f>'Cumulative'!A312</x:f>
        <x:v>311</x:v>
      </x:c>
      <x:c r="K341" s="11" t="str">
        <x:f>'Cumulative'!D312</x:f>
        <x:v>-24.74593390433949</x:v>
      </x:c>
      <x:c r="L341" s="11" t="str">
        <x:f>'Cumulative'!E312</x:f>
        <x:v>-14.280473252085853</x:v>
      </x:c>
    </x:row>
    <x:row r="342">
      <x:c r="A342" s="11" t="str">
        <x:f>'Cumulative'!A313</x:f>
        <x:v>312</x:v>
      </x:c>
      <x:c r="B342" s="11" t="str">
        <x:f>'Cumulative'!B313</x:f>
      </x:c>
      <x:c r="C342" s="11" t="str">
        <x:f>'Cumulative'!C313</x:f>
        <x:v>-26.778624090539132</x:v>
      </x:c>
      <x:c r="D342" s="11" t="str">
        <x:f>'Cumulative'!D313</x:f>
        <x:v>-22.76874728294145</x:v>
      </x:c>
      <x:c r="E342" s="11" t="str">
        <x:f>'Cumulative'!E313</x:f>
        <x:v>-12.32965920645906</x:v>
      </x:c>
      <x:c r="G342" s="11" t="str">
        <x:f>'Cumulative'!A313</x:f>
        <x:v>312</x:v>
      </x:c>
      <x:c r="H342" s="11" t="str">
        <x:f>'Cumulative'!C313</x:f>
        <x:v>-26.778624090539132</x:v>
      </x:c>
      <x:c r="I342" s="87"/>
      <x:c r="J342" s="11" t="str">
        <x:f>'Cumulative'!A313</x:f>
        <x:v>312</x:v>
      </x:c>
      <x:c r="K342" s="11" t="str">
        <x:f>'Cumulative'!D313</x:f>
        <x:v>-22.76874728294145</x:v>
      </x:c>
      <x:c r="L342" s="11" t="str">
        <x:f>'Cumulative'!E313</x:f>
        <x:v>-12.32965920645906</x:v>
      </x:c>
    </x:row>
    <x:row r="343">
      <x:c r="A343" s="11" t="str">
        <x:f>'Cumulative'!A314</x:f>
        <x:v>313</x:v>
      </x:c>
      <x:c r="B343" s="11" t="str">
        <x:f>'Cumulative'!B314</x:f>
      </x:c>
      <x:c r="C343" s="11" t="str">
        <x:f>'Cumulative'!C314</x:f>
        <x:v>-27.278517790614636</x:v>
      </x:c>
      <x:c r="D343" s="11" t="str">
        <x:f>'Cumulative'!D314</x:f>
        <x:v>-23.78336527097933</x:v>
      </x:c>
      <x:c r="E343" s="11" t="str">
        <x:f>'Cumulative'!E314</x:f>
        <x:v>-13.343561506887687</x:v>
      </x:c>
      <x:c r="G343" s="11" t="str">
        <x:f>'Cumulative'!A314</x:f>
        <x:v>313</x:v>
      </x:c>
      <x:c r="H343" s="11" t="str">
        <x:f>'Cumulative'!C314</x:f>
        <x:v>-27.278517790614636</x:v>
      </x:c>
      <x:c r="I343" s="87"/>
      <x:c r="J343" s="11" t="str">
        <x:f>'Cumulative'!A314</x:f>
        <x:v>313</x:v>
      </x:c>
      <x:c r="K343" s="11" t="str">
        <x:f>'Cumulative'!D314</x:f>
        <x:v>-23.78336527097933</x:v>
      </x:c>
      <x:c r="L343" s="11" t="str">
        <x:f>'Cumulative'!E314</x:f>
        <x:v>-13.343561506887687</x:v>
      </x:c>
    </x:row>
    <x:row r="344">
      <x:c r="A344" s="11" t="str">
        <x:f>'Cumulative'!A315</x:f>
        <x:v>314</x:v>
      </x:c>
      <x:c r="B344" s="11" t="str">
        <x:f>'Cumulative'!B315</x:f>
      </x:c>
      <x:c r="C344" s="11" t="str">
        <x:f>'Cumulative'!C315</x:f>
        <x:v>-27.58023868509125</x:v>
      </x:c>
      <x:c r="D344" s="11" t="str">
        <x:f>'Cumulative'!D315</x:f>
        <x:v>-24.798417320689175</x:v>
      </x:c>
      <x:c r="E344" s="11" t="str">
        <x:f>'Cumulative'!E315</x:f>
        <x:v>-12.697385691086998</x:v>
      </x:c>
      <x:c r="G344" s="11" t="str">
        <x:f>'Cumulative'!A315</x:f>
        <x:v>314</x:v>
      </x:c>
      <x:c r="H344" s="11" t="str">
        <x:f>'Cumulative'!C315</x:f>
        <x:v>-27.58023868509125</x:v>
      </x:c>
      <x:c r="I344" s="87"/>
      <x:c r="J344" s="11" t="str">
        <x:f>'Cumulative'!A315</x:f>
        <x:v>314</x:v>
      </x:c>
      <x:c r="K344" s="11" t="str">
        <x:f>'Cumulative'!D315</x:f>
        <x:v>-24.798417320689175</x:v>
      </x:c>
      <x:c r="L344" s="11" t="str">
        <x:f>'Cumulative'!E315</x:f>
        <x:v>-12.697385691086998</x:v>
      </x:c>
    </x:row>
    <x:row r="345">
      <x:c r="A345" s="11" t="str">
        <x:f>'Cumulative'!A316</x:f>
        <x:v>315</x:v>
      </x:c>
      <x:c r="B345" s="11" t="str">
        <x:f>'Cumulative'!B316</x:f>
      </x:c>
      <x:c r="C345" s="11" t="str">
        <x:f>'Cumulative'!C316</x:f>
        <x:v>-28.607223930166004</x:v>
      </x:c>
      <x:c r="D345" s="11" t="str">
        <x:f>'Cumulative'!D316</x:f>
        <x:v>-25.034893106468985</x:v>
      </x:c>
      <x:c r="E345" s="11" t="str">
        <x:f>'Cumulative'!E316</x:f>
        <x:v>-11.44732054844621</x:v>
      </x:c>
      <x:c r="G345" s="11" t="str">
        <x:f>'Cumulative'!A316</x:f>
        <x:v>315</x:v>
      </x:c>
      <x:c r="H345" s="11" t="str">
        <x:f>'Cumulative'!C316</x:f>
        <x:v>-28.607223930166004</x:v>
      </x:c>
      <x:c r="I345" s="87"/>
      <x:c r="J345" s="11" t="str">
        <x:f>'Cumulative'!A316</x:f>
        <x:v>315</x:v>
      </x:c>
      <x:c r="K345" s="11" t="str">
        <x:f>'Cumulative'!D316</x:f>
        <x:v>-25.034893106468985</x:v>
      </x:c>
      <x:c r="L345" s="11" t="str">
        <x:f>'Cumulative'!E316</x:f>
        <x:v>-11.44732054844621</x:v>
      </x:c>
    </x:row>
    <x:row r="346">
      <x:c r="A346" s="11" t="str">
        <x:f>'Cumulative'!A317</x:f>
        <x:v>316</x:v>
      </x:c>
      <x:c r="B346" s="11" t="str">
        <x:f>'Cumulative'!B317</x:f>
      </x:c>
      <x:c r="C346" s="11" t="str">
        <x:f>'Cumulative'!C317</x:f>
        <x:v>-29.62859445013633</x:v>
      </x:c>
      <x:c r="D346" s="11" t="str">
        <x:f>'Cumulative'!D317</x:f>
        <x:v>-26.057228485679016</x:v>
      </x:c>
      <x:c r="E346" s="11" t="str">
        <x:f>'Cumulative'!E317</x:f>
        <x:v>-9.464172230022474</x:v>
      </x:c>
      <x:c r="G346" s="11" t="str">
        <x:f>'Cumulative'!A317</x:f>
        <x:v>316</x:v>
      </x:c>
      <x:c r="H346" s="11" t="str">
        <x:f>'Cumulative'!C317</x:f>
        <x:v>-29.62859445013633</x:v>
      </x:c>
      <x:c r="I346" s="87"/>
      <x:c r="J346" s="11" t="str">
        <x:f>'Cumulative'!A317</x:f>
        <x:v>316</x:v>
      </x:c>
      <x:c r="K346" s="11" t="str">
        <x:f>'Cumulative'!D317</x:f>
        <x:v>-26.057228485679016</x:v>
      </x:c>
      <x:c r="L346" s="11" t="str">
        <x:f>'Cumulative'!E317</x:f>
        <x:v>-9.464172230022474</x:v>
      </x:c>
    </x:row>
    <x:row r="347">
      <x:c r="A347" s="11" t="str">
        <x:f>'Cumulative'!A318</x:f>
        <x:v>317</x:v>
      </x:c>
      <x:c r="B347" s="11" t="str">
        <x:f>'Cumulative'!B318</x:f>
      </x:c>
      <x:c r="C347" s="11" t="str">
        <x:f>'Cumulative'!C318</x:f>
        <x:v>-30.641183016962174</x:v>
      </x:c>
      <x:c r="D347" s="11" t="str">
        <x:f>'Cumulative'!D318</x:f>
        <x:v>-27.068209167896278</x:v>
      </x:c>
      <x:c r="E347" s="11" t="str">
        <x:f>'Cumulative'!E318</x:f>
        <x:v>-10.479605530494728</x:v>
      </x:c>
      <x:c r="G347" s="11" t="str">
        <x:f>'Cumulative'!A318</x:f>
        <x:v>317</x:v>
      </x:c>
      <x:c r="H347" s="11" t="str">
        <x:f>'Cumulative'!C318</x:f>
        <x:v>-30.641183016962174</x:v>
      </x:c>
      <x:c r="I347" s="87"/>
      <x:c r="J347" s="11" t="str">
        <x:f>'Cumulative'!A318</x:f>
        <x:v>317</x:v>
      </x:c>
      <x:c r="K347" s="11" t="str">
        <x:f>'Cumulative'!D318</x:f>
        <x:v>-27.068209167896278</x:v>
      </x:c>
      <x:c r="L347" s="11" t="str">
        <x:f>'Cumulative'!E318</x:f>
        <x:v>-10.479605530494728</x:v>
      </x:c>
    </x:row>
    <x:row r="348">
      <x:c r="A348" s="11" t="str">
        <x:f>'Cumulative'!A319</x:f>
        <x:v>318</x:v>
      </x:c>
      <x:c r="B348" s="11" t="str">
        <x:f>'Cumulative'!B319</x:f>
      </x:c>
      <x:c r="C348" s="11" t="str">
        <x:f>'Cumulative'!C319</x:f>
        <x:v>-31.652229465606123</x:v>
      </x:c>
      <x:c r="D348" s="11" t="str">
        <x:f>'Cumulative'!D319</x:f>
        <x:v>-26.507606999105313</x:v>
      </x:c>
      <x:c r="E348" s="11" t="str">
        <x:f>'Cumulative'!E319</x:f>
        <x:v>-11.539922416199042</x:v>
      </x:c>
      <x:c r="G348" s="11" t="str">
        <x:f>'Cumulative'!A319</x:f>
        <x:v>318</x:v>
      </x:c>
      <x:c r="H348" s="11" t="str">
        <x:f>'Cumulative'!C319</x:f>
        <x:v>-31.652229465606123</x:v>
      </x:c>
      <x:c r="I348" s="87"/>
      <x:c r="J348" s="11" t="str">
        <x:f>'Cumulative'!A319</x:f>
        <x:v>318</x:v>
      </x:c>
      <x:c r="K348" s="11" t="str">
        <x:f>'Cumulative'!D319</x:f>
        <x:v>-26.507606999105313</x:v>
      </x:c>
      <x:c r="L348" s="11" t="str">
        <x:f>'Cumulative'!E319</x:f>
        <x:v>-11.539922416199042</x:v>
      </x:c>
    </x:row>
    <x:row r="349">
      <x:c r="A349" s="11" t="str">
        <x:f>'Cumulative'!A320</x:f>
        <x:v>319</x:v>
      </x:c>
      <x:c r="B349" s="11" t="str">
        <x:f>'Cumulative'!B320</x:f>
      </x:c>
      <x:c r="C349" s="11" t="str">
        <x:f>'Cumulative'!C320</x:f>
        <x:v>-32.677723779659665</x:v>
      </x:c>
      <x:c r="D349" s="11" t="str">
        <x:f>'Cumulative'!D320</x:f>
        <x:v>-25.858556328352936</x:v>
      </x:c>
      <x:c r="E349" s="11" t="str">
        <x:f>'Cumulative'!E320</x:f>
        <x:v>-10.526743708811177</x:v>
      </x:c>
      <x:c r="G349" s="11" t="str">
        <x:f>'Cumulative'!A320</x:f>
        <x:v>319</x:v>
      </x:c>
      <x:c r="H349" s="11" t="str">
        <x:f>'Cumulative'!C320</x:f>
        <x:v>-32.677723779659665</x:v>
      </x:c>
      <x:c r="I349" s="87"/>
      <x:c r="J349" s="11" t="str">
        <x:f>'Cumulative'!A320</x:f>
        <x:v>319</x:v>
      </x:c>
      <x:c r="K349" s="11" t="str">
        <x:f>'Cumulative'!D320</x:f>
        <x:v>-25.858556328352936</x:v>
      </x:c>
      <x:c r="L349" s="11" t="str">
        <x:f>'Cumulative'!E320</x:f>
        <x:v>-10.526743708811177</x:v>
      </x:c>
    </x:row>
    <x:row r="350">
      <x:c r="A350" s="11" t="str">
        <x:f>'Cumulative'!A321</x:f>
        <x:v>320</x:v>
      </x:c>
      <x:c r="B350" s="11" t="str">
        <x:f>'Cumulative'!B321</x:f>
      </x:c>
      <x:c r="C350" s="11" t="str">
        <x:f>'Cumulative'!C321</x:f>
        <x:v>-33.015609725130076</x:v>
      </x:c>
      <x:c r="D350" s="11" t="str">
        <x:f>'Cumulative'!D321</x:f>
        <x:v>-26.876978248446896</x:v>
      </x:c>
      <x:c r="E350" s="11" t="str">
        <x:f>'Cumulative'!E321</x:f>
        <x:v>-11.568365525035233</x:v>
      </x:c>
      <x:c r="G350" s="11" t="str">
        <x:f>'Cumulative'!A321</x:f>
        <x:v>320</x:v>
      </x:c>
      <x:c r="H350" s="11" t="str">
        <x:f>'Cumulative'!C321</x:f>
        <x:v>-33.015609725130076</x:v>
      </x:c>
      <x:c r="I350" s="87"/>
      <x:c r="J350" s="11" t="str">
        <x:f>'Cumulative'!A321</x:f>
        <x:v>320</x:v>
      </x:c>
      <x:c r="K350" s="11" t="str">
        <x:f>'Cumulative'!D321</x:f>
        <x:v>-26.876978248446896</x:v>
      </x:c>
      <x:c r="L350" s="11" t="str">
        <x:f>'Cumulative'!E321</x:f>
        <x:v>-11.568365525035233</x:v>
      </x:c>
    </x:row>
    <x:row r="351">
      <x:c r="A351" s="11" t="str">
        <x:f>'Cumulative'!A322</x:f>
        <x:v>321</x:v>
      </x:c>
      <x:c r="B351" s="11" t="str">
        <x:f>'Cumulative'!B322</x:f>
      </x:c>
      <x:c r="C351" s="11" t="str">
        <x:f>'Cumulative'!C322</x:f>
        <x:v>-31.023291446633994</x:v>
      </x:c>
      <x:c r="D351" s="11" t="str">
        <x:f>'Cumulative'!D322</x:f>
        <x:v>-24.898448351618732</x:v>
      </x:c>
      <x:c r="E351" s="11" t="str">
        <x:f>'Cumulative'!E322</x:f>
        <x:v>-11.503594039932558</x:v>
      </x:c>
      <x:c r="G351" s="11" t="str">
        <x:f>'Cumulative'!A322</x:f>
        <x:v>321</x:v>
      </x:c>
      <x:c r="H351" s="11" t="str">
        <x:f>'Cumulative'!C322</x:f>
        <x:v>-31.023291446633994</x:v>
      </x:c>
      <x:c r="I351" s="87"/>
      <x:c r="J351" s="11" t="str">
        <x:f>'Cumulative'!A322</x:f>
        <x:v>321</x:v>
      </x:c>
      <x:c r="K351" s="11" t="str">
        <x:f>'Cumulative'!D322</x:f>
        <x:v>-24.898448351618732</x:v>
      </x:c>
      <x:c r="L351" s="11" t="str">
        <x:f>'Cumulative'!E322</x:f>
        <x:v>-11.503594039932558</x:v>
      </x:c>
    </x:row>
    <x:row r="352">
      <x:c r="A352" s="11" t="str">
        <x:f>'Cumulative'!A323</x:f>
        <x:v>322</x:v>
      </x:c>
      <x:c r="B352" s="11" t="str">
        <x:f>'Cumulative'!B323</x:f>
      </x:c>
      <x:c r="C352" s="11" t="str">
        <x:f>'Cumulative'!C323</x:f>
        <x:v>-30.815487298587396</x:v>
      </x:c>
      <x:c r="D352" s="11" t="str">
        <x:f>'Cumulative'!D323</x:f>
        <x:v>-25.92281798295067</x:v>
      </x:c>
      <x:c r="E352" s="11" t="str">
        <x:f>'Cumulative'!E323</x:f>
        <x:v>-11.284175255113162</x:v>
      </x:c>
      <x:c r="G352" s="11" t="str">
        <x:f>'Cumulative'!A323</x:f>
        <x:v>322</x:v>
      </x:c>
      <x:c r="H352" s="11" t="str">
        <x:f>'Cumulative'!C323</x:f>
        <x:v>-30.815487298587396</x:v>
      </x:c>
      <x:c r="I352" s="87"/>
      <x:c r="J352" s="11" t="str">
        <x:f>'Cumulative'!A323</x:f>
        <x:v>322</x:v>
      </x:c>
      <x:c r="K352" s="11" t="str">
        <x:f>'Cumulative'!D323</x:f>
        <x:v>-25.92281798295067</x:v>
      </x:c>
      <x:c r="L352" s="11" t="str">
        <x:f>'Cumulative'!E323</x:f>
        <x:v>-11.284175255113162</x:v>
      </x:c>
    </x:row>
    <x:row r="353">
      <x:c r="A353" s="11" t="str">
        <x:f>'Cumulative'!A324</x:f>
        <x:v>323</x:v>
      </x:c>
      <x:c r="B353" s="11" t="str">
        <x:f>'Cumulative'!B324</x:f>
      </x:c>
      <x:c r="C353" s="11" t="str">
        <x:f>'Cumulative'!C324</x:f>
        <x:v>-30.36135711264111</x:v>
      </x:c>
      <x:c r="D353" s="11" t="str">
        <x:f>'Cumulative'!D324</x:f>
        <x:v>-23.935246995231573</x:v>
      </x:c>
      <x:c r="E353" s="11" t="str">
        <x:f>'Cumulative'!E324</x:f>
        <x:v>-11.001435395037236</x:v>
      </x:c>
      <x:c r="G353" s="11" t="str">
        <x:f>'Cumulative'!A324</x:f>
        <x:v>323</x:v>
      </x:c>
      <x:c r="H353" s="11" t="str">
        <x:f>'Cumulative'!C324</x:f>
        <x:v>-30.36135711264111</x:v>
      </x:c>
      <x:c r="I353" s="87"/>
      <x:c r="J353" s="11" t="str">
        <x:f>'Cumulative'!A324</x:f>
        <x:v>323</x:v>
      </x:c>
      <x:c r="K353" s="11" t="str">
        <x:f>'Cumulative'!D324</x:f>
        <x:v>-23.935246995231573</x:v>
      </x:c>
      <x:c r="L353" s="11" t="str">
        <x:f>'Cumulative'!E324</x:f>
        <x:v>-11.001435395037236</x:v>
      </x:c>
    </x:row>
    <x:row r="354">
      <x:c r="A354" s="11" t="str">
        <x:f>'Cumulative'!A325</x:f>
        <x:v>324</x:v>
      </x:c>
      <x:c r="B354" s="11" t="str">
        <x:f>'Cumulative'!B325</x:f>
      </x:c>
      <x:c r="C354" s="11" t="str">
        <x:f>'Cumulative'!C325</x:f>
        <x:v>-31.369001533870605</x:v>
      </x:c>
      <x:c r="D354" s="11" t="str">
        <x:f>'Cumulative'!D325</x:f>
        <x:v>-24.959271838391047</x:v>
      </x:c>
      <x:c r="E354" s="11" t="str">
        <x:f>'Cumulative'!E325</x:f>
        <x:v>-12.036207227806296</x:v>
      </x:c>
      <x:c r="G354" s="11" t="str">
        <x:f>'Cumulative'!A325</x:f>
        <x:v>324</x:v>
      </x:c>
      <x:c r="H354" s="11" t="str">
        <x:f>'Cumulative'!C325</x:f>
        <x:v>-31.369001533870605</x:v>
      </x:c>
      <x:c r="I354" s="87"/>
      <x:c r="J354" s="11" t="str">
        <x:f>'Cumulative'!A325</x:f>
        <x:v>324</x:v>
      </x:c>
      <x:c r="K354" s="11" t="str">
        <x:f>'Cumulative'!D325</x:f>
        <x:v>-24.959271838391047</x:v>
      </x:c>
      <x:c r="L354" s="11" t="str">
        <x:f>'Cumulative'!E325</x:f>
        <x:v>-12.036207227806296</x:v>
      </x:c>
    </x:row>
    <x:row r="355">
      <x:c r="A355" s="11" t="str">
        <x:f>'Cumulative'!A326</x:f>
        <x:v>325</x:v>
      </x:c>
      <x:c r="B355" s="11" t="str">
        <x:f>'Cumulative'!B326</x:f>
      </x:c>
      <x:c r="C355" s="11" t="str">
        <x:f>'Cumulative'!C326</x:f>
        <x:v>-32.3774029205152</x:v>
      </x:c>
      <x:c r="D355" s="11" t="str">
        <x:f>'Cumulative'!D326</x:f>
        <x:v>-24.171059732032816</x:v>
      </x:c>
      <x:c r="E355" s="11" t="str">
        <x:f>'Cumulative'!E326</x:f>
        <x:v>-13.0625188582451</x:v>
      </x:c>
      <x:c r="G355" s="11" t="str">
        <x:f>'Cumulative'!A326</x:f>
        <x:v>325</x:v>
      </x:c>
      <x:c r="H355" s="11" t="str">
        <x:f>'Cumulative'!C326</x:f>
        <x:v>-32.3774029205152</x:v>
      </x:c>
      <x:c r="I355" s="87"/>
      <x:c r="J355" s="11" t="str">
        <x:f>'Cumulative'!A326</x:f>
        <x:v>325</x:v>
      </x:c>
      <x:c r="K355" s="11" t="str">
        <x:f>'Cumulative'!D326</x:f>
        <x:v>-24.171059732032816</x:v>
      </x:c>
      <x:c r="L355" s="11" t="str">
        <x:f>'Cumulative'!E326</x:f>
        <x:v>-13.0625188582451</x:v>
      </x:c>
    </x:row>
    <x:row r="356">
      <x:c r="A356" s="11" t="str">
        <x:f>'Cumulative'!A327</x:f>
        <x:v>326</x:v>
      </x:c>
      <x:c r="B356" s="11" t="str">
        <x:f>'Cumulative'!B327</x:f>
      </x:c>
      <x:c r="C356" s="11" t="str">
        <x:f>'Cumulative'!C327</x:f>
        <x:v>-32.15773250847093</x:v>
      </x:c>
      <x:c r="D356" s="11" t="str">
        <x:f>'Cumulative'!D327</x:f>
        <x:v>-23.81994948779689</x:v>
      </x:c>
      <x:c r="E356" s="11" t="str">
        <x:f>'Cumulative'!E327</x:f>
        <x:v>-14.094942534446254</x:v>
      </x:c>
      <x:c r="G356" s="11" t="str">
        <x:f>'Cumulative'!A327</x:f>
        <x:v>326</x:v>
      </x:c>
      <x:c r="H356" s="11" t="str">
        <x:f>'Cumulative'!C327</x:f>
        <x:v>-32.15773250847093</x:v>
      </x:c>
      <x:c r="I356" s="87"/>
      <x:c r="J356" s="11" t="str">
        <x:f>'Cumulative'!A327</x:f>
        <x:v>326</x:v>
      </x:c>
      <x:c r="K356" s="11" t="str">
        <x:f>'Cumulative'!D327</x:f>
        <x:v>-23.81994948779689</x:v>
      </x:c>
      <x:c r="L356" s="11" t="str">
        <x:f>'Cumulative'!E327</x:f>
        <x:v>-14.094942534446254</x:v>
      </x:c>
    </x:row>
    <x:row r="357">
      <x:c r="A357" s="11" t="str">
        <x:f>'Cumulative'!A328</x:f>
        <x:v>327</x:v>
      </x:c>
      <x:c r="B357" s="11" t="str">
        <x:f>'Cumulative'!B328</x:f>
      </x:c>
      <x:c r="C357" s="11" t="str">
        <x:f>'Cumulative'!C328</x:f>
        <x:v>-31.225804578536454</x:v>
      </x:c>
      <x:c r="D357" s="11" t="str">
        <x:f>'Cumulative'!D328</x:f>
        <x:v>-24.842680021507253</x:v>
      </x:c>
      <x:c r="E357" s="11" t="str">
        <x:f>'Cumulative'!E328</x:f>
        <x:v>-15.122304206719402</x:v>
      </x:c>
      <x:c r="G357" s="11" t="str">
        <x:f>'Cumulative'!A328</x:f>
        <x:v>327</x:v>
      </x:c>
      <x:c r="H357" s="11" t="str">
        <x:f>'Cumulative'!C328</x:f>
        <x:v>-31.225804578536454</x:v>
      </x:c>
      <x:c r="I357" s="87"/>
      <x:c r="J357" s="11" t="str">
        <x:f>'Cumulative'!A328</x:f>
        <x:v>327</x:v>
      </x:c>
      <x:c r="K357" s="11" t="str">
        <x:f>'Cumulative'!D328</x:f>
        <x:v>-24.842680021507253</x:v>
      </x:c>
      <x:c r="L357" s="11" t="str">
        <x:f>'Cumulative'!E328</x:f>
        <x:v>-15.122304206719402</x:v>
      </x:c>
    </x:row>
    <x:row r="358">
      <x:c r="A358" s="11" t="str">
        <x:f>'Cumulative'!A329</x:f>
        <x:v>328</x:v>
      </x:c>
      <x:c r="B358" s="11" t="str">
        <x:f>'Cumulative'!B329</x:f>
      </x:c>
      <x:c r="C358" s="11" t="str">
        <x:f>'Cumulative'!C329</x:f>
        <x:v>-29.26311089476468</x:v>
      </x:c>
      <x:c r="D358" s="11" t="str">
        <x:f>'Cumulative'!D329</x:f>
        <x:v>-25.85595778689914</x:v>
      </x:c>
      <x:c r="E358" s="11" t="str">
        <x:f>'Cumulative'!E329</x:f>
        <x:v>-16.12921809293846</x:v>
      </x:c>
      <x:c r="G358" s="11" t="str">
        <x:f>'Cumulative'!A329</x:f>
        <x:v>328</x:v>
      </x:c>
      <x:c r="H358" s="11" t="str">
        <x:f>'Cumulative'!C329</x:f>
        <x:v>-29.26311089476468</x:v>
      </x:c>
      <x:c r="I358" s="87"/>
      <x:c r="J358" s="11" t="str">
        <x:f>'Cumulative'!A329</x:f>
        <x:v>328</x:v>
      </x:c>
      <x:c r="K358" s="11" t="str">
        <x:f>'Cumulative'!D329</x:f>
        <x:v>-25.85595778689914</x:v>
      </x:c>
      <x:c r="L358" s="11" t="str">
        <x:f>'Cumulative'!E329</x:f>
        <x:v>-16.12921809293846</x:v>
      </x:c>
    </x:row>
    <x:row r="359">
      <x:c r="A359" s="11" t="str">
        <x:f>'Cumulative'!A330</x:f>
        <x:v>329</x:v>
      </x:c>
      <x:c r="B359" s="11" t="str">
        <x:f>'Cumulative'!B330</x:f>
      </x:c>
      <x:c r="C359" s="11" t="str">
        <x:f>'Cumulative'!C330</x:f>
        <x:v>-27.7671807655363</x:v>
      </x:c>
      <x:c r="D359" s="11" t="str">
        <x:f>'Cumulative'!D330</x:f>
        <x:v>-23.90077742768861</x:v>
      </x:c>
      <x:c r="E359" s="11" t="str">
        <x:f>'Cumulative'!E330</x:f>
        <x:v>-16.81605219023985</x:v>
      </x:c>
      <x:c r="G359" s="11" t="str">
        <x:f>'Cumulative'!A330</x:f>
        <x:v>329</x:v>
      </x:c>
      <x:c r="H359" s="11" t="str">
        <x:f>'Cumulative'!C330</x:f>
        <x:v>-27.7671807655363</x:v>
      </x:c>
      <x:c r="I359" s="87"/>
      <x:c r="J359" s="11" t="str">
        <x:f>'Cumulative'!A330</x:f>
        <x:v>329</x:v>
      </x:c>
      <x:c r="K359" s="11" t="str">
        <x:f>'Cumulative'!D330</x:f>
        <x:v>-23.90077742768861</x:v>
      </x:c>
      <x:c r="L359" s="11" t="str">
        <x:f>'Cumulative'!E330</x:f>
        <x:v>-16.81605219023985</x:v>
      </x:c>
    </x:row>
    <x:row r="360">
      <x:c r="A360" s="11" t="str">
        <x:f>'Cumulative'!A331</x:f>
        <x:v>330</x:v>
      </x:c>
      <x:c r="B360" s="11" t="str">
        <x:f>'Cumulative'!B331</x:f>
      </x:c>
      <x:c r="C360" s="11" t="str">
        <x:f>'Cumulative'!C331</x:f>
        <x:v>-27.005069993026197</x:v>
      </x:c>
      <x:c r="D360" s="11" t="str">
        <x:f>'Cumulative'!D331</x:f>
        <x:v>-24.499566944378333</x:v>
      </x:c>
      <x:c r="E360" s="11" t="str">
        <x:f>'Cumulative'!E331</x:f>
        <x:v>-17.150331248239972</x:v>
      </x:c>
      <x:c r="G360" s="11" t="str">
        <x:f>'Cumulative'!A331</x:f>
        <x:v>330</x:v>
      </x:c>
      <x:c r="H360" s="11" t="str">
        <x:f>'Cumulative'!C331</x:f>
        <x:v>-27.005069993026197</x:v>
      </x:c>
      <x:c r="I360" s="87"/>
      <x:c r="J360" s="11" t="str">
        <x:f>'Cumulative'!A331</x:f>
        <x:v>330</x:v>
      </x:c>
      <x:c r="K360" s="11" t="str">
        <x:f>'Cumulative'!D331</x:f>
        <x:v>-24.499566944378333</x:v>
      </x:c>
      <x:c r="L360" s="11" t="str">
        <x:f>'Cumulative'!E331</x:f>
        <x:v>-17.150331248239972</x:v>
      </x:c>
    </x:row>
    <x:row r="361">
      <x:c r="A361" s="11" t="str">
        <x:f>'Cumulative'!A332</x:f>
        <x:v>331</x:v>
      </x:c>
      <x:c r="B361" s="11" t="str">
        <x:f>'Cumulative'!B332</x:f>
      </x:c>
      <x:c r="C361" s="11" t="str">
        <x:f>'Cumulative'!C332</x:f>
        <x:v>-28.06259077781759</x:v>
      </x:c>
      <x:c r="D361" s="11" t="str">
        <x:f>'Cumulative'!D332</x:f>
        <x:v>-25.556478438732334</x:v>
      </x:c>
      <x:c r="E361" s="11" t="str">
        <x:f>'Cumulative'!E332</x:f>
        <x:v>-15.850249114163013</x:v>
      </x:c>
      <x:c r="G361" s="11" t="str">
        <x:f>'Cumulative'!A332</x:f>
        <x:v>331</x:v>
      </x:c>
      <x:c r="H361" s="11" t="str">
        <x:f>'Cumulative'!C332</x:f>
        <x:v>-28.06259077781759</x:v>
      </x:c>
      <x:c r="I361" s="87"/>
      <x:c r="J361" s="11" t="str">
        <x:f>'Cumulative'!A332</x:f>
        <x:v>331</x:v>
      </x:c>
      <x:c r="K361" s="11" t="str">
        <x:f>'Cumulative'!D332</x:f>
        <x:v>-25.556478438732334</x:v>
      </x:c>
      <x:c r="L361" s="11" t="str">
        <x:f>'Cumulative'!E332</x:f>
        <x:v>-15.850249114163013</x:v>
      </x:c>
    </x:row>
    <x:row r="362">
      <x:c r="A362" s="11" t="str">
        <x:f>'Cumulative'!A333</x:f>
        <x:v>332</x:v>
      </x:c>
      <x:c r="B362" s="11" t="str">
        <x:f>'Cumulative'!B333</x:f>
      </x:c>
      <x:c r="C362" s="11" t="str">
        <x:f>'Cumulative'!C333</x:f>
        <x:v>-29.111390372062502</x:v>
      </x:c>
      <x:c r="D362" s="11" t="str">
        <x:f>'Cumulative'!D333</x:f>
        <x:v>-26.574343564960188</x:v>
      </x:c>
      <x:c r="E362" s="11" t="str">
        <x:f>'Cumulative'!E333</x:f>
        <x:v>-15.334211082596248</x:v>
      </x:c>
      <x:c r="G362" s="11" t="str">
        <x:f>'Cumulative'!A333</x:f>
        <x:v>332</x:v>
      </x:c>
      <x:c r="H362" s="11" t="str">
        <x:f>'Cumulative'!C333</x:f>
        <x:v>-29.111390372062502</x:v>
      </x:c>
      <x:c r="I362" s="87"/>
      <x:c r="J362" s="11" t="str">
        <x:f>'Cumulative'!A333</x:f>
        <x:v>332</x:v>
      </x:c>
      <x:c r="K362" s="11" t="str">
        <x:f>'Cumulative'!D333</x:f>
        <x:v>-26.574343564960188</x:v>
      </x:c>
      <x:c r="L362" s="11" t="str">
        <x:f>'Cumulative'!E333</x:f>
        <x:v>-15.334211082596248</x:v>
      </x:c>
    </x:row>
    <x:row r="363">
      <x:c r="A363" s="11" t="str">
        <x:f>'Cumulative'!A334</x:f>
        <x:v>333</x:v>
      </x:c>
      <x:c r="B363" s="11" t="str">
        <x:f>'Cumulative'!B334</x:f>
      </x:c>
      <x:c r="C363" s="11" t="str">
        <x:f>'Cumulative'!C334</x:f>
        <x:v>-27.187728112590364</x:v>
      </x:c>
      <x:c r="D363" s="11" t="str">
        <x:f>'Cumulative'!D334</x:f>
        <x:v>-27.590871477294478</x:v>
      </x:c>
      <x:c r="E363" s="11" t="str">
        <x:f>'Cumulative'!E334</x:f>
        <x:v>-16.343292197226617</x:v>
      </x:c>
      <x:c r="G363" s="11" t="str">
        <x:f>'Cumulative'!A334</x:f>
        <x:v>333</x:v>
      </x:c>
      <x:c r="H363" s="11" t="str">
        <x:f>'Cumulative'!C334</x:f>
        <x:v>-27.187728112590364</x:v>
      </x:c>
      <x:c r="I363" s="87"/>
      <x:c r="J363" s="11" t="str">
        <x:f>'Cumulative'!A334</x:f>
        <x:v>333</x:v>
      </x:c>
      <x:c r="K363" s="11" t="str">
        <x:f>'Cumulative'!D334</x:f>
        <x:v>-27.590871477294478</x:v>
      </x:c>
      <x:c r="L363" s="11" t="str">
        <x:f>'Cumulative'!E334</x:f>
        <x:v>-16.343292197226617</x:v>
      </x:c>
    </x:row>
    <x:row r="364">
      <x:c r="A364" s="11" t="str">
        <x:f>'Cumulative'!A335</x:f>
        <x:v>334</x:v>
      </x:c>
      <x:c r="B364" s="11" t="str">
        <x:f>'Cumulative'!B335</x:f>
      </x:c>
      <x:c r="C364" s="11" t="str">
        <x:f>'Cumulative'!C335</x:f>
        <x:v>-28.205151794664104</x:v>
      </x:c>
      <x:c r="D364" s="11" t="str">
        <x:f>'Cumulative'!D335</x:f>
        <x:v>-28.612475205679104</x:v>
      </x:c>
      <x:c r="E364" s="11" t="str">
        <x:f>'Cumulative'!E335</x:f>
        <x:v>-17.35904688964073</x:v>
      </x:c>
      <x:c r="G364" s="11" t="str">
        <x:f>'Cumulative'!A335</x:f>
        <x:v>334</x:v>
      </x:c>
      <x:c r="H364" s="11" t="str">
        <x:f>'Cumulative'!C335</x:f>
        <x:v>-28.205151794664104</x:v>
      </x:c>
      <x:c r="I364" s="87"/>
      <x:c r="J364" s="11" t="str">
        <x:f>'Cumulative'!A335</x:f>
        <x:v>334</x:v>
      </x:c>
      <x:c r="K364" s="11" t="str">
        <x:f>'Cumulative'!D335</x:f>
        <x:v>-28.612475205679104</x:v>
      </x:c>
      <x:c r="L364" s="11" t="str">
        <x:f>'Cumulative'!E335</x:f>
        <x:v>-17.35904688964073</x:v>
      </x:c>
    </x:row>
    <x:row r="365">
      <x:c r="A365" s="11" t="str">
        <x:f>'Cumulative'!A336</x:f>
        <x:v>335</x:v>
      </x:c>
      <x:c r="B365" s="11" t="str">
        <x:f>'Cumulative'!B336</x:f>
      </x:c>
      <x:c r="C365" s="11" t="str">
        <x:f>'Cumulative'!C336</x:f>
        <x:v>-29.217301109282367</x:v>
      </x:c>
      <x:c r="D365" s="11" t="str">
        <x:f>'Cumulative'!D336</x:f>
        <x:v>-28.02888521567406</x:v>
      </x:c>
      <x:c r="E365" s="11" t="str">
        <x:f>'Cumulative'!E336</x:f>
        <x:v>-18.37857550361532</x:v>
      </x:c>
      <x:c r="G365" s="11" t="str">
        <x:f>'Cumulative'!A336</x:f>
        <x:v>335</x:v>
      </x:c>
      <x:c r="H365" s="11" t="str">
        <x:f>'Cumulative'!C336</x:f>
        <x:v>-29.217301109282367</x:v>
      </x:c>
      <x:c r="I365" s="87"/>
      <x:c r="J365" s="11" t="str">
        <x:f>'Cumulative'!A336</x:f>
        <x:v>335</x:v>
      </x:c>
      <x:c r="K365" s="11" t="str">
        <x:f>'Cumulative'!D336</x:f>
        <x:v>-28.02888521567406</x:v>
      </x:c>
      <x:c r="L365" s="11" t="str">
        <x:f>'Cumulative'!E336</x:f>
        <x:v>-18.37857550361532</x:v>
      </x:c>
    </x:row>
    <x:row r="366">
      <x:c r="A366" s="11" t="str">
        <x:f>'Cumulative'!A337</x:f>
        <x:v>336</x:v>
      </x:c>
      <x:c r="B366" s="11" t="str">
        <x:f>'Cumulative'!B337</x:f>
      </x:c>
      <x:c r="C366" s="11" t="str">
        <x:f>'Cumulative'!C337</x:f>
        <x:v>-27.227953809828215</x:v>
      </x:c>
      <x:c r="D366" s="11" t="str">
        <x:f>'Cumulative'!D337</x:f>
        <x:v>-29.05209042250693</x:v>
      </x:c>
      <x:c r="E366" s="11" t="str">
        <x:f>'Cumulative'!E337</x:f>
        <x:v>-19.385116489480414</x:v>
      </x:c>
      <x:c r="G366" s="11" t="str">
        <x:f>'Cumulative'!A337</x:f>
        <x:v>336</x:v>
      </x:c>
      <x:c r="H366" s="11" t="str">
        <x:f>'Cumulative'!C337</x:f>
        <x:v>-27.227953809828215</x:v>
      </x:c>
      <x:c r="I366" s="87"/>
      <x:c r="J366" s="11" t="str">
        <x:f>'Cumulative'!A337</x:f>
        <x:v>336</x:v>
      </x:c>
      <x:c r="K366" s="11" t="str">
        <x:f>'Cumulative'!D337</x:f>
        <x:v>-29.05209042250693</x:v>
      </x:c>
      <x:c r="L366" s="11" t="str">
        <x:f>'Cumulative'!E337</x:f>
        <x:v>-19.385116489480414</x:v>
      </x:c>
    </x:row>
    <x:row r="367">
      <x:c r="A367" s="11" t="str">
        <x:f>'Cumulative'!A338</x:f>
        <x:v>337</x:v>
      </x:c>
      <x:c r="B367" s="11" t="str">
        <x:f>'Cumulative'!B338</x:f>
      </x:c>
      <x:c r="C367" s="11" t="str">
        <x:f>'Cumulative'!C338</x:f>
        <x:v>-28.24664398399622</x:v>
      </x:c>
      <x:c r="D367" s="11" t="str">
        <x:f>'Cumulative'!D338</x:f>
        <x:v>-30.077090395424726</x:v>
      </x:c>
      <x:c r="E367" s="11" t="str">
        <x:f>'Cumulative'!E338</x:f>
        <x:v>-20.38964752869623</x:v>
      </x:c>
      <x:c r="G367" s="11" t="str">
        <x:f>'Cumulative'!A338</x:f>
        <x:v>337</x:v>
      </x:c>
      <x:c r="H367" s="11" t="str">
        <x:f>'Cumulative'!C338</x:f>
        <x:v>-28.24664398399622</x:v>
      </x:c>
      <x:c r="I367" s="87"/>
      <x:c r="J367" s="11" t="str">
        <x:f>'Cumulative'!A338</x:f>
        <x:v>337</x:v>
      </x:c>
      <x:c r="K367" s="11" t="str">
        <x:f>'Cumulative'!D338</x:f>
        <x:v>-30.077090395424726</x:v>
      </x:c>
      <x:c r="L367" s="11" t="str">
        <x:f>'Cumulative'!E338</x:f>
        <x:v>-20.38964752869623</x:v>
      </x:c>
    </x:row>
    <x:row r="368">
      <x:c r="A368" s="11" t="str">
        <x:f>'Cumulative'!A339</x:f>
        <x:v>338</x:v>
      </x:c>
      <x:c r="B368" s="11" t="str">
        <x:f>'Cumulative'!B339</x:f>
      </x:c>
      <x:c r="C368" s="11" t="str">
        <x:f>'Cumulative'!C339</x:f>
        <x:v>-26.264575761606576</x:v>
      </x:c>
      <x:c r="D368" s="11" t="str">
        <x:f>'Cumulative'!D339</x:f>
        <x:v>-29.853147593799815</x:v>
      </x:c>
      <x:c r="E368" s="11" t="str">
        <x:f>'Cumulative'!E339</x:f>
        <x:v>-19.814363865515674</x:v>
      </x:c>
      <x:c r="G368" s="11" t="str">
        <x:f>'Cumulative'!A339</x:f>
        <x:v>338</x:v>
      </x:c>
      <x:c r="H368" s="11" t="str">
        <x:f>'Cumulative'!C339</x:f>
        <x:v>-26.264575761606576</x:v>
      </x:c>
      <x:c r="I368" s="87"/>
      <x:c r="J368" s="11" t="str">
        <x:f>'Cumulative'!A339</x:f>
        <x:v>338</x:v>
      </x:c>
      <x:c r="K368" s="11" t="str">
        <x:f>'Cumulative'!D339</x:f>
        <x:v>-29.853147593799815</x:v>
      </x:c>
      <x:c r="L368" s="11" t="str">
        <x:f>'Cumulative'!E339</x:f>
        <x:v>-19.814363865515674</x:v>
      </x:c>
    </x:row>
    <x:row r="369">
      <x:c r="A369" s="11" t="str">
        <x:f>'Cumulative'!A340</x:f>
        <x:v>339</x:v>
      </x:c>
      <x:c r="B369" s="11" t="str">
        <x:f>'Cumulative'!B340</x:f>
      </x:c>
      <x:c r="C369" s="11" t="str">
        <x:f>'Cumulative'!C340</x:f>
        <x:v>-27.286918653516203</x:v>
      </x:c>
      <x:c r="D369" s="11" t="str">
        <x:f>'Cumulative'!D340</x:f>
        <x:v>-28.293987047525093</x:v>
      </x:c>
      <x:c r="E369" s="11" t="str">
        <x:f>'Cumulative'!E340</x:f>
        <x:v>-18.741172381432115</x:v>
      </x:c>
      <x:c r="G369" s="11" t="str">
        <x:f>'Cumulative'!A340</x:f>
        <x:v>339</x:v>
      </x:c>
      <x:c r="H369" s="11" t="str">
        <x:f>'Cumulative'!C340</x:f>
        <x:v>-27.286918653516203</x:v>
      </x:c>
      <x:c r="I369" s="87"/>
      <x:c r="J369" s="11" t="str">
        <x:f>'Cumulative'!A340</x:f>
        <x:v>339</x:v>
      </x:c>
      <x:c r="K369" s="11" t="str">
        <x:f>'Cumulative'!D340</x:f>
        <x:v>-28.293987047525093</x:v>
      </x:c>
      <x:c r="L369" s="11" t="str">
        <x:f>'Cumulative'!E340</x:f>
        <x:v>-18.741172381432115</x:v>
      </x:c>
    </x:row>
    <x:row r="370">
      <x:c r="A370" s="11" t="str">
        <x:f>'Cumulative'!A341</x:f>
        <x:v>340</x:v>
      </x:c>
      <x:c r="B370" s="11" t="str">
        <x:f>'Cumulative'!B341</x:f>
      </x:c>
      <x:c r="C370" s="11" t="str">
        <x:f>'Cumulative'!C341</x:f>
        <x:v>-25.299075546542223</x:v>
      </x:c>
      <x:c r="D370" s="11" t="str">
        <x:f>'Cumulative'!D341</x:f>
        <x:v>-26.330741967394403</x:v>
      </x:c>
      <x:c r="E370" s="11" t="str">
        <x:f>'Cumulative'!E341</x:f>
        <x:v>-18.961992884756523</x:v>
      </x:c>
      <x:c r="G370" s="11" t="str">
        <x:f>'Cumulative'!A341</x:f>
        <x:v>340</x:v>
      </x:c>
      <x:c r="H370" s="11" t="str">
        <x:f>'Cumulative'!C341</x:f>
        <x:v>-25.299075546542223</x:v>
      </x:c>
      <x:c r="I370" s="87"/>
      <x:c r="J370" s="11" t="str">
        <x:f>'Cumulative'!A341</x:f>
        <x:v>340</x:v>
      </x:c>
      <x:c r="K370" s="11" t="str">
        <x:f>'Cumulative'!D341</x:f>
        <x:v>-26.330741967394403</x:v>
      </x:c>
      <x:c r="L370" s="11" t="str">
        <x:f>'Cumulative'!E341</x:f>
        <x:v>-18.961992884756523</x:v>
      </x:c>
    </x:row>
    <x:row r="371">
      <x:c r="A371" s="11" t="str">
        <x:f>'Cumulative'!A342</x:f>
        <x:v>341</x:v>
      </x:c>
      <x:c r="B371" s="11" t="str">
        <x:f>'Cumulative'!B342</x:f>
      </x:c>
      <x:c r="C371" s="11" t="str">
        <x:f>'Cumulative'!C342</x:f>
        <x:v>-26.30628961379309</x:v>
      </x:c>
      <x:c r="D371" s="11" t="str">
        <x:f>'Cumulative'!D342</x:f>
        <x:v>-26.100505601337982</x:v>
      </x:c>
      <x:c r="E371" s="11" t="str">
        <x:f>'Cumulative'!E342</x:f>
        <x:v>-19.975793941709757</x:v>
      </x:c>
      <x:c r="G371" s="11" t="str">
        <x:f>'Cumulative'!A342</x:f>
        <x:v>341</x:v>
      </x:c>
      <x:c r="H371" s="11" t="str">
        <x:f>'Cumulative'!C342</x:f>
        <x:v>-26.30628961379309</x:v>
      </x:c>
      <x:c r="I371" s="87"/>
      <x:c r="J371" s="11" t="str">
        <x:f>'Cumulative'!A342</x:f>
        <x:v>341</x:v>
      </x:c>
      <x:c r="K371" s="11" t="str">
        <x:f>'Cumulative'!D342</x:f>
        <x:v>-26.100505601337982</x:v>
      </x:c>
      <x:c r="L371" s="11" t="str">
        <x:f>'Cumulative'!E342</x:f>
        <x:v>-19.975793941709757</x:v>
      </x:c>
    </x:row>
    <x:row r="372">
      <x:c r="A372" s="11" t="str">
        <x:f>'Cumulative'!A343</x:f>
        <x:v>342</x:v>
      </x:c>
      <x:c r="B372" s="11" t="str">
        <x:f>'Cumulative'!B343</x:f>
      </x:c>
      <x:c r="C372" s="11" t="str">
        <x:f>'Cumulative'!C343</x:f>
        <x:v>-26.165929824289787</x:v>
      </x:c>
      <x:c r="D372" s="11" t="str">
        <x:f>'Cumulative'!D343</x:f>
        <x:v>-26.093148206673607</x:v>
      </x:c>
      <x:c r="E372" s="11" t="str">
        <x:f>'Cumulative'!E343</x:f>
        <x:v>-20.983264853244215</x:v>
      </x:c>
      <x:c r="G372" s="11" t="str">
        <x:f>'Cumulative'!A343</x:f>
        <x:v>342</x:v>
      </x:c>
      <x:c r="H372" s="11" t="str">
        <x:f>'Cumulative'!C343</x:f>
        <x:v>-26.165929824289787</x:v>
      </x:c>
      <x:c r="I372" s="87"/>
      <x:c r="J372" s="11" t="str">
        <x:f>'Cumulative'!A343</x:f>
        <x:v>342</x:v>
      </x:c>
      <x:c r="K372" s="11" t="str">
        <x:f>'Cumulative'!D343</x:f>
        <x:v>-26.093148206673607</x:v>
      </x:c>
      <x:c r="L372" s="11" t="str">
        <x:f>'Cumulative'!E343</x:f>
        <x:v>-20.983264853244215</x:v>
      </x:c>
    </x:row>
    <x:row r="373">
      <x:c r="A373" s="11" t="str">
        <x:f>'Cumulative'!A344</x:f>
        <x:v>343</x:v>
      </x:c>
      <x:c r="B373" s="11" t="str">
        <x:f>'Cumulative'!B344</x:f>
      </x:c>
      <x:c r="C373" s="11" t="str">
        <x:f>'Cumulative'!C344</x:f>
        <x:v>-27.186011683653227</x:v>
      </x:c>
      <x:c r="D373" s="11" t="str">
        <x:f>'Cumulative'!D344</x:f>
        <x:v>-27.104773478412007</x:v>
      </x:c>
      <x:c r="E373" s="11" t="str">
        <x:f>'Cumulative'!E344</x:f>
        <x:v>-20.383317524273536</x:v>
      </x:c>
      <x:c r="G373" s="11" t="str">
        <x:f>'Cumulative'!A344</x:f>
        <x:v>343</x:v>
      </x:c>
      <x:c r="H373" s="11" t="str">
        <x:f>'Cumulative'!C344</x:f>
        <x:v>-27.186011683653227</x:v>
      </x:c>
      <x:c r="I373" s="87"/>
      <x:c r="J373" s="11" t="str">
        <x:f>'Cumulative'!A344</x:f>
        <x:v>343</x:v>
      </x:c>
      <x:c r="K373" s="11" t="str">
        <x:f>'Cumulative'!D344</x:f>
        <x:v>-27.104773478412007</x:v>
      </x:c>
      <x:c r="L373" s="11" t="str">
        <x:f>'Cumulative'!E344</x:f>
        <x:v>-20.383317524273536</x:v>
      </x:c>
    </x:row>
    <x:row r="374">
      <x:c r="A374" s="11" t="str">
        <x:f>'Cumulative'!A345</x:f>
        <x:v>344</x:v>
      </x:c>
      <x:c r="B374" s="11" t="str">
        <x:f>'Cumulative'!B345</x:f>
      </x:c>
      <x:c r="C374" s="11" t="str">
        <x:f>'Cumulative'!C345</x:f>
        <x:v>-28.194380535037336</x:v>
      </x:c>
      <x:c r="D374" s="11" t="str">
        <x:f>'Cumulative'!D345</x:f>
        <x:v>-25.448873476147472</x:v>
      </x:c>
      <x:c r="E374" s="11" t="n">
        <x:f>'Cumulative'!E345</x:f>
        <x:v>0</x:v>
      </x:c>
      <x:c r="G374" s="11" t="str">
        <x:f>'Cumulative'!A345</x:f>
        <x:v>344</x:v>
      </x:c>
      <x:c r="H374" s="11" t="str">
        <x:f>'Cumulative'!C345</x:f>
        <x:v>-28.194380535037336</x:v>
      </x:c>
      <x:c r="I374" s="87"/>
      <x:c r="J374" s="11" t="str">
        <x:f>'Cumulative'!A345</x:f>
        <x:v>344</x:v>
      </x:c>
      <x:c r="K374" s="11" t="str">
        <x:f>'Cumulative'!D345</x:f>
        <x:v>-25.448873476147472</x:v>
      </x:c>
      <x:c r="L374" s="11" t="str">
        <x:f>L373</x:f>
        <x:v>-20.383317524273536</x:v>
      </x:c>
    </x:row>
    <x:row r="375">
      <x:c r="A375" s="11" t="str">
        <x:f>'Cumulative'!A346</x:f>
        <x:v>345</x:v>
      </x:c>
      <x:c r="B375" s="11" t="str">
        <x:f>'Cumulative'!B346</x:f>
      </x:c>
      <x:c r="C375" s="11" t="str">
        <x:f>'Cumulative'!C346</x:f>
        <x:v>-28.51669109141264</x:v>
      </x:c>
      <x:c r="D375" s="11" t="str">
        <x:f>'Cumulative'!D346</x:f>
        <x:v>-26.467636766280663</x:v>
      </x:c>
      <x:c r="E375" s="11" t="n">
        <x:f>'Cumulative'!E346</x:f>
        <x:v>0</x:v>
      </x:c>
      <x:c r="G375" s="11" t="str">
        <x:f>'Cumulative'!A346</x:f>
        <x:v>345</x:v>
      </x:c>
      <x:c r="H375" s="11" t="str">
        <x:f>'Cumulative'!C346</x:f>
        <x:v>-28.51669109141264</x:v>
      </x:c>
      <x:c r="I375" s="87"/>
      <x:c r="J375" s="11" t="str">
        <x:f>'Cumulative'!A346</x:f>
        <x:v>345</x:v>
      </x:c>
      <x:c r="K375" s="11" t="str">
        <x:f>'Cumulative'!D346</x:f>
        <x:v>-26.467636766280663</x:v>
      </x:c>
      <x:c r="L375" s="11" t="str">
        <x:f>L374</x:f>
        <x:v>-20.383317524273536</x:v>
      </x:c>
    </x:row>
    <x:row r="376">
      <x:c r="A376" s="11" t="str">
        <x:f>'Cumulative'!A347</x:f>
        <x:v>346</x:v>
      </x:c>
      <x:c r="B376" s="11" t="str">
        <x:f>'Cumulative'!B347</x:f>
      </x:c>
      <x:c r="C376" s="11" t="str">
        <x:f>'Cumulative'!C347</x:f>
        <x:v>-26.963004580032237</x:v>
      </x:c>
      <x:c r="D376" s="11" t="str">
        <x:f>'Cumulative'!D347</x:f>
        <x:v>-27.484521251921734</x:v>
      </x:c>
      <x:c r="E376" s="11" t="n">
        <x:f>'Cumulative'!E347</x:f>
        <x:v>0</x:v>
      </x:c>
      <x:c r="G376" s="11" t="str">
        <x:f>'Cumulative'!A347</x:f>
        <x:v>346</x:v>
      </x:c>
      <x:c r="H376" s="11" t="str">
        <x:f>'Cumulative'!C347</x:f>
        <x:v>-26.963004580032237</x:v>
      </x:c>
      <x:c r="I376" s="87"/>
      <x:c r="J376" s="11" t="str">
        <x:f>'Cumulative'!A347</x:f>
        <x:v>346</x:v>
      </x:c>
      <x:c r="K376" s="11" t="str">
        <x:f>'Cumulative'!D347</x:f>
        <x:v>-27.484521251921734</x:v>
      </x:c>
      <x:c r="L376" s="11" t="str">
        <x:f>L375</x:f>
        <x:v>-20.383317524273536</x:v>
      </x:c>
    </x:row>
    <x:row r="377">
      <x:c r="A377" s="11" t="str">
        <x:f>'Cumulative'!A348</x:f>
        <x:v>347</x:v>
      </x:c>
      <x:c r="B377" s="11" t="str">
        <x:f>'Cumulative'!B348</x:f>
      </x:c>
      <x:c r="C377" s="11" t="str">
        <x:f>'Cumulative'!C348</x:f>
        <x:v>-27.97524746288995</x:v>
      </x:c>
      <x:c r="D377" s="11" t="str">
        <x:f>'Cumulative'!D348</x:f>
        <x:v>-28.50421495776862</x:v>
      </x:c>
      <x:c r="E377" s="11" t="n">
        <x:f>'Cumulative'!E348</x:f>
        <x:v>0</x:v>
      </x:c>
      <x:c r="G377" s="11" t="str">
        <x:f>'Cumulative'!A348</x:f>
        <x:v>347</x:v>
      </x:c>
      <x:c r="H377" s="11" t="str">
        <x:f>'Cumulative'!C348</x:f>
        <x:v>-27.97524746288995</x:v>
      </x:c>
      <x:c r="I377" s="87"/>
      <x:c r="J377" s="11" t="str">
        <x:f>'Cumulative'!A348</x:f>
        <x:v>347</x:v>
      </x:c>
      <x:c r="K377" s="11" t="str">
        <x:f>'Cumulative'!D348</x:f>
        <x:v>-28.50421495776862</x:v>
      </x:c>
      <x:c r="L377" s="11" t="str">
        <x:f>L376</x:f>
        <x:v>-20.383317524273536</x:v>
      </x:c>
    </x:row>
    <x:row r="378">
      <x:c r="A378" s="11" t="str">
        <x:f>'Cumulative'!A349</x:f>
        <x:v>348</x:v>
      </x:c>
      <x:c r="B378" s="11" t="str">
        <x:f>'Cumulative'!B349</x:f>
      </x:c>
      <x:c r="C378" s="11" t="str">
        <x:f>'Cumulative'!C349</x:f>
        <x:v>-27.61979482175181</x:v>
      </x:c>
      <x:c r="D378" s="11" t="str">
        <x:f>'Cumulative'!D349</x:f>
        <x:v>-27.65762381534729</x:v>
      </x:c>
      <x:c r="E378" s="11" t="n">
        <x:f>'Cumulative'!E349</x:f>
        <x:v>0</x:v>
      </x:c>
      <x:c r="G378" s="11" t="str">
        <x:f>'Cumulative'!A349</x:f>
        <x:v>348</x:v>
      </x:c>
      <x:c r="H378" s="11" t="str">
        <x:f>'Cumulative'!C349</x:f>
        <x:v>-27.61979482175181</x:v>
      </x:c>
      <x:c r="I378" s="87"/>
      <x:c r="J378" s="11" t="str">
        <x:f>'Cumulative'!A349</x:f>
        <x:v>348</x:v>
      </x:c>
      <x:c r="K378" s="11" t="str">
        <x:f>'Cumulative'!D349</x:f>
        <x:v>-27.65762381534729</x:v>
      </x:c>
      <x:c r="L378" s="11" t="str">
        <x:f>L377</x:f>
        <x:v>-20.383317524273536</x:v>
      </x:c>
    </x:row>
    <x:row r="379">
      <x:c r="A379" s="11" t="str">
        <x:f>'Cumulative'!A350</x:f>
        <x:v>349</x:v>
      </x:c>
      <x:c r="B379" s="11" t="str">
        <x:f>'Cumulative'!B350</x:f>
      </x:c>
      <x:c r="C379" s="11" t="str">
        <x:f>'Cumulative'!C350</x:f>
        <x:v>-28.424837502677512</x:v>
      </x:c>
      <x:c r="D379" s="11" t="str">
        <x:f>'Cumulative'!D350</x:f>
        <x:v>-25.676634176957986</x:v>
      </x:c>
      <x:c r="E379" s="11" t="n">
        <x:f>'Cumulative'!E350</x:f>
        <x:v>0</x:v>
      </x:c>
      <x:c r="G379" s="11" t="str">
        <x:f>'Cumulative'!A350</x:f>
        <x:v>349</x:v>
      </x:c>
      <x:c r="H379" s="11" t="str">
        <x:f>'Cumulative'!C350</x:f>
        <x:v>-28.424837502677512</x:v>
      </x:c>
      <x:c r="I379" s="87"/>
      <x:c r="J379" s="11" t="str">
        <x:f>'Cumulative'!A350</x:f>
        <x:v>349</x:v>
      </x:c>
      <x:c r="K379" s="11" t="str">
        <x:f>'Cumulative'!D350</x:f>
        <x:v>-25.676634176957986</x:v>
      </x:c>
      <x:c r="L379" s="11" t="str">
        <x:f>L378</x:f>
        <x:v>-20.383317524273536</x:v>
      </x:c>
    </x:row>
    <x:row r="380">
      <x:c r="A380" s="11" t="str">
        <x:f>'Cumulative'!A351</x:f>
        <x:v>350</x:v>
      </x:c>
      <x:c r="B380" s="11" t="str">
        <x:f>'Cumulative'!B351</x:f>
      </x:c>
      <x:c r="C380" s="11" t="str">
        <x:f>'Cumulative'!C351</x:f>
        <x:v>-29.430810519923174</x:v>
      </x:c>
      <x:c r="D380" s="11" t="str">
        <x:f>'Cumulative'!D351</x:f>
        <x:v>-25.595962556031726</x:v>
      </x:c>
      <x:c r="E380" s="11" t="n">
        <x:f>'Cumulative'!E351</x:f>
        <x:v>0</x:v>
      </x:c>
      <x:c r="G380" s="11" t="str">
        <x:f>'Cumulative'!A351</x:f>
        <x:v>350</x:v>
      </x:c>
      <x:c r="H380" s="11" t="str">
        <x:f>'Cumulative'!C351</x:f>
        <x:v>-29.430810519923174</x:v>
      </x:c>
      <x:c r="I380" s="87"/>
      <x:c r="J380" s="11" t="str">
        <x:f>'Cumulative'!A351</x:f>
        <x:v>350</x:v>
      </x:c>
      <x:c r="K380" s="11" t="str">
        <x:f>'Cumulative'!D351</x:f>
        <x:v>-25.595962556031726</x:v>
      </x:c>
      <x:c r="L380" s="11" t="str">
        <x:f>L379</x:f>
        <x:v>-20.383317524273536</x:v>
      </x:c>
    </x:row>
    <x:row r="381">
      <x:c r="A381" s="11" t="str">
        <x:f>'Cumulative'!A352</x:f>
        <x:v>351</x:v>
      </x:c>
      <x:c r="B381" s="11" t="str">
        <x:f>'Cumulative'!B352</x:f>
      </x:c>
      <x:c r="C381" s="11" t="str">
        <x:f>'Cumulative'!C352</x:f>
        <x:v>-27.436662358442902</x:v>
      </x:c>
      <x:c r="D381" s="11" t="str">
        <x:f>'Cumulative'!D352</x:f>
        <x:v>-23.61856986383666</x:v>
      </x:c>
      <x:c r="E381" s="11" t="n">
        <x:f>'Cumulative'!E352</x:f>
        <x:v>0</x:v>
      </x:c>
      <x:c r="G381" s="11" t="str">
        <x:f>'Cumulative'!A352</x:f>
        <x:v>351</x:v>
      </x:c>
      <x:c r="H381" s="11" t="str">
        <x:f>'Cumulative'!C352</x:f>
        <x:v>-27.436662358442902</x:v>
      </x:c>
      <x:c r="I381" s="87"/>
      <x:c r="J381" s="11" t="str">
        <x:f>'Cumulative'!A352</x:f>
        <x:v>351</x:v>
      </x:c>
      <x:c r="K381" s="11" t="str">
        <x:f>'Cumulative'!D352</x:f>
        <x:v>-23.61856986383666</x:v>
      </x:c>
      <x:c r="L381" s="11" t="str">
        <x:f>L380</x:f>
        <x:v>-20.383317524273536</x:v>
      </x:c>
    </x:row>
    <x:row r="382">
      <x:c r="A382" s="11" t="str">
        <x:f>'Cumulative'!A353</x:f>
        <x:v>352</x:v>
      </x:c>
      <x:c r="B382" s="11" t="str">
        <x:f>'Cumulative'!B353</x:f>
      </x:c>
      <x:c r="C382" s="11" t="str">
        <x:f>'Cumulative'!C353</x:f>
        <x:v>-25.44428297235494</x:v>
      </x:c>
      <x:c r="D382" s="11" t="str">
        <x:f>'Cumulative'!D353</x:f>
        <x:v>-24.647314973324338</x:v>
      </x:c>
      <x:c r="E382" s="11" t="n">
        <x:f>'Cumulative'!E353</x:f>
        <x:v>0</x:v>
      </x:c>
      <x:c r="G382" s="11" t="str">
        <x:f>'Cumulative'!A353</x:f>
        <x:v>352</x:v>
      </x:c>
      <x:c r="H382" s="11" t="str">
        <x:f>'Cumulative'!C353</x:f>
        <x:v>-25.44428297235494</x:v>
      </x:c>
      <x:c r="I382" s="87"/>
      <x:c r="J382" s="11" t="str">
        <x:f>'Cumulative'!A353</x:f>
        <x:v>352</x:v>
      </x:c>
      <x:c r="K382" s="11" t="str">
        <x:f>'Cumulative'!D353</x:f>
        <x:v>-24.647314973324338</x:v>
      </x:c>
      <x:c r="L382" s="11" t="str">
        <x:f>L381</x:f>
        <x:v>-20.383317524273536</x:v>
      </x:c>
    </x:row>
    <x:row r="383">
      <x:c r="A383" s="11" t="str">
        <x:f>'Cumulative'!A354</x:f>
        <x:v>353</x:v>
      </x:c>
      <x:c r="B383" s="11" t="str">
        <x:f>'Cumulative'!B354</x:f>
      </x:c>
      <x:c r="C383" s="11" t="str">
        <x:f>'Cumulative'!C354</x:f>
        <x:v>-26.457233535512337</x:v>
      </x:c>
      <x:c r="D383" s="11" t="str">
        <x:f>'Cumulative'!D354</x:f>
        <x:v>-25.659055505497076</x:v>
      </x:c>
      <x:c r="E383" s="11" t="n">
        <x:f>'Cumulative'!E354</x:f>
        <x:v>0</x:v>
      </x:c>
      <x:c r="G383" s="11" t="str">
        <x:f>'Cumulative'!A354</x:f>
        <x:v>353</x:v>
      </x:c>
      <x:c r="H383" s="11" t="str">
        <x:f>'Cumulative'!C354</x:f>
        <x:v>-26.457233535512337</x:v>
      </x:c>
      <x:c r="I383" s="87"/>
      <x:c r="J383" s="11" t="str">
        <x:f>'Cumulative'!A354</x:f>
        <x:v>353</x:v>
      </x:c>
      <x:c r="K383" s="11" t="str">
        <x:f>'Cumulative'!D354</x:f>
        <x:v>-25.659055505497076</x:v>
      </x:c>
      <x:c r="L383" s="11" t="str">
        <x:f>L382</x:f>
        <x:v>-20.383317524273536</x:v>
      </x:c>
    </x:row>
    <x:row r="384">
      <x:c r="A384" s="11" t="str">
        <x:f>'Cumulative'!A355</x:f>
        <x:v>354</x:v>
      </x:c>
      <x:c r="B384" s="11" t="str">
        <x:f>'Cumulative'!B355</x:f>
      </x:c>
      <x:c r="C384" s="11" t="str">
        <x:f>'Cumulative'!C355</x:f>
        <x:v>-27.466549400523487</x:v>
      </x:c>
      <x:c r="D384" s="11" t="str">
        <x:f>'Cumulative'!D355</x:f>
        <x:v>-25.78057027821469</x:v>
      </x:c>
      <x:c r="E384" s="11" t="n">
        <x:f>'Cumulative'!E355</x:f>
        <x:v>0</x:v>
      </x:c>
      <x:c r="G384" s="11" t="str">
        <x:f>'Cumulative'!A355</x:f>
        <x:v>354</x:v>
      </x:c>
      <x:c r="H384" s="11" t="str">
        <x:f>'Cumulative'!C355</x:f>
        <x:v>-27.466549400523487</x:v>
      </x:c>
      <x:c r="I384" s="87"/>
      <x:c r="J384" s="11" t="str">
        <x:f>'Cumulative'!A355</x:f>
        <x:v>354</x:v>
      </x:c>
      <x:c r="K384" s="11" t="str">
        <x:f>'Cumulative'!D355</x:f>
        <x:v>-25.78057027821469</x:v>
      </x:c>
      <x:c r="L384" s="11" t="str">
        <x:f>L383</x:f>
        <x:v>-20.383317524273536</x:v>
      </x:c>
    </x:row>
    <x:row r="385">
      <x:c r="A385" s="11" t="str">
        <x:f>'Cumulative'!A356</x:f>
        <x:v>355</x:v>
      </x:c>
      <x:c r="B385" s="11" t="str">
        <x:f>'Cumulative'!B356</x:f>
      </x:c>
      <x:c r="C385" s="11" t="str">
        <x:f>'Cumulative'!C356</x:f>
        <x:v>-28.4724362134157</x:v>
      </x:c>
      <x:c r="D385" s="11" t="str">
        <x:f>'Cumulative'!D356</x:f>
        <x:v>-26.790837345386628</x:v>
      </x:c>
      <x:c r="E385" s="11" t="n">
        <x:f>'Cumulative'!E356</x:f>
        <x:v>0</x:v>
      </x:c>
      <x:c r="G385" s="11" t="str">
        <x:f>'Cumulative'!A356</x:f>
        <x:v>355</x:v>
      </x:c>
      <x:c r="H385" s="11" t="str">
        <x:f>'Cumulative'!C356</x:f>
        <x:v>-28.4724362134157</x:v>
      </x:c>
      <x:c r="I385" s="87"/>
      <x:c r="J385" s="11" t="str">
        <x:f>'Cumulative'!A356</x:f>
        <x:v>355</x:v>
      </x:c>
      <x:c r="K385" s="11" t="str">
        <x:f>'Cumulative'!D356</x:f>
        <x:v>-26.790837345386628</x:v>
      </x:c>
      <x:c r="L385" s="11" t="str">
        <x:f>L384</x:f>
        <x:v>-20.383317524273536</x:v>
      </x:c>
    </x:row>
    <x:row r="386">
      <x:c r="A386" s="11" t="str">
        <x:f>'Cumulative'!A357</x:f>
        <x:v>356</x:v>
      </x:c>
      <x:c r="B386" s="11" t="str">
        <x:f>'Cumulative'!B357</x:f>
      </x:c>
      <x:c r="C386" s="11" t="str">
        <x:f>'Cumulative'!C357</x:f>
        <x:v>-28.106517757252803</x:v>
      </x:c>
      <x:c r="D386" s="11" t="str">
        <x:f>'Cumulative'!D357</x:f>
        <x:v>-26.789736315761676</x:v>
      </x:c>
      <x:c r="E386" s="11" t="n">
        <x:f>'Cumulative'!E357</x:f>
        <x:v>0</x:v>
      </x:c>
      <x:c r="G386" s="11" t="str">
        <x:f>'Cumulative'!A357</x:f>
        <x:v>356</x:v>
      </x:c>
      <x:c r="H386" s="11" t="str">
        <x:f>'Cumulative'!C357</x:f>
        <x:v>-28.106517757252803</x:v>
      </x:c>
      <x:c r="I386" s="87"/>
      <x:c r="J386" s="11" t="str">
        <x:f>'Cumulative'!A357</x:f>
        <x:v>356</x:v>
      </x:c>
      <x:c r="K386" s="11" t="str">
        <x:f>'Cumulative'!D357</x:f>
        <x:v>-26.789736315761676</x:v>
      </x:c>
      <x:c r="L386" s="11" t="str">
        <x:f>L385</x:f>
        <x:v>-20.383317524273536</x:v>
      </x:c>
    </x:row>
    <x:row r="387">
      <x:c r="A387" s="11" t="str">
        <x:f>'Cumulative'!A358</x:f>
        <x:v>357</x:v>
      </x:c>
      <x:c r="B387" s="11" t="str">
        <x:f>'Cumulative'!B358</x:f>
      </x:c>
      <x:c r="C387" s="11" t="str">
        <x:f>'Cumulative'!C358</x:f>
        <x:v>-28.26076199768025</x:v>
      </x:c>
      <x:c r="D387" s="11" t="str">
        <x:f>'Cumulative'!D358</x:f>
        <x:v>-24.805922667838086</x:v>
      </x:c>
      <x:c r="E387" s="11" t="n">
        <x:f>'Cumulative'!E358</x:f>
        <x:v>0</x:v>
      </x:c>
      <x:c r="G387" s="11" t="str">
        <x:f>'Cumulative'!A358</x:f>
        <x:v>357</x:v>
      </x:c>
      <x:c r="H387" s="11" t="str">
        <x:f>'Cumulative'!C358</x:f>
        <x:v>-28.26076199768025</x:v>
      </x:c>
      <x:c r="I387" s="87"/>
      <x:c r="J387" s="11" t="str">
        <x:f>'Cumulative'!A358</x:f>
        <x:v>357</x:v>
      </x:c>
      <x:c r="K387" s="11" t="str">
        <x:f>'Cumulative'!D358</x:f>
        <x:v>-24.805922667838086</x:v>
      </x:c>
      <x:c r="L387" s="11" t="str">
        <x:f>L386</x:f>
        <x:v>-20.383317524273536</x:v>
      </x:c>
    </x:row>
    <x:row r="388">
      <x:c r="A388" s="11" t="str">
        <x:f>'Cumulative'!A359</x:f>
        <x:v>358</x:v>
      </x:c>
      <x:c r="B388" s="11" t="str">
        <x:f>'Cumulative'!B359</x:f>
      </x:c>
      <x:c r="C388" s="11" t="str">
        <x:f>'Cumulative'!C359</x:f>
        <x:v>-29.28249380947055</x:v>
      </x:c>
      <x:c r="D388" s="11" t="str">
        <x:f>'Cumulative'!D359</x:f>
        <x:v>-25.831735174947248</x:v>
      </x:c>
      <x:c r="E388" s="11" t="n">
        <x:f>'Cumulative'!E359</x:f>
        <x:v>0</x:v>
      </x:c>
      <x:c r="G388" s="11" t="str">
        <x:f>'Cumulative'!A359</x:f>
        <x:v>358</x:v>
      </x:c>
      <x:c r="H388" s="11" t="str">
        <x:f>'Cumulative'!C359</x:f>
        <x:v>-29.28249380947055</x:v>
      </x:c>
      <x:c r="I388" s="87"/>
      <x:c r="J388" s="11" t="str">
        <x:f>'Cumulative'!A359</x:f>
        <x:v>358</x:v>
      </x:c>
      <x:c r="K388" s="11" t="str">
        <x:f>'Cumulative'!D359</x:f>
        <x:v>-25.831735174947248</x:v>
      </x:c>
      <x:c r="L388" s="11" t="str">
        <x:f>L387</x:f>
        <x:v>-20.383317524273536</x:v>
      </x:c>
    </x:row>
    <x:row r="389">
      <x:c r="A389" s="11" t="str">
        <x:f>'Cumulative'!A360</x:f>
        <x:v>359</x:v>
      </x:c>
      <x:c r="B389" s="11" t="str">
        <x:f>'Cumulative'!B360</x:f>
      </x:c>
      <x:c r="C389" s="11" t="str">
        <x:f>'Cumulative'!C360</x:f>
        <x:v>-27.31316496046994</x:v>
      </x:c>
      <x:c r="D389" s="11" t="str">
        <x:f>'Cumulative'!D360</x:f>
        <x:v>-26.847688702448917</x:v>
      </x:c>
      <x:c r="E389" s="11" t="n">
        <x:f>'Cumulative'!E360</x:f>
        <x:v>0</x:v>
      </x:c>
      <x:c r="G389" s="11" t="str">
        <x:f>'Cumulative'!A360</x:f>
        <x:v>359</x:v>
      </x:c>
      <x:c r="H389" s="11" t="str">
        <x:f>'Cumulative'!C360</x:f>
        <x:v>-27.31316496046994</x:v>
      </x:c>
      <x:c r="I389" s="87"/>
      <x:c r="J389" s="11" t="str">
        <x:f>'Cumulative'!A360</x:f>
        <x:v>359</x:v>
      </x:c>
      <x:c r="K389" s="11" t="str">
        <x:f>'Cumulative'!D360</x:f>
        <x:v>-26.847688702448917</x:v>
      </x:c>
      <x:c r="L389" s="11" t="str">
        <x:f>L388</x:f>
        <x:v>-20.383317524273536</x:v>
      </x:c>
    </x:row>
    <x:row r="390">
      <x:c r="A390" s="11" t="str">
        <x:f>'Cumulative'!A361</x:f>
        <x:v>360</x:v>
      </x:c>
      <x:c r="B390" s="11" t="str">
        <x:f>'Cumulative'!B361</x:f>
      </x:c>
      <x:c r="C390" s="11" t="str">
        <x:f>'Cumulative'!C361</x:f>
        <x:v>-27.144517322033742</x:v>
      </x:c>
      <x:c r="D390" s="11" t="str">
        <x:f>'Cumulative'!D361</x:f>
        <x:v>-26.639422558580264</x:v>
      </x:c>
      <x:c r="E390" s="11" t="n">
        <x:f>'Cumulative'!E361</x:f>
        <x:v>0</x:v>
      </x:c>
      <x:c r="G390" s="11" t="str">
        <x:f>'Cumulative'!A361</x:f>
        <x:v>360</x:v>
      </x:c>
      <x:c r="H390" s="11" t="str">
        <x:f>'Cumulative'!C361</x:f>
        <x:v>-27.144517322033742</x:v>
      </x:c>
      <x:c r="I390" s="87"/>
      <x:c r="J390" s="11" t="str">
        <x:f>'Cumulative'!A361</x:f>
        <x:v>360</x:v>
      </x:c>
      <x:c r="K390" s="11" t="str">
        <x:f>'Cumulative'!D361</x:f>
        <x:v>-26.639422558580264</x:v>
      </x:c>
      <x:c r="L390" s="11" t="str">
        <x:f>L389</x:f>
        <x:v>-20.383317524273536</x:v>
      </x:c>
    </x:row>
    <x:row r="391">
      <x:c r="A391" s="11" t="str">
        <x:f>'Cumulative'!A362</x:f>
        <x:v>361</x:v>
      </x:c>
      <x:c r="B391" s="11" t="str">
        <x:f>'Cumulative'!B362</x:f>
      </x:c>
      <x:c r="C391" s="11" t="str">
        <x:f>'Cumulative'!C362</x:f>
        <x:v>-26.73686173911898</x:v>
      </x:c>
      <x:c r="D391" s="11" t="str">
        <x:f>'Cumulative'!D362</x:f>
        <x:v>-27.651628173935176</x:v>
      </x:c>
      <x:c r="E391" s="11" t="n">
        <x:f>'Cumulative'!E362</x:f>
        <x:v>0</x:v>
      </x:c>
      <x:c r="G391" s="11" t="str">
        <x:f>'Cumulative'!A362</x:f>
        <x:v>361</x:v>
      </x:c>
      <x:c r="H391" s="11" t="str">
        <x:f>'Cumulative'!C362</x:f>
        <x:v>-26.73686173911898</x:v>
      </x:c>
      <x:c r="I391" s="87"/>
      <x:c r="J391" s="11" t="str">
        <x:f>'Cumulative'!A362</x:f>
        <x:v>361</x:v>
      </x:c>
      <x:c r="K391" s="11" t="str">
        <x:f>'Cumulative'!D362</x:f>
        <x:v>-27.651628173935176</x:v>
      </x:c>
      <x:c r="L391" s="11" t="str">
        <x:f>L390</x:f>
        <x:v>-20.383317524273536</x:v>
      </x:c>
    </x:row>
    <x:row r="392">
      <x:c r="A392" s="11" t="str">
        <x:f>'Cumulative'!A363</x:f>
        <x:v>362</x:v>
      </x:c>
      <x:c r="B392" s="11" t="str">
        <x:f>'Cumulative'!B363</x:f>
      </x:c>
      <x:c r="C392" s="11" t="str">
        <x:f>'Cumulative'!C363</x:f>
        <x:v>-27.75076964547381</x:v>
      </x:c>
      <x:c r="D392" s="11" t="str">
        <x:f>'Cumulative'!D363</x:f>
        <x:v>-28.665748529844237</x:v>
      </x:c>
      <x:c r="E392" s="11" t="n">
        <x:f>'Cumulative'!E363</x:f>
        <x:v>0</x:v>
      </x:c>
      <x:c r="G392" s="11" t="str">
        <x:f>'Cumulative'!A363</x:f>
        <x:v>362</x:v>
      </x:c>
      <x:c r="H392" s="11" t="str">
        <x:f>'Cumulative'!C363</x:f>
        <x:v>-27.75076964547381</x:v>
      </x:c>
      <x:c r="I392" s="87"/>
      <x:c r="J392" s="11" t="str">
        <x:f>'Cumulative'!A363</x:f>
        <x:v>362</x:v>
      </x:c>
      <x:c r="K392" s="11" t="str">
        <x:f>'Cumulative'!D363</x:f>
        <x:v>-28.665748529844237</x:v>
      </x:c>
      <x:c r="L392" s="11" t="str">
        <x:f>L391</x:f>
        <x:v>-20.383317524273536</x:v>
      </x:c>
    </x:row>
    <x:row r="393">
      <x:c r="A393" s="11" t="str">
        <x:f>'Cumulative'!A364</x:f>
        <x:v>363</x:v>
      </x:c>
      <x:c r="B393" s="11" t="str">
        <x:f>'Cumulative'!B364</x:f>
      </x:c>
      <x:c r="C393" s="11" t="str">
        <x:f>'Cumulative'!C364</x:f>
        <x:v>-26.430658951825265</x:v>
      </x:c>
      <x:c r="D393" s="11" t="n">
        <x:f>'Cumulative'!D364</x:f>
        <x:v>0</x:v>
      </x:c>
      <x:c r="E393" s="11" t="n">
        <x:f>'Cumulative'!E364</x:f>
        <x:v>0</x:v>
      </x:c>
      <x:c r="G393" s="11" t="str">
        <x:f>'Cumulative'!A364</x:f>
        <x:v>363</x:v>
      </x:c>
      <x:c r="H393" s="11" t="str">
        <x:f>'Cumulative'!C364</x:f>
        <x:v>-26.430658951825265</x:v>
      </x:c>
      <x:c r="I393" s="87"/>
      <x:c r="J393" s="87"/>
      <x:c r="K393" s="87"/>
      <x:c r="L393" s="87"/>
    </x:row>
    <x:row r="394">
      <x:c r="A394" s="11" t="str">
        <x:f>'Cumulative'!A365</x:f>
        <x:v>364</x:v>
      </x:c>
      <x:c r="B394" s="11" t="str">
        <x:f>'Cumulative'!B365</x:f>
      </x:c>
      <x:c r="C394" s="11" t="str">
        <x:f>'Cumulative'!C365</x:f>
        <x:v>-26.20470659693301</x:v>
      </x:c>
      <x:c r="D394" s="11" t="n">
        <x:f>'Cumulative'!D365</x:f>
        <x:v>0</x:v>
      </x:c>
      <x:c r="E394" s="11" t="n">
        <x:f>'Cumulative'!E365</x:f>
        <x:v>0</x:v>
      </x:c>
      <x:c r="G394" s="11" t="str">
        <x:f>'Cumulative'!A365</x:f>
        <x:v>364</x:v>
      </x:c>
      <x:c r="H394" s="11" t="str">
        <x:f>'Cumulative'!C365</x:f>
        <x:v>-26.20470659693301</x:v>
      </x:c>
      <x:c r="I394" s="87"/>
      <x:c r="J394" s="87"/>
      <x:c r="K394" s="87"/>
      <x:c r="L394" s="87"/>
    </x:row>
    <x:row r="395">
      <x:c r="A395" s="11" t="str">
        <x:f>'Cumulative'!A366</x:f>
        <x:v>365</x:v>
      </x:c>
      <x:c r="B395" s="11" t="str">
        <x:f>'Cumulative'!B366</x:f>
      </x:c>
      <x:c r="C395" s="11" t="str">
        <x:f>'Cumulative'!C366</x:f>
        <x:v>-27.24659371551899</x:v>
      </x:c>
      <x:c r="D395" s="11" t="n">
        <x:f>'Cumulative'!D366</x:f>
        <x:v>0</x:v>
      </x:c>
      <x:c r="E395" s="11" t="n">
        <x:f>'Cumulative'!E366</x:f>
        <x:v>0</x:v>
      </x:c>
      <x:c r="G395" s="11" t="str">
        <x:f>'Cumulative'!A366</x:f>
        <x:v>365</x:v>
      </x:c>
      <x:c r="H395" s="11" t="str">
        <x:f>'Cumulative'!C366</x:f>
        <x:v>-27.24659371551899</x:v>
      </x:c>
      <x:c r="I395" s="87"/>
      <x:c r="J395" s="87"/>
      <x:c r="K395" s="87"/>
      <x:c r="L395" s="87"/>
    </x:row>
    <x:row r="396">
      <x:c r="A396" s="11" t="str">
        <x:f>'Cumulative'!A367</x:f>
        <x:v>366</x:v>
      </x:c>
      <x:c r="B396" s="11" t="str">
        <x:f>'Cumulative'!B367</x:f>
      </x:c>
      <x:c r="C396" s="11" t="str">
        <x:f>'Cumulative'!C367</x:f>
        <x:v>-28.282348433372306</x:v>
      </x:c>
      <x:c r="D396" s="11" t="n">
        <x:f>'Cumulative'!D367</x:f>
        <x:v>0</x:v>
      </x:c>
      <x:c r="E396" s="11" t="n">
        <x:f>'Cumulative'!E367</x:f>
        <x:v>0</x:v>
      </x:c>
      <x:c r="G396" s="11" t="str">
        <x:f>'Cumulative'!A367</x:f>
        <x:v>366</x:v>
      </x:c>
      <x:c r="H396" s="11" t="str">
        <x:f>'Cumulative'!C367</x:f>
        <x:v>-28.282348433372306</x:v>
      </x:c>
      <x:c r="I396" s="87"/>
      <x:c r="J396" s="87"/>
      <x:c r="K396" s="87"/>
      <x:c r="L396" s="87"/>
    </x:row>
    <x:row r="397">
      <x:c r="A397" s="11" t="str">
        <x:f>'Cumulative'!A368</x:f>
        <x:v>367</x:v>
      </x:c>
      <x:c r="B397" s="11" t="str">
        <x:f>'Cumulative'!B368</x:f>
      </x:c>
      <x:c r="C397" s="11" t="str">
        <x:f>'Cumulative'!C368</x:f>
        <x:v>-29.315448113855034</x:v>
      </x:c>
      <x:c r="D397" s="11" t="n">
        <x:f>'Cumulative'!D368</x:f>
        <x:v>0</x:v>
      </x:c>
      <x:c r="E397" s="11" t="n">
        <x:f>'Cumulative'!E368</x:f>
        <x:v>0</x:v>
      </x:c>
      <x:c r="G397" s="11" t="str">
        <x:f>'Cumulative'!A368</x:f>
        <x:v>367</x:v>
      </x:c>
      <x:c r="H397" s="11" t="str">
        <x:f>'Cumulative'!C368</x:f>
        <x:v>-29.315448113855034</x:v>
      </x:c>
      <x:c r="I397" s="87"/>
      <x:c r="J397" s="87"/>
      <x:c r="K397" s="87"/>
      <x:c r="L397" s="87"/>
    </x:row>
    <x:row r="398">
      <x:c r="A398" s="11" t="str">
        <x:f>'Cumulative'!A369</x:f>
        <x:v>368</x:v>
      </x:c>
      <x:c r="B398" s="11" t="str">
        <x:f>'Cumulative'!B369</x:f>
      </x:c>
      <x:c r="C398" s="11" t="str">
        <x:f>'Cumulative'!C369</x:f>
        <x:v>-27.339766006753397</x:v>
      </x:c>
      <x:c r="D398" s="11" t="n">
        <x:f>'Cumulative'!D369</x:f>
        <x:v>0</x:v>
      </x:c>
      <x:c r="E398" s="11" t="n">
        <x:f>'Cumulative'!E369</x:f>
        <x:v>0</x:v>
      </x:c>
      <x:c r="G398" s="11" t="str">
        <x:f>'Cumulative'!A369</x:f>
        <x:v>368</x:v>
      </x:c>
      <x:c r="H398" s="11" t="str">
        <x:f>'Cumulative'!C369</x:f>
        <x:v>-27.339766006753397</x:v>
      </x:c>
      <x:c r="I398" s="87"/>
      <x:c r="J398" s="87"/>
      <x:c r="K398" s="87"/>
      <x:c r="L398" s="87"/>
    </x:row>
    <x:row r="399">
      <x:c r="A399" s="11" t="str">
        <x:f>'Cumulative'!A370</x:f>
        <x:v>369</x:v>
      </x:c>
      <x:c r="B399" s="11" t="str">
        <x:f>'Cumulative'!B370</x:f>
      </x:c>
      <x:c r="C399" s="11" t="str">
        <x:f>'Cumulative'!C370</x:f>
        <x:v>-26.847285021091707</x:v>
      </x:c>
      <x:c r="D399" s="11" t="n">
        <x:f>'Cumulative'!D370</x:f>
        <x:v>0</x:v>
      </x:c>
      <x:c r="E399" s="11" t="n">
        <x:f>'Cumulative'!E370</x:f>
        <x:v>0</x:v>
      </x:c>
      <x:c r="G399" s="11" t="str">
        <x:f>'Cumulative'!A370</x:f>
        <x:v>369</x:v>
      </x:c>
      <x:c r="H399" s="11" t="str">
        <x:f>'Cumulative'!C370</x:f>
        <x:v>-26.847285021091707</x:v>
      </x:c>
      <x:c r="I399" s="87"/>
      <x:c r="J399" s="87"/>
      <x:c r="K399" s="87"/>
      <x:c r="L399" s="87"/>
    </x:row>
    <x:row r="400">
      <x:c r="A400" s="11" t="str">
        <x:f>'Cumulative'!A371</x:f>
        <x:v>370</x:v>
      </x:c>
      <x:c r="B400" s="11" t="str">
        <x:f>'Cumulative'!B371</x:f>
      </x:c>
      <x:c r="C400" s="11" t="str">
        <x:f>'Cumulative'!C371</x:f>
        <x:v>-27.8754755226619</x:v>
      </x:c>
      <x:c r="D400" s="11" t="n">
        <x:f>'Cumulative'!D371</x:f>
        <x:v>0</x:v>
      </x:c>
      <x:c r="E400" s="11" t="n">
        <x:f>'Cumulative'!E371</x:f>
        <x:v>0</x:v>
      </x:c>
      <x:c r="G400" s="11" t="str">
        <x:f>'Cumulative'!A371</x:f>
        <x:v>370</x:v>
      </x:c>
      <x:c r="H400" s="11" t="str">
        <x:f>'Cumulative'!C371</x:f>
        <x:v>-27.8754755226619</x:v>
      </x:c>
      <x:c r="I400" s="87"/>
      <x:c r="J400" s="87"/>
      <x:c r="K400" s="87"/>
      <x:c r="L400" s="87"/>
    </x:row>
    <x:row r="401">
      <x:c r="A401" s="11" t="str">
        <x:f>'Cumulative'!A372</x:f>
        <x:v>371</x:v>
      </x:c>
      <x:c r="B401" s="11" t="str">
        <x:f>'Cumulative'!B372</x:f>
      </x:c>
      <x:c r="C401" s="11" t="str">
        <x:f>'Cumulative'!C372</x:f>
        <x:v>-28.56946042393135</x:v>
      </x:c>
      <x:c r="D401" s="11" t="n">
        <x:f>'Cumulative'!D372</x:f>
        <x:v>0</x:v>
      </x:c>
      <x:c r="E401" s="11" t="n">
        <x:f>'Cumulative'!E372</x:f>
        <x:v>0</x:v>
      </x:c>
      <x:c r="G401" s="11" t="str">
        <x:f>'Cumulative'!A372</x:f>
        <x:v>371</x:v>
      </x:c>
      <x:c r="H401" s="11" t="str">
        <x:f>'Cumulative'!C372</x:f>
        <x:v>-28.56946042393135</x:v>
      </x:c>
      <x:c r="I401" s="87"/>
      <x:c r="J401" s="87"/>
      <x:c r="K401" s="87"/>
      <x:c r="L401" s="87"/>
    </x:row>
    <x:row r="402">
      <x:c r="A402" s="11" t="str">
        <x:f>'Cumulative'!A373</x:f>
        <x:v>372</x:v>
      </x:c>
      <x:c r="B402" s="11" t="str">
        <x:f>'Cumulative'!B373</x:f>
      </x:c>
      <x:c r="C402" s="11" t="str">
        <x:f>'Cumulative'!C373</x:f>
        <x:v>-29.601937233723955</x:v>
      </x:c>
      <x:c r="D402" s="11" t="n">
        <x:f>'Cumulative'!D373</x:f>
        <x:v>0</x:v>
      </x:c>
      <x:c r="E402" s="11" t="n">
        <x:f>'Cumulative'!E373</x:f>
        <x:v>0</x:v>
      </x:c>
      <x:c r="G402" s="11" t="str">
        <x:f>'Cumulative'!A373</x:f>
        <x:v>372</x:v>
      </x:c>
      <x:c r="H402" s="11" t="str">
        <x:f>'Cumulative'!C373</x:f>
        <x:v>-29.601937233723955</x:v>
      </x:c>
      <x:c r="I402" s="87"/>
      <x:c r="J402" s="87"/>
      <x:c r="K402" s="87"/>
      <x:c r="L402" s="87"/>
    </x:row>
    <x:row r="403">
      <x:c r="A403" s="11" t="str">
        <x:f>'Cumulative'!A374</x:f>
        <x:v>373</x:v>
      </x:c>
      <x:c r="B403" s="11" t="str">
        <x:f>'Cumulative'!B374</x:f>
      </x:c>
      <x:c r="C403" s="11" t="str">
        <x:f>'Cumulative'!C374</x:f>
        <x:v>-29.534900371193213</x:v>
      </x:c>
      <x:c r="D403" s="11" t="n">
        <x:f>'Cumulative'!D374</x:f>
        <x:v>0</x:v>
      </x:c>
      <x:c r="E403" s="11" t="n">
        <x:f>'Cumulative'!E374</x:f>
        <x:v>0</x:v>
      </x:c>
      <x:c r="G403" s="11" t="str">
        <x:f>'Cumulative'!A374</x:f>
        <x:v>373</x:v>
      </x:c>
      <x:c r="H403" s="11" t="str">
        <x:f>'Cumulative'!C374</x:f>
        <x:v>-29.534900371193213</x:v>
      </x:c>
      <x:c r="I403" s="87"/>
      <x:c r="J403" s="87"/>
      <x:c r="K403" s="87"/>
      <x:c r="L403" s="87"/>
    </x:row>
    <x:row r="404">
      <x:c r="A404" s="11" t="str">
        <x:f>'Cumulative'!A375</x:f>
        <x:v>374</x:v>
      </x:c>
      <x:c r="B404" s="11" t="str">
        <x:f>'Cumulative'!B375</x:f>
      </x:c>
      <x:c r="C404" s="11" t="str">
        <x:f>'Cumulative'!C375</x:f>
        <x:v>-30.576720545013288</x:v>
      </x:c>
      <x:c r="D404" s="11" t="n">
        <x:f>'Cumulative'!D375</x:f>
        <x:v>0</x:v>
      </x:c>
      <x:c r="E404" s="11" t="n">
        <x:f>'Cumulative'!E375</x:f>
        <x:v>0</x:v>
      </x:c>
      <x:c r="G404" s="11" t="str">
        <x:f>'Cumulative'!A375</x:f>
        <x:v>374</x:v>
      </x:c>
      <x:c r="H404" s="11" t="str">
        <x:f>'Cumulative'!C375</x:f>
        <x:v>-30.576720545013288</x:v>
      </x:c>
      <x:c r="I404" s="87"/>
      <x:c r="J404" s="87"/>
      <x:c r="K404" s="87"/>
      <x:c r="L404" s="87"/>
    </x:row>
    <x:row r="405">
      <x:c r="A405" s="11" t="str">
        <x:f>'Cumulative'!A376</x:f>
        <x:v>375</x:v>
      </x:c>
      <x:c r="B405" s="11" t="str">
        <x:f>'Cumulative'!B376</x:f>
      </x:c>
      <x:c r="C405" s="11" t="str">
        <x:f>'Cumulative'!C376</x:f>
        <x:v>-30.452966102793447</x:v>
      </x:c>
      <x:c r="D405" s="11" t="n">
        <x:f>'Cumulative'!D376</x:f>
        <x:v>0</x:v>
      </x:c>
      <x:c r="E405" s="11" t="n">
        <x:f>'Cumulative'!E376</x:f>
        <x:v>0</x:v>
      </x:c>
      <x:c r="G405" s="11" t="str">
        <x:f>'Cumulative'!A376</x:f>
        <x:v>375</x:v>
      </x:c>
      <x:c r="H405" s="11" t="str">
        <x:f>'Cumulative'!C376</x:f>
        <x:v>-30.452966102793447</x:v>
      </x:c>
      <x:c r="I405" s="87"/>
      <x:c r="J405" s="87"/>
      <x:c r="K405" s="87"/>
      <x:c r="L405" s="87"/>
    </x:row>
    <x:row r="406">
      <x:c r="A406" s="11" t="str">
        <x:f>'Cumulative'!A377</x:f>
        <x:v>376</x:v>
      </x:c>
      <x:c r="B406" s="11" t="str">
        <x:f>'Cumulative'!B377</x:f>
      </x:c>
      <x:c r="C406" s="11" t="str">
        <x:f>'Cumulative'!C377</x:f>
        <x:v>-31.475231978569866</x:v>
      </x:c>
      <x:c r="D406" s="11" t="n">
        <x:f>'Cumulative'!D377</x:f>
        <x:v>0</x:v>
      </x:c>
      <x:c r="E406" s="11" t="n">
        <x:f>'Cumulative'!E377</x:f>
        <x:v>0</x:v>
      </x:c>
      <x:c r="G406" s="11" t="str">
        <x:f>'Cumulative'!A377</x:f>
        <x:v>376</x:v>
      </x:c>
      <x:c r="H406" s="11" t="str">
        <x:f>'Cumulative'!C377</x:f>
        <x:v>-31.475231978569866</x:v>
      </x:c>
      <x:c r="I406" s="87"/>
      <x:c r="J406" s="87"/>
      <x:c r="K406" s="87"/>
      <x:c r="L406" s="87"/>
    </x:row>
    <x:row r="407">
      <x:c r="A407" s="11" t="str">
        <x:f>'Cumulative'!A378</x:f>
        <x:v>377</x:v>
      </x:c>
      <x:c r="B407" s="11" t="str">
        <x:f>'Cumulative'!B378</x:f>
      </x:c>
      <x:c r="C407" s="11" t="str">
        <x:f>'Cumulative'!C378</x:f>
        <x:v>-32.49705412342574</x:v>
      </x:c>
      <x:c r="D407" s="11" t="n">
        <x:f>'Cumulative'!D378</x:f>
        <x:v>0</x:v>
      </x:c>
      <x:c r="E407" s="11" t="n">
        <x:f>'Cumulative'!E378</x:f>
        <x:v>0</x:v>
      </x:c>
      <x:c r="G407" s="11" t="str">
        <x:f>'Cumulative'!A378</x:f>
        <x:v>377</x:v>
      </x:c>
      <x:c r="H407" s="11" t="str">
        <x:f>'Cumulative'!C378</x:f>
        <x:v>-32.49705412342574</x:v>
      </x:c>
      <x:c r="I407" s="87"/>
      <x:c r="J407" s="87"/>
      <x:c r="K407" s="87"/>
      <x:c r="L407" s="87"/>
    </x:row>
    <x:row r="408">
      <x:c r="A408" s="11" t="str">
        <x:f>'Cumulative'!A379</x:f>
        <x:v>378</x:v>
      </x:c>
      <x:c r="B408" s="11" t="str">
        <x:f>'Cumulative'!B379</x:f>
      </x:c>
      <x:c r="C408" s="11" t="str">
        <x:f>'Cumulative'!C379</x:f>
        <x:v>-31.804626296583002</x:v>
      </x:c>
      <x:c r="D408" s="11" t="n">
        <x:f>'Cumulative'!D379</x:f>
        <x:v>0</x:v>
      </x:c>
      <x:c r="E408" s="11" t="n">
        <x:f>'Cumulative'!E379</x:f>
        <x:v>0</x:v>
      </x:c>
      <x:c r="G408" s="11" t="str">
        <x:f>'Cumulative'!A379</x:f>
        <x:v>378</x:v>
      </x:c>
      <x:c r="H408" s="11" t="str">
        <x:f>'Cumulative'!C379</x:f>
        <x:v>-31.804626296583002</x:v>
      </x:c>
      <x:c r="I408" s="87"/>
      <x:c r="J408" s="87"/>
      <x:c r="K408" s="87"/>
      <x:c r="L408" s="87"/>
    </x:row>
    <x:row r="409">
      <x:c r="A409" s="11" t="str">
        <x:f>'Cumulative'!A380</x:f>
        <x:v>379</x:v>
      </x:c>
      <x:c r="B409" s="11" t="str">
        <x:f>'Cumulative'!B380</x:f>
      </x:c>
      <x:c r="C409" s="11" t="str">
        <x:f>'Cumulative'!C380</x:f>
        <x:v>-32.83703356870333</x:v>
      </x:c>
      <x:c r="D409" s="11" t="n">
        <x:f>'Cumulative'!D380</x:f>
        <x:v>0</x:v>
      </x:c>
      <x:c r="E409" s="11" t="n">
        <x:f>'Cumulative'!E380</x:f>
        <x:v>0</x:v>
      </x:c>
      <x:c r="G409" s="11" t="str">
        <x:f>'Cumulative'!A380</x:f>
        <x:v>379</x:v>
      </x:c>
      <x:c r="H409" s="11" t="str">
        <x:f>'Cumulative'!C380</x:f>
        <x:v>-32.83703356870333</x:v>
      </x:c>
      <x:c r="I409" s="87"/>
      <x:c r="J409" s="87"/>
      <x:c r="K409" s="87"/>
      <x:c r="L409" s="87"/>
    </x:row>
    <x:row r="410">
      <x:c r="A410" s="11" t="str">
        <x:f>'Cumulative'!A381</x:f>
        <x:v>380</x:v>
      </x:c>
      <x:c r="B410" s="11" t="str">
        <x:f>'Cumulative'!B381</x:f>
      </x:c>
      <x:c r="C410" s="11" t="str">
        <x:f>'Cumulative'!C381</x:f>
        <x:v>-32.949677112995424</x:v>
      </x:c>
      <x:c r="D410" s="11" t="n">
        <x:f>'Cumulative'!D381</x:f>
        <x:v>0</x:v>
      </x:c>
      <x:c r="E410" s="11" t="n">
        <x:f>'Cumulative'!E381</x:f>
        <x:v>0</x:v>
      </x:c>
      <x:c r="G410" s="11" t="str">
        <x:f>'Cumulative'!A381</x:f>
        <x:v>380</x:v>
      </x:c>
      <x:c r="H410" s="11" t="str">
        <x:f>'Cumulative'!C381</x:f>
        <x:v>-32.949677112995424</x:v>
      </x:c>
      <x:c r="I410" s="87"/>
      <x:c r="J410" s="87"/>
      <x:c r="K410" s="87"/>
      <x:c r="L410" s="87"/>
    </x:row>
    <x:row r="411">
      <x:c r="A411" s="11" t="str">
        <x:f>'Cumulative'!A382</x:f>
        <x:v>381</x:v>
      </x:c>
      <x:c r="B411" s="11" t="str">
        <x:f>'Cumulative'!B382</x:f>
      </x:c>
      <x:c r="C411" s="11" t="str">
        <x:f>'Cumulative'!C382</x:f>
        <x:v>-32.400505211509625</x:v>
      </x:c>
      <x:c r="D411" s="11" t="n">
        <x:f>'Cumulative'!D382</x:f>
        <x:v>0</x:v>
      </x:c>
      <x:c r="E411" s="11" t="n">
        <x:f>'Cumulative'!E382</x:f>
        <x:v>0</x:v>
      </x:c>
      <x:c r="G411" s="11" t="str">
        <x:f>'Cumulative'!A382</x:f>
        <x:v>381</x:v>
      </x:c>
      <x:c r="H411" s="11" t="str">
        <x:f>'Cumulative'!C382</x:f>
        <x:v>-32.400505211509625</x:v>
      </x:c>
      <x:c r="I411" s="87"/>
      <x:c r="J411" s="87"/>
      <x:c r="K411" s="87"/>
      <x:c r="L411" s="87"/>
    </x:row>
    <x:row r="412">
      <x:c r="A412" s="11" t="str">
        <x:f>'Cumulative'!A383</x:f>
        <x:v>382</x:v>
      </x:c>
      <x:c r="B412" s="11" t="str">
        <x:f>'Cumulative'!B383</x:f>
      </x:c>
      <x:c r="C412" s="11" t="str">
        <x:f>'Cumulative'!C383</x:f>
        <x:v>-31.306973911436664</x:v>
      </x:c>
      <x:c r="D412" s="11" t="n">
        <x:f>'Cumulative'!D383</x:f>
        <x:v>0</x:v>
      </x:c>
      <x:c r="E412" s="11" t="n">
        <x:f>'Cumulative'!E383</x:f>
        <x:v>0</x:v>
      </x:c>
      <x:c r="G412" s="11" t="str">
        <x:f>'Cumulative'!A383</x:f>
        <x:v>382</x:v>
      </x:c>
      <x:c r="H412" s="11" t="str">
        <x:f>'Cumulative'!C383</x:f>
        <x:v>-31.306973911436664</x:v>
      </x:c>
      <x:c r="I412" s="87"/>
      <x:c r="J412" s="87"/>
      <x:c r="K412" s="87"/>
      <x:c r="L412" s="87"/>
    </x:row>
    <x:row r="413">
      <x:c r="A413" s="11" t="str">
        <x:f>'Cumulative'!A384</x:f>
        <x:v>383</x:v>
      </x:c>
      <x:c r="B413" s="11" t="str">
        <x:f>'Cumulative'!B384</x:f>
      </x:c>
      <x:c r="C413" s="11" t="str">
        <x:f>'Cumulative'!C384</x:f>
        <x:v>-32.35361322433979</x:v>
      </x:c>
      <x:c r="D413" s="11" t="n">
        <x:f>'Cumulative'!D384</x:f>
        <x:v>0</x:v>
      </x:c>
      <x:c r="E413" s="11" t="n">
        <x:f>'Cumulative'!E384</x:f>
        <x:v>0</x:v>
      </x:c>
      <x:c r="G413" s="11" t="str">
        <x:f>'Cumulative'!A384</x:f>
        <x:v>383</x:v>
      </x:c>
      <x:c r="H413" s="11" t="str">
        <x:f>'Cumulative'!C384</x:f>
        <x:v>-32.35361322433979</x:v>
      </x:c>
      <x:c r="I413" s="87"/>
      <x:c r="J413" s="87"/>
      <x:c r="K413" s="87"/>
      <x:c r="L413" s="87"/>
    </x:row>
    <x:row r="414">
      <x:c r="A414" s="11" t="str">
        <x:f>'Cumulative'!A385</x:f>
        <x:v>384</x:v>
      </x:c>
      <x:c r="B414" s="11" t="str">
        <x:f>'Cumulative'!B385</x:f>
      </x:c>
      <x:c r="C414" s="11" t="str">
        <x:f>'Cumulative'!C385</x:f>
        <x:v>-33.37937995916194</x:v>
      </x:c>
      <x:c r="D414" s="11" t="n">
        <x:f>'Cumulative'!D385</x:f>
        <x:v>0</x:v>
      </x:c>
      <x:c r="E414" s="11" t="n">
        <x:f>'Cumulative'!E385</x:f>
        <x:v>0</x:v>
      </x:c>
      <x:c r="G414" s="11" t="str">
        <x:f>'Cumulative'!A385</x:f>
        <x:v>384</x:v>
      </x:c>
      <x:c r="H414" s="11" t="str">
        <x:f>'Cumulative'!C385</x:f>
        <x:v>-33.37937995916194</x:v>
      </x:c>
      <x:c r="I414" s="87"/>
      <x:c r="J414" s="87"/>
      <x:c r="K414" s="87"/>
      <x:c r="L414" s="87"/>
    </x:row>
    <x:row r="415">
      <x:c r="A415" s="11" t="str">
        <x:f>'Cumulative'!A386</x:f>
        <x:v>385</x:v>
      </x:c>
      <x:c r="B415" s="11" t="str">
        <x:f>'Cumulative'!B386</x:f>
      </x:c>
      <x:c r="C415" s="11" t="str">
        <x:f>'Cumulative'!C386</x:f>
        <x:v>-34.406855697468586</x:v>
      </x:c>
      <x:c r="D415" s="11" t="n">
        <x:f>'Cumulative'!D386</x:f>
        <x:v>0</x:v>
      </x:c>
      <x:c r="E415" s="11" t="n">
        <x:f>'Cumulative'!E386</x:f>
        <x:v>0</x:v>
      </x:c>
      <x:c r="G415" s="11" t="str">
        <x:f>'Cumulative'!A386</x:f>
        <x:v>385</x:v>
      </x:c>
      <x:c r="H415" s="11" t="str">
        <x:f>'Cumulative'!C386</x:f>
        <x:v>-34.406855697468586</x:v>
      </x:c>
      <x:c r="I415" s="87"/>
      <x:c r="J415" s="87"/>
      <x:c r="K415" s="87"/>
      <x:c r="L415" s="87"/>
    </x:row>
    <x:row r="416">
      <x:c r="A416" s="11" t="str">
        <x:f>'Cumulative'!A387</x:f>
        <x:v>386</x:v>
      </x:c>
      <x:c r="B416" s="11" t="str">
        <x:f>'Cumulative'!B387</x:f>
      </x:c>
      <x:c r="C416" s="11" t="str">
        <x:f>'Cumulative'!C387</x:f>
        <x:v>-32.45292700251379</x:v>
      </x:c>
      <x:c r="D416" s="11" t="n">
        <x:f>'Cumulative'!D387</x:f>
        <x:v>0</x:v>
      </x:c>
      <x:c r="E416" s="11" t="n">
        <x:f>'Cumulative'!E387</x:f>
        <x:v>0</x:v>
      </x:c>
      <x:c r="G416" s="11" t="str">
        <x:f>'Cumulative'!A387</x:f>
        <x:v>386</x:v>
      </x:c>
      <x:c r="H416" s="11" t="str">
        <x:f>'Cumulative'!C387</x:f>
        <x:v>-32.45292700251379</x:v>
      </x:c>
      <x:c r="I416" s="87"/>
      <x:c r="J416" s="87"/>
      <x:c r="K416" s="87"/>
      <x:c r="L416" s="87"/>
    </x:row>
    <x:row r="417">
      <x:c r="A417" s="11" t="str">
        <x:f>'Cumulative'!A388</x:f>
        <x:v>387</x:v>
      </x:c>
      <x:c r="B417" s="11" t="str">
        <x:f>'Cumulative'!B388</x:f>
      </x:c>
      <x:c r="C417" s="11" t="str">
        <x:f>'Cumulative'!C388</x:f>
        <x:v>-30.477461642646464</x:v>
      </x:c>
      <x:c r="D417" s="11" t="n">
        <x:f>'Cumulative'!D388</x:f>
        <x:v>0</x:v>
      </x:c>
      <x:c r="E417" s="11" t="n">
        <x:f>'Cumulative'!E388</x:f>
        <x:v>0</x:v>
      </x:c>
      <x:c r="G417" s="11" t="str">
        <x:f>'Cumulative'!A388</x:f>
        <x:v>387</x:v>
      </x:c>
      <x:c r="H417" s="11" t="str">
        <x:f>'Cumulative'!C388</x:f>
        <x:v>-30.477461642646464</x:v>
      </x:c>
      <x:c r="I417" s="87"/>
      <x:c r="J417" s="87"/>
      <x:c r="K417" s="87"/>
      <x:c r="L417" s="87"/>
    </x:row>
    <x:row r="418">
      <x:c r="A418" s="11" t="str">
        <x:f>'Cumulative'!A389</x:f>
        <x:v>388</x:v>
      </x:c>
      <x:c r="B418" s="11" t="str">
        <x:f>'Cumulative'!B389</x:f>
      </x:c>
      <x:c r="C418" s="11" t="str">
        <x:f>'Cumulative'!C389</x:f>
        <x:v>-29.80697915183813</x:v>
      </x:c>
      <x:c r="D418" s="11" t="n">
        <x:f>'Cumulative'!D389</x:f>
        <x:v>0</x:v>
      </x:c>
      <x:c r="E418" s="11" t="n">
        <x:f>'Cumulative'!E389</x:f>
        <x:v>0</x:v>
      </x:c>
      <x:c r="G418" s="11" t="str">
        <x:f>'Cumulative'!A389</x:f>
        <x:v>388</x:v>
      </x:c>
      <x:c r="H418" s="11" t="str">
        <x:f>'Cumulative'!C389</x:f>
        <x:v>-29.80697915183813</x:v>
      </x:c>
      <x:c r="I418" s="87"/>
      <x:c r="J418" s="87"/>
      <x:c r="K418" s="87"/>
      <x:c r="L418" s="87"/>
    </x:row>
    <x:row r="419">
      <x:c r="A419" s="11" t="str">
        <x:f>'Cumulative'!A390</x:f>
        <x:v>389</x:v>
      </x:c>
      <x:c r="B419" s="11" t="str">
        <x:f>'Cumulative'!B390</x:f>
      </x:c>
      <x:c r="C419" s="11" t="str">
        <x:f>'Cumulative'!C390</x:f>
        <x:v>-30.841807725384854</x:v>
      </x:c>
      <x:c r="D419" s="11" t="n">
        <x:f>'Cumulative'!D390</x:f>
        <x:v>0</x:v>
      </x:c>
      <x:c r="E419" s="11" t="n">
        <x:f>'Cumulative'!E390</x:f>
        <x:v>0</x:v>
      </x:c>
      <x:c r="G419" s="11" t="str">
        <x:f>'Cumulative'!A390</x:f>
        <x:v>389</x:v>
      </x:c>
      <x:c r="H419" s="11" t="str">
        <x:f>'Cumulative'!C390</x:f>
        <x:v>-30.841807725384854</x:v>
      </x:c>
      <x:c r="I419" s="87"/>
      <x:c r="J419" s="87"/>
      <x:c r="K419" s="87"/>
      <x:c r="L419" s="87"/>
    </x:row>
    <x:row r="420">
      <x:c r="A420" s="11" t="str">
        <x:f>'Cumulative'!A391</x:f>
        <x:v>390</x:v>
      </x:c>
      <x:c r="B420" s="11" t="str">
        <x:f>'Cumulative'!B391</x:f>
      </x:c>
      <x:c r="C420" s="11" t="str">
        <x:f>'Cumulative'!C391</x:f>
        <x:v>-28.88546409825217</x:v>
      </x:c>
      <x:c r="D420" s="11" t="n">
        <x:f>'Cumulative'!D391</x:f>
        <x:v>0</x:v>
      </x:c>
      <x:c r="E420" s="11" t="n">
        <x:f>'Cumulative'!E391</x:f>
        <x:v>0</x:v>
      </x:c>
      <x:c r="G420" s="11" t="str">
        <x:f>'Cumulative'!A391</x:f>
        <x:v>390</x:v>
      </x:c>
      <x:c r="H420" s="11" t="str">
        <x:f>'Cumulative'!C391</x:f>
        <x:v>-28.88546409825217</x:v>
      </x:c>
      <x:c r="I420" s="87"/>
      <x:c r="J420" s="87"/>
      <x:c r="K420" s="87"/>
      <x:c r="L420" s="87"/>
    </x:row>
    <x:row r="421">
      <x:c r="A421" s="11" t="str">
        <x:f>'Cumulative'!A392</x:f>
        <x:v>391</x:v>
      </x:c>
      <x:c r="B421" s="11" t="str">
        <x:f>'Cumulative'!B392</x:f>
      </x:c>
      <x:c r="C421" s="11" t="str">
        <x:f>'Cumulative'!C392</x:f>
        <x:v>-29.91965599181855</x:v>
      </x:c>
      <x:c r="D421" s="11" t="n">
        <x:f>'Cumulative'!D392</x:f>
        <x:v>0</x:v>
      </x:c>
      <x:c r="E421" s="11" t="n">
        <x:f>'Cumulative'!E392</x:f>
        <x:v>0</x:v>
      </x:c>
      <x:c r="G421" s="11" t="str">
        <x:f>'Cumulative'!A392</x:f>
        <x:v>391</x:v>
      </x:c>
      <x:c r="H421" s="11" t="str">
        <x:f>'Cumulative'!C392</x:f>
        <x:v>-29.91965599181855</x:v>
      </x:c>
      <x:c r="I421" s="87"/>
      <x:c r="J421" s="87"/>
      <x:c r="K421" s="87"/>
      <x:c r="L421" s="87"/>
    </x:row>
    <x:row r="422">
      <x:c r="A422" s="11" t="str">
        <x:f>'Cumulative'!A393</x:f>
        <x:v>392</x:v>
      </x:c>
      <x:c r="B422" s="11" t="str">
        <x:f>'Cumulative'!B393</x:f>
      </x:c>
      <x:c r="C422" s="11" t="str">
        <x:f>'Cumulative'!C393</x:f>
        <x:v>-30.952741901758497</x:v>
      </x:c>
      <x:c r="D422" s="11" t="n">
        <x:f>'Cumulative'!D393</x:f>
        <x:v>0</x:v>
      </x:c>
      <x:c r="E422" s="11" t="n">
        <x:f>'Cumulative'!E393</x:f>
        <x:v>0</x:v>
      </x:c>
      <x:c r="G422" s="11" t="str">
        <x:f>'Cumulative'!A393</x:f>
        <x:v>392</x:v>
      </x:c>
      <x:c r="H422" s="11" t="str">
        <x:f>'Cumulative'!C393</x:f>
        <x:v>-30.952741901758497</x:v>
      </x:c>
      <x:c r="I422" s="87"/>
      <x:c r="J422" s="87"/>
      <x:c r="K422" s="87"/>
      <x:c r="L422" s="87"/>
    </x:row>
    <x:row r="423">
      <x:c r="A423" s="11" t="str">
        <x:f>'Cumulative'!A394</x:f>
        <x:v>393</x:v>
      </x:c>
      <x:c r="B423" s="11" t="str">
        <x:f>'Cumulative'!B394</x:f>
      </x:c>
      <x:c r="C423" s="11" t="str">
        <x:f>'Cumulative'!C394</x:f>
        <x:v>-30.95637910664539</x:v>
      </x:c>
      <x:c r="D423" s="11" t="n">
        <x:f>'Cumulative'!D394</x:f>
        <x:v>0</x:v>
      </x:c>
      <x:c r="E423" s="11" t="n">
        <x:f>'Cumulative'!E394</x:f>
        <x:v>0</x:v>
      </x:c>
      <x:c r="G423" s="11" t="str">
        <x:f>'Cumulative'!A394</x:f>
        <x:v>393</x:v>
      </x:c>
      <x:c r="H423" s="11" t="str">
        <x:f>'Cumulative'!C394</x:f>
        <x:v>-30.95637910664539</x:v>
      </x:c>
      <x:c r="I423" s="87"/>
      <x:c r="J423" s="87"/>
      <x:c r="K423" s="87"/>
      <x:c r="L423" s="87"/>
    </x:row>
    <x:row r="424">
      <x:c r="A424" s="11" t="str">
        <x:f>'Cumulative'!A395</x:f>
        <x:v>394</x:v>
      </x:c>
      <x:c r="B424" s="11" t="str">
        <x:f>'Cumulative'!B395</x:f>
      </x:c>
      <x:c r="C424" s="11" t="str">
        <x:f>'Cumulative'!C395</x:f>
        <x:v>-31.98665679493582</x:v>
      </x:c>
      <x:c r="D424" s="11" t="n">
        <x:f>'Cumulative'!D395</x:f>
        <x:v>0</x:v>
      </x:c>
      <x:c r="E424" s="11" t="n">
        <x:f>'Cumulative'!E395</x:f>
        <x:v>0</x:v>
      </x:c>
      <x:c r="G424" s="11" t="str">
        <x:f>'Cumulative'!A395</x:f>
        <x:v>394</x:v>
      </x:c>
      <x:c r="H424" s="11" t="str">
        <x:f>'Cumulative'!C395</x:f>
        <x:v>-31.98665679493582</x:v>
      </x:c>
      <x:c r="I424" s="87"/>
      <x:c r="J424" s="87"/>
      <x:c r="K424" s="87"/>
      <x:c r="L424" s="87"/>
    </x:row>
    <x:row r="425">
      <x:c r="A425" s="11" t="str">
        <x:f>'Cumulative'!A396</x:f>
        <x:v>395</x:v>
      </x:c>
      <x:c r="B425" s="11" t="str">
        <x:f>'Cumulative'!B396</x:f>
      </x:c>
      <x:c r="C425" s="11" t="str">
        <x:f>'Cumulative'!C396</x:f>
        <x:v>-31.550790824292807</x:v>
      </x:c>
      <x:c r="D425" s="11" t="n">
        <x:f>'Cumulative'!D396</x:f>
        <x:v>0</x:v>
      </x:c>
      <x:c r="E425" s="11" t="n">
        <x:f>'Cumulative'!E396</x:f>
        <x:v>0</x:v>
      </x:c>
      <x:c r="G425" s="11" t="str">
        <x:f>'Cumulative'!A396</x:f>
        <x:v>395</x:v>
      </x:c>
      <x:c r="H425" s="11" t="str">
        <x:f>'Cumulative'!C396</x:f>
        <x:v>-31.550790824292807</x:v>
      </x:c>
      <x:c r="I425" s="87"/>
      <x:c r="J425" s="87"/>
      <x:c r="K425" s="87"/>
      <x:c r="L425" s="87"/>
    </x:row>
    <x:row r="426">
      <x:c r="A426" s="11" t="str">
        <x:f>'Cumulative'!A397</x:f>
        <x:v>396</x:v>
      </x:c>
      <x:c r="B426" s="11" t="str">
        <x:f>'Cumulative'!B397</x:f>
      </x:c>
      <x:c r="C426" s="11" t="str">
        <x:f>'Cumulative'!C397</x:f>
        <x:v>-32.59669260237462</x:v>
      </x:c>
      <x:c r="D426" s="11" t="n">
        <x:f>'Cumulative'!D397</x:f>
        <x:v>0</x:v>
      </x:c>
      <x:c r="E426" s="11" t="n">
        <x:f>'Cumulative'!E397</x:f>
        <x:v>0</x:v>
      </x:c>
      <x:c r="G426" s="11" t="str">
        <x:f>'Cumulative'!A397</x:f>
        <x:v>396</x:v>
      </x:c>
      <x:c r="H426" s="11" t="str">
        <x:f>'Cumulative'!C397</x:f>
        <x:v>-32.59669260237462</x:v>
      </x:c>
      <x:c r="I426" s="87"/>
      <x:c r="J426" s="87"/>
      <x:c r="K426" s="87"/>
      <x:c r="L426" s="87"/>
    </x:row>
    <x:row r="427">
      <x:c r="A427" s="11" t="str">
        <x:f>'Cumulative'!A398</x:f>
        <x:v>397</x:v>
      </x:c>
      <x:c r="B427" s="11" t="str">
        <x:f>'Cumulative'!B398</x:f>
      </x:c>
      <x:c r="C427" s="11" t="str">
        <x:f>'Cumulative'!C398</x:f>
        <x:v>-32.3853246668424</x:v>
      </x:c>
      <x:c r="D427" s="11" t="n">
        <x:f>'Cumulative'!D398</x:f>
        <x:v>0</x:v>
      </x:c>
      <x:c r="E427" s="11" t="n">
        <x:f>'Cumulative'!E398</x:f>
        <x:v>0</x:v>
      </x:c>
      <x:c r="G427" s="11" t="str">
        <x:f>'Cumulative'!A398</x:f>
        <x:v>397</x:v>
      </x:c>
      <x:c r="H427" s="11" t="str">
        <x:f>'Cumulative'!C398</x:f>
        <x:v>-32.3853246668424</x:v>
      </x:c>
      <x:c r="I427" s="87"/>
      <x:c r="J427" s="87"/>
      <x:c r="K427" s="87"/>
      <x:c r="L427" s="87"/>
    </x:row>
    <x:row r="428">
      <x:c r="A428" s="11" t="str">
        <x:f>'Cumulative'!A399</x:f>
        <x:v>398</x:v>
      </x:c>
      <x:c r="B428" s="11" t="str">
        <x:f>'Cumulative'!B399</x:f>
      </x:c>
      <x:c r="C428" s="11" t="str">
        <x:f>'Cumulative'!C399</x:f>
        <x:v>-31.937920893324183</x:v>
      </x:c>
      <x:c r="D428" s="11" t="n">
        <x:f>'Cumulative'!D399</x:f>
        <x:v>0</x:v>
      </x:c>
      <x:c r="E428" s="11" t="n">
        <x:f>'Cumulative'!E399</x:f>
        <x:v>0</x:v>
      </x:c>
      <x:c r="G428" s="11" t="str">
        <x:f>'Cumulative'!A399</x:f>
        <x:v>398</x:v>
      </x:c>
      <x:c r="H428" s="11" t="str">
        <x:f>'Cumulative'!C399</x:f>
        <x:v>-31.937920893324183</x:v>
      </x:c>
      <x:c r="I428" s="87"/>
      <x:c r="J428" s="87"/>
      <x:c r="K428" s="87"/>
      <x:c r="L428" s="87"/>
    </x:row>
    <x:row r="429">
      <x:c r="A429" s="11" t="str">
        <x:f>'Cumulative'!A400</x:f>
        <x:v>399</x:v>
      </x:c>
      <x:c r="B429" s="11" t="str">
        <x:f>'Cumulative'!B400</x:f>
      </x:c>
      <x:c r="C429" s="11" t="str">
        <x:f>'Cumulative'!C400</x:f>
        <x:v>-32.95450264941187</x:v>
      </x:c>
      <x:c r="D429" s="11" t="n">
        <x:f>'Cumulative'!D400</x:f>
        <x:v>0</x:v>
      </x:c>
      <x:c r="E429" s="11" t="n">
        <x:f>'Cumulative'!E400</x:f>
        <x:v>0</x:v>
      </x:c>
      <x:c r="G429" s="11" t="str">
        <x:f>'Cumulative'!A400</x:f>
        <x:v>399</x:v>
      </x:c>
      <x:c r="H429" s="11" t="str">
        <x:f>'Cumulative'!C400</x:f>
        <x:v>-32.95450264941187</x:v>
      </x:c>
      <x:c r="I429" s="87"/>
      <x:c r="J429" s="87"/>
      <x:c r="K429" s="87"/>
      <x:c r="L429" s="87"/>
    </x:row>
    <x:row r="430">
      <x:c r="A430" s="11" t="str">
        <x:f>'Cumulative'!A401</x:f>
        <x:v>400</x:v>
      </x:c>
      <x:c r="B430" s="11" t="str">
        <x:f>'Cumulative'!B401</x:f>
      </x:c>
      <x:c r="C430" s="11" t="str">
        <x:f>'Cumulative'!C401</x:f>
        <x:v>-33.97920050335448</x:v>
      </x:c>
      <x:c r="D430" s="11" t="n">
        <x:f>'Cumulative'!D401</x:f>
        <x:v>0</x:v>
      </x:c>
      <x:c r="E430" s="11" t="n">
        <x:f>'Cumulative'!E401</x:f>
        <x:v>0</x:v>
      </x:c>
      <x:c r="G430" s="11" t="str">
        <x:f>'Cumulative'!A401</x:f>
        <x:v>400</x:v>
      </x:c>
      <x:c r="H430" s="11" t="str">
        <x:f>'Cumulative'!C401</x:f>
        <x:v>-33.97920050335448</x:v>
      </x:c>
      <x:c r="I430" s="87"/>
      <x:c r="J430" s="87"/>
      <x:c r="K430" s="87"/>
      <x:c r="L430" s="87"/>
    </x:row>
    <x:row r="431">
      <x:c r="A431" s="11" t="str">
        <x:f>'Cumulative'!A402</x:f>
        <x:v>401</x:v>
      </x:c>
      <x:c r="B431" s="11" t="str">
        <x:f>'Cumulative'!B402</x:f>
      </x:c>
      <x:c r="C431" s="11" t="str">
        <x:f>'Cumulative'!C402</x:f>
        <x:v>-34.147267851101844</x:v>
      </x:c>
      <x:c r="D431" s="11" t="n">
        <x:f>'Cumulative'!D402</x:f>
        <x:v>0</x:v>
      </x:c>
      <x:c r="E431" s="11" t="n">
        <x:f>'Cumulative'!E402</x:f>
        <x:v>0</x:v>
      </x:c>
      <x:c r="G431" s="11" t="str">
        <x:f>'Cumulative'!A402</x:f>
        <x:v>401</x:v>
      </x:c>
      <x:c r="H431" s="11" t="str">
        <x:f>'Cumulative'!C402</x:f>
        <x:v>-34.147267851101844</x:v>
      </x:c>
      <x:c r="I431" s="87"/>
      <x:c r="J431" s="87"/>
      <x:c r="K431" s="87"/>
      <x:c r="L431" s="87"/>
    </x:row>
    <x:row r="432">
      <x:c r="A432" s="11" t="str">
        <x:f>'Cumulative'!A403</x:f>
        <x:v>402</x:v>
      </x:c>
      <x:c r="B432" s="11" t="str">
        <x:f>'Cumulative'!B403</x:f>
      </x:c>
      <x:c r="C432" s="11" t="str">
        <x:f>'Cumulative'!C403</x:f>
        <x:v>-33.91113130238132</x:v>
      </x:c>
      <x:c r="D432" s="11" t="n">
        <x:f>'Cumulative'!D403</x:f>
        <x:v>0</x:v>
      </x:c>
      <x:c r="E432" s="11" t="n">
        <x:f>'Cumulative'!E403</x:f>
        <x:v>0</x:v>
      </x:c>
      <x:c r="G432" s="11" t="str">
        <x:f>'Cumulative'!A403</x:f>
        <x:v>402</x:v>
      </x:c>
      <x:c r="H432" s="11" t="str">
        <x:f>'Cumulative'!C403</x:f>
        <x:v>-33.91113130238132</x:v>
      </x:c>
      <x:c r="I432" s="87"/>
      <x:c r="J432" s="87"/>
      <x:c r="K432" s="87"/>
      <x:c r="L432" s="87"/>
    </x:row>
    <x:row r="433">
      <x:c r="A433" s="11" t="str">
        <x:f>'Cumulative'!A404</x:f>
        <x:v>403</x:v>
      </x:c>
      <x:c r="B433" s="11" t="str">
        <x:f>'Cumulative'!B404</x:f>
      </x:c>
      <x:c r="C433" s="11" t="str">
        <x:f>'Cumulative'!C404</x:f>
        <x:v>-33.522025019744106</x:v>
      </x:c>
      <x:c r="D433" s="11" t="n">
        <x:f>'Cumulative'!D404</x:f>
        <x:v>0</x:v>
      </x:c>
      <x:c r="E433" s="11" t="n">
        <x:f>'Cumulative'!E404</x:f>
        <x:v>0</x:v>
      </x:c>
      <x:c r="G433" s="11" t="str">
        <x:f>'Cumulative'!A404</x:f>
        <x:v>403</x:v>
      </x:c>
      <x:c r="H433" s="11" t="str">
        <x:f>'Cumulative'!C404</x:f>
        <x:v>-33.522025019744106</x:v>
      </x:c>
      <x:c r="I433" s="87"/>
      <x:c r="J433" s="87"/>
      <x:c r="K433" s="87"/>
      <x:c r="L433" s="87"/>
    </x:row>
    <x:row r="434">
      <x:c r="A434" s="11" t="str">
        <x:f>'Cumulative'!A405</x:f>
        <x:v>404</x:v>
      </x:c>
      <x:c r="B434" s="11" t="str">
        <x:f>'Cumulative'!B405</x:f>
      </x:c>
      <x:c r="C434" s="11" t="str">
        <x:f>'Cumulative'!C405</x:f>
        <x:v>-34.5385244229556</x:v>
      </x:c>
      <x:c r="D434" s="11" t="n">
        <x:f>'Cumulative'!D405</x:f>
        <x:v>0</x:v>
      </x:c>
      <x:c r="E434" s="11" t="n">
        <x:f>'Cumulative'!E405</x:f>
        <x:v>0</x:v>
      </x:c>
      <x:c r="G434" s="11" t="str">
        <x:f>'Cumulative'!A405</x:f>
        <x:v>404</x:v>
      </x:c>
      <x:c r="H434" s="11" t="str">
        <x:f>'Cumulative'!C405</x:f>
        <x:v>-34.5385244229556</x:v>
      </x:c>
      <x:c r="I434" s="87"/>
      <x:c r="J434" s="87"/>
      <x:c r="K434" s="87"/>
      <x:c r="L434" s="87"/>
    </x:row>
    <x:row r="435">
      <x:c r="A435" s="11" t="str">
        <x:f>'Cumulative'!A406</x:f>
        <x:v>405</x:v>
      </x:c>
      <x:c r="B435" s="11" t="str">
        <x:f>'Cumulative'!B406</x:f>
      </x:c>
      <x:c r="C435" s="11" t="str">
        <x:f>'Cumulative'!C406</x:f>
        <x:v>-33.271230707395134</x:v>
      </x:c>
      <x:c r="D435" s="11" t="n">
        <x:f>'Cumulative'!D406</x:f>
        <x:v>0</x:v>
      </x:c>
      <x:c r="E435" s="11" t="n">
        <x:f>'Cumulative'!E406</x:f>
        <x:v>0</x:v>
      </x:c>
      <x:c r="G435" s="11" t="str">
        <x:f>'Cumulative'!A406</x:f>
        <x:v>405</x:v>
      </x:c>
      <x:c r="H435" s="11" t="str">
        <x:f>'Cumulative'!C406</x:f>
        <x:v>-33.271230707395134</x:v>
      </x:c>
      <x:c r="I435" s="87"/>
      <x:c r="J435" s="87"/>
      <x:c r="K435" s="87"/>
      <x:c r="L435" s="87"/>
    </x:row>
    <x:row r="436">
      <x:c r="A436" s="11" t="str">
        <x:f>'Cumulative'!A407</x:f>
        <x:v>406</x:v>
      </x:c>
      <x:c r="B436" s="11" t="str">
        <x:f>'Cumulative'!B407</x:f>
      </x:c>
      <x:c r="C436" s="11" t="str">
        <x:f>'Cumulative'!C407</x:f>
        <x:v>-34.29567667062747</x:v>
      </x:c>
      <x:c r="D436" s="11" t="n">
        <x:f>'Cumulative'!D407</x:f>
        <x:v>0</x:v>
      </x:c>
      <x:c r="E436" s="11" t="n">
        <x:f>'Cumulative'!E407</x:f>
        <x:v>0</x:v>
      </x:c>
      <x:c r="G436" s="11" t="str">
        <x:f>'Cumulative'!A407</x:f>
        <x:v>406</x:v>
      </x:c>
      <x:c r="H436" s="11" t="str">
        <x:f>'Cumulative'!C407</x:f>
        <x:v>-34.29567667062747</x:v>
      </x:c>
      <x:c r="I436" s="87"/>
      <x:c r="J436" s="87"/>
      <x:c r="K436" s="87"/>
      <x:c r="L436" s="87"/>
    </x:row>
    <x:row r="437">
      <x:c r="A437" s="11" t="str">
        <x:f>'Cumulative'!A408</x:f>
        <x:v>407</x:v>
      </x:c>
      <x:c r="B437" s="11" t="str">
        <x:f>'Cumulative'!B408</x:f>
      </x:c>
      <x:c r="C437" s="11" t="str">
        <x:f>'Cumulative'!C408</x:f>
        <x:v>-32.31425586826382</x:v>
      </x:c>
      <x:c r="D437" s="11" t="n">
        <x:f>'Cumulative'!D408</x:f>
        <x:v>0</x:v>
      </x:c>
      <x:c r="E437" s="11" t="n">
        <x:f>'Cumulative'!E408</x:f>
        <x:v>0</x:v>
      </x:c>
      <x:c r="G437" s="11" t="str">
        <x:f>'Cumulative'!A408</x:f>
        <x:v>407</x:v>
      </x:c>
      <x:c r="H437" s="11" t="str">
        <x:f>'Cumulative'!C408</x:f>
        <x:v>-32.31425586826382</x:v>
      </x:c>
      <x:c r="I437" s="87"/>
      <x:c r="J437" s="87"/>
      <x:c r="K437" s="87"/>
      <x:c r="L437" s="87"/>
    </x:row>
    <x:row r="438">
      <x:c r="A438" s="11" t="str">
        <x:f>'Cumulative'!A409</x:f>
        <x:v>408</x:v>
      </x:c>
      <x:c r="B438" s="11" t="str">
        <x:f>'Cumulative'!B409</x:f>
      </x:c>
      <x:c r="C438" s="11" t="str">
        <x:f>'Cumulative'!C409</x:f>
        <x:v>-32.08736851213417</x:v>
      </x:c>
      <x:c r="D438" s="11" t="n">
        <x:f>'Cumulative'!D409</x:f>
        <x:v>0</x:v>
      </x:c>
      <x:c r="E438" s="11" t="n">
        <x:f>'Cumulative'!E409</x:f>
        <x:v>0</x:v>
      </x:c>
      <x:c r="G438" s="11" t="str">
        <x:f>'Cumulative'!A409</x:f>
        <x:v>408</x:v>
      </x:c>
      <x:c r="H438" s="11" t="str">
        <x:f>'Cumulative'!C409</x:f>
        <x:v>-32.08736851213417</x:v>
      </x:c>
      <x:c r="I438" s="87"/>
      <x:c r="J438" s="87"/>
      <x:c r="K438" s="87"/>
      <x:c r="L438" s="87"/>
    </x:row>
    <x:row r="439">
      <x:c r="A439" s="11" t="str">
        <x:f>'Cumulative'!A410</x:f>
        <x:v>409</x:v>
      </x:c>
      <x:c r="B439" s="11" t="str">
        <x:f>'Cumulative'!B410</x:f>
      </x:c>
      <x:c r="C439" s="11" t="str">
        <x:f>'Cumulative'!C410</x:f>
        <x:v>-31.609655423193217</x:v>
      </x:c>
      <x:c r="D439" s="11" t="n">
        <x:f>'Cumulative'!D410</x:f>
        <x:v>0</x:v>
      </x:c>
      <x:c r="E439" s="11" t="n">
        <x:f>'Cumulative'!E410</x:f>
        <x:v>0</x:v>
      </x:c>
      <x:c r="G439" s="11" t="str">
        <x:f>'Cumulative'!A410</x:f>
        <x:v>409</x:v>
      </x:c>
      <x:c r="H439" s="11" t="str">
        <x:f>'Cumulative'!C410</x:f>
        <x:v>-31.609655423193217</x:v>
      </x:c>
      <x:c r="I439" s="87"/>
      <x:c r="J439" s="87"/>
      <x:c r="K439" s="87"/>
      <x:c r="L439" s="87"/>
    </x:row>
    <x:row r="440">
      <x:c r="A440" s="11" t="str">
        <x:f>'Cumulative'!A411</x:f>
        <x:v>410</x:v>
      </x:c>
      <x:c r="B440" s="11" t="str">
        <x:f>'Cumulative'!B411</x:f>
      </x:c>
      <x:c r="C440" s="11" t="str">
        <x:f>'Cumulative'!C411</x:f>
        <x:v>-29.64794018285943</x:v>
      </x:c>
      <x:c r="D440" s="11" t="n">
        <x:f>'Cumulative'!D411</x:f>
        <x:v>0</x:v>
      </x:c>
      <x:c r="E440" s="11" t="n">
        <x:f>'Cumulative'!E411</x:f>
        <x:v>0</x:v>
      </x:c>
      <x:c r="G440" s="11" t="str">
        <x:f>'Cumulative'!A411</x:f>
        <x:v>410</x:v>
      </x:c>
      <x:c r="H440" s="11" t="str">
        <x:f>'Cumulative'!C411</x:f>
        <x:v>-29.64794018285943</x:v>
      </x:c>
      <x:c r="I440" s="87"/>
      <x:c r="J440" s="87"/>
      <x:c r="K440" s="87"/>
      <x:c r="L440" s="87"/>
    </x:row>
    <x:row r="441">
      <x:c r="A441" s="11" t="str">
        <x:f>'Cumulative'!A412</x:f>
        <x:v>411</x:v>
      </x:c>
      <x:c r="B441" s="11" t="str">
        <x:f>'Cumulative'!B412</x:f>
      </x:c>
      <x:c r="C441" s="11" t="str">
        <x:f>'Cumulative'!C412</x:f>
        <x:v>-30.71784938599725</x:v>
      </x:c>
      <x:c r="D441" s="11" t="n">
        <x:f>'Cumulative'!D412</x:f>
        <x:v>0</x:v>
      </x:c>
      <x:c r="E441" s="11" t="n">
        <x:f>'Cumulative'!E412</x:f>
        <x:v>0</x:v>
      </x:c>
      <x:c r="G441" s="11" t="str">
        <x:f>'Cumulative'!A412</x:f>
        <x:v>411</x:v>
      </x:c>
      <x:c r="H441" s="11" t="str">
        <x:f>'Cumulative'!C412</x:f>
        <x:v>-30.71784938599725</x:v>
      </x:c>
      <x:c r="I441" s="87"/>
      <x:c r="J441" s="87"/>
      <x:c r="K441" s="87"/>
      <x:c r="L441" s="87"/>
    </x:row>
    <x:row r="442">
      <x:c r="A442" s="11" t="str">
        <x:f>'Cumulative'!A413</x:f>
        <x:v>412</x:v>
      </x:c>
      <x:c r="B442" s="11" t="str">
        <x:f>'Cumulative'!B413</x:f>
      </x:c>
      <x:c r="C442" s="11" t="str">
        <x:f>'Cumulative'!C413</x:f>
        <x:v>-28.776351758648754</x:v>
      </x:c>
      <x:c r="D442" s="11" t="n">
        <x:f>'Cumulative'!D413</x:f>
        <x:v>0</x:v>
      </x:c>
      <x:c r="E442" s="11" t="n">
        <x:f>'Cumulative'!E413</x:f>
        <x:v>0</x:v>
      </x:c>
      <x:c r="G442" s="11" t="str">
        <x:f>'Cumulative'!A413</x:f>
        <x:v>412</x:v>
      </x:c>
      <x:c r="H442" s="11" t="str">
        <x:f>'Cumulative'!C413</x:f>
        <x:v>-28.776351758648754</x:v>
      </x:c>
      <x:c r="I442" s="87"/>
      <x:c r="J442" s="87"/>
      <x:c r="K442" s="87"/>
      <x:c r="L442" s="87"/>
    </x:row>
    <x:row r="443">
      <x:c r="A443" s="11" t="str">
        <x:f>'Cumulative'!A414</x:f>
        <x:v>413</x:v>
      </x:c>
      <x:c r="B443" s="11" t="str">
        <x:f>'Cumulative'!B414</x:f>
      </x:c>
      <x:c r="C443" s="11" t="str">
        <x:f>'Cumulative'!C414</x:f>
        <x:v>-28.338427097290264</x:v>
      </x:c>
      <x:c r="D443" s="11" t="n">
        <x:f>'Cumulative'!D414</x:f>
        <x:v>0</x:v>
      </x:c>
      <x:c r="E443" s="11" t="n">
        <x:f>'Cumulative'!E414</x:f>
        <x:v>0</x:v>
      </x:c>
      <x:c r="G443" s="11" t="str">
        <x:f>'Cumulative'!A414</x:f>
        <x:v>413</x:v>
      </x:c>
      <x:c r="H443" s="11" t="str">
        <x:f>'Cumulative'!C414</x:f>
        <x:v>-28.338427097290264</x:v>
      </x:c>
      <x:c r="I443" s="87"/>
      <x:c r="J443" s="87"/>
      <x:c r="K443" s="87"/>
      <x:c r="L443" s="87"/>
    </x:row>
    <x:row r="444">
      <x:c r="A444" s="11" t="str">
        <x:f>'Cumulative'!A415</x:f>
        <x:v>414</x:v>
      </x:c>
      <x:c r="B444" s="11" t="str">
        <x:f>'Cumulative'!B415</x:f>
      </x:c>
      <x:c r="C444" s="11" t="str">
        <x:f>'Cumulative'!C415</x:f>
        <x:v>-26.357721467858422</x:v>
      </x:c>
      <x:c r="D444" s="11" t="n">
        <x:f>'Cumulative'!D415</x:f>
        <x:v>0</x:v>
      </x:c>
      <x:c r="E444" s="11" t="n">
        <x:f>'Cumulative'!E415</x:f>
        <x:v>0</x:v>
      </x:c>
      <x:c r="G444" s="11" t="str">
        <x:f>'Cumulative'!A415</x:f>
        <x:v>414</x:v>
      </x:c>
      <x:c r="H444" s="11" t="str">
        <x:f>'Cumulative'!C415</x:f>
        <x:v>-26.357721467858422</x:v>
      </x:c>
      <x:c r="I444" s="87"/>
      <x:c r="J444" s="87"/>
      <x:c r="K444" s="87"/>
      <x:c r="L444" s="87"/>
    </x:row>
    <x:row r="445">
      <x:c r="A445" s="11" t="str">
        <x:f>'Cumulative'!A416</x:f>
        <x:v>415</x:v>
      </x:c>
      <x:c r="B445" s="11" t="str">
        <x:f>'Cumulative'!B416</x:f>
      </x:c>
      <x:c r="C445" s="11" t="str">
        <x:f>'Cumulative'!C416</x:f>
        <x:v>-27.39544131425179</x:v>
      </x:c>
      <x:c r="D445" s="11" t="n">
        <x:f>'Cumulative'!D416</x:f>
        <x:v>0</x:v>
      </x:c>
      <x:c r="E445" s="11" t="n">
        <x:f>'Cumulative'!E416</x:f>
        <x:v>0</x:v>
      </x:c>
      <x:c r="G445" s="11" t="str">
        <x:f>'Cumulative'!A416</x:f>
        <x:v>415</x:v>
      </x:c>
      <x:c r="H445" s="11" t="str">
        <x:f>'Cumulative'!C416</x:f>
        <x:v>-27.39544131425179</x:v>
      </x:c>
      <x:c r="I445" s="87"/>
      <x:c r="J445" s="87"/>
      <x:c r="K445" s="87"/>
      <x:c r="L445" s="87"/>
    </x:row>
    <x:row r="446">
      <x:c r="A446" s="11" t="str">
        <x:f>'Cumulative'!A417</x:f>
        <x:v>416</x:v>
      </x:c>
      <x:c r="B446" s="11" t="str">
        <x:f>'Cumulative'!B417</x:f>
      </x:c>
      <x:c r="C446" s="11" t="str">
        <x:f>'Cumulative'!C417</x:f>
        <x:v>-26.729526296488384</x:v>
      </x:c>
      <x:c r="D446" s="11" t="n">
        <x:f>'Cumulative'!D417</x:f>
        <x:v>0</x:v>
      </x:c>
      <x:c r="E446" s="11" t="n">
        <x:f>'Cumulative'!E417</x:f>
        <x:v>0</x:v>
      </x:c>
      <x:c r="G446" s="11" t="str">
        <x:f>'Cumulative'!A417</x:f>
        <x:v>416</x:v>
      </x:c>
      <x:c r="H446" s="11" t="str">
        <x:f>'Cumulative'!C417</x:f>
        <x:v>-26.729526296488384</x:v>
      </x:c>
      <x:c r="I446" s="87"/>
      <x:c r="J446" s="87"/>
      <x:c r="K446" s="87"/>
      <x:c r="L446" s="87"/>
    </x:row>
    <x:row r="447">
      <x:c r="A447" s="11" t="str">
        <x:f>'Cumulative'!A418</x:f>
        <x:v>417</x:v>
      </x:c>
      <x:c r="B447" s="11" t="str">
        <x:f>'Cumulative'!B418</x:f>
      </x:c>
      <x:c r="C447" s="11" t="str">
        <x:f>'Cumulative'!C418</x:f>
        <x:v>-26.964847189957517</x:v>
      </x:c>
      <x:c r="D447" s="11" t="n">
        <x:f>'Cumulative'!D418</x:f>
        <x:v>0</x:v>
      </x:c>
      <x:c r="E447" s="11" t="n">
        <x:f>'Cumulative'!E418</x:f>
        <x:v>0</x:v>
      </x:c>
      <x:c r="G447" s="11" t="str">
        <x:f>'Cumulative'!A418</x:f>
        <x:v>417</x:v>
      </x:c>
      <x:c r="H447" s="11" t="str">
        <x:f>'Cumulative'!C418</x:f>
        <x:v>-26.964847189957517</x:v>
      </x:c>
      <x:c r="I447" s="87"/>
      <x:c r="J447" s="87"/>
      <x:c r="K447" s="87"/>
      <x:c r="L447" s="87"/>
    </x:row>
    <x:row r="448">
      <x:c r="A448" s="11" t="str">
        <x:f>'Cumulative'!A419</x:f>
        <x:v>418</x:v>
      </x:c>
      <x:c r="B448" s="11" t="str">
        <x:f>'Cumulative'!B419</x:f>
      </x:c>
      <x:c r="C448" s="11" t="str">
        <x:f>'Cumulative'!C419</x:f>
        <x:v>-27.998325038764865</x:v>
      </x:c>
      <x:c r="D448" s="11" t="n">
        <x:f>'Cumulative'!D419</x:f>
        <x:v>0</x:v>
      </x:c>
      <x:c r="E448" s="11" t="n">
        <x:f>'Cumulative'!E419</x:f>
        <x:v>0</x:v>
      </x:c>
      <x:c r="G448" s="11" t="str">
        <x:f>'Cumulative'!A419</x:f>
        <x:v>418</x:v>
      </x:c>
      <x:c r="H448" s="11" t="str">
        <x:f>'Cumulative'!C419</x:f>
        <x:v>-27.998325038764865</x:v>
      </x:c>
      <x:c r="I448" s="87"/>
      <x:c r="J448" s="87"/>
      <x:c r="K448" s="87"/>
      <x:c r="L448" s="87"/>
    </x:row>
    <x:row r="449">
      <x:c r="A449" s="11" t="str">
        <x:f>'Cumulative'!A420</x:f>
        <x:v>419</x:v>
      </x:c>
      <x:c r="B449" s="11" t="str">
        <x:f>'Cumulative'!B420</x:f>
      </x:c>
      <x:c r="C449" s="11" t="str">
        <x:f>'Cumulative'!C420</x:f>
        <x:v>-28.155641661441635</x:v>
      </x:c>
      <x:c r="D449" s="11" t="n">
        <x:f>'Cumulative'!D420</x:f>
        <x:v>0</x:v>
      </x:c>
      <x:c r="E449" s="11" t="n">
        <x:f>'Cumulative'!E420</x:f>
        <x:v>0</x:v>
      </x:c>
      <x:c r="G449" s="11" t="str">
        <x:f>'Cumulative'!A420</x:f>
        <x:v>419</x:v>
      </x:c>
      <x:c r="H449" s="11" t="str">
        <x:f>'Cumulative'!C420</x:f>
        <x:v>-28.155641661441635</x:v>
      </x:c>
      <x:c r="I449" s="87"/>
      <x:c r="J449" s="87"/>
      <x:c r="K449" s="87"/>
      <x:c r="L449" s="87"/>
    </x:row>
    <x:row r="450">
      <x:c r="A450" s="11" t="str">
        <x:f>'Cumulative'!A421</x:f>
        <x:v>420</x:v>
      </x:c>
      <x:c r="B450" s="11" t="str">
        <x:f>'Cumulative'!B421</x:f>
      </x:c>
      <x:c r="C450" s="11" t="str">
        <x:f>'Cumulative'!C421</x:f>
        <x:v>-26.202764658200696</x:v>
      </x:c>
      <x:c r="D450" s="11" t="n">
        <x:f>'Cumulative'!D421</x:f>
        <x:v>0</x:v>
      </x:c>
      <x:c r="E450" s="11" t="n">
        <x:f>'Cumulative'!E421</x:f>
        <x:v>0</x:v>
      </x:c>
      <x:c r="G450" s="11" t="str">
        <x:f>'Cumulative'!A421</x:f>
        <x:v>420</x:v>
      </x:c>
      <x:c r="H450" s="11" t="str">
        <x:f>'Cumulative'!C421</x:f>
        <x:v>-26.202764658200696</x:v>
      </x:c>
      <x:c r="I450" s="87"/>
      <x:c r="J450" s="87"/>
      <x:c r="K450" s="87"/>
      <x:c r="L450" s="87"/>
    </x:row>
    <x:row r="451">
      <x:c r="A451" s="11" t="str">
        <x:f>'Cumulative'!A422</x:f>
        <x:v>421</x:v>
      </x:c>
      <x:c r="B451" s="11" t="str">
        <x:f>'Cumulative'!B422</x:f>
      </x:c>
      <x:c r="C451" s="11" t="str">
        <x:f>'Cumulative'!C422</x:f>
        <x:v>-26.344092573323394</x:v>
      </x:c>
      <x:c r="D451" s="11" t="n">
        <x:f>'Cumulative'!D422</x:f>
        <x:v>0</x:v>
      </x:c>
      <x:c r="E451" s="11" t="n">
        <x:f>'Cumulative'!E422</x:f>
        <x:v>0</x:v>
      </x:c>
      <x:c r="G451" s="11" t="str">
        <x:f>'Cumulative'!A422</x:f>
        <x:v>421</x:v>
      </x:c>
      <x:c r="H451" s="11" t="str">
        <x:f>'Cumulative'!C422</x:f>
        <x:v>-26.344092573323394</x:v>
      </x:c>
      <x:c r="I451" s="87"/>
      <x:c r="J451" s="87"/>
      <x:c r="K451" s="87"/>
      <x:c r="L451" s="87"/>
    </x:row>
    <x:row r="452">
      <x:c r="A452" s="11" t="str">
        <x:f>'Cumulative'!A423</x:f>
        <x:v>422</x:v>
      </x:c>
      <x:c r="B452" s="11" t="str">
        <x:f>'Cumulative'!B423</x:f>
      </x:c>
      <x:c r="C452" s="11" t="str">
        <x:f>'Cumulative'!C423</x:f>
        <x:v>-27.421700707067085</x:v>
      </x:c>
      <x:c r="D452" s="11" t="n">
        <x:f>'Cumulative'!D423</x:f>
        <x:v>0</x:v>
      </x:c>
      <x:c r="E452" s="11" t="n">
        <x:f>'Cumulative'!E423</x:f>
        <x:v>0</x:v>
      </x:c>
      <x:c r="G452" s="11" t="str">
        <x:f>'Cumulative'!A423</x:f>
        <x:v>422</x:v>
      </x:c>
      <x:c r="H452" s="11" t="str">
        <x:f>'Cumulative'!C423</x:f>
        <x:v>-27.421700707067085</x:v>
      </x:c>
      <x:c r="I452" s="87"/>
      <x:c r="J452" s="87"/>
      <x:c r="K452" s="87"/>
      <x:c r="L452" s="87"/>
    </x:row>
    <x:row r="453">
      <x:c r="A453" s="11" t="str">
        <x:f>'Cumulative'!A424</x:f>
        <x:v>423</x:v>
      </x:c>
      <x:c r="B453" s="11" t="str">
        <x:f>'Cumulative'!B424</x:f>
      </x:c>
      <x:c r="C453" s="11" t="str">
        <x:f>'Cumulative'!C424</x:f>
        <x:v>-26.604249037020473</x:v>
      </x:c>
      <x:c r="D453" s="11" t="n">
        <x:f>'Cumulative'!D424</x:f>
        <x:v>0</x:v>
      </x:c>
      <x:c r="E453" s="11" t="n">
        <x:f>'Cumulative'!E424</x:f>
        <x:v>0</x:v>
      </x:c>
      <x:c r="G453" s="11" t="str">
        <x:f>'Cumulative'!A424</x:f>
        <x:v>423</x:v>
      </x:c>
      <x:c r="H453" s="11" t="str">
        <x:f>'Cumulative'!C424</x:f>
        <x:v>-26.604249037020473</x:v>
      </x:c>
      <x:c r="I453" s="87"/>
      <x:c r="J453" s="87"/>
      <x:c r="K453" s="87"/>
      <x:c r="L453" s="87"/>
    </x:row>
    <x:row r="454">
      <x:c r="A454" s="11" t="str">
        <x:f>'Cumulative'!A425</x:f>
        <x:v>424</x:v>
      </x:c>
      <x:c r="B454" s="11" t="str">
        <x:f>'Cumulative'!B425</x:f>
      </x:c>
      <x:c r="C454" s="11" t="str">
        <x:f>'Cumulative'!C425</x:f>
        <x:v>-26.775716169462896</x:v>
      </x:c>
      <x:c r="D454" s="11" t="n">
        <x:f>'Cumulative'!D425</x:f>
        <x:v>0</x:v>
      </x:c>
      <x:c r="E454" s="11" t="n">
        <x:f>'Cumulative'!E425</x:f>
        <x:v>0</x:v>
      </x:c>
      <x:c r="G454" s="11" t="str">
        <x:f>'Cumulative'!A425</x:f>
        <x:v>424</x:v>
      </x:c>
      <x:c r="H454" s="11" t="str">
        <x:f>'Cumulative'!C425</x:f>
        <x:v>-26.775716169462896</x:v>
      </x:c>
      <x:c r="I454" s="87"/>
      <x:c r="J454" s="87"/>
      <x:c r="K454" s="87"/>
      <x:c r="L454" s="87"/>
    </x:row>
    <x:row r="455">
      <x:c r="A455" s="11" t="str">
        <x:f>'Cumulative'!A426</x:f>
        <x:v>425</x:v>
      </x:c>
      <x:c r="B455" s="11" t="str">
        <x:f>'Cumulative'!B426</x:f>
      </x:c>
      <x:c r="C455" s="11" t="str">
        <x:f>'Cumulative'!C426</x:f>
        <x:v>-27.80830886018572</x:v>
      </x:c>
      <x:c r="D455" s="11" t="n">
        <x:f>'Cumulative'!D426</x:f>
        <x:v>0</x:v>
      </x:c>
      <x:c r="E455" s="11" t="n">
        <x:f>'Cumulative'!E426</x:f>
        <x:v>0</x:v>
      </x:c>
      <x:c r="G455" s="11" t="str">
        <x:f>'Cumulative'!A426</x:f>
        <x:v>425</x:v>
      </x:c>
      <x:c r="H455" s="11" t="str">
        <x:f>'Cumulative'!C426</x:f>
        <x:v>-27.80830886018572</x:v>
      </x:c>
      <x:c r="I455" s="87"/>
      <x:c r="J455" s="87"/>
      <x:c r="K455" s="87"/>
      <x:c r="L455" s="87"/>
    </x:row>
    <x:row r="456">
      <x:c r="A456" s="11" t="str">
        <x:f>'Cumulative'!A427</x:f>
        <x:v>426</x:v>
      </x:c>
      <x:c r="B456" s="11" t="str">
        <x:f>'Cumulative'!B427</x:f>
      </x:c>
      <x:c r="C456" s="11" t="str">
        <x:f>'Cumulative'!C427</x:f>
        <x:v>-28.848764352253497</x:v>
      </x:c>
      <x:c r="D456" s="11" t="n">
        <x:f>'Cumulative'!D427</x:f>
        <x:v>0</x:v>
      </x:c>
      <x:c r="E456" s="11" t="n">
        <x:f>'Cumulative'!E427</x:f>
        <x:v>0</x:v>
      </x:c>
      <x:c r="G456" s="11" t="str">
        <x:f>'Cumulative'!A427</x:f>
        <x:v>426</x:v>
      </x:c>
      <x:c r="H456" s="11" t="str">
        <x:f>'Cumulative'!C427</x:f>
        <x:v>-28.848764352253497</x:v>
      </x:c>
      <x:c r="I456" s="87"/>
      <x:c r="J456" s="87"/>
      <x:c r="K456" s="87"/>
      <x:c r="L456" s="87"/>
    </x:row>
    <x:row r="457">
      <x:c r="A457" s="11" t="str">
        <x:f>'Cumulative'!A428</x:f>
        <x:v>427</x:v>
      </x:c>
      <x:c r="B457" s="11" t="str">
        <x:f>'Cumulative'!B428</x:f>
      </x:c>
      <x:c r="C457" s="11" t="str">
        <x:f>'Cumulative'!C428</x:f>
        <x:v>-28.6346147795861</x:v>
      </x:c>
      <x:c r="D457" s="11" t="n">
        <x:f>'Cumulative'!D428</x:f>
        <x:v>0</x:v>
      </x:c>
      <x:c r="E457" s="11" t="n">
        <x:f>'Cumulative'!E428</x:f>
        <x:v>0</x:v>
      </x:c>
      <x:c r="G457" s="11" t="str">
        <x:f>'Cumulative'!A428</x:f>
        <x:v>427</x:v>
      </x:c>
      <x:c r="H457" s="11" t="str">
        <x:f>'Cumulative'!C428</x:f>
        <x:v>-28.6346147795861</x:v>
      </x:c>
      <x:c r="I457" s="87"/>
      <x:c r="J457" s="87"/>
      <x:c r="K457" s="87"/>
      <x:c r="L457" s="87"/>
    </x:row>
    <x:row r="458">
      <x:c r="A458" s="11" t="str">
        <x:f>'Cumulative'!A429</x:f>
        <x:v>428</x:v>
      </x:c>
      <x:c r="B458" s="11" t="str">
        <x:f>'Cumulative'!B429</x:f>
      </x:c>
      <x:c r="C458" s="11" t="str">
        <x:f>'Cumulative'!C429</x:f>
        <x:v>-29.6859924843083</x:v>
      </x:c>
      <x:c r="D458" s="11" t="n">
        <x:f>'Cumulative'!D429</x:f>
        <x:v>0</x:v>
      </x:c>
      <x:c r="E458" s="11" t="n">
        <x:f>'Cumulative'!E429</x:f>
        <x:v>0</x:v>
      </x:c>
      <x:c r="G458" s="11" t="str">
        <x:f>'Cumulative'!A429</x:f>
        <x:v>428</x:v>
      </x:c>
      <x:c r="H458" s="11" t="str">
        <x:f>'Cumulative'!C429</x:f>
        <x:v>-29.6859924843083</x:v>
      </x:c>
      <x:c r="I458" s="87"/>
      <x:c r="J458" s="87"/>
      <x:c r="K458" s="87"/>
      <x:c r="L458" s="87"/>
    </x:row>
    <x:row r="459">
      <x:c r="A459" s="11" t="str">
        <x:f>'Cumulative'!A430</x:f>
        <x:v>429</x:v>
      </x:c>
      <x:c r="B459" s="11" t="str">
        <x:f>'Cumulative'!B430</x:f>
      </x:c>
      <x:c r="C459" s="11" t="str">
        <x:f>'Cumulative'!C430</x:f>
        <x:v>-30.707881020880063</x:v>
      </x:c>
      <x:c r="D459" s="11" t="n">
        <x:f>'Cumulative'!D430</x:f>
        <x:v>0</x:v>
      </x:c>
      <x:c r="E459" s="11" t="n">
        <x:f>'Cumulative'!E430</x:f>
        <x:v>0</x:v>
      </x:c>
      <x:c r="G459" s="11" t="str">
        <x:f>'Cumulative'!A430</x:f>
        <x:v>429</x:v>
      </x:c>
      <x:c r="H459" s="11" t="str">
        <x:f>'Cumulative'!C430</x:f>
        <x:v>-30.707881020880063</x:v>
      </x:c>
      <x:c r="I459" s="87"/>
      <x:c r="J459" s="87"/>
      <x:c r="K459" s="87"/>
      <x:c r="L459" s="87"/>
    </x:row>
    <x:row r="460">
      <x:c r="A460" s="11" t="str">
        <x:f>'Cumulative'!A431</x:f>
        <x:v>430</x:v>
      </x:c>
      <x:c r="B460" s="11" t="str">
        <x:f>'Cumulative'!B431</x:f>
      </x:c>
      <x:c r="C460" s="11" t="str">
        <x:f>'Cumulative'!C431</x:f>
        <x:v>-31.755846348248166</x:v>
      </x:c>
      <x:c r="D460" s="11" t="n">
        <x:f>'Cumulative'!D431</x:f>
        <x:v>0</x:v>
      </x:c>
      <x:c r="E460" s="11" t="n">
        <x:f>'Cumulative'!E431</x:f>
        <x:v>0</x:v>
      </x:c>
      <x:c r="G460" s="11" t="str">
        <x:f>'Cumulative'!A431</x:f>
        <x:v>430</x:v>
      </x:c>
      <x:c r="H460" s="11" t="str">
        <x:f>'Cumulative'!C431</x:f>
        <x:v>-31.755846348248166</x:v>
      </x:c>
      <x:c r="I460" s="87"/>
      <x:c r="J460" s="87"/>
      <x:c r="K460" s="87"/>
      <x:c r="L460" s="87"/>
    </x:row>
    <x:row r="461">
      <x:c r="A461" s="11" t="str">
        <x:f>'Cumulative'!A432</x:f>
        <x:v>431</x:v>
      </x:c>
      <x:c r="B461" s="11" t="str">
        <x:f>'Cumulative'!B432</x:f>
      </x:c>
      <x:c r="C461" s="11" t="str">
        <x:f>'Cumulative'!C432</x:f>
        <x:v>-29.80488961804669</x:v>
      </x:c>
      <x:c r="D461" s="11" t="n">
        <x:f>'Cumulative'!D432</x:f>
        <x:v>0</x:v>
      </x:c>
      <x:c r="E461" s="11" t="n">
        <x:f>'Cumulative'!E432</x:f>
        <x:v>0</x:v>
      </x:c>
      <x:c r="G461" s="11" t="str">
        <x:f>'Cumulative'!A432</x:f>
        <x:v>431</x:v>
      </x:c>
      <x:c r="H461" s="11" t="str">
        <x:f>'Cumulative'!C432</x:f>
        <x:v>-29.80488961804669</x:v>
      </x:c>
      <x:c r="I461" s="87"/>
      <x:c r="J461" s="87"/>
      <x:c r="K461" s="87"/>
      <x:c r="L461" s="87"/>
    </x:row>
    <x:row r="462">
      <x:c r="A462" s="11" t="str">
        <x:f>'Cumulative'!A433</x:f>
        <x:v>432</x:v>
      </x:c>
      <x:c r="B462" s="11" t="str">
        <x:f>'Cumulative'!B433</x:f>
      </x:c>
      <x:c r="C462" s="11" t="str">
        <x:f>'Cumulative'!C433</x:f>
        <x:v>-28.773562613849148</x:v>
      </x:c>
      <x:c r="D462" s="11" t="n">
        <x:f>'Cumulative'!D433</x:f>
        <x:v>0</x:v>
      </x:c>
      <x:c r="E462" s="11" t="n">
        <x:f>'Cumulative'!E433</x:f>
        <x:v>0</x:v>
      </x:c>
      <x:c r="G462" s="11" t="str">
        <x:f>'Cumulative'!A433</x:f>
        <x:v>432</x:v>
      </x:c>
      <x:c r="H462" s="11" t="str">
        <x:f>'Cumulative'!C433</x:f>
        <x:v>-28.773562613849148</x:v>
      </x:c>
      <x:c r="I462" s="87"/>
      <x:c r="J462" s="87"/>
      <x:c r="K462" s="87"/>
      <x:c r="L462" s="87"/>
    </x:row>
    <x:row r="463">
      <x:c r="A463" s="11" t="str">
        <x:f>'Cumulative'!A434</x:f>
        <x:v>433</x:v>
      </x:c>
      <x:c r="B463" s="11" t="str">
        <x:f>'Cumulative'!B434</x:f>
      </x:c>
      <x:c r="C463" s="11" t="str">
        <x:f>'Cumulative'!C434</x:f>
        <x:v>-26.805184050991407</x:v>
      </x:c>
      <x:c r="D463" s="11" t="n">
        <x:f>'Cumulative'!D434</x:f>
        <x:v>0</x:v>
      </x:c>
      <x:c r="E463" s="11" t="n">
        <x:f>'Cumulative'!E434</x:f>
        <x:v>0</x:v>
      </x:c>
      <x:c r="G463" s="11" t="str">
        <x:f>'Cumulative'!A434</x:f>
        <x:v>433</x:v>
      </x:c>
      <x:c r="H463" s="11" t="str">
        <x:f>'Cumulative'!C434</x:f>
        <x:v>-26.805184050991407</x:v>
      </x:c>
      <x:c r="I463" s="87"/>
      <x:c r="J463" s="87"/>
      <x:c r="K463" s="87"/>
      <x:c r="L463" s="87"/>
    </x:row>
    <x:row r="464">
      <x:c r="A464" s="11" t="str">
        <x:f>'Cumulative'!A435</x:f>
        <x:v>434</x:v>
      </x:c>
      <x:c r="B464" s="11" t="str">
        <x:f>'Cumulative'!B435</x:f>
      </x:c>
      <x:c r="C464" s="11" t="str">
        <x:f>'Cumulative'!C435</x:f>
        <x:v>-26.86195537323304</x:v>
      </x:c>
      <x:c r="D464" s="11" t="n">
        <x:f>'Cumulative'!D435</x:f>
        <x:v>0</x:v>
      </x:c>
      <x:c r="E464" s="11" t="n">
        <x:f>'Cumulative'!E435</x:f>
        <x:v>0</x:v>
      </x:c>
      <x:c r="G464" s="11" t="str">
        <x:f>'Cumulative'!A435</x:f>
        <x:v>434</x:v>
      </x:c>
      <x:c r="H464" s="11" t="str">
        <x:f>'Cumulative'!C435</x:f>
        <x:v>-26.86195537323304</x:v>
      </x:c>
      <x:c r="I464" s="87"/>
      <x:c r="J464" s="87"/>
      <x:c r="K464" s="87"/>
      <x:c r="L464" s="87"/>
    </x:row>
    <x:row r="465">
      <x:c r="A465" s="11" t="str">
        <x:f>'Cumulative'!A436</x:f>
        <x:v>435</x:v>
      </x:c>
      <x:c r="B465" s="11" t="str">
        <x:f>'Cumulative'!B436</x:f>
      </x:c>
      <x:c r="C465" s="11" t="str">
        <x:f>'Cumulative'!C436</x:f>
        <x:v>-27.89384479991773</x:v>
      </x:c>
      <x:c r="D465" s="11" t="n">
        <x:f>'Cumulative'!D436</x:f>
        <x:v>0</x:v>
      </x:c>
      <x:c r="E465" s="11" t="n">
        <x:f>'Cumulative'!E436</x:f>
        <x:v>0</x:v>
      </x:c>
      <x:c r="G465" s="11" t="str">
        <x:f>'Cumulative'!A436</x:f>
        <x:v>435</x:v>
      </x:c>
      <x:c r="H465" s="11" t="str">
        <x:f>'Cumulative'!C436</x:f>
        <x:v>-27.89384479991773</x:v>
      </x:c>
      <x:c r="I465" s="87"/>
      <x:c r="J465" s="87"/>
      <x:c r="K465" s="87"/>
      <x:c r="L465" s="87"/>
    </x:row>
    <x:row r="466">
      <x:c r="A466" s="11" t="str">
        <x:f>'Cumulative'!A437</x:f>
        <x:v>436</x:v>
      </x:c>
      <x:c r="B466" s="11" t="str">
        <x:f>'Cumulative'!B437</x:f>
      </x:c>
      <x:c r="C466" s="11" t="str">
        <x:f>'Cumulative'!C437</x:f>
        <x:v>-28.927694349637775</x:v>
      </x:c>
      <x:c r="D466" s="11" t="n">
        <x:f>'Cumulative'!D437</x:f>
        <x:v>0</x:v>
      </x:c>
      <x:c r="E466" s="11" t="n">
        <x:f>'Cumulative'!E437</x:f>
        <x:v>0</x:v>
      </x:c>
      <x:c r="G466" s="11" t="str">
        <x:f>'Cumulative'!A437</x:f>
        <x:v>436</x:v>
      </x:c>
      <x:c r="H466" s="11" t="str">
        <x:f>'Cumulative'!C437</x:f>
        <x:v>-28.927694349637775</x:v>
      </x:c>
      <x:c r="I466" s="87"/>
      <x:c r="J466" s="87"/>
      <x:c r="K466" s="87"/>
      <x:c r="L466" s="87"/>
    </x:row>
    <x:row r="467">
      <x:c r="A467" s="11" t="str">
        <x:f>'Cumulative'!A438</x:f>
        <x:v>437</x:v>
      </x:c>
      <x:c r="B467" s="11" t="str">
        <x:f>'Cumulative'!B438</x:f>
      </x:c>
      <x:c r="C467" s="11" t="str">
        <x:f>'Cumulative'!C438</x:f>
        <x:v>-28.61562428299786</x:v>
      </x:c>
      <x:c r="D467" s="11" t="n">
        <x:f>'Cumulative'!D438</x:f>
        <x:v>0</x:v>
      </x:c>
      <x:c r="E467" s="11" t="n">
        <x:f>'Cumulative'!E438</x:f>
        <x:v>0</x:v>
      </x:c>
      <x:c r="G467" s="11" t="str">
        <x:f>'Cumulative'!A438</x:f>
        <x:v>437</x:v>
      </x:c>
      <x:c r="H467" s="11" t="str">
        <x:f>'Cumulative'!C438</x:f>
        <x:v>-28.61562428299786</x:v>
      </x:c>
      <x:c r="I467" s="87"/>
      <x:c r="J467" s="87"/>
      <x:c r="K467" s="87"/>
      <x:c r="L467" s="87"/>
    </x:row>
    <x:row r="468">
      <x:c r="A468" s="11" t="str">
        <x:f>'Cumulative'!A439</x:f>
        <x:v>438</x:v>
      </x:c>
      <x:c r="B468" s="11" t="str">
        <x:f>'Cumulative'!B439</x:f>
      </x:c>
      <x:c r="C468" s="11" t="str">
        <x:f>'Cumulative'!C439</x:f>
        <x:v>-28.999061305101367</x:v>
      </x:c>
      <x:c r="D468" s="11" t="n">
        <x:f>'Cumulative'!D439</x:f>
        <x:v>0</x:v>
      </x:c>
      <x:c r="E468" s="11" t="n">
        <x:f>'Cumulative'!E439</x:f>
        <x:v>0</x:v>
      </x:c>
      <x:c r="G468" s="11" t="str">
        <x:f>'Cumulative'!A439</x:f>
        <x:v>438</x:v>
      </x:c>
      <x:c r="H468" s="11" t="str">
        <x:f>'Cumulative'!C439</x:f>
        <x:v>-28.999061305101367</x:v>
      </x:c>
      <x:c r="I468" s="87"/>
      <x:c r="J468" s="87"/>
      <x:c r="K468" s="87"/>
      <x:c r="L468" s="87"/>
    </x:row>
    <x:row r="469">
      <x:c r="A469" s="11" t="str">
        <x:f>'Cumulative'!A440</x:f>
        <x:v>439</x:v>
      </x:c>
      <x:c r="B469" s="11" t="str">
        <x:f>'Cumulative'!B440</x:f>
      </x:c>
      <x:c r="C469" s="11" t="str">
        <x:f>'Cumulative'!C440</x:f>
        <x:v>-29.65805649276762</x:v>
      </x:c>
      <x:c r="D469" s="11" t="n">
        <x:f>'Cumulative'!D440</x:f>
        <x:v>0</x:v>
      </x:c>
      <x:c r="E469" s="11" t="n">
        <x:f>'Cumulative'!E440</x:f>
        <x:v>0</x:v>
      </x:c>
      <x:c r="G469" s="11" t="str">
        <x:f>'Cumulative'!A440</x:f>
        <x:v>439</x:v>
      </x:c>
      <x:c r="H469" s="11" t="str">
        <x:f>'Cumulative'!C440</x:f>
        <x:v>-29.65805649276762</x:v>
      </x:c>
      <x:c r="I469" s="87"/>
      <x:c r="J469" s="87"/>
      <x:c r="K469" s="87"/>
      <x:c r="L469" s="87"/>
    </x:row>
    <x:row r="470">
      <x:c r="A470" s="11" t="str">
        <x:f>'Cumulative'!A441</x:f>
        <x:v>440</x:v>
      </x:c>
      <x:c r="B470" s="11" t="str">
        <x:f>'Cumulative'!B441</x:f>
      </x:c>
      <x:c r="C470" s="11" t="str">
        <x:f>'Cumulative'!C441</x:f>
        <x:v>-27.7117338933205</x:v>
      </x:c>
      <x:c r="D470" s="11" t="n">
        <x:f>'Cumulative'!D441</x:f>
        <x:v>0</x:v>
      </x:c>
      <x:c r="E470" s="11" t="n">
        <x:f>'Cumulative'!E441</x:f>
        <x:v>0</x:v>
      </x:c>
      <x:c r="G470" s="11" t="str">
        <x:f>'Cumulative'!A441</x:f>
        <x:v>440</x:v>
      </x:c>
      <x:c r="H470" s="11" t="str">
        <x:f>'Cumulative'!C441</x:f>
        <x:v>-27.7117338933205</x:v>
      </x:c>
      <x:c r="I470" s="87"/>
      <x:c r="J470" s="87"/>
      <x:c r="K470" s="87"/>
      <x:c r="L470" s="87"/>
    </x:row>
    <x:row r="471">
      <x:c r="A471" s="11" t="str">
        <x:f>'Cumulative'!A442</x:f>
        <x:v>441</x:v>
      </x:c>
      <x:c r="B471" s="11" t="str">
        <x:f>'Cumulative'!B442</x:f>
      </x:c>
      <x:c r="C471" s="11" t="str">
        <x:f>'Cumulative'!C442</x:f>
        <x:v>-28.729270114071127</x:v>
      </x:c>
      <x:c r="D471" s="11" t="n">
        <x:f>'Cumulative'!D442</x:f>
        <x:v>0</x:v>
      </x:c>
      <x:c r="E471" s="11" t="n">
        <x:f>'Cumulative'!E442</x:f>
        <x:v>0</x:v>
      </x:c>
      <x:c r="G471" s="11" t="str">
        <x:f>'Cumulative'!A442</x:f>
        <x:v>441</x:v>
      </x:c>
      <x:c r="H471" s="11" t="str">
        <x:f>'Cumulative'!C442</x:f>
        <x:v>-28.729270114071127</x:v>
      </x:c>
      <x:c r="I471" s="87"/>
      <x:c r="J471" s="87"/>
      <x:c r="K471" s="87"/>
      <x:c r="L471" s="87"/>
    </x:row>
    <x:row r="472">
      <x:c r="A472" s="11" t="str">
        <x:f>'Cumulative'!A443</x:f>
        <x:v>442</x:v>
      </x:c>
      <x:c r="B472" s="11" t="str">
        <x:f>'Cumulative'!B443</x:f>
      </x:c>
      <x:c r="C472" s="11" t="str">
        <x:f>'Cumulative'!C443</x:f>
        <x:v>-29.762162109899318</x:v>
      </x:c>
      <x:c r="D472" s="11" t="n">
        <x:f>'Cumulative'!D443</x:f>
        <x:v>0</x:v>
      </x:c>
      <x:c r="E472" s="11" t="n">
        <x:f>'Cumulative'!E443</x:f>
        <x:v>0</x:v>
      </x:c>
      <x:c r="G472" s="11" t="str">
        <x:f>'Cumulative'!A443</x:f>
        <x:v>442</x:v>
      </x:c>
      <x:c r="H472" s="11" t="str">
        <x:f>'Cumulative'!C443</x:f>
        <x:v>-29.762162109899318</x:v>
      </x:c>
      <x:c r="I472" s="87"/>
      <x:c r="J472" s="87"/>
      <x:c r="K472" s="87"/>
      <x:c r="L472" s="87"/>
    </x:row>
    <x:row r="473">
      <x:c r="A473" s="11" t="str">
        <x:f>'Cumulative'!A444</x:f>
        <x:v>443</x:v>
      </x:c>
      <x:c r="B473" s="11" t="str">
        <x:f>'Cumulative'!B444</x:f>
      </x:c>
      <x:c r="C473" s="11" t="str">
        <x:f>'Cumulative'!C444</x:f>
        <x:v>-30.782044928179403</x:v>
      </x:c>
      <x:c r="D473" s="11" t="n">
        <x:f>'Cumulative'!D444</x:f>
        <x:v>0</x:v>
      </x:c>
      <x:c r="E473" s="11" t="n">
        <x:f>'Cumulative'!E444</x:f>
        <x:v>0</x:v>
      </x:c>
      <x:c r="G473" s="11" t="str">
        <x:f>'Cumulative'!A444</x:f>
        <x:v>443</x:v>
      </x:c>
      <x:c r="H473" s="11" t="str">
        <x:f>'Cumulative'!C444</x:f>
        <x:v>-30.782044928179403</x:v>
      </x:c>
      <x:c r="I473" s="87"/>
      <x:c r="J473" s="87"/>
      <x:c r="K473" s="87"/>
      <x:c r="L473" s="87"/>
    </x:row>
    <x:row r="474">
      <x:c r="A474" s="11" t="str">
        <x:f>'Cumulative'!A445</x:f>
        <x:v>444</x:v>
      </x:c>
      <x:c r="B474" s="11" t="str">
        <x:f>'Cumulative'!B445</x:f>
      </x:c>
      <x:c r="C474" s="11" t="str">
        <x:f>'Cumulative'!C445</x:f>
        <x:v>-31.81630854076357</x:v>
      </x:c>
      <x:c r="D474" s="11" t="n">
        <x:f>'Cumulative'!D445</x:f>
        <x:v>0</x:v>
      </x:c>
      <x:c r="E474" s="11" t="n">
        <x:f>'Cumulative'!E445</x:f>
        <x:v>0</x:v>
      </x:c>
      <x:c r="G474" s="11" t="str">
        <x:f>'Cumulative'!A445</x:f>
        <x:v>444</x:v>
      </x:c>
      <x:c r="H474" s="11" t="str">
        <x:f>'Cumulative'!C445</x:f>
        <x:v>-31.81630854076357</x:v>
      </x:c>
      <x:c r="I474" s="87"/>
      <x:c r="J474" s="87"/>
      <x:c r="K474" s="87"/>
      <x:c r="L474" s="87"/>
    </x:row>
    <x:row r="475">
      <x:c r="A475" s="11" t="str">
        <x:f>'Cumulative'!A446</x:f>
        <x:v>445</x:v>
      </x:c>
      <x:c r="B475" s="11" t="str">
        <x:f>'Cumulative'!B446</x:f>
      </x:c>
      <x:c r="C475" s="11" t="str">
        <x:f>'Cumulative'!C446</x:f>
        <x:v>-32.26890973791996</x:v>
      </x:c>
      <x:c r="D475" s="11" t="n">
        <x:f>'Cumulative'!D446</x:f>
        <x:v>0</x:v>
      </x:c>
      <x:c r="E475" s="11" t="n">
        <x:f>'Cumulative'!E446</x:f>
        <x:v>0</x:v>
      </x:c>
      <x:c r="G475" s="11" t="str">
        <x:f>'Cumulative'!A446</x:f>
        <x:v>445</x:v>
      </x:c>
      <x:c r="H475" s="11" t="str">
        <x:f>'Cumulative'!C446</x:f>
        <x:v>-32.26890973791996</x:v>
      </x:c>
      <x:c r="I475" s="87"/>
      <x:c r="J475" s="87"/>
      <x:c r="K475" s="87"/>
      <x:c r="L475" s="87"/>
    </x:row>
    <x:row r="476">
      <x:c r="A476" s="11" t="str">
        <x:f>'Cumulative'!A447</x:f>
        <x:v>446</x:v>
      </x:c>
      <x:c r="B476" s="11" t="str">
        <x:f>'Cumulative'!B447</x:f>
      </x:c>
      <x:c r="C476" s="11" t="str">
        <x:f>'Cumulative'!C447</x:f>
        <x:v>-33.35508699124873</x:v>
      </x:c>
      <x:c r="D476" s="11" t="n">
        <x:f>'Cumulative'!D447</x:f>
        <x:v>0</x:v>
      </x:c>
      <x:c r="E476" s="11" t="n">
        <x:f>'Cumulative'!E447</x:f>
        <x:v>0</x:v>
      </x:c>
      <x:c r="G476" s="11" t="str">
        <x:f>'Cumulative'!A447</x:f>
        <x:v>446</x:v>
      </x:c>
      <x:c r="H476" s="11" t="str">
        <x:f>'Cumulative'!C447</x:f>
        <x:v>-33.35508699124873</x:v>
      </x:c>
      <x:c r="I476" s="87"/>
      <x:c r="J476" s="87"/>
      <x:c r="K476" s="87"/>
      <x:c r="L476" s="87"/>
    </x:row>
    <x:row r="477">
      <x:c r="A477" s="11" t="str">
        <x:f>'Cumulative'!A448</x:f>
        <x:v>447</x:v>
      </x:c>
      <x:c r="B477" s="11" t="str">
        <x:f>'Cumulative'!B448</x:f>
      </x:c>
      <x:c r="C477" s="11" t="str">
        <x:f>'Cumulative'!C448</x:f>
        <x:v>-34.409987827816714</x:v>
      </x:c>
      <x:c r="D477" s="11" t="n">
        <x:f>'Cumulative'!D448</x:f>
        <x:v>0</x:v>
      </x:c>
      <x:c r="E477" s="11" t="n">
        <x:f>'Cumulative'!E448</x:f>
        <x:v>0</x:v>
      </x:c>
      <x:c r="G477" s="11" t="str">
        <x:f>'Cumulative'!A448</x:f>
        <x:v>447</x:v>
      </x:c>
      <x:c r="H477" s="11" t="str">
        <x:f>'Cumulative'!C448</x:f>
        <x:v>-34.409987827816714</x:v>
      </x:c>
      <x:c r="I477" s="87"/>
      <x:c r="J477" s="87"/>
      <x:c r="K477" s="87"/>
      <x:c r="L477" s="87"/>
    </x:row>
    <x:row r="478">
      <x:c r="A478" s="11" t="str">
        <x:f>'Cumulative'!A449</x:f>
        <x:v>448</x:v>
      </x:c>
      <x:c r="B478" s="11" t="str">
        <x:f>'Cumulative'!B449</x:f>
      </x:c>
      <x:c r="C478" s="11" t="str">
        <x:f>'Cumulative'!C449</x:f>
        <x:v>-35.43677438004897</x:v>
      </x:c>
      <x:c r="D478" s="11" t="n">
        <x:f>'Cumulative'!D449</x:f>
        <x:v>0</x:v>
      </x:c>
      <x:c r="E478" s="11" t="n">
        <x:f>'Cumulative'!E449</x:f>
        <x:v>0</x:v>
      </x:c>
      <x:c r="G478" s="11" t="str">
        <x:f>'Cumulative'!A449</x:f>
        <x:v>448</x:v>
      </x:c>
      <x:c r="H478" s="11" t="str">
        <x:f>'Cumulative'!C449</x:f>
        <x:v>-35.43677438004897</x:v>
      </x:c>
      <x:c r="I478" s="87"/>
      <x:c r="J478" s="87"/>
      <x:c r="K478" s="87"/>
      <x:c r="L478" s="87"/>
    </x:row>
    <x:row r="479">
      <x:c r="A479" s="11" t="str">
        <x:f>'Cumulative'!A450</x:f>
        <x:v>449</x:v>
      </x:c>
      <x:c r="B479" s="11" t="str">
        <x:f>'Cumulative'!B450</x:f>
      </x:c>
      <x:c r="C479" s="11" t="str">
        <x:f>'Cumulative'!C450</x:f>
        <x:v>-36.46349073833106</x:v>
      </x:c>
      <x:c r="D479" s="11" t="n">
        <x:f>'Cumulative'!D450</x:f>
        <x:v>0</x:v>
      </x:c>
      <x:c r="E479" s="11" t="n">
        <x:f>'Cumulative'!E450</x:f>
        <x:v>0</x:v>
      </x:c>
      <x:c r="G479" s="11" t="str">
        <x:f>'Cumulative'!A450</x:f>
        <x:v>449</x:v>
      </x:c>
      <x:c r="H479" s="11" t="str">
        <x:f>'Cumulative'!C450</x:f>
        <x:v>-36.46349073833106</x:v>
      </x:c>
      <x:c r="I479" s="87"/>
      <x:c r="J479" s="87"/>
      <x:c r="K479" s="87"/>
      <x:c r="L479" s="87"/>
    </x:row>
    <x:row r="480">
      <x:c r="A480" s="11" t="str">
        <x:f>'Cumulative'!A451</x:f>
        <x:v>450</x:v>
      </x:c>
      <x:c r="B480" s="11" t="str">
        <x:f>'Cumulative'!B451</x:f>
      </x:c>
      <x:c r="C480" s="11" t="str">
        <x:f>'Cumulative'!C451</x:f>
        <x:v>-36.09562358818383</x:v>
      </x:c>
      <x:c r="D480" s="11" t="n">
        <x:f>'Cumulative'!D451</x:f>
        <x:v>0</x:v>
      </x:c>
      <x:c r="E480" s="11" t="n">
        <x:f>'Cumulative'!E451</x:f>
        <x:v>0</x:v>
      </x:c>
      <x:c r="G480" s="11" t="str">
        <x:f>'Cumulative'!A451</x:f>
        <x:v>450</x:v>
      </x:c>
      <x:c r="H480" s="11" t="str">
        <x:f>'Cumulative'!C451</x:f>
        <x:v>-36.09562358818383</x:v>
      </x:c>
      <x:c r="I480" s="87"/>
      <x:c r="J480" s="87"/>
      <x:c r="K480" s="87"/>
      <x:c r="L480" s="87"/>
    </x:row>
    <x:row r="481">
      <x:c r="A481" s="11" t="str">
        <x:f>'Cumulative'!A452</x:f>
        <x:v>451</x:v>
      </x:c>
      <x:c r="B481" s="11" t="str">
        <x:f>'Cumulative'!B452</x:f>
      </x:c>
      <x:c r="C481" s="11" t="str">
        <x:f>'Cumulative'!C452</x:f>
        <x:v>-37.13115758086239</x:v>
      </x:c>
      <x:c r="D481" s="11" t="n">
        <x:f>'Cumulative'!D452</x:f>
        <x:v>0</x:v>
      </x:c>
      <x:c r="E481" s="11" t="n">
        <x:f>'Cumulative'!E452</x:f>
        <x:v>0</x:v>
      </x:c>
      <x:c r="G481" s="11" t="str">
        <x:f>'Cumulative'!A452</x:f>
        <x:v>451</x:v>
      </x:c>
      <x:c r="H481" s="11" t="str">
        <x:f>'Cumulative'!C452</x:f>
        <x:v>-37.13115758086239</x:v>
      </x:c>
      <x:c r="I481" s="87"/>
      <x:c r="J481" s="87"/>
      <x:c r="K481" s="87"/>
      <x:c r="L481" s="87"/>
    </x:row>
    <x:row r="482">
      <x:c r="A482" s="11" t="str">
        <x:f>'Cumulative'!A453</x:f>
        <x:v>452</x:v>
      </x:c>
      <x:c r="B482" s="11" t="str">
        <x:f>'Cumulative'!B453</x:f>
      </x:c>
      <x:c r="C482" s="11" t="str">
        <x:f>'Cumulative'!C453</x:f>
        <x:v>-38.16325374045637</x:v>
      </x:c>
      <x:c r="D482" s="11" t="n">
        <x:f>'Cumulative'!D453</x:f>
        <x:v>0</x:v>
      </x:c>
      <x:c r="E482" s="11" t="n">
        <x:f>'Cumulative'!E453</x:f>
        <x:v>0</x:v>
      </x:c>
      <x:c r="G482" s="11" t="str">
        <x:f>'Cumulative'!A453</x:f>
        <x:v>452</x:v>
      </x:c>
      <x:c r="H482" s="11" t="str">
        <x:f>'Cumulative'!C453</x:f>
        <x:v>-38.16325374045637</x:v>
      </x:c>
      <x:c r="I482" s="87"/>
      <x:c r="J482" s="87"/>
      <x:c r="K482" s="87"/>
      <x:c r="L482" s="87"/>
    </x:row>
    <x:row r="483">
      <x:c r="A483" s="11" t="str">
        <x:f>'Cumulative'!A454</x:f>
        <x:v>453</x:v>
      </x:c>
      <x:c r="B483" s="11" t="str">
        <x:f>'Cumulative'!B454</x:f>
      </x:c>
      <x:c r="C483" s="11" t="str">
        <x:f>'Cumulative'!C454</x:f>
        <x:v>-39.21019405472963</x:v>
      </x:c>
      <x:c r="D483" s="11" t="n">
        <x:f>'Cumulative'!D454</x:f>
        <x:v>0</x:v>
      </x:c>
      <x:c r="E483" s="11" t="n">
        <x:f>'Cumulative'!E454</x:f>
        <x:v>0</x:v>
      </x:c>
      <x:c r="G483" s="11" t="str">
        <x:f>'Cumulative'!A454</x:f>
        <x:v>453</x:v>
      </x:c>
      <x:c r="H483" s="11" t="str">
        <x:f>'Cumulative'!C454</x:f>
        <x:v>-39.21019405472963</x:v>
      </x:c>
      <x:c r="I483" s="87"/>
      <x:c r="J483" s="87"/>
      <x:c r="K483" s="87"/>
      <x:c r="L483" s="87"/>
    </x:row>
    <x:row r="484">
      <x:c r="A484" s="11" t="str">
        <x:f>'Cumulative'!A455</x:f>
        <x:v>454</x:v>
      </x:c>
      <x:c r="B484" s="11" t="str">
        <x:f>'Cumulative'!B455</x:f>
      </x:c>
      <x:c r="C484" s="11" t="str">
        <x:f>'Cumulative'!C455</x:f>
        <x:v>-37.23470730717363</x:v>
      </x:c>
      <x:c r="D484" s="11" t="n">
        <x:f>'Cumulative'!D455</x:f>
        <x:v>0</x:v>
      </x:c>
      <x:c r="E484" s="11" t="n">
        <x:f>'Cumulative'!E455</x:f>
        <x:v>0</x:v>
      </x:c>
      <x:c r="G484" s="11" t="str">
        <x:f>'Cumulative'!A455</x:f>
        <x:v>454</x:v>
      </x:c>
      <x:c r="H484" s="11" t="str">
        <x:f>'Cumulative'!C455</x:f>
        <x:v>-37.23470730717363</x:v>
      </x:c>
      <x:c r="I484" s="87"/>
      <x:c r="J484" s="87"/>
      <x:c r="K484" s="87"/>
      <x:c r="L484" s="87"/>
    </x:row>
    <x:row r="485">
      <x:c r="A485" s="11" t="str">
        <x:f>'Cumulative'!A456</x:f>
        <x:v>455</x:v>
      </x:c>
      <x:c r="B485" s="11" t="str">
        <x:f>'Cumulative'!B456</x:f>
      </x:c>
      <x:c r="C485" s="11" t="str">
        <x:f>'Cumulative'!C456</x:f>
        <x:v>-35.246446593052376</x:v>
      </x:c>
      <x:c r="D485" s="11" t="n">
        <x:f>'Cumulative'!D456</x:f>
        <x:v>0</x:v>
      </x:c>
      <x:c r="E485" s="11" t="n">
        <x:f>'Cumulative'!E456</x:f>
        <x:v>0</x:v>
      </x:c>
      <x:c r="G485" s="11" t="str">
        <x:f>'Cumulative'!A456</x:f>
        <x:v>455</x:v>
      </x:c>
      <x:c r="H485" s="11" t="str">
        <x:f>'Cumulative'!C456</x:f>
        <x:v>-35.246446593052376</x:v>
      </x:c>
      <x:c r="I485" s="87"/>
      <x:c r="J485" s="87"/>
      <x:c r="K485" s="87"/>
      <x:c r="L485" s="87"/>
    </x:row>
    <x:row r="486">
      <x:c r="A486" s="11" t="str">
        <x:f>'Cumulative'!A457</x:f>
        <x:v>456</x:v>
      </x:c>
      <x:c r="B486" s="11" t="str">
        <x:f>'Cumulative'!B457</x:f>
      </x:c>
      <x:c r="C486" s="11" t="str">
        <x:f>'Cumulative'!C457</x:f>
        <x:v>-35.23616249649588</x:v>
      </x:c>
      <x:c r="D486" s="11" t="n">
        <x:f>'Cumulative'!D457</x:f>
        <x:v>0</x:v>
      </x:c>
      <x:c r="E486" s="11" t="n">
        <x:f>'Cumulative'!E457</x:f>
        <x:v>0</x:v>
      </x:c>
      <x:c r="G486" s="11" t="str">
        <x:f>'Cumulative'!A457</x:f>
        <x:v>456</x:v>
      </x:c>
      <x:c r="H486" s="11" t="str">
        <x:f>'Cumulative'!C457</x:f>
        <x:v>-35.23616249649588</x:v>
      </x:c>
      <x:c r="I486" s="87"/>
      <x:c r="J486" s="87"/>
      <x:c r="K486" s="87"/>
      <x:c r="L486" s="87"/>
    </x:row>
    <x:row r="487">
      <x:c r="A487" s="11" t="str">
        <x:f>'Cumulative'!A458</x:f>
        <x:v>457</x:v>
      </x:c>
      <x:c r="B487" s="11" t="str">
        <x:f>'Cumulative'!B458</x:f>
      </x:c>
      <x:c r="C487" s="11" t="str">
        <x:f>'Cumulative'!C458</x:f>
        <x:v>-33.29108002955097</x:v>
      </x:c>
      <x:c r="D487" s="11" t="n">
        <x:f>'Cumulative'!D458</x:f>
        <x:v>0</x:v>
      </x:c>
      <x:c r="E487" s="11" t="n">
        <x:f>'Cumulative'!E458</x:f>
        <x:v>0</x:v>
      </x:c>
      <x:c r="G487" s="11" t="str">
        <x:f>'Cumulative'!A458</x:f>
        <x:v>457</x:v>
      </x:c>
      <x:c r="H487" s="11" t="str">
        <x:f>'Cumulative'!C458</x:f>
        <x:v>-33.29108002955097</x:v>
      </x:c>
      <x:c r="I487" s="87"/>
      <x:c r="J487" s="87"/>
      <x:c r="K487" s="87"/>
      <x:c r="L487" s="87"/>
    </x:row>
    <x:row r="488">
      <x:c r="A488" s="11" t="str">
        <x:f>'Cumulative'!A459</x:f>
        <x:v>458</x:v>
      </x:c>
      <x:c r="B488" s="11" t="str">
        <x:f>'Cumulative'!B459</x:f>
      </x:c>
      <x:c r="C488" s="11" t="str">
        <x:f>'Cumulative'!C459</x:f>
        <x:v>-34.31201705731317</x:v>
      </x:c>
      <x:c r="D488" s="11" t="n">
        <x:f>'Cumulative'!D459</x:f>
        <x:v>0</x:v>
      </x:c>
      <x:c r="E488" s="11" t="n">
        <x:f>'Cumulative'!E459</x:f>
        <x:v>0</x:v>
      </x:c>
      <x:c r="G488" s="11" t="str">
        <x:f>'Cumulative'!A459</x:f>
        <x:v>458</x:v>
      </x:c>
      <x:c r="H488" s="11" t="str">
        <x:f>'Cumulative'!C459</x:f>
        <x:v>-34.31201705731317</x:v>
      </x:c>
      <x:c r="I488" s="87"/>
      <x:c r="J488" s="87"/>
      <x:c r="K488" s="87"/>
      <x:c r="L488" s="87"/>
    </x:row>
    <x:row r="489">
      <x:c r="A489" s="11" t="str">
        <x:f>'Cumulative'!A460</x:f>
        <x:v>459</x:v>
      </x:c>
      <x:c r="B489" s="11" t="str">
        <x:f>'Cumulative'!B460</x:f>
      </x:c>
      <x:c r="C489" s="11" t="str">
        <x:f>'Cumulative'!C460</x:f>
        <x:v>-35.381761550377355</x:v>
      </x:c>
      <x:c r="D489" s="11" t="n">
        <x:f>'Cumulative'!D460</x:f>
        <x:v>0</x:v>
      </x:c>
      <x:c r="E489" s="11" t="n">
        <x:f>'Cumulative'!E460</x:f>
        <x:v>0</x:v>
      </x:c>
      <x:c r="G489" s="11" t="str">
        <x:f>'Cumulative'!A460</x:f>
        <x:v>459</x:v>
      </x:c>
      <x:c r="H489" s="11" t="str">
        <x:f>'Cumulative'!C460</x:f>
        <x:v>-35.381761550377355</x:v>
      </x:c>
      <x:c r="I489" s="87"/>
      <x:c r="J489" s="87"/>
      <x:c r="K489" s="87"/>
      <x:c r="L489" s="87"/>
    </x:row>
    <x:row r="490">
      <x:c r="A490" s="11" t="str">
        <x:f>'Cumulative'!A461</x:f>
        <x:v>460</x:v>
      </x:c>
      <x:c r="B490" s="11" t="str">
        <x:f>'Cumulative'!B461</x:f>
      </x:c>
      <x:c r="C490" s="11" t="str">
        <x:f>'Cumulative'!C461</x:f>
        <x:v>-36.40059397446233</x:v>
      </x:c>
      <x:c r="D490" s="11" t="n">
        <x:f>'Cumulative'!D461</x:f>
        <x:v>0</x:v>
      </x:c>
      <x:c r="E490" s="11" t="n">
        <x:f>'Cumulative'!E461</x:f>
        <x:v>0</x:v>
      </x:c>
      <x:c r="G490" s="11" t="str">
        <x:f>'Cumulative'!A461</x:f>
        <x:v>460</x:v>
      </x:c>
      <x:c r="H490" s="11" t="str">
        <x:f>'Cumulative'!C461</x:f>
        <x:v>-36.40059397446233</x:v>
      </x:c>
      <x:c r="I490" s="87"/>
      <x:c r="J490" s="87"/>
      <x:c r="K490" s="87"/>
      <x:c r="L490" s="87"/>
    </x:row>
    <x:row r="491">
      <x:c r="A491" s="11" t="str">
        <x:f>'Cumulative'!A462</x:f>
        <x:v>461</x:v>
      </x:c>
      <x:c r="B491" s="11" t="str">
        <x:f>'Cumulative'!B462</x:f>
      </x:c>
      <x:c r="C491" s="11" t="str">
        <x:f>'Cumulative'!C462</x:f>
        <x:v>-37.435426655479844</x:v>
      </x:c>
      <x:c r="D491" s="11" t="n">
        <x:f>'Cumulative'!D462</x:f>
        <x:v>0</x:v>
      </x:c>
      <x:c r="E491" s="11" t="n">
        <x:f>'Cumulative'!E462</x:f>
        <x:v>0</x:v>
      </x:c>
      <x:c r="G491" s="11" t="str">
        <x:f>'Cumulative'!A462</x:f>
        <x:v>461</x:v>
      </x:c>
      <x:c r="H491" s="11" t="str">
        <x:f>'Cumulative'!C462</x:f>
        <x:v>-37.435426655479844</x:v>
      </x:c>
      <x:c r="I491" s="87"/>
      <x:c r="J491" s="87"/>
      <x:c r="K491" s="87"/>
      <x:c r="L491" s="87"/>
    </x:row>
    <x:row r="492">
      <x:c r="A492" s="11" t="str">
        <x:f>'Cumulative'!A463</x:f>
        <x:v>462</x:v>
      </x:c>
      <x:c r="B492" s="11" t="str">
        <x:f>'Cumulative'!B463</x:f>
      </x:c>
      <x:c r="C492" s="11" t="str">
        <x:f>'Cumulative'!C463</x:f>
        <x:v>-36.9764815107639</x:v>
      </x:c>
      <x:c r="D492" s="11" t="n">
        <x:f>'Cumulative'!D463</x:f>
        <x:v>0</x:v>
      </x:c>
      <x:c r="E492" s="11" t="n">
        <x:f>'Cumulative'!E463</x:f>
        <x:v>0</x:v>
      </x:c>
      <x:c r="G492" s="11" t="str">
        <x:f>'Cumulative'!A463</x:f>
        <x:v>462</x:v>
      </x:c>
      <x:c r="H492" s="11" t="str">
        <x:f>'Cumulative'!C463</x:f>
        <x:v>-36.9764815107639</x:v>
      </x:c>
      <x:c r="I492" s="87"/>
      <x:c r="J492" s="87"/>
      <x:c r="K492" s="87"/>
      <x:c r="L492" s="87"/>
    </x:row>
    <x:row r="493">
      <x:c r="A493" s="11" t="str">
        <x:f>'Cumulative'!A464</x:f>
        <x:v>463</x:v>
      </x:c>
      <x:c r="B493" s="11" t="str">
        <x:f>'Cumulative'!B464</x:f>
      </x:c>
      <x:c r="C493" s="11" t="str">
        <x:f>'Cumulative'!C464</x:f>
        <x:v>-38.023474074243325</x:v>
      </x:c>
      <x:c r="D493" s="11" t="n">
        <x:f>'Cumulative'!D464</x:f>
        <x:v>0</x:v>
      </x:c>
      <x:c r="E493" s="11" t="n">
        <x:f>'Cumulative'!E464</x:f>
        <x:v>0</x:v>
      </x:c>
      <x:c r="G493" s="11" t="str">
        <x:f>'Cumulative'!A464</x:f>
        <x:v>463</x:v>
      </x:c>
      <x:c r="H493" s="11" t="str">
        <x:f>'Cumulative'!C464</x:f>
        <x:v>-38.023474074243325</x:v>
      </x:c>
      <x:c r="I493" s="87"/>
      <x:c r="J493" s="87"/>
      <x:c r="K493" s="87"/>
      <x:c r="L493" s="87"/>
    </x:row>
    <x:row r="494">
      <x:c r="A494" s="11" t="str">
        <x:f>'Cumulative'!A465</x:f>
        <x:v>464</x:v>
      </x:c>
      <x:c r="B494" s="11" t="str">
        <x:f>'Cumulative'!B465</x:f>
      </x:c>
      <x:c r="C494" s="11" t="str">
        <x:f>'Cumulative'!C465</x:f>
        <x:v>-38.494615446593166</x:v>
      </x:c>
      <x:c r="D494" s="11" t="n">
        <x:f>'Cumulative'!D465</x:f>
        <x:v>0</x:v>
      </x:c>
      <x:c r="E494" s="11" t="n">
        <x:f>'Cumulative'!E465</x:f>
        <x:v>0</x:v>
      </x:c>
      <x:c r="G494" s="11" t="str">
        <x:f>'Cumulative'!A465</x:f>
        <x:v>464</x:v>
      </x:c>
      <x:c r="H494" s="11" t="str">
        <x:f>'Cumulative'!C465</x:f>
        <x:v>-38.494615446593166</x:v>
      </x:c>
      <x:c r="I494" s="87"/>
      <x:c r="J494" s="87"/>
      <x:c r="K494" s="87"/>
      <x:c r="L494" s="87"/>
    </x:row>
    <x:row r="495">
      <x:c r="A495" s="11" t="str">
        <x:f>'Cumulative'!A466</x:f>
        <x:v>465</x:v>
      </x:c>
      <x:c r="B495" s="11" t="str">
        <x:f>'Cumulative'!B466</x:f>
      </x:c>
      <x:c r="C495" s="11" t="str">
        <x:f>'Cumulative'!C466</x:f>
        <x:v>-39.52697517956898</x:v>
      </x:c>
      <x:c r="D495" s="11" t="n">
        <x:f>'Cumulative'!D466</x:f>
        <x:v>0</x:v>
      </x:c>
      <x:c r="E495" s="11" t="n">
        <x:f>'Cumulative'!E466</x:f>
        <x:v>0</x:v>
      </x:c>
      <x:c r="G495" s="11" t="str">
        <x:f>'Cumulative'!A466</x:f>
        <x:v>465</x:v>
      </x:c>
      <x:c r="H495" s="11" t="str">
        <x:f>'Cumulative'!C466</x:f>
        <x:v>-39.52697517956898</x:v>
      </x:c>
      <x:c r="I495" s="87"/>
      <x:c r="J495" s="87"/>
      <x:c r="K495" s="87"/>
      <x:c r="L495" s="87"/>
    </x:row>
    <x:row r="496">
      <x:c r="A496" s="11" t="str">
        <x:f>'Cumulative'!A467</x:f>
        <x:v>466</x:v>
      </x:c>
      <x:c r="B496" s="11" t="str">
        <x:f>'Cumulative'!B467</x:f>
      </x:c>
      <x:c r="C496" s="11" t="str">
        <x:f>'Cumulative'!C467</x:f>
        <x:v>-40.585486212248135</x:v>
      </x:c>
      <x:c r="D496" s="11" t="n">
        <x:f>'Cumulative'!D467</x:f>
        <x:v>0</x:v>
      </x:c>
      <x:c r="E496" s="11" t="n">
        <x:f>'Cumulative'!E467</x:f>
        <x:v>0</x:v>
      </x:c>
      <x:c r="G496" s="11" t="str">
        <x:f>'Cumulative'!A467</x:f>
        <x:v>466</x:v>
      </x:c>
      <x:c r="H496" s="11" t="str">
        <x:f>'Cumulative'!C467</x:f>
        <x:v>-40.585486212248135</x:v>
      </x:c>
      <x:c r="I496" s="87"/>
      <x:c r="J496" s="87"/>
      <x:c r="K496" s="87"/>
      <x:c r="L496" s="87"/>
    </x:row>
    <x:row r="497">
      <x:c r="A497" s="11" t="str">
        <x:f>'Cumulative'!A468</x:f>
        <x:v>467</x:v>
      </x:c>
      <x:c r="B497" s="11" t="str">
        <x:f>'Cumulative'!B468</x:f>
      </x:c>
      <x:c r="C497" s="11" t="str">
        <x:f>'Cumulative'!C468</x:f>
        <x:v>-41.614426871184094</x:v>
      </x:c>
      <x:c r="D497" s="11" t="n">
        <x:f>'Cumulative'!D468</x:f>
        <x:v>0</x:v>
      </x:c>
      <x:c r="E497" s="11" t="n">
        <x:f>'Cumulative'!E468</x:f>
        <x:v>0</x:v>
      </x:c>
      <x:c r="G497" s="11" t="str">
        <x:f>'Cumulative'!A468</x:f>
        <x:v>467</x:v>
      </x:c>
      <x:c r="H497" s="11" t="str">
        <x:f>'Cumulative'!C468</x:f>
        <x:v>-41.614426871184094</x:v>
      </x:c>
      <x:c r="I497" s="87"/>
      <x:c r="J497" s="87"/>
      <x:c r="K497" s="87"/>
      <x:c r="L497" s="87"/>
    </x:row>
    <x:row r="498">
      <x:c r="A498" s="11" t="str">
        <x:f>'Cumulative'!A469</x:f>
        <x:v>468</x:v>
      </x:c>
      <x:c r="B498" s="11" t="str">
        <x:f>'Cumulative'!B469</x:f>
      </x:c>
      <x:c r="C498" s="11" t="str">
        <x:f>'Cumulative'!C469</x:f>
        <x:v>-41.70929295719969</x:v>
      </x:c>
      <x:c r="D498" s="11" t="n">
        <x:f>'Cumulative'!D469</x:f>
        <x:v>0</x:v>
      </x:c>
      <x:c r="E498" s="11" t="n">
        <x:f>'Cumulative'!E469</x:f>
        <x:v>0</x:v>
      </x:c>
      <x:c r="G498" s="11" t="str">
        <x:f>'Cumulative'!A469</x:f>
        <x:v>468</x:v>
      </x:c>
      <x:c r="H498" s="11" t="str">
        <x:f>'Cumulative'!C469</x:f>
        <x:v>-41.70929295719969</x:v>
      </x:c>
      <x:c r="I498" s="87"/>
      <x:c r="J498" s="87"/>
      <x:c r="K498" s="87"/>
      <x:c r="L498" s="87"/>
    </x:row>
    <x:row r="499">
      <x:c r="A499" s="11" t="str">
        <x:f>'Cumulative'!A470</x:f>
        <x:v>469</x:v>
      </x:c>
      <x:c r="B499" s="11" t="str">
        <x:f>'Cumulative'!B470</x:f>
      </x:c>
      <x:c r="C499" s="11" t="str">
        <x:f>'Cumulative'!C470</x:f>
        <x:v>-42.77670852431852</x:v>
      </x:c>
      <x:c r="D499" s="11" t="n">
        <x:f>'Cumulative'!D470</x:f>
        <x:v>0</x:v>
      </x:c>
      <x:c r="E499" s="11" t="n">
        <x:f>'Cumulative'!E470</x:f>
        <x:v>0</x:v>
      </x:c>
      <x:c r="G499" s="11" t="str">
        <x:f>'Cumulative'!A470</x:f>
        <x:v>469</x:v>
      </x:c>
      <x:c r="H499" s="11" t="str">
        <x:f>'Cumulative'!C470</x:f>
        <x:v>-42.77670852431852</x:v>
      </x:c>
      <x:c r="I499" s="87"/>
      <x:c r="J499" s="87"/>
      <x:c r="K499" s="87"/>
      <x:c r="L499" s="87"/>
    </x:row>
    <x:row r="500">
      <x:c r="A500" s="11" t="str">
        <x:f>'Cumulative'!A471</x:f>
        <x:v>470</x:v>
      </x:c>
      <x:c r="B500" s="11" t="str">
        <x:f>'Cumulative'!B471</x:f>
      </x:c>
      <x:c r="C500" s="11" t="str">
        <x:f>'Cumulative'!C471</x:f>
        <x:v>-43.812124632590354</x:v>
      </x:c>
      <x:c r="D500" s="11" t="n">
        <x:f>'Cumulative'!D471</x:f>
        <x:v>0</x:v>
      </x:c>
      <x:c r="E500" s="11" t="n">
        <x:f>'Cumulative'!E471</x:f>
        <x:v>0</x:v>
      </x:c>
      <x:c r="G500" s="11" t="str">
        <x:f>'Cumulative'!A471</x:f>
        <x:v>470</x:v>
      </x:c>
      <x:c r="H500" s="11" t="str">
        <x:f>'Cumulative'!C471</x:f>
        <x:v>-43.812124632590354</x:v>
      </x:c>
      <x:c r="I500" s="87"/>
      <x:c r="J500" s="87"/>
      <x:c r="K500" s="87"/>
      <x:c r="L500" s="87"/>
    </x:row>
    <x:row r="501">
      <x:c r="A501" s="11" t="str">
        <x:f>'Cumulative'!A472</x:f>
        <x:v>471</x:v>
      </x:c>
      <x:c r="B501" s="11" t="str">
        <x:f>'Cumulative'!B472</x:f>
      </x:c>
      <x:c r="C501" s="11" t="str">
        <x:f>'Cumulative'!C472</x:f>
        <x:v>-44.85141784245423</x:v>
      </x:c>
      <x:c r="D501" s="11" t="n">
        <x:f>'Cumulative'!D472</x:f>
        <x:v>0</x:v>
      </x:c>
      <x:c r="E501" s="11" t="n">
        <x:f>'Cumulative'!E472</x:f>
        <x:v>0</x:v>
      </x:c>
      <x:c r="G501" s="11" t="str">
        <x:f>'Cumulative'!A472</x:f>
        <x:v>471</x:v>
      </x:c>
      <x:c r="H501" s="11" t="str">
        <x:f>'Cumulative'!C472</x:f>
        <x:v>-44.85141784245423</x:v>
      </x:c>
      <x:c r="I501" s="87"/>
      <x:c r="J501" s="87"/>
      <x:c r="K501" s="87"/>
      <x:c r="L501" s="87"/>
    </x:row>
    <x:row r="502">
      <x:c r="A502" s="11" t="str">
        <x:f>'Cumulative'!A473</x:f>
        <x:v>472</x:v>
      </x:c>
      <x:c r="B502" s="11" t="str">
        <x:f>'Cumulative'!B473</x:f>
      </x:c>
      <x:c r="C502" s="11" t="str">
        <x:f>'Cumulative'!C473</x:f>
        <x:v>-42.91925769188451</x:v>
      </x:c>
      <x:c r="D502" s="11" t="n">
        <x:f>'Cumulative'!D473</x:f>
        <x:v>0</x:v>
      </x:c>
      <x:c r="E502" s="11" t="n">
        <x:f>'Cumulative'!E473</x:f>
        <x:v>0</x:v>
      </x:c>
      <x:c r="G502" s="11" t="str">
        <x:f>'Cumulative'!A473</x:f>
        <x:v>472</x:v>
      </x:c>
      <x:c r="H502" s="11" t="str">
        <x:f>'Cumulative'!C473</x:f>
        <x:v>-42.91925769188451</x:v>
      </x:c>
      <x:c r="I502" s="87"/>
      <x:c r="J502" s="87"/>
      <x:c r="K502" s="87"/>
      <x:c r="L502" s="87"/>
    </x:row>
    <x:row r="503">
      <x:c r="A503" s="11" t="str">
        <x:f>'Cumulative'!A474</x:f>
        <x:v>473</x:v>
      </x:c>
      <x:c r="B503" s="11" t="str">
        <x:f>'Cumulative'!B474</x:f>
      </x:c>
      <x:c r="C503" s="11" t="str">
        <x:f>'Cumulative'!C474</x:f>
        <x:v>-42.45881210054828</x:v>
      </x:c>
      <x:c r="D503" s="11" t="n">
        <x:f>'Cumulative'!D474</x:f>
        <x:v>0</x:v>
      </x:c>
      <x:c r="E503" s="11" t="n">
        <x:f>'Cumulative'!E474</x:f>
        <x:v>0</x:v>
      </x:c>
      <x:c r="G503" s="11" t="str">
        <x:f>'Cumulative'!A474</x:f>
        <x:v>473</x:v>
      </x:c>
      <x:c r="H503" s="11" t="str">
        <x:f>'Cumulative'!C474</x:f>
        <x:v>-42.45881210054828</x:v>
      </x:c>
      <x:c r="I503" s="87"/>
      <x:c r="J503" s="87"/>
      <x:c r="K503" s="87"/>
      <x:c r="L503" s="87"/>
    </x:row>
    <x:row r="504">
      <x:c r="A504" s="11" t="str">
        <x:f>'Cumulative'!A475</x:f>
        <x:v>474</x:v>
      </x:c>
      <x:c r="B504" s="11" t="str">
        <x:f>'Cumulative'!B475</x:f>
      </x:c>
      <x:c r="C504" s="11" t="str">
        <x:f>'Cumulative'!C475</x:f>
        <x:v>-43.47896442998388</x:v>
      </x:c>
      <x:c r="D504" s="11" t="n">
        <x:f>'Cumulative'!D475</x:f>
        <x:v>0</x:v>
      </x:c>
      <x:c r="E504" s="11" t="n">
        <x:f>'Cumulative'!E475</x:f>
        <x:v>0</x:v>
      </x:c>
      <x:c r="G504" s="11" t="str">
        <x:f>'Cumulative'!A475</x:f>
        <x:v>474</x:v>
      </x:c>
      <x:c r="H504" s="11" t="str">
        <x:f>'Cumulative'!C475</x:f>
        <x:v>-43.47896442998388</x:v>
      </x:c>
      <x:c r="I504" s="87"/>
      <x:c r="J504" s="87"/>
      <x:c r="K504" s="87"/>
      <x:c r="L504" s="87"/>
    </x:row>
    <x:row r="505">
      <x:c r="A505" s="11" t="str">
        <x:f>'Cumulative'!A476</x:f>
        <x:v>475</x:v>
      </x:c>
      <x:c r="B505" s="11" t="str">
        <x:f>'Cumulative'!B476</x:f>
      </x:c>
      <x:c r="C505" s="11" t="str">
        <x:f>'Cumulative'!C476</x:f>
        <x:v>-43.267867931361636</x:v>
      </x:c>
      <x:c r="D505" s="11" t="n">
        <x:f>'Cumulative'!D476</x:f>
        <x:v>0</x:v>
      </x:c>
      <x:c r="E505" s="11" t="n">
        <x:f>'Cumulative'!E476</x:f>
        <x:v>0</x:v>
      </x:c>
      <x:c r="G505" s="11" t="str">
        <x:f>'Cumulative'!A476</x:f>
        <x:v>475</x:v>
      </x:c>
      <x:c r="H505" s="11" t="str">
        <x:f>'Cumulative'!C476</x:f>
        <x:v>-43.267867931361636</x:v>
      </x:c>
      <x:c r="I505" s="87"/>
      <x:c r="J505" s="87"/>
      <x:c r="K505" s="87"/>
      <x:c r="L505" s="87"/>
    </x:row>
    <x:row r="506">
      <x:c r="A506" s="11" t="str">
        <x:f>'Cumulative'!A477</x:f>
        <x:v>476</x:v>
      </x:c>
      <x:c r="B506" s="11" t="str">
        <x:f>'Cumulative'!B477</x:f>
      </x:c>
      <x:c r="C506" s="11" t="str">
        <x:f>'Cumulative'!C477</x:f>
        <x:v>-42.67591492613616</x:v>
      </x:c>
      <x:c r="D506" s="11" t="n">
        <x:f>'Cumulative'!D477</x:f>
        <x:v>0</x:v>
      </x:c>
      <x:c r="E506" s="11" t="n">
        <x:f>'Cumulative'!E477</x:f>
        <x:v>0</x:v>
      </x:c>
      <x:c r="G506" s="11" t="str">
        <x:f>'Cumulative'!A477</x:f>
        <x:v>476</x:v>
      </x:c>
      <x:c r="H506" s="11" t="str">
        <x:f>'Cumulative'!C477</x:f>
        <x:v>-42.67591492613616</x:v>
      </x:c>
      <x:c r="I506" s="87"/>
      <x:c r="J506" s="87"/>
      <x:c r="K506" s="87"/>
      <x:c r="L506" s="87"/>
    </x:row>
    <x:row r="507">
      <x:c r="A507" s="11" t="str">
        <x:f>'Cumulative'!A478</x:f>
        <x:v>477</x:v>
      </x:c>
      <x:c r="B507" s="11" t="str">
        <x:f>'Cumulative'!B478</x:f>
      </x:c>
      <x:c r="C507" s="11" t="str">
        <x:f>'Cumulative'!C478</x:f>
        <x:v>-40.72734290522084</x:v>
      </x:c>
      <x:c r="D507" s="11" t="n">
        <x:f>'Cumulative'!D478</x:f>
        <x:v>0</x:v>
      </x:c>
      <x:c r="E507" s="11" t="n">
        <x:f>'Cumulative'!E478</x:f>
        <x:v>0</x:v>
      </x:c>
      <x:c r="G507" s="11" t="str">
        <x:f>'Cumulative'!A478</x:f>
        <x:v>477</x:v>
      </x:c>
      <x:c r="H507" s="11" t="str">
        <x:f>'Cumulative'!C478</x:f>
        <x:v>-40.72734290522084</x:v>
      </x:c>
      <x:c r="I507" s="87"/>
      <x:c r="J507" s="87"/>
      <x:c r="K507" s="87"/>
      <x:c r="L507" s="87"/>
    </x:row>
    <x:row r="508">
      <x:c r="A508" s="11" t="str">
        <x:f>'Cumulative'!A479</x:f>
        <x:v>478</x:v>
      </x:c>
      <x:c r="B508" s="11" t="str">
        <x:f>'Cumulative'!B479</x:f>
      </x:c>
      <x:c r="C508" s="11" t="str">
        <x:f>'Cumulative'!C479</x:f>
        <x:v>-41.78307865522328</x:v>
      </x:c>
      <x:c r="D508" s="11" t="n">
        <x:f>'Cumulative'!D479</x:f>
        <x:v>0</x:v>
      </x:c>
      <x:c r="E508" s="11" t="n">
        <x:f>'Cumulative'!E479</x:f>
        <x:v>0</x:v>
      </x:c>
      <x:c r="G508" s="11" t="str">
        <x:f>'Cumulative'!A479</x:f>
        <x:v>478</x:v>
      </x:c>
      <x:c r="H508" s="11" t="str">
        <x:f>'Cumulative'!C479</x:f>
        <x:v>-41.78307865522328</x:v>
      </x:c>
      <x:c r="I508" s="87"/>
      <x:c r="J508" s="87"/>
      <x:c r="K508" s="87"/>
      <x:c r="L508" s="87"/>
    </x:row>
    <x:row r="509">
      <x:c r="A509" s="11" t="str">
        <x:f>'Cumulative'!A480</x:f>
        <x:v>479</x:v>
      </x:c>
      <x:c r="B509" s="11" t="str">
        <x:f>'Cumulative'!B480</x:f>
      </x:c>
      <x:c r="C509" s="11" t="str">
        <x:f>'Cumulative'!C480</x:f>
        <x:v>-42.823428786347925</x:v>
      </x:c>
      <x:c r="D509" s="11" t="n">
        <x:f>'Cumulative'!D480</x:f>
        <x:v>0</x:v>
      </x:c>
      <x:c r="E509" s="11" t="n">
        <x:f>'Cumulative'!E480</x:f>
        <x:v>0</x:v>
      </x:c>
      <x:c r="G509" s="11" t="str">
        <x:f>'Cumulative'!A480</x:f>
        <x:v>479</x:v>
      </x:c>
      <x:c r="H509" s="11" t="str">
        <x:f>'Cumulative'!C480</x:f>
        <x:v>-42.823428786347925</x:v>
      </x:c>
      <x:c r="I509" s="87"/>
      <x:c r="J509" s="87"/>
      <x:c r="K509" s="87"/>
      <x:c r="L509" s="87"/>
    </x:row>
    <x:row r="510">
      <x:c r="A510" s="11" t="str">
        <x:f>'Cumulative'!A481</x:f>
        <x:v>480</x:v>
      </x:c>
      <x:c r="B510" s="11" t="str">
        <x:f>'Cumulative'!B481</x:f>
      </x:c>
      <x:c r="C510" s="11" t="str">
        <x:f>'Cumulative'!C481</x:f>
        <x:v>-43.84141091500474</x:v>
      </x:c>
      <x:c r="D510" s="11" t="n">
        <x:f>'Cumulative'!D481</x:f>
        <x:v>0</x:v>
      </x:c>
      <x:c r="E510" s="11" t="n">
        <x:f>'Cumulative'!E481</x:f>
        <x:v>0</x:v>
      </x:c>
      <x:c r="G510" s="11" t="str">
        <x:f>'Cumulative'!A481</x:f>
        <x:v>480</x:v>
      </x:c>
      <x:c r="H510" s="11" t="str">
        <x:f>'Cumulative'!C481</x:f>
        <x:v>-43.84141091500474</x:v>
      </x:c>
      <x:c r="I510" s="87"/>
      <x:c r="J510" s="87"/>
      <x:c r="K510" s="87"/>
      <x:c r="L510" s="87"/>
    </x:row>
    <x:row r="511">
      <x:c r="A511" s="11" t="str">
        <x:f>'Cumulative'!A482</x:f>
        <x:v>481</x:v>
      </x:c>
      <x:c r="B511" s="11" t="str">
        <x:f>'Cumulative'!B482</x:f>
      </x:c>
      <x:c r="C511" s="11" t="str">
        <x:f>'Cumulative'!C482</x:f>
        <x:v>-41.8529808518721</x:v>
      </x:c>
      <x:c r="D511" s="11" t="n">
        <x:f>'Cumulative'!D482</x:f>
        <x:v>0</x:v>
      </x:c>
      <x:c r="E511" s="11" t="n">
        <x:f>'Cumulative'!E482</x:f>
        <x:v>0</x:v>
      </x:c>
      <x:c r="G511" s="11" t="str">
        <x:f>'Cumulative'!A482</x:f>
        <x:v>481</x:v>
      </x:c>
      <x:c r="H511" s="11" t="str">
        <x:f>'Cumulative'!C482</x:f>
        <x:v>-41.8529808518721</x:v>
      </x:c>
      <x:c r="I511" s="87"/>
      <x:c r="J511" s="87"/>
      <x:c r="K511" s="87"/>
      <x:c r="L511" s="87"/>
    </x:row>
    <x:row r="512">
      <x:c r="A512" s="11" t="str">
        <x:f>'Cumulative'!A483</x:f>
        <x:v>482</x:v>
      </x:c>
      <x:c r="B512" s="11" t="str">
        <x:f>'Cumulative'!B483</x:f>
      </x:c>
      <x:c r="C512" s="11" t="str">
        <x:f>'Cumulative'!C483</x:f>
        <x:v>-41.99910927458594</x:v>
      </x:c>
      <x:c r="D512" s="11" t="n">
        <x:f>'Cumulative'!D483</x:f>
        <x:v>0</x:v>
      </x:c>
      <x:c r="E512" s="11" t="n">
        <x:f>'Cumulative'!E483</x:f>
        <x:v>0</x:v>
      </x:c>
      <x:c r="G512" s="11" t="str">
        <x:f>'Cumulative'!A483</x:f>
        <x:v>482</x:v>
      </x:c>
      <x:c r="H512" s="11" t="str">
        <x:f>'Cumulative'!C483</x:f>
        <x:v>-41.99910927458594</x:v>
      </x:c>
      <x:c r="I512" s="87"/>
      <x:c r="J512" s="87"/>
      <x:c r="K512" s="87"/>
      <x:c r="L512" s="87"/>
    </x:row>
    <x:row r="513">
      <x:c r="A513" s="11" t="str">
        <x:f>'Cumulative'!A484</x:f>
        <x:v>483</x:v>
      </x:c>
      <x:c r="B513" s="11" t="str">
        <x:f>'Cumulative'!B484</x:f>
      </x:c>
      <x:c r="C513" s="11" t="str">
        <x:f>'Cumulative'!C484</x:f>
        <x:v>-43.02768780697164</x:v>
      </x:c>
      <x:c r="D513" s="11" t="n">
        <x:f>'Cumulative'!D484</x:f>
        <x:v>0</x:v>
      </x:c>
      <x:c r="E513" s="11" t="n">
        <x:f>'Cumulative'!E484</x:f>
        <x:v>0</x:v>
      </x:c>
      <x:c r="G513" s="11" t="str">
        <x:f>'Cumulative'!A484</x:f>
        <x:v>483</x:v>
      </x:c>
      <x:c r="H513" s="11" t="str">
        <x:f>'Cumulative'!C484</x:f>
        <x:v>-43.02768780697164</x:v>
      </x:c>
      <x:c r="I513" s="87"/>
      <x:c r="J513" s="87"/>
      <x:c r="K513" s="87"/>
      <x:c r="L513" s="87"/>
    </x:row>
    <x:row r="514">
      <x:c r="A514" s="11" t="str">
        <x:f>'Cumulative'!A485</x:f>
        <x:v>484</x:v>
      </x:c>
      <x:c r="B514" s="11" t="str">
        <x:f>'Cumulative'!B485</x:f>
      </x:c>
      <x:c r="C514" s="11" t="str">
        <x:f>'Cumulative'!C485</x:f>
        <x:v>-42.74812874768592</x:v>
      </x:c>
      <x:c r="D514" s="11" t="n">
        <x:f>'Cumulative'!D485</x:f>
        <x:v>0</x:v>
      </x:c>
      <x:c r="E514" s="11" t="n">
        <x:f>'Cumulative'!E485</x:f>
        <x:v>0</x:v>
      </x:c>
      <x:c r="G514" s="11" t="str">
        <x:f>'Cumulative'!A485</x:f>
        <x:v>484</x:v>
      </x:c>
      <x:c r="H514" s="11" t="str">
        <x:f>'Cumulative'!C485</x:f>
        <x:v>-42.74812874768592</x:v>
      </x:c>
      <x:c r="I514" s="87"/>
      <x:c r="J514" s="87"/>
      <x:c r="K514" s="87"/>
      <x:c r="L514" s="87"/>
    </x:row>
    <x:row r="515">
      <x:c r="A515" s="11" t="str">
        <x:f>'Cumulative'!A486</x:f>
        <x:v>485</x:v>
      </x:c>
      <x:c r="B515" s="11" t="str">
        <x:f>'Cumulative'!B486</x:f>
      </x:c>
      <x:c r="C515" s="11" t="str">
        <x:f>'Cumulative'!C486</x:f>
        <x:v>-43.81120873399294</x:v>
      </x:c>
      <x:c r="D515" s="11" t="n">
        <x:f>'Cumulative'!D486</x:f>
        <x:v>0</x:v>
      </x:c>
      <x:c r="E515" s="11" t="n">
        <x:f>'Cumulative'!E486</x:f>
        <x:v>0</x:v>
      </x:c>
      <x:c r="G515" s="11" t="str">
        <x:f>'Cumulative'!A486</x:f>
        <x:v>485</x:v>
      </x:c>
      <x:c r="H515" s="11" t="str">
        <x:f>'Cumulative'!C486</x:f>
        <x:v>-43.81120873399294</x:v>
      </x:c>
      <x:c r="I515" s="87"/>
      <x:c r="J515" s="87"/>
      <x:c r="K515" s="87"/>
      <x:c r="L515" s="87"/>
    </x:row>
    <x:row r="516">
      <x:c r="A516" s="11" t="str">
        <x:f>'Cumulative'!A487</x:f>
        <x:v>486</x:v>
      </x:c>
      <x:c r="B516" s="11" t="str">
        <x:f>'Cumulative'!B487</x:f>
      </x:c>
      <x:c r="C516" s="11" t="str">
        <x:f>'Cumulative'!C487</x:f>
        <x:v>-44.05198041150435</x:v>
      </x:c>
      <x:c r="D516" s="11" t="n">
        <x:f>'Cumulative'!D487</x:f>
        <x:v>0</x:v>
      </x:c>
      <x:c r="E516" s="11" t="n">
        <x:f>'Cumulative'!E487</x:f>
        <x:v>0</x:v>
      </x:c>
      <x:c r="G516" s="11" t="str">
        <x:f>'Cumulative'!A487</x:f>
        <x:v>486</x:v>
      </x:c>
      <x:c r="H516" s="11" t="str">
        <x:f>'Cumulative'!C487</x:f>
        <x:v>-44.05198041150435</x:v>
      </x:c>
      <x:c r="I516" s="87"/>
      <x:c r="J516" s="87"/>
      <x:c r="K516" s="87"/>
      <x:c r="L516" s="87"/>
    </x:row>
    <x:row r="517">
      <x:c r="A517" s="11" t="str">
        <x:f>'Cumulative'!A488</x:f>
        <x:v>487</x:v>
      </x:c>
      <x:c r="B517" s="11" t="str">
        <x:f>'Cumulative'!B488</x:f>
      </x:c>
      <x:c r="C517" s="11" t="str">
        <x:f>'Cumulative'!C488</x:f>
        <x:v>-45.076794029078066</x:v>
      </x:c>
      <x:c r="D517" s="11" t="n">
        <x:f>'Cumulative'!D488</x:f>
        <x:v>0</x:v>
      </x:c>
      <x:c r="E517" s="11" t="n">
        <x:f>'Cumulative'!E488</x:f>
        <x:v>0</x:v>
      </x:c>
      <x:c r="G517" s="11" t="str">
        <x:f>'Cumulative'!A488</x:f>
        <x:v>487</x:v>
      </x:c>
      <x:c r="H517" s="11" t="str">
        <x:f>'Cumulative'!C488</x:f>
        <x:v>-45.076794029078066</x:v>
      </x:c>
      <x:c r="I517" s="87"/>
      <x:c r="J517" s="87"/>
      <x:c r="K517" s="87"/>
      <x:c r="L517" s="87"/>
    </x:row>
    <x:row r="518">
      <x:c r="A518" s="11" t="str">
        <x:f>'Cumulative'!A489</x:f>
        <x:v>488</x:v>
      </x:c>
      <x:c r="B518" s="11" t="str">
        <x:f>'Cumulative'!B489</x:f>
      </x:c>
      <x:c r="C518" s="11" t="str">
        <x:f>'Cumulative'!C489</x:f>
        <x:v>-46.11557392041847</x:v>
      </x:c>
      <x:c r="D518" s="11" t="n">
        <x:f>'Cumulative'!D489</x:f>
        <x:v>0</x:v>
      </x:c>
      <x:c r="E518" s="11" t="n">
        <x:f>'Cumulative'!E489</x:f>
        <x:v>0</x:v>
      </x:c>
      <x:c r="G518" s="11" t="str">
        <x:f>'Cumulative'!A489</x:f>
        <x:v>488</x:v>
      </x:c>
      <x:c r="H518" s="11" t="str">
        <x:f>'Cumulative'!C489</x:f>
        <x:v>-46.11557392041847</x:v>
      </x:c>
      <x:c r="I518" s="87"/>
      <x:c r="J518" s="87"/>
      <x:c r="K518" s="87"/>
      <x:c r="L518" s="87"/>
    </x:row>
    <x:row r="519">
      <x:c r="A519" s="11" t="str">
        <x:f>'Cumulative'!A490</x:f>
        <x:v>489</x:v>
      </x:c>
      <x:c r="B519" s="11" t="str">
        <x:f>'Cumulative'!B490</x:f>
      </x:c>
      <x:c r="C519" s="11" t="str">
        <x:f>'Cumulative'!C490</x:f>
        <x:v>-47.1253529825975</x:v>
      </x:c>
      <x:c r="D519" s="11" t="n">
        <x:f>'Cumulative'!D490</x:f>
        <x:v>0</x:v>
      </x:c>
      <x:c r="E519" s="11" t="n">
        <x:f>'Cumulative'!E490</x:f>
        <x:v>0</x:v>
      </x:c>
      <x:c r="G519" s="11" t="str">
        <x:f>'Cumulative'!A490</x:f>
        <x:v>489</x:v>
      </x:c>
      <x:c r="H519" s="11" t="str">
        <x:f>'Cumulative'!C490</x:f>
        <x:v>-47.1253529825975</x:v>
      </x:c>
      <x:c r="I519" s="87"/>
      <x:c r="J519" s="87"/>
      <x:c r="K519" s="87"/>
      <x:c r="L519" s="87"/>
    </x:row>
    <x:row r="520">
      <x:c r="A520" s="11" t="str">
        <x:f>'Cumulative'!A491</x:f>
        <x:v>490</x:v>
      </x:c>
      <x:c r="B520" s="11" t="str">
        <x:f>'Cumulative'!B491</x:f>
      </x:c>
      <x:c r="C520" s="11" t="str">
        <x:f>'Cumulative'!C491</x:f>
        <x:v>-48.139000041967904</x:v>
      </x:c>
      <x:c r="D520" s="11" t="n">
        <x:f>'Cumulative'!D491</x:f>
        <x:v>0</x:v>
      </x:c>
      <x:c r="E520" s="11" t="n">
        <x:f>'Cumulative'!E491</x:f>
        <x:v>0</x:v>
      </x:c>
      <x:c r="G520" s="11" t="str">
        <x:f>'Cumulative'!A491</x:f>
        <x:v>490</x:v>
      </x:c>
      <x:c r="H520" s="11" t="str">
        <x:f>'Cumulative'!C491</x:f>
        <x:v>-48.139000041967904</x:v>
      </x:c>
      <x:c r="I520" s="87"/>
      <x:c r="J520" s="87"/>
      <x:c r="K520" s="87"/>
      <x:c r="L520" s="87"/>
    </x:row>
    <x:row r="521">
      <x:c r="A521" s="11" t="str">
        <x:f>'Cumulative'!A492</x:f>
        <x:v>491</x:v>
      </x:c>
      <x:c r="B521" s="11" t="str">
        <x:f>'Cumulative'!B492</x:f>
      </x:c>
      <x:c r="C521" s="11" t="str">
        <x:f>'Cumulative'!C492</x:f>
        <x:v>-49.15287939144628</x:v>
      </x:c>
      <x:c r="D521" s="11" t="n">
        <x:f>'Cumulative'!D492</x:f>
        <x:v>0</x:v>
      </x:c>
      <x:c r="E521" s="11" t="n">
        <x:f>'Cumulative'!E492</x:f>
        <x:v>0</x:v>
      </x:c>
      <x:c r="G521" s="11" t="str">
        <x:f>'Cumulative'!A492</x:f>
        <x:v>491</x:v>
      </x:c>
      <x:c r="H521" s="11" t="str">
        <x:f>'Cumulative'!C492</x:f>
        <x:v>-49.15287939144628</x:v>
      </x:c>
      <x:c r="I521" s="87"/>
      <x:c r="J521" s="87"/>
      <x:c r="K521" s="87"/>
      <x:c r="L521" s="87"/>
    </x:row>
    <x:row r="522">
      <x:c r="A522" s="11" t="str">
        <x:f>'Cumulative'!A493</x:f>
        <x:v>492</x:v>
      </x:c>
      <x:c r="B522" s="11" t="str">
        <x:f>'Cumulative'!B493</x:f>
      </x:c>
      <x:c r="C522" s="11" t="str">
        <x:f>'Cumulative'!C493</x:f>
        <x:v>-48.31458924989862</x:v>
      </x:c>
      <x:c r="D522" s="11" t="n">
        <x:f>'Cumulative'!D493</x:f>
        <x:v>0</x:v>
      </x:c>
      <x:c r="E522" s="11" t="n">
        <x:f>'Cumulative'!E493</x:f>
        <x:v>0</x:v>
      </x:c>
      <x:c r="G522" s="11" t="str">
        <x:f>'Cumulative'!A493</x:f>
        <x:v>492</x:v>
      </x:c>
      <x:c r="H522" s="11" t="str">
        <x:f>'Cumulative'!C493</x:f>
        <x:v>-48.31458924989862</x:v>
      </x:c>
      <x:c r="I522" s="87"/>
      <x:c r="J522" s="87"/>
      <x:c r="K522" s="87"/>
      <x:c r="L522" s="87"/>
    </x:row>
    <x:row r="523">
      <x:c r="A523" s="11" t="str">
        <x:f>'Cumulative'!A494</x:f>
        <x:v>493</x:v>
      </x:c>
      <x:c r="B523" s="11" t="str">
        <x:f>'Cumulative'!B494</x:f>
      </x:c>
      <x:c r="C523" s="11" t="str">
        <x:f>'Cumulative'!C494</x:f>
        <x:v>-47.976397874979256</x:v>
      </x:c>
      <x:c r="D523" s="11" t="n">
        <x:f>'Cumulative'!D494</x:f>
        <x:v>0</x:v>
      </x:c>
      <x:c r="E523" s="11" t="n">
        <x:f>'Cumulative'!E494</x:f>
        <x:v>0</x:v>
      </x:c>
      <x:c r="G523" s="11" t="str">
        <x:f>'Cumulative'!A494</x:f>
        <x:v>493</x:v>
      </x:c>
      <x:c r="H523" s="11" t="str">
        <x:f>'Cumulative'!C494</x:f>
        <x:v>-47.976397874979256</x:v>
      </x:c>
      <x:c r="I523" s="87"/>
      <x:c r="J523" s="87"/>
      <x:c r="K523" s="87"/>
      <x:c r="L523" s="87"/>
    </x:row>
    <x:row r="524">
      <x:c r="A524" s="11" t="str">
        <x:f>'Cumulative'!A495</x:f>
        <x:v>494</x:v>
      </x:c>
      <x:c r="B524" s="11" t="str">
        <x:f>'Cumulative'!B495</x:f>
      </x:c>
      <x:c r="C524" s="11" t="str">
        <x:f>'Cumulative'!C495</x:f>
        <x:v>-49.0022924845619</x:v>
      </x:c>
      <x:c r="D524" s="11" t="n">
        <x:f>'Cumulative'!D495</x:f>
        <x:v>0</x:v>
      </x:c>
      <x:c r="E524" s="11" t="n">
        <x:f>'Cumulative'!E495</x:f>
        <x:v>0</x:v>
      </x:c>
      <x:c r="G524" s="11" t="str">
        <x:f>'Cumulative'!A495</x:f>
        <x:v>494</x:v>
      </x:c>
      <x:c r="H524" s="11" t="str">
        <x:f>'Cumulative'!C495</x:f>
        <x:v>-49.0022924845619</x:v>
      </x:c>
      <x:c r="I524" s="87"/>
      <x:c r="J524" s="87"/>
      <x:c r="K524" s="87"/>
      <x:c r="L524" s="87"/>
    </x:row>
    <x:row r="525">
      <x:c r="A525" s="11" t="str">
        <x:f>'Cumulative'!A496</x:f>
        <x:v>495</x:v>
      </x:c>
      <x:c r="B525" s="11" t="str">
        <x:f>'Cumulative'!B496</x:f>
      </x:c>
      <x:c r="C525" s="11" t="str">
        <x:f>'Cumulative'!C496</x:f>
        <x:v>-47.025747239520506</x:v>
      </x:c>
      <x:c r="D525" s="11" t="n">
        <x:f>'Cumulative'!D496</x:f>
        <x:v>0</x:v>
      </x:c>
      <x:c r="E525" s="11" t="n">
        <x:f>'Cumulative'!E496</x:f>
        <x:v>0</x:v>
      </x:c>
      <x:c r="G525" s="11" t="str">
        <x:f>'Cumulative'!A496</x:f>
        <x:v>495</x:v>
      </x:c>
      <x:c r="H525" s="11" t="str">
        <x:f>'Cumulative'!C496</x:f>
        <x:v>-47.025747239520506</x:v>
      </x:c>
      <x:c r="I525" s="87"/>
      <x:c r="J525" s="87"/>
      <x:c r="K525" s="87"/>
      <x:c r="L525" s="87"/>
    </x:row>
    <x:row r="526">
      <x:c r="A526" s="11" t="str">
        <x:f>'Cumulative'!A497</x:f>
        <x:v>496</x:v>
      </x:c>
      <x:c r="B526" s="11" t="str">
        <x:f>'Cumulative'!B497</x:f>
      </x:c>
      <x:c r="C526" s="11" t="str">
        <x:f>'Cumulative'!C497</x:f>
        <x:v>-45.06697671529017</x:v>
      </x:c>
      <x:c r="D526" s="11" t="n">
        <x:f>'Cumulative'!D497</x:f>
        <x:v>0</x:v>
      </x:c>
      <x:c r="E526" s="11" t="n">
        <x:f>'Cumulative'!E497</x:f>
        <x:v>0</x:v>
      </x:c>
      <x:c r="G526" s="11" t="str">
        <x:f>'Cumulative'!A497</x:f>
        <x:v>496</x:v>
      </x:c>
      <x:c r="H526" s="11" t="str">
        <x:f>'Cumulative'!C497</x:f>
        <x:v>-45.06697671529017</x:v>
      </x:c>
      <x:c r="I526" s="87"/>
      <x:c r="J526" s="87"/>
      <x:c r="K526" s="87"/>
      <x:c r="L526" s="87"/>
    </x:row>
    <x:row r="527">
      <x:c r="A527" s="11" t="str">
        <x:f>'Cumulative'!A498</x:f>
        <x:v>497</x:v>
      </x:c>
      <x:c r="B527" s="11" t="str">
        <x:f>'Cumulative'!B498</x:f>
      </x:c>
      <x:c r="C527" s="11" t="str">
        <x:f>'Cumulative'!C498</x:f>
        <x:v>-43.98261685319593</x:v>
      </x:c>
      <x:c r="D527" s="11" t="n">
        <x:f>'Cumulative'!D498</x:f>
        <x:v>0</x:v>
      </x:c>
      <x:c r="E527" s="11" t="n">
        <x:f>'Cumulative'!E498</x:f>
        <x:v>0</x:v>
      </x:c>
      <x:c r="G527" s="11" t="str">
        <x:f>'Cumulative'!A498</x:f>
        <x:v>497</x:v>
      </x:c>
      <x:c r="H527" s="11" t="str">
        <x:f>'Cumulative'!C498</x:f>
        <x:v>-43.98261685319593</x:v>
      </x:c>
      <x:c r="I527" s="87"/>
      <x:c r="J527" s="87"/>
      <x:c r="K527" s="87"/>
      <x:c r="L527" s="87"/>
    </x:row>
    <x:row r="528">
      <x:c r="A528" s="11" t="str">
        <x:f>'Cumulative'!A499</x:f>
        <x:v>498</x:v>
      </x:c>
      <x:c r="B528" s="11" t="str">
        <x:f>'Cumulative'!B499</x:f>
      </x:c>
      <x:c r="C528" s="11" t="str">
        <x:f>'Cumulative'!C499</x:f>
        <x:v>-44.99321069071238</x:v>
      </x:c>
      <x:c r="D528" s="11" t="n">
        <x:f>'Cumulative'!D499</x:f>
        <x:v>0</x:v>
      </x:c>
      <x:c r="E528" s="11" t="n">
        <x:f>'Cumulative'!E499</x:f>
        <x:v>0</x:v>
      </x:c>
      <x:c r="G528" s="11" t="str">
        <x:f>'Cumulative'!A499</x:f>
        <x:v>498</x:v>
      </x:c>
      <x:c r="H528" s="11" t="str">
        <x:f>'Cumulative'!C499</x:f>
        <x:v>-44.99321069071238</x:v>
      </x:c>
      <x:c r="I528" s="87"/>
      <x:c r="J528" s="87"/>
      <x:c r="K528" s="87"/>
      <x:c r="L528" s="87"/>
    </x:row>
    <x:row r="529">
      <x:c r="A529" s="11" t="str">
        <x:f>'Cumulative'!A500</x:f>
        <x:v>499</x:v>
      </x:c>
      <x:c r="B529" s="11" t="str">
        <x:f>'Cumulative'!B500</x:f>
      </x:c>
      <x:c r="C529" s="11" t="str">
        <x:f>'Cumulative'!C500</x:f>
        <x:v>-43.019529845872526</x:v>
      </x:c>
      <x:c r="D529" s="11" t="n">
        <x:f>'Cumulative'!D500</x:f>
        <x:v>0</x:v>
      </x:c>
      <x:c r="E529" s="11" t="n">
        <x:f>'Cumulative'!E500</x:f>
        <x:v>0</x:v>
      </x:c>
      <x:c r="G529" s="11" t="str">
        <x:f>'Cumulative'!A500</x:f>
        <x:v>499</x:v>
      </x:c>
      <x:c r="H529" s="11" t="str">
        <x:f>'Cumulative'!C500</x:f>
        <x:v>-43.019529845872526</x:v>
      </x:c>
      <x:c r="I529" s="87"/>
      <x:c r="J529" s="87"/>
      <x:c r="K529" s="87"/>
      <x:c r="L529" s="87"/>
    </x:row>
    <x:row r="530">
      <x:c r="A530" s="11" t="str">
        <x:f>'Cumulative'!A501</x:f>
        <x:v>500</x:v>
      </x:c>
      <x:c r="B530" s="11" t="str">
        <x:f>'Cumulative'!B501</x:f>
      </x:c>
      <x:c r="C530" s="11" t="str">
        <x:f>'Cumulative'!C501</x:f>
        <x:v>-44.03942940956887</x:v>
      </x:c>
      <x:c r="D530" s="11" t="n">
        <x:f>'Cumulative'!D501</x:f>
        <x:v>0</x:v>
      </x:c>
      <x:c r="E530" s="11" t="n">
        <x:f>'Cumulative'!E501</x:f>
        <x:v>0</x:v>
      </x:c>
      <x:c r="G530" s="11" t="str">
        <x:f>'Cumulative'!A501</x:f>
        <x:v>500</x:v>
      </x:c>
      <x:c r="H530" s="11" t="str">
        <x:f>'Cumulative'!C501</x:f>
        <x:v>-44.03942940956887</x:v>
      </x:c>
      <x:c r="I530" s="87"/>
      <x:c r="J530" s="87"/>
      <x:c r="K530" s="87"/>
      <x:c r="L530" s="87"/>
    </x:row>
    <x:row r="531">
      <x:c r="A531" s="11" t="str">
        <x:f>'Cumulative'!A502</x:f>
        <x:v>501</x:v>
      </x:c>
      <x:c r="B531" s="11" t="str">
        <x:f>'Cumulative'!B502</x:f>
      </x:c>
      <x:c r="C531" s="11" t="str">
        <x:f>'Cumulative'!C502</x:f>
        <x:v>-42.057477728786836</x:v>
      </x:c>
      <x:c r="D531" s="11" t="n">
        <x:f>'Cumulative'!D502</x:f>
        <x:v>0</x:v>
      </x:c>
      <x:c r="E531" s="11" t="n">
        <x:f>'Cumulative'!E502</x:f>
        <x:v>0</x:v>
      </x:c>
      <x:c r="G531" s="11" t="str">
        <x:f>'Cumulative'!A502</x:f>
        <x:v>501</x:v>
      </x:c>
      <x:c r="H531" s="11" t="str">
        <x:f>'Cumulative'!C502</x:f>
        <x:v>-42.057477728786836</x:v>
      </x:c>
      <x:c r="I531" s="87"/>
      <x:c r="J531" s="87"/>
      <x:c r="K531" s="87"/>
      <x:c r="L531" s="87"/>
    </x:row>
    <x:row r="532">
      <x:c r="A532" s="11" t="str">
        <x:f>'Cumulative'!A503</x:f>
        <x:v>502</x:v>
      </x:c>
      <x:c r="B532" s="11" t="str">
        <x:f>'Cumulative'!B503</x:f>
      </x:c>
      <x:c r="C532" s="11" t="str">
        <x:f>'Cumulative'!C503</x:f>
        <x:v>-41.088481554253875</x:v>
      </x:c>
      <x:c r="D532" s="11" t="n">
        <x:f>'Cumulative'!D503</x:f>
        <x:v>0</x:v>
      </x:c>
      <x:c r="E532" s="11" t="n">
        <x:f>'Cumulative'!E503</x:f>
        <x:v>0</x:v>
      </x:c>
      <x:c r="G532" s="11" t="str">
        <x:f>'Cumulative'!A503</x:f>
        <x:v>502</x:v>
      </x:c>
      <x:c r="H532" s="11" t="str">
        <x:f>'Cumulative'!C503</x:f>
        <x:v>-41.088481554253875</x:v>
      </x:c>
      <x:c r="I532" s="87"/>
      <x:c r="J532" s="87"/>
      <x:c r="K532" s="87"/>
      <x:c r="L532" s="87"/>
    </x:row>
    <x:row r="533">
      <x:c r="A533" s="11" t="str">
        <x:f>'Cumulative'!A504</x:f>
        <x:v>503</x:v>
      </x:c>
      <x:c r="B533" s="11" t="str">
        <x:f>'Cumulative'!B504</x:f>
      </x:c>
      <x:c r="C533" s="11" t="str">
        <x:f>'Cumulative'!C504</x:f>
        <x:v>-42.09532184392359</x:v>
      </x:c>
      <x:c r="D533" s="11" t="n">
        <x:f>'Cumulative'!D504</x:f>
        <x:v>0</x:v>
      </x:c>
      <x:c r="E533" s="11" t="n">
        <x:f>'Cumulative'!E504</x:f>
        <x:v>0</x:v>
      </x:c>
      <x:c r="G533" s="11" t="str">
        <x:f>'Cumulative'!A504</x:f>
        <x:v>503</x:v>
      </x:c>
      <x:c r="H533" s="11" t="str">
        <x:f>'Cumulative'!C504</x:f>
        <x:v>-42.09532184392359</x:v>
      </x:c>
      <x:c r="I533" s="87"/>
      <x:c r="J533" s="87"/>
      <x:c r="K533" s="87"/>
      <x:c r="L533" s="87"/>
    </x:row>
    <x:row r="534">
      <x:c r="A534" s="11" t="str">
        <x:f>'Cumulative'!A505</x:f>
        <x:v>504</x:v>
      </x:c>
      <x:c r="B534" s="11" t="str">
        <x:f>'Cumulative'!B505</x:f>
      </x:c>
      <x:c r="C534" s="11" t="str">
        <x:f>'Cumulative'!C505</x:f>
        <x:v>-41.75436855068491</x:v>
      </x:c>
      <x:c r="D534" s="11" t="n">
        <x:f>'Cumulative'!D505</x:f>
        <x:v>0</x:v>
      </x:c>
      <x:c r="E534" s="11" t="n">
        <x:f>'Cumulative'!E505</x:f>
        <x:v>0</x:v>
      </x:c>
      <x:c r="G534" s="11" t="str">
        <x:f>'Cumulative'!A505</x:f>
        <x:v>504</x:v>
      </x:c>
      <x:c r="H534" s="11" t="str">
        <x:f>'Cumulative'!C505</x:f>
        <x:v>-41.75436855068491</x:v>
      </x:c>
      <x:c r="I534" s="87"/>
      <x:c r="J534" s="87"/>
      <x:c r="K534" s="87"/>
      <x:c r="L534" s="87"/>
    </x:row>
    <x:row r="535">
      <x:c r="A535" s="11" t="str">
        <x:f>'Cumulative'!A506</x:f>
        <x:v>505</x:v>
      </x:c>
      <x:c r="B535" s="11" t="str">
        <x:f>'Cumulative'!B506</x:f>
      </x:c>
      <x:c r="C535" s="11" t="str">
        <x:f>'Cumulative'!C506</x:f>
        <x:v>-41.099441956182396</x:v>
      </x:c>
      <x:c r="D535" s="11" t="n">
        <x:f>'Cumulative'!D506</x:f>
        <x:v>0</x:v>
      </x:c>
      <x:c r="E535" s="11" t="n">
        <x:f>'Cumulative'!E506</x:f>
        <x:v>0</x:v>
      </x:c>
      <x:c r="G535" s="11" t="str">
        <x:f>'Cumulative'!A506</x:f>
        <x:v>505</x:v>
      </x:c>
      <x:c r="H535" s="11" t="str">
        <x:f>'Cumulative'!C506</x:f>
        <x:v>-41.099441956182396</x:v>
      </x:c>
      <x:c r="I535" s="87"/>
      <x:c r="J535" s="87"/>
      <x:c r="K535" s="87"/>
      <x:c r="L535" s="87"/>
    </x:row>
    <x:row r="536">
      <x:c r="A536" s="11" t="str">
        <x:f>'Cumulative'!A507</x:f>
        <x:v>506</x:v>
      </x:c>
      <x:c r="B536" s="11" t="str">
        <x:f>'Cumulative'!B507</x:f>
      </x:c>
      <x:c r="C536" s="11" t="str">
        <x:f>'Cumulative'!C507</x:f>
        <x:v>-41.101465497768864</x:v>
      </x:c>
      <x:c r="D536" s="11" t="n">
        <x:f>'Cumulative'!D507</x:f>
        <x:v>0</x:v>
      </x:c>
      <x:c r="E536" s="11" t="n">
        <x:f>'Cumulative'!E507</x:f>
        <x:v>0</x:v>
      </x:c>
      <x:c r="G536" s="11" t="str">
        <x:f>'Cumulative'!A507</x:f>
        <x:v>506</x:v>
      </x:c>
      <x:c r="H536" s="11" t="str">
        <x:f>'Cumulative'!C507</x:f>
        <x:v>-41.101465497768864</x:v>
      </x:c>
      <x:c r="I536" s="87"/>
      <x:c r="J536" s="87"/>
      <x:c r="K536" s="87"/>
      <x:c r="L536" s="87"/>
    </x:row>
    <x:row r="537">
      <x:c r="A537" s="11" t="str">
        <x:f>'Cumulative'!A508</x:f>
        <x:v>507</x:v>
      </x:c>
      <x:c r="B537" s="11" t="str">
        <x:f>'Cumulative'!B508</x:f>
      </x:c>
      <x:c r="C537" s="11" t="str">
        <x:f>'Cumulative'!C508</x:f>
        <x:v>-42.10791849638949</x:v>
      </x:c>
      <x:c r="D537" s="11" t="n">
        <x:f>'Cumulative'!D508</x:f>
        <x:v>0</x:v>
      </x:c>
      <x:c r="E537" s="11" t="n">
        <x:f>'Cumulative'!E508</x:f>
        <x:v>0</x:v>
      </x:c>
      <x:c r="G537" s="11" t="str">
        <x:f>'Cumulative'!A508</x:f>
        <x:v>507</x:v>
      </x:c>
      <x:c r="H537" s="11" t="str">
        <x:f>'Cumulative'!C508</x:f>
        <x:v>-42.10791849638949</x:v>
      </x:c>
      <x:c r="I537" s="87"/>
      <x:c r="J537" s="87"/>
      <x:c r="K537" s="87"/>
      <x:c r="L537" s="87"/>
    </x:row>
    <x:row r="538">
      <x:c r="A538" s="11" t="str">
        <x:f>'Cumulative'!A509</x:f>
        <x:v>508</x:v>
      </x:c>
      <x:c r="B538" s="11" t="str">
        <x:f>'Cumulative'!B509</x:f>
      </x:c>
      <x:c r="C538" s="11" t="str">
        <x:f>'Cumulative'!C509</x:f>
        <x:v>-43.13757065655262</x:v>
      </x:c>
      <x:c r="D538" s="11" t="n">
        <x:f>'Cumulative'!D509</x:f>
        <x:v>0</x:v>
      </x:c>
      <x:c r="E538" s="11" t="n">
        <x:f>'Cumulative'!E509</x:f>
        <x:v>0</x:v>
      </x:c>
      <x:c r="G538" s="11" t="str">
        <x:f>'Cumulative'!A509</x:f>
        <x:v>508</x:v>
      </x:c>
      <x:c r="H538" s="11" t="str">
        <x:f>'Cumulative'!C509</x:f>
        <x:v>-43.13757065655262</x:v>
      </x:c>
      <x:c r="I538" s="87"/>
      <x:c r="J538" s="87"/>
      <x:c r="K538" s="87"/>
      <x:c r="L538" s="87"/>
    </x:row>
    <x:row r="539">
      <x:c r="A539" s="11" t="str">
        <x:f>'Cumulative'!A510</x:f>
        <x:v>509</x:v>
      </x:c>
      <x:c r="B539" s="11" t="str">
        <x:f>'Cumulative'!B510</x:f>
      </x:c>
      <x:c r="C539" s="11" t="str">
        <x:f>'Cumulative'!C510</x:f>
        <x:v>-44.20730331456852</x:v>
      </x:c>
      <x:c r="D539" s="11" t="n">
        <x:f>'Cumulative'!D510</x:f>
        <x:v>0</x:v>
      </x:c>
      <x:c r="E539" s="11" t="n">
        <x:f>'Cumulative'!E510</x:f>
        <x:v>0</x:v>
      </x:c>
      <x:c r="G539" s="11" t="str">
        <x:f>'Cumulative'!A510</x:f>
        <x:v>509</x:v>
      </x:c>
      <x:c r="H539" s="11" t="str">
        <x:f>'Cumulative'!C510</x:f>
        <x:v>-44.20730331456852</x:v>
      </x:c>
      <x:c r="I539" s="87"/>
      <x:c r="J539" s="87"/>
      <x:c r="K539" s="87"/>
      <x:c r="L539" s="87"/>
    </x:row>
    <x:row r="540">
      <x:c r="A540" s="11" t="str">
        <x:f>'Cumulative'!A511</x:f>
        <x:v>510</x:v>
      </x:c>
      <x:c r="B540" s="11" t="str">
        <x:f>'Cumulative'!B511</x:f>
      </x:c>
      <x:c r="C540" s="11" t="str">
        <x:f>'Cumulative'!C511</x:f>
        <x:v>-45.22732194220409</x:v>
      </x:c>
      <x:c r="D540" s="11" t="n">
        <x:f>'Cumulative'!D511</x:f>
        <x:v>0</x:v>
      </x:c>
      <x:c r="E540" s="11" t="n">
        <x:f>'Cumulative'!E511</x:f>
        <x:v>0</x:v>
      </x:c>
      <x:c r="G540" s="11" t="str">
        <x:f>'Cumulative'!A511</x:f>
        <x:v>510</x:v>
      </x:c>
      <x:c r="H540" s="11" t="str">
        <x:f>'Cumulative'!C511</x:f>
        <x:v>-45.22732194220409</x:v>
      </x:c>
      <x:c r="I540" s="87"/>
      <x:c r="J540" s="87"/>
      <x:c r="K540" s="87"/>
      <x:c r="L540" s="87"/>
    </x:row>
    <x:row r="541">
      <x:c r="A541" s="11" t="str">
        <x:f>'Cumulative'!A512</x:f>
        <x:v>511</x:v>
      </x:c>
      <x:c r="B541" s="11" t="str">
        <x:f>'Cumulative'!B512</x:f>
      </x:c>
      <x:c r="C541" s="11" t="str">
        <x:f>'Cumulative'!C512</x:f>
        <x:v>-43.24564192586924</x:v>
      </x:c>
      <x:c r="D541" s="11" t="n">
        <x:f>'Cumulative'!D512</x:f>
        <x:v>0</x:v>
      </x:c>
      <x:c r="E541" s="11" t="n">
        <x:f>'Cumulative'!E512</x:f>
        <x:v>0</x:v>
      </x:c>
      <x:c r="G541" s="11" t="str">
        <x:f>'Cumulative'!A512</x:f>
        <x:v>511</x:v>
      </x:c>
      <x:c r="H541" s="11" t="str">
        <x:f>'Cumulative'!C512</x:f>
        <x:v>-43.24564192586924</x:v>
      </x:c>
      <x:c r="I541" s="87"/>
      <x:c r="J541" s="87"/>
      <x:c r="K541" s="87"/>
      <x:c r="L541" s="87"/>
    </x:row>
    <x:row r="542">
      <x:c r="A542" s="11" t="str">
        <x:f>'Cumulative'!A513</x:f>
        <x:v>512</x:v>
      </x:c>
      <x:c r="B542" s="11" t="str">
        <x:f>'Cumulative'!B513</x:f>
      </x:c>
      <x:c r="C542" s="11" t="str">
        <x:f>'Cumulative'!C513</x:f>
        <x:v>-42.96984743761209</x:v>
      </x:c>
      <x:c r="D542" s="11" t="n">
        <x:f>'Cumulative'!D513</x:f>
        <x:v>0</x:v>
      </x:c>
      <x:c r="E542" s="11" t="n">
        <x:f>'Cumulative'!E513</x:f>
        <x:v>0</x:v>
      </x:c>
      <x:c r="G542" s="11" t="str">
        <x:f>'Cumulative'!A513</x:f>
        <x:v>512</x:v>
      </x:c>
      <x:c r="H542" s="11" t="str">
        <x:f>'Cumulative'!C513</x:f>
        <x:v>-42.96984743761209</x:v>
      </x:c>
      <x:c r="I542" s="87"/>
      <x:c r="J542" s="87"/>
      <x:c r="K542" s="87"/>
      <x:c r="L542" s="87"/>
    </x:row>
    <x:row r="543">
      <x:c r="A543" s="11" t="str">
        <x:f>'Cumulative'!A514</x:f>
        <x:v>513</x:v>
      </x:c>
      <x:c r="B543" s="11" t="str">
        <x:f>'Cumulative'!B514</x:f>
      </x:c>
      <x:c r="C543" s="11" t="str">
        <x:f>'Cumulative'!C514</x:f>
        <x:v>-43.98088387675516</x:v>
      </x:c>
      <x:c r="D543" s="11" t="n">
        <x:f>'Cumulative'!D514</x:f>
        <x:v>0</x:v>
      </x:c>
      <x:c r="E543" s="11" t="n">
        <x:f>'Cumulative'!E514</x:f>
        <x:v>0</x:v>
      </x:c>
      <x:c r="G543" s="11" t="str">
        <x:f>'Cumulative'!A514</x:f>
        <x:v>513</x:v>
      </x:c>
      <x:c r="H543" s="11" t="str">
        <x:f>'Cumulative'!C514</x:f>
        <x:v>-43.98088387675516</x:v>
      </x:c>
      <x:c r="I543" s="87"/>
      <x:c r="J543" s="87"/>
      <x:c r="K543" s="87"/>
      <x:c r="L543" s="87"/>
    </x:row>
    <x:row r="544">
      <x:c r="A544" s="11" t="str">
        <x:f>'Cumulative'!A515</x:f>
        <x:v>514</x:v>
      </x:c>
      <x:c r="B544" s="11" t="str">
        <x:f>'Cumulative'!B515</x:f>
      </x:c>
      <x:c r="C544" s="11" t="str">
        <x:f>'Cumulative'!C515</x:f>
        <x:v>-42.030762873269786</x:v>
      </x:c>
      <x:c r="D544" s="11" t="n">
        <x:f>'Cumulative'!D515</x:f>
        <x:v>0</x:v>
      </x:c>
      <x:c r="E544" s="11" t="n">
        <x:f>'Cumulative'!E515</x:f>
        <x:v>0</x:v>
      </x:c>
      <x:c r="G544" s="11" t="str">
        <x:f>'Cumulative'!A515</x:f>
        <x:v>514</x:v>
      </x:c>
      <x:c r="H544" s="11" t="str">
        <x:f>'Cumulative'!C515</x:f>
        <x:v>-42.030762873269786</x:v>
      </x:c>
      <x:c r="I544" s="87"/>
      <x:c r="J544" s="87"/>
      <x:c r="K544" s="87"/>
      <x:c r="L544" s="87"/>
    </x:row>
    <x:row r="545">
      <x:c r="A545" s="11" t="str">
        <x:f>'Cumulative'!A516</x:f>
        <x:v>515</x:v>
      </x:c>
      <x:c r="B545" s="11" t="str">
        <x:f>'Cumulative'!B516</x:f>
      </x:c>
      <x:c r="C545" s="11" t="str">
        <x:f>'Cumulative'!C516</x:f>
        <x:v>-43.082353338924975</x:v>
      </x:c>
      <x:c r="D545" s="11" t="n">
        <x:f>'Cumulative'!D516</x:f>
        <x:v>0</x:v>
      </x:c>
      <x:c r="E545" s="11" t="n">
        <x:f>'Cumulative'!E516</x:f>
        <x:v>0</x:v>
      </x:c>
      <x:c r="G545" s="11" t="str">
        <x:f>'Cumulative'!A516</x:f>
        <x:v>515</x:v>
      </x:c>
      <x:c r="H545" s="11" t="str">
        <x:f>'Cumulative'!C516</x:f>
        <x:v>-43.082353338924975</x:v>
      </x:c>
      <x:c r="I545" s="87"/>
      <x:c r="J545" s="87"/>
      <x:c r="K545" s="87"/>
      <x:c r="L545" s="87"/>
    </x:row>
    <x:row r="546">
      <x:c r="A546" s="11" t="str">
        <x:f>'Cumulative'!A517</x:f>
        <x:v>516</x:v>
      </x:c>
      <x:c r="B546" s="11" t="str">
        <x:f>'Cumulative'!B517</x:f>
      </x:c>
      <x:c r="C546" s="11" t="str">
        <x:f>'Cumulative'!C517</x:f>
        <x:v>-41.124121635190065</x:v>
      </x:c>
      <x:c r="D546" s="11" t="n">
        <x:f>'Cumulative'!D517</x:f>
        <x:v>0</x:v>
      </x:c>
      <x:c r="E546" s="11" t="n">
        <x:f>'Cumulative'!E517</x:f>
        <x:v>0</x:v>
      </x:c>
      <x:c r="G546" s="11" t="str">
        <x:f>'Cumulative'!A517</x:f>
        <x:v>516</x:v>
      </x:c>
      <x:c r="H546" s="11" t="str">
        <x:f>'Cumulative'!C517</x:f>
        <x:v>-41.124121635190065</x:v>
      </x:c>
      <x:c r="I546" s="87"/>
      <x:c r="J546" s="87"/>
      <x:c r="K546" s="87"/>
      <x:c r="L546" s="87"/>
    </x:row>
    <x:row r="547">
      <x:c r="A547" s="11" t="str">
        <x:f>'Cumulative'!A518</x:f>
        <x:v>517</x:v>
      </x:c>
      <x:c r="B547" s="11" t="str">
        <x:f>'Cumulative'!B518</x:f>
      </x:c>
      <x:c r="C547" s="11" t="str">
        <x:f>'Cumulative'!C518</x:f>
        <x:v>-42.1844146561597</x:v>
      </x:c>
      <x:c r="D547" s="11" t="n">
        <x:f>'Cumulative'!D518</x:f>
        <x:v>0</x:v>
      </x:c>
      <x:c r="E547" s="11" t="n">
        <x:f>'Cumulative'!E518</x:f>
        <x:v>0</x:v>
      </x:c>
      <x:c r="G547" s="11" t="str">
        <x:f>'Cumulative'!A518</x:f>
        <x:v>517</x:v>
      </x:c>
      <x:c r="H547" s="11" t="str">
        <x:f>'Cumulative'!C518</x:f>
        <x:v>-42.1844146561597</x:v>
      </x:c>
      <x:c r="I547" s="87"/>
      <x:c r="J547" s="87"/>
      <x:c r="K547" s="87"/>
      <x:c r="L547" s="87"/>
    </x:row>
    <x:row r="548">
      <x:c r="A548" s="11" t="str">
        <x:f>'Cumulative'!A519</x:f>
        <x:v>518</x:v>
      </x:c>
      <x:c r="B548" s="11" t="str">
        <x:f>'Cumulative'!B519</x:f>
      </x:c>
      <x:c r="C548" s="11" t="str">
        <x:f>'Cumulative'!C519</x:f>
        <x:v>-43.233848021660854</x:v>
      </x:c>
      <x:c r="D548" s="11" t="n">
        <x:f>'Cumulative'!D519</x:f>
        <x:v>0</x:v>
      </x:c>
      <x:c r="E548" s="11" t="n">
        <x:f>'Cumulative'!E519</x:f>
        <x:v>0</x:v>
      </x:c>
      <x:c r="G548" s="11" t="str">
        <x:f>'Cumulative'!A519</x:f>
        <x:v>518</x:v>
      </x:c>
      <x:c r="H548" s="11" t="str">
        <x:f>'Cumulative'!C519</x:f>
        <x:v>-43.233848021660854</x:v>
      </x:c>
      <x:c r="I548" s="87"/>
      <x:c r="J548" s="87"/>
      <x:c r="K548" s="87"/>
      <x:c r="L548" s="87"/>
    </x:row>
    <x:row r="549">
      <x:c r="A549" s="11" t="str">
        <x:f>'Cumulative'!A520</x:f>
        <x:v>519</x:v>
      </x:c>
      <x:c r="B549" s="11" t="str">
        <x:f>'Cumulative'!B520</x:f>
      </x:c>
      <x:c r="C549" s="11" t="str">
        <x:f>'Cumulative'!C520</x:f>
        <x:v>-44.24843001411948</x:v>
      </x:c>
      <x:c r="D549" s="11" t="n">
        <x:f>'Cumulative'!D520</x:f>
        <x:v>0</x:v>
      </x:c>
      <x:c r="E549" s="11" t="n">
        <x:f>'Cumulative'!E520</x:f>
        <x:v>0</x:v>
      </x:c>
      <x:c r="G549" s="11" t="str">
        <x:f>'Cumulative'!A520</x:f>
        <x:v>519</x:v>
      </x:c>
      <x:c r="H549" s="11" t="str">
        <x:f>'Cumulative'!C520</x:f>
        <x:v>-44.24843001411948</x:v>
      </x:c>
      <x:c r="I549" s="87"/>
      <x:c r="J549" s="87"/>
      <x:c r="K549" s="87"/>
      <x:c r="L549" s="87"/>
    </x:row>
    <x:row r="550">
      <x:c r="A550" s="11" t="str">
        <x:f>'Cumulative'!A521</x:f>
        <x:v>520</x:v>
      </x:c>
      <x:c r="B550" s="11" t="str">
        <x:f>'Cumulative'!B521</x:f>
      </x:c>
      <x:c r="C550" s="11" t="str">
        <x:f>'Cumulative'!C521</x:f>
        <x:v>-42.28426621515125</x:v>
      </x:c>
      <x:c r="D550" s="11" t="n">
        <x:f>'Cumulative'!D521</x:f>
        <x:v>0</x:v>
      </x:c>
      <x:c r="E550" s="11" t="n">
        <x:f>'Cumulative'!E521</x:f>
        <x:v>0</x:v>
      </x:c>
      <x:c r="G550" s="11" t="str">
        <x:f>'Cumulative'!A521</x:f>
        <x:v>520</x:v>
      </x:c>
      <x:c r="H550" s="11" t="str">
        <x:f>'Cumulative'!C521</x:f>
        <x:v>-42.28426621515125</x:v>
      </x:c>
      <x:c r="I550" s="87"/>
      <x:c r="J550" s="87"/>
      <x:c r="K550" s="87"/>
      <x:c r="L550" s="87"/>
    </x:row>
    <x:row r="551">
      <x:c r="A551" s="11" t="str">
        <x:f>'Cumulative'!A522</x:f>
        <x:v>521</x:v>
      </x:c>
      <x:c r="B551" s="11" t="str">
        <x:f>'Cumulative'!B522</x:f>
      </x:c>
      <x:c r="C551" s="11" t="str">
        <x:f>'Cumulative'!C522</x:f>
        <x:v>-42.42756125550612</x:v>
      </x:c>
      <x:c r="D551" s="11" t="n">
        <x:f>'Cumulative'!D522</x:f>
        <x:v>0</x:v>
      </x:c>
      <x:c r="E551" s="11" t="n">
        <x:f>'Cumulative'!E522</x:f>
        <x:v>0</x:v>
      </x:c>
      <x:c r="G551" s="11" t="str">
        <x:f>'Cumulative'!A522</x:f>
        <x:v>521</x:v>
      </x:c>
      <x:c r="H551" s="11" t="str">
        <x:f>'Cumulative'!C522</x:f>
        <x:v>-42.42756125550612</x:v>
      </x:c>
      <x:c r="I551" s="87"/>
      <x:c r="J551" s="87"/>
      <x:c r="K551" s="87"/>
      <x:c r="L551" s="87"/>
    </x:row>
    <x:row r="552">
      <x:c r="A552" s="11" t="str">
        <x:f>'Cumulative'!A523</x:f>
        <x:v>522</x:v>
      </x:c>
      <x:c r="B552" s="11" t="str">
        <x:f>'Cumulative'!B523</x:f>
      </x:c>
      <x:c r="C552" s="11" t="str">
        <x:f>'Cumulative'!C523</x:f>
        <x:v>-43.45069112025021</x:v>
      </x:c>
      <x:c r="D552" s="11" t="n">
        <x:f>'Cumulative'!D523</x:f>
        <x:v>0</x:v>
      </x:c>
      <x:c r="E552" s="11" t="n">
        <x:f>'Cumulative'!E523</x:f>
        <x:v>0</x:v>
      </x:c>
      <x:c r="G552" s="11" t="str">
        <x:f>'Cumulative'!A523</x:f>
        <x:v>522</x:v>
      </x:c>
      <x:c r="H552" s="11" t="str">
        <x:f>'Cumulative'!C523</x:f>
        <x:v>-43.45069112025021</x:v>
      </x:c>
      <x:c r="I552" s="87"/>
      <x:c r="J552" s="87"/>
      <x:c r="K552" s="87"/>
      <x:c r="L552" s="87"/>
    </x:row>
    <x:row r="553">
      <x:c r="A553" s="11" t="str">
        <x:f>'Cumulative'!A524</x:f>
        <x:v>523</x:v>
      </x:c>
      <x:c r="B553" s="11" t="str">
        <x:f>'Cumulative'!B524</x:f>
      </x:c>
      <x:c r="C553" s="11" t="str">
        <x:f>'Cumulative'!C524</x:f>
        <x:v>-43.08556429255204</x:v>
      </x:c>
      <x:c r="D553" s="11" t="n">
        <x:f>'Cumulative'!D524</x:f>
        <x:v>0</x:v>
      </x:c>
      <x:c r="E553" s="11" t="n">
        <x:f>'Cumulative'!E524</x:f>
        <x:v>0</x:v>
      </x:c>
      <x:c r="G553" s="11" t="str">
        <x:f>'Cumulative'!A524</x:f>
        <x:v>523</x:v>
      </x:c>
      <x:c r="H553" s="11" t="str">
        <x:f>'Cumulative'!C524</x:f>
        <x:v>-43.08556429255204</x:v>
      </x:c>
      <x:c r="I553" s="87"/>
      <x:c r="J553" s="87"/>
      <x:c r="K553" s="87"/>
      <x:c r="L553" s="87"/>
    </x:row>
    <x:row r="554">
      <x:c r="A554" s="11" t="str">
        <x:f>'Cumulative'!A525</x:f>
        <x:v>524</x:v>
      </x:c>
      <x:c r="B554" s="11" t="str">
        <x:f>'Cumulative'!B525</x:f>
      </x:c>
      <x:c r="C554" s="11" t="str">
        <x:f>'Cumulative'!C525</x:f>
        <x:v>-43.37450762486275</x:v>
      </x:c>
      <x:c r="D554" s="11" t="n">
        <x:f>'Cumulative'!D525</x:f>
        <x:v>0</x:v>
      </x:c>
      <x:c r="E554" s="11" t="n">
        <x:f>'Cumulative'!E525</x:f>
        <x:v>0</x:v>
      </x:c>
      <x:c r="G554" s="11" t="str">
        <x:f>'Cumulative'!A525</x:f>
        <x:v>524</x:v>
      </x:c>
      <x:c r="H554" s="11" t="str">
        <x:f>'Cumulative'!C525</x:f>
        <x:v>-43.37450762486275</x:v>
      </x:c>
      <x:c r="I554" s="87"/>
      <x:c r="J554" s="87"/>
      <x:c r="K554" s="87"/>
      <x:c r="L554" s="87"/>
    </x:row>
    <x:row r="555">
      <x:c r="A555" s="11" t="str">
        <x:f>'Cumulative'!A526</x:f>
        <x:v>525</x:v>
      </x:c>
      <x:c r="B555" s="11" t="str">
        <x:f>'Cumulative'!B526</x:f>
      </x:c>
      <x:c r="C555" s="11" t="str">
        <x:f>'Cumulative'!C526</x:f>
        <x:v>-44.440155042971185</x:v>
      </x:c>
      <x:c r="D555" s="11" t="n">
        <x:f>'Cumulative'!D526</x:f>
        <x:v>0</x:v>
      </x:c>
      <x:c r="E555" s="11" t="n">
        <x:f>'Cumulative'!E526</x:f>
        <x:v>0</x:v>
      </x:c>
      <x:c r="G555" s="11" t="str">
        <x:f>'Cumulative'!A526</x:f>
        <x:v>525</x:v>
      </x:c>
      <x:c r="H555" s="11" t="str">
        <x:f>'Cumulative'!C526</x:f>
        <x:v>-44.440155042971185</x:v>
      </x:c>
      <x:c r="I555" s="87"/>
      <x:c r="J555" s="87"/>
      <x:c r="K555" s="87"/>
      <x:c r="L555" s="87"/>
    </x:row>
    <x:row r="556">
      <x:c r="A556" s="11" t="str">
        <x:f>'Cumulative'!A527</x:f>
        <x:v>526</x:v>
      </x:c>
      <x:c r="B556" s="11" t="str">
        <x:f>'Cumulative'!B527</x:f>
      </x:c>
      <x:c r="C556" s="11" t="str">
        <x:f>'Cumulative'!C527</x:f>
        <x:v>-45.51198211035193</x:v>
      </x:c>
      <x:c r="D556" s="11" t="n">
        <x:f>'Cumulative'!D527</x:f>
        <x:v>0</x:v>
      </x:c>
      <x:c r="E556" s="11" t="n">
        <x:f>'Cumulative'!E527</x:f>
        <x:v>0</x:v>
      </x:c>
      <x:c r="G556" s="11" t="str">
        <x:f>'Cumulative'!A527</x:f>
        <x:v>526</x:v>
      </x:c>
      <x:c r="H556" s="11" t="str">
        <x:f>'Cumulative'!C527</x:f>
        <x:v>-45.51198211035193</x:v>
      </x:c>
      <x:c r="I556" s="87"/>
      <x:c r="J556" s="87"/>
      <x:c r="K556" s="87"/>
      <x:c r="L556" s="87"/>
    </x:row>
    <x:row r="557">
      <x:c r="A557" s="11" t="str">
        <x:f>'Cumulative'!A528</x:f>
        <x:v>527</x:v>
      </x:c>
      <x:c r="B557" s="11" t="str">
        <x:f>'Cumulative'!B528</x:f>
      </x:c>
      <x:c r="C557" s="11" t="str">
        <x:f>'Cumulative'!C528</x:f>
        <x:v>-46.08784166737849</x:v>
      </x:c>
      <x:c r="D557" s="11" t="n">
        <x:f>'Cumulative'!D528</x:f>
        <x:v>0</x:v>
      </x:c>
      <x:c r="E557" s="11" t="n">
        <x:f>'Cumulative'!E528</x:f>
        <x:v>0</x:v>
      </x:c>
      <x:c r="G557" s="11" t="str">
        <x:f>'Cumulative'!A528</x:f>
        <x:v>527</x:v>
      </x:c>
      <x:c r="H557" s="11" t="str">
        <x:f>'Cumulative'!C528</x:f>
        <x:v>-46.08784166737849</x:v>
      </x:c>
      <x:c r="I557" s="87"/>
      <x:c r="J557" s="87"/>
      <x:c r="K557" s="87"/>
      <x:c r="L557" s="87"/>
    </x:row>
    <x:row r="558">
      <x:c r="A558" s="11" t="str">
        <x:f>'Cumulative'!A529</x:f>
        <x:v>528</x:v>
      </x:c>
      <x:c r="B558" s="11" t="str">
        <x:f>'Cumulative'!B529</x:f>
      </x:c>
      <x:c r="C558" s="11" t="str">
        <x:f>'Cumulative'!C529</x:f>
        <x:v>-45.287267483430405</x:v>
      </x:c>
      <x:c r="D558" s="11" t="n">
        <x:f>'Cumulative'!D529</x:f>
        <x:v>0</x:v>
      </x:c>
      <x:c r="E558" s="11" t="n">
        <x:f>'Cumulative'!E529</x:f>
        <x:v>0</x:v>
      </x:c>
      <x:c r="G558" s="11" t="str">
        <x:f>'Cumulative'!A529</x:f>
        <x:v>528</x:v>
      </x:c>
      <x:c r="H558" s="11" t="str">
        <x:f>'Cumulative'!C529</x:f>
        <x:v>-45.287267483430405</x:v>
      </x:c>
      <x:c r="I558" s="87"/>
      <x:c r="J558" s="87"/>
      <x:c r="K558" s="87"/>
      <x:c r="L558" s="87"/>
    </x:row>
    <x:row r="559">
      <x:c r="A559" s="11" t="str">
        <x:f>'Cumulative'!A530</x:f>
        <x:v>529</x:v>
      </x:c>
      <x:c r="B559" s="11" t="str">
        <x:f>'Cumulative'!B530</x:f>
      </x:c>
      <x:c r="C559" s="11" t="str">
        <x:f>'Cumulative'!C530</x:f>
        <x:v>-46.38988335719051</x:v>
      </x:c>
      <x:c r="D559" s="11" t="n">
        <x:f>'Cumulative'!D530</x:f>
        <x:v>0</x:v>
      </x:c>
      <x:c r="E559" s="11" t="n">
        <x:f>'Cumulative'!E530</x:f>
        <x:v>0</x:v>
      </x:c>
      <x:c r="G559" s="11" t="str">
        <x:f>'Cumulative'!A530</x:f>
        <x:v>529</x:v>
      </x:c>
      <x:c r="H559" s="11" t="str">
        <x:f>'Cumulative'!C530</x:f>
        <x:v>-46.38988335719051</x:v>
      </x:c>
      <x:c r="I559" s="87"/>
      <x:c r="J559" s="87"/>
      <x:c r="K559" s="87"/>
      <x:c r="L559" s="87"/>
    </x:row>
    <x:row r="560">
      <x:c r="A560" s="11" t="str">
        <x:f>'Cumulative'!A531</x:f>
        <x:v>530</x:v>
      </x:c>
      <x:c r="B560" s="11" t="str">
        <x:f>'Cumulative'!B531</x:f>
      </x:c>
      <x:c r="C560" s="11" t="str">
        <x:f>'Cumulative'!C531</x:f>
        <x:v>-46.56993917457429</x:v>
      </x:c>
      <x:c r="D560" s="11" t="n">
        <x:f>'Cumulative'!D531</x:f>
        <x:v>0</x:v>
      </x:c>
      <x:c r="E560" s="11" t="n">
        <x:f>'Cumulative'!E531</x:f>
        <x:v>0</x:v>
      </x:c>
      <x:c r="G560" s="11" t="str">
        <x:f>'Cumulative'!A531</x:f>
        <x:v>530</x:v>
      </x:c>
      <x:c r="H560" s="11" t="str">
        <x:f>'Cumulative'!C531</x:f>
        <x:v>-46.56993917457429</x:v>
      </x:c>
      <x:c r="I560" s="87"/>
      <x:c r="J560" s="87"/>
      <x:c r="K560" s="87"/>
      <x:c r="L560" s="87"/>
    </x:row>
    <x:row r="561">
      <x:c r="A561" s="11" t="str">
        <x:f>'Cumulative'!A532</x:f>
        <x:v>531</x:v>
      </x:c>
      <x:c r="B561" s="11" t="str">
        <x:f>'Cumulative'!B532</x:f>
      </x:c>
      <x:c r="C561" s="11" t="str">
        <x:f>'Cumulative'!C532</x:f>
        <x:v>-47.128171089914275</x:v>
      </x:c>
      <x:c r="D561" s="11" t="n">
        <x:f>'Cumulative'!D532</x:f>
        <x:v>0</x:v>
      </x:c>
      <x:c r="E561" s="11" t="n">
        <x:f>'Cumulative'!E532</x:f>
        <x:v>0</x:v>
      </x:c>
      <x:c r="G561" s="11" t="str">
        <x:f>'Cumulative'!A532</x:f>
        <x:v>531</x:v>
      </x:c>
      <x:c r="H561" s="11" t="str">
        <x:f>'Cumulative'!C532</x:f>
        <x:v>-47.128171089914275</x:v>
      </x:c>
      <x:c r="I561" s="87"/>
      <x:c r="J561" s="87"/>
      <x:c r="K561" s="87"/>
      <x:c r="L561" s="87"/>
    </x:row>
    <x:row r="562">
      <x:c r="A562" s="11" t="str">
        <x:f>'Cumulative'!A533</x:f>
        <x:v>532</x:v>
      </x:c>
      <x:c r="B562" s="11" t="str">
        <x:f>'Cumulative'!B533</x:f>
      </x:c>
      <x:c r="C562" s="11" t="str">
        <x:f>'Cumulative'!C533</x:f>
        <x:v>-48.15346791267388</x:v>
      </x:c>
      <x:c r="D562" s="11" t="n">
        <x:f>'Cumulative'!D533</x:f>
        <x:v>0</x:v>
      </x:c>
      <x:c r="E562" s="11" t="n">
        <x:f>'Cumulative'!E533</x:f>
        <x:v>0</x:v>
      </x:c>
      <x:c r="G562" s="11" t="str">
        <x:f>'Cumulative'!A533</x:f>
        <x:v>532</x:v>
      </x:c>
      <x:c r="H562" s="11" t="str">
        <x:f>'Cumulative'!C533</x:f>
        <x:v>-48.15346791267388</x:v>
      </x:c>
      <x:c r="I562" s="87"/>
      <x:c r="J562" s="87"/>
      <x:c r="K562" s="87"/>
      <x:c r="L562" s="87"/>
    </x:row>
    <x:row r="563">
      <x:c r="A563" s="11" t="str">
        <x:f>'Cumulative'!A534</x:f>
        <x:v>533</x:v>
      </x:c>
      <x:c r="B563" s="11" t="str">
        <x:f>'Cumulative'!B534</x:f>
      </x:c>
      <x:c r="C563" s="11" t="str">
        <x:f>'Cumulative'!C534</x:f>
        <x:v>-47.85034115116834</x:v>
      </x:c>
      <x:c r="D563" s="11" t="n">
        <x:f>'Cumulative'!D534</x:f>
        <x:v>0</x:v>
      </x:c>
      <x:c r="E563" s="11" t="n">
        <x:f>'Cumulative'!E534</x:f>
        <x:v>0</x:v>
      </x:c>
      <x:c r="G563" s="11" t="str">
        <x:f>'Cumulative'!A534</x:f>
        <x:v>533</x:v>
      </x:c>
      <x:c r="H563" s="11" t="str">
        <x:f>'Cumulative'!C534</x:f>
        <x:v>-47.85034115116834</x:v>
      </x:c>
      <x:c r="I563" s="87"/>
      <x:c r="J563" s="87"/>
      <x:c r="K563" s="87"/>
      <x:c r="L563" s="87"/>
    </x:row>
    <x:row r="564">
      <x:c r="A564" s="11" t="str">
        <x:f>'Cumulative'!A535</x:f>
        <x:v>534</x:v>
      </x:c>
      <x:c r="B564" s="11" t="str">
        <x:f>'Cumulative'!B535</x:f>
      </x:c>
      <x:c r="C564" s="11" t="str">
        <x:f>'Cumulative'!C535</x:f>
        <x:v>-48.891867195421575</x:v>
      </x:c>
      <x:c r="D564" s="11" t="n">
        <x:f>'Cumulative'!D535</x:f>
        <x:v>0</x:v>
      </x:c>
      <x:c r="E564" s="11" t="n">
        <x:f>'Cumulative'!E535</x:f>
        <x:v>0</x:v>
      </x:c>
      <x:c r="G564" s="11" t="str">
        <x:f>'Cumulative'!A535</x:f>
        <x:v>534</x:v>
      </x:c>
      <x:c r="H564" s="11" t="str">
        <x:f>'Cumulative'!C535</x:f>
        <x:v>-48.891867195421575</x:v>
      </x:c>
      <x:c r="I564" s="87"/>
      <x:c r="J564" s="87"/>
      <x:c r="K564" s="87"/>
      <x:c r="L564" s="87"/>
    </x:row>
    <x:row r="565">
      <x:c r="A565" s="11" t="str">
        <x:f>'Cumulative'!A536</x:f>
        <x:v>535</x:v>
      </x:c>
      <x:c r="B565" s="11" t="str">
        <x:f>'Cumulative'!B536</x:f>
      </x:c>
      <x:c r="C565" s="11" t="str">
        <x:f>'Cumulative'!C536</x:f>
        <x:v>-47.864185529677634</x:v>
      </x:c>
      <x:c r="D565" s="11" t="n">
        <x:f>'Cumulative'!D536</x:f>
        <x:v>0</x:v>
      </x:c>
      <x:c r="E565" s="11" t="n">
        <x:f>'Cumulative'!E536</x:f>
        <x:v>0</x:v>
      </x:c>
      <x:c r="G565" s="11" t="str">
        <x:f>'Cumulative'!A536</x:f>
        <x:v>535</x:v>
      </x:c>
      <x:c r="H565" s="11" t="str">
        <x:f>'Cumulative'!C536</x:f>
        <x:v>-47.864185529677634</x:v>
      </x:c>
      <x:c r="I565" s="87"/>
      <x:c r="J565" s="87"/>
      <x:c r="K565" s="87"/>
      <x:c r="L565" s="87"/>
    </x:row>
    <x:row r="566">
      <x:c r="A566" s="11" t="str">
        <x:f>'Cumulative'!A537</x:f>
        <x:v>536</x:v>
      </x:c>
      <x:c r="B566" s="11" t="str">
        <x:f>'Cumulative'!B537</x:f>
      </x:c>
      <x:c r="C566" s="11" t="str">
        <x:f>'Cumulative'!C537</x:f>
        <x:v>-45.93487922144019</x:v>
      </x:c>
      <x:c r="D566" s="11" t="n">
        <x:f>'Cumulative'!D537</x:f>
        <x:v>0</x:v>
      </x:c>
      <x:c r="E566" s="11" t="n">
        <x:f>'Cumulative'!E537</x:f>
        <x:v>0</x:v>
      </x:c>
      <x:c r="G566" s="11" t="str">
        <x:f>'Cumulative'!A537</x:f>
        <x:v>536</x:v>
      </x:c>
      <x:c r="H566" s="11" t="str">
        <x:f>'Cumulative'!C537</x:f>
        <x:v>-45.93487922144019</x:v>
      </x:c>
      <x:c r="I566" s="87"/>
      <x:c r="J566" s="87"/>
      <x:c r="K566" s="87"/>
      <x:c r="L566" s="87"/>
    </x:row>
    <x:row r="567">
      <x:c r="A567" s="11" t="str">
        <x:f>'Cumulative'!A538</x:f>
        <x:v>537</x:v>
      </x:c>
      <x:c r="B567" s="11" t="str">
        <x:f>'Cumulative'!B538</x:f>
      </x:c>
      <x:c r="C567" s="11" t="str">
        <x:f>'Cumulative'!C538</x:f>
        <x:v>-46.95737582849657</x:v>
      </x:c>
      <x:c r="D567" s="11" t="n">
        <x:f>'Cumulative'!D538</x:f>
        <x:v>0</x:v>
      </x:c>
      <x:c r="E567" s="11" t="n">
        <x:f>'Cumulative'!E538</x:f>
        <x:v>0</x:v>
      </x:c>
      <x:c r="G567" s="11" t="str">
        <x:f>'Cumulative'!A538</x:f>
        <x:v>537</x:v>
      </x:c>
      <x:c r="H567" s="11" t="str">
        <x:f>'Cumulative'!C538</x:f>
        <x:v>-46.95737582849657</x:v>
      </x:c>
      <x:c r="I567" s="87"/>
      <x:c r="J567" s="87"/>
      <x:c r="K567" s="87"/>
      <x:c r="L567" s="87"/>
    </x:row>
    <x:row r="568">
      <x:c r="A568" s="11" t="str">
        <x:f>'Cumulative'!A539</x:f>
        <x:v>538</x:v>
      </x:c>
      <x:c r="B568" s="11" t="str">
        <x:f>'Cumulative'!B539</x:f>
      </x:c>
      <x:c r="C568" s="11" t="str">
        <x:f>'Cumulative'!C539</x:f>
        <x:v>-46.584629398546355</x:v>
      </x:c>
      <x:c r="D568" s="11" t="n">
        <x:f>'Cumulative'!D539</x:f>
        <x:v>0</x:v>
      </x:c>
      <x:c r="E568" s="11" t="n">
        <x:f>'Cumulative'!E539</x:f>
        <x:v>0</x:v>
      </x:c>
      <x:c r="G568" s="11" t="str">
        <x:f>'Cumulative'!A539</x:f>
        <x:v>538</x:v>
      </x:c>
      <x:c r="H568" s="11" t="str">
        <x:f>'Cumulative'!C539</x:f>
        <x:v>-46.584629398546355</x:v>
      </x:c>
      <x:c r="I568" s="87"/>
      <x:c r="J568" s="87"/>
      <x:c r="K568" s="87"/>
      <x:c r="L568" s="87"/>
    </x:row>
    <x:row r="569">
      <x:c r="A569" s="11" t="str">
        <x:f>'Cumulative'!A540</x:f>
        <x:v>539</x:v>
      </x:c>
      <x:c r="B569" s="11" t="str">
        <x:f>'Cumulative'!B540</x:f>
      </x:c>
      <x:c r="C569" s="11" t="str">
        <x:f>'Cumulative'!C540</x:f>
        <x:v>-47.61828357232528</x:v>
      </x:c>
      <x:c r="D569" s="11" t="n">
        <x:f>'Cumulative'!D540</x:f>
        <x:v>0</x:v>
      </x:c>
      <x:c r="E569" s="11" t="n">
        <x:f>'Cumulative'!E540</x:f>
        <x:v>0</x:v>
      </x:c>
      <x:c r="G569" s="11" t="str">
        <x:f>'Cumulative'!A540</x:f>
        <x:v>539</x:v>
      </x:c>
      <x:c r="H569" s="11" t="str">
        <x:f>'Cumulative'!C540</x:f>
        <x:v>-47.61828357232528</x:v>
      </x:c>
      <x:c r="I569" s="87"/>
      <x:c r="J569" s="87"/>
      <x:c r="K569" s="87"/>
      <x:c r="L569" s="87"/>
    </x:row>
    <x:row r="570">
      <x:c r="A570" s="11" t="str">
        <x:f>'Cumulative'!A541</x:f>
        <x:v>540</x:v>
      </x:c>
      <x:c r="B570" s="11" t="str">
        <x:f>'Cumulative'!B541</x:f>
      </x:c>
      <x:c r="C570" s="11" t="str">
        <x:f>'Cumulative'!C541</x:f>
        <x:v>-48.66640087631262</x:v>
      </x:c>
      <x:c r="D570" s="11" t="n">
        <x:f>'Cumulative'!D541</x:f>
        <x:v>0</x:v>
      </x:c>
      <x:c r="E570" s="11" t="n">
        <x:f>'Cumulative'!E541</x:f>
        <x:v>0</x:v>
      </x:c>
      <x:c r="G570" s="11" t="str">
        <x:f>'Cumulative'!A541</x:f>
        <x:v>540</x:v>
      </x:c>
      <x:c r="H570" s="11" t="str">
        <x:f>'Cumulative'!C541</x:f>
        <x:v>-48.66640087631262</x:v>
      </x:c>
      <x:c r="I570" s="87"/>
      <x:c r="J570" s="87"/>
      <x:c r="K570" s="87"/>
      <x:c r="L570" s="87"/>
    </x:row>
    <x:row r="571">
      <x:c r="A571" s="11" t="str">
        <x:f>'Cumulative'!A542</x:f>
        <x:v>541</x:v>
      </x:c>
      <x:c r="B571" s="11" t="str">
        <x:f>'Cumulative'!B542</x:f>
      </x:c>
      <x:c r="C571" s="11" t="str">
        <x:f>'Cumulative'!C542</x:f>
        <x:v>-47.374286866104185</x:v>
      </x:c>
      <x:c r="D571" s="11" t="n">
        <x:f>'Cumulative'!D542</x:f>
        <x:v>0</x:v>
      </x:c>
      <x:c r="E571" s="11" t="n">
        <x:f>'Cumulative'!E542</x:f>
        <x:v>0</x:v>
      </x:c>
      <x:c r="G571" s="11" t="str">
        <x:f>'Cumulative'!A542</x:f>
        <x:v>541</x:v>
      </x:c>
      <x:c r="H571" s="11" t="str">
        <x:f>'Cumulative'!C542</x:f>
        <x:v>-47.374286866104185</x:v>
      </x:c>
      <x:c r="I571" s="87"/>
      <x:c r="J571" s="87"/>
      <x:c r="K571" s="87"/>
      <x:c r="L571" s="87"/>
    </x:row>
    <x:row r="572">
      <x:c r="A572" s="11" t="str">
        <x:f>'Cumulative'!A543</x:f>
        <x:v>542</x:v>
      </x:c>
      <x:c r="B572" s="11" t="str">
        <x:f>'Cumulative'!B543</x:f>
      </x:c>
      <x:c r="C572" s="11" t="str">
        <x:f>'Cumulative'!C543</x:f>
        <x:v>-46.98049232156966</x:v>
      </x:c>
      <x:c r="D572" s="11" t="n">
        <x:f>'Cumulative'!D543</x:f>
        <x:v>0</x:v>
      </x:c>
      <x:c r="E572" s="11" t="n">
        <x:f>'Cumulative'!E543</x:f>
        <x:v>0</x:v>
      </x:c>
      <x:c r="G572" s="11" t="str">
        <x:f>'Cumulative'!A543</x:f>
        <x:v>542</x:v>
      </x:c>
      <x:c r="H572" s="11" t="str">
        <x:f>'Cumulative'!C543</x:f>
        <x:v>-46.98049232156966</x:v>
      </x:c>
      <x:c r="I572" s="87"/>
      <x:c r="J572" s="87"/>
      <x:c r="K572" s="87"/>
      <x:c r="L572" s="87"/>
    </x:row>
    <x:row r="573">
      <x:c r="A573" s="11" t="str">
        <x:f>'Cumulative'!A544</x:f>
        <x:v>543</x:v>
      </x:c>
      <x:c r="B573" s="11" t="str">
        <x:f>'Cumulative'!B544</x:f>
      </x:c>
      <x:c r="C573" s="11" t="str">
        <x:f>'Cumulative'!C544</x:f>
        <x:v>-48.014188676073154</x:v>
      </x:c>
      <x:c r="D573" s="11" t="n">
        <x:f>'Cumulative'!D544</x:f>
        <x:v>0</x:v>
      </x:c>
      <x:c r="E573" s="11" t="n">
        <x:f>'Cumulative'!E544</x:f>
        <x:v>0</x:v>
      </x:c>
      <x:c r="G573" s="11" t="str">
        <x:f>'Cumulative'!A544</x:f>
        <x:v>543</x:v>
      </x:c>
      <x:c r="H573" s="11" t="str">
        <x:f>'Cumulative'!C544</x:f>
        <x:v>-48.014188676073154</x:v>
      </x:c>
      <x:c r="I573" s="87"/>
      <x:c r="J573" s="87"/>
      <x:c r="K573" s="87"/>
      <x:c r="L573" s="87"/>
    </x:row>
    <x:row r="574">
      <x:c r="A574" s="11" t="str">
        <x:f>'Cumulative'!A545</x:f>
        <x:v>544</x:v>
      </x:c>
      <x:c r="B574" s="11" t="str">
        <x:f>'Cumulative'!B545</x:f>
      </x:c>
      <x:c r="C574" s="11" t="str">
        <x:f>'Cumulative'!C545</x:f>
        <x:v>-47.82254564132664</x:v>
      </x:c>
      <x:c r="D574" s="11" t="n">
        <x:f>'Cumulative'!D545</x:f>
        <x:v>0</x:v>
      </x:c>
      <x:c r="E574" s="11" t="n">
        <x:f>'Cumulative'!E545</x:f>
        <x:v>0</x:v>
      </x:c>
      <x:c r="G574" s="11" t="str">
        <x:f>'Cumulative'!A545</x:f>
        <x:v>544</x:v>
      </x:c>
      <x:c r="H574" s="11" t="str">
        <x:f>'Cumulative'!C545</x:f>
        <x:v>-47.82254564132664</x:v>
      </x:c>
      <x:c r="I574" s="87"/>
      <x:c r="J574" s="87"/>
      <x:c r="K574" s="87"/>
      <x:c r="L574" s="87"/>
    </x:row>
    <x:row r="575">
      <x:c r="A575" s="11" t="str">
        <x:f>'Cumulative'!A546</x:f>
        <x:v>545</x:v>
      </x:c>
      <x:c r="B575" s="11" t="str">
        <x:f>'Cumulative'!B546</x:f>
      </x:c>
      <x:c r="C575" s="11" t="str">
        <x:f>'Cumulative'!C546</x:f>
        <x:v>-46.153502035782445</x:v>
      </x:c>
      <x:c r="D575" s="11" t="n">
        <x:f>'Cumulative'!D546</x:f>
        <x:v>0</x:v>
      </x:c>
      <x:c r="E575" s="11" t="n">
        <x:f>'Cumulative'!E546</x:f>
        <x:v>0</x:v>
      </x:c>
      <x:c r="G575" s="11" t="str">
        <x:f>'Cumulative'!A546</x:f>
        <x:v>545</x:v>
      </x:c>
      <x:c r="H575" s="11" t="str">
        <x:f>'Cumulative'!C546</x:f>
        <x:v>-46.153502035782445</x:v>
      </x:c>
      <x:c r="I575" s="87"/>
      <x:c r="J575" s="87"/>
      <x:c r="K575" s="87"/>
      <x:c r="L575" s="87"/>
    </x:row>
    <x:row r="576">
      <x:c r="A576" s="11" t="str">
        <x:f>'Cumulative'!A547</x:f>
        <x:v>546</x:v>
      </x:c>
      <x:c r="B576" s="11" t="str">
        <x:f>'Cumulative'!B547</x:f>
      </x:c>
      <x:c r="C576" s="11" t="str">
        <x:f>'Cumulative'!C547</x:f>
        <x:v>-46.712867436000685</x:v>
      </x:c>
      <x:c r="D576" s="11" t="n">
        <x:f>'Cumulative'!D547</x:f>
        <x:v>0</x:v>
      </x:c>
      <x:c r="E576" s="11" t="n">
        <x:f>'Cumulative'!E547</x:f>
        <x:v>0</x:v>
      </x:c>
      <x:c r="G576" s="11" t="str">
        <x:f>'Cumulative'!A547</x:f>
        <x:v>546</x:v>
      </x:c>
      <x:c r="H576" s="11" t="str">
        <x:f>'Cumulative'!C547</x:f>
        <x:v>-46.712867436000685</x:v>
      </x:c>
      <x:c r="I576" s="87"/>
      <x:c r="J576" s="87"/>
      <x:c r="K576" s="87"/>
      <x:c r="L576" s="87"/>
    </x:row>
    <x:row r="577">
      <x:c r="A577" s="11" t="str">
        <x:f>'Cumulative'!A548</x:f>
        <x:v>547</x:v>
      </x:c>
      <x:c r="B577" s="11" t="str">
        <x:f>'Cumulative'!B548</x:f>
      </x:c>
      <x:c r="C577" s="11" t="str">
        <x:f>'Cumulative'!C548</x:f>
        <x:v>-45.49506743866586</x:v>
      </x:c>
      <x:c r="D577" s="11" t="n">
        <x:f>'Cumulative'!D548</x:f>
        <x:v>0</x:v>
      </x:c>
      <x:c r="E577" s="11" t="n">
        <x:f>'Cumulative'!E548</x:f>
        <x:v>0</x:v>
      </x:c>
      <x:c r="G577" s="11" t="str">
        <x:f>'Cumulative'!A548</x:f>
        <x:v>547</x:v>
      </x:c>
      <x:c r="H577" s="11" t="str">
        <x:f>'Cumulative'!C548</x:f>
        <x:v>-45.49506743866586</x:v>
      </x:c>
      <x:c r="I577" s="87"/>
      <x:c r="J577" s="87"/>
      <x:c r="K577" s="87"/>
      <x:c r="L577" s="87"/>
    </x:row>
    <x:row r="578">
      <x:c r="A578" s="11" t="str">
        <x:f>'Cumulative'!A549</x:f>
        <x:v>548</x:v>
      </x:c>
      <x:c r="B578" s="11" t="str">
        <x:f>'Cumulative'!B549</x:f>
      </x:c>
      <x:c r="C578" s="11" t="str">
        <x:f>'Cumulative'!C549</x:f>
        <x:v>-43.5330016207327</x:v>
      </x:c>
      <x:c r="D578" s="11" t="n">
        <x:f>'Cumulative'!D549</x:f>
        <x:v>0</x:v>
      </x:c>
      <x:c r="E578" s="11" t="n">
        <x:f>'Cumulative'!E549</x:f>
        <x:v>0</x:v>
      </x:c>
      <x:c r="G578" s="11" t="str">
        <x:f>'Cumulative'!A549</x:f>
        <x:v>548</x:v>
      </x:c>
      <x:c r="H578" s="11" t="str">
        <x:f>'Cumulative'!C549</x:f>
        <x:v>-43.5330016207327</x:v>
      </x:c>
      <x:c r="I578" s="87"/>
      <x:c r="J578" s="87"/>
      <x:c r="K578" s="87"/>
      <x:c r="L578" s="87"/>
    </x:row>
    <x:row r="579">
      <x:c r="A579" s="11" t="str">
        <x:f>'Cumulative'!A550</x:f>
        <x:v>549</x:v>
      </x:c>
      <x:c r="B579" s="11" t="str">
        <x:f>'Cumulative'!B550</x:f>
      </x:c>
      <x:c r="C579" s="11" t="str">
        <x:f>'Cumulative'!C550</x:f>
        <x:v>-43.98484657799303</x:v>
      </x:c>
      <x:c r="D579" s="11" t="n">
        <x:f>'Cumulative'!D550</x:f>
        <x:v>0</x:v>
      </x:c>
      <x:c r="E579" s="11" t="n">
        <x:f>'Cumulative'!E550</x:f>
        <x:v>0</x:v>
      </x:c>
      <x:c r="G579" s="11" t="str">
        <x:f>'Cumulative'!A550</x:f>
        <x:v>549</x:v>
      </x:c>
      <x:c r="H579" s="11" t="str">
        <x:f>'Cumulative'!C550</x:f>
        <x:v>-43.98484657799303</x:v>
      </x:c>
      <x:c r="I579" s="87"/>
      <x:c r="J579" s="87"/>
      <x:c r="K579" s="87"/>
      <x:c r="L579" s="87"/>
    </x:row>
    <x:row r="580">
      <x:c r="A580" s="11" t="str">
        <x:f>'Cumulative'!A551</x:f>
        <x:v>550</x:v>
      </x:c>
      <x:c r="B580" s="11" t="str">
        <x:f>'Cumulative'!B551</x:f>
      </x:c>
      <x:c r="C580" s="11" t="str">
        <x:f>'Cumulative'!C551</x:f>
        <x:v>-45.01255697936765</x:v>
      </x:c>
      <x:c r="D580" s="11" t="n">
        <x:f>'Cumulative'!D551</x:f>
        <x:v>0</x:v>
      </x:c>
      <x:c r="E580" s="11" t="n">
        <x:f>'Cumulative'!E551</x:f>
        <x:v>0</x:v>
      </x:c>
      <x:c r="G580" s="11" t="str">
        <x:f>'Cumulative'!A551</x:f>
        <x:v>550</x:v>
      </x:c>
      <x:c r="H580" s="11" t="str">
        <x:f>'Cumulative'!C551</x:f>
        <x:v>-45.01255697936765</x:v>
      </x:c>
      <x:c r="I580" s="87"/>
      <x:c r="J580" s="87"/>
      <x:c r="K580" s="87"/>
      <x:c r="L580" s="87"/>
    </x:row>
    <x:row r="581">
      <x:c r="A581" s="11" t="str">
        <x:f>'Cumulative'!A552</x:f>
        <x:v>551</x:v>
      </x:c>
      <x:c r="B581" s="11" t="str">
        <x:f>'Cumulative'!B552</x:f>
      </x:c>
      <x:c r="C581" s="11" t="str">
        <x:f>'Cumulative'!C552</x:f>
        <x:v>-43.209320825029444</x:v>
      </x:c>
      <x:c r="D581" s="11" t="n">
        <x:f>'Cumulative'!D552</x:f>
        <x:v>0</x:v>
      </x:c>
      <x:c r="E581" s="11" t="n">
        <x:f>'Cumulative'!E552</x:f>
        <x:v>0</x:v>
      </x:c>
      <x:c r="G581" s="11" t="str">
        <x:f>'Cumulative'!A552</x:f>
        <x:v>551</x:v>
      </x:c>
      <x:c r="H581" s="11" t="str">
        <x:f>'Cumulative'!C552</x:f>
        <x:v>-43.209320825029444</x:v>
      </x:c>
      <x:c r="I581" s="87"/>
      <x:c r="J581" s="87"/>
      <x:c r="K581" s="87"/>
      <x:c r="L581" s="87"/>
    </x:row>
    <x:row r="582">
      <x:c r="A582" s="11" t="str">
        <x:f>'Cumulative'!A553</x:f>
        <x:v>552</x:v>
      </x:c>
      <x:c r="B582" s="11" t="str">
        <x:f>'Cumulative'!B553</x:f>
      </x:c>
      <x:c r="C582" s="11" t="str">
        <x:f>'Cumulative'!C553</x:f>
        <x:v>-43.46791039234275</x:v>
      </x:c>
      <x:c r="D582" s="11" t="n">
        <x:f>'Cumulative'!D553</x:f>
        <x:v>0</x:v>
      </x:c>
      <x:c r="E582" s="11" t="n">
        <x:f>'Cumulative'!E553</x:f>
        <x:v>0</x:v>
      </x:c>
      <x:c r="G582" s="11" t="str">
        <x:f>'Cumulative'!A553</x:f>
        <x:v>552</x:v>
      </x:c>
      <x:c r="H582" s="11" t="str">
        <x:f>'Cumulative'!C553</x:f>
        <x:v>-43.46791039234275</x:v>
      </x:c>
      <x:c r="I582" s="87"/>
      <x:c r="J582" s="87"/>
      <x:c r="K582" s="87"/>
      <x:c r="L582" s="87"/>
    </x:row>
    <x:row r="583">
      <x:c r="A583" s="11" t="str">
        <x:f>'Cumulative'!A554</x:f>
        <x:v>553</x:v>
      </x:c>
      <x:c r="B583" s="11" t="str">
        <x:f>'Cumulative'!B554</x:f>
      </x:c>
      <x:c r="C583" s="11" t="str">
        <x:f>'Cumulative'!C554</x:f>
        <x:v>-44.49601332773547</x:v>
      </x:c>
      <x:c r="D583" s="11" t="n">
        <x:f>'Cumulative'!D554</x:f>
        <x:v>0</x:v>
      </x:c>
      <x:c r="E583" s="11" t="n">
        <x:f>'Cumulative'!E554</x:f>
        <x:v>0</x:v>
      </x:c>
      <x:c r="G583" s="11" t="str">
        <x:f>'Cumulative'!A554</x:f>
        <x:v>553</x:v>
      </x:c>
      <x:c r="H583" s="11" t="str">
        <x:f>'Cumulative'!C554</x:f>
        <x:v>-44.49601332773547</x:v>
      </x:c>
      <x:c r="I583" s="87"/>
      <x:c r="J583" s="87"/>
      <x:c r="K583" s="87"/>
      <x:c r="L583" s="87"/>
    </x:row>
    <x:row r="584">
      <x:c r="A584" s="11" t="str">
        <x:f>'Cumulative'!A555</x:f>
        <x:v>554</x:v>
      </x:c>
      <x:c r="B584" s="11" t="str">
        <x:f>'Cumulative'!B555</x:f>
      </x:c>
      <x:c r="C584" s="11" t="str">
        <x:f>'Cumulative'!C555</x:f>
        <x:v>-42.51213553247155</x:v>
      </x:c>
      <x:c r="D584" s="11" t="n">
        <x:f>'Cumulative'!D555</x:f>
        <x:v>0</x:v>
      </x:c>
      <x:c r="E584" s="11" t="n">
        <x:f>'Cumulative'!E555</x:f>
        <x:v>0</x:v>
      </x:c>
      <x:c r="G584" s="11" t="str">
        <x:f>'Cumulative'!A555</x:f>
        <x:v>554</x:v>
      </x:c>
      <x:c r="H584" s="11" t="str">
        <x:f>'Cumulative'!C555</x:f>
        <x:v>-42.51213553247155</x:v>
      </x:c>
      <x:c r="I584" s="87"/>
      <x:c r="J584" s="87"/>
      <x:c r="K584" s="87"/>
      <x:c r="L584" s="87"/>
    </x:row>
    <x:row r="585">
      <x:c r="A585" s="11" t="str">
        <x:f>'Cumulative'!A556</x:f>
        <x:v>555</x:v>
      </x:c>
      <x:c r="B585" s="11" t="str">
        <x:f>'Cumulative'!B556</x:f>
      </x:c>
      <x:c r="C585" s="11" t="str">
        <x:f>'Cumulative'!C556</x:f>
        <x:v>-43.543011483710025</x:v>
      </x:c>
      <x:c r="D585" s="11" t="n">
        <x:f>'Cumulative'!D556</x:f>
        <x:v>0</x:v>
      </x:c>
      <x:c r="E585" s="11" t="n">
        <x:f>'Cumulative'!E556</x:f>
        <x:v>0</x:v>
      </x:c>
      <x:c r="G585" s="11" t="str">
        <x:f>'Cumulative'!A556</x:f>
        <x:v>555</x:v>
      </x:c>
      <x:c r="H585" s="11" t="str">
        <x:f>'Cumulative'!C556</x:f>
        <x:v>-43.543011483710025</x:v>
      </x:c>
      <x:c r="I585" s="87"/>
      <x:c r="J585" s="87"/>
      <x:c r="K585" s="87"/>
      <x:c r="L585" s="87"/>
    </x:row>
    <x:row r="586">
      <x:c r="A586" s="11" t="str">
        <x:f>'Cumulative'!A557</x:f>
        <x:v>556</x:v>
      </x:c>
      <x:c r="B586" s="11" t="str">
        <x:f>'Cumulative'!B557</x:f>
      </x:c>
      <x:c r="C586" s="11" t="str">
        <x:f>'Cumulative'!C557</x:f>
        <x:v>-44.578871379289495</x:v>
      </x:c>
      <x:c r="D586" s="11" t="n">
        <x:f>'Cumulative'!D557</x:f>
        <x:v>0</x:v>
      </x:c>
      <x:c r="E586" s="11" t="n">
        <x:f>'Cumulative'!E557</x:f>
        <x:v>0</x:v>
      </x:c>
      <x:c r="G586" s="11" t="str">
        <x:f>'Cumulative'!A557</x:f>
        <x:v>556</x:v>
      </x:c>
      <x:c r="H586" s="11" t="str">
        <x:f>'Cumulative'!C557</x:f>
        <x:v>-44.578871379289495</x:v>
      </x:c>
      <x:c r="I586" s="87"/>
      <x:c r="J586" s="87"/>
      <x:c r="K586" s="87"/>
      <x:c r="L586" s="87"/>
    </x:row>
    <x:row r="587">
      <x:c r="A587" s="11" t="str">
        <x:f>'Cumulative'!A558</x:f>
        <x:v>557</x:v>
      </x:c>
      <x:c r="B587" s="11" t="str">
        <x:f>'Cumulative'!B558</x:f>
      </x:c>
      <x:c r="C587" s="11" t="str">
        <x:f>'Cumulative'!C558</x:f>
        <x:v>-43.93165827615057</x:v>
      </x:c>
      <x:c r="D587" s="11" t="n">
        <x:f>'Cumulative'!D558</x:f>
        <x:v>0</x:v>
      </x:c>
      <x:c r="E587" s="11" t="n">
        <x:f>'Cumulative'!E558</x:f>
        <x:v>0</x:v>
      </x:c>
      <x:c r="G587" s="11" t="str">
        <x:f>'Cumulative'!A558</x:f>
        <x:v>557</x:v>
      </x:c>
      <x:c r="H587" s="11" t="str">
        <x:f>'Cumulative'!C558</x:f>
        <x:v>-43.93165827615057</x:v>
      </x:c>
      <x:c r="I587" s="87"/>
      <x:c r="J587" s="87"/>
      <x:c r="K587" s="87"/>
      <x:c r="L587" s="87"/>
    </x:row>
    <x:row r="588">
      <x:c r="A588" s="11" t="str">
        <x:f>'Cumulative'!A559</x:f>
        <x:v>558</x:v>
      </x:c>
      <x:c r="B588" s="11" t="str">
        <x:f>'Cumulative'!B559</x:f>
      </x:c>
      <x:c r="C588" s="11" t="str">
        <x:f>'Cumulative'!C559</x:f>
        <x:v>-44.938957336758044</x:v>
      </x:c>
      <x:c r="D588" s="11" t="n">
        <x:f>'Cumulative'!D559</x:f>
        <x:v>0</x:v>
      </x:c>
      <x:c r="E588" s="11" t="n">
        <x:f>'Cumulative'!E559</x:f>
        <x:v>0</x:v>
      </x:c>
      <x:c r="G588" s="11" t="str">
        <x:f>'Cumulative'!A559</x:f>
        <x:v>558</x:v>
      </x:c>
      <x:c r="H588" s="11" t="str">
        <x:f>'Cumulative'!C559</x:f>
        <x:v>-44.938957336758044</x:v>
      </x:c>
      <x:c r="I588" s="87"/>
      <x:c r="J588" s="87"/>
      <x:c r="K588" s="87"/>
      <x:c r="L588" s="87"/>
    </x:row>
    <x:row r="589">
      <x:c r="A589" s="11" t="str">
        <x:f>'Cumulative'!A560</x:f>
        <x:v>559</x:v>
      </x:c>
      <x:c r="B589" s="11" t="str">
        <x:f>'Cumulative'!B560</x:f>
      </x:c>
      <x:c r="C589" s="11" t="str">
        <x:f>'Cumulative'!C560</x:f>
        <x:v>-45.94634777905315</x:v>
      </x:c>
      <x:c r="D589" s="11" t="n">
        <x:f>'Cumulative'!D560</x:f>
        <x:v>0</x:v>
      </x:c>
      <x:c r="E589" s="11" t="n">
        <x:f>'Cumulative'!E560</x:f>
        <x:v>0</x:v>
      </x:c>
      <x:c r="G589" s="11" t="str">
        <x:f>'Cumulative'!A560</x:f>
        <x:v>559</x:v>
      </x:c>
      <x:c r="H589" s="11" t="str">
        <x:f>'Cumulative'!C560</x:f>
        <x:v>-45.94634777905315</x:v>
      </x:c>
      <x:c r="I589" s="87"/>
      <x:c r="J589" s="87"/>
      <x:c r="K589" s="87"/>
      <x:c r="L589" s="87"/>
    </x:row>
    <x:row r="590">
      <x:c r="A590" s="11" t="str">
        <x:f>'Cumulative'!A561</x:f>
        <x:v>560</x:v>
      </x:c>
      <x:c r="B590" s="11" t="str">
        <x:f>'Cumulative'!B561</x:f>
      </x:c>
      <x:c r="C590" s="11" t="str">
        <x:f>'Cumulative'!C561</x:f>
        <x:v>-46.9555226205528</x:v>
      </x:c>
      <x:c r="D590" s="11" t="n">
        <x:f>'Cumulative'!D561</x:f>
        <x:v>0</x:v>
      </x:c>
      <x:c r="E590" s="11" t="n">
        <x:f>'Cumulative'!E561</x:f>
        <x:v>0</x:v>
      </x:c>
      <x:c r="G590" s="11" t="str">
        <x:f>'Cumulative'!A561</x:f>
        <x:v>560</x:v>
      </x:c>
      <x:c r="H590" s="11" t="str">
        <x:f>'Cumulative'!C561</x:f>
        <x:v>-46.9555226205528</x:v>
      </x:c>
      <x:c r="I590" s="87"/>
      <x:c r="J590" s="87"/>
      <x:c r="K590" s="87"/>
      <x:c r="L590" s="87"/>
    </x:row>
    <x:row r="591">
      <x:c r="A591" s="11" t="str">
        <x:f>'Cumulative'!A562</x:f>
        <x:v>561</x:v>
      </x:c>
      <x:c r="B591" s="11" t="str">
        <x:f>'Cumulative'!B562</x:f>
      </x:c>
      <x:c r="C591" s="11" t="str">
        <x:f>'Cumulative'!C562</x:f>
        <x:v>-47.97976697970456</x:v>
      </x:c>
      <x:c r="D591" s="11" t="n">
        <x:f>'Cumulative'!D562</x:f>
        <x:v>0</x:v>
      </x:c>
      <x:c r="E591" s="11" t="n">
        <x:f>'Cumulative'!E562</x:f>
        <x:v>0</x:v>
      </x:c>
      <x:c r="G591" s="11" t="str">
        <x:f>'Cumulative'!A562</x:f>
        <x:v>561</x:v>
      </x:c>
      <x:c r="H591" s="11" t="str">
        <x:f>'Cumulative'!C562</x:f>
        <x:v>-47.97976697970456</x:v>
      </x:c>
      <x:c r="I591" s="87"/>
      <x:c r="J591" s="87"/>
      <x:c r="K591" s="87"/>
      <x:c r="L591" s="87"/>
    </x:row>
    <x:row r="592">
      <x:c r="A592" s="11" t="str">
        <x:f>'Cumulative'!A563</x:f>
        <x:v>562</x:v>
      </x:c>
      <x:c r="B592" s="11" t="str">
        <x:f>'Cumulative'!B563</x:f>
      </x:c>
      <x:c r="C592" s="11" t="str">
        <x:f>'Cumulative'!C563</x:f>
        <x:v>-48.64132828279909</x:v>
      </x:c>
      <x:c r="D592" s="11" t="n">
        <x:f>'Cumulative'!D563</x:f>
        <x:v>0</x:v>
      </x:c>
      <x:c r="E592" s="11" t="n">
        <x:f>'Cumulative'!E563</x:f>
        <x:v>0</x:v>
      </x:c>
      <x:c r="G592" s="11" t="str">
        <x:f>'Cumulative'!A563</x:f>
        <x:v>562</x:v>
      </x:c>
      <x:c r="H592" s="11" t="str">
        <x:f>'Cumulative'!C563</x:f>
        <x:v>-48.64132828279909</x:v>
      </x:c>
      <x:c r="I592" s="87"/>
      <x:c r="J592" s="87"/>
      <x:c r="K592" s="87"/>
      <x:c r="L592" s="87"/>
    </x:row>
    <x:row r="593">
      <x:c r="A593" s="11" t="str">
        <x:f>'Cumulative'!A564</x:f>
        <x:v>563</x:v>
      </x:c>
      <x:c r="B593" s="11" t="str">
        <x:f>'Cumulative'!B564</x:f>
      </x:c>
      <x:c r="C593" s="11" t="str">
        <x:f>'Cumulative'!C564</x:f>
        <x:v>-49.67877462126908</x:v>
      </x:c>
      <x:c r="D593" s="11" t="n">
        <x:f>'Cumulative'!D564</x:f>
        <x:v>0</x:v>
      </x:c>
      <x:c r="E593" s="11" t="n">
        <x:f>'Cumulative'!E564</x:f>
        <x:v>0</x:v>
      </x:c>
      <x:c r="G593" s="11" t="str">
        <x:f>'Cumulative'!A564</x:f>
        <x:v>563</x:v>
      </x:c>
      <x:c r="H593" s="11" t="str">
        <x:f>'Cumulative'!C564</x:f>
        <x:v>-49.67877462126908</x:v>
      </x:c>
      <x:c r="I593" s="87"/>
      <x:c r="J593" s="87"/>
      <x:c r="K593" s="87"/>
      <x:c r="L593" s="87"/>
    </x:row>
    <x:row r="594">
      <x:c r="A594" s="11" t="str">
        <x:f>'Cumulative'!A565</x:f>
        <x:v>564</x:v>
      </x:c>
      <x:c r="B594" s="11" t="str">
        <x:f>'Cumulative'!B565</x:f>
      </x:c>
      <x:c r="C594" s="11" t="str">
        <x:f>'Cumulative'!C565</x:f>
        <x:v>-50.70536575959644</x:v>
      </x:c>
      <x:c r="D594" s="11" t="n">
        <x:f>'Cumulative'!D565</x:f>
        <x:v>0</x:v>
      </x:c>
      <x:c r="E594" s="11" t="n">
        <x:f>'Cumulative'!E565</x:f>
        <x:v>0</x:v>
      </x:c>
      <x:c r="G594" s="11" t="str">
        <x:f>'Cumulative'!A565</x:f>
        <x:v>564</x:v>
      </x:c>
      <x:c r="H594" s="11" t="str">
        <x:f>'Cumulative'!C565</x:f>
        <x:v>-50.70536575959644</x:v>
      </x:c>
      <x:c r="I594" s="87"/>
      <x:c r="J594" s="87"/>
      <x:c r="K594" s="87"/>
      <x:c r="L594" s="87"/>
    </x:row>
    <x:row r="595">
      <x:c r="A595" s="11" t="str">
        <x:f>'Cumulative'!A566</x:f>
        <x:v>565</x:v>
      </x:c>
      <x:c r="B595" s="11" t="str">
        <x:f>'Cumulative'!B566</x:f>
      </x:c>
      <x:c r="C595" s="11" t="str">
        <x:f>'Cumulative'!C566</x:f>
        <x:v>-51.720171422838575</x:v>
      </x:c>
      <x:c r="D595" s="11" t="n">
        <x:f>'Cumulative'!D566</x:f>
        <x:v>0</x:v>
      </x:c>
      <x:c r="E595" s="11" t="n">
        <x:f>'Cumulative'!E566</x:f>
        <x:v>0</x:v>
      </x:c>
      <x:c r="G595" s="11" t="str">
        <x:f>'Cumulative'!A566</x:f>
        <x:v>565</x:v>
      </x:c>
      <x:c r="H595" s="11" t="str">
        <x:f>'Cumulative'!C566</x:f>
        <x:v>-51.720171422838575</x:v>
      </x:c>
      <x:c r="I595" s="87"/>
      <x:c r="J595" s="87"/>
      <x:c r="K595" s="87"/>
      <x:c r="L595" s="87"/>
    </x:row>
    <x:row r="596">
      <x:c r="A596" s="11" t="str">
        <x:f>'Cumulative'!A567</x:f>
        <x:v>566</x:v>
      </x:c>
      <x:c r="B596" s="11" t="str">
        <x:f>'Cumulative'!B567</x:f>
      </x:c>
      <x:c r="C596" s="11" t="str">
        <x:f>'Cumulative'!C567</x:f>
        <x:v>-49.74204976544645</x:v>
      </x:c>
      <x:c r="D596" s="11" t="n">
        <x:f>'Cumulative'!D567</x:f>
        <x:v>0</x:v>
      </x:c>
      <x:c r="E596" s="11" t="n">
        <x:f>'Cumulative'!E567</x:f>
        <x:v>0</x:v>
      </x:c>
      <x:c r="G596" s="11" t="str">
        <x:f>'Cumulative'!A567</x:f>
        <x:v>566</x:v>
      </x:c>
      <x:c r="H596" s="11" t="str">
        <x:f>'Cumulative'!C567</x:f>
        <x:v>-49.74204976544645</x:v>
      </x:c>
      <x:c r="I596" s="87"/>
      <x:c r="J596" s="87"/>
      <x:c r="K596" s="87"/>
      <x:c r="L596" s="87"/>
    </x:row>
    <x:row r="597">
      <x:c r="A597" s="11" t="str">
        <x:f>'Cumulative'!A568</x:f>
        <x:v>567</x:v>
      </x:c>
      <x:c r="B597" s="11" t="str">
        <x:f>'Cumulative'!B568</x:f>
      </x:c>
      <x:c r="C597" s="11" t="str">
        <x:f>'Cumulative'!C568</x:f>
        <x:v>-50.75328653812847</x:v>
      </x:c>
      <x:c r="D597" s="11" t="n">
        <x:f>'Cumulative'!D568</x:f>
        <x:v>0</x:v>
      </x:c>
      <x:c r="E597" s="11" t="n">
        <x:f>'Cumulative'!E568</x:f>
        <x:v>0</x:v>
      </x:c>
      <x:c r="G597" s="11" t="str">
        <x:f>'Cumulative'!A568</x:f>
        <x:v>567</x:v>
      </x:c>
      <x:c r="H597" s="11" t="str">
        <x:f>'Cumulative'!C568</x:f>
        <x:v>-50.75328653812847</x:v>
      </x:c>
      <x:c r="I597" s="87"/>
      <x:c r="J597" s="87"/>
      <x:c r="K597" s="87"/>
      <x:c r="L597" s="87"/>
    </x:row>
    <x:row r="598">
      <x:c r="A598" s="11" t="str">
        <x:f>'Cumulative'!A569</x:f>
        <x:v>568</x:v>
      </x:c>
      <x:c r="B598" s="11" t="str">
        <x:f>'Cumulative'!B569</x:f>
      </x:c>
      <x:c r="C598" s="11" t="str">
        <x:f>'Cumulative'!C569</x:f>
        <x:v>-51.80336397384402</x:v>
      </x:c>
      <x:c r="D598" s="11" t="n">
        <x:f>'Cumulative'!D569</x:f>
        <x:v>0</x:v>
      </x:c>
      <x:c r="E598" s="11" t="n">
        <x:f>'Cumulative'!E569</x:f>
        <x:v>0</x:v>
      </x:c>
      <x:c r="G598" s="11" t="str">
        <x:f>'Cumulative'!A569</x:f>
        <x:v>568</x:v>
      </x:c>
      <x:c r="H598" s="11" t="str">
        <x:f>'Cumulative'!C569</x:f>
        <x:v>-51.80336397384402</x:v>
      </x:c>
      <x:c r="I598" s="87"/>
      <x:c r="J598" s="87"/>
      <x:c r="K598" s="87"/>
      <x:c r="L598" s="87"/>
    </x:row>
    <x:row r="599">
      <x:c r="A599" s="11" t="str">
        <x:f>'Cumulative'!A570</x:f>
        <x:v>569</x:v>
      </x:c>
      <x:c r="B599" s="11" t="str">
        <x:f>'Cumulative'!B570</x:f>
      </x:c>
      <x:c r="C599" s="11" t="str">
        <x:f>'Cumulative'!C570</x:f>
        <x:v>-49.85270210076618</x:v>
      </x:c>
      <x:c r="D599" s="11" t="n">
        <x:f>'Cumulative'!D570</x:f>
        <x:v>0</x:v>
      </x:c>
      <x:c r="E599" s="11" t="n">
        <x:f>'Cumulative'!E570</x:f>
        <x:v>0</x:v>
      </x:c>
      <x:c r="G599" s="11" t="str">
        <x:f>'Cumulative'!A570</x:f>
        <x:v>569</x:v>
      </x:c>
      <x:c r="H599" s="11" t="str">
        <x:f>'Cumulative'!C570</x:f>
        <x:v>-49.85270210076618</x:v>
      </x:c>
      <x:c r="I599" s="87"/>
      <x:c r="J599" s="87"/>
      <x:c r="K599" s="87"/>
      <x:c r="L599" s="87"/>
    </x:row>
    <x:row r="600">
      <x:c r="A600" s="11" t="str">
        <x:f>'Cumulative'!A571</x:f>
        <x:v>570</x:v>
      </x:c>
      <x:c r="B600" s="11" t="str">
        <x:f>'Cumulative'!B571</x:f>
      </x:c>
      <x:c r="C600" s="11" t="str">
        <x:f>'Cumulative'!C571</x:f>
        <x:v>-50.33927227274033</x:v>
      </x:c>
      <x:c r="D600" s="11" t="n">
        <x:f>'Cumulative'!D571</x:f>
        <x:v>0</x:v>
      </x:c>
      <x:c r="E600" s="11" t="n">
        <x:f>'Cumulative'!E571</x:f>
        <x:v>0</x:v>
      </x:c>
      <x:c r="G600" s="11" t="str">
        <x:f>'Cumulative'!A571</x:f>
        <x:v>570</x:v>
      </x:c>
      <x:c r="H600" s="11" t="str">
        <x:f>'Cumulative'!C571</x:f>
        <x:v>-50.33927227274033</x:v>
      </x:c>
      <x:c r="I600" s="87"/>
      <x:c r="J600" s="87"/>
      <x:c r="K600" s="87"/>
      <x:c r="L600" s="87"/>
    </x:row>
    <x:row r="601">
      <x:c r="A601" s="11" t="str">
        <x:f>'Cumulative'!A572</x:f>
        <x:v>571</x:v>
      </x:c>
      <x:c r="B601" s="11" t="str">
        <x:f>'Cumulative'!B572</x:f>
      </x:c>
      <x:c r="C601" s="11" t="str">
        <x:f>'Cumulative'!C572</x:f>
        <x:v>-51.36077975828222</x:v>
      </x:c>
      <x:c r="D601" s="11" t="n">
        <x:f>'Cumulative'!D572</x:f>
        <x:v>0</x:v>
      </x:c>
      <x:c r="E601" s="11" t="n">
        <x:f>'Cumulative'!E572</x:f>
        <x:v>0</x:v>
      </x:c>
      <x:c r="G601" s="11" t="str">
        <x:f>'Cumulative'!A572</x:f>
        <x:v>571</x:v>
      </x:c>
      <x:c r="H601" s="11" t="str">
        <x:f>'Cumulative'!C572</x:f>
        <x:v>-51.36077975828222</x:v>
      </x:c>
      <x:c r="I601" s="87"/>
      <x:c r="J601" s="87"/>
      <x:c r="K601" s="87"/>
      <x:c r="L601" s="87"/>
    </x:row>
    <x:row r="602">
      <x:c r="A602" s="11" t="str">
        <x:f>'Cumulative'!A573</x:f>
        <x:v>572</x:v>
      </x:c>
      <x:c r="B602" s="11" t="str">
        <x:f>'Cumulative'!B573</x:f>
      </x:c>
      <x:c r="C602" s="11" t="str">
        <x:f>'Cumulative'!C573</x:f>
        <x:v>-49.38184359160809</x:v>
      </x:c>
      <x:c r="D602" s="11" t="n">
        <x:f>'Cumulative'!D573</x:f>
        <x:v>0</x:v>
      </x:c>
      <x:c r="E602" s="11" t="n">
        <x:f>'Cumulative'!E573</x:f>
        <x:v>0</x:v>
      </x:c>
      <x:c r="G602" s="11" t="str">
        <x:f>'Cumulative'!A573</x:f>
        <x:v>572</x:v>
      </x:c>
      <x:c r="H602" s="11" t="str">
        <x:f>'Cumulative'!C573</x:f>
        <x:v>-49.38184359160809</x:v>
      </x:c>
      <x:c r="I602" s="87"/>
      <x:c r="J602" s="87"/>
      <x:c r="K602" s="87"/>
      <x:c r="L602" s="87"/>
    </x:row>
    <x:row r="603">
      <x:c r="A603" s="11" t="str">
        <x:f>'Cumulative'!A574</x:f>
        <x:v>573</x:v>
      </x:c>
      <x:c r="B603" s="11" t="str">
        <x:f>'Cumulative'!B574</x:f>
      </x:c>
      <x:c r="C603" s="11" t="str">
        <x:f>'Cumulative'!C574</x:f>
        <x:v>-47.400157375826076</x:v>
      </x:c>
      <x:c r="D603" s="11" t="n">
        <x:f>'Cumulative'!D574</x:f>
        <x:v>0</x:v>
      </x:c>
      <x:c r="E603" s="11" t="n">
        <x:f>'Cumulative'!E574</x:f>
        <x:v>0</x:v>
      </x:c>
      <x:c r="G603" s="11" t="str">
        <x:f>'Cumulative'!A574</x:f>
        <x:v>573</x:v>
      </x:c>
      <x:c r="H603" s="11" t="str">
        <x:f>'Cumulative'!C574</x:f>
        <x:v>-47.400157375826076</x:v>
      </x:c>
      <x:c r="I603" s="87"/>
      <x:c r="J603" s="87"/>
      <x:c r="K603" s="87"/>
      <x:c r="L603" s="87"/>
    </x:row>
    <x:row r="604">
      <x:c r="A604" s="11" t="str">
        <x:f>'Cumulative'!A575</x:f>
        <x:v>574</x:v>
      </x:c>
      <x:c r="B604" s="11" t="str">
        <x:f>'Cumulative'!B575</x:f>
      </x:c>
      <x:c r="C604" s="11" t="str">
        <x:f>'Cumulative'!C575</x:f>
        <x:v>-48.44502782816457</x:v>
      </x:c>
      <x:c r="D604" s="11" t="n">
        <x:f>'Cumulative'!D575</x:f>
        <x:v>0</x:v>
      </x:c>
      <x:c r="E604" s="11" t="n">
        <x:f>'Cumulative'!E575</x:f>
        <x:v>0</x:v>
      </x:c>
      <x:c r="G604" s="11" t="str">
        <x:f>'Cumulative'!A575</x:f>
        <x:v>574</x:v>
      </x:c>
      <x:c r="H604" s="11" t="str">
        <x:f>'Cumulative'!C575</x:f>
        <x:v>-48.44502782816457</x:v>
      </x:c>
      <x:c r="I604" s="87"/>
      <x:c r="J604" s="87"/>
      <x:c r="K604" s="87"/>
      <x:c r="L604" s="87"/>
    </x:row>
    <x:row r="605">
      <x:c r="A605" s="11" t="str">
        <x:f>'Cumulative'!A576</x:f>
        <x:v>575</x:v>
      </x:c>
      <x:c r="B605" s="11" t="str">
        <x:f>'Cumulative'!B576</x:f>
      </x:c>
      <x:c r="C605" s="11" t="str">
        <x:f>'Cumulative'!C576</x:f>
        <x:v>-46.473498282310224</x:v>
      </x:c>
      <x:c r="D605" s="11" t="n">
        <x:f>'Cumulative'!D576</x:f>
        <x:v>0</x:v>
      </x:c>
      <x:c r="E605" s="11" t="n">
        <x:f>'Cumulative'!E576</x:f>
        <x:v>0</x:v>
      </x:c>
      <x:c r="G605" s="11" t="str">
        <x:f>'Cumulative'!A576</x:f>
        <x:v>575</x:v>
      </x:c>
      <x:c r="H605" s="11" t="str">
        <x:f>'Cumulative'!C576</x:f>
        <x:v>-46.473498282310224</x:v>
      </x:c>
      <x:c r="I605" s="87"/>
      <x:c r="J605" s="87"/>
      <x:c r="K605" s="87"/>
      <x:c r="L605" s="87"/>
    </x:row>
    <x:row r="606">
      <x:c r="A606" s="11" t="str">
        <x:f>'Cumulative'!A577</x:f>
        <x:v>576</x:v>
      </x:c>
      <x:c r="B606" s="11" t="str">
        <x:f>'Cumulative'!B577</x:f>
      </x:c>
      <x:c r="C606" s="11" t="str">
        <x:f>'Cumulative'!C577</x:f>
        <x:v>-47.491322722093905</x:v>
      </x:c>
      <x:c r="D606" s="11" t="n">
        <x:f>'Cumulative'!D577</x:f>
        <x:v>0</x:v>
      </x:c>
      <x:c r="E606" s="11" t="n">
        <x:f>'Cumulative'!E577</x:f>
        <x:v>0</x:v>
      </x:c>
      <x:c r="G606" s="11" t="str">
        <x:f>'Cumulative'!A577</x:f>
        <x:v>576</x:v>
      </x:c>
      <x:c r="H606" s="11" t="str">
        <x:f>'Cumulative'!C577</x:f>
        <x:v>-47.491322722093905</x:v>
      </x:c>
      <x:c r="I606" s="87"/>
      <x:c r="J606" s="87"/>
      <x:c r="K606" s="87"/>
      <x:c r="L606" s="87"/>
    </x:row>
    <x:row r="607">
      <x:c r="A607" s="11" t="str">
        <x:f>'Cumulative'!A578</x:f>
        <x:v>577</x:v>
      </x:c>
      <x:c r="B607" s="11" t="str">
        <x:f>'Cumulative'!B578</x:f>
      </x:c>
      <x:c r="C607" s="11" t="str">
        <x:f>'Cumulative'!C578</x:f>
        <x:v>-45.75919435398989</x:v>
      </x:c>
      <x:c r="D607" s="11" t="n">
        <x:f>'Cumulative'!D578</x:f>
        <x:v>0</x:v>
      </x:c>
      <x:c r="E607" s="11" t="n">
        <x:f>'Cumulative'!E578</x:f>
        <x:v>0</x:v>
      </x:c>
      <x:c r="G607" s="11" t="str">
        <x:f>'Cumulative'!A578</x:f>
        <x:v>577</x:v>
      </x:c>
      <x:c r="H607" s="11" t="str">
        <x:f>'Cumulative'!C578</x:f>
        <x:v>-45.75919435398989</x:v>
      </x:c>
      <x:c r="I607" s="87"/>
      <x:c r="J607" s="87"/>
      <x:c r="K607" s="87"/>
      <x:c r="L607" s="87"/>
    </x:row>
    <x:row r="608">
      <x:c r="A608" s="11" t="str">
        <x:f>'Cumulative'!A579</x:f>
        <x:v>578</x:v>
      </x:c>
      <x:c r="B608" s="11" t="str">
        <x:f>'Cumulative'!B579</x:f>
      </x:c>
      <x:c r="C608" s="11" t="str">
        <x:f>'Cumulative'!C579</x:f>
        <x:v>-46.809914749426454</x:v>
      </x:c>
      <x:c r="D608" s="11" t="n">
        <x:f>'Cumulative'!D579</x:f>
        <x:v>0</x:v>
      </x:c>
      <x:c r="E608" s="11" t="n">
        <x:f>'Cumulative'!E579</x:f>
        <x:v>0</x:v>
      </x:c>
      <x:c r="G608" s="11" t="str">
        <x:f>'Cumulative'!A579</x:f>
        <x:v>578</x:v>
      </x:c>
      <x:c r="H608" s="11" t="str">
        <x:f>'Cumulative'!C579</x:f>
        <x:v>-46.809914749426454</x:v>
      </x:c>
      <x:c r="I608" s="87"/>
      <x:c r="J608" s="87"/>
      <x:c r="K608" s="87"/>
      <x:c r="L608" s="87"/>
    </x:row>
    <x:row r="609">
      <x:c r="A609" s="11" t="str">
        <x:f>'Cumulative'!A580</x:f>
        <x:v>579</x:v>
      </x:c>
      <x:c r="B609" s="11" t="str">
        <x:f>'Cumulative'!B580</x:f>
      </x:c>
      <x:c r="C609" s="11" t="str">
        <x:f>'Cumulative'!C580</x:f>
        <x:v>-47.85045490286115</x:v>
      </x:c>
      <x:c r="D609" s="11" t="n">
        <x:f>'Cumulative'!D580</x:f>
        <x:v>0</x:v>
      </x:c>
      <x:c r="E609" s="11" t="n">
        <x:f>'Cumulative'!E580</x:f>
        <x:v>0</x:v>
      </x:c>
      <x:c r="G609" s="11" t="str">
        <x:f>'Cumulative'!A580</x:f>
        <x:v>579</x:v>
      </x:c>
      <x:c r="H609" s="11" t="str">
        <x:f>'Cumulative'!C580</x:f>
        <x:v>-47.85045490286115</x:v>
      </x:c>
      <x:c r="I609" s="87"/>
      <x:c r="J609" s="87"/>
      <x:c r="K609" s="87"/>
      <x:c r="L609" s="87"/>
    </x:row>
    <x:row r="610">
      <x:c r="A610" s="11" t="str">
        <x:f>'Cumulative'!A581</x:f>
        <x:v>580</x:v>
      </x:c>
      <x:c r="B610" s="11" t="str">
        <x:f>'Cumulative'!B581</x:f>
      </x:c>
      <x:c r="C610" s="11" t="str">
        <x:f>'Cumulative'!C581</x:f>
        <x:v>-48.86674068408198</x:v>
      </x:c>
      <x:c r="D610" s="11" t="n">
        <x:f>'Cumulative'!D581</x:f>
        <x:v>0</x:v>
      </x:c>
      <x:c r="E610" s="11" t="n">
        <x:f>'Cumulative'!E581</x:f>
        <x:v>0</x:v>
      </x:c>
      <x:c r="G610" s="11" t="str">
        <x:f>'Cumulative'!A581</x:f>
        <x:v>580</x:v>
      </x:c>
      <x:c r="H610" s="11" t="str">
        <x:f>'Cumulative'!C581</x:f>
        <x:v>-48.86674068408198</x:v>
      </x:c>
      <x:c r="I610" s="87"/>
      <x:c r="J610" s="87"/>
      <x:c r="K610" s="87"/>
      <x:c r="L610" s="87"/>
    </x:row>
    <x:row r="611">
      <x:c r="A611" s="11" t="str">
        <x:f>'Cumulative'!A582</x:f>
        <x:v>581</x:v>
      </x:c>
      <x:c r="B611" s="11" t="str">
        <x:f>'Cumulative'!B582</x:f>
      </x:c>
      <x:c r="C611" s="11" t="str">
        <x:f>'Cumulative'!C582</x:f>
        <x:v>-47.7570454319462</x:v>
      </x:c>
      <x:c r="D611" s="11" t="n">
        <x:f>'Cumulative'!D582</x:f>
        <x:v>0</x:v>
      </x:c>
      <x:c r="E611" s="11" t="n">
        <x:f>'Cumulative'!E582</x:f>
        <x:v>0</x:v>
      </x:c>
      <x:c r="G611" s="11" t="str">
        <x:f>'Cumulative'!A582</x:f>
        <x:v>581</x:v>
      </x:c>
      <x:c r="H611" s="11" t="str">
        <x:f>'Cumulative'!C582</x:f>
        <x:v>-47.7570454319462</x:v>
      </x:c>
      <x:c r="I611" s="87"/>
      <x:c r="J611" s="87"/>
      <x:c r="K611" s="87"/>
      <x:c r="L611" s="87"/>
    </x:row>
    <x:row r="612">
      <x:c r="A612" s="11" t="str">
        <x:f>'Cumulative'!A583</x:f>
        <x:v>582</x:v>
      </x:c>
      <x:c r="B612" s="11" t="str">
        <x:f>'Cumulative'!B583</x:f>
      </x:c>
      <x:c r="C612" s="11" t="str">
        <x:f>'Cumulative'!C583</x:f>
        <x:v>-48.76438383521601</x:v>
      </x:c>
      <x:c r="D612" s="11" t="n">
        <x:f>'Cumulative'!D583</x:f>
        <x:v>0</x:v>
      </x:c>
      <x:c r="E612" s="11" t="n">
        <x:f>'Cumulative'!E583</x:f>
        <x:v>0</x:v>
      </x:c>
      <x:c r="G612" s="11" t="str">
        <x:f>'Cumulative'!A583</x:f>
        <x:v>582</x:v>
      </x:c>
      <x:c r="H612" s="11" t="str">
        <x:f>'Cumulative'!C583</x:f>
        <x:v>-48.76438383521601</x:v>
      </x:c>
      <x:c r="I612" s="87"/>
      <x:c r="J612" s="87"/>
      <x:c r="K612" s="87"/>
      <x:c r="L612" s="87"/>
    </x:row>
    <x:row r="613">
      <x:c r="A613" s="11" t="str">
        <x:f>'Cumulative'!A584</x:f>
        <x:v>583</x:v>
      </x:c>
      <x:c r="B613" s="11" t="str">
        <x:f>'Cumulative'!B584</x:f>
      </x:c>
      <x:c r="C613" s="11" t="str">
        <x:f>'Cumulative'!C584</x:f>
        <x:v>-48.66700484968808</x:v>
      </x:c>
      <x:c r="D613" s="11" t="n">
        <x:f>'Cumulative'!D584</x:f>
        <x:v>0</x:v>
      </x:c>
      <x:c r="E613" s="11" t="n">
        <x:f>'Cumulative'!E584</x:f>
        <x:v>0</x:v>
      </x:c>
      <x:c r="G613" s="11" t="str">
        <x:f>'Cumulative'!A584</x:f>
        <x:v>583</x:v>
      </x:c>
      <x:c r="H613" s="11" t="str">
        <x:f>'Cumulative'!C584</x:f>
        <x:v>-48.66700484968808</x:v>
      </x:c>
      <x:c r="I613" s="87"/>
      <x:c r="J613" s="87"/>
      <x:c r="K613" s="87"/>
      <x:c r="L613" s="87"/>
    </x:row>
    <x:row r="614">
      <x:c r="A614" s="11" t="str">
        <x:f>'Cumulative'!A585</x:f>
        <x:v>584</x:v>
      </x:c>
      <x:c r="B614" s="11" t="str">
        <x:f>'Cumulative'!B585</x:f>
      </x:c>
      <x:c r="C614" s="11" t="str">
        <x:f>'Cumulative'!C585</x:f>
        <x:v>-47.27546828533132</x:v>
      </x:c>
      <x:c r="D614" s="11" t="n">
        <x:f>'Cumulative'!D585</x:f>
        <x:v>0</x:v>
      </x:c>
      <x:c r="E614" s="11" t="n">
        <x:f>'Cumulative'!E585</x:f>
        <x:v>0</x:v>
      </x:c>
      <x:c r="G614" s="11" t="str">
        <x:f>'Cumulative'!A585</x:f>
        <x:v>584</x:v>
      </x:c>
      <x:c r="H614" s="11" t="str">
        <x:f>'Cumulative'!C585</x:f>
        <x:v>-47.27546828533132</x:v>
      </x:c>
      <x:c r="I614" s="87"/>
      <x:c r="J614" s="87"/>
      <x:c r="K614" s="87"/>
      <x:c r="L614" s="87"/>
    </x:row>
    <x:row r="615">
      <x:c r="A615" s="11" t="str">
        <x:f>'Cumulative'!A586</x:f>
        <x:v>585</x:v>
      </x:c>
      <x:c r="B615" s="11" t="str">
        <x:f>'Cumulative'!B586</x:f>
      </x:c>
      <x:c r="C615" s="11" t="str">
        <x:f>'Cumulative'!C586</x:f>
        <x:v>-45.29343175798594</x:v>
      </x:c>
      <x:c r="D615" s="11" t="n">
        <x:f>'Cumulative'!D586</x:f>
        <x:v>0</x:v>
      </x:c>
      <x:c r="E615" s="11" t="n">
        <x:f>'Cumulative'!E586</x:f>
        <x:v>0</x:v>
      </x:c>
      <x:c r="G615" s="11" t="str">
        <x:f>'Cumulative'!A586</x:f>
        <x:v>585</x:v>
      </x:c>
      <x:c r="H615" s="11" t="str">
        <x:f>'Cumulative'!C586</x:f>
        <x:v>-45.29343175798594</x:v>
      </x:c>
      <x:c r="I615" s="87"/>
      <x:c r="J615" s="87"/>
      <x:c r="K615" s="87"/>
      <x:c r="L615" s="87"/>
    </x:row>
    <x:row r="616">
      <x:c r="A616" s="11" t="str">
        <x:f>'Cumulative'!A587</x:f>
        <x:v>586</x:v>
      </x:c>
      <x:c r="B616" s="11" t="str">
        <x:f>'Cumulative'!B587</x:f>
      </x:c>
      <x:c r="C616" s="11" t="str">
        <x:f>'Cumulative'!C587</x:f>
        <x:v>-44.716382607912486</x:v>
      </x:c>
      <x:c r="D616" s="11" t="n">
        <x:f>'Cumulative'!D587</x:f>
        <x:v>0</x:v>
      </x:c>
      <x:c r="E616" s="11" t="n">
        <x:f>'Cumulative'!E587</x:f>
        <x:v>0</x:v>
      </x:c>
      <x:c r="G616" s="11" t="str">
        <x:f>'Cumulative'!A587</x:f>
        <x:v>586</x:v>
      </x:c>
      <x:c r="H616" s="11" t="str">
        <x:f>'Cumulative'!C587</x:f>
        <x:v>-44.716382607912486</x:v>
      </x:c>
      <x:c r="I616" s="87"/>
      <x:c r="J616" s="87"/>
      <x:c r="K616" s="87"/>
      <x:c r="L616" s="87"/>
    </x:row>
    <x:row r="617">
      <x:c r="A617" s="11" t="str">
        <x:f>'Cumulative'!A588</x:f>
        <x:v>587</x:v>
      </x:c>
      <x:c r="B617" s="11" t="str">
        <x:f>'Cumulative'!B588</x:f>
      </x:c>
      <x:c r="C617" s="11" t="str">
        <x:f>'Cumulative'!C588</x:f>
        <x:v>-42.739195986514446</x:v>
      </x:c>
      <x:c r="D617" s="11" t="n">
        <x:f>'Cumulative'!D588</x:f>
        <x:v>0</x:v>
      </x:c>
      <x:c r="E617" s="11" t="n">
        <x:f>'Cumulative'!E588</x:f>
        <x:v>0</x:v>
      </x:c>
      <x:c r="G617" s="11" t="str">
        <x:f>'Cumulative'!A588</x:f>
        <x:v>587</x:v>
      </x:c>
      <x:c r="H617" s="11" t="str">
        <x:f>'Cumulative'!C588</x:f>
        <x:v>-42.739195986514446</x:v>
      </x:c>
      <x:c r="I617" s="87"/>
      <x:c r="J617" s="87"/>
      <x:c r="K617" s="87"/>
      <x:c r="L617" s="87"/>
    </x:row>
    <x:row r="618">
      <x:c r="A618" s="11" t="str">
        <x:f>'Cumulative'!A589</x:f>
        <x:v>588</x:v>
      </x:c>
      <x:c r="B618" s="11" t="str">
        <x:f>'Cumulative'!B589</x:f>
      </x:c>
      <x:c r="C618" s="11" t="str">
        <x:f>'Cumulative'!C589</x:f>
        <x:v>-43.75381397455232</x:v>
      </x:c>
      <x:c r="D618" s="11" t="n">
        <x:f>'Cumulative'!D589</x:f>
        <x:v>0</x:v>
      </x:c>
      <x:c r="E618" s="11" t="n">
        <x:f>'Cumulative'!E589</x:f>
        <x:v>0</x:v>
      </x:c>
      <x:c r="G618" s="11" t="str">
        <x:f>'Cumulative'!A589</x:f>
        <x:v>588</x:v>
      </x:c>
      <x:c r="H618" s="11" t="str">
        <x:f>'Cumulative'!C589</x:f>
        <x:v>-43.75381397455232</x:v>
      </x:c>
      <x:c r="I618" s="87"/>
      <x:c r="J618" s="87"/>
      <x:c r="K618" s="87"/>
      <x:c r="L618" s="87"/>
    </x:row>
    <x:row r="619">
      <x:c r="A619" s="11" t="str">
        <x:f>'Cumulative'!A590</x:f>
        <x:v>589</x:v>
      </x:c>
      <x:c r="B619" s="11" t="str">
        <x:f>'Cumulative'!B590</x:f>
      </x:c>
      <x:c r="C619" s="11" t="str">
        <x:f>'Cumulative'!C590</x:f>
        <x:v>-43.07875101149974</x:v>
      </x:c>
      <x:c r="D619" s="11" t="n">
        <x:f>'Cumulative'!D590</x:f>
        <x:v>0</x:v>
      </x:c>
      <x:c r="E619" s="11" t="n">
        <x:f>'Cumulative'!E590</x:f>
        <x:v>0</x:v>
      </x:c>
      <x:c r="G619" s="11" t="str">
        <x:f>'Cumulative'!A590</x:f>
        <x:v>589</x:v>
      </x:c>
      <x:c r="H619" s="11" t="str">
        <x:f>'Cumulative'!C590</x:f>
        <x:v>-43.07875101149974</x:v>
      </x:c>
      <x:c r="I619" s="87"/>
      <x:c r="J619" s="87"/>
      <x:c r="K619" s="87"/>
      <x:c r="L619" s="87"/>
    </x:row>
    <x:row r="620">
      <x:c r="A620" s="11" t="str">
        <x:f>'Cumulative'!A591</x:f>
        <x:v>590</x:v>
      </x:c>
      <x:c r="B620" s="11" t="str">
        <x:f>'Cumulative'!B591</x:f>
      </x:c>
      <x:c r="C620" s="11" t="str">
        <x:f>'Cumulative'!C591</x:f>
        <x:v>-41.768148249871814</x:v>
      </x:c>
      <x:c r="D620" s="11" t="n">
        <x:f>'Cumulative'!D591</x:f>
        <x:v>0</x:v>
      </x:c>
      <x:c r="E620" s="11" t="n">
        <x:f>'Cumulative'!E591</x:f>
        <x:v>0</x:v>
      </x:c>
      <x:c r="G620" s="11" t="str">
        <x:f>'Cumulative'!A591</x:f>
        <x:v>590</x:v>
      </x:c>
      <x:c r="H620" s="11" t="str">
        <x:f>'Cumulative'!C591</x:f>
        <x:v>-41.768148249871814</x:v>
      </x:c>
      <x:c r="I620" s="87"/>
      <x:c r="J620" s="87"/>
      <x:c r="K620" s="87"/>
      <x:c r="L620" s="87"/>
    </x:row>
    <x:row r="621">
      <x:c r="A621" s="11" t="str">
        <x:f>'Cumulative'!A592</x:f>
        <x:v>591</x:v>
      </x:c>
      <x:c r="B621" s="11" t="str">
        <x:f>'Cumulative'!B592</x:f>
      </x:c>
      <x:c r="C621" s="11" t="str">
        <x:f>'Cumulative'!C592</x:f>
        <x:v>-42.33253094937672</x:v>
      </x:c>
      <x:c r="D621" s="11" t="n">
        <x:f>'Cumulative'!D592</x:f>
        <x:v>0</x:v>
      </x:c>
      <x:c r="E621" s="11" t="n">
        <x:f>'Cumulative'!E592</x:f>
        <x:v>0</x:v>
      </x:c>
      <x:c r="G621" s="11" t="str">
        <x:f>'Cumulative'!A592</x:f>
        <x:v>591</x:v>
      </x:c>
      <x:c r="H621" s="11" t="str">
        <x:f>'Cumulative'!C592</x:f>
        <x:v>-42.33253094937672</x:v>
      </x:c>
      <x:c r="I621" s="87"/>
      <x:c r="J621" s="87"/>
      <x:c r="K621" s="87"/>
      <x:c r="L621" s="87"/>
    </x:row>
    <x:row r="622">
      <x:c r="A622" s="11" t="str">
        <x:f>'Cumulative'!A593</x:f>
        <x:v>592</x:v>
      </x:c>
      <x:c r="B622" s="11" t="str">
        <x:f>'Cumulative'!B593</x:f>
      </x:c>
      <x:c r="C622" s="11" t="str">
        <x:f>'Cumulative'!C593</x:f>
        <x:v>-43.343819307358324</x:v>
      </x:c>
      <x:c r="D622" s="11" t="n">
        <x:f>'Cumulative'!D593</x:f>
        <x:v>0</x:v>
      </x:c>
      <x:c r="E622" s="11" t="n">
        <x:f>'Cumulative'!E593</x:f>
        <x:v>0</x:v>
      </x:c>
      <x:c r="G622" s="11" t="str">
        <x:f>'Cumulative'!A593</x:f>
        <x:v>592</x:v>
      </x:c>
      <x:c r="H622" s="11" t="str">
        <x:f>'Cumulative'!C593</x:f>
        <x:v>-43.343819307358324</x:v>
      </x:c>
      <x:c r="I622" s="87"/>
      <x:c r="J622" s="87"/>
      <x:c r="K622" s="87"/>
      <x:c r="L622" s="87"/>
    </x:row>
    <x:row r="623">
      <x:c r="A623" s="11" t="str">
        <x:f>'Cumulative'!A594</x:f>
        <x:v>593</x:v>
      </x:c>
      <x:c r="B623" s="11" t="str">
        <x:f>'Cumulative'!B594</x:f>
      </x:c>
      <x:c r="C623" s="11" t="str">
        <x:f>'Cumulative'!C594</x:f>
        <x:v>-44.35887135706817</x:v>
      </x:c>
      <x:c r="D623" s="11" t="n">
        <x:f>'Cumulative'!D594</x:f>
        <x:v>0</x:v>
      </x:c>
      <x:c r="E623" s="11" t="n">
        <x:f>'Cumulative'!E594</x:f>
        <x:v>0</x:v>
      </x:c>
      <x:c r="G623" s="11" t="str">
        <x:f>'Cumulative'!A594</x:f>
        <x:v>593</x:v>
      </x:c>
      <x:c r="H623" s="11" t="str">
        <x:f>'Cumulative'!C594</x:f>
        <x:v>-44.35887135706817</x:v>
      </x:c>
      <x:c r="I623" s="87"/>
      <x:c r="J623" s="87"/>
      <x:c r="K623" s="87"/>
      <x:c r="L623" s="87"/>
    </x:row>
    <x:row r="624">
      <x:c r="A624" s="11" t="str">
        <x:f>'Cumulative'!A595</x:f>
        <x:v>594</x:v>
      </x:c>
      <x:c r="B624" s="11" t="str">
        <x:f>'Cumulative'!B595</x:f>
      </x:c>
      <x:c r="C624" s="11" t="str">
        <x:f>'Cumulative'!C595</x:f>
        <x:v>-42.62080143031365</x:v>
      </x:c>
      <x:c r="D624" s="11" t="n">
        <x:f>'Cumulative'!D595</x:f>
        <x:v>0</x:v>
      </x:c>
      <x:c r="E624" s="11" t="n">
        <x:f>'Cumulative'!E595</x:f>
        <x:v>0</x:v>
      </x:c>
      <x:c r="G624" s="11" t="str">
        <x:f>'Cumulative'!A595</x:f>
        <x:v>594</x:v>
      </x:c>
      <x:c r="H624" s="11" t="str">
        <x:f>'Cumulative'!C595</x:f>
        <x:v>-42.62080143031365</x:v>
      </x:c>
      <x:c r="I624" s="87"/>
      <x:c r="J624" s="87"/>
      <x:c r="K624" s="87"/>
      <x:c r="L624" s="87"/>
    </x:row>
    <x:row r="625">
      <x:c r="A625" s="11" t="str">
        <x:f>'Cumulative'!A596</x:f>
        <x:v>595</x:v>
      </x:c>
      <x:c r="B625" s="11" t="str">
        <x:f>'Cumulative'!B596</x:f>
      </x:c>
      <x:c r="C625" s="11" t="str">
        <x:f>'Cumulative'!C596</x:f>
        <x:v>-42.85727721609346</x:v>
      </x:c>
      <x:c r="D625" s="11" t="n">
        <x:f>'Cumulative'!D596</x:f>
        <x:v>0</x:v>
      </x:c>
      <x:c r="E625" s="11" t="n">
        <x:f>'Cumulative'!E596</x:f>
        <x:v>0</x:v>
      </x:c>
      <x:c r="G625" s="11" t="str">
        <x:f>'Cumulative'!A596</x:f>
        <x:v>595</x:v>
      </x:c>
      <x:c r="H625" s="11" t="str">
        <x:f>'Cumulative'!C596</x:f>
        <x:v>-42.85727721609346</x:v>
      </x:c>
      <x:c r="I625" s="87"/>
      <x:c r="J625" s="87"/>
      <x:c r="K625" s="87"/>
      <x:c r="L625" s="87"/>
    </x:row>
    <x:row r="626">
      <x:c r="A626" s="11" t="str">
        <x:f>'Cumulative'!A597</x:f>
        <x:v>596</x:v>
      </x:c>
      <x:c r="B626" s="11" t="str">
        <x:f>'Cumulative'!B597</x:f>
      </x:c>
      <x:c r="C626" s="11" t="str">
        <x:f>'Cumulative'!C597</x:f>
        <x:v>-43.87961259530349</x:v>
      </x:c>
      <x:c r="D626" s="11" t="n">
        <x:f>'Cumulative'!D597</x:f>
        <x:v>0</x:v>
      </x:c>
      <x:c r="E626" s="11" t="n">
        <x:f>'Cumulative'!E597</x:f>
        <x:v>0</x:v>
      </x:c>
      <x:c r="G626" s="11" t="str">
        <x:f>'Cumulative'!A597</x:f>
        <x:v>596</x:v>
      </x:c>
      <x:c r="H626" s="11" t="str">
        <x:f>'Cumulative'!C597</x:f>
        <x:v>-43.87961259530349</x:v>
      </x:c>
      <x:c r="I626" s="87"/>
      <x:c r="J626" s="87"/>
      <x:c r="K626" s="87"/>
      <x:c r="L626" s="87"/>
    </x:row>
    <x:row r="627">
      <x:c r="A627" s="11" t="str">
        <x:f>'Cumulative'!A598</x:f>
        <x:v>597</x:v>
      </x:c>
      <x:c r="B627" s="11" t="str">
        <x:f>'Cumulative'!B598</x:f>
      </x:c>
      <x:c r="C627" s="11" t="str">
        <x:f>'Cumulative'!C598</x:f>
        <x:v>-44.89059327752076</x:v>
      </x:c>
      <x:c r="D627" s="11" t="n">
        <x:f>'Cumulative'!D598</x:f>
        <x:v>0</x:v>
      </x:c>
      <x:c r="E627" s="11" t="n">
        <x:f>'Cumulative'!E598</x:f>
        <x:v>0</x:v>
      </x:c>
      <x:c r="G627" s="11" t="str">
        <x:f>'Cumulative'!A598</x:f>
        <x:v>597</x:v>
      </x:c>
      <x:c r="H627" s="11" t="str">
        <x:f>'Cumulative'!C598</x:f>
        <x:v>-44.89059327752076</x:v>
      </x:c>
      <x:c r="I627" s="87"/>
      <x:c r="J627" s="87"/>
      <x:c r="K627" s="87"/>
      <x:c r="L627" s="87"/>
    </x:row>
    <x:row r="628">
      <x:c r="A628" s="11" t="str">
        <x:f>'Cumulative'!A599</x:f>
        <x:v>598</x:v>
      </x:c>
      <x:c r="B628" s="11" t="str">
        <x:f>'Cumulative'!B599</x:f>
      </x:c>
      <x:c r="C628" s="11" t="str">
        <x:f>'Cumulative'!C599</x:f>
        <x:v>-44.406295675997036</x:v>
      </x:c>
      <x:c r="D628" s="11" t="n">
        <x:f>'Cumulative'!D599</x:f>
        <x:v>0</x:v>
      </x:c>
      <x:c r="E628" s="11" t="n">
        <x:f>'Cumulative'!E599</x:f>
        <x:v>0</x:v>
      </x:c>
      <x:c r="G628" s="11" t="str">
        <x:f>'Cumulative'!A599</x:f>
        <x:v>598</x:v>
      </x:c>
      <x:c r="H628" s="11" t="str">
        <x:f>'Cumulative'!C599</x:f>
        <x:v>-44.406295675997036</x:v>
      </x:c>
      <x:c r="I628" s="87"/>
      <x:c r="J628" s="87"/>
      <x:c r="K628" s="87"/>
      <x:c r="L628" s="87"/>
    </x:row>
    <x:row r="629">
      <x:c r="A629" s="11" t="str">
        <x:f>'Cumulative'!A600</x:f>
        <x:v>599</x:v>
      </x:c>
      <x:c r="B629" s="11" t="str">
        <x:f>'Cumulative'!B600</x:f>
      </x:c>
      <x:c r="C629" s="11" t="str">
        <x:f>'Cumulative'!C600</x:f>
        <x:v>-43.84569350720607</x:v>
      </x:c>
      <x:c r="D629" s="11" t="n">
        <x:f>'Cumulative'!D600</x:f>
        <x:v>0</x:v>
      </x:c>
      <x:c r="E629" s="11" t="n">
        <x:f>'Cumulative'!E600</x:f>
        <x:v>0</x:v>
      </x:c>
      <x:c r="G629" s="11" t="str">
        <x:f>'Cumulative'!A600</x:f>
        <x:v>599</x:v>
      </x:c>
      <x:c r="H629" s="11" t="str">
        <x:f>'Cumulative'!C600</x:f>
        <x:v>-43.84569350720607</x:v>
      </x:c>
      <x:c r="I629" s="87"/>
      <x:c r="J629" s="87"/>
      <x:c r="K629" s="87"/>
      <x:c r="L629" s="87"/>
    </x:row>
    <x:row r="630">
      <x:c r="A630" s="11" t="str">
        <x:f>'Cumulative'!A601</x:f>
        <x:v>600</x:v>
      </x:c>
      <x:c r="B630" s="11" t="str">
        <x:f>'Cumulative'!B601</x:f>
      </x:c>
      <x:c r="C630" s="11" t="str">
        <x:f>'Cumulative'!C601</x:f>
        <x:v>-41.86105500985106</x:v>
      </x:c>
      <x:c r="D630" s="11" t="n">
        <x:f>'Cumulative'!D601</x:f>
        <x:v>0</x:v>
      </x:c>
      <x:c r="E630" s="11" t="n">
        <x:f>'Cumulative'!E601</x:f>
        <x:v>0</x:v>
      </x:c>
      <x:c r="G630" s="11" t="str">
        <x:f>'Cumulative'!A601</x:f>
        <x:v>600</x:v>
      </x:c>
      <x:c r="H630" s="11" t="str">
        <x:f>'Cumulative'!C601</x:f>
        <x:v>-41.86105500985106</x:v>
      </x:c>
      <x:c r="I630" s="87"/>
      <x:c r="J630" s="87"/>
      <x:c r="K630" s="87"/>
      <x:c r="L630" s="87"/>
    </x:row>
    <x:row r="631">
      <x:c r="A631" s="11" t="str">
        <x:f>'Cumulative'!A602</x:f>
        <x:v>601</x:v>
      </x:c>
      <x:c r="B631" s="11" t="str">
        <x:f>'Cumulative'!B602</x:f>
      </x:c>
      <x:c r="C631" s="11" t="str">
        <x:f>'Cumulative'!C602</x:f>
        <x:v>-41.21200433909868</x:v>
      </x:c>
      <x:c r="D631" s="11" t="n">
        <x:f>'Cumulative'!D602</x:f>
        <x:v>0</x:v>
      </x:c>
      <x:c r="E631" s="11" t="n">
        <x:f>'Cumulative'!E602</x:f>
        <x:v>0</x:v>
      </x:c>
      <x:c r="G631" s="11" t="str">
        <x:f>'Cumulative'!A602</x:f>
        <x:v>601</x:v>
      </x:c>
      <x:c r="H631" s="11" t="str">
        <x:f>'Cumulative'!C602</x:f>
        <x:v>-41.21200433909868</x:v>
      </x:c>
      <x:c r="I631" s="87"/>
      <x:c r="J631" s="87"/>
      <x:c r="K631" s="87"/>
      <x:c r="L631" s="87"/>
    </x:row>
    <x:row r="632">
      <x:c r="A632" s="11" t="str">
        <x:f>'Cumulative'!A603</x:f>
        <x:v>602</x:v>
      </x:c>
      <x:c r="B632" s="11" t="str">
        <x:f>'Cumulative'!B603</x:f>
      </x:c>
      <x:c r="C632" s="11" t="str">
        <x:f>'Cumulative'!C603</x:f>
        <x:v>-39.261190293471884</x:v>
      </x:c>
      <x:c r="D632" s="11" t="n">
        <x:f>'Cumulative'!D603</x:f>
        <x:v>0</x:v>
      </x:c>
      <x:c r="E632" s="11" t="n">
        <x:f>'Cumulative'!E603</x:f>
        <x:v>0</x:v>
      </x:c>
      <x:c r="G632" s="11" t="str">
        <x:f>'Cumulative'!A603</x:f>
        <x:v>602</x:v>
      </x:c>
      <x:c r="H632" s="11" t="str">
        <x:f>'Cumulative'!C603</x:f>
        <x:v>-39.261190293471884</x:v>
      </x:c>
      <x:c r="I632" s="87"/>
      <x:c r="J632" s="87"/>
      <x:c r="K632" s="87"/>
      <x:c r="L632" s="87"/>
    </x:row>
    <x:row r="633">
      <x:c r="A633" s="11" t="str">
        <x:f>'Cumulative'!A604</x:f>
        <x:v>603</x:v>
      </x:c>
      <x:c r="B633" s="11" t="str">
        <x:f>'Cumulative'!B604</x:f>
      </x:c>
      <x:c r="C633" s="11" t="str">
        <x:f>'Cumulative'!C604</x:f>
        <x:v>-40.27961221356584</x:v>
      </x:c>
      <x:c r="D633" s="11" t="n">
        <x:f>'Cumulative'!D604</x:f>
        <x:v>0</x:v>
      </x:c>
      <x:c r="E633" s="11" t="n">
        <x:f>'Cumulative'!E604</x:f>
        <x:v>0</x:v>
      </x:c>
      <x:c r="G633" s="11" t="str">
        <x:f>'Cumulative'!A604</x:f>
        <x:v>603</x:v>
      </x:c>
      <x:c r="H633" s="11" t="str">
        <x:f>'Cumulative'!C604</x:f>
        <x:v>-40.27961221356584</x:v>
      </x:c>
      <x:c r="I633" s="87"/>
      <x:c r="J633" s="87"/>
      <x:c r="K633" s="87"/>
      <x:c r="L633" s="87"/>
    </x:row>
    <x:row r="634">
      <x:c r="A634" s="11" t="str">
        <x:f>'Cumulative'!A605</x:f>
        <x:v>604</x:v>
      </x:c>
      <x:c r="B634" s="11" t="str">
        <x:f>'Cumulative'!B605</x:f>
      </x:c>
      <x:c r="C634" s="11" t="str">
        <x:f>'Cumulative'!C605</x:f>
        <x:v>-38.30108231673768</x:v>
      </x:c>
      <x:c r="D634" s="11" t="n">
        <x:f>'Cumulative'!D605</x:f>
        <x:v>0</x:v>
      </x:c>
      <x:c r="E634" s="11" t="n">
        <x:f>'Cumulative'!E605</x:f>
        <x:v>0</x:v>
      </x:c>
      <x:c r="G634" s="11" t="str">
        <x:f>'Cumulative'!A605</x:f>
        <x:v>604</x:v>
      </x:c>
      <x:c r="H634" s="11" t="str">
        <x:f>'Cumulative'!C605</x:f>
        <x:v>-38.30108231673768</x:v>
      </x:c>
      <x:c r="I634" s="87"/>
      <x:c r="J634" s="87"/>
      <x:c r="K634" s="87"/>
      <x:c r="L634" s="87"/>
    </x:row>
    <x:row r="635">
      <x:c r="A635" s="11" t="str">
        <x:f>'Cumulative'!A606</x:f>
        <x:v>605</x:v>
      </x:c>
      <x:c r="B635" s="11" t="str">
        <x:f>'Cumulative'!B606</x:f>
      </x:c>
      <x:c r="C635" s="11" t="str">
        <x:f>'Cumulative'!C606</x:f>
        <x:v>-39.3149846171663</x:v>
      </x:c>
      <x:c r="D635" s="11" t="n">
        <x:f>'Cumulative'!D606</x:f>
        <x:v>0</x:v>
      </x:c>
      <x:c r="E635" s="11" t="n">
        <x:f>'Cumulative'!E606</x:f>
        <x:v>0</x:v>
      </x:c>
      <x:c r="G635" s="11" t="str">
        <x:f>'Cumulative'!A606</x:f>
        <x:v>605</x:v>
      </x:c>
      <x:c r="H635" s="11" t="str">
        <x:f>'Cumulative'!C606</x:f>
        <x:v>-39.3149846171663</x:v>
      </x:c>
      <x:c r="I635" s="87"/>
      <x:c r="J635" s="87"/>
      <x:c r="K635" s="87"/>
      <x:c r="L635" s="87"/>
    </x:row>
    <x:row r="636">
      <x:c r="A636" s="11" t="str">
        <x:f>'Cumulative'!A607</x:f>
        <x:v>606</x:v>
      </x:c>
      <x:c r="B636" s="11" t="str">
        <x:f>'Cumulative'!B607</x:f>
      </x:c>
      <x:c r="C636" s="11" t="str">
        <x:f>'Cumulative'!C607</x:f>
        <x:v>-38.668808801365614</x:v>
      </x:c>
      <x:c r="D636" s="11" t="n">
        <x:f>'Cumulative'!D607</x:f>
        <x:v>0</x:v>
      </x:c>
      <x:c r="E636" s="11" t="n">
        <x:f>'Cumulative'!E607</x:f>
        <x:v>0</x:v>
      </x:c>
      <x:c r="G636" s="11" t="str">
        <x:f>'Cumulative'!A607</x:f>
        <x:v>606</x:v>
      </x:c>
      <x:c r="H636" s="11" t="str">
        <x:f>'Cumulative'!C607</x:f>
        <x:v>-38.668808801365614</x:v>
      </x:c>
      <x:c r="I636" s="87"/>
      <x:c r="J636" s="87"/>
      <x:c r="K636" s="87"/>
      <x:c r="L636" s="87"/>
    </x:row>
    <x:row r="637">
      <x:c r="A637" s="11" t="str">
        <x:f>'Cumulative'!A608</x:f>
        <x:v>607</x:v>
      </x:c>
      <x:c r="B637" s="11" t="str">
        <x:f>'Cumulative'!B608</x:f>
      </x:c>
      <x:c r="C637" s="11" t="str">
        <x:f>'Cumulative'!C608</x:f>
        <x:v>-39.69317843269755</x:v>
      </x:c>
      <x:c r="D637" s="11" t="n">
        <x:f>'Cumulative'!D608</x:f>
        <x:v>0</x:v>
      </x:c>
      <x:c r="E637" s="11" t="n">
        <x:f>'Cumulative'!E608</x:f>
        <x:v>0</x:v>
      </x:c>
      <x:c r="G637" s="11" t="str">
        <x:f>'Cumulative'!A608</x:f>
        <x:v>607</x:v>
      </x:c>
      <x:c r="H637" s="11" t="str">
        <x:f>'Cumulative'!C608</x:f>
        <x:v>-39.69317843269755</x:v>
      </x:c>
      <x:c r="I637" s="87"/>
      <x:c r="J637" s="87"/>
      <x:c r="K637" s="87"/>
      <x:c r="L637" s="87"/>
    </x:row>
    <x:row r="638">
      <x:c r="A638" s="11" t="str">
        <x:f>'Cumulative'!A609</x:f>
        <x:v>608</x:v>
      </x:c>
      <x:c r="B638" s="11" t="str">
        <x:f>'Cumulative'!B609</x:f>
      </x:c>
      <x:c r="C638" s="11" t="str">
        <x:f>'Cumulative'!C609</x:f>
        <x:v>-38.443113290056765</x:v>
      </x:c>
      <x:c r="D638" s="11" t="n">
        <x:f>'Cumulative'!D609</x:f>
        <x:v>0</x:v>
      </x:c>
      <x:c r="E638" s="11" t="n">
        <x:f>'Cumulative'!E609</x:f>
        <x:v>0</x:v>
      </x:c>
      <x:c r="G638" s="11" t="str">
        <x:f>'Cumulative'!A609</x:f>
        <x:v>608</x:v>
      </x:c>
      <x:c r="H638" s="11" t="str">
        <x:f>'Cumulative'!C609</x:f>
        <x:v>-38.443113290056765</x:v>
      </x:c>
      <x:c r="I638" s="87"/>
      <x:c r="J638" s="87"/>
      <x:c r="K638" s="87"/>
      <x:c r="L638" s="87"/>
    </x:row>
    <x:row r="639">
      <x:c r="A639" s="11" t="str">
        <x:f>'Cumulative'!A610</x:f>
        <x:v>609</x:v>
      </x:c>
      <x:c r="B639" s="11" t="str">
        <x:f>'Cumulative'!B610</x:f>
      </x:c>
      <x:c r="C639" s="11" t="str">
        <x:f>'Cumulative'!C610</x:f>
        <x:v>-36.45996497163303</x:v>
      </x:c>
      <x:c r="D639" s="11" t="n">
        <x:f>'Cumulative'!D610</x:f>
        <x:v>0</x:v>
      </x:c>
      <x:c r="E639" s="11" t="n">
        <x:f>'Cumulative'!E610</x:f>
        <x:v>0</x:v>
      </x:c>
      <x:c r="G639" s="11" t="str">
        <x:f>'Cumulative'!A610</x:f>
        <x:v>609</x:v>
      </x:c>
      <x:c r="H639" s="11" t="str">
        <x:f>'Cumulative'!C610</x:f>
        <x:v>-36.45996497163303</x:v>
      </x:c>
      <x:c r="I639" s="87"/>
      <x:c r="J639" s="87"/>
      <x:c r="K639" s="87"/>
      <x:c r="L639" s="87"/>
    </x:row>
    <x:row r="640">
      <x:c r="A640" s="11" t="str">
        <x:f>'Cumulative'!A611</x:f>
        <x:v>610</x:v>
      </x:c>
      <x:c r="B640" s="11" t="str">
        <x:f>'Cumulative'!B611</x:f>
      </x:c>
      <x:c r="C640" s="11" t="str">
        <x:f>'Cumulative'!C611</x:f>
        <x:v>-34.47239398391393</x:v>
      </x:c>
      <x:c r="D640" s="11" t="n">
        <x:f>'Cumulative'!D611</x:f>
        <x:v>0</x:v>
      </x:c>
      <x:c r="E640" s="11" t="n">
        <x:f>'Cumulative'!E611</x:f>
        <x:v>0</x:v>
      </x:c>
      <x:c r="G640" s="11" t="str">
        <x:f>'Cumulative'!A611</x:f>
        <x:v>610</x:v>
      </x:c>
      <x:c r="H640" s="11" t="str">
        <x:f>'Cumulative'!C611</x:f>
        <x:v>-34.47239398391393</x:v>
      </x:c>
      <x:c r="I640" s="87"/>
      <x:c r="J640" s="87"/>
      <x:c r="K640" s="87"/>
      <x:c r="L640" s="87"/>
    </x:row>
    <x:row r="641">
      <x:c r="A641" s="11" t="str">
        <x:f>'Cumulative'!A612</x:f>
        <x:v>611</x:v>
      </x:c>
      <x:c r="B641" s="11" t="str">
        <x:f>'Cumulative'!B612</x:f>
      </x:c>
      <x:c r="C641" s="11" t="str">
        <x:f>'Cumulative'!C612</x:f>
        <x:v>-35.487827284386185</x:v>
      </x:c>
      <x:c r="D641" s="11" t="n">
        <x:f>'Cumulative'!D612</x:f>
        <x:v>0</x:v>
      </x:c>
      <x:c r="E641" s="11" t="n">
        <x:f>'Cumulative'!E612</x:f>
        <x:v>0</x:v>
      </x:c>
      <x:c r="G641" s="11" t="str">
        <x:f>'Cumulative'!A612</x:f>
        <x:v>611</x:v>
      </x:c>
      <x:c r="H641" s="11" t="str">
        <x:f>'Cumulative'!C612</x:f>
        <x:v>-35.487827284386185</x:v>
      </x:c>
      <x:c r="I641" s="87"/>
      <x:c r="J641" s="87"/>
      <x:c r="K641" s="87"/>
      <x:c r="L641" s="87"/>
    </x:row>
    <x:row r="642">
      <x:c r="A642" s="11" t="str">
        <x:f>'Cumulative'!A613</x:f>
        <x:v>612</x:v>
      </x:c>
      <x:c r="B642" s="11" t="str">
        <x:f>'Cumulative'!B613</x:f>
      </x:c>
      <x:c r="C642" s="11" t="str">
        <x:f>'Cumulative'!C613</x:f>
        <x:v>-34.47464857699832</x:v>
      </x:c>
      <x:c r="D642" s="11" t="n">
        <x:f>'Cumulative'!D613</x:f>
        <x:v>0</x:v>
      </x:c>
      <x:c r="E642" s="11" t="n">
        <x:f>'Cumulative'!E613</x:f>
        <x:v>0</x:v>
      </x:c>
      <x:c r="G642" s="11" t="str">
        <x:f>'Cumulative'!A613</x:f>
        <x:v>612</x:v>
      </x:c>
      <x:c r="H642" s="11" t="str">
        <x:f>'Cumulative'!C613</x:f>
        <x:v>-34.47464857699832</x:v>
      </x:c>
      <x:c r="I642" s="87"/>
      <x:c r="J642" s="87"/>
      <x:c r="K642" s="87"/>
      <x:c r="L642" s="87"/>
    </x:row>
    <x:row r="643">
      <x:c r="A643" s="11" t="str">
        <x:f>'Cumulative'!A614</x:f>
        <x:v>613</x:v>
      </x:c>
      <x:c r="B643" s="11" t="str">
        <x:f>'Cumulative'!B614</x:f>
      </x:c>
      <x:c r="C643" s="11" t="str">
        <x:f>'Cumulative'!C614</x:f>
        <x:v>-35.49867342015779</x:v>
      </x:c>
      <x:c r="D643" s="11" t="n">
        <x:f>'Cumulative'!D614</x:f>
        <x:v>0</x:v>
      </x:c>
      <x:c r="E643" s="11" t="n">
        <x:f>'Cumulative'!E614</x:f>
        <x:v>0</x:v>
      </x:c>
      <x:c r="G643" s="11" t="str">
        <x:f>'Cumulative'!A614</x:f>
        <x:v>613</x:v>
      </x:c>
      <x:c r="H643" s="11" t="str">
        <x:f>'Cumulative'!C614</x:f>
        <x:v>-35.49867342015779</x:v>
      </x:c>
      <x:c r="I643" s="87"/>
      <x:c r="J643" s="87"/>
      <x:c r="K643" s="87"/>
      <x:c r="L643" s="87"/>
    </x:row>
    <x:row r="644">
      <x:c r="A644" s="11" t="str">
        <x:f>'Cumulative'!A615</x:f>
        <x:v>614</x:v>
      </x:c>
      <x:c r="B644" s="11" t="str">
        <x:f>'Cumulative'!B615</x:f>
      </x:c>
      <x:c r="C644" s="11" t="str">
        <x:f>'Cumulative'!C615</x:f>
        <x:v>-34.71046131379956</x:v>
      </x:c>
      <x:c r="D644" s="11" t="n">
        <x:f>'Cumulative'!D615</x:f>
        <x:v>0</x:v>
      </x:c>
      <x:c r="E644" s="11" t="n">
        <x:f>'Cumulative'!E615</x:f>
        <x:v>0</x:v>
      </x:c>
      <x:c r="G644" s="11" t="str">
        <x:f>'Cumulative'!A615</x:f>
        <x:v>614</x:v>
      </x:c>
      <x:c r="H644" s="11" t="str">
        <x:f>'Cumulative'!C615</x:f>
        <x:v>-34.71046131379956</x:v>
      </x:c>
      <x:c r="I644" s="87"/>
      <x:c r="J644" s="87"/>
      <x:c r="K644" s="87"/>
      <x:c r="L644" s="87"/>
    </x:row>
    <x:row r="645">
      <x:c r="A645" s="11" t="str">
        <x:f>'Cumulative'!A616</x:f>
        <x:v>615</x:v>
      </x:c>
      <x:c r="B645" s="11" t="str">
        <x:f>'Cumulative'!B616</x:f>
      </x:c>
      <x:c r="C645" s="11" t="str">
        <x:f>'Cumulative'!C616</x:f>
        <x:v>-34.35935106956364</x:v>
      </x:c>
      <x:c r="D645" s="11" t="n">
        <x:f>'Cumulative'!D616</x:f>
        <x:v>0</x:v>
      </x:c>
      <x:c r="E645" s="11" t="n">
        <x:f>'Cumulative'!E616</x:f>
        <x:v>0</x:v>
      </x:c>
      <x:c r="G645" s="11" t="str">
        <x:f>'Cumulative'!A616</x:f>
        <x:v>615</x:v>
      </x:c>
      <x:c r="H645" s="11" t="str">
        <x:f>'Cumulative'!C616</x:f>
        <x:v>-34.35935106956364</x:v>
      </x:c>
      <x:c r="I645" s="87"/>
      <x:c r="J645" s="87"/>
      <x:c r="K645" s="87"/>
      <x:c r="L645" s="87"/>
    </x:row>
    <x:row r="646">
      <x:c r="A646" s="11" t="str">
        <x:f>'Cumulative'!A617</x:f>
        <x:v>616</x:v>
      </x:c>
      <x:c r="B646" s="11" t="str">
        <x:f>'Cumulative'!B617</x:f>
      </x:c>
      <x:c r="C646" s="11" t="str">
        <x:f>'Cumulative'!C617</x:f>
        <x:v>-35.400972885787695</x:v>
      </x:c>
      <x:c r="D646" s="11" t="n">
        <x:f>'Cumulative'!D617</x:f>
        <x:v>0</x:v>
      </x:c>
      <x:c r="E646" s="11" t="n">
        <x:f>'Cumulative'!E617</x:f>
        <x:v>0</x:v>
      </x:c>
      <x:c r="G646" s="11" t="str">
        <x:f>'Cumulative'!A617</x:f>
        <x:v>616</x:v>
      </x:c>
      <x:c r="H646" s="11" t="str">
        <x:f>'Cumulative'!C617</x:f>
        <x:v>-35.400972885787695</x:v>
      </x:c>
      <x:c r="I646" s="87"/>
      <x:c r="J646" s="87"/>
      <x:c r="K646" s="87"/>
      <x:c r="L646" s="87"/>
    </x:row>
    <x:row r="647">
      <x:c r="A647" s="11" t="str">
        <x:f>'Cumulative'!A618</x:f>
        <x:v>617</x:v>
      </x:c>
      <x:c r="B647" s="11" t="str">
        <x:f>'Cumulative'!B618</x:f>
      </x:c>
      <x:c r="C647" s="11" t="str">
        <x:f>'Cumulative'!C618</x:f>
        <x:v>-36.42370341949806</x:v>
      </x:c>
      <x:c r="D647" s="11" t="n">
        <x:f>'Cumulative'!D618</x:f>
        <x:v>0</x:v>
      </x:c>
      <x:c r="E647" s="11" t="n">
        <x:f>'Cumulative'!E618</x:f>
        <x:v>0</x:v>
      </x:c>
      <x:c r="G647" s="11" t="str">
        <x:f>'Cumulative'!A618</x:f>
        <x:v>617</x:v>
      </x:c>
      <x:c r="H647" s="11" t="str">
        <x:f>'Cumulative'!C618</x:f>
        <x:v>-36.42370341949806</x:v>
      </x:c>
      <x:c r="I647" s="87"/>
      <x:c r="J647" s="87"/>
      <x:c r="K647" s="87"/>
      <x:c r="L647" s="87"/>
    </x:row>
    <x:row r="648">
      <x:c r="A648" s="11" t="str">
        <x:f>'Cumulative'!A619</x:f>
        <x:v>618</x:v>
      </x:c>
      <x:c r="B648" s="11" t="str">
        <x:f>'Cumulative'!B619</x:f>
      </x:c>
      <x:c r="C648" s="11" t="str">
        <x:f>'Cumulative'!C619</x:f>
        <x:v>-37.436981184889945</x:v>
      </x:c>
      <x:c r="D648" s="11" t="n">
        <x:f>'Cumulative'!D619</x:f>
        <x:v>0</x:v>
      </x:c>
      <x:c r="E648" s="11" t="n">
        <x:f>'Cumulative'!E619</x:f>
        <x:v>0</x:v>
      </x:c>
      <x:c r="G648" s="11" t="str">
        <x:f>'Cumulative'!A619</x:f>
        <x:v>618</x:v>
      </x:c>
      <x:c r="H648" s="11" t="str">
        <x:f>'Cumulative'!C619</x:f>
        <x:v>-37.436981184889945</x:v>
      </x:c>
      <x:c r="I648" s="87"/>
      <x:c r="J648" s="87"/>
      <x:c r="K648" s="87"/>
      <x:c r="L648" s="87"/>
    </x:row>
    <x:row r="649">
      <x:c r="A649" s="11" t="str">
        <x:f>'Cumulative'!A620</x:f>
        <x:v>619</x:v>
      </x:c>
      <x:c r="B649" s="11" t="str">
        <x:f>'Cumulative'!B620</x:f>
      </x:c>
      <x:c r="C649" s="11" t="str">
        <x:f>'Cumulative'!C620</x:f>
        <x:v>-37.37220969978727</x:v>
      </x:c>
      <x:c r="D649" s="11" t="n">
        <x:f>'Cumulative'!D620</x:f>
        <x:v>0</x:v>
      </x:c>
      <x:c r="E649" s="11" t="n">
        <x:f>'Cumulative'!E620</x:f>
        <x:v>0</x:v>
      </x:c>
      <x:c r="G649" s="11" t="str">
        <x:f>'Cumulative'!A620</x:f>
        <x:v>619</x:v>
      </x:c>
      <x:c r="H649" s="11" t="str">
        <x:f>'Cumulative'!C620</x:f>
        <x:v>-37.37220969978727</x:v>
      </x:c>
      <x:c r="I649" s="87"/>
      <x:c r="J649" s="87"/>
      <x:c r="K649" s="87"/>
      <x:c r="L649" s="87"/>
    </x:row>
    <x:row r="650">
      <x:c r="A650" s="11" t="str">
        <x:f>'Cumulative'!A621</x:f>
        <x:v>620</x:v>
      </x:c>
      <x:c r="B650" s="11" t="str">
        <x:f>'Cumulative'!B621</x:f>
      </x:c>
      <x:c r="C650" s="11" t="str">
        <x:f>'Cumulative'!C621</x:f>
        <x:v>-35.41702934057674</x:v>
      </x:c>
      <x:c r="D650" s="11" t="n">
        <x:f>'Cumulative'!D621</x:f>
        <x:v>0</x:v>
      </x:c>
      <x:c r="E650" s="11" t="n">
        <x:f>'Cumulative'!E621</x:f>
        <x:v>0</x:v>
      </x:c>
      <x:c r="G650" s="11" t="str">
        <x:f>'Cumulative'!A621</x:f>
        <x:v>620</x:v>
      </x:c>
      <x:c r="H650" s="11" t="str">
        <x:f>'Cumulative'!C621</x:f>
        <x:v>-35.41702934057674</x:v>
      </x:c>
      <x:c r="I650" s="87"/>
      <x:c r="J650" s="87"/>
      <x:c r="K650" s="87"/>
      <x:c r="L650" s="87"/>
    </x:row>
    <x:row r="651">
      <x:c r="A651" s="11" t="str">
        <x:f>'Cumulative'!A622</x:f>
        <x:v>621</x:v>
      </x:c>
      <x:c r="B651" s="11" t="str">
        <x:f>'Cumulative'!B622</x:f>
      </x:c>
      <x:c r="C651" s="11" t="str">
        <x:f>'Cumulative'!C622</x:f>
        <x:v>-35.19761055575734</x:v>
      </x:c>
      <x:c r="D651" s="11" t="n">
        <x:f>'Cumulative'!D622</x:f>
        <x:v>0</x:v>
      </x:c>
      <x:c r="E651" s="11" t="n">
        <x:f>'Cumulative'!E622</x:f>
        <x:v>0</x:v>
      </x:c>
      <x:c r="G651" s="11" t="str">
        <x:f>'Cumulative'!A622</x:f>
        <x:v>621</x:v>
      </x:c>
      <x:c r="H651" s="11" t="str">
        <x:f>'Cumulative'!C622</x:f>
        <x:v>-35.19761055575734</x:v>
      </x:c>
      <x:c r="I651" s="87"/>
      <x:c r="J651" s="87"/>
      <x:c r="K651" s="87"/>
      <x:c r="L651" s="87"/>
    </x:row>
    <x:row r="652">
      <x:c r="A652" s="11" t="str">
        <x:f>'Cumulative'!A623</x:f>
        <x:v>622</x:v>
      </x:c>
      <x:c r="B652" s="11" t="str">
        <x:f>'Cumulative'!B623</x:f>
      </x:c>
      <x:c r="C652" s="11" t="str">
        <x:f>'Cumulative'!C623</x:f>
        <x:v>-34.914870695681415</x:v>
      </x:c>
      <x:c r="D652" s="11" t="n">
        <x:f>'Cumulative'!D623</x:f>
        <x:v>0</x:v>
      </x:c>
      <x:c r="E652" s="11" t="n">
        <x:f>'Cumulative'!E623</x:f>
        <x:v>0</x:v>
      </x:c>
      <x:c r="G652" s="11" t="str">
        <x:f>'Cumulative'!A623</x:f>
        <x:v>622</x:v>
      </x:c>
      <x:c r="H652" s="11" t="str">
        <x:f>'Cumulative'!C623</x:f>
        <x:v>-34.914870695681415</x:v>
      </x:c>
      <x:c r="I652" s="87"/>
      <x:c r="J652" s="87"/>
      <x:c r="K652" s="87"/>
      <x:c r="L652" s="87"/>
    </x:row>
    <x:row r="653">
      <x:c r="A653" s="11" t="str">
        <x:f>'Cumulative'!A624</x:f>
        <x:v>623</x:v>
      </x:c>
      <x:c r="B653" s="11" t="str">
        <x:f>'Cumulative'!B624</x:f>
      </x:c>
      <x:c r="C653" s="11" t="str">
        <x:f>'Cumulative'!C624</x:f>
        <x:v>-35.513660212371136</x:v>
      </x:c>
      <x:c r="D653" s="11" t="n">
        <x:f>'Cumulative'!D624</x:f>
        <x:v>0</x:v>
      </x:c>
      <x:c r="E653" s="11" t="n">
        <x:f>'Cumulative'!E624</x:f>
        <x:v>0</x:v>
      </x:c>
      <x:c r="G653" s="11" t="str">
        <x:f>'Cumulative'!A624</x:f>
        <x:v>623</x:v>
      </x:c>
      <x:c r="H653" s="11" t="str">
        <x:f>'Cumulative'!C624</x:f>
        <x:v>-35.513660212371136</x:v>
      </x:c>
      <x:c r="I653" s="87"/>
      <x:c r="J653" s="87"/>
      <x:c r="K653" s="87"/>
      <x:c r="L653" s="87"/>
    </x:row>
    <x:row r="654">
      <x:c r="A654" s="11" t="str">
        <x:f>'Cumulative'!A625</x:f>
        <x:v>624</x:v>
      </x:c>
      <x:c r="B654" s="11" t="str">
        <x:f>'Cumulative'!B625</x:f>
      </x:c>
      <x:c r="C654" s="11" t="str">
        <x:f>'Cumulative'!C625</x:f>
        <x:v>-36.57057170672513</x:v>
      </x:c>
      <x:c r="D654" s="11" t="n">
        <x:f>'Cumulative'!D625</x:f>
        <x:v>0</x:v>
      </x:c>
      <x:c r="E654" s="11" t="n">
        <x:f>'Cumulative'!E625</x:f>
        <x:v>0</x:v>
      </x:c>
      <x:c r="G654" s="11" t="str">
        <x:f>'Cumulative'!A625</x:f>
        <x:v>624</x:v>
      </x:c>
      <x:c r="H654" s="11" t="str">
        <x:f>'Cumulative'!C625</x:f>
        <x:v>-36.57057170672513</x:v>
      </x:c>
      <x:c r="I654" s="87"/>
      <x:c r="J654" s="87"/>
      <x:c r="K654" s="87"/>
      <x:c r="L654" s="87"/>
    </x:row>
    <x:row r="655">
      <x:c r="A655" s="11" t="str">
        <x:f>'Cumulative'!A626</x:f>
        <x:v>625</x:v>
      </x:c>
      <x:c r="B655" s="11" t="str">
        <x:f>'Cumulative'!B626</x:f>
      </x:c>
      <x:c r="C655" s="11" t="str">
        <x:f>'Cumulative'!C626</x:f>
        <x:v>-37.60534353949419</x:v>
      </x:c>
      <x:c r="D655" s="11" t="n">
        <x:f>'Cumulative'!D626</x:f>
        <x:v>0</x:v>
      </x:c>
      <x:c r="E655" s="11" t="n">
        <x:f>'Cumulative'!E626</x:f>
        <x:v>0</x:v>
      </x:c>
      <x:c r="G655" s="11" t="str">
        <x:f>'Cumulative'!A626</x:f>
        <x:v>625</x:v>
      </x:c>
      <x:c r="H655" s="11" t="str">
        <x:f>'Cumulative'!C626</x:f>
        <x:v>-37.60534353949419</x:v>
      </x:c>
      <x:c r="I655" s="87"/>
      <x:c r="J655" s="87"/>
      <x:c r="K655" s="87"/>
      <x:c r="L655" s="87"/>
    </x:row>
    <x:row r="656">
      <x:c r="A656" s="11" t="str">
        <x:f>'Cumulative'!A627</x:f>
        <x:v>626</x:v>
      </x:c>
      <x:c r="B656" s="11" t="str">
        <x:f>'Cumulative'!B627</x:f>
      </x:c>
      <x:c r="C656" s="11" t="str">
        <x:f>'Cumulative'!C627</x:f>
        <x:v>-38.623208665722046</x:v>
      </x:c>
      <x:c r="D656" s="11" t="n">
        <x:f>'Cumulative'!D627</x:f>
        <x:v>0</x:v>
      </x:c>
      <x:c r="E656" s="11" t="n">
        <x:f>'Cumulative'!E627</x:f>
        <x:v>0</x:v>
      </x:c>
      <x:c r="G656" s="11" t="str">
        <x:f>'Cumulative'!A627</x:f>
        <x:v>626</x:v>
      </x:c>
      <x:c r="H656" s="11" t="str">
        <x:f>'Cumulative'!C627</x:f>
        <x:v>-38.623208665722046</x:v>
      </x:c>
      <x:c r="I656" s="87"/>
      <x:c r="J656" s="87"/>
      <x:c r="K656" s="87"/>
      <x:c r="L656" s="87"/>
    </x:row>
    <x:row r="657">
      <x:c r="A657" s="11" t="str">
        <x:f>'Cumulative'!A628</x:f>
        <x:v>627</x:v>
      </x:c>
      <x:c r="B657" s="11" t="str">
        <x:f>'Cumulative'!B628</x:f>
      </x:c>
      <x:c r="C657" s="11" t="str">
        <x:f>'Cumulative'!C628</x:f>
        <x:v>-39.639736578056336</x:v>
      </x:c>
      <x:c r="D657" s="11" t="n">
        <x:f>'Cumulative'!D628</x:f>
        <x:v>0</x:v>
      </x:c>
      <x:c r="E657" s="11" t="n">
        <x:f>'Cumulative'!E628</x:f>
        <x:v>0</x:v>
      </x:c>
      <x:c r="G657" s="11" t="str">
        <x:f>'Cumulative'!A628</x:f>
        <x:v>627</x:v>
      </x:c>
      <x:c r="H657" s="11" t="str">
        <x:f>'Cumulative'!C628</x:f>
        <x:v>-39.639736578056336</x:v>
      </x:c>
      <x:c r="I657" s="87"/>
      <x:c r="J657" s="87"/>
      <x:c r="K657" s="87"/>
      <x:c r="L657" s="87"/>
    </x:row>
    <x:row r="658">
      <x:c r="A658" s="11" t="str">
        <x:f>'Cumulative'!A629</x:f>
        <x:v>628</x:v>
      </x:c>
      <x:c r="B658" s="11" t="str">
        <x:f>'Cumulative'!B629</x:f>
      </x:c>
      <x:c r="C658" s="11" t="str">
        <x:f>'Cumulative'!C629</x:f>
        <x:v>-40.66134030644096</x:v>
      </x:c>
      <x:c r="D658" s="11" t="n">
        <x:f>'Cumulative'!D629</x:f>
        <x:v>0</x:v>
      </x:c>
      <x:c r="E658" s="11" t="n">
        <x:f>'Cumulative'!E629</x:f>
        <x:v>0</x:v>
      </x:c>
      <x:c r="G658" s="11" t="str">
        <x:f>'Cumulative'!A629</x:f>
        <x:v>628</x:v>
      </x:c>
      <x:c r="H658" s="11" t="str">
        <x:f>'Cumulative'!C629</x:f>
        <x:v>-40.66134030644096</x:v>
      </x:c>
      <x:c r="I658" s="87"/>
      <x:c r="J658" s="87"/>
      <x:c r="K658" s="87"/>
      <x:c r="L658" s="87"/>
    </x:row>
    <x:row r="659">
      <x:c r="A659" s="11" t="str">
        <x:f>'Cumulative'!A630</x:f>
        <x:v>629</x:v>
      </x:c>
      <x:c r="B659" s="11" t="str">
        <x:f>'Cumulative'!B630</x:f>
      </x:c>
      <x:c r="C659" s="11" t="str">
        <x:f>'Cumulative'!C630</x:f>
        <x:v>-40.07775031643592</x:v>
      </x:c>
      <x:c r="D659" s="11" t="n">
        <x:f>'Cumulative'!D630</x:f>
        <x:v>0</x:v>
      </x:c>
      <x:c r="E659" s="11" t="n">
        <x:f>'Cumulative'!E630</x:f>
        <x:v>0</x:v>
      </x:c>
      <x:c r="G659" s="11" t="str">
        <x:f>'Cumulative'!A630</x:f>
        <x:v>629</x:v>
      </x:c>
      <x:c r="H659" s="11" t="str">
        <x:f>'Cumulative'!C630</x:f>
        <x:v>-40.07775031643592</x:v>
      </x:c>
      <x:c r="I659" s="87"/>
      <x:c r="J659" s="87"/>
      <x:c r="K659" s="87"/>
      <x:c r="L659" s="87"/>
    </x:row>
    <x:row r="660">
      <x:c r="A660" s="11" t="str">
        <x:f>'Cumulative'!A631</x:f>
        <x:v>630</x:v>
      </x:c>
      <x:c r="B660" s="11" t="str">
        <x:f>'Cumulative'!B631</x:f>
      </x:c>
      <x:c r="C660" s="11" t="str">
        <x:f>'Cumulative'!C631</x:f>
        <x:v>-41.10406194687472</x:v>
      </x:c>
      <x:c r="D660" s="11" t="n">
        <x:f>'Cumulative'!D631</x:f>
        <x:v>0</x:v>
      </x:c>
      <x:c r="E660" s="11" t="n">
        <x:f>'Cumulative'!E631</x:f>
        <x:v>0</x:v>
      </x:c>
      <x:c r="G660" s="11" t="str">
        <x:f>'Cumulative'!A631</x:f>
        <x:v>630</x:v>
      </x:c>
      <x:c r="H660" s="11" t="str">
        <x:f>'Cumulative'!C631</x:f>
        <x:v>-41.10406194687472</x:v>
      </x:c>
      <x:c r="I660" s="87"/>
      <x:c r="J660" s="87"/>
      <x:c r="K660" s="87"/>
      <x:c r="L660" s="87"/>
    </x:row>
    <x:row r="661">
      <x:c r="A661" s="11" t="str">
        <x:f>'Cumulative'!A632</x:f>
        <x:v>631</x:v>
      </x:c>
      <x:c r="B661" s="11" t="str">
        <x:f>'Cumulative'!B632</x:f>
      </x:c>
      <x:c r="C661" s="11" t="str">
        <x:f>'Cumulative'!C632</x:f>
        <x:v>-42.12726715370759</x:v>
      </x:c>
      <x:c r="D661" s="11" t="n">
        <x:f>'Cumulative'!D632</x:f>
        <x:v>0</x:v>
      </x:c>
      <x:c r="E661" s="11" t="n">
        <x:f>'Cumulative'!E632</x:f>
        <x:v>0</x:v>
      </x:c>
      <x:c r="G661" s="11" t="str">
        <x:f>'Cumulative'!A632</x:f>
        <x:v>631</x:v>
      </x:c>
      <x:c r="H661" s="11" t="str">
        <x:f>'Cumulative'!C632</x:f>
        <x:v>-42.12726715370759</x:v>
      </x:c>
      <x:c r="I661" s="87"/>
      <x:c r="J661" s="87"/>
      <x:c r="K661" s="87"/>
      <x:c r="L661" s="87"/>
    </x:row>
    <x:row r="662">
      <x:c r="A662" s="11" t="str">
        <x:f>'Cumulative'!A633</x:f>
        <x:v>632</x:v>
      </x:c>
      <x:c r="B662" s="11" t="str">
        <x:f>'Cumulative'!B633</x:f>
      </x:c>
      <x:c r="C662" s="11" t="str">
        <x:f>'Cumulative'!C633</x:f>
        <x:v>-43.15226712662539</x:v>
      </x:c>
      <x:c r="D662" s="11" t="n">
        <x:f>'Cumulative'!D633</x:f>
        <x:v>0</x:v>
      </x:c>
      <x:c r="E662" s="11" t="n">
        <x:f>'Cumulative'!E633</x:f>
        <x:v>0</x:v>
      </x:c>
      <x:c r="G662" s="11" t="str">
        <x:f>'Cumulative'!A633</x:f>
        <x:v>632</x:v>
      </x:c>
      <x:c r="H662" s="11" t="str">
        <x:f>'Cumulative'!C633</x:f>
        <x:v>-43.15226712662539</x:v>
      </x:c>
      <x:c r="I662" s="87"/>
      <x:c r="J662" s="87"/>
      <x:c r="K662" s="87"/>
      <x:c r="L662" s="87"/>
    </x:row>
    <x:row r="663">
      <x:c r="A663" s="11" t="str">
        <x:f>'Cumulative'!A634</x:f>
        <x:v>633</x:v>
      </x:c>
      <x:c r="B663" s="11" t="str">
        <x:f>'Cumulative'!B634</x:f>
      </x:c>
      <x:c r="C663" s="11" t="str">
        <x:f>'Cumulative'!C634</x:f>
        <x:v>-44.184690802826545</x:v>
      </x:c>
      <x:c r="D663" s="11" t="n">
        <x:f>'Cumulative'!D634</x:f>
        <x:v>0</x:v>
      </x:c>
      <x:c r="E663" s="11" t="n">
        <x:f>'Cumulative'!E634</x:f>
        <x:v>0</x:v>
      </x:c>
      <x:c r="G663" s="11" t="str">
        <x:f>'Cumulative'!A634</x:f>
        <x:v>633</x:v>
      </x:c>
      <x:c r="H663" s="11" t="str">
        <x:f>'Cumulative'!C634</x:f>
        <x:v>-44.184690802826545</x:v>
      </x:c>
      <x:c r="I663" s="87"/>
      <x:c r="J663" s="87"/>
      <x:c r="K663" s="87"/>
      <x:c r="L663" s="87"/>
    </x:row>
    <x:row r="664">
      <x:c r="A664" s="11" t="str">
        <x:f>'Cumulative'!A635</x:f>
        <x:v>634</x:v>
      </x:c>
      <x:c r="B664" s="11" t="str">
        <x:f>'Cumulative'!B635</x:f>
      </x:c>
      <x:c r="C664" s="11" t="str">
        <x:f>'Cumulative'!C635</x:f>
        <x:v>-43.96074800120164</x:v>
      </x:c>
      <x:c r="D664" s="11" t="n">
        <x:f>'Cumulative'!D635</x:f>
        <x:v>0</x:v>
      </x:c>
      <x:c r="E664" s="11" t="n">
        <x:f>'Cumulative'!E635</x:f>
        <x:v>0</x:v>
      </x:c>
      <x:c r="G664" s="11" t="str">
        <x:f>'Cumulative'!A635</x:f>
        <x:v>634</x:v>
      </x:c>
      <x:c r="H664" s="11" t="str">
        <x:f>'Cumulative'!C635</x:f>
        <x:v>-43.96074800120164</x:v>
      </x:c>
      <x:c r="I664" s="87"/>
      <x:c r="J664" s="87"/>
      <x:c r="K664" s="87"/>
      <x:c r="L664" s="87"/>
    </x:row>
    <x:row r="665">
      <x:c r="A665" s="11" t="str">
        <x:f>'Cumulative'!A636</x:f>
        <x:v>635</x:v>
      </x:c>
      <x:c r="B665" s="11" t="str">
        <x:f>'Cumulative'!B636</x:f>
      </x:c>
      <x:c r="C665" s="11" t="str">
        <x:f>'Cumulative'!C636</x:f>
        <x:v>-42.40158745492692</x:v>
      </x:c>
      <x:c r="D665" s="11" t="n">
        <x:f>'Cumulative'!D636</x:f>
        <x:v>0</x:v>
      </x:c>
      <x:c r="E665" s="11" t="n">
        <x:f>'Cumulative'!E636</x:f>
        <x:v>0</x:v>
      </x:c>
      <x:c r="G665" s="11" t="str">
        <x:f>'Cumulative'!A636</x:f>
        <x:v>635</x:v>
      </x:c>
      <x:c r="H665" s="11" t="str">
        <x:f>'Cumulative'!C636</x:f>
        <x:v>-42.40158745492692</x:v>
      </x:c>
      <x:c r="I665" s="87"/>
      <x:c r="J665" s="87"/>
      <x:c r="K665" s="87"/>
      <x:c r="L665" s="87"/>
    </x:row>
    <x:row r="666">
      <x:c r="A666" s="11" t="str">
        <x:f>'Cumulative'!A637</x:f>
        <x:v>636</x:v>
      </x:c>
      <x:c r="B666" s="11" t="str">
        <x:f>'Cumulative'!B637</x:f>
      </x:c>
      <x:c r="C666" s="11" t="str">
        <x:f>'Cumulative'!C637</x:f>
        <x:v>-43.42894912720007</x:v>
      </x:c>
      <x:c r="D666" s="11" t="n">
        <x:f>'Cumulative'!D637</x:f>
        <x:v>0</x:v>
      </x:c>
      <x:c r="E666" s="11" t="n">
        <x:f>'Cumulative'!E637</x:f>
        <x:v>0</x:v>
      </x:c>
      <x:c r="G666" s="11" t="str">
        <x:f>'Cumulative'!A637</x:f>
        <x:v>636</x:v>
      </x:c>
      <x:c r="H666" s="11" t="str">
        <x:f>'Cumulative'!C637</x:f>
        <x:v>-43.42894912720007</x:v>
      </x:c>
      <x:c r="I666" s="87"/>
      <x:c r="J666" s="87"/>
      <x:c r="K666" s="87"/>
      <x:c r="L666" s="87"/>
    </x:row>
    <x:row r="667">
      <x:c r="A667" s="11" t="str">
        <x:f>'Cumulative'!A638</x:f>
        <x:v>637</x:v>
      </x:c>
      <x:c r="B667" s="11" t="str">
        <x:f>'Cumulative'!B638</x:f>
      </x:c>
      <x:c r="C667" s="11" t="str">
        <x:f>'Cumulative'!C638</x:f>
        <x:v>-41.46570404706938</x:v>
      </x:c>
      <x:c r="D667" s="11" t="n">
        <x:f>'Cumulative'!D638</x:f>
        <x:v>0</x:v>
      </x:c>
      <x:c r="E667" s="11" t="n">
        <x:f>'Cumulative'!E638</x:f>
        <x:v>0</x:v>
      </x:c>
      <x:c r="G667" s="11" t="str">
        <x:f>'Cumulative'!A638</x:f>
        <x:v>637</x:v>
      </x:c>
      <x:c r="H667" s="11" t="str">
        <x:f>'Cumulative'!C638</x:f>
        <x:v>-41.46570404706938</x:v>
      </x:c>
      <x:c r="I667" s="87"/>
      <x:c r="J667" s="87"/>
      <x:c r="K667" s="87"/>
      <x:c r="L667" s="87"/>
    </x:row>
    <x:row r="668">
      <x:c r="A668" s="11" t="str">
        <x:f>'Cumulative'!A639</x:f>
        <x:v>638</x:v>
      </x:c>
      <x:c r="B668" s="11" t="str">
        <x:f>'Cumulative'!B639</x:f>
      </x:c>
      <x:c r="C668" s="11" t="str">
        <x:f>'Cumulative'!C639</x:f>
        <x:v>-41.23546768101296</x:v>
      </x:c>
      <x:c r="D668" s="11" t="n">
        <x:f>'Cumulative'!D639</x:f>
        <x:v>0</x:v>
      </x:c>
      <x:c r="E668" s="11" t="n">
        <x:f>'Cumulative'!E639</x:f>
        <x:v>0</x:v>
      </x:c>
      <x:c r="G668" s="11" t="str">
        <x:f>'Cumulative'!A639</x:f>
        <x:v>638</x:v>
      </x:c>
      <x:c r="H668" s="11" t="str">
        <x:f>'Cumulative'!C639</x:f>
        <x:v>-41.23546768101296</x:v>
      </x:c>
      <x:c r="I668" s="87"/>
      <x:c r="J668" s="87"/>
      <x:c r="K668" s="87"/>
      <x:c r="L668" s="87"/>
    </x:row>
    <x:row r="669">
      <x:c r="A669" s="11" t="str">
        <x:f>'Cumulative'!A640</x:f>
        <x:v>639</x:v>
      </x:c>
      <x:c r="B669" s="11" t="str">
        <x:f>'Cumulative'!B640</x:f>
      </x:c>
      <x:c r="C669" s="11" t="str">
        <x:f>'Cumulative'!C640</x:f>
        <x:v>-41.22811028634859</x:v>
      </x:c>
      <x:c r="D669" s="11" t="n">
        <x:f>'Cumulative'!D640</x:f>
        <x:v>0</x:v>
      </x:c>
      <x:c r="E669" s="11" t="n">
        <x:f>'Cumulative'!E640</x:f>
        <x:v>0</x:v>
      </x:c>
      <x:c r="G669" s="11" t="str">
        <x:f>'Cumulative'!A640</x:f>
        <x:v>639</x:v>
      </x:c>
      <x:c r="H669" s="11" t="str">
        <x:f>'Cumulative'!C640</x:f>
        <x:v>-41.22811028634859</x:v>
      </x:c>
      <x:c r="I669" s="87"/>
      <x:c r="J669" s="87"/>
      <x:c r="K669" s="87"/>
      <x:c r="L669" s="87"/>
    </x:row>
    <x:row r="670">
      <x:c r="A670" s="11" t="str">
        <x:f>'Cumulative'!A641</x:f>
        <x:v>640</x:v>
      </x:c>
      <x:c r="B670" s="11" t="str">
        <x:f>'Cumulative'!B641</x:f>
      </x:c>
      <x:c r="C670" s="11" t="str">
        <x:f>'Cumulative'!C641</x:f>
        <x:v>-42.23973555808699</x:v>
      </x:c>
      <x:c r="D670" s="11" t="n">
        <x:f>'Cumulative'!D641</x:f>
        <x:v>0</x:v>
      </x:c>
      <x:c r="E670" s="11" t="n">
        <x:f>'Cumulative'!E641</x:f>
        <x:v>0</x:v>
      </x:c>
      <x:c r="G670" s="11" t="str">
        <x:f>'Cumulative'!A641</x:f>
        <x:v>640</x:v>
      </x:c>
      <x:c r="H670" s="11" t="str">
        <x:f>'Cumulative'!C641</x:f>
        <x:v>-42.23973555808699</x:v>
      </x:c>
      <x:c r="I670" s="87"/>
      <x:c r="J670" s="87"/>
      <x:c r="K670" s="87"/>
      <x:c r="L670" s="87"/>
    </x:row>
    <x:row r="671">
      <x:c r="A671" s="11" t="str">
        <x:f>'Cumulative'!A642</x:f>
        <x:v>641</x:v>
      </x:c>
      <x:c r="B671" s="11" t="str">
        <x:f>'Cumulative'!B642</x:f>
      </x:c>
      <x:c r="C671" s="11" t="str">
        <x:f>'Cumulative'!C642</x:f>
        <x:v>-43.24664944430605</x:v>
      </x:c>
      <x:c r="D671" s="11" t="n">
        <x:f>'Cumulative'!D642</x:f>
        <x:v>0</x:v>
      </x:c>
      <x:c r="E671" s="11" t="n">
        <x:f>'Cumulative'!E642</x:f>
        <x:v>0</x:v>
      </x:c>
      <x:c r="G671" s="11" t="str">
        <x:f>'Cumulative'!A642</x:f>
        <x:v>641</x:v>
      </x:c>
      <x:c r="H671" s="11" t="str">
        <x:f>'Cumulative'!C642</x:f>
        <x:v>-43.24664944430605</x:v>
      </x:c>
      <x:c r="I671" s="87"/>
      <x:c r="J671" s="87"/>
      <x:c r="K671" s="87"/>
      <x:c r="L671" s="87"/>
    </x:row>
    <x:row r="672">
      <x:c r="A672" s="11" t="str">
        <x:f>'Cumulative'!A643</x:f>
        <x:v>642</x:v>
      </x:c>
      <x:c r="B672" s="11" t="str">
        <x:f>'Cumulative'!B643</x:f>
      </x:c>
      <x:c r="C672" s="11" t="str">
        <x:f>'Cumulative'!C643</x:f>
        <x:v>-43.933483541607444</x:v>
      </x:c>
      <x:c r="D672" s="11" t="n">
        <x:f>'Cumulative'!D643</x:f>
        <x:v>0</x:v>
      </x:c>
      <x:c r="E672" s="11" t="n">
        <x:f>'Cumulative'!E643</x:f>
        <x:v>0</x:v>
      </x:c>
      <x:c r="G672" s="11" t="str">
        <x:f>'Cumulative'!A643</x:f>
        <x:v>642</x:v>
      </x:c>
      <x:c r="H672" s="11" t="str">
        <x:f>'Cumulative'!C643</x:f>
        <x:v>-43.933483541607444</x:v>
      </x:c>
      <x:c r="I672" s="87"/>
      <x:c r="J672" s="87"/>
      <x:c r="K672" s="87"/>
      <x:c r="L672" s="87"/>
    </x:row>
    <x:row r="673">
      <x:c r="A673" s="11" t="str">
        <x:f>'Cumulative'!A644</x:f>
        <x:v>643</x:v>
      </x:c>
      <x:c r="B673" s="11" t="str">
        <x:f>'Cumulative'!B644</x:f>
      </x:c>
      <x:c r="C673" s="11" t="str">
        <x:f>'Cumulative'!C644</x:f>
        <x:v>-42.277583539342906</x:v>
      </x:c>
      <x:c r="D673" s="11" t="n">
        <x:f>'Cumulative'!D644</x:f>
        <x:v>0</x:v>
      </x:c>
      <x:c r="E673" s="11" t="n">
        <x:f>'Cumulative'!E644</x:f>
        <x:v>0</x:v>
      </x:c>
      <x:c r="G673" s="11" t="str">
        <x:f>'Cumulative'!A644</x:f>
        <x:v>643</x:v>
      </x:c>
      <x:c r="H673" s="11" t="str">
        <x:f>'Cumulative'!C644</x:f>
        <x:v>-42.277583539342906</x:v>
      </x:c>
      <x:c r="I673" s="87"/>
      <x:c r="J673" s="87"/>
      <x:c r="K673" s="87"/>
      <x:c r="L673" s="87"/>
    </x:row>
    <x:row r="674">
      <x:c r="A674" s="11" t="str">
        <x:f>'Cumulative'!A645</x:f>
        <x:v>644</x:v>
      </x:c>
      <x:c r="B674" s="11" t="str">
        <x:f>'Cumulative'!B645</x:f>
      </x:c>
      <x:c r="C674" s="11" t="str">
        <x:f>'Cumulative'!C645</x:f>
        <x:v>-43.29634682947609</x:v>
      </x:c>
      <x:c r="D674" s="11" t="n">
        <x:f>'Cumulative'!D645</x:f>
        <x:v>0</x:v>
      </x:c>
      <x:c r="E674" s="11" t="n">
        <x:f>'Cumulative'!E645</x:f>
        <x:v>0</x:v>
      </x:c>
      <x:c r="G674" s="11" t="str">
        <x:f>'Cumulative'!A645</x:f>
        <x:v>644</x:v>
      </x:c>
      <x:c r="H674" s="11" t="str">
        <x:f>'Cumulative'!C645</x:f>
        <x:v>-43.29634682947609</x:v>
      </x:c>
      <x:c r="I674" s="87"/>
      <x:c r="J674" s="87"/>
      <x:c r="K674" s="87"/>
      <x:c r="L674" s="87"/>
    </x:row>
    <x:row r="675">
      <x:c r="A675" s="11" t="str">
        <x:f>'Cumulative'!A646</x:f>
        <x:v>645</x:v>
      </x:c>
      <x:c r="B675" s="11" t="str">
        <x:f>'Cumulative'!B646</x:f>
      </x:c>
      <x:c r="C675" s="11" t="str">
        <x:f>'Cumulative'!C646</x:f>
        <x:v>-44.313231315117164</x:v>
      </x:c>
      <x:c r="D675" s="11" t="n">
        <x:f>'Cumulative'!D646</x:f>
        <x:v>0</x:v>
      </x:c>
      <x:c r="E675" s="11" t="n">
        <x:f>'Cumulative'!E646</x:f>
        <x:v>0</x:v>
      </x:c>
      <x:c r="G675" s="11" t="str">
        <x:f>'Cumulative'!A646</x:f>
        <x:v>645</x:v>
      </x:c>
      <x:c r="H675" s="11" t="str">
        <x:f>'Cumulative'!C646</x:f>
        <x:v>-44.313231315117164</x:v>
      </x:c>
      <x:c r="I675" s="87"/>
      <x:c r="J675" s="87"/>
      <x:c r="K675" s="87"/>
      <x:c r="L675" s="87"/>
    </x:row>
    <x:row r="676">
      <x:c r="A676" s="11" t="str">
        <x:f>'Cumulative'!A647</x:f>
        <x:v>646</x:v>
      </x:c>
      <x:c r="B676" s="11" t="str">
        <x:f>'Cumulative'!B647</x:f>
      </x:c>
      <x:c r="C676" s="11" t="str">
        <x:f>'Cumulative'!C647</x:f>
        <x:v>-44.647510373117285</x:v>
      </x:c>
      <x:c r="D676" s="11" t="n">
        <x:f>'Cumulative'!D647</x:f>
        <x:v>0</x:v>
      </x:c>
      <x:c r="E676" s="11" t="n">
        <x:f>'Cumulative'!E647</x:f>
        <x:v>0</x:v>
      </x:c>
      <x:c r="G676" s="11" t="str">
        <x:f>'Cumulative'!A647</x:f>
        <x:v>646</x:v>
      </x:c>
      <x:c r="H676" s="11" t="str">
        <x:f>'Cumulative'!C647</x:f>
        <x:v>-44.647510373117285</x:v>
      </x:c>
      <x:c r="I676" s="87"/>
      <x:c r="J676" s="87"/>
      <x:c r="K676" s="87"/>
      <x:c r="L676" s="87"/>
    </x:row>
    <x:row r="677">
      <x:c r="A677" s="11" t="str">
        <x:f>'Cumulative'!A648</x:f>
        <x:v>647</x:v>
      </x:c>
      <x:c r="B677" s="11" t="str">
        <x:f>'Cumulative'!B648</x:f>
      </x:c>
      <x:c r="C677" s="11" t="str">
        <x:f>'Cumulative'!C648</x:f>
        <x:v>-45.66720407896417</x:v>
      </x:c>
      <x:c r="D677" s="11" t="n">
        <x:f>'Cumulative'!D648</x:f>
        <x:v>0</x:v>
      </x:c>
      <x:c r="E677" s="11" t="n">
        <x:f>'Cumulative'!E648</x:f>
        <x:v>0</x:v>
      </x:c>
      <x:c r="G677" s="11" t="str">
        <x:f>'Cumulative'!A648</x:f>
        <x:v>647</x:v>
      </x:c>
      <x:c r="H677" s="11" t="str">
        <x:f>'Cumulative'!C648</x:f>
        <x:v>-45.66720407896417</x:v>
      </x:c>
      <x:c r="I677" s="87"/>
      <x:c r="J677" s="87"/>
      <x:c r="K677" s="87"/>
      <x:c r="L677" s="87"/>
    </x:row>
    <x:row r="678">
      <x:c r="A678" s="11" t="str">
        <x:f>'Cumulative'!A649</x:f>
        <x:v>648</x:v>
      </x:c>
      <x:c r="B678" s="11" t="str">
        <x:f>'Cumulative'!B649</x:f>
      </x:c>
      <x:c r="C678" s="11" t="str">
        <x:f>'Cumulative'!C649</x:f>
        <x:v>-44.82061293654284</x:v>
      </x:c>
      <x:c r="D678" s="11" t="n">
        <x:f>'Cumulative'!D649</x:f>
        <x:v>0</x:v>
      </x:c>
      <x:c r="E678" s="11" t="n">
        <x:f>'Cumulative'!E649</x:f>
        <x:v>0</x:v>
      </x:c>
      <x:c r="G678" s="11" t="str">
        <x:f>'Cumulative'!A649</x:f>
        <x:v>648</x:v>
      </x:c>
      <x:c r="H678" s="11" t="str">
        <x:f>'Cumulative'!C649</x:f>
        <x:v>-44.82061293654284</x:v>
      </x:c>
      <x:c r="I678" s="87"/>
      <x:c r="J678" s="87"/>
      <x:c r="K678" s="87"/>
      <x:c r="L678" s="87"/>
    </x:row>
    <x:row r="679">
      <x:c r="A679" s="11" t="str">
        <x:f>'Cumulative'!A650</x:f>
        <x:v>649</x:v>
      </x:c>
      <x:c r="B679" s="11" t="str">
        <x:f>'Cumulative'!B650</x:f>
      </x:c>
      <x:c r="C679" s="11" t="str">
        <x:f>'Cumulative'!C650</x:f>
        <x:v>-42.83962329815353</x:v>
      </x:c>
      <x:c r="D679" s="11" t="n">
        <x:f>'Cumulative'!D650</x:f>
        <x:v>0</x:v>
      </x:c>
      <x:c r="E679" s="11" t="n">
        <x:f>'Cumulative'!E650</x:f>
        <x:v>0</x:v>
      </x:c>
      <x:c r="G679" s="11" t="str">
        <x:f>'Cumulative'!A650</x:f>
        <x:v>649</x:v>
      </x:c>
      <x:c r="H679" s="11" t="str">
        <x:f>'Cumulative'!C650</x:f>
        <x:v>-42.83962329815353</x:v>
      </x:c>
      <x:c r="I679" s="87"/>
      <x:c r="J679" s="87"/>
      <x:c r="K679" s="87"/>
      <x:c r="L679" s="87"/>
    </x:row>
    <x:row r="680">
      <x:c r="A680" s="11" t="str">
        <x:f>'Cumulative'!A651</x:f>
        <x:v>650</x:v>
      </x:c>
      <x:c r="B680" s="11" t="str">
        <x:f>'Cumulative'!B651</x:f>
      </x:c>
      <x:c r="C680" s="11" t="str">
        <x:f>'Cumulative'!C651</x:f>
        <x:v>-41.539541164076574</x:v>
      </x:c>
      <x:c r="D680" s="11" t="n">
        <x:f>'Cumulative'!D651</x:f>
        <x:v>0</x:v>
      </x:c>
      <x:c r="E680" s="11" t="n">
        <x:f>'Cumulative'!E651</x:f>
        <x:v>0</x:v>
      </x:c>
      <x:c r="G680" s="11" t="str">
        <x:f>'Cumulative'!A651</x:f>
        <x:v>650</x:v>
      </x:c>
      <x:c r="H680" s="11" t="str">
        <x:f>'Cumulative'!C651</x:f>
        <x:v>-41.539541164076574</x:v>
      </x:c>
      <x:c r="I680" s="87"/>
      <x:c r="J680" s="87"/>
      <x:c r="K680" s="87"/>
      <x:c r="L680" s="87"/>
    </x:row>
    <x:row r="681">
      <x:c r="A681" s="11" t="str">
        <x:f>'Cumulative'!A652</x:f>
        <x:v>651</x:v>
      </x:c>
      <x:c r="B681" s="11" t="str">
        <x:f>'Cumulative'!B652</x:f>
      </x:c>
      <x:c r="C681" s="11" t="str">
        <x:f>'Cumulative'!C652</x:f>
        <x:v>-41.458869543150314</x:v>
      </x:c>
      <x:c r="D681" s="11" t="n">
        <x:f>'Cumulative'!D652</x:f>
        <x:v>0</x:v>
      </x:c>
      <x:c r="E681" s="11" t="n">
        <x:f>'Cumulative'!E652</x:f>
        <x:v>0</x:v>
      </x:c>
      <x:c r="G681" s="11" t="str">
        <x:f>'Cumulative'!A652</x:f>
        <x:v>651</x:v>
      </x:c>
      <x:c r="H681" s="11" t="str">
        <x:f>'Cumulative'!C652</x:f>
        <x:v>-41.458869543150314</x:v>
      </x:c>
      <x:c r="I681" s="87"/>
      <x:c r="J681" s="87"/>
      <x:c r="K681" s="87"/>
      <x:c r="L681" s="87"/>
    </x:row>
    <x:row r="682">
      <x:c r="A682" s="11" t="str">
        <x:f>'Cumulative'!A653</x:f>
        <x:v>652</x:v>
      </x:c>
      <x:c r="B682" s="11" t="str">
        <x:f>'Cumulative'!B653</x:f>
      </x:c>
      <x:c r="C682" s="11" t="str">
        <x:f>'Cumulative'!C653</x:f>
        <x:v>-39.48147685095525</x:v>
      </x:c>
      <x:c r="D682" s="11" t="n">
        <x:f>'Cumulative'!D653</x:f>
        <x:v>0</x:v>
      </x:c>
      <x:c r="E682" s="11" t="n">
        <x:f>'Cumulative'!E653</x:f>
        <x:v>0</x:v>
      </x:c>
      <x:c r="G682" s="11" t="str">
        <x:f>'Cumulative'!A653</x:f>
        <x:v>652</x:v>
      </x:c>
      <x:c r="H682" s="11" t="str">
        <x:f>'Cumulative'!C653</x:f>
        <x:v>-39.48147685095525</x:v>
      </x:c>
      <x:c r="I682" s="87"/>
      <x:c r="J682" s="87"/>
      <x:c r="K682" s="87"/>
      <x:c r="L682" s="87"/>
    </x:row>
    <x:row r="683">
      <x:c r="A683" s="11" t="str">
        <x:f>'Cumulative'!A654</x:f>
        <x:v>653</x:v>
      </x:c>
      <x:c r="B683" s="11" t="str">
        <x:f>'Cumulative'!B654</x:f>
      </x:c>
      <x:c r="C683" s="11" t="str">
        <x:f>'Cumulative'!C654</x:f>
        <x:v>-40.51022196044292</x:v>
      </x:c>
      <x:c r="D683" s="11" t="n">
        <x:f>'Cumulative'!D654</x:f>
        <x:v>0</x:v>
      </x:c>
      <x:c r="E683" s="11" t="n">
        <x:f>'Cumulative'!E654</x:f>
        <x:v>0</x:v>
      </x:c>
      <x:c r="G683" s="11" t="str">
        <x:f>'Cumulative'!A654</x:f>
        <x:v>653</x:v>
      </x:c>
      <x:c r="H683" s="11" t="str">
        <x:f>'Cumulative'!C654</x:f>
        <x:v>-40.51022196044292</x:v>
      </x:c>
      <x:c r="I683" s="87"/>
      <x:c r="J683" s="87"/>
      <x:c r="K683" s="87"/>
      <x:c r="L683" s="87"/>
    </x:row>
    <x:row r="684">
      <x:c r="A684" s="11" t="str">
        <x:f>'Cumulative'!A655</x:f>
        <x:v>654</x:v>
      </x:c>
      <x:c r="B684" s="11" t="str">
        <x:f>'Cumulative'!B655</x:f>
      </x:c>
      <x:c r="C684" s="11" t="str">
        <x:f>'Cumulative'!C655</x:f>
        <x:v>-39.994183928876154</x:v>
      </x:c>
      <x:c r="D684" s="11" t="n">
        <x:f>'Cumulative'!D655</x:f>
        <x:v>0</x:v>
      </x:c>
      <x:c r="E684" s="11" t="n">
        <x:f>'Cumulative'!E655</x:f>
        <x:v>0</x:v>
      </x:c>
      <x:c r="G684" s="11" t="str">
        <x:f>'Cumulative'!A655</x:f>
        <x:v>654</x:v>
      </x:c>
      <x:c r="H684" s="11" t="str">
        <x:f>'Cumulative'!C655</x:f>
        <x:v>-39.994183928876154</x:v>
      </x:c>
      <x:c r="I684" s="87"/>
      <x:c r="J684" s="87"/>
      <x:c r="K684" s="87"/>
      <x:c r="L684" s="87"/>
    </x:row>
    <x:row r="685">
      <x:c r="A685" s="11" t="str">
        <x:f>'Cumulative'!A656</x:f>
        <x:v>655</x:v>
      </x:c>
      <x:c r="B685" s="11" t="str">
        <x:f>'Cumulative'!B656</x:f>
      </x:c>
      <x:c r="C685" s="11" t="str">
        <x:f>'Cumulative'!C656</x:f>
        <x:v>-41.00592446104889</x:v>
      </x:c>
      <x:c r="D685" s="11" t="n">
        <x:f>'Cumulative'!D656</x:f>
        <x:v>0</x:v>
      </x:c>
      <x:c r="E685" s="11" t="n">
        <x:f>'Cumulative'!E656</x:f>
        <x:v>0</x:v>
      </x:c>
      <x:c r="G685" s="11" t="str">
        <x:f>'Cumulative'!A656</x:f>
        <x:v>655</x:v>
      </x:c>
      <x:c r="H685" s="11" t="str">
        <x:f>'Cumulative'!C656</x:f>
        <x:v>-41.00592446104889</x:v>
      </x:c>
      <x:c r="I685" s="87"/>
      <x:c r="J685" s="87"/>
      <x:c r="K685" s="87"/>
      <x:c r="L685" s="87"/>
    </x:row>
    <x:row r="686">
      <x:c r="A686" s="11" t="str">
        <x:f>'Cumulative'!A657</x:f>
        <x:v>656</x:v>
      </x:c>
      <x:c r="B686" s="11" t="str">
        <x:f>'Cumulative'!B657</x:f>
      </x:c>
      <x:c r="C686" s="11" t="str">
        <x:f>'Cumulative'!C657</x:f>
        <x:v>-41.12743923376651</x:v>
      </x:c>
      <x:c r="D686" s="11" t="n">
        <x:f>'Cumulative'!D657</x:f>
        <x:v>0</x:v>
      </x:c>
      <x:c r="E686" s="11" t="n">
        <x:f>'Cumulative'!E657</x:f>
        <x:v>0</x:v>
      </x:c>
      <x:c r="G686" s="11" t="str">
        <x:f>'Cumulative'!A657</x:f>
        <x:v>656</x:v>
      </x:c>
      <x:c r="H686" s="11" t="str">
        <x:f>'Cumulative'!C657</x:f>
        <x:v>-41.12743923376651</x:v>
      </x:c>
      <x:c r="I686" s="87"/>
      <x:c r="J686" s="87"/>
      <x:c r="K686" s="87"/>
      <x:c r="L686" s="87"/>
    </x:row>
    <x:row r="687">
      <x:c r="A687" s="11" t="str">
        <x:f>'Cumulative'!A658</x:f>
        <x:v>657</x:v>
      </x:c>
      <x:c r="B687" s="11" t="str">
        <x:f>'Cumulative'!B658</x:f>
      </x:c>
      <x:c r="C687" s="11" t="str">
        <x:f>'Cumulative'!C658</x:f>
        <x:v>-42.13770630093845</x:v>
      </x:c>
      <x:c r="D687" s="11" t="n">
        <x:f>'Cumulative'!D658</x:f>
        <x:v>0</x:v>
      </x:c>
      <x:c r="E687" s="11" t="n">
        <x:f>'Cumulative'!E658</x:f>
        <x:v>0</x:v>
      </x:c>
      <x:c r="G687" s="11" t="str">
        <x:f>'Cumulative'!A658</x:f>
        <x:v>657</x:v>
      </x:c>
      <x:c r="H687" s="11" t="str">
        <x:f>'Cumulative'!C658</x:f>
        <x:v>-42.13770630093845</x:v>
      </x:c>
      <x:c r="I687" s="87"/>
      <x:c r="J687" s="87"/>
      <x:c r="K687" s="87"/>
      <x:c r="L687" s="87"/>
    </x:row>
    <x:row r="688">
      <x:c r="A688" s="11" t="str">
        <x:f>'Cumulative'!A659</x:f>
        <x:v>658</x:v>
      </x:c>
      <x:c r="B688" s="11" t="str">
        <x:f>'Cumulative'!B659</x:f>
      </x:c>
      <x:c r="C688" s="11" t="str">
        <x:f>'Cumulative'!C659</x:f>
        <x:v>-43.14678741556882</x:v>
      </x:c>
      <x:c r="D688" s="11" t="n">
        <x:f>'Cumulative'!D659</x:f>
        <x:v>0</x:v>
      </x:c>
      <x:c r="E688" s="11" t="n">
        <x:f>'Cumulative'!E659</x:f>
        <x:v>0</x:v>
      </x:c>
      <x:c r="G688" s="11" t="str">
        <x:f>'Cumulative'!A659</x:f>
        <x:v>658</x:v>
      </x:c>
      <x:c r="H688" s="11" t="str">
        <x:f>'Cumulative'!C659</x:f>
        <x:v>-43.14678741556882</x:v>
      </x:c>
      <x:c r="I688" s="87"/>
      <x:c r="J688" s="87"/>
      <x:c r="K688" s="87"/>
      <x:c r="L688" s="87"/>
    </x:row>
    <x:row r="689">
      <x:c r="A689" s="11" t="str">
        <x:f>'Cumulative'!A660</x:f>
        <x:v>659</x:v>
      </x:c>
      <x:c r="B689" s="11" t="str">
        <x:f>'Cumulative'!B660</x:f>
      </x:c>
      <x:c r="C689" s="11" t="str">
        <x:f>'Cumulative'!C660</x:f>
        <x:v>-44.16254210798293</x:v>
      </x:c>
      <x:c r="D689" s="11" t="n">
        <x:f>'Cumulative'!D660</x:f>
        <x:v>0</x:v>
      </x:c>
      <x:c r="E689" s="11" t="n">
        <x:f>'Cumulative'!E660</x:f>
        <x:v>0</x:v>
      </x:c>
      <x:c r="G689" s="11" t="str">
        <x:f>'Cumulative'!A660</x:f>
        <x:v>659</x:v>
      </x:c>
      <x:c r="H689" s="11" t="str">
        <x:f>'Cumulative'!C660</x:f>
        <x:v>-44.16254210798293</x:v>
      </x:c>
      <x:c r="I689" s="87"/>
      <x:c r="J689" s="87"/>
      <x:c r="K689" s="87"/>
      <x:c r="L689" s="87"/>
    </x:row>
    <x:row r="690">
      <x:c r="A690" s="11" t="str">
        <x:f>'Cumulative'!A661</x:f>
        <x:v>660</x:v>
      </x:c>
      <x:c r="B690" s="11" t="str">
        <x:f>'Cumulative'!B661</x:f>
      </x:c>
      <x:c r="C690" s="11" t="str">
        <x:f>'Cumulative'!C661</x:f>
        <x:v>-44.161441078357974</x:v>
      </x:c>
      <x:c r="D690" s="11" t="n">
        <x:f>'Cumulative'!D661</x:f>
        <x:v>0</x:v>
      </x:c>
      <x:c r="E690" s="11" t="n">
        <x:f>'Cumulative'!E661</x:f>
        <x:v>0</x:v>
      </x:c>
      <x:c r="G690" s="11" t="str">
        <x:f>'Cumulative'!A661</x:f>
        <x:v>660</x:v>
      </x:c>
      <x:c r="H690" s="11" t="str">
        <x:f>'Cumulative'!C661</x:f>
        <x:v>-44.161441078357974</x:v>
      </x:c>
      <x:c r="I690" s="87"/>
      <x:c r="J690" s="87"/>
      <x:c r="K690" s="87"/>
      <x:c r="L690" s="87"/>
    </x:row>
    <x:row r="691">
      <x:c r="A691" s="11" t="str">
        <x:f>'Cumulative'!A662</x:f>
        <x:v>661</x:v>
      </x:c>
      <x:c r="B691" s="11" t="str">
        <x:f>'Cumulative'!B662</x:f>
      </x:c>
      <x:c r="C691" s="11" t="str">
        <x:f>'Cumulative'!C662</x:f>
        <x:v>-42.177627430434384</x:v>
      </x:c>
      <x:c r="D691" s="11" t="n">
        <x:f>'Cumulative'!D662</x:f>
        <x:v>0</x:v>
      </x:c>
      <x:c r="E691" s="11" t="n">
        <x:f>'Cumulative'!E662</x:f>
        <x:v>0</x:v>
      </x:c>
      <x:c r="G691" s="11" t="str">
        <x:f>'Cumulative'!A662</x:f>
        <x:v>661</x:v>
      </x:c>
      <x:c r="H691" s="11" t="str">
        <x:f>'Cumulative'!C662</x:f>
        <x:v>-42.177627430434384</x:v>
      </x:c>
      <x:c r="I691" s="87"/>
      <x:c r="J691" s="87"/>
      <x:c r="K691" s="87"/>
      <x:c r="L691" s="87"/>
    </x:row>
    <x:row r="692">
      <x:c r="A692" s="11" t="str">
        <x:f>'Cumulative'!A663</x:f>
        <x:v>662</x:v>
      </x:c>
      <x:c r="B692" s="11" t="str">
        <x:f>'Cumulative'!B663</x:f>
      </x:c>
      <x:c r="C692" s="11" t="str">
        <x:f>'Cumulative'!C663</x:f>
        <x:v>-43.19715604440898</x:v>
      </x:c>
      <x:c r="D692" s="11" t="n">
        <x:f>'Cumulative'!D663</x:f>
        <x:v>0</x:v>
      </x:c>
      <x:c r="E692" s="11" t="n">
        <x:f>'Cumulative'!E663</x:f>
        <x:v>0</x:v>
      </x:c>
      <x:c r="G692" s="11" t="str">
        <x:f>'Cumulative'!A663</x:f>
        <x:v>662</x:v>
      </x:c>
      <x:c r="H692" s="11" t="str">
        <x:f>'Cumulative'!C663</x:f>
        <x:v>-43.19715604440898</x:v>
      </x:c>
      <x:c r="I692" s="87"/>
      <x:c r="J692" s="87"/>
      <x:c r="K692" s="87"/>
      <x:c r="L692" s="87"/>
    </x:row>
    <x:row r="693">
      <x:c r="A693" s="11" t="str">
        <x:f>'Cumulative'!A664</x:f>
        <x:v>663</x:v>
      </x:c>
      <x:c r="B693" s="11" t="str">
        <x:f>'Cumulative'!B664</x:f>
      </x:c>
      <x:c r="C693" s="11" t="str">
        <x:f>'Cumulative'!C664</x:f>
        <x:v>-44.222968551518136</x:v>
      </x:c>
      <x:c r="D693" s="11" t="n">
        <x:f>'Cumulative'!D664</x:f>
        <x:v>0</x:v>
      </x:c>
      <x:c r="E693" s="11" t="n">
        <x:f>'Cumulative'!E664</x:f>
        <x:v>0</x:v>
      </x:c>
      <x:c r="G693" s="11" t="str">
        <x:f>'Cumulative'!A664</x:f>
        <x:v>663</x:v>
      </x:c>
      <x:c r="H693" s="11" t="str">
        <x:f>'Cumulative'!C664</x:f>
        <x:v>-44.222968551518136</x:v>
      </x:c>
      <x:c r="I693" s="87"/>
      <x:c r="J693" s="87"/>
      <x:c r="K693" s="87"/>
      <x:c r="L693" s="87"/>
    </x:row>
    <x:row r="694">
      <x:c r="A694" s="11" t="str">
        <x:f>'Cumulative'!A665</x:f>
        <x:v>664</x:v>
      </x:c>
      <x:c r="B694" s="11" t="str">
        <x:f>'Cumulative'!B665</x:f>
      </x:c>
      <x:c r="C694" s="11" t="str">
        <x:f>'Cumulative'!C665</x:f>
        <x:v>-45.22950953738323</x:v>
      </x:c>
      <x:c r="D694" s="11" t="n">
        <x:f>'Cumulative'!D665</x:f>
        <x:v>0</x:v>
      </x:c>
      <x:c r="E694" s="11" t="n">
        <x:f>'Cumulative'!E665</x:f>
        <x:v>0</x:v>
      </x:c>
      <x:c r="G694" s="11" t="str">
        <x:f>'Cumulative'!A665</x:f>
        <x:v>664</x:v>
      </x:c>
      <x:c r="H694" s="11" t="str">
        <x:f>'Cumulative'!C665</x:f>
        <x:v>-45.22950953738323</x:v>
      </x:c>
      <x:c r="I694" s="87"/>
      <x:c r="J694" s="87"/>
      <x:c r="K694" s="87"/>
      <x:c r="L694" s="87"/>
    </x:row>
    <x:row r="695">
      <x:c r="A695" s="11" t="str">
        <x:f>'Cumulative'!A666</x:f>
        <x:v>665</x:v>
      </x:c>
      <x:c r="B695" s="11" t="str">
        <x:f>'Cumulative'!B666</x:f>
      </x:c>
      <x:c r="C695" s="11" t="str">
        <x:f>'Cumulative'!C666</x:f>
        <x:v>-46.23404057659904</x:v>
      </x:c>
      <x:c r="D695" s="11" t="n">
        <x:f>'Cumulative'!D666</x:f>
        <x:v>0</x:v>
      </x:c>
      <x:c r="E695" s="11" t="n">
        <x:f>'Cumulative'!E666</x:f>
        <x:v>0</x:v>
      </x:c>
      <x:c r="G695" s="11" t="str">
        <x:f>'Cumulative'!A666</x:f>
        <x:v>665</x:v>
      </x:c>
      <x:c r="H695" s="11" t="str">
        <x:f>'Cumulative'!C666</x:f>
        <x:v>-46.23404057659904</x:v>
      </x:c>
      <x:c r="I695" s="87"/>
      <x:c r="J695" s="87"/>
      <x:c r="K695" s="87"/>
      <x:c r="L695" s="87"/>
    </x:row>
    <x:row r="696">
      <x:c r="A696" s="11" t="str">
        <x:f>'Cumulative'!A667</x:f>
        <x:v>666</x:v>
      </x:c>
      <x:c r="B696" s="11" t="str">
        <x:f>'Cumulative'!B667</x:f>
      </x:c>
      <x:c r="C696" s="11" t="str">
        <x:f>'Cumulative'!C667</x:f>
        <x:v>-47.249994104100715</x:v>
      </x:c>
      <x:c r="D696" s="11" t="n">
        <x:f>'Cumulative'!D667</x:f>
        <x:v>0</x:v>
      </x:c>
      <x:c r="E696" s="11" t="n">
        <x:f>'Cumulative'!E667</x:f>
        <x:v>0</x:v>
      </x:c>
      <x:c r="G696" s="11" t="str">
        <x:f>'Cumulative'!A667</x:f>
        <x:v>666</x:v>
      </x:c>
      <x:c r="H696" s="11" t="str">
        <x:f>'Cumulative'!C667</x:f>
        <x:v>-47.249994104100715</x:v>
      </x:c>
      <x:c r="I696" s="87"/>
      <x:c r="J696" s="87"/>
      <x:c r="K696" s="87"/>
      <x:c r="L696" s="87"/>
    </x:row>
    <x:row r="697">
      <x:c r="A697" s="11" t="str">
        <x:f>'Cumulative'!A668</x:f>
        <x:v>667</x:v>
      </x:c>
      <x:c r="B697" s="11" t="str">
        <x:f>'Cumulative'!B668</x:f>
      </x:c>
      <x:c r="C697" s="11" t="str">
        <x:f>'Cumulative'!C668</x:f>
        <x:v>-46.67471044092016</x:v>
      </x:c>
      <x:c r="D697" s="11" t="n">
        <x:f>'Cumulative'!D668</x:f>
        <x:v>0</x:v>
      </x:c>
      <x:c r="E697" s="11" t="n">
        <x:f>'Cumulative'!E668</x:f>
        <x:v>0</x:v>
      </x:c>
      <x:c r="G697" s="11" t="str">
        <x:f>'Cumulative'!A668</x:f>
        <x:v>667</x:v>
      </x:c>
      <x:c r="H697" s="11" t="str">
        <x:f>'Cumulative'!C668</x:f>
        <x:v>-46.67471044092016</x:v>
      </x:c>
      <x:c r="I697" s="87"/>
      <x:c r="J697" s="87"/>
      <x:c r="K697" s="87"/>
      <x:c r="L697" s="87"/>
    </x:row>
    <x:row r="698">
      <x:c r="A698" s="11" t="str">
        <x:f>'Cumulative'!A669</x:f>
        <x:v>668</x:v>
      </x:c>
      <x:c r="B698" s="11" t="str">
        <x:f>'Cumulative'!B669</x:f>
      </x:c>
      <x:c r="C698" s="11" t="str">
        <x:f>'Cumulative'!C669</x:f>
        <x:v>-46.4664442970515</x:v>
      </x:c>
      <x:c r="D698" s="11" t="n">
        <x:f>'Cumulative'!D669</x:f>
        <x:v>0</x:v>
      </x:c>
      <x:c r="E698" s="11" t="n">
        <x:f>'Cumulative'!E669</x:f>
        <x:v>0</x:v>
      </x:c>
      <x:c r="G698" s="11" t="str">
        <x:f>'Cumulative'!A669</x:f>
        <x:v>668</x:v>
      </x:c>
      <x:c r="H698" s="11" t="str">
        <x:f>'Cumulative'!C669</x:f>
        <x:v>-46.4664442970515</x:v>
      </x:c>
      <x:c r="I698" s="87"/>
      <x:c r="J698" s="87"/>
      <x:c r="K698" s="87"/>
      <x:c r="L698" s="87"/>
    </x:row>
    <x:row r="699">
      <x:c r="A699" s="11" t="str">
        <x:f>'Cumulative'!A670</x:f>
        <x:v>669</x:v>
      </x:c>
      <x:c r="B699" s="11" t="str">
        <x:f>'Cumulative'!B670</x:f>
      </x:c>
      <x:c r="C699" s="11" t="str">
        <x:f>'Cumulative'!C670</x:f>
        <x:v>-45.393252812967944</x:v>
      </x:c>
      <x:c r="D699" s="11" t="n">
        <x:f>'Cumulative'!D670</x:f>
        <x:v>0</x:v>
      </x:c>
      <x:c r="E699" s="11" t="n">
        <x:f>'Cumulative'!E670</x:f>
        <x:v>0</x:v>
      </x:c>
      <x:c r="G699" s="11" t="str">
        <x:f>'Cumulative'!A670</x:f>
        <x:v>669</x:v>
      </x:c>
      <x:c r="H699" s="11" t="str">
        <x:f>'Cumulative'!C670</x:f>
        <x:v>-45.393252812967944</x:v>
      </x:c>
      <x:c r="I699" s="87"/>
      <x:c r="J699" s="87"/>
      <x:c r="K699" s="87"/>
      <x:c r="L699" s="87"/>
    </x:row>
    <x:row r="700">
      <x:c r="A700" s="11" t="str">
        <x:f>'Cumulative'!A671</x:f>
        <x:v>670</x:v>
      </x:c>
      <x:c r="B700" s="11" t="str">
        <x:f>'Cumulative'!B671</x:f>
      </x:c>
      <x:c r="C700" s="11" t="str">
        <x:f>'Cumulative'!C671</x:f>
        <x:v>-45.614073316292355</x:v>
      </x:c>
      <x:c r="D700" s="11" t="n">
        <x:f>'Cumulative'!D671</x:f>
        <x:v>0</x:v>
      </x:c>
      <x:c r="E700" s="11" t="n">
        <x:f>'Cumulative'!E671</x:f>
        <x:v>0</x:v>
      </x:c>
      <x:c r="G700" s="11" t="str">
        <x:f>'Cumulative'!A671</x:f>
        <x:v>670</x:v>
      </x:c>
      <x:c r="H700" s="11" t="str">
        <x:f>'Cumulative'!C671</x:f>
        <x:v>-45.614073316292355</x:v>
      </x:c>
      <x:c r="I700" s="87"/>
      <x:c r="J700" s="87"/>
      <x:c r="K700" s="87"/>
      <x:c r="L700" s="87"/>
    </x:row>
    <x:row r="701">
      <x:c r="A701" s="11" t="str">
        <x:f>'Cumulative'!A672</x:f>
        <x:v>671</x:v>
      </x:c>
      <x:c r="B701" s="11" t="str">
        <x:f>'Cumulative'!B672</x:f>
      </x:c>
      <x:c r="C701" s="11" t="str">
        <x:f>'Cumulative'!C672</x:f>
        <x:v>-46.62627893164727</x:v>
      </x:c>
      <x:c r="D701" s="11" t="n">
        <x:f>'Cumulative'!D672</x:f>
        <x:v>0</x:v>
      </x:c>
      <x:c r="E701" s="11" t="n">
        <x:f>'Cumulative'!E672</x:f>
        <x:v>0</x:v>
      </x:c>
      <x:c r="G701" s="11" t="str">
        <x:f>'Cumulative'!A672</x:f>
        <x:v>671</x:v>
      </x:c>
      <x:c r="H701" s="11" t="str">
        <x:f>'Cumulative'!C672</x:f>
        <x:v>-46.62627893164727</x:v>
      </x:c>
      <x:c r="I701" s="87"/>
      <x:c r="J701" s="87"/>
      <x:c r="K701" s="87"/>
      <x:c r="L701" s="87"/>
    </x:row>
    <x:row r="702">
      <x:c r="A702" s="11" t="str">
        <x:f>'Cumulative'!A673</x:f>
        <x:v>672</x:v>
      </x:c>
      <x:c r="B702" s="11" t="str">
        <x:f>'Cumulative'!B673</x:f>
      </x:c>
      <x:c r="C702" s="11" t="str">
        <x:f>'Cumulative'!C673</x:f>
        <x:v>-47.640079988600505</x:v>
      </x:c>
      <x:c r="D702" s="11" t="n">
        <x:f>'Cumulative'!D673</x:f>
        <x:v>0</x:v>
      </x:c>
      <x:c r="E702" s="11" t="n">
        <x:f>'Cumulative'!E673</x:f>
        <x:v>0</x:v>
      </x:c>
      <x:c r="G702" s="11" t="str">
        <x:f>'Cumulative'!A673</x:f>
        <x:v>672</x:v>
      </x:c>
      <x:c r="H702" s="11" t="str">
        <x:f>'Cumulative'!C673</x:f>
        <x:v>-47.640079988600505</x:v>
      </x:c>
      <x:c r="I702" s="87"/>
      <x:c r="J702" s="87"/>
      <x:c r="K702" s="87"/>
      <x:c r="L702" s="87"/>
    </x:row>
    <x:row r="703">
      <x:c r="A703" s="11" t="str">
        <x:f>'Cumulative'!A674</x:f>
        <x:v>673</x:v>
      </x:c>
      <x:c r="B703" s="11" t="str">
        <x:f>'Cumulative'!B674</x:f>
      </x:c>
      <x:c r="C703" s="11" t="str">
        <x:f>'Cumulative'!C674</x:f>
        <x:v>-48.65420034450957</x:v>
      </x:c>
      <x:c r="D703" s="11" t="n">
        <x:f>'Cumulative'!D674</x:f>
        <x:v>0</x:v>
      </x:c>
      <x:c r="E703" s="11" t="n">
        <x:f>'Cumulative'!E674</x:f>
        <x:v>0</x:v>
      </x:c>
      <x:c r="G703" s="11" t="str">
        <x:f>'Cumulative'!A674</x:f>
        <x:v>673</x:v>
      </x:c>
      <x:c r="H703" s="11" t="str">
        <x:f>'Cumulative'!C674</x:f>
        <x:v>-48.65420034450957</x:v>
      </x:c>
      <x:c r="I703" s="87"/>
      <x:c r="J703" s="87"/>
      <x:c r="K703" s="87"/>
      <x:c r="L703" s="87"/>
    </x:row>
    <x:row r="704">
      <x:c r="A704" s="11" t="str">
        <x:f>'Cumulative'!A675</x:f>
        <x:v>674</x:v>
      </x:c>
      <x:c r="B704" s="11" t="n">
        <x:f>'Cumulative'!B675</x:f>
        <x:v>0</x:v>
      </x:c>
      <x:c r="C704" s="11" t="str">
        <x:f>'Cumulative'!C675</x:f>
        <x:v>-48.05425301553889</x:v>
      </x:c>
      <x:c r="D704" s="11" t="n">
        <x:f>'Cumulative'!D675</x:f>
        <x:v>0</x:v>
      </x:c>
      <x:c r="E704" s="11" t="n">
        <x:f>'Cumulative'!E675</x:f>
        <x:v>0</x:v>
      </x:c>
      <x:c r="G704" s="11" t="str">
        <x:f>'Cumulative'!A675</x:f>
        <x:v>674</x:v>
      </x:c>
      <x:c r="H704" s="11" t="str">
        <x:f>'Cumulative'!C675</x:f>
        <x:v>-48.05425301553889</x:v>
      </x:c>
      <x:c r="I704" s="87"/>
      <x:c r="J704" s="87"/>
      <x:c r="K704" s="87"/>
      <x:c r="L704" s="87"/>
    </x:row>
  </x:sheetData>
  <x:mergeCells>
    <x:mergeCell ref="A1:P2"/>
    <x:mergeCell ref="A3:P3"/>
  </x:mergeCells>
  <x:pageMargins left="0.7" right="0.7" top="0.75" bottom="0.75" header="0.3" footer="0.3"/>
  <x:drawing xmlns:r="http://schemas.openxmlformats.org/officeDocument/2006/relationships" r:id="R38385ed4e8004536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82" t="str">
        <x:v>Broad single-factor decomposition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2"/>
      <x:c r="P1" s="82"/>
    </x:row>
    <x:row r="2">
      <x:c r="A2" s="82"/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  <x:c r="O2" s="82"/>
      <x:c r="P2" s="82"/>
    </x:row>
    <x:row r="3" ht="24" customHeight="1">
      <x:c r="A3" s="83" t="str">
        <x:v>Frozen entry sessions and setup/BOS timing · causal labels only · all rows remain available in Factor Summary</x:v>
      </x:c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  <x:c r="O3" s="83"/>
      <x:c r="P3" s="83"/>
    </x:row>
    <x:row r="30" ht="32" customHeight="1">
      <x:c r="A30" s="86" t="str">
        <x:v>Entry session</x:v>
      </x:c>
      <x:c r="B30" s="86" t="str">
        <x:v>N</x:v>
      </x:c>
      <x:c r="C30" s="86" t="str">
        <x:v>Net Avg R</x:v>
      </x:c>
      <x:c r="E30" s="86" t="str">
        <x:v>Entry session</x:v>
      </x:c>
      <x:c r="F30" s="86" t="str">
        <x:v>Net Avg R</x:v>
      </x:c>
      <x:c r="J30" s="86" t="str">
        <x:v>Setup/BOS timing</x:v>
      </x:c>
      <x:c r="K30" s="86" t="str">
        <x:v>N</x:v>
      </x:c>
      <x:c r="L30" s="86" t="str">
        <x:v>Net Avg R</x:v>
      </x:c>
      <x:c r="M30" s="86" t="str">
        <x:v>Net Total R</x:v>
      </x:c>
      <x:c r="O30" s="86" t="str">
        <x:v>Setup/BOS timing</x:v>
      </x:c>
      <x:c r="P30" s="86" t="str">
        <x:v>Net Avg R</x:v>
      </x:c>
    </x:row>
    <x:row r="31">
      <x:c r="A31" s="11" t="str">
        <x:v>After-hours</x:v>
      </x:c>
      <x:c r="B31" s="11" t="str">
        <x:f>'Factor Summary'!H4</x:f>
        <x:v>5</x:v>
      </x:c>
      <x:c r="C31" s="11" t="str">
        <x:f>'Factor Summary'!W4</x:f>
        <x:v>0.601319145620713</x:v>
      </x:c>
      <x:c r="E31" s="11" t="str">
        <x:v>After-hours</x:v>
      </x:c>
      <x:c r="F31" s="11" t="str">
        <x:f>'Factor Summary'!W4</x:f>
        <x:v>0.601319145620713</x:v>
      </x:c>
      <x:c r="J31" s="11" t="str">
        <x:f>'Factor Summary'!C54</x:f>
        <x:v>Same-bar Setup+BOS</x:v>
      </x:c>
      <x:c r="K31" s="11" t="str">
        <x:f>'Factor Summary'!H54</x:f>
        <x:v>664</x:v>
      </x:c>
      <x:c r="L31" s="11" t="str">
        <x:f>'Factor Summary'!W54</x:f>
        <x:v>-0.06363114802276967</x:v>
      </x:c>
      <x:c r="M31" s="11" t="str">
        <x:f>'Factor Summary'!Y54</x:f>
        <x:v>-42.25108228711906</x:v>
      </x:c>
      <x:c r="O31" s="11" t="str">
        <x:f>'Factor Summary'!C54</x:f>
        <x:v>Same-bar Setup+BOS</x:v>
      </x:c>
      <x:c r="P31" s="11" t="str">
        <x:f>'Factor Summary'!W54</x:f>
        <x:v>-0.06363114802276967</x:v>
      </x:c>
    </x:row>
    <x:row r="32">
      <x:c r="A32" s="11" t="str">
        <x:v>Afternoon</x:v>
      </x:c>
      <x:c r="B32" s="11" t="str">
        <x:f>'Factor Summary'!H5</x:f>
        <x:v>83</x:v>
      </x:c>
      <x:c r="C32" s="11" t="str">
        <x:f>'Factor Summary'!W5</x:f>
        <x:v>-0.12891215795595704</x:v>
      </x:c>
      <x:c r="E32" s="11" t="str">
        <x:v>Afternoon</x:v>
      </x:c>
      <x:c r="F32" s="11" t="str">
        <x:f>'Factor Summary'!W5</x:f>
        <x:v>-0.12891215795595704</x:v>
      </x:c>
      <x:c r="J32" s="11" t="str">
        <x:f>'Factor Summary'!C53</x:f>
        <x:v>Delayed BOS</x:v>
      </x:c>
      <x:c r="K32" s="11" t="str">
        <x:f>'Factor Summary'!H53</x:f>
        <x:v>41</x:v>
      </x:c>
      <x:c r="L32" s="11" t="str">
        <x:f>'Factor Summary'!W53</x:f>
        <x:v>-0.16580448212192</x:v>
      </x:c>
      <x:c r="M32" s="11" t="str">
        <x:f>'Factor Summary'!Y53</x:f>
        <x:v>-6.79798376699872</x:v>
      </x:c>
      <x:c r="O32" s="11" t="str">
        <x:f>'Factor Summary'!C53</x:f>
        <x:v>Delayed BOS</x:v>
      </x:c>
      <x:c r="P32" s="11" t="str">
        <x:f>'Factor Summary'!W53</x:f>
        <x:v>-0.16580448212192</x:v>
      </x:c>
    </x:row>
    <x:row r="33">
      <x:c r="A33" s="11" t="str">
        <x:v>Midday</x:v>
      </x:c>
      <x:c r="B33" s="11" t="str">
        <x:f>'Factor Summary'!H8</x:f>
        <x:v>95</x:v>
      </x:c>
      <x:c r="C33" s="11" t="str">
        <x:f>'Factor Summary'!W8</x:f>
        <x:v>0.005446184997352236</x:v>
      </x:c>
      <x:c r="E33" s="11" t="str">
        <x:v>Midday</x:v>
      </x:c>
      <x:c r="F33" s="11" t="str">
        <x:f>'Factor Summary'!W8</x:f>
        <x:v>0.005446184997352236</x:v>
      </x:c>
    </x:row>
    <x:row r="34">
      <x:c r="A34" s="11" t="str">
        <x:v>Morning</x:v>
      </x:c>
      <x:c r="B34" s="11" t="str">
        <x:f>'Factor Summary'!H11</x:f>
        <x:v>68</x:v>
      </x:c>
      <x:c r="C34" s="11" t="str">
        <x:f>'Factor Summary'!W11</x:f>
        <x:v>-0.0794098929983298</x:v>
      </x:c>
      <x:c r="E34" s="11" t="str">
        <x:v>Morning</x:v>
      </x:c>
      <x:c r="F34" s="11" t="str">
        <x:f>'Factor Summary'!W11</x:f>
        <x:v>-0.0794098929983298</x:v>
      </x:c>
    </x:row>
    <x:row r="35">
      <x:c r="A35" s="11" t="str">
        <x:v>Opening</x:v>
      </x:c>
      <x:c r="B35" s="11" t="str">
        <x:f>'Factor Summary'!H14</x:f>
        <x:v>51</x:v>
      </x:c>
      <x:c r="C35" s="11" t="str">
        <x:f>'Factor Summary'!W14</x:f>
        <x:v>-0.009410458415083856</x:v>
      </x:c>
      <x:c r="E35" s="11" t="str">
        <x:v>Opening</x:v>
      </x:c>
      <x:c r="F35" s="11" t="str">
        <x:f>'Factor Summary'!W14</x:f>
        <x:v>-0.009410458415083856</x:v>
      </x:c>
    </x:row>
    <x:row r="36">
      <x:c r="A36" s="11" t="str">
        <x:v>Overnight</x:v>
      </x:c>
      <x:c r="B36" s="11" t="str">
        <x:f>'Factor Summary'!H16</x:f>
        <x:v>235</x:v>
      </x:c>
      <x:c r="C36" s="11" t="str">
        <x:f>'Factor Summary'!W16</x:f>
        <x:v>-0.1375499678680415</x:v>
      </x:c>
      <x:c r="E36" s="11" t="str">
        <x:v>Overnight</x:v>
      </x:c>
      <x:c r="F36" s="11" t="str">
        <x:f>'Factor Summary'!W16</x:f>
        <x:v>-0.1375499678680415</x:v>
      </x:c>
    </x:row>
    <x:row r="37">
      <x:c r="A37" s="11" t="str">
        <x:v>Premarket</x:v>
      </x:c>
      <x:c r="B37" s="11" t="str">
        <x:f>'Factor Summary'!H19</x:f>
        <x:v>168</x:v>
      </x:c>
      <x:c r="C37" s="11" t="str">
        <x:f>'Factor Summary'!W19</x:f>
        <x:v>-0.02184102199154715</x:v>
      </x:c>
      <x:c r="E37" s="11" t="str">
        <x:v>Premarket</x:v>
      </x:c>
      <x:c r="F37" s="11" t="str">
        <x:f>'Factor Summary'!W19</x:f>
        <x:v>-0.02184102199154715</x:v>
      </x:c>
    </x:row>
  </x:sheetData>
  <x:mergeCells>
    <x:mergeCell ref="A1:P2"/>
    <x:mergeCell ref="A3:P3"/>
  </x:mergeCells>
  <x:pageMargins left="0.7" right="0.7" top="0.75" bottom="0.75" header="0.3" footer="0.3"/>
  <x:drawing xmlns:r="http://schemas.openxmlformats.org/officeDocument/2006/relationships" r:id="R62843ca9a9164ac8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4" max="14" width="20" hidden="0" customWidth="1"/>
    <x:col min="15" max="15" width="20" hidden="0" customWidth="1"/>
  </x:cols>
  <x:sheetData>
    <x:row r="1" ht="36" customHeight="1">
      <x:c r="A1" s="89" t="str">
        <x:v>Trade ID</x:v>
      </x:c>
      <x:c r="B1" s="89" t="str">
        <x:v>Direction</x:v>
      </x:c>
      <x:c r="C1" s="89" t="str">
        <x:v>Entry price</x:v>
      </x:c>
      <x:c r="D1" s="89" t="str">
        <x:v>Stop price</x:v>
      </x:c>
      <x:c r="E1" s="89" t="str">
        <x:v>Gross R</x:v>
      </x:c>
      <x:c r="F1" s="89" t="str">
        <x:v>Imported cost R</x:v>
      </x:c>
      <x:c r="G1" s="89" t="str">
        <x:v>Risk points</x:v>
      </x:c>
      <x:c r="H1" s="89" t="str">
        <x:v>Formula cost R</x:v>
      </x:c>
      <x:c r="I1" s="89" t="str">
        <x:v>Formula net R</x:v>
      </x:c>
      <x:c r="J1" s="89" t="str">
        <x:v>Imported net R</x:v>
      </x:c>
      <x:c r="K1" s="89" t="str">
        <x:v>Delta</x:v>
      </x:c>
      <x:c r="L1" s="89" t="str">
        <x:v>Status</x:v>
      </x:c>
      <x:c r="N1" s="88" t="str">
        <x:v>Assumption</x:v>
      </x:c>
      <x:c r="O1" s="88" t="str">
        <x:v>Value</x:v>
      </x:c>
    </x:row>
    <x:row r="2">
      <x:c r="A2" s="84" t="str">
        <x:f>'Trade Features'!A2</x:f>
        <x:v>A0001</x:v>
      </x:c>
      <x:c r="B2" s="84" t="str">
        <x:f>'Trade Features'!F2</x:f>
        <x:v>Short</x:v>
      </x:c>
      <x:c r="C2" s="91" t="str">
        <x:f>'Trade Features'!BX2</x:f>
        <x:v>16801.25</x:v>
      </x:c>
      <x:c r="D2" s="91" t="str">
        <x:f>'Trade Features'!CA2</x:f>
        <x:v>16810.07618327655</x:v>
      </x:c>
      <x:c r="E2" s="91" t="str">
        <x:f>'Trade Features'!CH2</x:f>
        <x:v>0.708120351024983</x:v>
      </x:c>
      <x:c r="F2" s="91" t="str">
        <x:f>'Trade Features'!CG2</x:f>
        <x:v>0.08214196071888613</x:v>
      </x:c>
      <x:c r="G2" s="92" t="n">
        <x:f>ABS(C2-D2)</x:f>
        <x:v>8.826183276549273</x:v>
      </x:c>
      <x:c r="H2" s="92" t="n">
        <x:f>IFERROR($O$2/(G2*$O$3),0)</x:f>
        <x:v>0.08214196071888613</x:v>
      </x:c>
      <x:c r="I2" s="92" t="n">
        <x:f>E2-H2</x:f>
        <x:v>0.6259783903060969</x:v>
      </x:c>
      <x:c r="J2" s="91" t="str">
        <x:f>'Trade Features'!CI2</x:f>
        <x:v>0.6259783903060969</x:v>
      </x:c>
      <x:c r="K2" s="92" t="n">
        <x:f>I2-J2</x:f>
        <x:v>0</x:v>
      </x:c>
      <x:c r="L2" s="90" t="str">
        <x:f>IF(ABS(K2)&lt;0.000000001,"PASS","FAIL")</x:f>
        <x:v>PASS</x:v>
      </x:c>
      <x:c r="N2" t="str">
        <x:v>Round-turn USD</x:v>
      </x:c>
      <x:c r="O2" t="n">
        <x:v>14.5</x:v>
      </x:c>
    </x:row>
    <x:row r="3">
      <x:c r="A3" s="84" t="str">
        <x:f>'Trade Features'!A3</x:f>
        <x:v>A0002</x:v>
      </x:c>
      <x:c r="B3" s="84" t="str">
        <x:f>'Trade Features'!F3</x:f>
        <x:v>Short</x:v>
      </x:c>
      <x:c r="C3" s="91" t="str">
        <x:f>'Trade Features'!BX3</x:f>
        <x:v>16415.25</x:v>
      </x:c>
      <x:c r="D3" s="91" t="str">
        <x:f>'Trade Features'!CA3</x:f>
        <x:v>16440.666768822994</x:v>
      </x:c>
      <x:c r="E3" s="91" t="str">
        <x:f>'Trade Features'!CH3</x:f>
        <x:v>-1.0</x:v>
      </x:c>
      <x:c r="F3" s="91" t="str">
        <x:f>'Trade Features'!CG3</x:f>
        <x:v>0.028524475516499136</x:v>
      </x:c>
      <x:c r="G3" s="92" t="n">
        <x:f>ABS(C3-D3)</x:f>
        <x:v>25.416768822993618</x:v>
      </x:c>
      <x:c r="H3" s="92" t="n">
        <x:f>IFERROR($O$2/(G3*$O$3),0)</x:f>
        <x:v>0.028524475516499136</x:v>
      </x:c>
      <x:c r="I3" s="92" t="n">
        <x:f>E3-H3</x:f>
        <x:v>-1.028524475516499</x:v>
      </x:c>
      <x:c r="J3" s="91" t="str">
        <x:f>'Trade Features'!CI3</x:f>
        <x:v>-1.028524475516499</x:v>
      </x:c>
      <x:c r="K3" s="92" t="n">
        <x:f>I3-J3</x:f>
        <x:v>0</x:v>
      </x:c>
      <x:c r="L3" s="90" t="str">
        <x:f>IF(ABS(K3)&lt;0.000000001,"PASS","FAIL")</x:f>
        <x:v>PASS</x:v>
      </x:c>
      <x:c r="N3" t="str">
        <x:v>NQ USD/point</x:v>
      </x:c>
      <x:c r="O3" t="n">
        <x:v>20</x:v>
      </x:c>
    </x:row>
    <x:row r="4">
      <x:c r="A4" s="84" t="str">
        <x:f>'Trade Features'!A4</x:f>
        <x:v>A0003</x:v>
      </x:c>
      <x:c r="B4" s="84" t="str">
        <x:f>'Trade Features'!F4</x:f>
        <x:v>Short</x:v>
      </x:c>
      <x:c r="C4" s="91" t="str">
        <x:f>'Trade Features'!BX4</x:f>
        <x:v>16505.25</x:v>
      </x:c>
      <x:c r="D4" s="91" t="str">
        <x:f>'Trade Features'!CA4</x:f>
        <x:v>16512.81885431401</x:v>
      </x:c>
      <x:c r="E4" s="91" t="str">
        <x:f>'Trade Features'!CH4</x:f>
        <x:v>0.36333107837868867</x:v>
      </x:c>
      <x:c r="F4" s="91" t="str">
        <x:f>'Trade Features'!CG4</x:f>
        <x:v>0.09578728429982683</x:v>
      </x:c>
      <x:c r="G4" s="92" t="n">
        <x:f>ABS(C4-D4)</x:f>
        <x:v>7.5688543140095135</x:v>
      </x:c>
      <x:c r="H4" s="92" t="n">
        <x:f>IFERROR($O$2/(G4*$O$3),0)</x:f>
        <x:v>0.09578728429982683</x:v>
      </x:c>
      <x:c r="I4" s="92" t="n">
        <x:f>E4-H4</x:f>
        <x:v>0.26754379407886186</x:v>
      </x:c>
      <x:c r="J4" s="91" t="str">
        <x:f>'Trade Features'!CI4</x:f>
        <x:v>0.26754379407886186</x:v>
      </x:c>
      <x:c r="K4" s="92" t="n">
        <x:f>I4-J4</x:f>
        <x:v>0</x:v>
      </x:c>
      <x:c r="L4" s="90" t="str">
        <x:f>IF(ABS(K4)&lt;0.000000001,"PASS","FAIL")</x:f>
        <x:v>PASS</x:v>
      </x:c>
    </x:row>
    <x:row r="5">
      <x:c r="A5" s="84" t="str">
        <x:f>'Trade Features'!A5</x:f>
        <x:v>A0004</x:v>
      </x:c>
      <x:c r="B5" s="84" t="str">
        <x:f>'Trade Features'!F5</x:f>
        <x:v>Short</x:v>
      </x:c>
      <x:c r="C5" s="91" t="str">
        <x:f>'Trade Features'!BX5</x:f>
        <x:v>16361.0</x:v>
      </x:c>
      <x:c r="D5" s="91" t="str">
        <x:f>'Trade Features'!CA5</x:f>
        <x:v>16396.75867314032</x:v>
      </x:c>
      <x:c r="E5" s="91" t="str">
        <x:f>'Trade Features'!CH5</x:f>
        <x:v>-1.0</x:v>
      </x:c>
      <x:c r="F5" s="91" t="str">
        <x:f>'Trade Features'!CG5</x:f>
        <x:v>0.020274801504939086</x:v>
      </x:c>
      <x:c r="G5" s="92" t="n">
        <x:f>ABS(C5-D5)</x:f>
        <x:v>35.75867314032075</x:v>
      </x:c>
      <x:c r="H5" s="92" t="n">
        <x:f>IFERROR($O$2/(G5*$O$3),0)</x:f>
        <x:v>0.020274801504939086</x:v>
      </x:c>
      <x:c r="I5" s="92" t="n">
        <x:f>E5-H5</x:f>
        <x:v>-1.020274801504939</x:v>
      </x:c>
      <x:c r="J5" s="91" t="str">
        <x:f>'Trade Features'!CI5</x:f>
        <x:v>-1.020274801504939</x:v>
      </x:c>
      <x:c r="K5" s="92" t="n">
        <x:f>I5-J5</x:f>
        <x:v>0</x:v>
      </x:c>
      <x:c r="L5" s="90" t="str">
        <x:f>IF(ABS(K5)&lt;0.000000001,"PASS","FAIL")</x:f>
        <x:v>PASS</x:v>
      </x:c>
    </x:row>
    <x:row r="6">
      <x:c r="A6" s="84" t="str">
        <x:f>'Trade Features'!A6</x:f>
        <x:v>A0005</x:v>
      </x:c>
      <x:c r="B6" s="84" t="str">
        <x:f>'Trade Features'!F6</x:f>
        <x:v>Long</x:v>
      </x:c>
      <x:c r="C6" s="91" t="str">
        <x:f>'Trade Features'!BX6</x:f>
        <x:v>16299.75</x:v>
      </x:c>
      <x:c r="D6" s="91" t="str">
        <x:f>'Trade Features'!CA6</x:f>
        <x:v>16265.2643555156</x:v>
      </x:c>
      <x:c r="E6" s="91" t="str">
        <x:f>'Trade Features'!CH6</x:f>
        <x:v>2.0</x:v>
      </x:c>
      <x:c r="F6" s="91" t="str">
        <x:f>'Trade Features'!CG6</x:f>
        <x:v>0.021023240563995984</x:v>
      </x:c>
      <x:c r="G6" s="92" t="n">
        <x:f>ABS(C6-D6)</x:f>
        <x:v>34.48564448440084</x:v>
      </x:c>
      <x:c r="H6" s="92" t="n">
        <x:f>IFERROR($O$2/(G6*$O$3),0)</x:f>
        <x:v>0.021023240563995984</x:v>
      </x:c>
      <x:c r="I6" s="92" t="n">
        <x:f>E6-H6</x:f>
        <x:v>1.978976759436004</x:v>
      </x:c>
      <x:c r="J6" s="91" t="str">
        <x:f>'Trade Features'!CI6</x:f>
        <x:v>1.978976759436004</x:v>
      </x:c>
      <x:c r="K6" s="92" t="n">
        <x:f>I6-J6</x:f>
        <x:v>0</x:v>
      </x:c>
      <x:c r="L6" s="90" t="str">
        <x:f>IF(ABS(K6)&lt;0.000000001,"PASS","FAIL")</x:f>
        <x:v>PASS</x:v>
      </x:c>
    </x:row>
    <x:row r="7">
      <x:c r="A7" s="84" t="str">
        <x:f>'Trade Features'!A7</x:f>
        <x:v>A0006</x:v>
      </x:c>
      <x:c r="B7" s="84" t="str">
        <x:f>'Trade Features'!F7</x:f>
        <x:v>Long</x:v>
      </x:c>
      <x:c r="C7" s="91" t="str">
        <x:f>'Trade Features'!BX7</x:f>
        <x:v>16215.5</x:v>
      </x:c>
      <x:c r="D7" s="91" t="str">
        <x:f>'Trade Features'!CA7</x:f>
        <x:v>16203.806097823146</x:v>
      </x:c>
      <x:c r="E7" s="91" t="str">
        <x:f>'Trade Features'!CH7</x:f>
        <x:v>-1.0</x:v>
      </x:c>
      <x:c r="F7" s="91" t="str">
        <x:f>'Trade Features'!CG7</x:f>
        <x:v>0.061998124239059524</x:v>
      </x:c>
      <x:c r="G7" s="92" t="n">
        <x:f>ABS(C7-D7)</x:f>
        <x:v>11.693902176853953</x:v>
      </x:c>
      <x:c r="H7" s="92" t="n">
        <x:f>IFERROR($O$2/(G7*$O$3),0)</x:f>
        <x:v>0.061998124239059524</x:v>
      </x:c>
      <x:c r="I7" s="92" t="n">
        <x:f>E7-H7</x:f>
        <x:v>-1.0619981242390595</x:v>
      </x:c>
      <x:c r="J7" s="91" t="str">
        <x:f>'Trade Features'!CI7</x:f>
        <x:v>-1.0619981242390595</x:v>
      </x:c>
      <x:c r="K7" s="92" t="n">
        <x:f>I7-J7</x:f>
        <x:v>0</x:v>
      </x:c>
      <x:c r="L7" s="90" t="str">
        <x:f>IF(ABS(K7)&lt;0.000000001,"PASS","FAIL")</x:f>
        <x:v>PASS</x:v>
      </x:c>
    </x:row>
    <x:row r="8">
      <x:c r="A8" s="84" t="str">
        <x:f>'Trade Features'!A8</x:f>
        <x:v>A0007</x:v>
      </x:c>
      <x:c r="B8" s="84" t="str">
        <x:f>'Trade Features'!F8</x:f>
        <x:v>Long</x:v>
      </x:c>
      <x:c r="C8" s="91" t="str">
        <x:f>'Trade Features'!BX8</x:f>
        <x:v>16184.25</x:v>
      </x:c>
      <x:c r="D8" s="91" t="str">
        <x:f>'Trade Features'!CA8</x:f>
        <x:v>16172.107402127296</x:v>
      </x:c>
      <x:c r="E8" s="91" t="str">
        <x:f>'Trade Features'!CH8</x:f>
        <x:v>-1.0</x:v>
      </x:c>
      <x:c r="F8" s="91" t="str">
        <x:f>'Trade Features'!CG8</x:f>
        <x:v>0.05970715719984237</x:v>
      </x:c>
      <x:c r="G8" s="92" t="n">
        <x:f>ABS(C8-D8)</x:f>
        <x:v>12.142597872703845</x:v>
      </x:c>
      <x:c r="H8" s="92" t="n">
        <x:f>IFERROR($O$2/(G8*$O$3),0)</x:f>
        <x:v>0.05970715719984237</x:v>
      </x:c>
      <x:c r="I8" s="92" t="n">
        <x:f>E8-H8</x:f>
        <x:v>-1.0597071571998424</x:v>
      </x:c>
      <x:c r="J8" s="91" t="str">
        <x:f>'Trade Features'!CI8</x:f>
        <x:v>-1.0597071571998424</x:v>
      </x:c>
      <x:c r="K8" s="92" t="n">
        <x:f>I8-J8</x:f>
        <x:v>0</x:v>
      </x:c>
      <x:c r="L8" s="90" t="str">
        <x:f>IF(ABS(K8)&lt;0.000000001,"PASS","FAIL")</x:f>
        <x:v>PASS</x:v>
      </x:c>
    </x:row>
    <x:row r="9">
      <x:c r="A9" s="84" t="str">
        <x:f>'Trade Features'!A9</x:f>
        <x:v>A0008</x:v>
      </x:c>
      <x:c r="B9" s="84" t="str">
        <x:f>'Trade Features'!F9</x:f>
        <x:v>Long</x:v>
      </x:c>
      <x:c r="C9" s="91" t="str">
        <x:f>'Trade Features'!BX9</x:f>
        <x:v>16581.25</x:v>
      </x:c>
      <x:c r="D9" s="91" t="str">
        <x:f>'Trade Features'!CA9</x:f>
        <x:v>16575.14635412792</x:v>
      </x:c>
      <x:c r="E9" s="91" t="str">
        <x:f>'Trade Features'!CH9</x:f>
        <x:v>-1.0</x:v>
      </x:c>
      <x:c r="F9" s="91" t="str">
        <x:f>'Trade Features'!CG9</x:f>
        <x:v>0.1187814652413346</x:v>
      </x:c>
      <x:c r="G9" s="92" t="n">
        <x:f>ABS(C9-D9)</x:f>
        <x:v>6.1036458720809605</x:v>
      </x:c>
      <x:c r="H9" s="92" t="n">
        <x:f>IFERROR($O$2/(G9*$O$3),0)</x:f>
        <x:v>0.1187814652413346</x:v>
      </x:c>
      <x:c r="I9" s="92" t="n">
        <x:f>E9-H9</x:f>
        <x:v>-1.1187814652413346</x:v>
      </x:c>
      <x:c r="J9" s="91" t="str">
        <x:f>'Trade Features'!CI9</x:f>
        <x:v>-1.1187814652413346</x:v>
      </x:c>
      <x:c r="K9" s="92" t="n">
        <x:f>I9-J9</x:f>
        <x:v>0</x:v>
      </x:c>
      <x:c r="L9" s="90" t="str">
        <x:f>IF(ABS(K9)&lt;0.000000001,"PASS","FAIL")</x:f>
        <x:v>PASS</x:v>
      </x:c>
    </x:row>
    <x:row r="10">
      <x:c r="A10" s="84" t="str">
        <x:f>'Trade Features'!A10</x:f>
        <x:v>A0009</x:v>
      </x:c>
      <x:c r="B10" s="84" t="str">
        <x:f>'Trade Features'!F10</x:f>
        <x:v>Long</x:v>
      </x:c>
      <x:c r="C10" s="91" t="str">
        <x:f>'Trade Features'!BX10</x:f>
        <x:v>16653.5</x:v>
      </x:c>
      <x:c r="D10" s="91" t="str">
        <x:f>'Trade Features'!CA10</x:f>
        <x:v>16630.465155692276</x:v>
      </x:c>
      <x:c r="E10" s="91" t="str">
        <x:f>'Trade Features'!CH10</x:f>
        <x:v>-1.0</x:v>
      </x:c>
      <x:c r="F10" s="91" t="str">
        <x:f>'Trade Features'!CG10</x:f>
        <x:v>0.03147405688159586</x:v>
      </x:c>
      <x:c r="G10" s="92" t="n">
        <x:f>ABS(C10-D10)</x:f>
        <x:v>23.034844307723688</x:v>
      </x:c>
      <x:c r="H10" s="92" t="n">
        <x:f>IFERROR($O$2/(G10*$O$3),0)</x:f>
        <x:v>0.03147405688159586</x:v>
      </x:c>
      <x:c r="I10" s="92" t="n">
        <x:f>E10-H10</x:f>
        <x:v>-1.0314740568815959</x:v>
      </x:c>
      <x:c r="J10" s="91" t="str">
        <x:f>'Trade Features'!CI10</x:f>
        <x:v>-1.0314740568815959</x:v>
      </x:c>
      <x:c r="K10" s="92" t="n">
        <x:f>I10-J10</x:f>
        <x:v>0</x:v>
      </x:c>
      <x:c r="L10" s="90" t="str">
        <x:f>IF(ABS(K10)&lt;0.000000001,"PASS","FAIL")</x:f>
        <x:v>PASS</x:v>
      </x:c>
    </x:row>
    <x:row r="11">
      <x:c r="A11" s="84" t="str">
        <x:f>'Trade Features'!A11</x:f>
        <x:v>A0010</x:v>
      </x:c>
      <x:c r="B11" s="84" t="str">
        <x:f>'Trade Features'!F11</x:f>
        <x:v>Short</x:v>
      </x:c>
      <x:c r="C11" s="91" t="str">
        <x:f>'Trade Features'!BX11</x:f>
        <x:v>16597.75</x:v>
      </x:c>
      <x:c r="D11" s="91" t="str">
        <x:f>'Trade Features'!CA11</x:f>
        <x:v>16623.137754513467</x:v>
      </x:c>
      <x:c r="E11" s="91" t="str">
        <x:f>'Trade Features'!CH11</x:f>
        <x:v>-1.0</x:v>
      </x:c>
      <x:c r="F11" s="91" t="str">
        <x:f>'Trade Features'!CG11</x:f>
        <x:v>0.02855707461703284</x:v>
      </x:c>
      <x:c r="G11" s="92" t="n">
        <x:f>ABS(C11-D11)</x:f>
        <x:v>25.38775451346737</x:v>
      </x:c>
      <x:c r="H11" s="92" t="n">
        <x:f>IFERROR($O$2/(G11*$O$3),0)</x:f>
        <x:v>0.02855707461703284</x:v>
      </x:c>
      <x:c r="I11" s="92" t="n">
        <x:f>E11-H11</x:f>
        <x:v>-1.028557074617033</x:v>
      </x:c>
      <x:c r="J11" s="91" t="str">
        <x:f>'Trade Features'!CI11</x:f>
        <x:v>-1.028557074617033</x:v>
      </x:c>
      <x:c r="K11" s="92" t="n">
        <x:f>I11-J11</x:f>
        <x:v>0</x:v>
      </x:c>
      <x:c r="L11" s="90" t="str">
        <x:f>IF(ABS(K11)&lt;0.000000001,"PASS","FAIL")</x:f>
        <x:v>PASS</x:v>
      </x:c>
    </x:row>
    <x:row r="12">
      <x:c r="A12" s="84" t="str">
        <x:f>'Trade Features'!A12</x:f>
        <x:v>A0011</x:v>
      </x:c>
      <x:c r="B12" s="84" t="str">
        <x:f>'Trade Features'!F12</x:f>
        <x:v>Long</x:v>
      </x:c>
      <x:c r="C12" s="91" t="str">
        <x:f>'Trade Features'!BX12</x:f>
        <x:v>16629.5</x:v>
      </x:c>
      <x:c r="D12" s="91" t="str">
        <x:f>'Trade Features'!CA12</x:f>
        <x:v>16620.37404535945</x:v>
      </x:c>
      <x:c r="E12" s="91" t="str">
        <x:f>'Trade Features'!CH12</x:f>
        <x:v>2.0</x:v>
      </x:c>
      <x:c r="F12" s="91" t="str">
        <x:f>'Trade Features'!CG12</x:f>
        <x:v>0.0794437435376496</x:v>
      </x:c>
      <x:c r="G12" s="92" t="n">
        <x:f>ABS(C12-D12)</x:f>
        <x:v>9.125954640549025</x:v>
      </x:c>
      <x:c r="H12" s="92" t="n">
        <x:f>IFERROR($O$2/(G12*$O$3),0)</x:f>
        <x:v>0.0794437435376496</x:v>
      </x:c>
      <x:c r="I12" s="92" t="n">
        <x:f>E12-H12</x:f>
        <x:v>1.9205562564623504</x:v>
      </x:c>
      <x:c r="J12" s="91" t="str">
        <x:f>'Trade Features'!CI12</x:f>
        <x:v>1.9205562564623504</x:v>
      </x:c>
      <x:c r="K12" s="92" t="n">
        <x:f>I12-J12</x:f>
        <x:v>0</x:v>
      </x:c>
      <x:c r="L12" s="90" t="str">
        <x:f>IF(ABS(K12)&lt;0.000000001,"PASS","FAIL")</x:f>
        <x:v>PASS</x:v>
      </x:c>
    </x:row>
    <x:row r="13">
      <x:c r="A13" s="84" t="str">
        <x:f>'Trade Features'!A13</x:f>
        <x:v>A0012</x:v>
      </x:c>
      <x:c r="B13" s="84" t="str">
        <x:f>'Trade Features'!F13</x:f>
        <x:v>Long</x:v>
      </x:c>
      <x:c r="C13" s="91" t="str">
        <x:f>'Trade Features'!BX13</x:f>
        <x:v>16690.25</x:v>
      </x:c>
      <x:c r="D13" s="91" t="str">
        <x:f>'Trade Features'!CA13</x:f>
        <x:v>16669.42225050694</x:v>
      </x:c>
      <x:c r="E13" s="91" t="str">
        <x:f>'Trade Features'!CH13</x:f>
        <x:v>0.8042155493363827</x:v>
      </x:c>
      <x:c r="F13" s="91" t="str">
        <x:f>'Trade Features'!CG13</x:f>
        <x:v>0.03480932974739366</x:v>
      </x:c>
      <x:c r="G13" s="92" t="n">
        <x:f>ABS(C13-D13)</x:f>
        <x:v>20.827749493058946</x:v>
      </x:c>
      <x:c r="H13" s="92" t="n">
        <x:f>IFERROR($O$2/(G13*$O$3),0)</x:f>
        <x:v>0.03480932974739366</x:v>
      </x:c>
      <x:c r="I13" s="92" t="n">
        <x:f>E13-H13</x:f>
        <x:v>0.769406219588989</x:v>
      </x:c>
      <x:c r="J13" s="91" t="str">
        <x:f>'Trade Features'!CI13</x:f>
        <x:v>0.769406219588989</x:v>
      </x:c>
      <x:c r="K13" s="92" t="n">
        <x:f>I13-J13</x:f>
        <x:v>0</x:v>
      </x:c>
      <x:c r="L13" s="90" t="str">
        <x:f>IF(ABS(K13)&lt;0.000000001,"PASS","FAIL")</x:f>
        <x:v>PASS</x:v>
      </x:c>
    </x:row>
    <x:row r="14">
      <x:c r="A14" s="84" t="str">
        <x:f>'Trade Features'!A14</x:f>
        <x:v>A0013</x:v>
      </x:c>
      <x:c r="B14" s="84" t="str">
        <x:f>'Trade Features'!F14</x:f>
        <x:v>Long</x:v>
      </x:c>
      <x:c r="C14" s="91" t="str">
        <x:f>'Trade Features'!BX14</x:f>
        <x:v>16736.75</x:v>
      </x:c>
      <x:c r="D14" s="91" t="str">
        <x:f>'Trade Features'!CA14</x:f>
        <x:v>16714.217581850222</x:v>
      </x:c>
      <x:c r="E14" s="91" t="str">
        <x:f>'Trade Features'!CH14</x:f>
        <x:v>0.6102318849490836</x:v>
      </x:c>
      <x:c r="F14" s="91" t="str">
        <x:f>'Trade Features'!CG14</x:f>
        <x:v>0.032175863024587976</x:v>
      </x:c>
      <x:c r="G14" s="92" t="n">
        <x:f>ABS(C14-D14)</x:f>
        <x:v>22.532418149778096</x:v>
      </x:c>
      <x:c r="H14" s="92" t="n">
        <x:f>IFERROR($O$2/(G14*$O$3),0)</x:f>
        <x:v>0.032175863024587976</x:v>
      </x:c>
      <x:c r="I14" s="92" t="n">
        <x:f>E14-H14</x:f>
        <x:v>0.5780560219244957</x:v>
      </x:c>
      <x:c r="J14" s="91" t="str">
        <x:f>'Trade Features'!CI14</x:f>
        <x:v>0.5780560219244957</x:v>
      </x:c>
      <x:c r="K14" s="92" t="n">
        <x:f>I14-J14</x:f>
        <x:v>0</x:v>
      </x:c>
      <x:c r="L14" s="90" t="str">
        <x:f>IF(ABS(K14)&lt;0.000000001,"PASS","FAIL")</x:f>
        <x:v>PASS</x:v>
      </x:c>
    </x:row>
    <x:row r="15">
      <x:c r="A15" s="84" t="str">
        <x:f>'Trade Features'!A15</x:f>
        <x:v>A0014</x:v>
      </x:c>
      <x:c r="B15" s="84" t="str">
        <x:f>'Trade Features'!F15</x:f>
        <x:v>Long</x:v>
      </x:c>
      <x:c r="C15" s="91" t="str">
        <x:f>'Trade Features'!BX15</x:f>
        <x:v>16795.0</x:v>
      </x:c>
      <x:c r="D15" s="91" t="str">
        <x:f>'Trade Features'!CA15</x:f>
        <x:v>16787.09320183704</x:v>
      </x:c>
      <x:c r="E15" s="91" t="str">
        <x:f>'Trade Features'!CH15</x:f>
        <x:v>0.4742754175220549</x:v>
      </x:c>
      <x:c r="F15" s="91" t="str">
        <x:f>'Trade Features'!CG15</x:f>
        <x:v>0.09169324738759037</x:v>
      </x:c>
      <x:c r="G15" s="92" t="n">
        <x:f>ABS(C15-D15)</x:f>
        <x:v>7.906798162959603</x:v>
      </x:c>
      <x:c r="H15" s="92" t="n">
        <x:f>IFERROR($O$2/(G15*$O$3),0)</x:f>
        <x:v>0.09169324738759037</x:v>
      </x:c>
      <x:c r="I15" s="92" t="n">
        <x:f>E15-H15</x:f>
        <x:v>0.3825821701344645</x:v>
      </x:c>
      <x:c r="J15" s="91" t="str">
        <x:f>'Trade Features'!CI15</x:f>
        <x:v>0.3825821701344645</x:v>
      </x:c>
      <x:c r="K15" s="92" t="n">
        <x:f>I15-J15</x:f>
        <x:v>0</x:v>
      </x:c>
      <x:c r="L15" s="90" t="str">
        <x:f>IF(ABS(K15)&lt;0.000000001,"PASS","FAIL")</x:f>
        <x:v>PASS</x:v>
      </x:c>
    </x:row>
    <x:row r="16">
      <x:c r="A16" s="84" t="str">
        <x:f>'Trade Features'!A16</x:f>
        <x:v>A0015</x:v>
      </x:c>
      <x:c r="B16" s="84" t="str">
        <x:f>'Trade Features'!F16</x:f>
        <x:v>Long</x:v>
      </x:c>
      <x:c r="C16" s="91" t="str">
        <x:f>'Trade Features'!BX16</x:f>
        <x:v>16799.5</x:v>
      </x:c>
      <x:c r="D16" s="91" t="str">
        <x:f>'Trade Features'!CA16</x:f>
        <x:v>16788.57547542724</x:v>
      </x:c>
      <x:c r="E16" s="91" t="str">
        <x:f>'Trade Features'!CH16</x:f>
        <x:v>-1.0</x:v>
      </x:c>
      <x:c r="F16" s="91" t="str">
        <x:f>'Trade Features'!CG16</x:f>
        <x:v>0.06636444406996551</x:v>
      </x:c>
      <x:c r="G16" s="92" t="n">
        <x:f>ABS(C16-D16)</x:f>
        <x:v>10.924524572761584</x:v>
      </x:c>
      <x:c r="H16" s="92" t="n">
        <x:f>IFERROR($O$2/(G16*$O$3),0)</x:f>
        <x:v>0.06636444406996551</x:v>
      </x:c>
      <x:c r="I16" s="92" t="n">
        <x:f>E16-H16</x:f>
        <x:v>-1.0663644440699656</x:v>
      </x:c>
      <x:c r="J16" s="91" t="str">
        <x:f>'Trade Features'!CI16</x:f>
        <x:v>-1.0663644440699656</x:v>
      </x:c>
      <x:c r="K16" s="92" t="n">
        <x:f>I16-J16</x:f>
        <x:v>0</x:v>
      </x:c>
      <x:c r="L16" s="90" t="str">
        <x:f>IF(ABS(K16)&lt;0.000000001,"PASS","FAIL")</x:f>
        <x:v>PASS</x:v>
      </x:c>
    </x:row>
    <x:row r="17">
      <x:c r="A17" s="84" t="str">
        <x:f>'Trade Features'!A17</x:f>
        <x:v>A0016</x:v>
      </x:c>
      <x:c r="B17" s="84" t="str">
        <x:f>'Trade Features'!F17</x:f>
        <x:v>Long</x:v>
      </x:c>
      <x:c r="C17" s="91" t="str">
        <x:f>'Trade Features'!BX17</x:f>
        <x:v>16756.25</x:v>
      </x:c>
      <x:c r="D17" s="91" t="str">
        <x:f>'Trade Features'!CA17</x:f>
        <x:v>16712.763384654776</x:v>
      </x:c>
      <x:c r="E17" s="91" t="str">
        <x:f>'Trade Features'!CH17</x:f>
        <x:v>-1.0</x:v>
      </x:c>
      <x:c r="F17" s="91" t="str">
        <x:f>'Trade Features'!CG17</x:f>
        <x:v>0.016671796465291586</x:v>
      </x:c>
      <x:c r="G17" s="92" t="n">
        <x:f>ABS(C17-D17)</x:f>
        <x:v>43.48661534522398</x:v>
      </x:c>
      <x:c r="H17" s="92" t="n">
        <x:f>IFERROR($O$2/(G17*$O$3),0)</x:f>
        <x:v>0.016671796465291586</x:v>
      </x:c>
      <x:c r="I17" s="92" t="n">
        <x:f>E17-H17</x:f>
        <x:v>-1.0166717964652916</x:v>
      </x:c>
      <x:c r="J17" s="91" t="str">
        <x:f>'Trade Features'!CI17</x:f>
        <x:v>-1.0166717964652916</x:v>
      </x:c>
      <x:c r="K17" s="92" t="n">
        <x:f>I17-J17</x:f>
        <x:v>0</x:v>
      </x:c>
      <x:c r="L17" s="90" t="str">
        <x:f>IF(ABS(K17)&lt;0.000000001,"PASS","FAIL")</x:f>
        <x:v>PASS</x:v>
      </x:c>
    </x:row>
    <x:row r="18">
      <x:c r="A18" s="84" t="str">
        <x:f>'Trade Features'!A18</x:f>
        <x:v>A0017</x:v>
      </x:c>
      <x:c r="B18" s="84" t="str">
        <x:f>'Trade Features'!F18</x:f>
        <x:v>Long</x:v>
      </x:c>
      <x:c r="C18" s="91" t="str">
        <x:f>'Trade Features'!BX18</x:f>
        <x:v>16619.75</x:v>
      </x:c>
      <x:c r="D18" s="91" t="str">
        <x:f>'Trade Features'!CA18</x:f>
        <x:v>16593.458791359255</x:v>
      </x:c>
      <x:c r="E18" s="91" t="str">
        <x:f>'Trade Features'!CH18</x:f>
        <x:v>-1.0</x:v>
      </x:c>
      <x:c r="F18" s="91" t="str">
        <x:f>'Trade Features'!CG18</x:f>
        <x:v>0.027575757733572775</x:v>
      </x:c>
      <x:c r="G18" s="92" t="n">
        <x:f>ABS(C18-D18)</x:f>
        <x:v>26.291208640745026</x:v>
      </x:c>
      <x:c r="H18" s="92" t="n">
        <x:f>IFERROR($O$2/(G18*$O$3),0)</x:f>
        <x:v>0.027575757733572775</x:v>
      </x:c>
      <x:c r="I18" s="92" t="n">
        <x:f>E18-H18</x:f>
        <x:v>-1.0275757577335727</x:v>
      </x:c>
      <x:c r="J18" s="91" t="str">
        <x:f>'Trade Features'!CI18</x:f>
        <x:v>-1.0275757577335727</x:v>
      </x:c>
      <x:c r="K18" s="92" t="n">
        <x:f>I18-J18</x:f>
        <x:v>0</x:v>
      </x:c>
      <x:c r="L18" s="90" t="str">
        <x:f>IF(ABS(K18)&lt;0.000000001,"PASS","FAIL")</x:f>
        <x:v>PASS</x:v>
      </x:c>
    </x:row>
    <x:row r="19">
      <x:c r="A19" s="84" t="str">
        <x:f>'Trade Features'!A19</x:f>
        <x:v>A0018</x:v>
      </x:c>
      <x:c r="B19" s="84" t="str">
        <x:f>'Trade Features'!F19</x:f>
        <x:v>Long</x:v>
      </x:c>
      <x:c r="C19" s="91" t="str">
        <x:f>'Trade Features'!BX19</x:f>
        <x:v>16864.75</x:v>
      </x:c>
      <x:c r="D19" s="91" t="str">
        <x:f>'Trade Features'!CA19</x:f>
        <x:v>16826.6789866581</x:v>
      </x:c>
      <x:c r="E19" s="91" t="str">
        <x:f>'Trade Features'!CH19</x:f>
        <x:v>-1.0</x:v>
      </x:c>
      <x:c r="F19" s="91" t="str">
        <x:f>'Trade Features'!CG19</x:f>
        <x:v>0.019043359668129808</x:v>
      </x:c>
      <x:c r="G19" s="92" t="n">
        <x:f>ABS(C19-D19)</x:f>
        <x:v>38.07101334190156</x:v>
      </x:c>
      <x:c r="H19" s="92" t="n">
        <x:f>IFERROR($O$2/(G19*$O$3),0)</x:f>
        <x:v>0.019043359668129808</x:v>
      </x:c>
      <x:c r="I19" s="92" t="n">
        <x:f>E19-H19</x:f>
        <x:v>-1.0190433596681299</x:v>
      </x:c>
      <x:c r="J19" s="91" t="str">
        <x:f>'Trade Features'!CI19</x:f>
        <x:v>-1.0190433596681299</x:v>
      </x:c>
      <x:c r="K19" s="92" t="n">
        <x:f>I19-J19</x:f>
        <x:v>0</x:v>
      </x:c>
      <x:c r="L19" s="90" t="str">
        <x:f>IF(ABS(K19)&lt;0.000000001,"PASS","FAIL")</x:f>
        <x:v>PASS</x:v>
      </x:c>
    </x:row>
    <x:row r="20">
      <x:c r="A20" s="84" t="str">
        <x:f>'Trade Features'!A20</x:f>
        <x:v>A0019</x:v>
      </x:c>
      <x:c r="B20" s="84" t="str">
        <x:f>'Trade Features'!F20</x:f>
        <x:v>Short</x:v>
      </x:c>
      <x:c r="C20" s="91" t="str">
        <x:f>'Trade Features'!BX20</x:f>
        <x:v>16799.5</x:v>
      </x:c>
      <x:c r="D20" s="91" t="str">
        <x:f>'Trade Features'!CA20</x:f>
        <x:v>16837.7102529238</x:v>
      </x:c>
      <x:c r="E20" s="91" t="str">
        <x:f>'Trade Features'!CH20</x:f>
        <x:v>1.1646088836089288</x:v>
      </x:c>
      <x:c r="F20" s="91" t="str">
        <x:f>'Trade Features'!CG20</x:f>
        <x:v>0.01897396495767291</x:v>
      </x:c>
      <x:c r="G20" s="92" t="n">
        <x:f>ABS(C20-D20)</x:f>
        <x:v>38.2102529238</x:v>
      </x:c>
      <x:c r="H20" s="92" t="n">
        <x:f>IFERROR($O$2/(G20*$O$3),0)</x:f>
        <x:v>0.01897396495767291</x:v>
      </x:c>
      <x:c r="I20" s="92" t="n">
        <x:f>E20-H20</x:f>
        <x:v>1.1456349186512558</x:v>
      </x:c>
      <x:c r="J20" s="91" t="str">
        <x:f>'Trade Features'!CI20</x:f>
        <x:v>1.1456349186512558</x:v>
      </x:c>
      <x:c r="K20" s="92" t="n">
        <x:f>I20-J20</x:f>
        <x:v>0</x:v>
      </x:c>
      <x:c r="L20" s="90" t="str">
        <x:f>IF(ABS(K20)&lt;0.000000001,"PASS","FAIL")</x:f>
        <x:v>PASS</x:v>
      </x:c>
    </x:row>
    <x:row r="21">
      <x:c r="A21" s="84" t="str">
        <x:f>'Trade Features'!A21</x:f>
        <x:v>A0020</x:v>
      </x:c>
      <x:c r="B21" s="84" t="str">
        <x:f>'Trade Features'!F21</x:f>
        <x:v>Long</x:v>
      </x:c>
      <x:c r="C21" s="91" t="str">
        <x:f>'Trade Features'!BX21</x:f>
        <x:v>16908.0</x:v>
      </x:c>
      <x:c r="D21" s="91" t="str">
        <x:f>'Trade Features'!CA21</x:f>
        <x:v>16885.012359201435</x:v>
      </x:c>
      <x:c r="E21" s="91" t="str">
        <x:f>'Trade Features'!CH21</x:f>
        <x:v>0.0</x:v>
      </x:c>
      <x:c r="F21" s="91" t="str">
        <x:f>'Trade Features'!CG21</x:f>
        <x:v>0.03153868665136196</x:v>
      </x:c>
      <x:c r="G21" s="92" t="n">
        <x:f>ABS(C21-D21)</x:f>
        <x:v>22.987640798564826</x:v>
      </x:c>
      <x:c r="H21" s="92" t="n">
        <x:f>IFERROR($O$2/(G21*$O$3),0)</x:f>
        <x:v>0.03153868665136196</x:v>
      </x:c>
      <x:c r="I21" s="92" t="n">
        <x:f>E21-H21</x:f>
        <x:v>-0.03153868665136196</x:v>
      </x:c>
      <x:c r="J21" s="91" t="str">
        <x:f>'Trade Features'!CI21</x:f>
        <x:v>-0.03153868665136196</x:v>
      </x:c>
      <x:c r="K21" s="92" t="n">
        <x:f>I21-J21</x:f>
        <x:v>0</x:v>
      </x:c>
      <x:c r="L21" s="90" t="str">
        <x:f>IF(ABS(K21)&lt;0.000000001,"PASS","FAIL")</x:f>
        <x:v>PASS</x:v>
      </x:c>
    </x:row>
    <x:row r="22">
      <x:c r="A22" s="84" t="str">
        <x:f>'Trade Features'!A22</x:f>
        <x:v>A0021</x:v>
      </x:c>
      <x:c r="B22" s="84" t="str">
        <x:f>'Trade Features'!F22</x:f>
        <x:v>Long</x:v>
      </x:c>
      <x:c r="C22" s="91" t="str">
        <x:f>'Trade Features'!BX22</x:f>
        <x:v>17032.25</x:v>
      </x:c>
      <x:c r="D22" s="91" t="str">
        <x:f>'Trade Features'!CA22</x:f>
        <x:v>17001.33143885224</x:v>
      </x:c>
      <x:c r="E22" s="91" t="str">
        <x:f>'Trade Features'!CH22</x:f>
        <x:v>2.0</x:v>
      </x:c>
      <x:c r="F22" s="91" t="str">
        <x:f>'Trade Features'!CG22</x:f>
        <x:v>0.023448697904642133</x:v>
      </x:c>
      <x:c r="G22" s="92" t="n">
        <x:f>ABS(C22-D22)</x:f>
        <x:v>30.918561147758737</x:v>
      </x:c>
      <x:c r="H22" s="92" t="n">
        <x:f>IFERROR($O$2/(G22*$O$3),0)</x:f>
        <x:v>0.023448697904642133</x:v>
      </x:c>
      <x:c r="I22" s="92" t="n">
        <x:f>E22-H22</x:f>
        <x:v>1.9765513020953578</x:v>
      </x:c>
      <x:c r="J22" s="91" t="str">
        <x:f>'Trade Features'!CI22</x:f>
        <x:v>1.9765513020953578</x:v>
      </x:c>
      <x:c r="K22" s="92" t="n">
        <x:f>I22-J22</x:f>
        <x:v>0</x:v>
      </x:c>
      <x:c r="L22" s="90" t="str">
        <x:f>IF(ABS(K22)&lt;0.000000001,"PASS","FAIL")</x:f>
        <x:v>PASS</x:v>
      </x:c>
    </x:row>
    <x:row r="23">
      <x:c r="A23" s="84" t="str">
        <x:f>'Trade Features'!A23</x:f>
        <x:v>A0022</x:v>
      </x:c>
      <x:c r="B23" s="84" t="str">
        <x:f>'Trade Features'!F23</x:f>
        <x:v>Short</x:v>
      </x:c>
      <x:c r="C23" s="91" t="str">
        <x:f>'Trade Features'!BX23</x:f>
        <x:v>17261.25</x:v>
      </x:c>
      <x:c r="D23" s="91" t="str">
        <x:f>'Trade Features'!CA23</x:f>
        <x:v>17299.975137934292</x:v>
      </x:c>
      <x:c r="E23" s="91" t="str">
        <x:f>'Trade Features'!CH23</x:f>
        <x:v>-0.2775974618409347</x:v>
      </x:c>
      <x:c r="F23" s="91" t="str">
        <x:f>'Trade Features'!CG23</x:f>
        <x:v>0.018721689286947323</x:v>
      </x:c>
      <x:c r="G23" s="92" t="n">
        <x:f>ABS(C23-D23)</x:f>
        <x:v>38.725137934292434</x:v>
      </x:c>
      <x:c r="H23" s="92" t="n">
        <x:f>IFERROR($O$2/(G23*$O$3),0)</x:f>
        <x:v>0.018721689286947323</x:v>
      </x:c>
      <x:c r="I23" s="92" t="n">
        <x:f>E23-H23</x:f>
        <x:v>-0.29631915112788204</x:v>
      </x:c>
      <x:c r="J23" s="91" t="str">
        <x:f>'Trade Features'!CI23</x:f>
        <x:v>-0.29631915112788204</x:v>
      </x:c>
      <x:c r="K23" s="92" t="n">
        <x:f>I23-J23</x:f>
        <x:v>0</x:v>
      </x:c>
      <x:c r="L23" s="90" t="str">
        <x:f>IF(ABS(K23)&lt;0.000000001,"PASS","FAIL")</x:f>
        <x:v>PASS</x:v>
      </x:c>
    </x:row>
    <x:row r="24">
      <x:c r="A24" s="84" t="str">
        <x:f>'Trade Features'!A24</x:f>
        <x:v>A0023</x:v>
      </x:c>
      <x:c r="B24" s="84" t="str">
        <x:f>'Trade Features'!F24</x:f>
        <x:v>Long</x:v>
      </x:c>
      <x:c r="C24" s="91" t="str">
        <x:f>'Trade Features'!BX24</x:f>
        <x:v>17452.25</x:v>
      </x:c>
      <x:c r="D24" s="91" t="str">
        <x:f>'Trade Features'!CA24</x:f>
        <x:v>17441.514386464176</x:v>
      </x:c>
      <x:c r="E24" s="91" t="str">
        <x:f>'Trade Features'!CH24</x:f>
        <x:v>2.0</x:v>
      </x:c>
      <x:c r="F24" s="91" t="str">
        <x:f>'Trade Features'!CG24</x:f>
        <x:v>0.06753223721967257</x:v>
      </x:c>
      <x:c r="G24" s="92" t="n">
        <x:f>ABS(C24-D24)</x:f>
        <x:v>10.735613535824086</x:v>
      </x:c>
      <x:c r="H24" s="92" t="n">
        <x:f>IFERROR($O$2/(G24*$O$3),0)</x:f>
        <x:v>0.06753223721967257</x:v>
      </x:c>
      <x:c r="I24" s="92" t="n">
        <x:f>E24-H24</x:f>
        <x:v>1.9324677627803275</x:v>
      </x:c>
      <x:c r="J24" s="91" t="str">
        <x:f>'Trade Features'!CI24</x:f>
        <x:v>1.9324677627803275</x:v>
      </x:c>
      <x:c r="K24" s="92" t="n">
        <x:f>I24-J24</x:f>
        <x:v>0</x:v>
      </x:c>
      <x:c r="L24" s="90" t="str">
        <x:f>IF(ABS(K24)&lt;0.000000001,"PASS","FAIL")</x:f>
        <x:v>PASS</x:v>
      </x:c>
    </x:row>
    <x:row r="25">
      <x:c r="A25" s="84" t="str">
        <x:f>'Trade Features'!A25</x:f>
        <x:v>A0024</x:v>
      </x:c>
      <x:c r="B25" s="84" t="str">
        <x:f>'Trade Features'!F25</x:f>
        <x:v>Short</x:v>
      </x:c>
      <x:c r="C25" s="91" t="str">
        <x:f>'Trade Features'!BX25</x:f>
        <x:v>17298.5</x:v>
      </x:c>
      <x:c r="D25" s="91" t="str">
        <x:f>'Trade Features'!CA25</x:f>
        <x:v>17319.83474392685</x:v>
      </x:c>
      <x:c r="E25" s="91" t="str">
        <x:f>'Trade Features'!CH25</x:f>
        <x:v>2.0</x:v>
      </x:c>
      <x:c r="F25" s="91" t="str">
        <x:f>'Trade Features'!CG25</x:f>
        <x:v>0.03398212804830285</x:v>
      </x:c>
      <x:c r="G25" s="92" t="n">
        <x:f>ABS(C25-D25)</x:f>
        <x:v>21.334743926850933</x:v>
      </x:c>
      <x:c r="H25" s="92" t="n">
        <x:f>IFERROR($O$2/(G25*$O$3),0)</x:f>
        <x:v>0.03398212804830285</x:v>
      </x:c>
      <x:c r="I25" s="92" t="n">
        <x:f>E25-H25</x:f>
        <x:v>1.9660178719516972</x:v>
      </x:c>
      <x:c r="J25" s="91" t="str">
        <x:f>'Trade Features'!CI25</x:f>
        <x:v>1.9660178719516972</x:v>
      </x:c>
      <x:c r="K25" s="92" t="n">
        <x:f>I25-J25</x:f>
        <x:v>0</x:v>
      </x:c>
      <x:c r="L25" s="90" t="str">
        <x:f>IF(ABS(K25)&lt;0.000000001,"PASS","FAIL")</x:f>
        <x:v>PASS</x:v>
      </x:c>
    </x:row>
    <x:row r="26">
      <x:c r="A26" s="84" t="str">
        <x:f>'Trade Features'!A26</x:f>
        <x:v>A0025</x:v>
      </x:c>
      <x:c r="B26" s="84" t="str">
        <x:f>'Trade Features'!F26</x:f>
        <x:v>Long</x:v>
      </x:c>
      <x:c r="C26" s="91" t="str">
        <x:f>'Trade Features'!BX26</x:f>
        <x:v>17354.25</x:v>
      </x:c>
      <x:c r="D26" s="91" t="str">
        <x:f>'Trade Features'!CA26</x:f>
        <x:v>17334.23376807828</x:v>
      </x:c>
      <x:c r="E26" s="91" t="str">
        <x:f>'Trade Features'!CH26</x:f>
        <x:v>-1.0</x:v>
      </x:c>
      <x:c r="F26" s="91" t="str">
        <x:f>'Trade Features'!CG26</x:f>
        <x:v>0.03622060349996735</x:v>
      </x:c>
      <x:c r="G26" s="92" t="n">
        <x:f>ABS(C26-D26)</x:f>
        <x:v>20.016231921719736</x:v>
      </x:c>
      <x:c r="H26" s="92" t="n">
        <x:f>IFERROR($O$2/(G26*$O$3),0)</x:f>
        <x:v>0.03622060349996735</x:v>
      </x:c>
      <x:c r="I26" s="92" t="n">
        <x:f>E26-H26</x:f>
        <x:v>-1.0362206034999673</x:v>
      </x:c>
      <x:c r="J26" s="91" t="str">
        <x:f>'Trade Features'!CI26</x:f>
        <x:v>-1.0362206034999673</x:v>
      </x:c>
      <x:c r="K26" s="92" t="n">
        <x:f>I26-J26</x:f>
        <x:v>0</x:v>
      </x:c>
      <x:c r="L26" s="90" t="str">
        <x:f>IF(ABS(K26)&lt;0.000000001,"PASS","FAIL")</x:f>
        <x:v>PASS</x:v>
      </x:c>
    </x:row>
    <x:row r="27">
      <x:c r="A27" s="84" t="str">
        <x:f>'Trade Features'!A27</x:f>
        <x:v>A0026</x:v>
      </x:c>
      <x:c r="B27" s="84" t="str">
        <x:f>'Trade Features'!F27</x:f>
        <x:v>Short</x:v>
      </x:c>
      <x:c r="C27" s="91" t="str">
        <x:f>'Trade Features'!BX27</x:f>
        <x:v>17491.75</x:v>
      </x:c>
      <x:c r="D27" s="91" t="str">
        <x:f>'Trade Features'!CA27</x:f>
        <x:v>17500.22212393421</x:v>
      </x:c>
      <x:c r="E27" s="91" t="str">
        <x:f>'Trade Features'!CH27</x:f>
        <x:v>2.0</x:v>
      </x:c>
      <x:c r="F27" s="91" t="str">
        <x:f>'Trade Features'!CG27</x:f>
        <x:v>0.08557476326242451</x:v>
      </x:c>
      <x:c r="G27" s="92" t="n">
        <x:f>ABS(C27-D27)</x:f>
        <x:v>8.472123934210686</x:v>
      </x:c>
      <x:c r="H27" s="92" t="n">
        <x:f>IFERROR($O$2/(G27*$O$3),0)</x:f>
        <x:v>0.08557476326242451</x:v>
      </x:c>
      <x:c r="I27" s="92" t="n">
        <x:f>E27-H27</x:f>
        <x:v>1.9144252367375756</x:v>
      </x:c>
      <x:c r="J27" s="91" t="str">
        <x:f>'Trade Features'!CI27</x:f>
        <x:v>1.9144252367375756</x:v>
      </x:c>
      <x:c r="K27" s="92" t="n">
        <x:f>I27-J27</x:f>
        <x:v>0</x:v>
      </x:c>
      <x:c r="L27" s="90" t="str">
        <x:f>IF(ABS(K27)&lt;0.000000001,"PASS","FAIL")</x:f>
        <x:v>PASS</x:v>
      </x:c>
    </x:row>
    <x:row r="28">
      <x:c r="A28" s="84" t="str">
        <x:f>'Trade Features'!A28</x:f>
        <x:v>A0027</x:v>
      </x:c>
      <x:c r="B28" s="84" t="str">
        <x:f>'Trade Features'!F28</x:f>
        <x:v>Long</x:v>
      </x:c>
      <x:c r="C28" s="91" t="str">
        <x:f>'Trade Features'!BX28</x:f>
        <x:v>17249.25</x:v>
      </x:c>
      <x:c r="D28" s="91" t="str">
        <x:f>'Trade Features'!CA28</x:f>
        <x:v>17239.006710553484</x:v>
      </x:c>
      <x:c r="E28" s="91" t="str">
        <x:f>'Trade Features'!CH28</x:f>
        <x:v>-1.0</x:v>
      </x:c>
      <x:c r="F28" s="91" t="str">
        <x:f>'Trade Features'!CG28</x:f>
        <x:v>0.07077804486395338</x:v>
      </x:c>
      <x:c r="G28" s="92" t="n">
        <x:f>ABS(C28-D28)</x:f>
        <x:v>10.243289446516428</x:v>
      </x:c>
      <x:c r="H28" s="92" t="n">
        <x:f>IFERROR($O$2/(G28*$O$3),0)</x:f>
        <x:v>0.07077804486395338</x:v>
      </x:c>
      <x:c r="I28" s="92" t="n">
        <x:f>E28-H28</x:f>
        <x:v>-1.0707780448639534</x:v>
      </x:c>
      <x:c r="J28" s="91" t="str">
        <x:f>'Trade Features'!CI28</x:f>
        <x:v>-1.0707780448639534</x:v>
      </x:c>
      <x:c r="K28" s="92" t="n">
        <x:f>I28-J28</x:f>
        <x:v>0</x:v>
      </x:c>
      <x:c r="L28" s="90" t="str">
        <x:f>IF(ABS(K28)&lt;0.000000001,"PASS","FAIL")</x:f>
        <x:v>PASS</x:v>
      </x:c>
    </x:row>
    <x:row r="29">
      <x:c r="A29" s="84" t="str">
        <x:f>'Trade Features'!A29</x:f>
        <x:v>A0028</x:v>
      </x:c>
      <x:c r="B29" s="84" t="str">
        <x:f>'Trade Features'!F29</x:f>
        <x:v>Long</x:v>
      </x:c>
      <x:c r="C29" s="91" t="str">
        <x:f>'Trade Features'!BX29</x:f>
        <x:v>17143.75</x:v>
      </x:c>
      <x:c r="D29" s="91" t="str">
        <x:f>'Trade Features'!CA29</x:f>
        <x:v>17116.91445587658</x:v>
      </x:c>
      <x:c r="E29" s="91" t="str">
        <x:f>'Trade Features'!CH29</x:f>
        <x:v>0.7173322035679898</x:v>
      </x:c>
      <x:c r="F29" s="91" t="str">
        <x:f>'Trade Features'!CG29</x:f>
        <x:v>0.027016407666848107</x:v>
      </x:c>
      <x:c r="G29" s="92" t="n">
        <x:f>ABS(C29-D29)</x:f>
        <x:v>26.835544123419822</x:v>
      </x:c>
      <x:c r="H29" s="92" t="n">
        <x:f>IFERROR($O$2/(G29*$O$3),0)</x:f>
        <x:v>0.027016407666848107</x:v>
      </x:c>
      <x:c r="I29" s="92" t="n">
        <x:f>E29-H29</x:f>
        <x:v>0.6903157959011417</x:v>
      </x:c>
      <x:c r="J29" s="91" t="str">
        <x:f>'Trade Features'!CI29</x:f>
        <x:v>0.6903157959011417</x:v>
      </x:c>
      <x:c r="K29" s="92" t="n">
        <x:f>I29-J29</x:f>
        <x:v>0</x:v>
      </x:c>
      <x:c r="L29" s="90" t="str">
        <x:f>IF(ABS(K29)&lt;0.000000001,"PASS","FAIL")</x:f>
        <x:v>PASS</x:v>
      </x:c>
    </x:row>
    <x:row r="30">
      <x:c r="A30" s="84" t="str">
        <x:f>'Trade Features'!A30</x:f>
        <x:v>A0029</x:v>
      </x:c>
      <x:c r="B30" s="84" t="str">
        <x:f>'Trade Features'!F30</x:f>
        <x:v>Long</x:v>
      </x:c>
      <x:c r="C30" s="91" t="str">
        <x:f>'Trade Features'!BX30</x:f>
        <x:v>17404.75</x:v>
      </x:c>
      <x:c r="D30" s="91" t="str">
        <x:f>'Trade Features'!CA30</x:f>
        <x:v>17391.835454970274</x:v>
      </x:c>
      <x:c r="E30" s="91" t="str">
        <x:f>'Trade Features'!CH30</x:f>
        <x:v>-1.0</x:v>
      </x:c>
      <x:c r="F30" s="91" t="str">
        <x:f>'Trade Features'!CG30</x:f>
        <x:v>0.05613825328970235</x:v>
      </x:c>
      <x:c r="G30" s="92" t="n">
        <x:f>ABS(C30-D30)</x:f>
        <x:v>12.91454502972556</x:v>
      </x:c>
      <x:c r="H30" s="92" t="n">
        <x:f>IFERROR($O$2/(G30*$O$3),0)</x:f>
        <x:v>0.05613825328970235</x:v>
      </x:c>
      <x:c r="I30" s="92" t="n">
        <x:f>E30-H30</x:f>
        <x:v>-1.0561382532897023</x:v>
      </x:c>
      <x:c r="J30" s="91" t="str">
        <x:f>'Trade Features'!CI30</x:f>
        <x:v>-1.0561382532897023</x:v>
      </x:c>
      <x:c r="K30" s="92" t="n">
        <x:f>I30-J30</x:f>
        <x:v>0</x:v>
      </x:c>
      <x:c r="L30" s="90" t="str">
        <x:f>IF(ABS(K30)&lt;0.000000001,"PASS","FAIL")</x:f>
        <x:v>PASS</x:v>
      </x:c>
    </x:row>
    <x:row r="31">
      <x:c r="A31" s="84" t="str">
        <x:f>'Trade Features'!A31</x:f>
        <x:v>A0030</x:v>
      </x:c>
      <x:c r="B31" s="84" t="str">
        <x:f>'Trade Features'!F31</x:f>
        <x:v>Long</x:v>
      </x:c>
      <x:c r="C31" s="91" t="str">
        <x:f>'Trade Features'!BX31</x:f>
        <x:v>17542.25</x:v>
      </x:c>
      <x:c r="D31" s="91" t="str">
        <x:f>'Trade Features'!CA31</x:f>
        <x:v>17506.563929651074</x:v>
      </x:c>
      <x:c r="E31" s="91" t="str">
        <x:f>'Trade Features'!CH31</x:f>
        <x:v>0.07706088042508956</x:v>
      </x:c>
      <x:c r="F31" s="91" t="str">
        <x:f>'Trade Features'!CG31</x:f>
        <x:v>0.02031605029388808</x:v>
      </x:c>
      <x:c r="G31" s="92" t="n">
        <x:f>ABS(C31-D31)</x:f>
        <x:v>35.68607034892557</x:v>
      </x:c>
      <x:c r="H31" s="92" t="n">
        <x:f>IFERROR($O$2/(G31*$O$3),0)</x:f>
        <x:v>0.02031605029388808</x:v>
      </x:c>
      <x:c r="I31" s="92" t="n">
        <x:f>E31-H31</x:f>
        <x:v>0.056744830131201476</x:v>
      </x:c>
      <x:c r="J31" s="91" t="str">
        <x:f>'Trade Features'!CI31</x:f>
        <x:v>0.056744830131201476</x:v>
      </x:c>
      <x:c r="K31" s="92" t="n">
        <x:f>I31-J31</x:f>
        <x:v>0</x:v>
      </x:c>
      <x:c r="L31" s="90" t="str">
        <x:f>IF(ABS(K31)&lt;0.000000001,"PASS","FAIL")</x:f>
        <x:v>PASS</x:v>
      </x:c>
    </x:row>
    <x:row r="32">
      <x:c r="A32" s="84" t="str">
        <x:f>'Trade Features'!A32</x:f>
        <x:v>A0031</x:v>
      </x:c>
      <x:c r="B32" s="84" t="str">
        <x:f>'Trade Features'!F32</x:f>
        <x:v>Long</x:v>
      </x:c>
      <x:c r="C32" s="91" t="str">
        <x:f>'Trade Features'!BX32</x:f>
        <x:v>17515.5</x:v>
      </x:c>
      <x:c r="D32" s="91" t="str">
        <x:f>'Trade Features'!CA32</x:f>
        <x:v>17501.391184794807</x:v>
      </x:c>
      <x:c r="E32" s="91" t="str">
        <x:f>'Trade Features'!CH32</x:f>
        <x:v>-1.0</x:v>
      </x:c>
      <x:c r="F32" s="91" t="str">
        <x:f>'Trade Features'!CG32</x:f>
        <x:v>0.05138631341157377</x:v>
      </x:c>
      <x:c r="G32" s="92" t="n">
        <x:f>ABS(C32-D32)</x:f>
        <x:v>14.108815205192514</x:v>
      </x:c>
      <x:c r="H32" s="92" t="n">
        <x:f>IFERROR($O$2/(G32*$O$3),0)</x:f>
        <x:v>0.05138631341157377</x:v>
      </x:c>
      <x:c r="I32" s="92" t="n">
        <x:f>E32-H32</x:f>
        <x:v>-1.0513863134115737</x:v>
      </x:c>
      <x:c r="J32" s="91" t="str">
        <x:f>'Trade Features'!CI32</x:f>
        <x:v>-1.0513863134115737</x:v>
      </x:c>
      <x:c r="K32" s="92" t="n">
        <x:f>I32-J32</x:f>
        <x:v>0</x:v>
      </x:c>
      <x:c r="L32" s="90" t="str">
        <x:f>IF(ABS(K32)&lt;0.000000001,"PASS","FAIL")</x:f>
        <x:v>PASS</x:v>
      </x:c>
    </x:row>
    <x:row r="33">
      <x:c r="A33" s="84" t="str">
        <x:f>'Trade Features'!A33</x:f>
        <x:v>A0032</x:v>
      </x:c>
      <x:c r="B33" s="84" t="str">
        <x:f>'Trade Features'!F33</x:f>
        <x:v>Long</x:v>
      </x:c>
      <x:c r="C33" s="91" t="str">
        <x:f>'Trade Features'!BX33</x:f>
        <x:v>17535.25</x:v>
      </x:c>
      <x:c r="D33" s="91" t="str">
        <x:f>'Trade Features'!CA33</x:f>
        <x:v>17520.32987549578</x:v>
      </x:c>
      <x:c r="E33" s="91" t="str">
        <x:f>'Trade Features'!CH33</x:f>
        <x:v>-1.0</x:v>
      </x:c>
      <x:c r="F33" s="91" t="str">
        <x:f>'Trade Features'!CG33</x:f>
        <x:v>0.04859208780696971</x:v>
      </x:c>
      <x:c r="G33" s="92" t="n">
        <x:f>ABS(C33-D33)</x:f>
        <x:v>14.92012450422044</x:v>
      </x:c>
      <x:c r="H33" s="92" t="n">
        <x:f>IFERROR($O$2/(G33*$O$3),0)</x:f>
        <x:v>0.04859208780696971</x:v>
      </x:c>
      <x:c r="I33" s="92" t="n">
        <x:f>E33-H33</x:f>
        <x:v>-1.0485920878069697</x:v>
      </x:c>
      <x:c r="J33" s="91" t="str">
        <x:f>'Trade Features'!CI33</x:f>
        <x:v>-1.0485920878069697</x:v>
      </x:c>
      <x:c r="K33" s="92" t="n">
        <x:f>I33-J33</x:f>
        <x:v>0</x:v>
      </x:c>
      <x:c r="L33" s="90" t="str">
        <x:f>IF(ABS(K33)&lt;0.000000001,"PASS","FAIL")</x:f>
        <x:v>PASS</x:v>
      </x:c>
    </x:row>
    <x:row r="34">
      <x:c r="A34" s="84" t="str">
        <x:f>'Trade Features'!A34</x:f>
        <x:v>A0033</x:v>
      </x:c>
      <x:c r="B34" s="84" t="str">
        <x:f>'Trade Features'!F34</x:f>
        <x:v>Short</x:v>
      </x:c>
      <x:c r="C34" s="91" t="str">
        <x:f>'Trade Features'!BX34</x:f>
        <x:v>17643.25</x:v>
      </x:c>
      <x:c r="D34" s="91" t="str">
        <x:f>'Trade Features'!CA34</x:f>
        <x:v>17665.156650354103</x:v>
      </x:c>
      <x:c r="E34" s="91" t="str">
        <x:f>'Trade Features'!CH34</x:f>
        <x:v>-1.0</x:v>
      </x:c>
      <x:c r="F34" s="91" t="str">
        <x:f>'Trade Features'!CG34</x:f>
        <x:v>0.033094972909183056</x:v>
      </x:c>
      <x:c r="G34" s="92" t="n">
        <x:f>ABS(C34-D34)</x:f>
        <x:v>21.906650354103476</x:v>
      </x:c>
      <x:c r="H34" s="92" t="n">
        <x:f>IFERROR($O$2/(G34*$O$3),0)</x:f>
        <x:v>0.033094972909183056</x:v>
      </x:c>
      <x:c r="I34" s="92" t="n">
        <x:f>E34-H34</x:f>
        <x:v>-1.033094972909183</x:v>
      </x:c>
      <x:c r="J34" s="91" t="str">
        <x:f>'Trade Features'!CI34</x:f>
        <x:v>-1.033094972909183</x:v>
      </x:c>
      <x:c r="K34" s="92" t="n">
        <x:f>I34-J34</x:f>
        <x:v>0</x:v>
      </x:c>
      <x:c r="L34" s="90" t="str">
        <x:f>IF(ABS(K34)&lt;0.000000001,"PASS","FAIL")</x:f>
        <x:v>PASS</x:v>
      </x:c>
    </x:row>
    <x:row r="35">
      <x:c r="A35" s="84" t="str">
        <x:f>'Trade Features'!A35</x:f>
        <x:v>A0034</x:v>
      </x:c>
      <x:c r="B35" s="84" t="str">
        <x:f>'Trade Features'!F35</x:f>
        <x:v>Long</x:v>
      </x:c>
      <x:c r="C35" s="91" t="str">
        <x:f>'Trade Features'!BX35</x:f>
        <x:v>17810.0</x:v>
      </x:c>
      <x:c r="D35" s="91" t="str">
        <x:f>'Trade Features'!CA35</x:f>
        <x:v>17789.627765025914</x:v>
      </x:c>
      <x:c r="E35" s="91" t="str">
        <x:f>'Trade Features'!CH35</x:f>
        <x:v>0.6749382194683368</x:v>
      </x:c>
      <x:c r="F35" s="91" t="str">
        <x:f>'Trade Features'!CG35</x:f>
        <x:v>0.0355876515719671</x:v>
      </x:c>
      <x:c r="G35" s="92" t="n">
        <x:f>ABS(C35-D35)</x:f>
        <x:v>20.372234974085586</x:v>
      </x:c>
      <x:c r="H35" s="92" t="n">
        <x:f>IFERROR($O$2/(G35*$O$3),0)</x:f>
        <x:v>0.0355876515719671</x:v>
      </x:c>
      <x:c r="I35" s="92" t="n">
        <x:f>E35-H35</x:f>
        <x:v>0.6393505678963697</x:v>
      </x:c>
      <x:c r="J35" s="91" t="str">
        <x:f>'Trade Features'!CI35</x:f>
        <x:v>0.6393505678963697</x:v>
      </x:c>
      <x:c r="K35" s="92" t="n">
        <x:f>I35-J35</x:f>
        <x:v>0</x:v>
      </x:c>
      <x:c r="L35" s="90" t="str">
        <x:f>IF(ABS(K35)&lt;0.000000001,"PASS","FAIL")</x:f>
        <x:v>PASS</x:v>
      </x:c>
    </x:row>
    <x:row r="36">
      <x:c r="A36" s="84" t="str">
        <x:f>'Trade Features'!A36</x:f>
        <x:v>A0035</x:v>
      </x:c>
      <x:c r="B36" s="84" t="str">
        <x:f>'Trade Features'!F36</x:f>
        <x:v>Long</x:v>
      </x:c>
      <x:c r="C36" s="91" t="str">
        <x:f>'Trade Features'!BX36</x:f>
        <x:v>17637.5</x:v>
      </x:c>
      <x:c r="D36" s="91" t="str">
        <x:f>'Trade Features'!CA36</x:f>
        <x:v>17621.94356770494</x:v>
      </x:c>
      <x:c r="E36" s="91" t="str">
        <x:f>'Trade Features'!CH36</x:f>
        <x:v>-1.0</x:v>
      </x:c>
      <x:c r="F36" s="91" t="str">
        <x:f>'Trade Features'!CG36</x:f>
        <x:v>0.04660451614154808</x:v>
      </x:c>
      <x:c r="G36" s="92" t="n">
        <x:f>ABS(C36-D36)</x:f>
        <x:v>15.556432295059494</x:v>
      </x:c>
      <x:c r="H36" s="92" t="n">
        <x:f>IFERROR($O$2/(G36*$O$3),0)</x:f>
        <x:v>0.04660451614154808</x:v>
      </x:c>
      <x:c r="I36" s="92" t="n">
        <x:f>E36-H36</x:f>
        <x:v>-1.046604516141548</x:v>
      </x:c>
      <x:c r="J36" s="91" t="str">
        <x:f>'Trade Features'!CI36</x:f>
        <x:v>-1.046604516141548</x:v>
      </x:c>
      <x:c r="K36" s="92" t="n">
        <x:f>I36-J36</x:f>
        <x:v>0</x:v>
      </x:c>
      <x:c r="L36" s="90" t="str">
        <x:f>IF(ABS(K36)&lt;0.000000001,"PASS","FAIL")</x:f>
        <x:v>PASS</x:v>
      </x:c>
    </x:row>
    <x:row r="37">
      <x:c r="A37" s="84" t="str">
        <x:f>'Trade Features'!A37</x:f>
        <x:v>A0036</x:v>
      </x:c>
      <x:c r="B37" s="84" t="str">
        <x:f>'Trade Features'!F37</x:f>
        <x:v>Short</x:v>
      </x:c>
      <x:c r="C37" s="91" t="str">
        <x:f>'Trade Features'!BX37</x:f>
        <x:v>17414.5</x:v>
      </x:c>
      <x:c r="D37" s="91" t="str">
        <x:f>'Trade Features'!CA37</x:f>
        <x:v>17444.36300758895</x:v>
      </x:c>
      <x:c r="E37" s="91" t="str">
        <x:f>'Trade Features'!CH37</x:f>
        <x:v>2.0</x:v>
      </x:c>
      <x:c r="F37" s="91" t="str">
        <x:f>'Trade Features'!CG37</x:f>
        <x:v>0.02427752790272534</x:v>
      </x:c>
      <x:c r="G37" s="92" t="n">
        <x:f>ABS(C37-D37)</x:f>
        <x:v>29.863007588948676</x:v>
      </x:c>
      <x:c r="H37" s="92" t="n">
        <x:f>IFERROR($O$2/(G37*$O$3),0)</x:f>
        <x:v>0.02427752790272534</x:v>
      </x:c>
      <x:c r="I37" s="92" t="n">
        <x:f>E37-H37</x:f>
        <x:v>1.9757224720972746</x:v>
      </x:c>
      <x:c r="J37" s="91" t="str">
        <x:f>'Trade Features'!CI37</x:f>
        <x:v>1.9757224720972746</x:v>
      </x:c>
      <x:c r="K37" s="92" t="n">
        <x:f>I37-J37</x:f>
        <x:v>0</x:v>
      </x:c>
      <x:c r="L37" s="90" t="str">
        <x:f>IF(ABS(K37)&lt;0.000000001,"PASS","FAIL")</x:f>
        <x:v>PASS</x:v>
      </x:c>
    </x:row>
    <x:row r="38">
      <x:c r="A38" s="84" t="str">
        <x:f>'Trade Features'!A38</x:f>
        <x:v>A0037</x:v>
      </x:c>
      <x:c r="B38" s="84" t="str">
        <x:f>'Trade Features'!F38</x:f>
        <x:v>Short</x:v>
      </x:c>
      <x:c r="C38" s="91" t="str">
        <x:f>'Trade Features'!BX38</x:f>
        <x:v>17508.75</x:v>
      </x:c>
      <x:c r="D38" s="91" t="str">
        <x:f>'Trade Features'!CA38</x:f>
        <x:v>17546.13074577328</x:v>
      </x:c>
      <x:c r="E38" s="91" t="str">
        <x:f>'Trade Features'!CH38</x:f>
        <x:v>-1.0</x:v>
      </x:c>
      <x:c r="F38" s="91" t="str">
        <x:f>'Trade Features'!CG38</x:f>
        <x:v>0.019395011656461743</x:v>
      </x:c>
      <x:c r="G38" s="92" t="n">
        <x:f>ABS(C38-D38)</x:f>
        <x:v>37.38074577328007</x:v>
      </x:c>
      <x:c r="H38" s="92" t="n">
        <x:f>IFERROR($O$2/(G38*$O$3),0)</x:f>
        <x:v>0.019395011656461743</x:v>
      </x:c>
      <x:c r="I38" s="92" t="n">
        <x:f>E38-H38</x:f>
        <x:v>-1.0193950116564618</x:v>
      </x:c>
      <x:c r="J38" s="91" t="str">
        <x:f>'Trade Features'!CI38</x:f>
        <x:v>-1.0193950116564618</x:v>
      </x:c>
      <x:c r="K38" s="92" t="n">
        <x:f>I38-J38</x:f>
        <x:v>0</x:v>
      </x:c>
      <x:c r="L38" s="90" t="str">
        <x:f>IF(ABS(K38)&lt;0.000000001,"PASS","FAIL")</x:f>
        <x:v>PASS</x:v>
      </x:c>
    </x:row>
    <x:row r="39">
      <x:c r="A39" s="84" t="str">
        <x:f>'Trade Features'!A39</x:f>
        <x:v>A0038</x:v>
      </x:c>
      <x:c r="B39" s="84" t="str">
        <x:f>'Trade Features'!F39</x:f>
        <x:v>Short</x:v>
      </x:c>
      <x:c r="C39" s="91" t="str">
        <x:f>'Trade Features'!BX39</x:f>
        <x:v>17690.25</x:v>
      </x:c>
      <x:c r="D39" s="91" t="str">
        <x:f>'Trade Features'!CA39</x:f>
        <x:v>17703.878825107087</x:v>
      </x:c>
      <x:c r="E39" s="91" t="str">
        <x:f>'Trade Features'!CH39</x:f>
        <x:v>1.0272345480990057</x:v>
      </x:c>
      <x:c r="F39" s="91" t="str">
        <x:f>'Trade Features'!CG39</x:f>
        <x:v>0.05319607481227287</x:v>
      </x:c>
      <x:c r="G39" s="92" t="n">
        <x:f>ABS(C39-D39)</x:f>
        <x:v>13.628825107087323</x:v>
      </x:c>
      <x:c r="H39" s="92" t="n">
        <x:f>IFERROR($O$2/(G39*$O$3),0)</x:f>
        <x:v>0.05319607481227287</x:v>
      </x:c>
      <x:c r="I39" s="92" t="n">
        <x:f>E39-H39</x:f>
        <x:v>0.9740384732867329</x:v>
      </x:c>
      <x:c r="J39" s="91" t="str">
        <x:f>'Trade Features'!CI39</x:f>
        <x:v>0.9740384732867329</x:v>
      </x:c>
      <x:c r="K39" s="92" t="n">
        <x:f>I39-J39</x:f>
        <x:v>0</x:v>
      </x:c>
      <x:c r="L39" s="90" t="str">
        <x:f>IF(ABS(K39)&lt;0.000000001,"PASS","FAIL")</x:f>
        <x:v>PASS</x:v>
      </x:c>
    </x:row>
    <x:row r="40">
      <x:c r="A40" s="84" t="str">
        <x:f>'Trade Features'!A40</x:f>
        <x:v>A0039</x:v>
      </x:c>
      <x:c r="B40" s="84" t="str">
        <x:f>'Trade Features'!F40</x:f>
        <x:v>Short</x:v>
      </x:c>
      <x:c r="C40" s="91" t="str">
        <x:f>'Trade Features'!BX40</x:f>
        <x:v>17551.25</x:v>
      </x:c>
      <x:c r="D40" s="91" t="str">
        <x:f>'Trade Features'!CA40</x:f>
        <x:v>17562.685355843598</x:v>
      </x:c>
      <x:c r="E40" s="91" t="str">
        <x:f>'Trade Features'!CH40</x:f>
        <x:v>-1.0</x:v>
      </x:c>
      <x:c r="F40" s="91" t="str">
        <x:f>'Trade Features'!CG40</x:f>
        <x:v>0.06339986353864967</x:v>
      </x:c>
      <x:c r="G40" s="92" t="n">
        <x:f>ABS(C40-D40)</x:f>
        <x:v>11.43535584359779</x:v>
      </x:c>
      <x:c r="H40" s="92" t="n">
        <x:f>IFERROR($O$2/(G40*$O$3),0)</x:f>
        <x:v>0.06339986353864967</x:v>
      </x:c>
      <x:c r="I40" s="92" t="n">
        <x:f>E40-H40</x:f>
        <x:v>-1.0633998635386497</x:v>
      </x:c>
      <x:c r="J40" s="91" t="str">
        <x:f>'Trade Features'!CI40</x:f>
        <x:v>-1.0633998635386497</x:v>
      </x:c>
      <x:c r="K40" s="92" t="n">
        <x:f>I40-J40</x:f>
        <x:v>0</x:v>
      </x:c>
      <x:c r="L40" s="90" t="str">
        <x:f>IF(ABS(K40)&lt;0.000000001,"PASS","FAIL")</x:f>
        <x:v>PASS</x:v>
      </x:c>
    </x:row>
    <x:row r="41">
      <x:c r="A41" s="84" t="str">
        <x:f>'Trade Features'!A41</x:f>
        <x:v>A0040</x:v>
      </x:c>
      <x:c r="B41" s="84" t="str">
        <x:f>'Trade Features'!F41</x:f>
        <x:v>Long</x:v>
      </x:c>
      <x:c r="C41" s="91" t="str">
        <x:f>'Trade Features'!BX41</x:f>
        <x:v>17492.25</x:v>
      </x:c>
      <x:c r="D41" s="91" t="str">
        <x:f>'Trade Features'!CA41</x:f>
        <x:v>17482.479368835582</x:v>
      </x:c>
      <x:c r="E41" s="91" t="str">
        <x:f>'Trade Features'!CH41</x:f>
        <x:v>1.0490622179383433</x:v>
      </x:c>
      <x:c r="F41" s="91" t="str">
        <x:f>'Trade Features'!CG41</x:f>
        <x:v>0.07420196175660221</x:v>
      </x:c>
      <x:c r="G41" s="92" t="n">
        <x:f>ABS(C41-D41)</x:f>
        <x:v>9.770631164417864</x:v>
      </x:c>
      <x:c r="H41" s="92" t="n">
        <x:f>IFERROR($O$2/(G41*$O$3),0)</x:f>
        <x:v>0.07420196175660221</x:v>
      </x:c>
      <x:c r="I41" s="92" t="n">
        <x:f>E41-H41</x:f>
        <x:v>0.9748602561817411</x:v>
      </x:c>
      <x:c r="J41" s="91" t="str">
        <x:f>'Trade Features'!CI41</x:f>
        <x:v>0.9748602561817411</x:v>
      </x:c>
      <x:c r="K41" s="92" t="n">
        <x:f>I41-J41</x:f>
        <x:v>0</x:v>
      </x:c>
      <x:c r="L41" s="90" t="str">
        <x:f>IF(ABS(K41)&lt;0.000000001,"PASS","FAIL")</x:f>
        <x:v>PASS</x:v>
      </x:c>
    </x:row>
    <x:row r="42">
      <x:c r="A42" s="84" t="str">
        <x:f>'Trade Features'!A42</x:f>
        <x:v>A0041</x:v>
      </x:c>
      <x:c r="B42" s="84" t="str">
        <x:f>'Trade Features'!F42</x:f>
        <x:v>Short</x:v>
      </x:c>
      <x:c r="C42" s="91" t="str">
        <x:f>'Trade Features'!BX42</x:f>
        <x:v>17320.75</x:v>
      </x:c>
      <x:c r="D42" s="91" t="str">
        <x:f>'Trade Features'!CA42</x:f>
        <x:v>17336.554938717287</x:v>
      </x:c>
      <x:c r="E42" s="91" t="str">
        <x:f>'Trade Features'!CH42</x:f>
        <x:v>0.15817840516303955</x:v>
      </x:c>
      <x:c r="F42" s="91" t="str">
        <x:f>'Trade Features'!CG42</x:f>
        <x:v>0.04587173749728126</x:v>
      </x:c>
      <x:c r="G42" s="92" t="n">
        <x:f>ABS(C42-D42)</x:f>
        <x:v>15.80493871728686</x:v>
      </x:c>
      <x:c r="H42" s="92" t="n">
        <x:f>IFERROR($O$2/(G42*$O$3),0)</x:f>
        <x:v>0.04587173749728126</x:v>
      </x:c>
      <x:c r="I42" s="92" t="n">
        <x:f>E42-H42</x:f>
        <x:v>0.11230666766575828</x:v>
      </x:c>
      <x:c r="J42" s="91" t="str">
        <x:f>'Trade Features'!CI42</x:f>
        <x:v>0.11230666766575828</x:v>
      </x:c>
      <x:c r="K42" s="92" t="n">
        <x:f>I42-J42</x:f>
        <x:v>0</x:v>
      </x:c>
      <x:c r="L42" s="90" t="str">
        <x:f>IF(ABS(K42)&lt;0.000000001,"PASS","FAIL")</x:f>
        <x:v>PASS</x:v>
      </x:c>
    </x:row>
    <x:row r="43">
      <x:c r="A43" s="84" t="str">
        <x:f>'Trade Features'!A43</x:f>
        <x:v>A0042</x:v>
      </x:c>
      <x:c r="B43" s="84" t="str">
        <x:f>'Trade Features'!F43</x:f>
        <x:v>Long</x:v>
      </x:c>
      <x:c r="C43" s="91" t="str">
        <x:f>'Trade Features'!BX43</x:f>
        <x:v>17288.75</x:v>
      </x:c>
      <x:c r="D43" s="91" t="str">
        <x:f>'Trade Features'!CA43</x:f>
        <x:v>17253.084612773317</x:v>
      </x:c>
      <x:c r="E43" s="91" t="str">
        <x:f>'Trade Features'!CH43</x:f>
        <x:v>-1.0</x:v>
      </x:c>
      <x:c r="F43" s="91" t="str">
        <x:f>'Trade Features'!CG43</x:f>
        <x:v>0.020327832006758216</x:v>
      </x:c>
      <x:c r="G43" s="92" t="n">
        <x:f>ABS(C43-D43)</x:f>
        <x:v>35.66538722668338</x:v>
      </x:c>
      <x:c r="H43" s="92" t="n">
        <x:f>IFERROR($O$2/(G43*$O$3),0)</x:f>
        <x:v>0.020327832006758216</x:v>
      </x:c>
      <x:c r="I43" s="92" t="n">
        <x:f>E43-H43</x:f>
        <x:v>-1.0203278320067581</x:v>
      </x:c>
      <x:c r="J43" s="91" t="str">
        <x:f>'Trade Features'!CI43</x:f>
        <x:v>-1.0203278320067581</x:v>
      </x:c>
      <x:c r="K43" s="92" t="n">
        <x:f>I43-J43</x:f>
        <x:v>0</x:v>
      </x:c>
      <x:c r="L43" s="90" t="str">
        <x:f>IF(ABS(K43)&lt;0.000000001,"PASS","FAIL")</x:f>
        <x:v>PASS</x:v>
      </x:c>
    </x:row>
    <x:row r="44">
      <x:c r="A44" s="84" t="str">
        <x:f>'Trade Features'!A44</x:f>
        <x:v>A0043</x:v>
      </x:c>
      <x:c r="B44" s="84" t="str">
        <x:f>'Trade Features'!F44</x:f>
        <x:v>Long</x:v>
      </x:c>
      <x:c r="C44" s="91" t="str">
        <x:f>'Trade Features'!BX44</x:f>
        <x:v>17609.25</x:v>
      </x:c>
      <x:c r="D44" s="91" t="str">
        <x:f>'Trade Features'!CA44</x:f>
        <x:v>17597.960177734905</x:v>
      </x:c>
      <x:c r="E44" s="91" t="str">
        <x:f>'Trade Features'!CH44</x:f>
        <x:v>1.262198789794653</x:v>
      </x:c>
      <x:c r="F44" s="91" t="str">
        <x:f>'Trade Features'!CG44</x:f>
        <x:v>0.0642171314106085</x:v>
      </x:c>
      <x:c r="G44" s="92" t="n">
        <x:f>ABS(C44-D44)</x:f>
        <x:v>11.289822265094699</x:v>
      </x:c>
      <x:c r="H44" s="92" t="n">
        <x:f>IFERROR($O$2/(G44*$O$3),0)</x:f>
        <x:v>0.0642171314106085</x:v>
      </x:c>
      <x:c r="I44" s="92" t="n">
        <x:f>E44-H44</x:f>
        <x:v>1.1979816583840444</x:v>
      </x:c>
      <x:c r="J44" s="91" t="str">
        <x:f>'Trade Features'!CI44</x:f>
        <x:v>1.1979816583840444</x:v>
      </x:c>
      <x:c r="K44" s="92" t="n">
        <x:f>I44-J44</x:f>
        <x:v>0</x:v>
      </x:c>
      <x:c r="L44" s="90" t="str">
        <x:f>IF(ABS(K44)&lt;0.000000001,"PASS","FAIL")</x:f>
        <x:v>PASS</x:v>
      </x:c>
    </x:row>
    <x:row r="45">
      <x:c r="A45" s="84" t="str">
        <x:f>'Trade Features'!A45</x:f>
        <x:v>A0044</x:v>
      </x:c>
      <x:c r="B45" s="84" t="str">
        <x:f>'Trade Features'!F45</x:f>
        <x:v>Long</x:v>
      </x:c>
      <x:c r="C45" s="91" t="str">
        <x:f>'Trade Features'!BX45</x:f>
        <x:v>17708.5</x:v>
      </x:c>
      <x:c r="D45" s="91" t="str">
        <x:f>'Trade Features'!CA45</x:f>
        <x:v>17673.517637770165</x:v>
      </x:c>
      <x:c r="E45" s="91" t="str">
        <x:f>'Trade Features'!CH45</x:f>
        <x:v>-0.22154021358197976</x:v>
      </x:c>
      <x:c r="F45" s="91" t="str">
        <x:f>'Trade Features'!CG45</x:f>
        <x:v>0.020724729657669288</x:v>
      </x:c>
      <x:c r="G45" s="92" t="n">
        <x:f>ABS(C45-D45)</x:f>
        <x:v>34.98236222983542</x:v>
      </x:c>
      <x:c r="H45" s="92" t="n">
        <x:f>IFERROR($O$2/(G45*$O$3),0)</x:f>
        <x:v>0.020724729657669288</x:v>
      </x:c>
      <x:c r="I45" s="92" t="n">
        <x:f>E45-H45</x:f>
        <x:v>-0.24226494323964903</x:v>
      </x:c>
      <x:c r="J45" s="91" t="str">
        <x:f>'Trade Features'!CI45</x:f>
        <x:v>-0.24226494323964903</x:v>
      </x:c>
      <x:c r="K45" s="92" t="n">
        <x:f>I45-J45</x:f>
        <x:v>0</x:v>
      </x:c>
      <x:c r="L45" s="90" t="str">
        <x:f>IF(ABS(K45)&lt;0.000000001,"PASS","FAIL")</x:f>
        <x:v>PASS</x:v>
      </x:c>
    </x:row>
    <x:row r="46">
      <x:c r="A46" s="84" t="str">
        <x:f>'Trade Features'!A46</x:f>
        <x:v>A0045</x:v>
      </x:c>
      <x:c r="B46" s="84" t="str">
        <x:f>'Trade Features'!F46</x:f>
        <x:v>Long</x:v>
      </x:c>
      <x:c r="C46" s="91" t="str">
        <x:f>'Trade Features'!BX46</x:f>
        <x:v>17841.5</x:v>
      </x:c>
      <x:c r="D46" s="91" t="str">
        <x:f>'Trade Features'!CA46</x:f>
        <x:v>17828.946426976963</x:v>
      </x:c>
      <x:c r="E46" s="91" t="str">
        <x:f>'Trade Features'!CH46</x:f>
        <x:v>2.0</x:v>
      </x:c>
      <x:c r="F46" s="91" t="str">
        <x:f>'Trade Features'!CG46</x:f>
        <x:v>0.05775248199612743</x:v>
      </x:c>
      <x:c r="G46" s="92" t="n">
        <x:f>ABS(C46-D46)</x:f>
        <x:v>12.553573023036734</x:v>
      </x:c>
      <x:c r="H46" s="92" t="n">
        <x:f>IFERROR($O$2/(G46*$O$3),0)</x:f>
        <x:v>0.05775248199612743</x:v>
      </x:c>
      <x:c r="I46" s="92" t="n">
        <x:f>E46-H46</x:f>
        <x:v>1.9422475180038725</x:v>
      </x:c>
      <x:c r="J46" s="91" t="str">
        <x:f>'Trade Features'!CI46</x:f>
        <x:v>1.9422475180038725</x:v>
      </x:c>
      <x:c r="K46" s="92" t="n">
        <x:f>I46-J46</x:f>
        <x:v>0</x:v>
      </x:c>
      <x:c r="L46" s="90" t="str">
        <x:f>IF(ABS(K46)&lt;0.000000001,"PASS","FAIL")</x:f>
        <x:v>PASS</x:v>
      </x:c>
    </x:row>
    <x:row r="47">
      <x:c r="A47" s="84" t="str">
        <x:f>'Trade Features'!A47</x:f>
        <x:v>A0046</x:v>
      </x:c>
      <x:c r="B47" s="84" t="str">
        <x:f>'Trade Features'!F47</x:f>
        <x:v>Long</x:v>
      </x:c>
      <x:c r="C47" s="91" t="str">
        <x:f>'Trade Features'!BX47</x:f>
        <x:v>17798.0</x:v>
      </x:c>
      <x:c r="D47" s="91" t="str">
        <x:f>'Trade Features'!CA47</x:f>
        <x:v>17784.239997476096</x:v>
      </x:c>
      <x:c r="E47" s="91" t="str">
        <x:f>'Trade Features'!CH47</x:f>
        <x:v>-0.7994184580192325</x:v>
      </x:c>
      <x:c r="F47" s="91" t="str">
        <x:f>'Trade Features'!CG47</x:f>
        <x:v>0.052688943823992924</x:v>
      </x:c>
      <x:c r="G47" s="92" t="n">
        <x:f>ABS(C47-D47)</x:f>
        <x:v>13.760002523904404</x:v>
      </x:c>
      <x:c r="H47" s="92" t="n">
        <x:f>IFERROR($O$2/(G47*$O$3),0)</x:f>
        <x:v>0.052688943823992924</x:v>
      </x:c>
      <x:c r="I47" s="92" t="n">
        <x:f>E47-H47</x:f>
        <x:v>-0.8521074018432254</x:v>
      </x:c>
      <x:c r="J47" s="91" t="str">
        <x:f>'Trade Features'!CI47</x:f>
        <x:v>-0.8521074018432254</x:v>
      </x:c>
      <x:c r="K47" s="92" t="n">
        <x:f>I47-J47</x:f>
        <x:v>0</x:v>
      </x:c>
      <x:c r="L47" s="90" t="str">
        <x:f>IF(ABS(K47)&lt;0.000000001,"PASS","FAIL")</x:f>
        <x:v>PASS</x:v>
      </x:c>
    </x:row>
    <x:row r="48">
      <x:c r="A48" s="84" t="str">
        <x:f>'Trade Features'!A48</x:f>
        <x:v>A0047</x:v>
      </x:c>
      <x:c r="B48" s="84" t="str">
        <x:f>'Trade Features'!F48</x:f>
        <x:v>Short</x:v>
      </x:c>
      <x:c r="C48" s="91" t="str">
        <x:f>'Trade Features'!BX48</x:f>
        <x:v>17783.75</x:v>
      </x:c>
      <x:c r="D48" s="91" t="str">
        <x:f>'Trade Features'!CA48</x:f>
        <x:v>17797.207976444966</x:v>
      </x:c>
      <x:c r="E48" s="91" t="str">
        <x:f>'Trade Features'!CH48</x:f>
        <x:v>-1.0</x:v>
      </x:c>
      <x:c r="F48" s="91" t="str">
        <x:f>'Trade Features'!CG48</x:f>
        <x:v>0.05387139760310478</x:v>
      </x:c>
      <x:c r="G48" s="92" t="n">
        <x:f>ABS(C48-D48)</x:f>
        <x:v>13.457976444966334</x:v>
      </x:c>
      <x:c r="H48" s="92" t="n">
        <x:f>IFERROR($O$2/(G48*$O$3),0)</x:f>
        <x:v>0.05387139760310478</x:v>
      </x:c>
      <x:c r="I48" s="92" t="n">
        <x:f>E48-H48</x:f>
        <x:v>-1.0538713976031049</x:v>
      </x:c>
      <x:c r="J48" s="91" t="str">
        <x:f>'Trade Features'!CI48</x:f>
        <x:v>-1.0538713976031049</x:v>
      </x:c>
      <x:c r="K48" s="92" t="n">
        <x:f>I48-J48</x:f>
        <x:v>0</x:v>
      </x:c>
      <x:c r="L48" s="90" t="str">
        <x:f>IF(ABS(K48)&lt;0.000000001,"PASS","FAIL")</x:f>
        <x:v>PASS</x:v>
      </x:c>
    </x:row>
    <x:row r="49">
      <x:c r="A49" s="84" t="str">
        <x:f>'Trade Features'!A49</x:f>
        <x:v>A0048</x:v>
      </x:c>
      <x:c r="B49" s="84" t="str">
        <x:f>'Trade Features'!F49</x:f>
        <x:v>Short</x:v>
      </x:c>
      <x:c r="C49" s="91" t="str">
        <x:f>'Trade Features'!BX49</x:f>
        <x:v>17727.5</x:v>
      </x:c>
      <x:c r="D49" s="91" t="str">
        <x:f>'Trade Features'!CA49</x:f>
        <x:v>17756.005085787805</x:v>
      </x:c>
      <x:c r="E49" s="91" t="str">
        <x:f>'Trade Features'!CH49</x:f>
        <x:v>-1.0</x:v>
      </x:c>
      <x:c r="F49" s="91" t="str">
        <x:f>'Trade Features'!CG49</x:f>
        <x:v>0.025434057816804335</x:v>
      </x:c>
      <x:c r="G49" s="92" t="n">
        <x:f>ABS(C49-D49)</x:f>
        <x:v>28.505085787805</x:v>
      </x:c>
      <x:c r="H49" s="92" t="n">
        <x:f>IFERROR($O$2/(G49*$O$3),0)</x:f>
        <x:v>0.025434057816804335</x:v>
      </x:c>
      <x:c r="I49" s="92" t="n">
        <x:f>E49-H49</x:f>
        <x:v>-1.0254340578168044</x:v>
      </x:c>
      <x:c r="J49" s="91" t="str">
        <x:f>'Trade Features'!CI49</x:f>
        <x:v>-1.0254340578168044</x:v>
      </x:c>
      <x:c r="K49" s="92" t="n">
        <x:f>I49-J49</x:f>
        <x:v>0</x:v>
      </x:c>
      <x:c r="L49" s="90" t="str">
        <x:f>IF(ABS(K49)&lt;0.000000001,"PASS","FAIL")</x:f>
        <x:v>PASS</x:v>
      </x:c>
    </x:row>
    <x:row r="50">
      <x:c r="A50" s="84" t="str">
        <x:f>'Trade Features'!A50</x:f>
        <x:v>A0049</x:v>
      </x:c>
      <x:c r="B50" s="84" t="str">
        <x:f>'Trade Features'!F50</x:f>
        <x:v>Long</x:v>
      </x:c>
      <x:c r="C50" s="91" t="str">
        <x:f>'Trade Features'!BX50</x:f>
        <x:v>17803.25</x:v>
      </x:c>
      <x:c r="D50" s="91" t="str">
        <x:f>'Trade Features'!CA50</x:f>
        <x:v>17797.720475974776</x:v>
      </x:c>
      <x:c r="E50" s="91" t="str">
        <x:f>'Trade Features'!CH50</x:f>
        <x:v>-1.0</x:v>
      </x:c>
      <x:c r="F50" s="91" t="str">
        <x:f>'Trade Features'!CG50</x:f>
        <x:v>0.13111435933596377</x:v>
      </x:c>
      <x:c r="G50" s="92" t="n">
        <x:f>ABS(C50-D50)</x:f>
        <x:v>5.529524025223509</x:v>
      </x:c>
      <x:c r="H50" s="92" t="n">
        <x:f>IFERROR($O$2/(G50*$O$3),0)</x:f>
        <x:v>0.13111435933596377</x:v>
      </x:c>
      <x:c r="I50" s="92" t="n">
        <x:f>E50-H50</x:f>
        <x:v>-1.1311143593359638</x:v>
      </x:c>
      <x:c r="J50" s="91" t="str">
        <x:f>'Trade Features'!CI50</x:f>
        <x:v>-1.1311143593359638</x:v>
      </x:c>
      <x:c r="K50" s="92" t="n">
        <x:f>I50-J50</x:f>
        <x:v>0</x:v>
      </x:c>
      <x:c r="L50" s="90" t="str">
        <x:f>IF(ABS(K50)&lt;0.000000001,"PASS","FAIL")</x:f>
        <x:v>PASS</x:v>
      </x:c>
    </x:row>
    <x:row r="51">
      <x:c r="A51" s="84" t="str">
        <x:f>'Trade Features'!A51</x:f>
        <x:v>A0050</x:v>
      </x:c>
      <x:c r="B51" s="84" t="str">
        <x:f>'Trade Features'!F51</x:f>
        <x:v>Short</x:v>
      </x:c>
      <x:c r="C51" s="91" t="str">
        <x:f>'Trade Features'!BX51</x:f>
        <x:v>17783.25</x:v>
      </x:c>
      <x:c r="D51" s="91" t="str">
        <x:f>'Trade Features'!CA51</x:f>
        <x:v>17788.976784448863</x:v>
      </x:c>
      <x:c r="E51" s="91" t="str">
        <x:f>'Trade Features'!CH51</x:f>
        <x:v>2.0</x:v>
      </x:c>
      <x:c r="F51" s="91" t="str">
        <x:f>'Trade Features'!CG51</x:f>
        <x:v>0.12659809470284858</x:v>
      </x:c>
      <x:c r="G51" s="92" t="n">
        <x:f>ABS(C51-D51)</x:f>
        <x:v>5.726784448863327</x:v>
      </x:c>
      <x:c r="H51" s="92" t="n">
        <x:f>IFERROR($O$2/(G51*$O$3),0)</x:f>
        <x:v>0.12659809470284858</x:v>
      </x:c>
      <x:c r="I51" s="92" t="n">
        <x:f>E51-H51</x:f>
        <x:v>1.8734019052971513</x:v>
      </x:c>
      <x:c r="J51" s="91" t="str">
        <x:f>'Trade Features'!CI51</x:f>
        <x:v>1.8734019052971513</x:v>
      </x:c>
      <x:c r="K51" s="92" t="n">
        <x:f>I51-J51</x:f>
        <x:v>0</x:v>
      </x:c>
      <x:c r="L51" s="90" t="str">
        <x:f>IF(ABS(K51)&lt;0.000000001,"PASS","FAIL")</x:f>
        <x:v>PASS</x:v>
      </x:c>
    </x:row>
    <x:row r="52">
      <x:c r="A52" s="84" t="str">
        <x:f>'Trade Features'!A52</x:f>
        <x:v>A0051</x:v>
      </x:c>
      <x:c r="B52" s="84" t="str">
        <x:f>'Trade Features'!F52</x:f>
        <x:v>Short</x:v>
      </x:c>
      <x:c r="C52" s="91" t="str">
        <x:f>'Trade Features'!BX52</x:f>
        <x:v>17687.75</x:v>
      </x:c>
      <x:c r="D52" s="91" t="str">
        <x:f>'Trade Features'!CA52</x:f>
        <x:v>17717.627226519897</x:v>
      </x:c>
      <x:c r="E52" s="91" t="str">
        <x:f>'Trade Features'!CH52</x:f>
        <x:v>-1.0</x:v>
      </x:c>
      <x:c r="F52" s="91" t="str">
        <x:f>'Trade Features'!CG52</x:f>
        <x:v>0.0242659739356056</x:v>
      </x:c>
      <x:c r="G52" s="92" t="n">
        <x:f>ABS(C52-D52)</x:f>
        <x:v>29.877226519896794</x:v>
      </x:c>
      <x:c r="H52" s="92" t="n">
        <x:f>IFERROR($O$2/(G52*$O$3),0)</x:f>
        <x:v>0.0242659739356056</x:v>
      </x:c>
      <x:c r="I52" s="92" t="n">
        <x:f>E52-H52</x:f>
        <x:v>-1.0242659739356057</x:v>
      </x:c>
      <x:c r="J52" s="91" t="str">
        <x:f>'Trade Features'!CI52</x:f>
        <x:v>-1.0242659739356057</x:v>
      </x:c>
      <x:c r="K52" s="92" t="n">
        <x:f>I52-J52</x:f>
        <x:v>0</x:v>
      </x:c>
      <x:c r="L52" s="90" t="str">
        <x:f>IF(ABS(K52)&lt;0.000000001,"PASS","FAIL")</x:f>
        <x:v>PASS</x:v>
      </x:c>
    </x:row>
    <x:row r="53">
      <x:c r="A53" s="84" t="str">
        <x:f>'Trade Features'!A53</x:f>
        <x:v>A0052</x:v>
      </x:c>
      <x:c r="B53" s="84" t="str">
        <x:f>'Trade Features'!F53</x:f>
        <x:v>Long</x:v>
      </x:c>
      <x:c r="C53" s="91" t="str">
        <x:f>'Trade Features'!BX53</x:f>
        <x:v>17921.75</x:v>
      </x:c>
      <x:c r="D53" s="91" t="str">
        <x:f>'Trade Features'!CA53</x:f>
        <x:v>17896.786425437338</x:v>
      </x:c>
      <x:c r="E53" s="91" t="str">
        <x:f>'Trade Features'!CH53</x:f>
        <x:v>-1.0</x:v>
      </x:c>
      <x:c r="F53" s="91" t="str">
        <x:f>'Trade Features'!CG53</x:f>
        <x:v>0.029042315161242296</x:v>
      </x:c>
      <x:c r="G53" s="92" t="n">
        <x:f>ABS(C53-D53)</x:f>
        <x:v>24.96357456266196</x:v>
      </x:c>
      <x:c r="H53" s="92" t="n">
        <x:f>IFERROR($O$2/(G53*$O$3),0)</x:f>
        <x:v>0.029042315161242296</x:v>
      </x:c>
      <x:c r="I53" s="92" t="n">
        <x:f>E53-H53</x:f>
        <x:v>-1.0290423151612422</x:v>
      </x:c>
      <x:c r="J53" s="91" t="str">
        <x:f>'Trade Features'!CI53</x:f>
        <x:v>-1.0290423151612422</x:v>
      </x:c>
      <x:c r="K53" s="92" t="n">
        <x:f>I53-J53</x:f>
        <x:v>0</x:v>
      </x:c>
      <x:c r="L53" s="90" t="str">
        <x:f>IF(ABS(K53)&lt;0.000000001,"PASS","FAIL")</x:f>
        <x:v>PASS</x:v>
      </x:c>
    </x:row>
    <x:row r="54">
      <x:c r="A54" s="84" t="str">
        <x:f>'Trade Features'!A54</x:f>
        <x:v>A0053</x:v>
      </x:c>
      <x:c r="B54" s="84" t="str">
        <x:f>'Trade Features'!F54</x:f>
        <x:v>Long</x:v>
      </x:c>
      <x:c r="C54" s="91" t="str">
        <x:f>'Trade Features'!BX54</x:f>
        <x:v>17945.0</x:v>
      </x:c>
      <x:c r="D54" s="91" t="str">
        <x:f>'Trade Features'!CA54</x:f>
        <x:v>17909.104698882555</x:v>
      </x:c>
      <x:c r="E54" s="91" t="str">
        <x:f>'Trade Features'!CH54</x:f>
        <x:v>2.0</x:v>
      </x:c>
      <x:c r="F54" s="91" t="str">
        <x:f>'Trade Features'!CG54</x:f>
        <x:v>0.020197629701667146</x:v>
      </x:c>
      <x:c r="G54" s="92" t="n">
        <x:f>ABS(C54-D54)</x:f>
        <x:v>35.89530111744534</x:v>
      </x:c>
      <x:c r="H54" s="92" t="n">
        <x:f>IFERROR($O$2/(G54*$O$3),0)</x:f>
        <x:v>0.020197629701667146</x:v>
      </x:c>
      <x:c r="I54" s="92" t="n">
        <x:f>E54-H54</x:f>
        <x:v>1.979802370298333</x:v>
      </x:c>
      <x:c r="J54" s="91" t="str">
        <x:f>'Trade Features'!CI54</x:f>
        <x:v>1.979802370298333</x:v>
      </x:c>
      <x:c r="K54" s="92" t="n">
        <x:f>I54-J54</x:f>
        <x:v>0</x:v>
      </x:c>
      <x:c r="L54" s="90" t="str">
        <x:f>IF(ABS(K54)&lt;0.000000001,"PASS","FAIL")</x:f>
        <x:v>PASS</x:v>
      </x:c>
    </x:row>
    <x:row r="55">
      <x:c r="A55" s="84" t="str">
        <x:f>'Trade Features'!A55</x:f>
        <x:v>A0054</x:v>
      </x:c>
      <x:c r="B55" s="84" t="str">
        <x:f>'Trade Features'!F55</x:f>
        <x:v>Short</x:v>
      </x:c>
      <x:c r="C55" s="91" t="str">
        <x:f>'Trade Features'!BX55</x:f>
        <x:v>18126.0</x:v>
      </x:c>
      <x:c r="D55" s="91" t="str">
        <x:f>'Trade Features'!CA55</x:f>
        <x:v>18138.20553856764</x:v>
      </x:c>
      <x:c r="E55" s="91" t="str">
        <x:f>'Trade Features'!CH55</x:f>
        <x:v>1.0446077351969318</x:v>
      </x:c>
      <x:c r="F55" s="91" t="str">
        <x:f>'Trade Features'!CG55</x:f>
        <x:v>0.05939926337394016</x:v>
      </x:c>
      <x:c r="G55" s="92" t="n">
        <x:f>ABS(C55-D55)</x:f>
        <x:v>12.20553856763945</x:v>
      </x:c>
      <x:c r="H55" s="92" t="n">
        <x:f>IFERROR($O$2/(G55*$O$3),0)</x:f>
        <x:v>0.05939926337394016</x:v>
      </x:c>
      <x:c r="I55" s="92" t="n">
        <x:f>E55-H55</x:f>
        <x:v>0.9852084718229916</x:v>
      </x:c>
      <x:c r="J55" s="91" t="str">
        <x:f>'Trade Features'!CI55</x:f>
        <x:v>0.9852084718229916</x:v>
      </x:c>
      <x:c r="K55" s="92" t="n">
        <x:f>I55-J55</x:f>
        <x:v>0</x:v>
      </x:c>
      <x:c r="L55" s="90" t="str">
        <x:f>IF(ABS(K55)&lt;0.000000001,"PASS","FAIL")</x:f>
        <x:v>PASS</x:v>
      </x:c>
    </x:row>
    <x:row r="56">
      <x:c r="A56" s="84" t="str">
        <x:f>'Trade Features'!A56</x:f>
        <x:v>A0055</x:v>
      </x:c>
      <x:c r="B56" s="84" t="str">
        <x:f>'Trade Features'!F56</x:f>
        <x:v>Long</x:v>
      </x:c>
      <x:c r="C56" s="91" t="str">
        <x:f>'Trade Features'!BX56</x:f>
        <x:v>18132.0</x:v>
      </x:c>
      <x:c r="D56" s="91" t="str">
        <x:f>'Trade Features'!CA56</x:f>
        <x:v>18119.659380190675</x:v>
      </x:c>
      <x:c r="E56" s="91" t="str">
        <x:f>'Trade Features'!CH56</x:f>
        <x:v>-1.0</x:v>
      </x:c>
      <x:c r="F56" s="91" t="str">
        <x:f>'Trade Features'!CG56</x:f>
        <x:v>0.05874907510335484</x:v>
      </x:c>
      <x:c r="G56" s="92" t="n">
        <x:f>ABS(C56-D56)</x:f>
        <x:v>12.34061980932529</x:v>
      </x:c>
      <x:c r="H56" s="92" t="n">
        <x:f>IFERROR($O$2/(G56*$O$3),0)</x:f>
        <x:v>0.05874907510335484</x:v>
      </x:c>
      <x:c r="I56" s="92" t="n">
        <x:f>E56-H56</x:f>
        <x:v>-1.0587490751033548</x:v>
      </x:c>
      <x:c r="J56" s="91" t="str">
        <x:f>'Trade Features'!CI56</x:f>
        <x:v>-1.0587490751033548</x:v>
      </x:c>
      <x:c r="K56" s="92" t="n">
        <x:f>I56-J56</x:f>
        <x:v>0</x:v>
      </x:c>
      <x:c r="L56" s="90" t="str">
        <x:f>IF(ABS(K56)&lt;0.000000001,"PASS","FAIL")</x:f>
        <x:v>PASS</x:v>
      </x:c>
    </x:row>
    <x:row r="57">
      <x:c r="A57" s="84" t="str">
        <x:f>'Trade Features'!A57</x:f>
        <x:v>A0056</x:v>
      </x:c>
      <x:c r="B57" s="84" t="str">
        <x:f>'Trade Features'!F57</x:f>
        <x:v>Short</x:v>
      </x:c>
      <x:c r="C57" s="91" t="str">
        <x:f>'Trade Features'!BX57</x:f>
        <x:v>18045.25</x:v>
      </x:c>
      <x:c r="D57" s="91" t="str">
        <x:f>'Trade Features'!CA57</x:f>
        <x:v>18073.48296289462</x:v>
      </x:c>
      <x:c r="E57" s="91" t="str">
        <x:f>'Trade Features'!CH57</x:f>
        <x:v>0.5047291725345276</x:v>
      </x:c>
      <x:c r="F57" s="91" t="str">
        <x:f>'Trade Features'!CG57</x:f>
        <x:v>0.02567920351491454</x:v>
      </x:c>
      <x:c r="G57" s="92" t="n">
        <x:f>ABS(C57-D57)</x:f>
        <x:v>28.23296289462087</x:v>
      </x:c>
      <x:c r="H57" s="92" t="n">
        <x:f>IFERROR($O$2/(G57*$O$3),0)</x:f>
        <x:v>0.02567920351491454</x:v>
      </x:c>
      <x:c r="I57" s="92" t="n">
        <x:f>E57-H57</x:f>
        <x:v>0.4790499690196131</x:v>
      </x:c>
      <x:c r="J57" s="91" t="str">
        <x:f>'Trade Features'!CI57</x:f>
        <x:v>0.4790499690196131</x:v>
      </x:c>
      <x:c r="K57" s="92" t="n">
        <x:f>I57-J57</x:f>
        <x:v>0</x:v>
      </x:c>
      <x:c r="L57" s="90" t="str">
        <x:f>IF(ABS(K57)&lt;0.000000001,"PASS","FAIL")</x:f>
        <x:v>PASS</x:v>
      </x:c>
    </x:row>
    <x:row r="58">
      <x:c r="A58" s="84" t="str">
        <x:f>'Trade Features'!A58</x:f>
        <x:v>A0057</x:v>
      </x:c>
      <x:c r="B58" s="84" t="str">
        <x:f>'Trade Features'!F58</x:f>
        <x:v>Short</x:v>
      </x:c>
      <x:c r="C58" s="91" t="str">
        <x:f>'Trade Features'!BX58</x:f>
        <x:v>17645.25</x:v>
      </x:c>
      <x:c r="D58" s="91" t="str">
        <x:f>'Trade Features'!CA58</x:f>
        <x:v>17676.469940958596</x:v>
      </x:c>
      <x:c r="E58" s="91" t="str">
        <x:f>'Trade Features'!CH58</x:f>
        <x:v>-1.0</x:v>
      </x:c>
      <x:c r="F58" s="91" t="str">
        <x:f>'Trade Features'!CG58</x:f>
        <x:v>0.023222337318366752</x:v>
      </x:c>
      <x:c r="G58" s="92" t="n">
        <x:f>ABS(C58-D58)</x:f>
        <x:v>31.219940958595544</x:v>
      </x:c>
      <x:c r="H58" s="92" t="n">
        <x:f>IFERROR($O$2/(G58*$O$3),0)</x:f>
        <x:v>0.023222337318366752</x:v>
      </x:c>
      <x:c r="I58" s="92" t="n">
        <x:f>E58-H58</x:f>
        <x:v>-1.0232223373183666</x:v>
      </x:c>
      <x:c r="J58" s="91" t="str">
        <x:f>'Trade Features'!CI58</x:f>
        <x:v>-1.0232223373183666</x:v>
      </x:c>
      <x:c r="K58" s="92" t="n">
        <x:f>I58-J58</x:f>
        <x:v>0</x:v>
      </x:c>
      <x:c r="L58" s="90" t="str">
        <x:f>IF(ABS(K58)&lt;0.000000001,"PASS","FAIL")</x:f>
        <x:v>PASS</x:v>
      </x:c>
    </x:row>
    <x:row r="59">
      <x:c r="A59" s="84" t="str">
        <x:f>'Trade Features'!A59</x:f>
        <x:v>A0058</x:v>
      </x:c>
      <x:c r="B59" s="84" t="str">
        <x:f>'Trade Features'!F59</x:f>
        <x:v>Long</x:v>
      </x:c>
      <x:c r="C59" s="91" t="str">
        <x:f>'Trade Features'!BX59</x:f>
        <x:v>17718.5</x:v>
      </x:c>
      <x:c r="D59" s="91" t="str">
        <x:f>'Trade Features'!CA59</x:f>
        <x:v>17683.814169604266</x:v>
      </x:c>
      <x:c r="E59" s="91" t="str">
        <x:f>'Trade Features'!CH59</x:f>
        <x:v>1.48475615005981</x:v>
      </x:c>
      <x:c r="F59" s="91" t="str">
        <x:f>'Trade Features'!CG59</x:f>
        <x:v>0.02090190696686226</x:v>
      </x:c>
      <x:c r="G59" s="92" t="n">
        <x:f>ABS(C59-D59)</x:f>
        <x:v>34.68583039573423</x:v>
      </x:c>
      <x:c r="H59" s="92" t="n">
        <x:f>IFERROR($O$2/(G59*$O$3),0)</x:f>
        <x:v>0.02090190696686226</x:v>
      </x:c>
      <x:c r="I59" s="92" t="n">
        <x:f>E59-H59</x:f>
        <x:v>1.4638542430929478</x:v>
      </x:c>
      <x:c r="J59" s="91" t="str">
        <x:f>'Trade Features'!CI59</x:f>
        <x:v>1.4638542430929478</x:v>
      </x:c>
      <x:c r="K59" s="92" t="n">
        <x:f>I59-J59</x:f>
        <x:v>0</x:v>
      </x:c>
      <x:c r="L59" s="90" t="str">
        <x:f>IF(ABS(K59)&lt;0.000000001,"PASS","FAIL")</x:f>
        <x:v>PASS</x:v>
      </x:c>
    </x:row>
    <x:row r="60">
      <x:c r="A60" s="84" t="str">
        <x:f>'Trade Features'!A60</x:f>
        <x:v>A0059</x:v>
      </x:c>
      <x:c r="B60" s="84" t="str">
        <x:f>'Trade Features'!F60</x:f>
        <x:v>Long</x:v>
      </x:c>
      <x:c r="C60" s="91" t="str">
        <x:f>'Trade Features'!BX60</x:f>
        <x:v>17754.0</x:v>
      </x:c>
      <x:c r="D60" s="91" t="str">
        <x:f>'Trade Features'!CA60</x:f>
        <x:v>17740.072692631496</x:v>
      </x:c>
      <x:c r="E60" s="91" t="str">
        <x:f>'Trade Features'!CH60</x:f>
        <x:v>0.46670902192480956</x:v>
      </x:c>
      <x:c r="F60" s="91" t="str">
        <x:f>'Trade Features'!CG60</x:f>
        <x:v>0.05205600629160955</x:v>
      </x:c>
      <x:c r="G60" s="92" t="n">
        <x:f>ABS(C60-D60)</x:f>
        <x:v>13.927307368503534</x:v>
      </x:c>
      <x:c r="H60" s="92" t="n">
        <x:f>IFERROR($O$2/(G60*$O$3),0)</x:f>
        <x:v>0.05205600629160955</x:v>
      </x:c>
      <x:c r="I60" s="92" t="n">
        <x:f>E60-H60</x:f>
        <x:v>0.4146530156332</x:v>
      </x:c>
      <x:c r="J60" s="91" t="str">
        <x:f>'Trade Features'!CI60</x:f>
        <x:v>0.4146530156332</x:v>
      </x:c>
      <x:c r="K60" s="92" t="n">
        <x:f>I60-J60</x:f>
        <x:v>0</x:v>
      </x:c>
      <x:c r="L60" s="90" t="str">
        <x:f>IF(ABS(K60)&lt;0.000000001,"PASS","FAIL")</x:f>
        <x:v>PASS</x:v>
      </x:c>
    </x:row>
    <x:row r="61">
      <x:c r="A61" s="84" t="str">
        <x:f>'Trade Features'!A61</x:f>
        <x:v>A0060</x:v>
      </x:c>
      <x:c r="B61" s="84" t="str">
        <x:f>'Trade Features'!F61</x:f>
        <x:v>Short</x:v>
      </x:c>
      <x:c r="C61" s="91" t="str">
        <x:f>'Trade Features'!BX61</x:f>
        <x:v>18100.0</x:v>
      </x:c>
      <x:c r="D61" s="91" t="str">
        <x:f>'Trade Features'!CA61</x:f>
        <x:v>18125.82293170364</x:v>
      </x:c>
      <x:c r="E61" s="91" t="str">
        <x:f>'Trade Features'!CH61</x:f>
        <x:v>-1.0</x:v>
      </x:c>
      <x:c r="F61" s="91" t="str">
        <x:f>'Trade Features'!CG61</x:f>
        <x:v>0.028075820682198036</x:v>
      </x:c>
      <x:c r="G61" s="92" t="n">
        <x:f>ABS(C61-D61)</x:f>
        <x:v>25.82293170363846</x:v>
      </x:c>
      <x:c r="H61" s="92" t="n">
        <x:f>IFERROR($O$2/(G61*$O$3),0)</x:f>
        <x:v>0.028075820682198036</x:v>
      </x:c>
      <x:c r="I61" s="92" t="n">
        <x:f>E61-H61</x:f>
        <x:v>-1.028075820682198</x:v>
      </x:c>
      <x:c r="J61" s="91" t="str">
        <x:f>'Trade Features'!CI61</x:f>
        <x:v>-1.028075820682198</x:v>
      </x:c>
      <x:c r="K61" s="92" t="n">
        <x:f>I61-J61</x:f>
        <x:v>0</x:v>
      </x:c>
      <x:c r="L61" s="90" t="str">
        <x:f>IF(ABS(K61)&lt;0.000000001,"PASS","FAIL")</x:f>
        <x:v>PASS</x:v>
      </x:c>
    </x:row>
    <x:row r="62">
      <x:c r="A62" s="84" t="str">
        <x:f>'Trade Features'!A62</x:f>
        <x:v>A0061</x:v>
      </x:c>
      <x:c r="B62" s="84" t="str">
        <x:f>'Trade Features'!F62</x:f>
        <x:v>Long</x:v>
      </x:c>
      <x:c r="C62" s="91" t="str">
        <x:f>'Trade Features'!BX62</x:f>
        <x:v>18085.0</x:v>
      </x:c>
      <x:c r="D62" s="91" t="str">
        <x:f>'Trade Features'!CA62</x:f>
        <x:v>18074.415961017956</x:v>
      </x:c>
      <x:c r="E62" s="91" t="str">
        <x:f>'Trade Features'!CH62</x:f>
        <x:v>2.0</x:v>
      </x:c>
      <x:c r="F62" s="91" t="str">
        <x:f>'Trade Features'!CG62</x:f>
        <x:v>0.06849936978028563</x:v>
      </x:c>
      <x:c r="G62" s="92" t="n">
        <x:f>ABS(C62-D62)</x:f>
        <x:v>10.584038982044149</x:v>
      </x:c>
      <x:c r="H62" s="92" t="n">
        <x:f>IFERROR($O$2/(G62*$O$3),0)</x:f>
        <x:v>0.06849936978028563</x:v>
      </x:c>
      <x:c r="I62" s="92" t="n">
        <x:f>E62-H62</x:f>
        <x:v>1.9315006302197144</x:v>
      </x:c>
      <x:c r="J62" s="91" t="str">
        <x:f>'Trade Features'!CI62</x:f>
        <x:v>1.9315006302197144</x:v>
      </x:c>
      <x:c r="K62" s="92" t="n">
        <x:f>I62-J62</x:f>
        <x:v>0</x:v>
      </x:c>
      <x:c r="L62" s="90" t="str">
        <x:f>IF(ABS(K62)&lt;0.000000001,"PASS","FAIL")</x:f>
        <x:v>PASS</x:v>
      </x:c>
    </x:row>
    <x:row r="63">
      <x:c r="A63" s="84" t="str">
        <x:f>'Trade Features'!A63</x:f>
        <x:v>A0062</x:v>
      </x:c>
      <x:c r="B63" s="84" t="str">
        <x:f>'Trade Features'!F63</x:f>
        <x:v>Long</x:v>
      </x:c>
      <x:c r="C63" s="91" t="str">
        <x:f>'Trade Features'!BX63</x:f>
        <x:v>18135.5</x:v>
      </x:c>
      <x:c r="D63" s="91" t="str">
        <x:f>'Trade Features'!CA63</x:f>
        <x:v>18095.10186978339</x:v>
      </x:c>
      <x:c r="E63" s="91" t="str">
        <x:f>'Trade Features'!CH63</x:f>
        <x:v>-1.0</x:v>
      </x:c>
      <x:c r="F63" s="91" t="str">
        <x:f>'Trade Features'!CG63</x:f>
        <x:v>0.017946375144409662</x:v>
      </x:c>
      <x:c r="G63" s="92" t="n">
        <x:f>ABS(C63-D63)</x:f>
        <x:v>40.3981302166103</x:v>
      </x:c>
      <x:c r="H63" s="92" t="n">
        <x:f>IFERROR($O$2/(G63*$O$3),0)</x:f>
        <x:v>0.017946375144409662</x:v>
      </x:c>
      <x:c r="I63" s="92" t="n">
        <x:f>E63-H63</x:f>
        <x:v>-1.0179463751444096</x:v>
      </x:c>
      <x:c r="J63" s="91" t="str">
        <x:f>'Trade Features'!CI63</x:f>
        <x:v>-1.0179463751444096</x:v>
      </x:c>
      <x:c r="K63" s="92" t="n">
        <x:f>I63-J63</x:f>
        <x:v>0</x:v>
      </x:c>
      <x:c r="L63" s="90" t="str">
        <x:f>IF(ABS(K63)&lt;0.000000001,"PASS","FAIL")</x:f>
        <x:v>PASS</x:v>
      </x:c>
    </x:row>
    <x:row r="64">
      <x:c r="A64" s="84" t="str">
        <x:f>'Trade Features'!A64</x:f>
        <x:v>A0063</x:v>
      </x:c>
      <x:c r="B64" s="84" t="str">
        <x:f>'Trade Features'!F64</x:f>
        <x:v>Long</x:v>
      </x:c>
      <x:c r="C64" s="91" t="str">
        <x:f>'Trade Features'!BX64</x:f>
        <x:v>18178.0</x:v>
      </x:c>
      <x:c r="D64" s="91" t="str">
        <x:f>'Trade Features'!CA64</x:f>
        <x:v>18129.75097119894</x:v>
      </x:c>
      <x:c r="E64" s="91" t="str">
        <x:f>'Trade Features'!CH64</x:f>
        <x:v>-1.0</x:v>
      </x:c>
      <x:c r="F64" s="91" t="str">
        <x:f>'Trade Features'!CG64</x:f>
        <x:v>0.015026209190434113</x:v>
      </x:c>
      <x:c r="G64" s="92" t="n">
        <x:f>ABS(C64-D64)</x:f>
        <x:v>48.24902880105947</x:v>
      </x:c>
      <x:c r="H64" s="92" t="n">
        <x:f>IFERROR($O$2/(G64*$O$3),0)</x:f>
        <x:v>0.015026209190434113</x:v>
      </x:c>
      <x:c r="I64" s="92" t="n">
        <x:f>E64-H64</x:f>
        <x:v>-1.015026209190434</x:v>
      </x:c>
      <x:c r="J64" s="91" t="str">
        <x:f>'Trade Features'!CI64</x:f>
        <x:v>-1.015026209190434</x:v>
      </x:c>
      <x:c r="K64" s="92" t="n">
        <x:f>I64-J64</x:f>
        <x:v>0</x:v>
      </x:c>
      <x:c r="L64" s="90" t="str">
        <x:f>IF(ABS(K64)&lt;0.000000001,"PASS","FAIL")</x:f>
        <x:v>PASS</x:v>
      </x:c>
    </x:row>
    <x:row r="65">
      <x:c r="A65" s="84" t="str">
        <x:f>'Trade Features'!A65</x:f>
        <x:v>A0064</x:v>
      </x:c>
      <x:c r="B65" s="84" t="str">
        <x:f>'Trade Features'!F65</x:f>
        <x:v>Short</x:v>
      </x:c>
      <x:c r="C65" s="91" t="str">
        <x:f>'Trade Features'!BX65</x:f>
        <x:v>18040.75</x:v>
      </x:c>
      <x:c r="D65" s="91" t="str">
        <x:f>'Trade Features'!CA65</x:f>
        <x:v>18099.010252061318</x:v>
      </x:c>
      <x:c r="E65" s="91" t="str">
        <x:f>'Trade Features'!CH65</x:f>
        <x:v>2.0</x:v>
      </x:c>
      <x:c r="F65" s="91" t="str">
        <x:f>'Trade Features'!CG65</x:f>
        <x:v>0.012444161745763592</x:v>
      </x:c>
      <x:c r="G65" s="92" t="n">
        <x:f>ABS(C65-D65)</x:f>
        <x:v>58.26025206131817</x:v>
      </x:c>
      <x:c r="H65" s="92" t="n">
        <x:f>IFERROR($O$2/(G65*$O$3),0)</x:f>
        <x:v>0.012444161745763592</x:v>
      </x:c>
      <x:c r="I65" s="92" t="n">
        <x:f>E65-H65</x:f>
        <x:v>1.9875558382542364</x:v>
      </x:c>
      <x:c r="J65" s="91" t="str">
        <x:f>'Trade Features'!CI65</x:f>
        <x:v>1.9875558382542364</x:v>
      </x:c>
      <x:c r="K65" s="92" t="n">
        <x:f>I65-J65</x:f>
        <x:v>0</x:v>
      </x:c>
      <x:c r="L65" s="90" t="str">
        <x:f>IF(ABS(K65)&lt;0.000000001,"PASS","FAIL")</x:f>
        <x:v>PASS</x:v>
      </x:c>
    </x:row>
    <x:row r="66">
      <x:c r="A66" s="84" t="str">
        <x:f>'Trade Features'!A66</x:f>
        <x:v>A0065</x:v>
      </x:c>
      <x:c r="B66" s="84" t="str">
        <x:f>'Trade Features'!F66</x:f>
        <x:v>Short</x:v>
      </x:c>
      <x:c r="C66" s="91" t="str">
        <x:f>'Trade Features'!BX66</x:f>
        <x:v>17756.0</x:v>
      </x:c>
      <x:c r="D66" s="91" t="str">
        <x:f>'Trade Features'!CA66</x:f>
        <x:v>17781.02473173019</x:v>
      </x:c>
      <x:c r="E66" s="91" t="str">
        <x:f>'Trade Features'!CH66</x:f>
        <x:v>-1.0</x:v>
      </x:c>
      <x:c r="F66" s="91" t="str">
        <x:f>'Trade Features'!CG66</x:f>
        <x:v>0.0289713395458832</x:v>
      </x:c>
      <x:c r="G66" s="92" t="n">
        <x:f>ABS(C66-D66)</x:f>
        <x:v>25.02473173019098</x:v>
      </x:c>
      <x:c r="H66" s="92" t="n">
        <x:f>IFERROR($O$2/(G66*$O$3),0)</x:f>
        <x:v>0.0289713395458832</x:v>
      </x:c>
      <x:c r="I66" s="92" t="n">
        <x:f>E66-H66</x:f>
        <x:v>-1.0289713395458833</x:v>
      </x:c>
      <x:c r="J66" s="91" t="str">
        <x:f>'Trade Features'!CI66</x:f>
        <x:v>-1.0289713395458833</x:v>
      </x:c>
      <x:c r="K66" s="92" t="n">
        <x:f>I66-J66</x:f>
        <x:v>0</x:v>
      </x:c>
      <x:c r="L66" s="90" t="str">
        <x:f>IF(ABS(K66)&lt;0.000000001,"PASS","FAIL")</x:f>
        <x:v>PASS</x:v>
      </x:c>
    </x:row>
    <x:row r="67">
      <x:c r="A67" s="84" t="str">
        <x:f>'Trade Features'!A67</x:f>
        <x:v>A0066</x:v>
      </x:c>
      <x:c r="B67" s="84" t="str">
        <x:f>'Trade Features'!F67</x:f>
        <x:v>Short</x:v>
      </x:c>
      <x:c r="C67" s="91" t="str">
        <x:f>'Trade Features'!BX67</x:f>
        <x:v>17740.25</x:v>
      </x:c>
      <x:c r="D67" s="91" t="str">
        <x:f>'Trade Features'!CA67</x:f>
        <x:v>17766.36464397505</x:v>
      </x:c>
      <x:c r="E67" s="91" t="str">
        <x:f>'Trade Features'!CH67</x:f>
        <x:v>0.019146345647206405</x:v>
      </x:c>
      <x:c r="F67" s="91" t="str">
        <x:f>'Trade Features'!CG67</x:f>
        <x:v>0.027762201188448743</x:v>
      </x:c>
      <x:c r="G67" s="92" t="n">
        <x:f>ABS(C67-D67)</x:f>
        <x:v>26.11464397504824</x:v>
      </x:c>
      <x:c r="H67" s="92" t="n">
        <x:f>IFERROR($O$2/(G67*$O$3),0)</x:f>
        <x:v>0.027762201188448743</x:v>
      </x:c>
      <x:c r="I67" s="92" t="n">
        <x:f>E67-H67</x:f>
        <x:v>-0.008615855541242338</x:v>
      </x:c>
      <x:c r="J67" s="91" t="str">
        <x:f>'Trade Features'!CI67</x:f>
        <x:v>-0.008615855541242338</x:v>
      </x:c>
      <x:c r="K67" s="92" t="n">
        <x:f>I67-J67</x:f>
        <x:v>0</x:v>
      </x:c>
      <x:c r="L67" s="90" t="str">
        <x:f>IF(ABS(K67)&lt;0.000000001,"PASS","FAIL")</x:f>
        <x:v>PASS</x:v>
      </x:c>
    </x:row>
    <x:row r="68">
      <x:c r="A68" s="84" t="str">
        <x:f>'Trade Features'!A68</x:f>
        <x:v>A0067</x:v>
      </x:c>
      <x:c r="B68" s="84" t="str">
        <x:f>'Trade Features'!F68</x:f>
        <x:v>Long</x:v>
      </x:c>
      <x:c r="C68" s="91" t="str">
        <x:f>'Trade Features'!BX68</x:f>
        <x:v>17793.75</x:v>
      </x:c>
      <x:c r="D68" s="91" t="str">
        <x:f>'Trade Features'!CA68</x:f>
        <x:v>17740.482102436526</x:v>
      </x:c>
      <x:c r="E68" s="91" t="str">
        <x:f>'Trade Features'!CH68</x:f>
        <x:v>-1.0</x:v>
      </x:c>
      <x:c r="F68" s="91" t="str">
        <x:f>'Trade Features'!CG68</x:f>
        <x:v>0.013610448941336511</x:v>
      </x:c>
      <x:c r="G68" s="92" t="n">
        <x:f>ABS(C68-D68)</x:f>
        <x:v>53.267897563473525</x:v>
      </x:c>
      <x:c r="H68" s="92" t="n">
        <x:f>IFERROR($O$2/(G68*$O$3),0)</x:f>
        <x:v>0.013610448941336511</x:v>
      </x:c>
      <x:c r="I68" s="92" t="n">
        <x:f>E68-H68</x:f>
        <x:v>-1.0136104489413365</x:v>
      </x:c>
      <x:c r="J68" s="91" t="str">
        <x:f>'Trade Features'!CI68</x:f>
        <x:v>-1.0136104489413365</x:v>
      </x:c>
      <x:c r="K68" s="92" t="n">
        <x:f>I68-J68</x:f>
        <x:v>0</x:v>
      </x:c>
      <x:c r="L68" s="90" t="str">
        <x:f>IF(ABS(K68)&lt;0.000000001,"PASS","FAIL")</x:f>
        <x:v>PASS</x:v>
      </x:c>
    </x:row>
    <x:row r="69">
      <x:c r="A69" s="84" t="str">
        <x:f>'Trade Features'!A69</x:f>
        <x:v>A0068</x:v>
      </x:c>
      <x:c r="B69" s="84" t="str">
        <x:f>'Trade Features'!F69</x:f>
        <x:v>Long</x:v>
      </x:c>
      <x:c r="C69" s="91" t="str">
        <x:f>'Trade Features'!BX69</x:f>
        <x:v>17786.0</x:v>
      </x:c>
      <x:c r="D69" s="91" t="str">
        <x:f>'Trade Features'!CA69</x:f>
        <x:v>17762.458633512866</x:v>
      </x:c>
      <x:c r="E69" s="91" t="str">
        <x:f>'Trade Features'!CH69</x:f>
        <x:v>2.0</x:v>
      </x:c>
      <x:c r="F69" s="91" t="str">
        <x:f>'Trade Features'!CG69</x:f>
        <x:v>0.030796852867323338</x:v>
      </x:c>
      <x:c r="G69" s="92" t="n">
        <x:f>ABS(C69-D69)</x:f>
        <x:v>23.541366487133928</x:v>
      </x:c>
      <x:c r="H69" s="92" t="n">
        <x:f>IFERROR($O$2/(G69*$O$3),0)</x:f>
        <x:v>0.030796852867323338</x:v>
      </x:c>
      <x:c r="I69" s="92" t="n">
        <x:f>E69-H69</x:f>
        <x:v>1.9692031471326767</x:v>
      </x:c>
      <x:c r="J69" s="91" t="str">
        <x:f>'Trade Features'!CI69</x:f>
        <x:v>1.9692031471326767</x:v>
      </x:c>
      <x:c r="K69" s="92" t="n">
        <x:f>I69-J69</x:f>
        <x:v>0</x:v>
      </x:c>
      <x:c r="L69" s="90" t="str">
        <x:f>IF(ABS(K69)&lt;0.000000001,"PASS","FAIL")</x:f>
        <x:v>PASS</x:v>
      </x:c>
    </x:row>
    <x:row r="70">
      <x:c r="A70" s="84" t="str">
        <x:f>'Trade Features'!A70</x:f>
        <x:v>A0069</x:v>
      </x:c>
      <x:c r="B70" s="84" t="str">
        <x:f>'Trade Features'!F70</x:f>
        <x:v>Short</x:v>
      </x:c>
      <x:c r="C70" s="91" t="str">
        <x:f>'Trade Features'!BX70</x:f>
        <x:v>17724.5</x:v>
      </x:c>
      <x:c r="D70" s="91" t="str">
        <x:f>'Trade Features'!CA70</x:f>
        <x:v>17762.444903898522</x:v>
      </x:c>
      <x:c r="E70" s="91" t="str">
        <x:f>'Trade Features'!CH70</x:f>
        <x:v>-1.0</x:v>
      </x:c>
      <x:c r="F70" s="91" t="str">
        <x:f>'Trade Features'!CG70</x:f>
        <x:v>0.0191066500507921</x:v>
      </x:c>
      <x:c r="G70" s="92" t="n">
        <x:f>ABS(C70-D70)</x:f>
        <x:v>37.94490389852217</x:v>
      </x:c>
      <x:c r="H70" s="92" t="n">
        <x:f>IFERROR($O$2/(G70*$O$3),0)</x:f>
        <x:v>0.0191066500507921</x:v>
      </x:c>
      <x:c r="I70" s="92" t="n">
        <x:f>E70-H70</x:f>
        <x:v>-1.0191066500507922</x:v>
      </x:c>
      <x:c r="J70" s="91" t="str">
        <x:f>'Trade Features'!CI70</x:f>
        <x:v>-1.0191066500507922</x:v>
      </x:c>
      <x:c r="K70" s="92" t="n">
        <x:f>I70-J70</x:f>
        <x:v>0</x:v>
      </x:c>
      <x:c r="L70" s="90" t="str">
        <x:f>IF(ABS(K70)&lt;0.000000001,"PASS","FAIL")</x:f>
        <x:v>PASS</x:v>
      </x:c>
    </x:row>
    <x:row r="71">
      <x:c r="A71" s="84" t="str">
        <x:f>'Trade Features'!A71</x:f>
        <x:v>A0070</x:v>
      </x:c>
      <x:c r="B71" s="84" t="str">
        <x:f>'Trade Features'!F71</x:f>
        <x:v>Long</x:v>
      </x:c>
      <x:c r="C71" s="91" t="str">
        <x:f>'Trade Features'!BX71</x:f>
        <x:v>17785.5</x:v>
      </x:c>
      <x:c r="D71" s="91" t="str">
        <x:f>'Trade Features'!CA71</x:f>
        <x:v>17770.724309713318</x:v>
      </x:c>
      <x:c r="E71" s="91" t="str">
        <x:f>'Trade Features'!CH71</x:f>
        <x:v>2.0</x:v>
      </x:c>
      <x:c r="F71" s="91" t="str">
        <x:f>'Trade Features'!CG71</x:f>
        <x:v>0.049067081532797464</x:v>
      </x:c>
      <x:c r="G71" s="92" t="n">
        <x:f>ABS(C71-D71)</x:f>
        <x:v>14.77569028668222</x:v>
      </x:c>
      <x:c r="H71" s="92" t="n">
        <x:f>IFERROR($O$2/(G71*$O$3),0)</x:f>
        <x:v>0.049067081532797464</x:v>
      </x:c>
      <x:c r="I71" s="92" t="n">
        <x:f>E71-H71</x:f>
        <x:v>1.9509329184672026</x:v>
      </x:c>
      <x:c r="J71" s="91" t="str">
        <x:f>'Trade Features'!CI71</x:f>
        <x:v>1.9509329184672026</x:v>
      </x:c>
      <x:c r="K71" s="92" t="n">
        <x:f>I71-J71</x:f>
        <x:v>0</x:v>
      </x:c>
      <x:c r="L71" s="90" t="str">
        <x:f>IF(ABS(K71)&lt;0.000000001,"PASS","FAIL")</x:f>
        <x:v>PASS</x:v>
      </x:c>
    </x:row>
    <x:row r="72">
      <x:c r="A72" s="84" t="str">
        <x:f>'Trade Features'!A72</x:f>
        <x:v>A0071</x:v>
      </x:c>
      <x:c r="B72" s="84" t="str">
        <x:f>'Trade Features'!F72</x:f>
        <x:v>Long</x:v>
      </x:c>
      <x:c r="C72" s="91" t="str">
        <x:f>'Trade Features'!BX72</x:f>
        <x:v>17693.5</x:v>
      </x:c>
      <x:c r="D72" s="91" t="str">
        <x:f>'Trade Features'!CA72</x:f>
        <x:v>17660.103982172608</x:v>
      </x:c>
      <x:c r="E72" s="91" t="str">
        <x:f>'Trade Features'!CH72</x:f>
        <x:v>2.0</x:v>
      </x:c>
      <x:c r="F72" s="91" t="str">
        <x:f>'Trade Features'!CG72</x:f>
        <x:v>0.021709175140197226</x:v>
      </x:c>
      <x:c r="G72" s="92" t="n">
        <x:f>ABS(C72-D72)</x:f>
        <x:v>33.396017827391915</x:v>
      </x:c>
      <x:c r="H72" s="92" t="n">
        <x:f>IFERROR($O$2/(G72*$O$3),0)</x:f>
        <x:v>0.021709175140197226</x:v>
      </x:c>
      <x:c r="I72" s="92" t="n">
        <x:f>E72-H72</x:f>
        <x:v>1.9782908248598028</x:v>
      </x:c>
      <x:c r="J72" s="91" t="str">
        <x:f>'Trade Features'!CI72</x:f>
        <x:v>1.9782908248598028</x:v>
      </x:c>
      <x:c r="K72" s="92" t="n">
        <x:f>I72-J72</x:f>
        <x:v>0</x:v>
      </x:c>
      <x:c r="L72" s="90" t="str">
        <x:f>IF(ABS(K72)&lt;0.000000001,"PASS","FAIL")</x:f>
        <x:v>PASS</x:v>
      </x:c>
    </x:row>
    <x:row r="73">
      <x:c r="A73" s="84" t="str">
        <x:f>'Trade Features'!A73</x:f>
        <x:v>A0072</x:v>
      </x:c>
      <x:c r="B73" s="84" t="str">
        <x:f>'Trade Features'!F73</x:f>
        <x:v>Long</x:v>
      </x:c>
      <x:c r="C73" s="91" t="str">
        <x:f>'Trade Features'!BX73</x:f>
        <x:v>17826.25</x:v>
      </x:c>
      <x:c r="D73" s="91" t="str">
        <x:f>'Trade Features'!CA73</x:f>
        <x:v>17809.87518049463</x:v>
      </x:c>
      <x:c r="E73" s="91" t="str">
        <x:f>'Trade Features'!CH73</x:f>
        <x:v>2.0</x:v>
      </x:c>
      <x:c r="F73" s="91" t="str">
        <x:f>'Trade Features'!CG73</x:f>
        <x:v>0.04427529718799185</x:v>
      </x:c>
      <x:c r="G73" s="92" t="n">
        <x:f>ABS(C73-D73)</x:f>
        <x:v>16.374819505370397</x:v>
      </x:c>
      <x:c r="H73" s="92" t="n">
        <x:f>IFERROR($O$2/(G73*$O$3),0)</x:f>
        <x:v>0.04427529718799185</x:v>
      </x:c>
      <x:c r="I73" s="92" t="n">
        <x:f>E73-H73</x:f>
        <x:v>1.9557247028120082</x:v>
      </x:c>
      <x:c r="J73" s="91" t="str">
        <x:f>'Trade Features'!CI73</x:f>
        <x:v>1.9557247028120082</x:v>
      </x:c>
      <x:c r="K73" s="92" t="n">
        <x:f>I73-J73</x:f>
        <x:v>0</x:v>
      </x:c>
      <x:c r="L73" s="90" t="str">
        <x:f>IF(ABS(K73)&lt;0.000000001,"PASS","FAIL")</x:f>
        <x:v>PASS</x:v>
      </x:c>
    </x:row>
    <x:row r="74">
      <x:c r="A74" s="84" t="str">
        <x:f>'Trade Features'!A74</x:f>
        <x:v>A0073</x:v>
      </x:c>
      <x:c r="B74" s="84" t="str">
        <x:f>'Trade Features'!F74</x:f>
        <x:v>Short</x:v>
      </x:c>
      <x:c r="C74" s="91" t="str">
        <x:f>'Trade Features'!BX74</x:f>
        <x:v>17798.75</x:v>
      </x:c>
      <x:c r="D74" s="91" t="str">
        <x:f>'Trade Features'!CA74</x:f>
        <x:v>17823.422539664418</x:v>
      </x:c>
      <x:c r="E74" s="91" t="str">
        <x:f>'Trade Features'!CH74</x:f>
        <x:v>-1.0</x:v>
      </x:c>
      <x:c r="F74" s="91" t="str">
        <x:f>'Trade Features'!CG74</x:f>
        <x:v>0.02938489550978725</x:v>
      </x:c>
      <x:c r="G74" s="92" t="n">
        <x:f>ABS(C74-D74)</x:f>
        <x:v>24.672539664417855</x:v>
      </x:c>
      <x:c r="H74" s="92" t="n">
        <x:f>IFERROR($O$2/(G74*$O$3),0)</x:f>
        <x:v>0.02938489550978725</x:v>
      </x:c>
      <x:c r="I74" s="92" t="n">
        <x:f>E74-H74</x:f>
        <x:v>-1.0293848955097873</x:v>
      </x:c>
      <x:c r="J74" s="91" t="str">
        <x:f>'Trade Features'!CI74</x:f>
        <x:v>-1.0293848955097873</x:v>
      </x:c>
      <x:c r="K74" s="92" t="n">
        <x:f>I74-J74</x:f>
        <x:v>0</x:v>
      </x:c>
      <x:c r="L74" s="90" t="str">
        <x:f>IF(ABS(K74)&lt;0.000000001,"PASS","FAIL")</x:f>
        <x:v>PASS</x:v>
      </x:c>
    </x:row>
    <x:row r="75">
      <x:c r="A75" s="84" t="str">
        <x:f>'Trade Features'!A75</x:f>
        <x:v>A0074</x:v>
      </x:c>
      <x:c r="B75" s="84" t="str">
        <x:f>'Trade Features'!F75</x:f>
        <x:v>Long</x:v>
      </x:c>
      <x:c r="C75" s="91" t="str">
        <x:f>'Trade Features'!BX75</x:f>
        <x:v>17933.5</x:v>
      </x:c>
      <x:c r="D75" s="91" t="str">
        <x:f>'Trade Features'!CA75</x:f>
        <x:v>17874.112265083157</x:v>
      </x:c>
      <x:c r="E75" s="91" t="str">
        <x:f>'Trade Features'!CH75</x:f>
        <x:v>0.9597941406557208</x:v>
      </x:c>
      <x:c r="F75" s="91" t="str">
        <x:f>'Trade Features'!CG75</x:f>
        <x:v>0.012207907929392643</x:v>
      </x:c>
      <x:c r="G75" s="92" t="n">
        <x:f>ABS(C75-D75)</x:f>
        <x:v>59.38773491684333</x:v>
      </x:c>
      <x:c r="H75" s="92" t="n">
        <x:f>IFERROR($O$2/(G75*$O$3),0)</x:f>
        <x:v>0.012207907929392643</x:v>
      </x:c>
      <x:c r="I75" s="92" t="n">
        <x:f>E75-H75</x:f>
        <x:v>0.9475862327263281</x:v>
      </x:c>
      <x:c r="J75" s="91" t="str">
        <x:f>'Trade Features'!CI75</x:f>
        <x:v>0.9475862327263281</x:v>
      </x:c>
      <x:c r="K75" s="92" t="n">
        <x:f>I75-J75</x:f>
        <x:v>0</x:v>
      </x:c>
      <x:c r="L75" s="90" t="str">
        <x:f>IF(ABS(K75)&lt;0.000000001,"PASS","FAIL")</x:f>
        <x:v>PASS</x:v>
      </x:c>
    </x:row>
    <x:row r="76">
      <x:c r="A76" s="84" t="str">
        <x:f>'Trade Features'!A76</x:f>
        <x:v>A0075</x:v>
      </x:c>
      <x:c r="B76" s="84" t="str">
        <x:f>'Trade Features'!F76</x:f>
        <x:v>Short</x:v>
      </x:c>
      <x:c r="C76" s="91" t="str">
        <x:f>'Trade Features'!BX76</x:f>
        <x:v>18111.5</x:v>
      </x:c>
      <x:c r="D76" s="91" t="str">
        <x:f>'Trade Features'!CA76</x:f>
        <x:v>18122.494002201198</x:v>
      </x:c>
      <x:c r="E76" s="91" t="str">
        <x:f>'Trade Features'!CH76</x:f>
        <x:v>2.0</x:v>
      </x:c>
      <x:c r="F76" s="91" t="str">
        <x:f>'Trade Features'!CG76</x:f>
        <x:v>0.06594504773893953</x:v>
      </x:c>
      <x:c r="G76" s="92" t="n">
        <x:f>ABS(C76-D76)</x:f>
        <x:v>10.994002201197873</x:v>
      </x:c>
      <x:c r="H76" s="92" t="n">
        <x:f>IFERROR($O$2/(G76*$O$3),0)</x:f>
        <x:v>0.06594504773893953</x:v>
      </x:c>
      <x:c r="I76" s="92" t="n">
        <x:f>E76-H76</x:f>
        <x:v>1.9340549522610604</x:v>
      </x:c>
      <x:c r="J76" s="91" t="str">
        <x:f>'Trade Features'!CI76</x:f>
        <x:v>1.9340549522610604</x:v>
      </x:c>
      <x:c r="K76" s="92" t="n">
        <x:f>I76-J76</x:f>
        <x:v>0</x:v>
      </x:c>
      <x:c r="L76" s="90" t="str">
        <x:f>IF(ABS(K76)&lt;0.000000001,"PASS","FAIL")</x:f>
        <x:v>PASS</x:v>
      </x:c>
    </x:row>
    <x:row r="77">
      <x:c r="A77" s="84" t="str">
        <x:f>'Trade Features'!A77</x:f>
        <x:v>A0076</x:v>
      </x:c>
      <x:c r="B77" s="84" t="str">
        <x:f>'Trade Features'!F77</x:f>
        <x:v>Short</x:v>
      </x:c>
      <x:c r="C77" s="91" t="str">
        <x:f>'Trade Features'!BX77</x:f>
        <x:v>18109.25</x:v>
      </x:c>
      <x:c r="D77" s="91" t="str">
        <x:f>'Trade Features'!CA77</x:f>
        <x:v>18118.959148661976</x:v>
      </x:c>
      <x:c r="E77" s="91" t="str">
        <x:f>'Trade Features'!CH77</x:f>
        <x:v>2.0</x:v>
      </x:c>
      <x:c r="F77" s="91" t="str">
        <x:f>'Trade Features'!CG77</x:f>
        <x:v>0.07467184047138443</x:v>
      </x:c>
      <x:c r="G77" s="92" t="n">
        <x:f>ABS(C77-D77)</x:f>
        <x:v>9.709148661975632</x:v>
      </x:c>
      <x:c r="H77" s="92" t="n">
        <x:f>IFERROR($O$2/(G77*$O$3),0)</x:f>
        <x:v>0.07467184047138443</x:v>
      </x:c>
      <x:c r="I77" s="92" t="n">
        <x:f>E77-H77</x:f>
        <x:v>1.9253281595286156</x:v>
      </x:c>
      <x:c r="J77" s="91" t="str">
        <x:f>'Trade Features'!CI77</x:f>
        <x:v>1.9253281595286156</x:v>
      </x:c>
      <x:c r="K77" s="92" t="n">
        <x:f>I77-J77</x:f>
        <x:v>0</x:v>
      </x:c>
      <x:c r="L77" s="90" t="str">
        <x:f>IF(ABS(K77)&lt;0.000000001,"PASS","FAIL")</x:f>
        <x:v>PASS</x:v>
      </x:c>
    </x:row>
    <x:row r="78">
      <x:c r="A78" s="84" t="str">
        <x:f>'Trade Features'!A78</x:f>
        <x:v>A0077</x:v>
      </x:c>
      <x:c r="B78" s="84" t="str">
        <x:f>'Trade Features'!F78</x:f>
        <x:v>Long</x:v>
      </x:c>
      <x:c r="C78" s="91" t="str">
        <x:f>'Trade Features'!BX78</x:f>
        <x:v>18038.25</x:v>
      </x:c>
      <x:c r="D78" s="91" t="str">
        <x:f>'Trade Features'!CA78</x:f>
        <x:v>18027.79073347599</x:v>
      </x:c>
      <x:c r="E78" s="91" t="str">
        <x:f>'Trade Features'!CH78</x:f>
        <x:v>-0.11951124843511238</x:v>
      </x:c>
      <x:c r="F78" s="91" t="str">
        <x:f>'Trade Features'!CG78</x:f>
        <x:v>0.06931652409237203</x:v>
      </x:c>
      <x:c r="G78" s="92" t="n">
        <x:f>ABS(C78-D78)</x:f>
        <x:v>10.459266524008854</x:v>
      </x:c>
      <x:c r="H78" s="92" t="n">
        <x:f>IFERROR($O$2/(G78*$O$3),0)</x:f>
        <x:v>0.06931652409237203</x:v>
      </x:c>
      <x:c r="I78" s="92" t="n">
        <x:f>E78-H78</x:f>
        <x:v>-0.1888277725274844</x:v>
      </x:c>
      <x:c r="J78" s="91" t="str">
        <x:f>'Trade Features'!CI78</x:f>
        <x:v>-0.1888277725274844</x:v>
      </x:c>
      <x:c r="K78" s="92" t="n">
        <x:f>I78-J78</x:f>
        <x:v>0</x:v>
      </x:c>
      <x:c r="L78" s="90" t="str">
        <x:f>IF(ABS(K78)&lt;0.000000001,"PASS","FAIL")</x:f>
        <x:v>PASS</x:v>
      </x:c>
    </x:row>
    <x:row r="79">
      <x:c r="A79" s="84" t="str">
        <x:f>'Trade Features'!A79</x:f>
        <x:v>A0078</x:v>
      </x:c>
      <x:c r="B79" s="84" t="str">
        <x:f>'Trade Features'!F79</x:f>
        <x:v>Long</x:v>
      </x:c>
      <x:c r="C79" s="91" t="str">
        <x:f>'Trade Features'!BX79</x:f>
        <x:v>18040.75</x:v>
      </x:c>
      <x:c r="D79" s="91" t="str">
        <x:f>'Trade Features'!CA79</x:f>
        <x:v>18016.695563601144</x:v>
      </x:c>
      <x:c r="E79" s="91" t="str">
        <x:f>'Trade Features'!CH79</x:f>
        <x:v>-1.0</x:v>
      </x:c>
      <x:c r="F79" s="91" t="str">
        <x:f>'Trade Features'!CG79</x:f>
        <x:v>0.030139970356341077</x:v>
      </x:c>
      <x:c r="G79" s="92" t="n">
        <x:f>ABS(C79-D79)</x:f>
        <x:v>24.054436398855614</x:v>
      </x:c>
      <x:c r="H79" s="92" t="n">
        <x:f>IFERROR($O$2/(G79*$O$3),0)</x:f>
        <x:v>0.030139970356341077</x:v>
      </x:c>
      <x:c r="I79" s="92" t="n">
        <x:f>E79-H79</x:f>
        <x:v>-1.030139970356341</x:v>
      </x:c>
      <x:c r="J79" s="91" t="str">
        <x:f>'Trade Features'!CI79</x:f>
        <x:v>-1.030139970356341</x:v>
      </x:c>
      <x:c r="K79" s="92" t="n">
        <x:f>I79-J79</x:f>
        <x:v>0</x:v>
      </x:c>
      <x:c r="L79" s="90" t="str">
        <x:f>IF(ABS(K79)&lt;0.000000001,"PASS","FAIL")</x:f>
        <x:v>PASS</x:v>
      </x:c>
    </x:row>
    <x:row r="80">
      <x:c r="A80" s="84" t="str">
        <x:f>'Trade Features'!A80</x:f>
        <x:v>A0079</x:v>
      </x:c>
      <x:c r="B80" s="84" t="str">
        <x:f>'Trade Features'!F80</x:f>
        <x:v>Long</x:v>
      </x:c>
      <x:c r="C80" s="91" t="str">
        <x:f>'Trade Features'!BX80</x:f>
        <x:v>18129.75</x:v>
      </x:c>
      <x:c r="D80" s="91" t="str">
        <x:f>'Trade Features'!CA80</x:f>
        <x:v>18123.333584980293</x:v>
      </x:c>
      <x:c r="E80" s="91" t="str">
        <x:f>'Trade Features'!CH80</x:f>
        <x:v>-1.0</x:v>
      </x:c>
      <x:c r="F80" s="91" t="str">
        <x:f>'Trade Features'!CG80</x:f>
        <x:v>0.11299144425248689</x:v>
      </x:c>
      <x:c r="G80" s="92" t="n">
        <x:f>ABS(C80-D80)</x:f>
        <x:v>6.416415019706619</x:v>
      </x:c>
      <x:c r="H80" s="92" t="n">
        <x:f>IFERROR($O$2/(G80*$O$3),0)</x:f>
        <x:v>0.11299144425248689</x:v>
      </x:c>
      <x:c r="I80" s="92" t="n">
        <x:f>E80-H80</x:f>
        <x:v>-1.1129914442524869</x:v>
      </x:c>
      <x:c r="J80" s="91" t="str">
        <x:f>'Trade Features'!CI80</x:f>
        <x:v>-1.1129914442524869</x:v>
      </x:c>
      <x:c r="K80" s="92" t="n">
        <x:f>I80-J80</x:f>
        <x:v>0</x:v>
      </x:c>
      <x:c r="L80" s="90" t="str">
        <x:f>IF(ABS(K80)&lt;0.000000001,"PASS","FAIL")</x:f>
        <x:v>PASS</x:v>
      </x:c>
    </x:row>
    <x:row r="81">
      <x:c r="A81" s="84" t="str">
        <x:f>'Trade Features'!A81</x:f>
        <x:v>A0080</x:v>
      </x:c>
      <x:c r="B81" s="84" t="str">
        <x:f>'Trade Features'!F81</x:f>
        <x:v>Short</x:v>
      </x:c>
      <x:c r="C81" s="91" t="str">
        <x:f>'Trade Features'!BX81</x:f>
        <x:v>18006.75</x:v>
      </x:c>
      <x:c r="D81" s="91" t="str">
        <x:f>'Trade Features'!CA81</x:f>
        <x:v>18014.59587770835</x:v>
      </x:c>
      <x:c r="E81" s="91" t="str">
        <x:f>'Trade Features'!CH81</x:f>
        <x:v>-1.0</x:v>
      </x:c>
      <x:c r="F81" s="91" t="str">
        <x:f>'Trade Features'!CG81</x:f>
        <x:v>0.09240521289649482</x:v>
      </x:c>
      <x:c r="G81" s="92" t="n">
        <x:f>ABS(C81-D81)</x:f>
        <x:v>7.845877708350599</x:v>
      </x:c>
      <x:c r="H81" s="92" t="n">
        <x:f>IFERROR($O$2/(G81*$O$3),0)</x:f>
        <x:v>0.09240521289649482</x:v>
      </x:c>
      <x:c r="I81" s="92" t="n">
        <x:f>E81-H81</x:f>
        <x:v>-1.0924052128964947</x:v>
      </x:c>
      <x:c r="J81" s="91" t="str">
        <x:f>'Trade Features'!CI81</x:f>
        <x:v>-1.0924052128964947</x:v>
      </x:c>
      <x:c r="K81" s="92" t="n">
        <x:f>I81-J81</x:f>
        <x:v>0</x:v>
      </x:c>
      <x:c r="L81" s="90" t="str">
        <x:f>IF(ABS(K81)&lt;0.000000001,"PASS","FAIL")</x:f>
        <x:v>PASS</x:v>
      </x:c>
    </x:row>
    <x:row r="82">
      <x:c r="A82" s="84" t="str">
        <x:f>'Trade Features'!A82</x:f>
        <x:v>A0081</x:v>
      </x:c>
      <x:c r="B82" s="84" t="str">
        <x:f>'Trade Features'!F82</x:f>
        <x:v>Long</x:v>
      </x:c>
      <x:c r="C82" s="91" t="str">
        <x:f>'Trade Features'!BX82</x:f>
        <x:v>17849.25</x:v>
      </x:c>
      <x:c r="D82" s="91" t="str">
        <x:f>'Trade Features'!CA82</x:f>
        <x:v>17842.1171975095</x:v>
      </x:c>
      <x:c r="E82" s="91" t="str">
        <x:f>'Trade Features'!CH82</x:f>
        <x:v>-1.0</x:v>
      </x:c>
      <x:c r="F82" s="91" t="str">
        <x:f>'Trade Features'!CG82</x:f>
        <x:v>0.1016430780139304</x:v>
      </x:c>
      <x:c r="G82" s="92" t="n">
        <x:f>ABS(C82-D82)</x:f>
        <x:v>7.13280249050149</x:v>
      </x:c>
      <x:c r="H82" s="92" t="n">
        <x:f>IFERROR($O$2/(G82*$O$3),0)</x:f>
        <x:v>0.1016430780139304</x:v>
      </x:c>
      <x:c r="I82" s="92" t="n">
        <x:f>E82-H82</x:f>
        <x:v>-1.1016430780139304</x:v>
      </x:c>
      <x:c r="J82" s="91" t="str">
        <x:f>'Trade Features'!CI82</x:f>
        <x:v>-1.1016430780139304</x:v>
      </x:c>
      <x:c r="K82" s="92" t="n">
        <x:f>I82-J82</x:f>
        <x:v>0</x:v>
      </x:c>
      <x:c r="L82" s="90" t="str">
        <x:f>IF(ABS(K82)&lt;0.000000001,"PASS","FAIL")</x:f>
        <x:v>PASS</x:v>
      </x:c>
    </x:row>
    <x:row r="83">
      <x:c r="A83" s="84" t="str">
        <x:f>'Trade Features'!A83</x:f>
        <x:v>A0082</x:v>
      </x:c>
      <x:c r="B83" s="84" t="str">
        <x:f>'Trade Features'!F83</x:f>
        <x:v>Short</x:v>
      </x:c>
      <x:c r="C83" s="91" t="str">
        <x:f>'Trade Features'!BX83</x:f>
        <x:v>17799.0</x:v>
      </x:c>
      <x:c r="D83" s="91" t="str">
        <x:f>'Trade Features'!CA83</x:f>
        <x:v>17821.461353705465</x:v>
      </x:c>
      <x:c r="E83" s="91" t="str">
        <x:f>'Trade Features'!CH83</x:f>
        <x:v>-1.0</x:v>
      </x:c>
      <x:c r="F83" s="91" t="str">
        <x:f>'Trade Features'!CG83</x:f>
        <x:v>0.032277662758305244</x:v>
      </x:c>
      <x:c r="G83" s="92" t="n">
        <x:f>ABS(C83-D83)</x:f>
        <x:v>22.461353705464717</x:v>
      </x:c>
      <x:c r="H83" s="92" t="n">
        <x:f>IFERROR($O$2/(G83*$O$3),0)</x:f>
        <x:v>0.032277662758305244</x:v>
      </x:c>
      <x:c r="I83" s="92" t="n">
        <x:f>E83-H83</x:f>
        <x:v>-1.0322776627583052</x:v>
      </x:c>
      <x:c r="J83" s="91" t="str">
        <x:f>'Trade Features'!CI83</x:f>
        <x:v>-1.0322776627583052</x:v>
      </x:c>
      <x:c r="K83" s="92" t="n">
        <x:f>I83-J83</x:f>
        <x:v>0</x:v>
      </x:c>
      <x:c r="L83" s="90" t="str">
        <x:f>IF(ABS(K83)&lt;0.000000001,"PASS","FAIL")</x:f>
        <x:v>PASS</x:v>
      </x:c>
    </x:row>
    <x:row r="84">
      <x:c r="A84" s="84" t="str">
        <x:f>'Trade Features'!A84</x:f>
        <x:v>A0083</x:v>
      </x:c>
      <x:c r="B84" s="84" t="str">
        <x:f>'Trade Features'!F84</x:f>
        <x:v>Long</x:v>
      </x:c>
      <x:c r="C84" s="91" t="str">
        <x:f>'Trade Features'!BX84</x:f>
        <x:v>17995.25</x:v>
      </x:c>
      <x:c r="D84" s="91" t="str">
        <x:f>'Trade Features'!CA84</x:f>
        <x:v>17981.7692604079</x:v>
      </x:c>
      <x:c r="E84" s="91" t="str">
        <x:f>'Trade Features'!CH84</x:f>
        <x:v>-1.0</x:v>
      </x:c>
      <x:c r="F84" s="91" t="str">
        <x:f>'Trade Features'!CG84</x:f>
        <x:v>0.05378043207842835</x:v>
      </x:c>
      <x:c r="G84" s="92" t="n">
        <x:f>ABS(C84-D84)</x:f>
        <x:v>13.4807395921016</x:v>
      </x:c>
      <x:c r="H84" s="92" t="n">
        <x:f>IFERROR($O$2/(G84*$O$3),0)</x:f>
        <x:v>0.05378043207842835</x:v>
      </x:c>
      <x:c r="I84" s="92" t="n">
        <x:f>E84-H84</x:f>
        <x:v>-1.0537804320784283</x:v>
      </x:c>
      <x:c r="J84" s="91" t="str">
        <x:f>'Trade Features'!CI84</x:f>
        <x:v>-1.0537804320784283</x:v>
      </x:c>
      <x:c r="K84" s="92" t="n">
        <x:f>I84-J84</x:f>
        <x:v>0</x:v>
      </x:c>
      <x:c r="L84" s="90" t="str">
        <x:f>IF(ABS(K84)&lt;0.000000001,"PASS","FAIL")</x:f>
        <x:v>PASS</x:v>
      </x:c>
    </x:row>
    <x:row r="85">
      <x:c r="A85" s="84" t="str">
        <x:f>'Trade Features'!A85</x:f>
        <x:v>A0084</x:v>
      </x:c>
      <x:c r="B85" s="84" t="str">
        <x:f>'Trade Features'!F85</x:f>
        <x:v>Long</x:v>
      </x:c>
      <x:c r="C85" s="91" t="str">
        <x:f>'Trade Features'!BX85</x:f>
        <x:v>17779.5</x:v>
      </x:c>
      <x:c r="D85" s="91" t="str">
        <x:f>'Trade Features'!CA85</x:f>
        <x:v>17725.977723355394</x:v>
      </x:c>
      <x:c r="E85" s="91" t="str">
        <x:f>'Trade Features'!CH85</x:f>
        <x:v>-1.0</x:v>
      </x:c>
      <x:c r="F85" s="91" t="str">
        <x:f>'Trade Features'!CG85</x:f>
        <x:v>0.013545761605286038</x:v>
      </x:c>
      <x:c r="G85" s="92" t="n">
        <x:f>ABS(C85-D85)</x:f>
        <x:v>53.52227664460588</x:v>
      </x:c>
      <x:c r="H85" s="92" t="n">
        <x:f>IFERROR($O$2/(G85*$O$3),0)</x:f>
        <x:v>0.013545761605286038</x:v>
      </x:c>
      <x:c r="I85" s="92" t="n">
        <x:f>E85-H85</x:f>
        <x:v>-1.013545761605286</x:v>
      </x:c>
      <x:c r="J85" s="91" t="str">
        <x:f>'Trade Features'!CI85</x:f>
        <x:v>-1.013545761605286</x:v>
      </x:c>
      <x:c r="K85" s="92" t="n">
        <x:f>I85-J85</x:f>
        <x:v>0</x:v>
      </x:c>
      <x:c r="L85" s="90" t="str">
        <x:f>IF(ABS(K85)&lt;0.000000001,"PASS","FAIL")</x:f>
        <x:v>PASS</x:v>
      </x:c>
    </x:row>
    <x:row r="86">
      <x:c r="A86" s="84" t="str">
        <x:f>'Trade Features'!A86</x:f>
        <x:v>A0085</x:v>
      </x:c>
      <x:c r="B86" s="84" t="str">
        <x:f>'Trade Features'!F86</x:f>
        <x:v>Short</x:v>
      </x:c>
      <x:c r="C86" s="91" t="str">
        <x:f>'Trade Features'!BX86</x:f>
        <x:v>17839.25</x:v>
      </x:c>
      <x:c r="D86" s="91" t="str">
        <x:f>'Trade Features'!CA86</x:f>
        <x:v>17855.3639800017</x:v>
      </x:c>
      <x:c r="E86" s="91" t="str">
        <x:f>'Trade Features'!CH86</x:f>
        <x:v>-1.0</x:v>
      </x:c>
      <x:c r="F86" s="91" t="str">
        <x:f>'Trade Features'!CG86</x:f>
        <x:v>0.044991988318433804</x:v>
      </x:c>
      <x:c r="G86" s="92" t="n">
        <x:f>ABS(C86-D86)</x:f>
        <x:v>16.11398000170084</x:v>
      </x:c>
      <x:c r="H86" s="92" t="n">
        <x:f>IFERROR($O$2/(G86*$O$3),0)</x:f>
        <x:v>0.044991988318433804</x:v>
      </x:c>
      <x:c r="I86" s="92" t="n">
        <x:f>E86-H86</x:f>
        <x:v>-1.0449919883184338</x:v>
      </x:c>
      <x:c r="J86" s="91" t="str">
        <x:f>'Trade Features'!CI86</x:f>
        <x:v>-1.0449919883184338</x:v>
      </x:c>
      <x:c r="K86" s="92" t="n">
        <x:f>I86-J86</x:f>
        <x:v>0</x:v>
      </x:c>
      <x:c r="L86" s="90" t="str">
        <x:f>IF(ABS(K86)&lt;0.000000001,"PASS","FAIL")</x:f>
        <x:v>PASS</x:v>
      </x:c>
    </x:row>
    <x:row r="87">
      <x:c r="A87" s="84" t="str">
        <x:f>'Trade Features'!A87</x:f>
        <x:v>A0086</x:v>
      </x:c>
      <x:c r="B87" s="84" t="str">
        <x:f>'Trade Features'!F87</x:f>
        <x:v>Short</x:v>
      </x:c>
      <x:c r="C87" s="91" t="str">
        <x:f>'Trade Features'!BX87</x:f>
        <x:v>17781.0</x:v>
      </x:c>
      <x:c r="D87" s="91" t="str">
        <x:f>'Trade Features'!CA87</x:f>
        <x:v>17829.611346949525</x:v>
      </x:c>
      <x:c r="E87" s="91" t="str">
        <x:f>'Trade Features'!CH87</x:f>
        <x:v>-1.0</x:v>
      </x:c>
      <x:c r="F87" s="91" t="str">
        <x:f>'Trade Features'!CG87</x:f>
        <x:v>0.014914213357486198</x:v>
      </x:c>
      <x:c r="G87" s="92" t="n">
        <x:f>ABS(C87-D87)</x:f>
        <x:v>48.611346949524886</x:v>
      </x:c>
      <x:c r="H87" s="92" t="n">
        <x:f>IFERROR($O$2/(G87*$O$3),0)</x:f>
        <x:v>0.014914213357486198</x:v>
      </x:c>
      <x:c r="I87" s="92" t="n">
        <x:f>E87-H87</x:f>
        <x:v>-1.0149142133574862</x:v>
      </x:c>
      <x:c r="J87" s="91" t="str">
        <x:f>'Trade Features'!CI87</x:f>
        <x:v>-1.0149142133574862</x:v>
      </x:c>
      <x:c r="K87" s="92" t="n">
        <x:f>I87-J87</x:f>
        <x:v>0</x:v>
      </x:c>
      <x:c r="L87" s="90" t="str">
        <x:f>IF(ABS(K87)&lt;0.000000001,"PASS","FAIL")</x:f>
        <x:v>PASS</x:v>
      </x:c>
    </x:row>
    <x:row r="88">
      <x:c r="A88" s="84" t="str">
        <x:f>'Trade Features'!A88</x:f>
        <x:v>A0087</x:v>
      </x:c>
      <x:c r="B88" s="84" t="str">
        <x:f>'Trade Features'!F88</x:f>
        <x:v>Long</x:v>
      </x:c>
      <x:c r="C88" s="91" t="str">
        <x:f>'Trade Features'!BX88</x:f>
        <x:v>17719.25</x:v>
      </x:c>
      <x:c r="D88" s="91" t="str">
        <x:f>'Trade Features'!CA88</x:f>
        <x:v>17707.052399357013</x:v>
      </x:c>
      <x:c r="E88" s="91" t="str">
        <x:f>'Trade Features'!CH88</x:f>
        <x:v>0.6763625274731859</x:v>
      </x:c>
      <x:c r="F88" s="91" t="str">
        <x:f>'Trade Features'!CG88</x:f>
        <x:v>0.059437919080983365</x:v>
      </x:c>
      <x:c r="G88" s="92" t="n">
        <x:f>ABS(C88-D88)</x:f>
        <x:v>12.1976006429868</x:v>
      </x:c>
      <x:c r="H88" s="92" t="n">
        <x:f>IFERROR($O$2/(G88*$O$3),0)</x:f>
        <x:v>0.059437919080983365</x:v>
      </x:c>
      <x:c r="I88" s="92" t="n">
        <x:f>E88-H88</x:f>
        <x:v>0.6169246083922025</x:v>
      </x:c>
      <x:c r="J88" s="91" t="str">
        <x:f>'Trade Features'!CI88</x:f>
        <x:v>0.6169246083922025</x:v>
      </x:c>
      <x:c r="K88" s="92" t="n">
        <x:f>I88-J88</x:f>
        <x:v>0</x:v>
      </x:c>
      <x:c r="L88" s="90" t="str">
        <x:f>IF(ABS(K88)&lt;0.000000001,"PASS","FAIL")</x:f>
        <x:v>PASS</x:v>
      </x:c>
    </x:row>
    <x:row r="89">
      <x:c r="A89" s="84" t="str">
        <x:f>'Trade Features'!A89</x:f>
        <x:v>A0088</x:v>
      </x:c>
      <x:c r="B89" s="84" t="str">
        <x:f>'Trade Features'!F89</x:f>
        <x:v>Short</x:v>
      </x:c>
      <x:c r="C89" s="91" t="str">
        <x:f>'Trade Features'!BX89</x:f>
        <x:v>18019.25</x:v>
      </x:c>
      <x:c r="D89" s="91" t="str">
        <x:f>'Trade Features'!CA89</x:f>
        <x:v>18032.334860696406</x:v>
      </x:c>
      <x:c r="E89" s="91" t="str">
        <x:f>'Trade Features'!CH89</x:f>
        <x:v>0.6113935933758969</x:v>
      </x:c>
      <x:c r="F89" s="91" t="str">
        <x:f>'Trade Features'!CG89</x:f>
        <x:v>0.05540754439969795</x:v>
      </x:c>
      <x:c r="G89" s="92" t="n">
        <x:f>ABS(C89-D89)</x:f>
        <x:v>13.084860696406395</x:v>
      </x:c>
      <x:c r="H89" s="92" t="n">
        <x:f>IFERROR($O$2/(G89*$O$3),0)</x:f>
        <x:v>0.05540754439969795</x:v>
      </x:c>
      <x:c r="I89" s="92" t="n">
        <x:f>E89-H89</x:f>
        <x:v>0.555986048976199</x:v>
      </x:c>
      <x:c r="J89" s="91" t="str">
        <x:f>'Trade Features'!CI89</x:f>
        <x:v>0.555986048976199</x:v>
      </x:c>
      <x:c r="K89" s="92" t="n">
        <x:f>I89-J89</x:f>
        <x:v>0</x:v>
      </x:c>
      <x:c r="L89" s="90" t="str">
        <x:f>IF(ABS(K89)&lt;0.000000001,"PASS","FAIL")</x:f>
        <x:v>PASS</x:v>
      </x:c>
    </x:row>
    <x:row r="90">
      <x:c r="A90" s="84" t="str">
        <x:f>'Trade Features'!A90</x:f>
        <x:v>A0089</x:v>
      </x:c>
      <x:c r="B90" s="84" t="str">
        <x:f>'Trade Features'!F90</x:f>
        <x:v>Long</x:v>
      </x:c>
      <x:c r="C90" s="91" t="str">
        <x:f>'Trade Features'!BX90</x:f>
        <x:v>17235.0</x:v>
      </x:c>
      <x:c r="D90" s="91" t="str">
        <x:f>'Trade Features'!CA90</x:f>
        <x:v>17222.4614017128</x:v>
      </x:c>
      <x:c r="E90" s="91" t="str">
        <x:f>'Trade Features'!CH90</x:f>
        <x:v>0.37883022417663176</x:v>
      </x:c>
      <x:c r="F90" s="91" t="str">
        <x:f>'Trade Features'!CG90</x:f>
        <x:v>0.057821455269058915</x:v>
      </x:c>
      <x:c r="G90" s="92" t="n">
        <x:f>ABS(C90-D90)</x:f>
        <x:v>12.53859828719942</x:v>
      </x:c>
      <x:c r="H90" s="92" t="n">
        <x:f>IFERROR($O$2/(G90*$O$3),0)</x:f>
        <x:v>0.057821455269058915</x:v>
      </x:c>
      <x:c r="I90" s="92" t="n">
        <x:f>E90-H90</x:f>
        <x:v>0.32100876890757285</x:v>
      </x:c>
      <x:c r="J90" s="91" t="str">
        <x:f>'Trade Features'!CI90</x:f>
        <x:v>0.32100876890757285</x:v>
      </x:c>
      <x:c r="K90" s="92" t="n">
        <x:f>I90-J90</x:f>
        <x:v>0</x:v>
      </x:c>
      <x:c r="L90" s="90" t="str">
        <x:f>IF(ABS(K90)&lt;0.000000001,"PASS","FAIL")</x:f>
        <x:v>PASS</x:v>
      </x:c>
    </x:row>
    <x:row r="91">
      <x:c r="A91" s="84" t="str">
        <x:f>'Trade Features'!A91</x:f>
        <x:v>A0090</x:v>
      </x:c>
      <x:c r="B91" s="84" t="str">
        <x:f>'Trade Features'!F91</x:f>
        <x:v>Long</x:v>
      </x:c>
      <x:c r="C91" s="91" t="str">
        <x:f>'Trade Features'!BX91</x:f>
        <x:v>17289.25</x:v>
      </x:c>
      <x:c r="D91" s="91" t="str">
        <x:f>'Trade Features'!CA91</x:f>
        <x:v>17277.98595244663</x:v>
      </x:c>
      <x:c r="E91" s="91" t="str">
        <x:f>'Trade Features'!CH91</x:f>
        <x:v>1.0209473943991842</x:v>
      </x:c>
      <x:c r="F91" s="91" t="str">
        <x:f>'Trade Features'!CG91</x:f>
        <x:v>0.06436407486428802</x:v>
      </x:c>
      <x:c r="G91" s="92" t="n">
        <x:f>ABS(C91-D91)</x:f>
        <x:v>11.264047553369892</x:v>
      </x:c>
      <x:c r="H91" s="92" t="n">
        <x:f>IFERROR($O$2/(G91*$O$3),0)</x:f>
        <x:v>0.06436407486428802</x:v>
      </x:c>
      <x:c r="I91" s="92" t="n">
        <x:f>E91-H91</x:f>
        <x:v>0.9565833195348963</x:v>
      </x:c>
      <x:c r="J91" s="91" t="str">
        <x:f>'Trade Features'!CI91</x:f>
        <x:v>0.9565833195348963</x:v>
      </x:c>
      <x:c r="K91" s="92" t="n">
        <x:f>I91-J91</x:f>
        <x:v>0</x:v>
      </x:c>
      <x:c r="L91" s="90" t="str">
        <x:f>IF(ABS(K91)&lt;0.000000001,"PASS","FAIL")</x:f>
        <x:v>PASS</x:v>
      </x:c>
    </x:row>
    <x:row r="92">
      <x:c r="A92" s="84" t="str">
        <x:f>'Trade Features'!A92</x:f>
        <x:v>A0091</x:v>
      </x:c>
      <x:c r="B92" s="84" t="str">
        <x:f>'Trade Features'!F92</x:f>
        <x:v>Short</x:v>
      </x:c>
      <x:c r="C92" s="91" t="str">
        <x:f>'Trade Features'!BX92</x:f>
        <x:v>17224.5</x:v>
      </x:c>
      <x:c r="D92" s="91" t="str">
        <x:f>'Trade Features'!CA92</x:f>
        <x:v>17242.680315939037</x:v>
      </x:c>
      <x:c r="E92" s="91" t="str">
        <x:f>'Trade Features'!CH92</x:f>
        <x:v>-1.0</x:v>
      </x:c>
      <x:c r="F92" s="91" t="str">
        <x:f>'Trade Features'!CG92</x:f>
        <x:v>0.03987829487843444</x:v>
      </x:c>
      <x:c r="G92" s="92" t="n">
        <x:f>ABS(C92-D92)</x:f>
        <x:v>18.180315939036518</x:v>
      </x:c>
      <x:c r="H92" s="92" t="n">
        <x:f>IFERROR($O$2/(G92*$O$3),0)</x:f>
        <x:v>0.03987829487843444</x:v>
      </x:c>
      <x:c r="I92" s="92" t="n">
        <x:f>E92-H92</x:f>
        <x:v>-1.0398782948784344</x:v>
      </x:c>
      <x:c r="J92" s="91" t="str">
        <x:f>'Trade Features'!CI92</x:f>
        <x:v>-1.0398782948784344</x:v>
      </x:c>
      <x:c r="K92" s="92" t="n">
        <x:f>I92-J92</x:f>
        <x:v>0</x:v>
      </x:c>
      <x:c r="L92" s="90" t="str">
        <x:f>IF(ABS(K92)&lt;0.000000001,"PASS","FAIL")</x:f>
        <x:v>PASS</x:v>
      </x:c>
    </x:row>
    <x:row r="93">
      <x:c r="A93" s="84" t="str">
        <x:f>'Trade Features'!A93</x:f>
        <x:v>A0092</x:v>
      </x:c>
      <x:c r="B93" s="84" t="str">
        <x:f>'Trade Features'!F93</x:f>
        <x:v>Short</x:v>
      </x:c>
      <x:c r="C93" s="91" t="str">
        <x:f>'Trade Features'!BX93</x:f>
        <x:v>16786.75</x:v>
      </x:c>
      <x:c r="D93" s="91" t="str">
        <x:f>'Trade Features'!CA93</x:f>
        <x:v>16838.58052498756</x:v>
      </x:c>
      <x:c r="E93" s="91" t="str">
        <x:f>'Trade Features'!CH93</x:f>
        <x:v>2.0</x:v>
      </x:c>
      <x:c r="F93" s="91" t="str">
        <x:f>'Trade Features'!CG93</x:f>
        <x:v>0.013987896132134853</x:v>
      </x:c>
      <x:c r="G93" s="92" t="n">
        <x:f>ABS(C93-D93)</x:f>
        <x:v>51.83052498755933</x:v>
      </x:c>
      <x:c r="H93" s="92" t="n">
        <x:f>IFERROR($O$2/(G93*$O$3),0)</x:f>
        <x:v>0.013987896132134853</x:v>
      </x:c>
      <x:c r="I93" s="92" t="n">
        <x:f>E93-H93</x:f>
        <x:v>1.986012103867865</x:v>
      </x:c>
      <x:c r="J93" s="91" t="str">
        <x:f>'Trade Features'!CI93</x:f>
        <x:v>1.986012103867865</x:v>
      </x:c>
      <x:c r="K93" s="92" t="n">
        <x:f>I93-J93</x:f>
        <x:v>0</x:v>
      </x:c>
      <x:c r="L93" s="90" t="str">
        <x:f>IF(ABS(K93)&lt;0.000000001,"PASS","FAIL")</x:f>
        <x:v>PASS</x:v>
      </x:c>
    </x:row>
    <x:row r="94">
      <x:c r="A94" s="84" t="str">
        <x:f>'Trade Features'!A94</x:f>
        <x:v>A0093</x:v>
      </x:c>
      <x:c r="B94" s="84" t="str">
        <x:f>'Trade Features'!F94</x:f>
        <x:v>Long</x:v>
      </x:c>
      <x:c r="C94" s="91" t="str">
        <x:f>'Trade Features'!BX94</x:f>
        <x:v>17172.25</x:v>
      </x:c>
      <x:c r="D94" s="91" t="str">
        <x:f>'Trade Features'!CA94</x:f>
        <x:v>17143.440922050944</x:v>
      </x:c>
      <x:c r="E94" s="91" t="str">
        <x:f>'Trade Features'!CH94</x:f>
        <x:v>-0.052066921497888496</x:v>
      </x:c>
      <x:c r="F94" s="91" t="str">
        <x:f>'Trade Features'!CG94</x:f>
        <x:v>0.025165678723978797</x:v>
      </x:c>
      <x:c r="G94" s="92" t="n">
        <x:f>ABS(C94-D94)</x:f>
        <x:v>28.80907794905579</x:v>
      </x:c>
      <x:c r="H94" s="92" t="n">
        <x:f>IFERROR($O$2/(G94*$O$3),0)</x:f>
        <x:v>0.025165678723978797</x:v>
      </x:c>
      <x:c r="I94" s="92" t="n">
        <x:f>E94-H94</x:f>
        <x:v>-0.07723260022186729</x:v>
      </x:c>
      <x:c r="J94" s="91" t="str">
        <x:f>'Trade Features'!CI94</x:f>
        <x:v>-0.07723260022186729</x:v>
      </x:c>
      <x:c r="K94" s="92" t="n">
        <x:f>I94-J94</x:f>
        <x:v>0</x:v>
      </x:c>
      <x:c r="L94" s="90" t="str">
        <x:f>IF(ABS(K94)&lt;0.000000001,"PASS","FAIL")</x:f>
        <x:v>PASS</x:v>
      </x:c>
    </x:row>
    <x:row r="95">
      <x:c r="A95" s="84" t="str">
        <x:f>'Trade Features'!A95</x:f>
        <x:v>A0094</x:v>
      </x:c>
      <x:c r="B95" s="84" t="str">
        <x:f>'Trade Features'!F95</x:f>
        <x:v>Short</x:v>
      </x:c>
      <x:c r="C95" s="91" t="str">
        <x:f>'Trade Features'!BX95</x:f>
        <x:v>17233.5</x:v>
      </x:c>
      <x:c r="D95" s="91" t="str">
        <x:f>'Trade Features'!CA95</x:f>
        <x:v>17273.609283534977</x:v>
      </x:c>
      <x:c r="E95" s="91" t="str">
        <x:f>'Trade Features'!CH95</x:f>
        <x:v>2.0</x:v>
      </x:c>
      <x:c r="F95" s="91" t="str">
        <x:f>'Trade Features'!CG95</x:f>
        <x:v>0.018075615820157043</x:v>
      </x:c>
      <x:c r="G95" s="92" t="n">
        <x:f>ABS(C95-D95)</x:f>
        <x:v>40.109283534977294</x:v>
      </x:c>
      <x:c r="H95" s="92" t="n">
        <x:f>IFERROR($O$2/(G95*$O$3),0)</x:f>
        <x:v>0.018075615820157043</x:v>
      </x:c>
      <x:c r="I95" s="92" t="n">
        <x:f>E95-H95</x:f>
        <x:v>1.9819243841798428</x:v>
      </x:c>
      <x:c r="J95" s="91" t="str">
        <x:f>'Trade Features'!CI95</x:f>
        <x:v>1.9819243841798428</x:v>
      </x:c>
      <x:c r="K95" s="92" t="n">
        <x:f>I95-J95</x:f>
        <x:v>0</x:v>
      </x:c>
      <x:c r="L95" s="90" t="str">
        <x:f>IF(ABS(K95)&lt;0.000000001,"PASS","FAIL")</x:f>
        <x:v>PASS</x:v>
      </x:c>
    </x:row>
    <x:row r="96">
      <x:c r="A96" s="84" t="str">
        <x:f>'Trade Features'!A96</x:f>
        <x:v>A0095</x:v>
      </x:c>
      <x:c r="B96" s="84" t="str">
        <x:f>'Trade Features'!F96</x:f>
        <x:v>Long</x:v>
      </x:c>
      <x:c r="C96" s="91" t="str">
        <x:f>'Trade Features'!BX96</x:f>
        <x:v>16994.5</x:v>
      </x:c>
      <x:c r="D96" s="91" t="str">
        <x:f>'Trade Features'!CA96</x:f>
        <x:v>16978.155332958275</x:v>
      </x:c>
      <x:c r="E96" s="91" t="str">
        <x:f>'Trade Features'!CH96</x:f>
        <x:v>2.0</x:v>
      </x:c>
      <x:c r="F96" s="91" t="str">
        <x:f>'Trade Features'!CG96</x:f>
        <x:v>0.04435697577376137</x:v>
      </x:c>
      <x:c r="G96" s="92" t="n">
        <x:f>ABS(C96-D96)</x:f>
        <x:v>16.344667041725188</x:v>
      </x:c>
      <x:c r="H96" s="92" t="n">
        <x:f>IFERROR($O$2/(G96*$O$3),0)</x:f>
        <x:v>0.04435697577376137</x:v>
      </x:c>
      <x:c r="I96" s="92" t="n">
        <x:f>E96-H96</x:f>
        <x:v>1.9556430242262386</x:v>
      </x:c>
      <x:c r="J96" s="91" t="str">
        <x:f>'Trade Features'!CI96</x:f>
        <x:v>1.9556430242262386</x:v>
      </x:c>
      <x:c r="K96" s="92" t="n">
        <x:f>I96-J96</x:f>
        <x:v>0</x:v>
      </x:c>
      <x:c r="L96" s="90" t="str">
        <x:f>IF(ABS(K96)&lt;0.000000001,"PASS","FAIL")</x:f>
        <x:v>PASS</x:v>
      </x:c>
    </x:row>
    <x:row r="97">
      <x:c r="A97" s="84" t="str">
        <x:f>'Trade Features'!A97</x:f>
        <x:v>A0096</x:v>
      </x:c>
      <x:c r="B97" s="84" t="str">
        <x:f>'Trade Features'!F97</x:f>
        <x:v>Long</x:v>
      </x:c>
      <x:c r="C97" s="91" t="str">
        <x:f>'Trade Features'!BX97</x:f>
        <x:v>17418.25</x:v>
      </x:c>
      <x:c r="D97" s="91" t="str">
        <x:f>'Trade Features'!CA97</x:f>
        <x:v>17390.022742727102</x:v>
      </x:c>
      <x:c r="E97" s="91" t="str">
        <x:f>'Trade Features'!CH97</x:f>
        <x:v>-0.6022547580746485</x:v>
      </x:c>
      <x:c r="F97" s="91" t="str">
        <x:f>'Trade Features'!CG97</x:f>
        <x:v>0.02568439409435995</x:v>
      </x:c>
      <x:c r="G97" s="92" t="n">
        <x:f>ABS(C97-D97)</x:f>
        <x:v>28.227257272897987</x:v>
      </x:c>
      <x:c r="H97" s="92" t="n">
        <x:f>IFERROR($O$2/(G97*$O$3),0)</x:f>
        <x:v>0.02568439409435995</x:v>
      </x:c>
      <x:c r="I97" s="92" t="n">
        <x:f>E97-H97</x:f>
        <x:v>-0.6279391521690084</x:v>
      </x:c>
      <x:c r="J97" s="91" t="str">
        <x:f>'Trade Features'!CI97</x:f>
        <x:v>-0.6279391521690084</x:v>
      </x:c>
      <x:c r="K97" s="92" t="n">
        <x:f>I97-J97</x:f>
        <x:v>0</x:v>
      </x:c>
      <x:c r="L97" s="90" t="str">
        <x:f>IF(ABS(K97)&lt;0.000000001,"PASS","FAIL")</x:f>
        <x:v>PASS</x:v>
      </x:c>
    </x:row>
    <x:row r="98">
      <x:c r="A98" s="84" t="str">
        <x:f>'Trade Features'!A98</x:f>
        <x:v>A0097</x:v>
      </x:c>
      <x:c r="B98" s="84" t="str">
        <x:f>'Trade Features'!F98</x:f>
        <x:v>Long</x:v>
      </x:c>
      <x:c r="C98" s="91" t="str">
        <x:f>'Trade Features'!BX98</x:f>
        <x:v>17461.5</x:v>
      </x:c>
      <x:c r="D98" s="91" t="str">
        <x:f>'Trade Features'!CA98</x:f>
        <x:v>17452.898234888187</x:v>
      </x:c>
      <x:c r="E98" s="91" t="str">
        <x:f>'Trade Features'!CH98</x:f>
        <x:v>-1.0</x:v>
      </x:c>
      <x:c r="F98" s="91" t="str">
        <x:f>'Trade Features'!CG98</x:f>
        <x:v>0.08428502645397343</x:v>
      </x:c>
      <x:c r="G98" s="92" t="n">
        <x:f>ABS(C98-D98)</x:f>
        <x:v>8.60176511181271</x:v>
      </x:c>
      <x:c r="H98" s="92" t="n">
        <x:f>IFERROR($O$2/(G98*$O$3),0)</x:f>
        <x:v>0.08428502645397343</x:v>
      </x:c>
      <x:c r="I98" s="92" t="n">
        <x:f>E98-H98</x:f>
        <x:v>-1.0842850264539734</x:v>
      </x:c>
      <x:c r="J98" s="91" t="str">
        <x:f>'Trade Features'!CI98</x:f>
        <x:v>-1.0842850264539734</x:v>
      </x:c>
      <x:c r="K98" s="92" t="n">
        <x:f>I98-J98</x:f>
        <x:v>0</x:v>
      </x:c>
      <x:c r="L98" s="90" t="str">
        <x:f>IF(ABS(K98)&lt;0.000000001,"PASS","FAIL")</x:f>
        <x:v>PASS</x:v>
      </x:c>
    </x:row>
    <x:row r="99">
      <x:c r="A99" s="84" t="str">
        <x:f>'Trade Features'!A99</x:f>
        <x:v>A0098</x:v>
      </x:c>
      <x:c r="B99" s="84" t="str">
        <x:f>'Trade Features'!F99</x:f>
        <x:v>Long</x:v>
      </x:c>
      <x:c r="C99" s="91" t="str">
        <x:f>'Trade Features'!BX99</x:f>
        <x:v>17464.75</x:v>
      </x:c>
      <x:c r="D99" s="91" t="str">
        <x:f>'Trade Features'!CA99</x:f>
        <x:v>17442.34542134449</x:v>
      </x:c>
      <x:c r="E99" s="91" t="str">
        <x:f>'Trade Features'!CH99</x:f>
        <x:v>-1.0</x:v>
      </x:c>
      <x:c r="F99" s="91" t="str">
        <x:f>'Trade Features'!CG99</x:f>
        <x:v>0.032359457017580494</x:v>
      </x:c>
      <x:c r="G99" s="92" t="n">
        <x:f>ABS(C99-D99)</x:f>
        <x:v>22.404578655510704</x:v>
      </x:c>
      <x:c r="H99" s="92" t="n">
        <x:f>IFERROR($O$2/(G99*$O$3),0)</x:f>
        <x:v>0.032359457017580494</x:v>
      </x:c>
      <x:c r="I99" s="92" t="n">
        <x:f>E99-H99</x:f>
        <x:v>-1.0323594570175805</x:v>
      </x:c>
      <x:c r="J99" s="91" t="str">
        <x:f>'Trade Features'!CI99</x:f>
        <x:v>-1.0323594570175805</x:v>
      </x:c>
      <x:c r="K99" s="92" t="n">
        <x:f>I99-J99</x:f>
        <x:v>0</x:v>
      </x:c>
      <x:c r="L99" s="90" t="str">
        <x:f>IF(ABS(K99)&lt;0.000000001,"PASS","FAIL")</x:f>
        <x:v>PASS</x:v>
      </x:c>
    </x:row>
    <x:row r="100">
      <x:c r="A100" s="84" t="str">
        <x:f>'Trade Features'!A100</x:f>
        <x:v>A0099</x:v>
      </x:c>
      <x:c r="B100" s="84" t="str">
        <x:f>'Trade Features'!F100</x:f>
        <x:v>Long</x:v>
      </x:c>
      <x:c r="C100" s="91" t="str">
        <x:f>'Trade Features'!BX100</x:f>
        <x:v>17457.5</x:v>
      </x:c>
      <x:c r="D100" s="91" t="str">
        <x:f>'Trade Features'!CA100</x:f>
        <x:v>17425.31228634129</x:v>
      </x:c>
      <x:c r="E100" s="91" t="str">
        <x:f>'Trade Features'!CH100</x:f>
        <x:v>-0.2640759169826851</x:v>
      </x:c>
      <x:c r="F100" s="91" t="str">
        <x:f>'Trade Features'!CG100</x:f>
        <x:v>0.02252412233087625</x:v>
      </x:c>
      <x:c r="G100" s="92" t="n">
        <x:f>ABS(C100-D100)</x:f>
        <x:v>32.18771365870998</x:v>
      </x:c>
      <x:c r="H100" s="92" t="n">
        <x:f>IFERROR($O$2/(G100*$O$3),0)</x:f>
        <x:v>0.02252412233087625</x:v>
      </x:c>
      <x:c r="I100" s="92" t="n">
        <x:f>E100-H100</x:f>
        <x:v>-0.28660003931356137</x:v>
      </x:c>
      <x:c r="J100" s="91" t="str">
        <x:f>'Trade Features'!CI100</x:f>
        <x:v>-0.28660003931356137</x:v>
      </x:c>
      <x:c r="K100" s="92" t="n">
        <x:f>I100-J100</x:f>
        <x:v>0</x:v>
      </x:c>
      <x:c r="L100" s="90" t="str">
        <x:f>IF(ABS(K100)&lt;0.000000001,"PASS","FAIL")</x:f>
        <x:v>PASS</x:v>
      </x:c>
    </x:row>
    <x:row r="101">
      <x:c r="A101" s="84" t="str">
        <x:f>'Trade Features'!A101</x:f>
        <x:v>A0100</x:v>
      </x:c>
      <x:c r="B101" s="84" t="str">
        <x:f>'Trade Features'!F101</x:f>
        <x:v>Short</x:v>
      </x:c>
      <x:c r="C101" s="91" t="str">
        <x:f>'Trade Features'!BX101</x:f>
        <x:v>17445.75</x:v>
      </x:c>
      <x:c r="D101" s="91" t="str">
        <x:f>'Trade Features'!CA101</x:f>
        <x:v>17450.203426383152</x:v>
      </x:c>
      <x:c r="E101" s="91" t="str">
        <x:f>'Trade Features'!CH101</x:f>
        <x:v>2.0</x:v>
      </x:c>
      <x:c r="F101" s="91" t="str">
        <x:f>'Trade Features'!CG101</x:f>
        <x:v>0.1627959996695562</x:v>
      </x:c>
      <x:c r="G101" s="92" t="n">
        <x:f>ABS(C101-D101)</x:f>
        <x:v>4.453426383151964</x:v>
      </x:c>
      <x:c r="H101" s="92" t="n">
        <x:f>IFERROR($O$2/(G101*$O$3),0)</x:f>
        <x:v>0.1627959996695562</x:v>
      </x:c>
      <x:c r="I101" s="92" t="n">
        <x:f>E101-H101</x:f>
        <x:v>1.8372040003304437</x:v>
      </x:c>
      <x:c r="J101" s="91" t="str">
        <x:f>'Trade Features'!CI101</x:f>
        <x:v>1.8372040003304437</x:v>
      </x:c>
      <x:c r="K101" s="92" t="n">
        <x:f>I101-J101</x:f>
        <x:v>0</x:v>
      </x:c>
      <x:c r="L101" s="90" t="str">
        <x:f>IF(ABS(K101)&lt;0.000000001,"PASS","FAIL")</x:f>
        <x:v>PASS</x:v>
      </x:c>
    </x:row>
    <x:row r="102">
      <x:c r="A102" s="84" t="str">
        <x:f>'Trade Features'!A102</x:f>
        <x:v>A0101</x:v>
      </x:c>
      <x:c r="B102" s="84" t="str">
        <x:f>'Trade Features'!F102</x:f>
        <x:v>Long</x:v>
      </x:c>
      <x:c r="C102" s="91" t="str">
        <x:f>'Trade Features'!BX102</x:f>
        <x:v>17556.75</x:v>
      </x:c>
      <x:c r="D102" s="91" t="str">
        <x:f>'Trade Features'!CA102</x:f>
        <x:v>17532.77067504835</x:v>
      </x:c>
      <x:c r="E102" s="91" t="str">
        <x:f>'Trade Features'!CH102</x:f>
        <x:v>-1.0</x:v>
      </x:c>
      <x:c r="F102" s="91" t="str">
        <x:f>'Trade Features'!CG102</x:f>
        <x:v>0.03023437905202864</x:v>
      </x:c>
      <x:c r="G102" s="92" t="n">
        <x:f>ABS(C102-D102)</x:f>
        <x:v>23.979324951651506</x:v>
      </x:c>
      <x:c r="H102" s="92" t="n">
        <x:f>IFERROR($O$2/(G102*$O$3),0)</x:f>
        <x:v>0.03023437905202864</x:v>
      </x:c>
      <x:c r="I102" s="92" t="n">
        <x:f>E102-H102</x:f>
        <x:v>-1.0302343790520287</x:v>
      </x:c>
      <x:c r="J102" s="91" t="str">
        <x:f>'Trade Features'!CI102</x:f>
        <x:v>-1.0302343790520287</x:v>
      </x:c>
      <x:c r="K102" s="92" t="n">
        <x:f>I102-J102</x:f>
        <x:v>0</x:v>
      </x:c>
      <x:c r="L102" s="90" t="str">
        <x:f>IF(ABS(K102)&lt;0.000000001,"PASS","FAIL")</x:f>
        <x:v>PASS</x:v>
      </x:c>
    </x:row>
    <x:row r="103">
      <x:c r="A103" s="84" t="str">
        <x:f>'Trade Features'!A103</x:f>
        <x:v>A0102</x:v>
      </x:c>
      <x:c r="B103" s="84" t="str">
        <x:f>'Trade Features'!F103</x:f>
        <x:v>Long</x:v>
      </x:c>
      <x:c r="C103" s="91" t="str">
        <x:f>'Trade Features'!BX103</x:f>
        <x:v>17651.5</x:v>
      </x:c>
      <x:c r="D103" s="91" t="str">
        <x:f>'Trade Features'!CA103</x:f>
        <x:v>17631.58501588744</x:v>
      </x:c>
      <x:c r="E103" s="91" t="str">
        <x:f>'Trade Features'!CH103</x:f>
        <x:v>-1.0</x:v>
      </x:c>
      <x:c r="F103" s="91" t="str">
        <x:f>'Trade Features'!CG103</x:f>
        <x:v>0.03640474910259612</x:v>
      </x:c>
      <x:c r="G103" s="92" t="n">
        <x:f>ABS(C103-D103)</x:f>
        <x:v>19.914984112561797</x:v>
      </x:c>
      <x:c r="H103" s="92" t="n">
        <x:f>IFERROR($O$2/(G103*$O$3),0)</x:f>
        <x:v>0.03640474910259612</x:v>
      </x:c>
      <x:c r="I103" s="92" t="n">
        <x:f>E103-H103</x:f>
        <x:v>-1.036404749102596</x:v>
      </x:c>
      <x:c r="J103" s="91" t="str">
        <x:f>'Trade Features'!CI103</x:f>
        <x:v>-1.036404749102596</x:v>
      </x:c>
      <x:c r="K103" s="92" t="n">
        <x:f>I103-J103</x:f>
        <x:v>0</x:v>
      </x:c>
      <x:c r="L103" s="90" t="str">
        <x:f>IF(ABS(K103)&lt;0.000000001,"PASS","FAIL")</x:f>
        <x:v>PASS</x:v>
      </x:c>
    </x:row>
    <x:row r="104">
      <x:c r="A104" s="84" t="str">
        <x:f>'Trade Features'!A104</x:f>
        <x:v>A0103</x:v>
      </x:c>
      <x:c r="B104" s="84" t="str">
        <x:f>'Trade Features'!F104</x:f>
        <x:v>Long</x:v>
      </x:c>
      <x:c r="C104" s="91" t="str">
        <x:f>'Trade Features'!BX104</x:f>
        <x:v>17737.5</x:v>
      </x:c>
      <x:c r="D104" s="91" t="str">
        <x:f>'Trade Features'!CA104</x:f>
        <x:v>17716.577645347592</x:v>
      </x:c>
      <x:c r="E104" s="91" t="str">
        <x:f>'Trade Features'!CH104</x:f>
        <x:v>-0.5616002689567001</x:v>
      </x:c>
      <x:c r="F104" s="91" t="str">
        <x:f>'Trade Features'!CG104</x:f>
        <x:v>0.03465193148881809</x:v>
      </x:c>
      <x:c r="G104" s="92" t="n">
        <x:f>ABS(C104-D104)</x:f>
        <x:v>20.922354652408103</x:v>
      </x:c>
      <x:c r="H104" s="92" t="n">
        <x:f>IFERROR($O$2/(G104*$O$3),0)</x:f>
        <x:v>0.03465193148881809</x:v>
      </x:c>
      <x:c r="I104" s="92" t="n">
        <x:f>E104-H104</x:f>
        <x:v>-0.5962522004455182</x:v>
      </x:c>
      <x:c r="J104" s="91" t="str">
        <x:f>'Trade Features'!CI104</x:f>
        <x:v>-0.5962522004455182</x:v>
      </x:c>
      <x:c r="K104" s="92" t="n">
        <x:f>I104-J104</x:f>
        <x:v>0</x:v>
      </x:c>
      <x:c r="L104" s="90" t="str">
        <x:f>IF(ABS(K104)&lt;0.000000001,"PASS","FAIL")</x:f>
        <x:v>PASS</x:v>
      </x:c>
    </x:row>
    <x:row r="105">
      <x:c r="A105" s="84" t="str">
        <x:f>'Trade Features'!A105</x:f>
        <x:v>A0104</x:v>
      </x:c>
      <x:c r="B105" s="84" t="str">
        <x:f>'Trade Features'!F105</x:f>
        <x:v>Short</x:v>
      </x:c>
      <x:c r="C105" s="91" t="str">
        <x:f>'Trade Features'!BX105</x:f>
        <x:v>17713.75</x:v>
      </x:c>
      <x:c r="D105" s="91" t="str">
        <x:f>'Trade Features'!CA105</x:f>
        <x:v>17723.022213950382</x:v>
      </x:c>
      <x:c r="E105" s="91" t="str">
        <x:f>'Trade Features'!CH105</x:f>
        <x:v>-0.29658504589255247</x:v>
      </x:c>
      <x:c r="F105" s="91" t="str">
        <x:f>'Trade Features'!CG105</x:f>
        <x:v>0.07819060300804646</x:v>
      </x:c>
      <x:c r="G105" s="92" t="n">
        <x:f>ABS(C105-D105)</x:f>
        <x:v>9.272213950382138</x:v>
      </x:c>
      <x:c r="H105" s="92" t="n">
        <x:f>IFERROR($O$2/(G105*$O$3),0)</x:f>
        <x:v>0.07819060300804646</x:v>
      </x:c>
      <x:c r="I105" s="92" t="n">
        <x:f>E105-H105</x:f>
        <x:v>-0.37477564890059895</x:v>
      </x:c>
      <x:c r="J105" s="91" t="str">
        <x:f>'Trade Features'!CI105</x:f>
        <x:v>-0.37477564890059895</x:v>
      </x:c>
      <x:c r="K105" s="92" t="n">
        <x:f>I105-J105</x:f>
        <x:v>0</x:v>
      </x:c>
      <x:c r="L105" s="90" t="str">
        <x:f>IF(ABS(K105)&lt;0.000000001,"PASS","FAIL")</x:f>
        <x:v>PASS</x:v>
      </x:c>
    </x:row>
    <x:row r="106">
      <x:c r="A106" s="84" t="str">
        <x:f>'Trade Features'!A106</x:f>
        <x:v>A0105</x:v>
      </x:c>
      <x:c r="B106" s="84" t="str">
        <x:f>'Trade Features'!F106</x:f>
        <x:v>Long</x:v>
      </x:c>
      <x:c r="C106" s="91" t="str">
        <x:f>'Trade Features'!BX106</x:f>
        <x:v>17734.25</x:v>
      </x:c>
      <x:c r="D106" s="91" t="str">
        <x:f>'Trade Features'!CA106</x:f>
        <x:v>17721.94930233529</x:v>
      </x:c>
      <x:c r="E106" s="91" t="str">
        <x:f>'Trade Features'!CH106</x:f>
        <x:v>2.0</x:v>
      </x:c>
      <x:c r="F106" s="91" t="str">
        <x:f>'Trade Features'!CG106</x:f>
        <x:v>0.0589397463267532</x:v>
      </x:c>
      <x:c r="G106" s="92" t="n">
        <x:f>ABS(C106-D106)</x:f>
        <x:v>12.300697664708423</x:v>
      </x:c>
      <x:c r="H106" s="92" t="n">
        <x:f>IFERROR($O$2/(G106*$O$3),0)</x:f>
        <x:v>0.0589397463267532</x:v>
      </x:c>
      <x:c r="I106" s="92" t="n">
        <x:f>E106-H106</x:f>
        <x:v>1.9410602536732469</x:v>
      </x:c>
      <x:c r="J106" s="91" t="str">
        <x:f>'Trade Features'!CI106</x:f>
        <x:v>1.9410602536732469</x:v>
      </x:c>
      <x:c r="K106" s="92" t="n">
        <x:f>I106-J106</x:f>
        <x:v>0</x:v>
      </x:c>
      <x:c r="L106" s="90" t="str">
        <x:f>IF(ABS(K106)&lt;0.000000001,"PASS","FAIL")</x:f>
        <x:v>PASS</x:v>
      </x:c>
    </x:row>
    <x:row r="107">
      <x:c r="A107" s="84" t="str">
        <x:f>'Trade Features'!A107</x:f>
        <x:v>A0106</x:v>
      </x:c>
      <x:c r="B107" s="84" t="str">
        <x:f>'Trade Features'!F107</x:f>
        <x:v>Long</x:v>
      </x:c>
      <x:c r="C107" s="91" t="str">
        <x:f>'Trade Features'!BX107</x:f>
        <x:v>17760.25</x:v>
      </x:c>
      <x:c r="D107" s="91" t="str">
        <x:f>'Trade Features'!CA107</x:f>
        <x:v>17726.045783012014</x:v>
      </x:c>
      <x:c r="E107" s="91" t="str">
        <x:f>'Trade Features'!CH107</x:f>
        <x:v>-0.8259215525946003</x:v>
      </x:c>
      <x:c r="F107" s="91" t="str">
        <x:f>'Trade Features'!CG107</x:f>
        <x:v>0.02119621683649859</x:v>
      </x:c>
      <x:c r="G107" s="92" t="n">
        <x:f>ABS(C107-D107)</x:f>
        <x:v>34.204216987986</x:v>
      </x:c>
      <x:c r="H107" s="92" t="n">
        <x:f>IFERROR($O$2/(G107*$O$3),0)</x:f>
        <x:v>0.02119621683649859</x:v>
      </x:c>
      <x:c r="I107" s="92" t="n">
        <x:f>E107-H107</x:f>
        <x:v>-0.847117769431099</x:v>
      </x:c>
      <x:c r="J107" s="91" t="str">
        <x:f>'Trade Features'!CI107</x:f>
        <x:v>-0.847117769431099</x:v>
      </x:c>
      <x:c r="K107" s="92" t="n">
        <x:f>I107-J107</x:f>
        <x:v>0</x:v>
      </x:c>
      <x:c r="L107" s="90" t="str">
        <x:f>IF(ABS(K107)&lt;0.000000001,"PASS","FAIL")</x:f>
        <x:v>PASS</x:v>
      </x:c>
    </x:row>
    <x:row r="108">
      <x:c r="A108" s="84" t="str">
        <x:f>'Trade Features'!A108</x:f>
        <x:v>A0107</x:v>
      </x:c>
      <x:c r="B108" s="84" t="str">
        <x:f>'Trade Features'!F108</x:f>
        <x:v>Short</x:v>
      </x:c>
      <x:c r="C108" s="91" t="str">
        <x:f>'Trade Features'!BX108</x:f>
        <x:v>17806.75</x:v>
      </x:c>
      <x:c r="D108" s="91" t="str">
        <x:f>'Trade Features'!CA108</x:f>
        <x:v>17820.37424246346</x:v>
      </x:c>
      <x:c r="E108" s="91" t="str">
        <x:f>'Trade Features'!CH108</x:f>
        <x:v>-1.0</x:v>
      </x:c>
      <x:c r="F108" s="91" t="str">
        <x:f>'Trade Features'!CG108</x:f>
        <x:v>0.0532139678183595</x:v>
      </x:c>
      <x:c r="G108" s="92" t="n">
        <x:f>ABS(C108-D108)</x:f>
        <x:v>13.624242463458359</x:v>
      </x:c>
      <x:c r="H108" s="92" t="n">
        <x:f>IFERROR($O$2/(G108*$O$3),0)</x:f>
        <x:v>0.0532139678183595</x:v>
      </x:c>
      <x:c r="I108" s="92" t="n">
        <x:f>E108-H108</x:f>
        <x:v>-1.0532139678183594</x:v>
      </x:c>
      <x:c r="J108" s="91" t="str">
        <x:f>'Trade Features'!CI108</x:f>
        <x:v>-1.0532139678183594</x:v>
      </x:c>
      <x:c r="K108" s="92" t="n">
        <x:f>I108-J108</x:f>
        <x:v>0</x:v>
      </x:c>
      <x:c r="L108" s="90" t="str">
        <x:f>IF(ABS(K108)&lt;0.000000001,"PASS","FAIL")</x:f>
        <x:v>PASS</x:v>
      </x:c>
    </x:row>
    <x:row r="109">
      <x:c r="A109" s="84" t="str">
        <x:f>'Trade Features'!A109</x:f>
        <x:v>A0108</x:v>
      </x:c>
      <x:c r="B109" s="84" t="str">
        <x:f>'Trade Features'!F109</x:f>
        <x:v>Long</x:v>
      </x:c>
      <x:c r="C109" s="91" t="str">
        <x:f>'Trade Features'!BX109</x:f>
        <x:v>17799.5</x:v>
      </x:c>
      <x:c r="D109" s="91" t="str">
        <x:f>'Trade Features'!CA109</x:f>
        <x:v>17777.132398959307</x:v>
      </x:c>
      <x:c r="E109" s="91" t="str">
        <x:f>'Trade Features'!CH109</x:f>
        <x:v>-1.0</x:v>
      </x:c>
      <x:c r="F109" s="91" t="str">
        <x:f>'Trade Features'!CG109</x:f>
        <x:v>0.03241295294390466</x:v>
      </x:c>
      <x:c r="G109" s="92" t="n">
        <x:f>ABS(C109-D109)</x:f>
        <x:v>22.367601040692534</x:v>
      </x:c>
      <x:c r="H109" s="92" t="n">
        <x:f>IFERROR($O$2/(G109*$O$3),0)</x:f>
        <x:v>0.03241295294390466</x:v>
      </x:c>
      <x:c r="I109" s="92" t="n">
        <x:f>E109-H109</x:f>
        <x:v>-1.0324129529439046</x:v>
      </x:c>
      <x:c r="J109" s="91" t="str">
        <x:f>'Trade Features'!CI109</x:f>
        <x:v>-1.0324129529439046</x:v>
      </x:c>
      <x:c r="K109" s="92" t="n">
        <x:f>I109-J109</x:f>
        <x:v>0</x:v>
      </x:c>
      <x:c r="L109" s="90" t="str">
        <x:f>IF(ABS(K109)&lt;0.000000001,"PASS","FAIL")</x:f>
        <x:v>PASS</x:v>
      </x:c>
    </x:row>
    <x:row r="110">
      <x:c r="A110" s="84" t="str">
        <x:f>'Trade Features'!A110</x:f>
        <x:v>A0109</x:v>
      </x:c>
      <x:c r="B110" s="84" t="str">
        <x:f>'Trade Features'!F110</x:f>
        <x:v>Short</x:v>
      </x:c>
      <x:c r="C110" s="91" t="str">
        <x:f>'Trade Features'!BX110</x:f>
        <x:v>17829.0</x:v>
      </x:c>
      <x:c r="D110" s="91" t="str">
        <x:f>'Trade Features'!CA110</x:f>
        <x:v>17837.98727448527</x:v>
      </x:c>
      <x:c r="E110" s="91" t="str">
        <x:f>'Trade Features'!CH110</x:f>
        <x:v>-1.0</x:v>
      </x:c>
      <x:c r="F110" s="91" t="str">
        <x:f>'Trade Features'!CG110</x:f>
        <x:v>0.08066961804586383</x:v>
      </x:c>
      <x:c r="G110" s="92" t="n">
        <x:f>ABS(C110-D110)</x:f>
        <x:v>8.987274485269154</x:v>
      </x:c>
      <x:c r="H110" s="92" t="n">
        <x:f>IFERROR($O$2/(G110*$O$3),0)</x:f>
        <x:v>0.08066961804586383</x:v>
      </x:c>
      <x:c r="I110" s="92" t="n">
        <x:f>E110-H110</x:f>
        <x:v>-1.080669618045864</x:v>
      </x:c>
      <x:c r="J110" s="91" t="str">
        <x:f>'Trade Features'!CI110</x:f>
        <x:v>-1.080669618045864</x:v>
      </x:c>
      <x:c r="K110" s="92" t="n">
        <x:f>I110-J110</x:f>
        <x:v>0</x:v>
      </x:c>
      <x:c r="L110" s="90" t="str">
        <x:f>IF(ABS(K110)&lt;0.000000001,"PASS","FAIL")</x:f>
        <x:v>PASS</x:v>
      </x:c>
    </x:row>
    <x:row r="111">
      <x:c r="A111" s="84" t="str">
        <x:f>'Trade Features'!A111</x:f>
        <x:v>A0110</x:v>
      </x:c>
      <x:c r="B111" s="84" t="str">
        <x:f>'Trade Features'!F111</x:f>
        <x:v>Long</x:v>
      </x:c>
      <x:c r="C111" s="91" t="str">
        <x:f>'Trade Features'!BX111</x:f>
        <x:v>17959.5</x:v>
      </x:c>
      <x:c r="D111" s="91" t="str">
        <x:f>'Trade Features'!CA111</x:f>
        <x:v>17939.13290759565</x:v>
      </x:c>
      <x:c r="E111" s="91" t="str">
        <x:f>'Trade Features'!CH111</x:f>
        <x:v>-0.5032628023924371</x:v>
      </x:c>
      <x:c r="F111" s="91" t="str">
        <x:f>'Trade Features'!CG111</x:f>
        <x:v>0.03559663724239424</x:v>
      </x:c>
      <x:c r="G111" s="92" t="n">
        <x:f>ABS(C111-D111)</x:f>
        <x:v>20.367092404350842</x:v>
      </x:c>
      <x:c r="H111" s="92" t="n">
        <x:f>IFERROR($O$2/(G111*$O$3),0)</x:f>
        <x:v>0.03559663724239424</x:v>
      </x:c>
      <x:c r="I111" s="92" t="n">
        <x:f>E111-H111</x:f>
        <x:v>-0.5388594396348314</x:v>
      </x:c>
      <x:c r="J111" s="91" t="str">
        <x:f>'Trade Features'!CI111</x:f>
        <x:v>-0.5388594396348314</x:v>
      </x:c>
      <x:c r="K111" s="92" t="n">
        <x:f>I111-J111</x:f>
        <x:v>0</x:v>
      </x:c>
      <x:c r="L111" s="90" t="str">
        <x:f>IF(ABS(K111)&lt;0.000000001,"PASS","FAIL")</x:f>
        <x:v>PASS</x:v>
      </x:c>
    </x:row>
    <x:row r="112">
      <x:c r="A112" s="84" t="str">
        <x:f>'Trade Features'!A112</x:f>
        <x:v>A0111</x:v>
      </x:c>
      <x:c r="B112" s="84" t="str">
        <x:f>'Trade Features'!F112</x:f>
        <x:v>Short</x:v>
      </x:c>
      <x:c r="C112" s="91" t="str">
        <x:f>'Trade Features'!BX112</x:f>
        <x:v>17941.0</x:v>
      </x:c>
      <x:c r="D112" s="91" t="str">
        <x:f>'Trade Features'!CA112</x:f>
        <x:v>17949.38381196846</x:v>
      </x:c>
      <x:c r="E112" s="91" t="str">
        <x:f>'Trade Features'!CH112</x:f>
        <x:v>-1.0</x:v>
      </x:c>
      <x:c r="F112" s="91" t="str">
        <x:f>'Trade Features'!CG112</x:f>
        <x:v>0.08647617607927825</x:v>
      </x:c>
      <x:c r="G112" s="92" t="n">
        <x:f>ABS(C112-D112)</x:f>
        <x:v>8.383811968458758</x:v>
      </x:c>
      <x:c r="H112" s="92" t="n">
        <x:f>IFERROR($O$2/(G112*$O$3),0)</x:f>
        <x:v>0.08647617607927825</x:v>
      </x:c>
      <x:c r="I112" s="92" t="n">
        <x:f>E112-H112</x:f>
        <x:v>-1.0864761760792783</x:v>
      </x:c>
      <x:c r="J112" s="91" t="str">
        <x:f>'Trade Features'!CI112</x:f>
        <x:v>-1.0864761760792783</x:v>
      </x:c>
      <x:c r="K112" s="92" t="n">
        <x:f>I112-J112</x:f>
        <x:v>0</x:v>
      </x:c>
      <x:c r="L112" s="90" t="str">
        <x:f>IF(ABS(K112)&lt;0.000000001,"PASS","FAIL")</x:f>
        <x:v>PASS</x:v>
      </x:c>
    </x:row>
    <x:row r="113">
      <x:c r="A113" s="84" t="str">
        <x:f>'Trade Features'!A113</x:f>
        <x:v>A0112</x:v>
      </x:c>
      <x:c r="B113" s="84" t="str">
        <x:f>'Trade Features'!F113</x:f>
        <x:v>Long</x:v>
      </x:c>
      <x:c r="C113" s="91" t="str">
        <x:f>'Trade Features'!BX113</x:f>
        <x:v>18273.5</x:v>
      </x:c>
      <x:c r="D113" s="91" t="str">
        <x:f>'Trade Features'!CA113</x:f>
        <x:v>18267.559103240343</x:v>
      </x:c>
      <x:c r="E113" s="91" t="str">
        <x:f>'Trade Features'!CH113</x:f>
        <x:v>-1.0</x:v>
      </x:c>
      <x:c r="F113" s="91" t="str">
        <x:f>'Trade Features'!CG113</x:f>
        <x:v>0.12203544840624655</x:v>
      </x:c>
      <x:c r="G113" s="92" t="n">
        <x:f>ABS(C113-D113)</x:f>
        <x:v>5.940896759657335</x:v>
      </x:c>
      <x:c r="H113" s="92" t="n">
        <x:f>IFERROR($O$2/(G113*$O$3),0)</x:f>
        <x:v>0.12203544840624655</x:v>
      </x:c>
      <x:c r="I113" s="92" t="n">
        <x:f>E113-H113</x:f>
        <x:v>-1.1220354484062465</x:v>
      </x:c>
      <x:c r="J113" s="91" t="str">
        <x:f>'Trade Features'!CI113</x:f>
        <x:v>-1.1220354484062465</x:v>
      </x:c>
      <x:c r="K113" s="92" t="n">
        <x:f>I113-J113</x:f>
        <x:v>0</x:v>
      </x:c>
      <x:c r="L113" s="90" t="str">
        <x:f>IF(ABS(K113)&lt;0.000000001,"PASS","FAIL")</x:f>
        <x:v>PASS</x:v>
      </x:c>
    </x:row>
    <x:row r="114">
      <x:c r="A114" s="84" t="str">
        <x:f>'Trade Features'!A114</x:f>
        <x:v>A0113</x:v>
      </x:c>
      <x:c r="B114" s="84" t="str">
        <x:f>'Trade Features'!F114</x:f>
        <x:v>Short</x:v>
      </x:c>
      <x:c r="C114" s="91" t="str">
        <x:f>'Trade Features'!BX114</x:f>
        <x:v>18235.75</x:v>
      </x:c>
      <x:c r="D114" s="91" t="str">
        <x:f>'Trade Features'!CA114</x:f>
        <x:v>18262.32150433215</x:v>
      </x:c>
      <x:c r="E114" s="91" t="str">
        <x:f>'Trade Features'!CH114</x:f>
        <x:v>0.2916658350661372</x:v>
      </x:c>
      <x:c r="F114" s="91" t="str">
        <x:f>'Trade Features'!CG114</x:f>
        <x:v>0.027284868441670187</x:v>
      </x:c>
      <x:c r="G114" s="92" t="n">
        <x:f>ABS(C114-D114)</x:f>
        <x:v>26.571504332150653</x:v>
      </x:c>
      <x:c r="H114" s="92" t="n">
        <x:f>IFERROR($O$2/(G114*$O$3),0)</x:f>
        <x:v>0.027284868441670187</x:v>
      </x:c>
      <x:c r="I114" s="92" t="n">
        <x:f>E114-H114</x:f>
        <x:v>0.26438096662446703</x:v>
      </x:c>
      <x:c r="J114" s="91" t="str">
        <x:f>'Trade Features'!CI114</x:f>
        <x:v>0.26438096662446703</x:v>
      </x:c>
      <x:c r="K114" s="92" t="n">
        <x:f>I114-J114</x:f>
        <x:v>0</x:v>
      </x:c>
      <x:c r="L114" s="90" t="str">
        <x:f>IF(ABS(K114)&lt;0.000000001,"PASS","FAIL")</x:f>
        <x:v>PASS</x:v>
      </x:c>
    </x:row>
    <x:row r="115">
      <x:c r="A115" s="84" t="str">
        <x:f>'Trade Features'!A115</x:f>
        <x:v>A0114</x:v>
      </x:c>
      <x:c r="B115" s="84" t="str">
        <x:f>'Trade Features'!F115</x:f>
        <x:v>Short</x:v>
      </x:c>
      <x:c r="C115" s="91" t="str">
        <x:f>'Trade Features'!BX115</x:f>
        <x:v>18185.75</x:v>
      </x:c>
      <x:c r="D115" s="91" t="str">
        <x:f>'Trade Features'!CA115</x:f>
        <x:v>18203.129074235825</x:v>
      </x:c>
      <x:c r="E115" s="91" t="str">
        <x:f>'Trade Features'!CH115</x:f>
        <x:v>-1.0</x:v>
      </x:c>
      <x:c r="F115" s="91" t="str">
        <x:f>'Trade Features'!CG115</x:f>
        <x:v>0.04171683659107055</x:v>
      </x:c>
      <x:c r="G115" s="92" t="n">
        <x:f>ABS(C115-D115)</x:f>
        <x:v>17.3790742358251</x:v>
      </x:c>
      <x:c r="H115" s="92" t="n">
        <x:f>IFERROR($O$2/(G115*$O$3),0)</x:f>
        <x:v>0.04171683659107055</x:v>
      </x:c>
      <x:c r="I115" s="92" t="n">
        <x:f>E115-H115</x:f>
        <x:v>-1.0417168365910705</x:v>
      </x:c>
      <x:c r="J115" s="91" t="str">
        <x:f>'Trade Features'!CI115</x:f>
        <x:v>-1.0417168365910705</x:v>
      </x:c>
      <x:c r="K115" s="92" t="n">
        <x:f>I115-J115</x:f>
        <x:v>0</x:v>
      </x:c>
      <x:c r="L115" s="90" t="str">
        <x:f>IF(ABS(K115)&lt;0.000000001,"PASS","FAIL")</x:f>
        <x:v>PASS</x:v>
      </x:c>
    </x:row>
    <x:row r="116">
      <x:c r="A116" s="84" t="str">
        <x:f>'Trade Features'!A116</x:f>
        <x:v>A0115</x:v>
      </x:c>
      <x:c r="B116" s="84" t="str">
        <x:f>'Trade Features'!F116</x:f>
        <x:v>Long</x:v>
      </x:c>
      <x:c r="C116" s="91" t="str">
        <x:f>'Trade Features'!BX116</x:f>
        <x:v>18216.5</x:v>
      </x:c>
      <x:c r="D116" s="91" t="str">
        <x:f>'Trade Features'!CA116</x:f>
        <x:v>18210.676168571415</x:v>
      </x:c>
      <x:c r="E116" s="91" t="str">
        <x:f>'Trade Features'!CH116</x:f>
        <x:v>-1.0</x:v>
      </x:c>
      <x:c r="F116" s="91" t="str">
        <x:f>'Trade Features'!CG116</x:f>
        <x:v>0.12448849333817517</x:v>
      </x:c>
      <x:c r="G116" s="92" t="n">
        <x:f>ABS(C116-D116)</x:f>
        <x:v>5.823831428584526</x:v>
      </x:c>
      <x:c r="H116" s="92" t="n">
        <x:f>IFERROR($O$2/(G116*$O$3),0)</x:f>
        <x:v>0.12448849333817517</x:v>
      </x:c>
      <x:c r="I116" s="92" t="n">
        <x:f>E116-H116</x:f>
        <x:v>-1.1244884933381751</x:v>
      </x:c>
      <x:c r="J116" s="91" t="str">
        <x:f>'Trade Features'!CI116</x:f>
        <x:v>-1.1244884933381751</x:v>
      </x:c>
      <x:c r="K116" s="92" t="n">
        <x:f>I116-J116</x:f>
        <x:v>0</x:v>
      </x:c>
      <x:c r="L116" s="90" t="str">
        <x:f>IF(ABS(K116)&lt;0.000000001,"PASS","FAIL")</x:f>
        <x:v>PASS</x:v>
      </x:c>
    </x:row>
    <x:row r="117">
      <x:c r="A117" s="84" t="str">
        <x:f>'Trade Features'!A117</x:f>
        <x:v>A0116</x:v>
      </x:c>
      <x:c r="B117" s="84" t="str">
        <x:f>'Trade Features'!F117</x:f>
        <x:v>Long</x:v>
      </x:c>
      <x:c r="C117" s="91" t="str">
        <x:f>'Trade Features'!BX117</x:f>
        <x:v>18218.0</x:v>
      </x:c>
      <x:c r="D117" s="91" t="str">
        <x:f>'Trade Features'!CA117</x:f>
        <x:v>18211.328573953237</x:v>
      </x:c>
      <x:c r="E117" s="91" t="str">
        <x:f>'Trade Features'!CH117</x:f>
        <x:v>-1.0</x:v>
      </x:c>
      <x:c r="F117" s="91" t="str">
        <x:f>'Trade Features'!CG117</x:f>
        <x:v>0.10867241799850756</x:v>
      </x:c>
      <x:c r="G117" s="92" t="n">
        <x:f>ABS(C117-D117)</x:f>
        <x:v>6.671426046763372</x:v>
      </x:c>
      <x:c r="H117" s="92" t="n">
        <x:f>IFERROR($O$2/(G117*$O$3),0)</x:f>
        <x:v>0.10867241799850756</x:v>
      </x:c>
      <x:c r="I117" s="92" t="n">
        <x:f>E117-H117</x:f>
        <x:v>-1.1086724179985075</x:v>
      </x:c>
      <x:c r="J117" s="91" t="str">
        <x:f>'Trade Features'!CI117</x:f>
        <x:v>-1.1086724179985075</x:v>
      </x:c>
      <x:c r="K117" s="92" t="n">
        <x:f>I117-J117</x:f>
        <x:v>0</x:v>
      </x:c>
      <x:c r="L117" s="90" t="str">
        <x:f>IF(ABS(K117)&lt;0.000000001,"PASS","FAIL")</x:f>
        <x:v>PASS</x:v>
      </x:c>
    </x:row>
    <x:row r="118">
      <x:c r="A118" s="84" t="str">
        <x:f>'Trade Features'!A118</x:f>
        <x:v>A0117</x:v>
      </x:c>
      <x:c r="B118" s="84" t="str">
        <x:f>'Trade Features'!F118</x:f>
        <x:v>Long</x:v>
      </x:c>
      <x:c r="C118" s="91" t="str">
        <x:f>'Trade Features'!BX118</x:f>
        <x:v>18374.0</x:v>
      </x:c>
      <x:c r="D118" s="91" t="str">
        <x:f>'Trade Features'!CA118</x:f>
        <x:v>18356.266411435878</x:v>
      </x:c>
      <x:c r="E118" s="91" t="str">
        <x:f>'Trade Features'!CH118</x:f>
        <x:v>-1.0</x:v>
      </x:c>
      <x:c r="F118" s="91" t="str">
        <x:f>'Trade Features'!CG118</x:f>
        <x:v>0.04088287023117149</x:v>
      </x:c>
      <x:c r="G118" s="92" t="n">
        <x:f>ABS(C118-D118)</x:f>
        <x:v>17.73358856412233</x:v>
      </x:c>
      <x:c r="H118" s="92" t="n">
        <x:f>IFERROR($O$2/(G118*$O$3),0)</x:f>
        <x:v>0.04088287023117149</x:v>
      </x:c>
      <x:c r="I118" s="92" t="n">
        <x:f>E118-H118</x:f>
        <x:v>-1.0408828702311714</x:v>
      </x:c>
      <x:c r="J118" s="91" t="str">
        <x:f>'Trade Features'!CI118</x:f>
        <x:v>-1.0408828702311714</x:v>
      </x:c>
      <x:c r="K118" s="92" t="n">
        <x:f>I118-J118</x:f>
        <x:v>0</x:v>
      </x:c>
      <x:c r="L118" s="90" t="str">
        <x:f>IF(ABS(K118)&lt;0.000000001,"PASS","FAIL")</x:f>
        <x:v>PASS</x:v>
      </x:c>
    </x:row>
    <x:row r="119">
      <x:c r="A119" s="84" t="str">
        <x:f>'Trade Features'!A119</x:f>
        <x:v>A0118</x:v>
      </x:c>
      <x:c r="B119" s="84" t="str">
        <x:f>'Trade Features'!F119</x:f>
        <x:v>Long</x:v>
      </x:c>
      <x:c r="C119" s="91" t="str">
        <x:f>'Trade Features'!BX119</x:f>
        <x:v>18404.25</x:v>
      </x:c>
      <x:c r="D119" s="91" t="str">
        <x:f>'Trade Features'!CA119</x:f>
        <x:v>18378.78082716461</x:v>
      </x:c>
      <x:c r="E119" s="91" t="str">
        <x:f>'Trade Features'!CH119</x:f>
        <x:v>-1.0</x:v>
      </x:c>
      <x:c r="F119" s="91" t="str">
        <x:f>'Trade Features'!CG119</x:f>
        <x:v>0.028465785076168405</x:v>
      </x:c>
      <x:c r="G119" s="92" t="n">
        <x:f>ABS(C119-D119)</x:f>
        <x:v>25.469172835390054</x:v>
      </x:c>
      <x:c r="H119" s="92" t="n">
        <x:f>IFERROR($O$2/(G119*$O$3),0)</x:f>
        <x:v>0.028465785076168405</x:v>
      </x:c>
      <x:c r="I119" s="92" t="n">
        <x:f>E119-H119</x:f>
        <x:v>-1.0284657850761685</x:v>
      </x:c>
      <x:c r="J119" s="91" t="str">
        <x:f>'Trade Features'!CI119</x:f>
        <x:v>-1.0284657850761685</x:v>
      </x:c>
      <x:c r="K119" s="92" t="n">
        <x:f>I119-J119</x:f>
        <x:v>0</x:v>
      </x:c>
      <x:c r="L119" s="90" t="str">
        <x:f>IF(ABS(K119)&lt;0.000000001,"PASS","FAIL")</x:f>
        <x:v>PASS</x:v>
      </x:c>
    </x:row>
    <x:row r="120">
      <x:c r="A120" s="84" t="str">
        <x:f>'Trade Features'!A120</x:f>
        <x:v>A0119</x:v>
      </x:c>
      <x:c r="B120" s="84" t="str">
        <x:f>'Trade Features'!F120</x:f>
        <x:v>Short</x:v>
      </x:c>
      <x:c r="C120" s="91" t="str">
        <x:f>'Trade Features'!BX120</x:f>
        <x:v>18335.5</x:v>
      </x:c>
      <x:c r="D120" s="91" t="str">
        <x:f>'Trade Features'!CA120</x:f>
        <x:v>18363.78163737612</x:v>
      </x:c>
      <x:c r="E120" s="91" t="str">
        <x:f>'Trade Features'!CH120</x:f>
        <x:v>1.6530160322144585</x:v>
      </x:c>
      <x:c r="F120" s="91" t="str">
        <x:f>'Trade Features'!CG120</x:f>
        <x:v>0.02563500798621264</x:v>
      </x:c>
      <x:c r="G120" s="92" t="n">
        <x:f>ABS(C120-D120)</x:f>
        <x:v>28.28163737611976</x:v>
      </x:c>
      <x:c r="H120" s="92" t="n">
        <x:f>IFERROR($O$2/(G120*$O$3),0)</x:f>
        <x:v>0.02563500798621264</x:v>
      </x:c>
      <x:c r="I120" s="92" t="n">
        <x:f>E120-H120</x:f>
        <x:v>1.6273810242282458</x:v>
      </x:c>
      <x:c r="J120" s="91" t="str">
        <x:f>'Trade Features'!CI120</x:f>
        <x:v>1.6273810242282458</x:v>
      </x:c>
      <x:c r="K120" s="92" t="n">
        <x:f>I120-J120</x:f>
        <x:v>0</x:v>
      </x:c>
      <x:c r="L120" s="90" t="str">
        <x:f>IF(ABS(K120)&lt;0.000000001,"PASS","FAIL")</x:f>
        <x:v>PASS</x:v>
      </x:c>
    </x:row>
    <x:row r="121">
      <x:c r="A121" s="84" t="str">
        <x:f>'Trade Features'!A121</x:f>
        <x:v>A0120</x:v>
      </x:c>
      <x:c r="B121" s="84" t="str">
        <x:f>'Trade Features'!F121</x:f>
        <x:v>Short</x:v>
      </x:c>
      <x:c r="C121" s="91" t="str">
        <x:f>'Trade Features'!BX121</x:f>
        <x:v>18203.25</x:v>
      </x:c>
      <x:c r="D121" s="91" t="str">
        <x:f>'Trade Features'!CA121</x:f>
        <x:v>18240.329135041517</x:v>
      </x:c>
      <x:c r="E121" s="91" t="str">
        <x:f>'Trade Features'!CH121</x:f>
        <x:v>-0.5596139170120101</x:v>
      </x:c>
      <x:c r="F121" s="91" t="str">
        <x:f>'Trade Features'!CG121</x:f>
        <x:v>0.019552775413672296</x:v>
      </x:c>
      <x:c r="G121" s="92" t="n">
        <x:f>ABS(C121-D121)</x:f>
        <x:v>37.079135041516565</x:v>
      </x:c>
      <x:c r="H121" s="92" t="n">
        <x:f>IFERROR($O$2/(G121*$O$3),0)</x:f>
        <x:v>0.019552775413672296</x:v>
      </x:c>
      <x:c r="I121" s="92" t="n">
        <x:f>E121-H121</x:f>
        <x:v>-0.5791666924256824</x:v>
      </x:c>
      <x:c r="J121" s="91" t="str">
        <x:f>'Trade Features'!CI121</x:f>
        <x:v>-0.5791666924256824</x:v>
      </x:c>
      <x:c r="K121" s="92" t="n">
        <x:f>I121-J121</x:f>
        <x:v>0</x:v>
      </x:c>
      <x:c r="L121" s="90" t="str">
        <x:f>IF(ABS(K121)&lt;0.000000001,"PASS","FAIL")</x:f>
        <x:v>PASS</x:v>
      </x:c>
    </x:row>
    <x:row r="122">
      <x:c r="A122" s="84" t="str">
        <x:f>'Trade Features'!A122</x:f>
        <x:v>A0121</x:v>
      </x:c>
      <x:c r="B122" s="84" t="str">
        <x:f>'Trade Features'!F122</x:f>
        <x:v>Short</x:v>
      </x:c>
      <x:c r="C122" s="91" t="str">
        <x:f>'Trade Features'!BX122</x:f>
        <x:v>18214.75</x:v>
      </x:c>
      <x:c r="D122" s="91" t="str">
        <x:f>'Trade Features'!CA122</x:f>
        <x:v>18240.93970158495</x:v>
      </x:c>
      <x:c r="E122" s="91" t="str">
        <x:f>'Trade Features'!CH122</x:f>
        <x:v>2.0</x:v>
      </x:c>
      <x:c r="F122" s="91" t="str">
        <x:f>'Trade Features'!CG122</x:f>
        <x:v>0.02768263691926239</x:v>
      </x:c>
      <x:c r="G122" s="92" t="n">
        <x:f>ABS(C122-D122)</x:f>
        <x:v>26.189701584949944</x:v>
      </x:c>
      <x:c r="H122" s="92" t="n">
        <x:f>IFERROR($O$2/(G122*$O$3),0)</x:f>
        <x:v>0.02768263691926239</x:v>
      </x:c>
      <x:c r="I122" s="92" t="n">
        <x:f>E122-H122</x:f>
        <x:v>1.9723173630807376</x:v>
      </x:c>
      <x:c r="J122" s="91" t="str">
        <x:f>'Trade Features'!CI122</x:f>
        <x:v>1.9723173630807376</x:v>
      </x:c>
      <x:c r="K122" s="92" t="n">
        <x:f>I122-J122</x:f>
        <x:v>0</x:v>
      </x:c>
      <x:c r="L122" s="90" t="str">
        <x:f>IF(ABS(K122)&lt;0.000000001,"PASS","FAIL")</x:f>
        <x:v>PASS</x:v>
      </x:c>
    </x:row>
    <x:row r="123">
      <x:c r="A123" s="84" t="str">
        <x:f>'Trade Features'!A123</x:f>
        <x:v>A0122</x:v>
      </x:c>
      <x:c r="B123" s="84" t="str">
        <x:f>'Trade Features'!F123</x:f>
        <x:v>Short</x:v>
      </x:c>
      <x:c r="C123" s="91" t="str">
        <x:f>'Trade Features'!BX123</x:f>
        <x:v>18061.0</x:v>
      </x:c>
      <x:c r="D123" s="91" t="str">
        <x:f>'Trade Features'!CA123</x:f>
        <x:v>18078.916476185208</x:v>
      </x:c>
      <x:c r="E123" s="91" t="str">
        <x:f>'Trade Features'!CH123</x:f>
        <x:v>-1.0</x:v>
      </x:c>
      <x:c r="F123" s="91" t="str">
        <x:f>'Trade Features'!CG123</x:f>
        <x:v>0.040465546489469054</x:v>
      </x:c>
      <x:c r="G123" s="92" t="n">
        <x:f>ABS(C123-D123)</x:f>
        <x:v>17.916476185208012</x:v>
      </x:c>
      <x:c r="H123" s="92" t="n">
        <x:f>IFERROR($O$2/(G123*$O$3),0)</x:f>
        <x:v>0.040465546489469054</x:v>
      </x:c>
      <x:c r="I123" s="92" t="n">
        <x:f>E123-H123</x:f>
        <x:v>-1.040465546489469</x:v>
      </x:c>
      <x:c r="J123" s="91" t="str">
        <x:f>'Trade Features'!CI123</x:f>
        <x:v>-1.040465546489469</x:v>
      </x:c>
      <x:c r="K123" s="92" t="n">
        <x:f>I123-J123</x:f>
        <x:v>0</x:v>
      </x:c>
      <x:c r="L123" s="90" t="str">
        <x:f>IF(ABS(K123)&lt;0.000000001,"PASS","FAIL")</x:f>
        <x:v>PASS</x:v>
      </x:c>
    </x:row>
    <x:row r="124">
      <x:c r="A124" s="84" t="str">
        <x:f>'Trade Features'!A124</x:f>
        <x:v>A0123</x:v>
      </x:c>
      <x:c r="B124" s="84" t="str">
        <x:f>'Trade Features'!F124</x:f>
        <x:v>Long</x:v>
      </x:c>
      <x:c r="C124" s="91" t="str">
        <x:f>'Trade Features'!BX124</x:f>
        <x:v>18075.0</x:v>
      </x:c>
      <x:c r="D124" s="91" t="str">
        <x:f>'Trade Features'!CA124</x:f>
        <x:v>18056.254862392518</x:v>
      </x:c>
      <x:c r="E124" s="91" t="str">
        <x:f>'Trade Features'!CH124</x:f>
        <x:v>2.0</x:v>
      </x:c>
      <x:c r="F124" s="91" t="str">
        <x:f>'Trade Features'!CG124</x:f>
        <x:v>0.03867669660160876</x:v>
      </x:c>
      <x:c r="G124" s="92" t="n">
        <x:f>ABS(C124-D124)</x:f>
        <x:v>18.74513760748232</x:v>
      </x:c>
      <x:c r="H124" s="92" t="n">
        <x:f>IFERROR($O$2/(G124*$O$3),0)</x:f>
        <x:v>0.03867669660160876</x:v>
      </x:c>
      <x:c r="I124" s="92" t="n">
        <x:f>E124-H124</x:f>
        <x:v>1.9613233033983912</x:v>
      </x:c>
      <x:c r="J124" s="91" t="str">
        <x:f>'Trade Features'!CI124</x:f>
        <x:v>1.9613233033983912</x:v>
      </x:c>
      <x:c r="K124" s="92" t="n">
        <x:f>I124-J124</x:f>
        <x:v>0</x:v>
      </x:c>
      <x:c r="L124" s="90" t="str">
        <x:f>IF(ABS(K124)&lt;0.000000001,"PASS","FAIL")</x:f>
        <x:v>PASS</x:v>
      </x:c>
    </x:row>
    <x:row r="125">
      <x:c r="A125" s="84" t="str">
        <x:f>'Trade Features'!A125</x:f>
        <x:v>A0124</x:v>
      </x:c>
      <x:c r="B125" s="84" t="str">
        <x:f>'Trade Features'!F125</x:f>
        <x:v>Short</x:v>
      </x:c>
      <x:c r="C125" s="91" t="str">
        <x:f>'Trade Features'!BX125</x:f>
        <x:v>18619.5</x:v>
      </x:c>
      <x:c r="D125" s="91" t="str">
        <x:f>'Trade Features'!CA125</x:f>
        <x:v>18639.149488193783</x:v>
      </x:c>
      <x:c r="E125" s="91" t="str">
        <x:f>'Trade Features'!CH125</x:f>
        <x:v>-1.0</x:v>
      </x:c>
      <x:c r="F125" s="91" t="str">
        <x:f>'Trade Features'!CG125</x:f>
        <x:v>0.03689663531436785</x:v>
      </x:c>
      <x:c r="G125" s="92" t="n">
        <x:f>ABS(C125-D125)</x:f>
        <x:v>19.649488193783327</x:v>
      </x:c>
      <x:c r="H125" s="92" t="n">
        <x:f>IFERROR($O$2/(G125*$O$3),0)</x:f>
        <x:v>0.03689663531436785</x:v>
      </x:c>
      <x:c r="I125" s="92" t="n">
        <x:f>E125-H125</x:f>
        <x:v>-1.0368966353143678</x:v>
      </x:c>
      <x:c r="J125" s="91" t="str">
        <x:f>'Trade Features'!CI125</x:f>
        <x:v>-1.0368966353143678</x:v>
      </x:c>
      <x:c r="K125" s="92" t="n">
        <x:f>I125-J125</x:f>
        <x:v>0</x:v>
      </x:c>
      <x:c r="L125" s="90" t="str">
        <x:f>IF(ABS(K125)&lt;0.000000001,"PASS","FAIL")</x:f>
        <x:v>PASS</x:v>
      </x:c>
    </x:row>
    <x:row r="126">
      <x:c r="A126" s="84" t="str">
        <x:f>'Trade Features'!A126</x:f>
        <x:v>A0125</x:v>
      </x:c>
      <x:c r="B126" s="84" t="str">
        <x:f>'Trade Features'!F126</x:f>
        <x:v>Short</x:v>
      </x:c>
      <x:c r="C126" s="91" t="str">
        <x:f>'Trade Features'!BX126</x:f>
        <x:v>18578.75</x:v>
      </x:c>
      <x:c r="D126" s="91" t="str">
        <x:f>'Trade Features'!CA126</x:f>
        <x:v>18604.9743427479</x:v>
      </x:c>
      <x:c r="E126" s="91" t="str">
        <x:f>'Trade Features'!CH126</x:f>
        <x:v>-1.0</x:v>
      </x:c>
      <x:c r="F126" s="91" t="str">
        <x:f>'Trade Features'!CG126</x:f>
        <x:v>0.027646069416097697</x:v>
      </x:c>
      <x:c r="G126" s="92" t="n">
        <x:f>ABS(C126-D126)</x:f>
        <x:v>26.224342747900664</x:v>
      </x:c>
      <x:c r="H126" s="92" t="n">
        <x:f>IFERROR($O$2/(G126*$O$3),0)</x:f>
        <x:v>0.027646069416097697</x:v>
      </x:c>
      <x:c r="I126" s="92" t="n">
        <x:f>E126-H126</x:f>
        <x:v>-1.0276460694160976</x:v>
      </x:c>
      <x:c r="J126" s="91" t="str">
        <x:f>'Trade Features'!CI126</x:f>
        <x:v>-1.0276460694160976</x:v>
      </x:c>
      <x:c r="K126" s="92" t="n">
        <x:f>I126-J126</x:f>
        <x:v>0</x:v>
      </x:c>
      <x:c r="L126" s="90" t="str">
        <x:f>IF(ABS(K126)&lt;0.000000001,"PASS","FAIL")</x:f>
        <x:v>PASS</x:v>
      </x:c>
    </x:row>
    <x:row r="127">
      <x:c r="A127" s="84" t="str">
        <x:f>'Trade Features'!A127</x:f>
        <x:v>A0126</x:v>
      </x:c>
      <x:c r="B127" s="84" t="str">
        <x:f>'Trade Features'!F127</x:f>
        <x:v>Long</x:v>
      </x:c>
      <x:c r="C127" s="91" t="str">
        <x:f>'Trade Features'!BX127</x:f>
        <x:v>18635.0</x:v>
      </x:c>
      <x:c r="D127" s="91" t="str">
        <x:f>'Trade Features'!CA127</x:f>
        <x:v>18627.816736260498</x:v>
      </x:c>
      <x:c r="E127" s="91" t="str">
        <x:f>'Trade Features'!CH127</x:f>
        <x:v>-1.0</x:v>
      </x:c>
      <x:c r="F127" s="91" t="str">
        <x:f>'Trade Features'!CG127</x:f>
        <x:v>0.10092905207045585</x:v>
      </x:c>
      <x:c r="G127" s="92" t="n">
        <x:f>ABS(C127-D127)</x:f>
        <x:v>7.183263739501854</x:v>
      </x:c>
      <x:c r="H127" s="92" t="n">
        <x:f>IFERROR($O$2/(G127*$O$3),0)</x:f>
        <x:v>0.10092905207045585</x:v>
      </x:c>
      <x:c r="I127" s="92" t="n">
        <x:f>E127-H127</x:f>
        <x:v>-1.1009290520704558</x:v>
      </x:c>
      <x:c r="J127" s="91" t="str">
        <x:f>'Trade Features'!CI127</x:f>
        <x:v>-1.1009290520704558</x:v>
      </x:c>
      <x:c r="K127" s="92" t="n">
        <x:f>I127-J127</x:f>
        <x:v>0</x:v>
      </x:c>
      <x:c r="L127" s="90" t="str">
        <x:f>IF(ABS(K127)&lt;0.000000001,"PASS","FAIL")</x:f>
        <x:v>PASS</x:v>
      </x:c>
    </x:row>
    <x:row r="128">
      <x:c r="A128" s="84" t="str">
        <x:f>'Trade Features'!A128</x:f>
        <x:v>A0127</x:v>
      </x:c>
      <x:c r="B128" s="84" t="str">
        <x:f>'Trade Features'!F128</x:f>
        <x:v>Long</x:v>
      </x:c>
      <x:c r="C128" s="91" t="str">
        <x:f>'Trade Features'!BX128</x:f>
        <x:v>18779.75</x:v>
      </x:c>
      <x:c r="D128" s="91" t="str">
        <x:f>'Trade Features'!CA128</x:f>
        <x:v>18752.153570998657</x:v>
      </x:c>
      <x:c r="E128" s="91" t="str">
        <x:f>'Trade Features'!CH128</x:f>
        <x:v>-0.19930114870052582</x:v>
      </x:c>
      <x:c r="F128" s="91" t="str">
        <x:f>'Trade Features'!CG128</x:f>
        <x:v>0.026271515055977145</x:v>
      </x:c>
      <x:c r="G128" s="92" t="n">
        <x:f>ABS(C128-D128)</x:f>
        <x:v>27.596429001343495</x:v>
      </x:c>
      <x:c r="H128" s="92" t="n">
        <x:f>IFERROR($O$2/(G128*$O$3),0)</x:f>
        <x:v>0.026271515055977145</x:v>
      </x:c>
      <x:c r="I128" s="92" t="n">
        <x:f>E128-H128</x:f>
        <x:v>-0.22557266375650295</x:v>
      </x:c>
      <x:c r="J128" s="91" t="str">
        <x:f>'Trade Features'!CI128</x:f>
        <x:v>-0.22557266375650295</x:v>
      </x:c>
      <x:c r="K128" s="92" t="n">
        <x:f>I128-J128</x:f>
        <x:v>0</x:v>
      </x:c>
      <x:c r="L128" s="90" t="str">
        <x:f>IF(ABS(K128)&lt;0.000000001,"PASS","FAIL")</x:f>
        <x:v>PASS</x:v>
      </x:c>
    </x:row>
    <x:row r="129">
      <x:c r="A129" s="84" t="str">
        <x:f>'Trade Features'!A129</x:f>
        <x:v>A0128</x:v>
      </x:c>
      <x:c r="B129" s="84" t="str">
        <x:f>'Trade Features'!F129</x:f>
        <x:v>Short</x:v>
      </x:c>
      <x:c r="C129" s="91" t="str">
        <x:f>'Trade Features'!BX129</x:f>
        <x:v>18789.5</x:v>
      </x:c>
      <x:c r="D129" s="91" t="str">
        <x:f>'Trade Features'!CA129</x:f>
        <x:v>18798.40444140445</x:v>
      </x:c>
      <x:c r="E129" s="91" t="str">
        <x:f>'Trade Features'!CH129</x:f>
        <x:v>-1.0</x:v>
      </x:c>
      <x:c r="F129" s="91" t="str">
        <x:f>'Trade Features'!CG129</x:f>
        <x:v>0.0814200427707452</x:v>
      </x:c>
      <x:c r="G129" s="92" t="n">
        <x:f>ABS(C129-D129)</x:f>
        <x:v>8.904441404451063</x:v>
      </x:c>
      <x:c r="H129" s="92" t="n">
        <x:f>IFERROR($O$2/(G129*$O$3),0)</x:f>
        <x:v>0.0814200427707452</x:v>
      </x:c>
      <x:c r="I129" s="92" t="n">
        <x:f>E129-H129</x:f>
        <x:v>-1.0814200427707452</x:v>
      </x:c>
      <x:c r="J129" s="91" t="str">
        <x:f>'Trade Features'!CI129</x:f>
        <x:v>-1.0814200427707452</x:v>
      </x:c>
      <x:c r="K129" s="92" t="n">
        <x:f>I129-J129</x:f>
        <x:v>0</x:v>
      </x:c>
      <x:c r="L129" s="90" t="str">
        <x:f>IF(ABS(K129)&lt;0.000000001,"PASS","FAIL")</x:f>
        <x:v>PASS</x:v>
      </x:c>
    </x:row>
    <x:row r="130">
      <x:c r="A130" s="84" t="str">
        <x:f>'Trade Features'!A130</x:f>
        <x:v>A0129</x:v>
      </x:c>
      <x:c r="B130" s="84" t="str">
        <x:f>'Trade Features'!F130</x:f>
        <x:v>Long</x:v>
      </x:c>
      <x:c r="C130" s="91" t="str">
        <x:f>'Trade Features'!BX130</x:f>
        <x:v>19150.5</x:v>
      </x:c>
      <x:c r="D130" s="91" t="str">
        <x:f>'Trade Features'!CA130</x:f>
        <x:v>19106.091491254992</x:v>
      </x:c>
      <x:c r="E130" s="91" t="str">
        <x:f>'Trade Features'!CH130</x:f>
        <x:v>-0.4616232469707783</x:v>
      </x:c>
      <x:c r="F130" s="91" t="str">
        <x:f>'Trade Features'!CG130</x:f>
        <x:v>0.016325700197746564</x:v>
      </x:c>
      <x:c r="G130" s="92" t="n">
        <x:f>ABS(C130-D130)</x:f>
        <x:v>44.408508745007566</x:v>
      </x:c>
      <x:c r="H130" s="92" t="n">
        <x:f>IFERROR($O$2/(G130*$O$3),0)</x:f>
        <x:v>0.016325700197746564</x:v>
      </x:c>
      <x:c r="I130" s="92" t="n">
        <x:f>E130-H130</x:f>
        <x:v>-0.4779489471685248</x:v>
      </x:c>
      <x:c r="J130" s="91" t="str">
        <x:f>'Trade Features'!CI130</x:f>
        <x:v>-0.4779489471685248</x:v>
      </x:c>
      <x:c r="K130" s="92" t="n">
        <x:f>I130-J130</x:f>
        <x:v>0</x:v>
      </x:c>
      <x:c r="L130" s="90" t="str">
        <x:f>IF(ABS(K130)&lt;0.000000001,"PASS","FAIL")</x:f>
        <x:v>PASS</x:v>
      </x:c>
    </x:row>
    <x:row r="131">
      <x:c r="A131" s="84" t="str">
        <x:f>'Trade Features'!A131</x:f>
        <x:v>A0130</x:v>
      </x:c>
      <x:c r="B131" s="84" t="str">
        <x:f>'Trade Features'!F131</x:f>
        <x:v>Long</x:v>
      </x:c>
      <x:c r="C131" s="91" t="str">
        <x:f>'Trade Features'!BX131</x:f>
        <x:v>19168.5</x:v>
      </x:c>
      <x:c r="D131" s="91" t="str">
        <x:f>'Trade Features'!CA131</x:f>
        <x:v>19161.401670096202</x:v>
      </x:c>
      <x:c r="E131" s="91" t="str">
        <x:f>'Trade Features'!CH131</x:f>
        <x:v>0.915708355077058</x:v>
      </x:c>
      <x:c r="F131" s="91" t="str">
        <x:f>'Trade Features'!CG131</x:f>
        <x:v>0.10213670114319208</x:v>
      </x:c>
      <x:c r="G131" s="92" t="n">
        <x:f>ABS(C131-D131)</x:f>
        <x:v>7.098329903798003</x:v>
      </x:c>
      <x:c r="H131" s="92" t="n">
        <x:f>IFERROR($O$2/(G131*$O$3),0)</x:f>
        <x:v>0.10213670114319208</x:v>
      </x:c>
      <x:c r="I131" s="92" t="n">
        <x:f>E131-H131</x:f>
        <x:v>0.8135716539338659</x:v>
      </x:c>
      <x:c r="J131" s="91" t="str">
        <x:f>'Trade Features'!CI131</x:f>
        <x:v>0.8135716539338659</x:v>
      </x:c>
      <x:c r="K131" s="92" t="n">
        <x:f>I131-J131</x:f>
        <x:v>0</x:v>
      </x:c>
      <x:c r="L131" s="90" t="str">
        <x:f>IF(ABS(K131)&lt;0.000000001,"PASS","FAIL")</x:f>
        <x:v>PASS</x:v>
      </x:c>
    </x:row>
    <x:row r="132">
      <x:c r="A132" s="84" t="str">
        <x:f>'Trade Features'!A132</x:f>
        <x:v>A0131</x:v>
      </x:c>
      <x:c r="B132" s="84" t="str">
        <x:f>'Trade Features'!F132</x:f>
        <x:v>Short</x:v>
      </x:c>
      <x:c r="C132" s="91" t="str">
        <x:f>'Trade Features'!BX132</x:f>
        <x:v>19048.5</x:v>
      </x:c>
      <x:c r="D132" s="91" t="str">
        <x:f>'Trade Features'!CA132</x:f>
        <x:v>19084.460918123925</x:v>
      </x:c>
      <x:c r="E132" s="91" t="str">
        <x:f>'Trade Features'!CH132</x:f>
        <x:v>-1.0</x:v>
      </x:c>
      <x:c r="F132" s="91" t="str">
        <x:f>'Trade Features'!CG132</x:f>
        <x:v>0.0201607755814682</x:v>
      </x:c>
      <x:c r="G132" s="92" t="n">
        <x:f>ABS(C132-D132)</x:f>
        <x:v>35.960918123924785</x:v>
      </x:c>
      <x:c r="H132" s="92" t="n">
        <x:f>IFERROR($O$2/(G132*$O$3),0)</x:f>
        <x:v>0.0201607755814682</x:v>
      </x:c>
      <x:c r="I132" s="92" t="n">
        <x:f>E132-H132</x:f>
        <x:v>-1.0201607755814681</x:v>
      </x:c>
      <x:c r="J132" s="91" t="str">
        <x:f>'Trade Features'!CI132</x:f>
        <x:v>-1.0201607755814681</x:v>
      </x:c>
      <x:c r="K132" s="92" t="n">
        <x:f>I132-J132</x:f>
        <x:v>0</x:v>
      </x:c>
      <x:c r="L132" s="90" t="str">
        <x:f>IF(ABS(K132)&lt;0.000000001,"PASS","FAIL")</x:f>
        <x:v>PASS</x:v>
      </x:c>
    </x:row>
    <x:row r="133">
      <x:c r="A133" s="84" t="str">
        <x:f>'Trade Features'!A133</x:f>
        <x:v>A0132</x:v>
      </x:c>
      <x:c r="B133" s="84" t="str">
        <x:f>'Trade Features'!F133</x:f>
        <x:v>Long</x:v>
      </x:c>
      <x:c r="C133" s="91" t="str">
        <x:f>'Trade Features'!BX133</x:f>
        <x:v>19169.75</x:v>
      </x:c>
      <x:c r="D133" s="91" t="str">
        <x:f>'Trade Features'!CA133</x:f>
        <x:v>19162.75334165547</x:v>
      </x:c>
      <x:c r="E133" s="91" t="str">
        <x:f>'Trade Features'!CH133</x:f>
        <x:v>1.0362089504724343</x:v>
      </x:c>
      <x:c r="F133" s="91" t="str">
        <x:f>'Trade Features'!CG133</x:f>
        <x:v>0.10362089504723138</x:v>
      </x:c>
      <x:c r="G133" s="92" t="n">
        <x:f>ABS(C133-D133)</x:f>
        <x:v>6.99665834453117</x:v>
      </x:c>
      <x:c r="H133" s="92" t="n">
        <x:f>IFERROR($O$2/(G133*$O$3),0)</x:f>
        <x:v>0.10362089504723138</x:v>
      </x:c>
      <x:c r="I133" s="92" t="n">
        <x:f>E133-H133</x:f>
        <x:v>0.932588055425203</x:v>
      </x:c>
      <x:c r="J133" s="91" t="str">
        <x:f>'Trade Features'!CI133</x:f>
        <x:v>0.932588055425203</x:v>
      </x:c>
      <x:c r="K133" s="92" t="n">
        <x:f>I133-J133</x:f>
        <x:v>0</x:v>
      </x:c>
      <x:c r="L133" s="90" t="str">
        <x:f>IF(ABS(K133)&lt;0.000000001,"PASS","FAIL")</x:f>
        <x:v>PASS</x:v>
      </x:c>
    </x:row>
    <x:row r="134">
      <x:c r="A134" s="84" t="str">
        <x:f>'Trade Features'!A134</x:f>
        <x:v>A0133</x:v>
      </x:c>
      <x:c r="B134" s="84" t="str">
        <x:f>'Trade Features'!F134</x:f>
        <x:v>Short</x:v>
      </x:c>
      <x:c r="C134" s="91" t="str">
        <x:f>'Trade Features'!BX134</x:f>
        <x:v>19145.25</x:v>
      </x:c>
      <x:c r="D134" s="91" t="str">
        <x:f>'Trade Features'!CA134</x:f>
        <x:v>19163.58754850241</x:v>
      </x:c>
      <x:c r="E134" s="91" t="str">
        <x:f>'Trade Features'!CH134</x:f>
        <x:v>2.0</x:v>
      </x:c>
      <x:c r="F134" s="91" t="str">
        <x:f>'Trade Features'!CG134</x:f>
        <x:v>0.03953636441123259</x:v>
      </x:c>
      <x:c r="G134" s="92" t="n">
        <x:f>ABS(C134-D134)</x:f>
        <x:v>18.337548502411664</x:v>
      </x:c>
      <x:c r="H134" s="92" t="n">
        <x:f>IFERROR($O$2/(G134*$O$3),0)</x:f>
        <x:v>0.03953636441123259</x:v>
      </x:c>
      <x:c r="I134" s="92" t="n">
        <x:f>E134-H134</x:f>
        <x:v>1.9604636355887675</x:v>
      </x:c>
      <x:c r="J134" s="91" t="str">
        <x:f>'Trade Features'!CI134</x:f>
        <x:v>1.9604636355887675</x:v>
      </x:c>
      <x:c r="K134" s="92" t="n">
        <x:f>I134-J134</x:f>
        <x:v>0</x:v>
      </x:c>
      <x:c r="L134" s="90" t="str">
        <x:f>IF(ABS(K134)&lt;0.000000001,"PASS","FAIL")</x:f>
        <x:v>PASS</x:v>
      </x:c>
    </x:row>
    <x:row r="135">
      <x:c r="A135" s="84" t="str">
        <x:f>'Trade Features'!A135</x:f>
        <x:v>A0134</x:v>
      </x:c>
      <x:c r="B135" s="84" t="str">
        <x:f>'Trade Features'!F135</x:f>
        <x:v>Long</x:v>
      </x:c>
      <x:c r="C135" s="91" t="str">
        <x:f>'Trade Features'!BX135</x:f>
        <x:v>19193.25</x:v>
      </x:c>
      <x:c r="D135" s="91" t="str">
        <x:f>'Trade Features'!CA135</x:f>
        <x:v>19164.43492481783</x:v>
      </x:c>
      <x:c r="E135" s="91" t="str">
        <x:f>'Trade Features'!CH135</x:f>
        <x:v>0.31233650938273055</x:v>
      </x:c>
      <x:c r="F135" s="91" t="str">
        <x:f>'Trade Features'!CG135</x:f>
        <x:v>0.025160441033608705</x:v>
      </x:c>
      <x:c r="G135" s="92" t="n">
        <x:f>ABS(C135-D135)</x:f>
        <x:v>28.815075182170403</x:v>
      </x:c>
      <x:c r="H135" s="92" t="n">
        <x:f>IFERROR($O$2/(G135*$O$3),0)</x:f>
        <x:v>0.025160441033608705</x:v>
      </x:c>
      <x:c r="I135" s="92" t="n">
        <x:f>E135-H135</x:f>
        <x:v>0.28717606834912185</x:v>
      </x:c>
      <x:c r="J135" s="91" t="str">
        <x:f>'Trade Features'!CI135</x:f>
        <x:v>0.28717606834912185</x:v>
      </x:c>
      <x:c r="K135" s="92" t="n">
        <x:f>I135-J135</x:f>
        <x:v>0</x:v>
      </x:c>
      <x:c r="L135" s="90" t="str">
        <x:f>IF(ABS(K135)&lt;0.000000001,"PASS","FAIL")</x:f>
        <x:v>PASS</x:v>
      </x:c>
    </x:row>
    <x:row r="136">
      <x:c r="A136" s="84" t="str">
        <x:f>'Trade Features'!A136</x:f>
        <x:v>A0135</x:v>
      </x:c>
      <x:c r="B136" s="84" t="str">
        <x:f>'Trade Features'!F136</x:f>
        <x:v>Long</x:v>
      </x:c>
      <x:c r="C136" s="91" t="str">
        <x:f>'Trade Features'!BX136</x:f>
        <x:v>19226.25</x:v>
      </x:c>
      <x:c r="D136" s="91" t="str">
        <x:f>'Trade Features'!CA136</x:f>
        <x:v>19200.40366625805</x:v>
      </x:c>
      <x:c r="E136" s="91" t="str">
        <x:f>'Trade Features'!CH136</x:f>
        <x:v>0.21279613793245444</x:v>
      </x:c>
      <x:c r="F136" s="91" t="str">
        <x:f>'Trade Features'!CG136</x:f>
        <x:v>0.028050400000187117</x:v>
      </x:c>
      <x:c r="G136" s="92" t="n">
        <x:f>ABS(C136-D136)</x:f>
        <x:v>25.84633374194891</x:v>
      </x:c>
      <x:c r="H136" s="92" t="n">
        <x:f>IFERROR($O$2/(G136*$O$3),0)</x:f>
        <x:v>0.028050400000187117</x:v>
      </x:c>
      <x:c r="I136" s="92" t="n">
        <x:f>E136-H136</x:f>
        <x:v>0.18474573793226734</x:v>
      </x:c>
      <x:c r="J136" s="91" t="str">
        <x:f>'Trade Features'!CI136</x:f>
        <x:v>0.18474573793226734</x:v>
      </x:c>
      <x:c r="K136" s="92" t="n">
        <x:f>I136-J136</x:f>
        <x:v>0</x:v>
      </x:c>
      <x:c r="L136" s="90" t="str">
        <x:f>IF(ABS(K136)&lt;0.000000001,"PASS","FAIL")</x:f>
        <x:v>PASS</x:v>
      </x:c>
    </x:row>
    <x:row r="137">
      <x:c r="A137" s="84" t="str">
        <x:f>'Trade Features'!A137</x:f>
        <x:v>A0136</x:v>
      </x:c>
      <x:c r="B137" s="84" t="str">
        <x:f>'Trade Features'!F137</x:f>
        <x:v>Short</x:v>
      </x:c>
      <x:c r="C137" s="91" t="str">
        <x:f>'Trade Features'!BX137</x:f>
        <x:v>19241.25</x:v>
      </x:c>
      <x:c r="D137" s="91" t="str">
        <x:f>'Trade Features'!CA137</x:f>
        <x:v>19250.620353578408</x:v>
      </x:c>
      <x:c r="E137" s="91" t="str">
        <x:f>'Trade Features'!CH137</x:f>
        <x:v>0.26679889708335774</x:v>
      </x:c>
      <x:c r="F137" s="91" t="str">
        <x:f>'Trade Features'!CG137</x:f>
        <x:v>0.07737168015416329</x:v>
      </x:c>
      <x:c r="G137" s="92" t="n">
        <x:f>ABS(C137-D137)</x:f>
        <x:v>9.370353578407958</x:v>
      </x:c>
      <x:c r="H137" s="92" t="n">
        <x:f>IFERROR($O$2/(G137*$O$3),0)</x:f>
        <x:v>0.07737168015416329</x:v>
      </x:c>
      <x:c r="I137" s="92" t="n">
        <x:f>E137-H137</x:f>
        <x:v>0.18942721692919445</x:v>
      </x:c>
      <x:c r="J137" s="91" t="str">
        <x:f>'Trade Features'!CI137</x:f>
        <x:v>0.18942721692919445</x:v>
      </x:c>
      <x:c r="K137" s="92" t="n">
        <x:f>I137-J137</x:f>
        <x:v>0</x:v>
      </x:c>
      <x:c r="L137" s="90" t="str">
        <x:f>IF(ABS(K137)&lt;0.000000001,"PASS","FAIL")</x:f>
        <x:v>PASS</x:v>
      </x:c>
    </x:row>
    <x:row r="138">
      <x:c r="A138" s="84" t="str">
        <x:f>'Trade Features'!A138</x:f>
        <x:v>A0137</x:v>
      </x:c>
      <x:c r="B138" s="84" t="str">
        <x:f>'Trade Features'!F138</x:f>
        <x:v>Short</x:v>
      </x:c>
      <x:c r="C138" s="91" t="str">
        <x:f>'Trade Features'!BX138</x:f>
        <x:v>19225.25</x:v>
      </x:c>
      <x:c r="D138" s="91" t="str">
        <x:f>'Trade Features'!CA138</x:f>
        <x:v>19234.762084672526</x:v>
      </x:c>
      <x:c r="E138" s="91" t="str">
        <x:f>'Trade Features'!CH138</x:f>
        <x:v>-1.0</x:v>
      </x:c>
      <x:c r="F138" s="91" t="str">
        <x:f>'Trade Features'!CG138</x:f>
        <x:v>0.07621883372149223</x:v>
      </x:c>
      <x:c r="G138" s="92" t="n">
        <x:f>ABS(C138-D138)</x:f>
        <x:v>9.512084672525816</x:v>
      </x:c>
      <x:c r="H138" s="92" t="n">
        <x:f>IFERROR($O$2/(G138*$O$3),0)</x:f>
        <x:v>0.07621883372149223</x:v>
      </x:c>
      <x:c r="I138" s="92" t="n">
        <x:f>E138-H138</x:f>
        <x:v>-1.0762188337214922</x:v>
      </x:c>
      <x:c r="J138" s="91" t="str">
        <x:f>'Trade Features'!CI138</x:f>
        <x:v>-1.0762188337214922</x:v>
      </x:c>
      <x:c r="K138" s="92" t="n">
        <x:f>I138-J138</x:f>
        <x:v>0</x:v>
      </x:c>
      <x:c r="L138" s="90" t="str">
        <x:f>IF(ABS(K138)&lt;0.000000001,"PASS","FAIL")</x:f>
        <x:v>PASS</x:v>
      </x:c>
    </x:row>
    <x:row r="139">
      <x:c r="A139" s="84" t="str">
        <x:f>'Trade Features'!A139</x:f>
        <x:v>A0138</x:v>
      </x:c>
      <x:c r="B139" s="84" t="str">
        <x:f>'Trade Features'!F139</x:f>
        <x:v>Short</x:v>
      </x:c>
      <x:c r="C139" s="91" t="str">
        <x:f>'Trade Features'!BX139</x:f>
        <x:v>19243.25</x:v>
      </x:c>
      <x:c r="D139" s="91" t="str">
        <x:f>'Trade Features'!CA139</x:f>
        <x:v>19259.259640658725</x:v>
      </x:c>
      <x:c r="E139" s="91" t="str">
        <x:f>'Trade Features'!CH139</x:f>
        <x:v>-0.7027015933596101</x:v>
      </x:c>
      <x:c r="F139" s="91" t="str">
        <x:f>'Trade Features'!CG139</x:f>
        <x:v>0.0452852137942814</x:v>
      </x:c>
      <x:c r="G139" s="92" t="n">
        <x:f>ABS(C139-D139)</x:f>
        <x:v>16.009640658725402</x:v>
      </x:c>
      <x:c r="H139" s="92" t="n">
        <x:f>IFERROR($O$2/(G139*$O$3),0)</x:f>
        <x:v>0.0452852137942814</x:v>
      </x:c>
      <x:c r="I139" s="92" t="n">
        <x:f>E139-H139</x:f>
        <x:v>-0.7479868071538915</x:v>
      </x:c>
      <x:c r="J139" s="91" t="str">
        <x:f>'Trade Features'!CI139</x:f>
        <x:v>-0.7479868071538915</x:v>
      </x:c>
      <x:c r="K139" s="92" t="n">
        <x:f>I139-J139</x:f>
        <x:v>0</x:v>
      </x:c>
      <x:c r="L139" s="90" t="str">
        <x:f>IF(ABS(K139)&lt;0.000000001,"PASS","FAIL")</x:f>
        <x:v>PASS</x:v>
      </x:c>
    </x:row>
    <x:row r="140">
      <x:c r="A140" s="84" t="str">
        <x:f>'Trade Features'!A140</x:f>
        <x:v>A0139</x:v>
      </x:c>
      <x:c r="B140" s="84" t="str">
        <x:f>'Trade Features'!F140</x:f>
        <x:v>Short</x:v>
      </x:c>
      <x:c r="C140" s="91" t="str">
        <x:f>'Trade Features'!BX140</x:f>
        <x:v>19448.5</x:v>
      </x:c>
      <x:c r="D140" s="91" t="str">
        <x:f>'Trade Features'!CA140</x:f>
        <x:v>19454.58330603094</x:v>
      </x:c>
      <x:c r="E140" s="91" t="str">
        <x:f>'Trade Features'!CH140</x:f>
        <x:v>-1.0</x:v>
      </x:c>
      <x:c r="F140" s="91" t="str">
        <x:f>'Trade Features'!CG140</x:f>
        <x:v>0.11917861707309148</x:v>
      </x:c>
      <x:c r="G140" s="92" t="n">
        <x:f>ABS(C140-D140)</x:f>
        <x:v>6.083306030941458</x:v>
      </x:c>
      <x:c r="H140" s="92" t="n">
        <x:f>IFERROR($O$2/(G140*$O$3),0)</x:f>
        <x:v>0.11917861707309148</x:v>
      </x:c>
      <x:c r="I140" s="92" t="n">
        <x:f>E140-H140</x:f>
        <x:v>-1.1191786170730915</x:v>
      </x:c>
      <x:c r="J140" s="91" t="str">
        <x:f>'Trade Features'!CI140</x:f>
        <x:v>-1.1191786170730915</x:v>
      </x:c>
      <x:c r="K140" s="92" t="n">
        <x:f>I140-J140</x:f>
        <x:v>0</x:v>
      </x:c>
      <x:c r="L140" s="90" t="str">
        <x:f>IF(ABS(K140)&lt;0.000000001,"PASS","FAIL")</x:f>
        <x:v>PASS</x:v>
      </x:c>
    </x:row>
    <x:row r="141">
      <x:c r="A141" s="84" t="str">
        <x:f>'Trade Features'!A141</x:f>
        <x:v>A0140</x:v>
      </x:c>
      <x:c r="B141" s="84" t="str">
        <x:f>'Trade Features'!F141</x:f>
        <x:v>Short</x:v>
      </x:c>
      <x:c r="C141" s="91" t="str">
        <x:f>'Trade Features'!BX141</x:f>
        <x:v>19459.0</x:v>
      </x:c>
      <x:c r="D141" s="91" t="str">
        <x:f>'Trade Features'!CA141</x:f>
        <x:v>19478.376862414963</x:v>
      </x:c>
      <x:c r="E141" s="91" t="str">
        <x:f>'Trade Features'!CH141</x:f>
        <x:v>-1.0</x:v>
      </x:c>
      <x:c r="F141" s="91" t="str">
        <x:f>'Trade Features'!CG141</x:f>
        <x:v>0.03741575826229396</x:v>
      </x:c>
      <x:c r="G141" s="92" t="n">
        <x:f>ABS(C141-D141)</x:f>
        <x:v>19.376862414963398</x:v>
      </x:c>
      <x:c r="H141" s="92" t="n">
        <x:f>IFERROR($O$2/(G141*$O$3),0)</x:f>
        <x:v>0.03741575826229396</x:v>
      </x:c>
      <x:c r="I141" s="92" t="n">
        <x:f>E141-H141</x:f>
        <x:v>-1.037415758262294</x:v>
      </x:c>
      <x:c r="J141" s="91" t="str">
        <x:f>'Trade Features'!CI141</x:f>
        <x:v>-1.037415758262294</x:v>
      </x:c>
      <x:c r="K141" s="92" t="n">
        <x:f>I141-J141</x:f>
        <x:v>0</x:v>
      </x:c>
      <x:c r="L141" s="90" t="str">
        <x:f>IF(ABS(K141)&lt;0.000000001,"PASS","FAIL")</x:f>
        <x:v>PASS</x:v>
      </x:c>
    </x:row>
    <x:row r="142">
      <x:c r="A142" s="84" t="str">
        <x:f>'Trade Features'!A142</x:f>
        <x:v>A0141</x:v>
      </x:c>
      <x:c r="B142" s="84" t="str">
        <x:f>'Trade Features'!F142</x:f>
        <x:v>Long</x:v>
      </x:c>
      <x:c r="C142" s="91" t="str">
        <x:f>'Trade Features'!BX142</x:f>
        <x:v>19470.0</x:v>
      </x:c>
      <x:c r="D142" s="91" t="str">
        <x:f>'Trade Features'!CA142</x:f>
        <x:v>19446.187137131816</x:v>
      </x:c>
      <x:c r="E142" s="91" t="str">
        <x:f>'Trade Features'!CH142</x:f>
        <x:v>-1.0</x:v>
      </x:c>
      <x:c r="F142" s="91" t="str">
        <x:f>'Trade Features'!CG142</x:f>
        <x:v>0.030445730276667065</x:v>
      </x:c>
      <x:c r="G142" s="92" t="n">
        <x:f>ABS(C142-D142)</x:f>
        <x:v>23.81286286818431</x:v>
      </x:c>
      <x:c r="H142" s="92" t="n">
        <x:f>IFERROR($O$2/(G142*$O$3),0)</x:f>
        <x:v>0.030445730276667065</x:v>
      </x:c>
      <x:c r="I142" s="92" t="n">
        <x:f>E142-H142</x:f>
        <x:v>-1.030445730276667</x:v>
      </x:c>
      <x:c r="J142" s="91" t="str">
        <x:f>'Trade Features'!CI142</x:f>
        <x:v>-1.030445730276667</x:v>
      </x:c>
      <x:c r="K142" s="92" t="n">
        <x:f>I142-J142</x:f>
        <x:v>0</x:v>
      </x:c>
      <x:c r="L142" s="90" t="str">
        <x:f>IF(ABS(K142)&lt;0.000000001,"PASS","FAIL")</x:f>
        <x:v>PASS</x:v>
      </x:c>
    </x:row>
    <x:row r="143">
      <x:c r="A143" s="84" t="str">
        <x:f>'Trade Features'!A143</x:f>
        <x:v>A0142</x:v>
      </x:c>
      <x:c r="B143" s="84" t="str">
        <x:f>'Trade Features'!F143</x:f>
        <x:v>Long</x:v>
      </x:c>
      <x:c r="C143" s="91" t="str">
        <x:f>'Trade Features'!BX143</x:f>
        <x:v>19478.25</x:v>
      </x:c>
      <x:c r="D143" s="91" t="str">
        <x:f>'Trade Features'!CA143</x:f>
        <x:v>19465.108555790222</x:v>
      </x:c>
      <x:c r="E143" s="91" t="str">
        <x:f>'Trade Features'!CH143</x:f>
        <x:v>0.8750940776693686</x:v>
      </x:c>
      <x:c r="F143" s="91" t="str">
        <x:f>'Trade Features'!CG143</x:f>
        <x:v>0.055168974461770555</x:v>
      </x:c>
      <x:c r="G143" s="92" t="n">
        <x:f>ABS(C143-D143)</x:f>
        <x:v>13.141444209777546</x:v>
      </x:c>
      <x:c r="H143" s="92" t="n">
        <x:f>IFERROR($O$2/(G143*$O$3),0)</x:f>
        <x:v>0.055168974461770555</x:v>
      </x:c>
      <x:c r="I143" s="92" t="n">
        <x:f>E143-H143</x:f>
        <x:v>0.819925103207598</x:v>
      </x:c>
      <x:c r="J143" s="91" t="str">
        <x:f>'Trade Features'!CI143</x:f>
        <x:v>0.819925103207598</x:v>
      </x:c>
      <x:c r="K143" s="92" t="n">
        <x:f>I143-J143</x:f>
        <x:v>0</x:v>
      </x:c>
      <x:c r="L143" s="90" t="str">
        <x:f>IF(ABS(K143)&lt;0.000000001,"PASS","FAIL")</x:f>
        <x:v>PASS</x:v>
      </x:c>
    </x:row>
    <x:row r="144">
      <x:c r="A144" s="84" t="str">
        <x:f>'Trade Features'!A144</x:f>
        <x:v>A0143</x:v>
      </x:c>
      <x:c r="B144" s="84" t="str">
        <x:f>'Trade Features'!F144</x:f>
        <x:v>Short</x:v>
      </x:c>
      <x:c r="C144" s="91" t="str">
        <x:f>'Trade Features'!BX144</x:f>
        <x:v>19476.5</x:v>
      </x:c>
      <x:c r="D144" s="91" t="str">
        <x:f>'Trade Features'!CA144</x:f>
        <x:v>19480.77316767956</x:v>
      </x:c>
      <x:c r="E144" s="91" t="str">
        <x:f>'Trade Features'!CH144</x:f>
        <x:v>-1.0</x:v>
      </x:c>
      <x:c r="F144" s="91" t="str">
        <x:f>'Trade Features'!CG144</x:f>
        <x:v>0.16966336319261327</x:v>
      </x:c>
      <x:c r="G144" s="92" t="n">
        <x:f>ABS(C144-D144)</x:f>
        <x:v>4.273167679559265</x:v>
      </x:c>
      <x:c r="H144" s="92" t="n">
        <x:f>IFERROR($O$2/(G144*$O$3),0)</x:f>
        <x:v>0.16966336319261327</x:v>
      </x:c>
      <x:c r="I144" s="92" t="n">
        <x:f>E144-H144</x:f>
        <x:v>-1.1696633631926132</x:v>
      </x:c>
      <x:c r="J144" s="91" t="str">
        <x:f>'Trade Features'!CI144</x:f>
        <x:v>-1.1696633631926132</x:v>
      </x:c>
      <x:c r="K144" s="92" t="n">
        <x:f>I144-J144</x:f>
        <x:v>0</x:v>
      </x:c>
      <x:c r="L144" s="90" t="str">
        <x:f>IF(ABS(K144)&lt;0.000000001,"PASS","FAIL")</x:f>
        <x:v>PASS</x:v>
      </x:c>
    </x:row>
    <x:row r="145">
      <x:c r="A145" s="84" t="str">
        <x:f>'Trade Features'!A145</x:f>
        <x:v>A0144</x:v>
      </x:c>
      <x:c r="B145" s="84" t="str">
        <x:f>'Trade Features'!F145</x:f>
        <x:v>Long</x:v>
      </x:c>
      <x:c r="C145" s="91" t="str">
        <x:f>'Trade Features'!BX145</x:f>
        <x:v>19273.75</x:v>
      </x:c>
      <x:c r="D145" s="91" t="str">
        <x:f>'Trade Features'!CA145</x:f>
        <x:v>19232.779678314288</x:v>
      </x:c>
      <x:c r="E145" s="91" t="str">
        <x:f>'Trade Features'!CH145</x:f>
        <x:v>0.7993591129507824</x:v>
      </x:c>
      <x:c r="F145" s="91" t="str">
        <x:f>'Trade Features'!CG145</x:f>
        <x:v>0.01769573608822382</x:v>
      </x:c>
      <x:c r="G145" s="92" t="n">
        <x:f>ABS(C145-D145)</x:f>
        <x:v>40.970321685712406</x:v>
      </x:c>
      <x:c r="H145" s="92" t="n">
        <x:f>IFERROR($O$2/(G145*$O$3),0)</x:f>
        <x:v>0.01769573608822382</x:v>
      </x:c>
      <x:c r="I145" s="92" t="n">
        <x:f>E145-H145</x:f>
        <x:v>0.7816633768625586</x:v>
      </x:c>
      <x:c r="J145" s="91" t="str">
        <x:f>'Trade Features'!CI145</x:f>
        <x:v>0.7816633768625586</x:v>
      </x:c>
      <x:c r="K145" s="92" t="n">
        <x:f>I145-J145</x:f>
        <x:v>0</x:v>
      </x:c>
      <x:c r="L145" s="90" t="str">
        <x:f>IF(ABS(K145)&lt;0.000000001,"PASS","FAIL")</x:f>
        <x:v>PASS</x:v>
      </x:c>
    </x:row>
    <x:row r="146">
      <x:c r="A146" s="84" t="str">
        <x:f>'Trade Features'!A146</x:f>
        <x:v>A0145</x:v>
      </x:c>
      <x:c r="B146" s="84" t="str">
        <x:f>'Trade Features'!F146</x:f>
        <x:v>Short</x:v>
      </x:c>
      <x:c r="C146" s="91" t="str">
        <x:f>'Trade Features'!BX146</x:f>
        <x:v>19226.5</x:v>
      </x:c>
      <x:c r="D146" s="91" t="str">
        <x:f>'Trade Features'!CA146</x:f>
        <x:v>19260.06527782819</x:v>
      </x:c>
      <x:c r="E146" s="91" t="str">
        <x:f>'Trade Features'!CH146</x:f>
        <x:v>-1.0</x:v>
      </x:c>
      <x:c r="F146" s="91" t="str">
        <x:f>'Trade Features'!CG146</x:f>
        <x:v>0.02159970204063326</x:v>
      </x:c>
      <x:c r="G146" s="92" t="n">
        <x:f>ABS(C146-D146)</x:f>
        <x:v>33.56527782819103</x:v>
      </x:c>
      <x:c r="H146" s="92" t="n">
        <x:f>IFERROR($O$2/(G146*$O$3),0)</x:f>
        <x:v>0.02159970204063326</x:v>
      </x:c>
      <x:c r="I146" s="92" t="n">
        <x:f>E146-H146</x:f>
        <x:v>-1.0215997020406333</x:v>
      </x:c>
      <x:c r="J146" s="91" t="str">
        <x:f>'Trade Features'!CI146</x:f>
        <x:v>-1.0215997020406333</x:v>
      </x:c>
      <x:c r="K146" s="92" t="n">
        <x:f>I146-J146</x:f>
        <x:v>0</x:v>
      </x:c>
      <x:c r="L146" s="90" t="str">
        <x:f>IF(ABS(K146)&lt;0.000000001,"PASS","FAIL")</x:f>
        <x:v>PASS</x:v>
      </x:c>
    </x:row>
    <x:row r="147">
      <x:c r="A147" s="84" t="str">
        <x:f>'Trade Features'!A147</x:f>
        <x:v>A0146</x:v>
      </x:c>
      <x:c r="B147" s="84" t="str">
        <x:f>'Trade Features'!F147</x:f>
        <x:v>Short</x:v>
      </x:c>
      <x:c r="C147" s="91" t="str">
        <x:f>'Trade Features'!BX147</x:f>
        <x:v>19019.25</x:v>
      </x:c>
      <x:c r="D147" s="91" t="str">
        <x:f>'Trade Features'!CA147</x:f>
        <x:v>19053.08715540378</x:v>
      </x:c>
      <x:c r="E147" s="91" t="str">
        <x:f>'Trade Features'!CH147</x:f>
        <x:v>-0.03694163959953834</x:v>
      </x:c>
      <x:c r="F147" s="91" t="str">
        <x:f>'Trade Features'!CG147</x:f>
        <x:v>0.021426150967731813</x:v>
      </x:c>
      <x:c r="G147" s="92" t="n">
        <x:f>ABS(C147-D147)</x:f>
        <x:v>33.83715540378034</x:v>
      </x:c>
      <x:c r="H147" s="92" t="n">
        <x:f>IFERROR($O$2/(G147*$O$3),0)</x:f>
        <x:v>0.021426150967731813</x:v>
      </x:c>
      <x:c r="I147" s="92" t="n">
        <x:f>E147-H147</x:f>
        <x:v>-0.05836779056727015</x:v>
      </x:c>
      <x:c r="J147" s="91" t="str">
        <x:f>'Trade Features'!CI147</x:f>
        <x:v>-0.05836779056727015</x:v>
      </x:c>
      <x:c r="K147" s="92" t="n">
        <x:f>I147-J147</x:f>
        <x:v>0</x:v>
      </x:c>
      <x:c r="L147" s="90" t="str">
        <x:f>IF(ABS(K147)&lt;0.000000001,"PASS","FAIL")</x:f>
        <x:v>PASS</x:v>
      </x:c>
    </x:row>
    <x:row r="148">
      <x:c r="A148" s="84" t="str">
        <x:f>'Trade Features'!A148</x:f>
        <x:v>A0147</x:v>
      </x:c>
      <x:c r="B148" s="84" t="str">
        <x:f>'Trade Features'!F148</x:f>
        <x:v>Short</x:v>
      </x:c>
      <x:c r="C148" s="91" t="str">
        <x:f>'Trade Features'!BX148</x:f>
        <x:v>19015.75</x:v>
      </x:c>
      <x:c r="D148" s="91" t="str">
        <x:f>'Trade Features'!CA148</x:f>
        <x:v>19024.607622806285</x:v>
      </x:c>
      <x:c r="E148" s="91" t="str">
        <x:f>'Trade Features'!CH148</x:f>
        <x:v>-1.0</x:v>
      </x:c>
      <x:c r="F148" s="91" t="str">
        <x:f>'Trade Features'!CG148</x:f>
        <x:v>0.08185040341586776</x:v>
      </x:c>
      <x:c r="G148" s="92" t="n">
        <x:f>ABS(C148-D148)</x:f>
        <x:v>8.85762280628478</x:v>
      </x:c>
      <x:c r="H148" s="92" t="n">
        <x:f>IFERROR($O$2/(G148*$O$3),0)</x:f>
        <x:v>0.08185040341586776</x:v>
      </x:c>
      <x:c r="I148" s="92" t="n">
        <x:f>E148-H148</x:f>
        <x:v>-1.0818504034158678</x:v>
      </x:c>
      <x:c r="J148" s="91" t="str">
        <x:f>'Trade Features'!CI148</x:f>
        <x:v>-1.0818504034158678</x:v>
      </x:c>
      <x:c r="K148" s="92" t="n">
        <x:f>I148-J148</x:f>
        <x:v>0</x:v>
      </x:c>
      <x:c r="L148" s="90" t="str">
        <x:f>IF(ABS(K148)&lt;0.000000001,"PASS","FAIL")</x:f>
        <x:v>PASS</x:v>
      </x:c>
    </x:row>
    <x:row r="149">
      <x:c r="A149" s="84" t="str">
        <x:f>'Trade Features'!A149</x:f>
        <x:v>A0148</x:v>
      </x:c>
      <x:c r="B149" s="84" t="str">
        <x:f>'Trade Features'!F149</x:f>
        <x:v>Long</x:v>
      </x:c>
      <x:c r="C149" s="91" t="str">
        <x:f>'Trade Features'!BX149</x:f>
        <x:v>19259.5</x:v>
      </x:c>
      <x:c r="D149" s="91" t="str">
        <x:f>'Trade Features'!CA149</x:f>
        <x:v>19240.231671221645</x:v>
      </x:c>
      <x:c r="E149" s="91" t="str">
        <x:f>'Trade Features'!CH149</x:f>
        <x:v>2.0</x:v>
      </x:c>
      <x:c r="F149" s="91" t="str">
        <x:f>'Trade Features'!CG149</x:f>
        <x:v>0.03762651179247234</x:v>
      </x:c>
      <x:c r="G149" s="92" t="n">
        <x:f>ABS(C149-D149)</x:f>
        <x:v>19.26832877835477</x:v>
      </x:c>
      <x:c r="H149" s="92" t="n">
        <x:f>IFERROR($O$2/(G149*$O$3),0)</x:f>
        <x:v>0.03762651179247234</x:v>
      </x:c>
      <x:c r="I149" s="92" t="n">
        <x:f>E149-H149</x:f>
        <x:v>1.9623734882075277</x:v>
      </x:c>
      <x:c r="J149" s="91" t="str">
        <x:f>'Trade Features'!CI149</x:f>
        <x:v>1.9623734882075277</x:v>
      </x:c>
      <x:c r="K149" s="92" t="n">
        <x:f>I149-J149</x:f>
        <x:v>0</x:v>
      </x:c>
      <x:c r="L149" s="90" t="str">
        <x:f>IF(ABS(K149)&lt;0.000000001,"PASS","FAIL")</x:f>
        <x:v>PASS</x:v>
      </x:c>
    </x:row>
    <x:row r="150">
      <x:c r="A150" s="84" t="str">
        <x:f>'Trade Features'!A150</x:f>
        <x:v>A0149</x:v>
      </x:c>
      <x:c r="B150" s="84" t="str">
        <x:f>'Trade Features'!F150</x:f>
        <x:v>Long</x:v>
      </x:c>
      <x:c r="C150" s="91" t="str">
        <x:f>'Trade Features'!BX150</x:f>
        <x:v>19322.75</x:v>
      </x:c>
      <x:c r="D150" s="91" t="str">
        <x:f>'Trade Features'!CA150</x:f>
        <x:v>19286.49908113218</x:v>
      </x:c>
      <x:c r="E150" s="91" t="str">
        <x:f>'Trade Features'!CH150</x:f>
        <x:v>-1.0</x:v>
      </x:c>
      <x:c r="F150" s="91" t="str">
        <x:f>'Trade Features'!CG150</x:f>
        <x:v>0.019999493051294552</x:v>
      </x:c>
      <x:c r="G150" s="92" t="n">
        <x:f>ABS(C150-D150)</x:f>
        <x:v>36.250918867819564</x:v>
      </x:c>
      <x:c r="H150" s="92" t="n">
        <x:f>IFERROR($O$2/(G150*$O$3),0)</x:f>
        <x:v>0.019999493051294552</x:v>
      </x:c>
      <x:c r="I150" s="92" t="n">
        <x:f>E150-H150</x:f>
        <x:v>-1.0199994930512946</x:v>
      </x:c>
      <x:c r="J150" s="91" t="str">
        <x:f>'Trade Features'!CI150</x:f>
        <x:v>-1.0199994930512946</x:v>
      </x:c>
      <x:c r="K150" s="92" t="n">
        <x:f>I150-J150</x:f>
        <x:v>0</x:v>
      </x:c>
      <x:c r="L150" s="90" t="str">
        <x:f>IF(ABS(K150)&lt;0.000000001,"PASS","FAIL")</x:f>
        <x:v>PASS</x:v>
      </x:c>
    </x:row>
    <x:row r="151">
      <x:c r="A151" s="84" t="str">
        <x:f>'Trade Features'!A151</x:f>
        <x:v>A0150</x:v>
      </x:c>
      <x:c r="B151" s="84" t="str">
        <x:f>'Trade Features'!F151</x:f>
        <x:v>Short</x:v>
      </x:c>
      <x:c r="C151" s="91" t="str">
        <x:f>'Trade Features'!BX151</x:f>
        <x:v>19277.5</x:v>
      </x:c>
      <x:c r="D151" s="91" t="str">
        <x:f>'Trade Features'!CA151</x:f>
        <x:v>19307.92062944668</x:v>
      </x:c>
      <x:c r="E151" s="91" t="str">
        <x:f>'Trade Features'!CH151</x:f>
        <x:v>-1.0</x:v>
      </x:c>
      <x:c r="F151" s="91" t="str">
        <x:f>'Trade Features'!CG151</x:f>
        <x:v>0.023832511463011807</x:v>
      </x:c>
      <x:c r="G151" s="92" t="n">
        <x:f>ABS(C151-D151)</x:f>
        <x:v>30.420629446678504</x:v>
      </x:c>
      <x:c r="H151" s="92" t="n">
        <x:f>IFERROR($O$2/(G151*$O$3),0)</x:f>
        <x:v>0.023832511463011807</x:v>
      </x:c>
      <x:c r="I151" s="92" t="n">
        <x:f>E151-H151</x:f>
        <x:v>-1.0238325114630118</x:v>
      </x:c>
      <x:c r="J151" s="91" t="str">
        <x:f>'Trade Features'!CI151</x:f>
        <x:v>-1.0238325114630118</x:v>
      </x:c>
      <x:c r="K151" s="92" t="n">
        <x:f>I151-J151</x:f>
        <x:v>0</x:v>
      </x:c>
      <x:c r="L151" s="90" t="str">
        <x:f>IF(ABS(K151)&lt;0.000000001,"PASS","FAIL")</x:f>
        <x:v>PASS</x:v>
      </x:c>
    </x:row>
    <x:row r="152">
      <x:c r="A152" s="84" t="str">
        <x:f>'Trade Features'!A152</x:f>
        <x:v>A0151</x:v>
      </x:c>
      <x:c r="B152" s="84" t="str">
        <x:f>'Trade Features'!F152</x:f>
        <x:v>Short</x:v>
      </x:c>
      <x:c r="C152" s="91" t="str">
        <x:f>'Trade Features'!BX152</x:f>
        <x:v>19377.5</x:v>
      </x:c>
      <x:c r="D152" s="91" t="str">
        <x:f>'Trade Features'!CA152</x:f>
        <x:v>19385.97357253854</x:v>
      </x:c>
      <x:c r="E152" s="91" t="str">
        <x:f>'Trade Features'!CH152</x:f>
        <x:v>1.1211327874744565</x:v>
      </x:c>
      <x:c r="F152" s="91" t="str">
        <x:f>'Trade Features'!CG152</x:f>
        <x:v>0.08556013378094332</x:v>
      </x:c>
      <x:c r="G152" s="92" t="n">
        <x:f>ABS(C152-D152)</x:f>
        <x:v>8.473572538539884</x:v>
      </x:c>
      <x:c r="H152" s="92" t="n">
        <x:f>IFERROR($O$2/(G152*$O$3),0)</x:f>
        <x:v>0.08556013378094332</x:v>
      </x:c>
      <x:c r="I152" s="92" t="n">
        <x:f>E152-H152</x:f>
        <x:v>1.0355726536935133</x:v>
      </x:c>
      <x:c r="J152" s="91" t="str">
        <x:f>'Trade Features'!CI152</x:f>
        <x:v>1.0355726536935133</x:v>
      </x:c>
      <x:c r="K152" s="92" t="n">
        <x:f>I152-J152</x:f>
        <x:v>0</x:v>
      </x:c>
      <x:c r="L152" s="90" t="str">
        <x:f>IF(ABS(K152)&lt;0.000000001,"PASS","FAIL")</x:f>
        <x:v>PASS</x:v>
      </x:c>
    </x:row>
    <x:row r="153">
      <x:c r="A153" s="84" t="str">
        <x:f>'Trade Features'!A153</x:f>
        <x:v>A0152</x:v>
      </x:c>
      <x:c r="B153" s="84" t="str">
        <x:f>'Trade Features'!F153</x:f>
        <x:v>Long</x:v>
      </x:c>
      <x:c r="C153" s="91" t="str">
        <x:f>'Trade Features'!BX153</x:f>
        <x:v>19459.5</x:v>
      </x:c>
      <x:c r="D153" s="91" t="str">
        <x:f>'Trade Features'!CA153</x:f>
        <x:v>19416.50318454697</x:v>
      </x:c>
      <x:c r="E153" s="91" t="str">
        <x:f>'Trade Features'!CH153</x:f>
        <x:v>-1.0</x:v>
      </x:c>
      <x:c r="F153" s="91" t="str">
        <x:f>'Trade Features'!CG153</x:f>
        <x:v>0.01686171388185747</x:v>
      </x:c>
      <x:c r="G153" s="92" t="n">
        <x:f>ABS(C153-D153)</x:f>
        <x:v>42.99681545302883</x:v>
      </x:c>
      <x:c r="H153" s="92" t="n">
        <x:f>IFERROR($O$2/(G153*$O$3),0)</x:f>
        <x:v>0.01686171388185747</x:v>
      </x:c>
      <x:c r="I153" s="92" t="n">
        <x:f>E153-H153</x:f>
        <x:v>-1.0168617138818574</x:v>
      </x:c>
      <x:c r="J153" s="91" t="str">
        <x:f>'Trade Features'!CI153</x:f>
        <x:v>-1.0168617138818574</x:v>
      </x:c>
      <x:c r="K153" s="92" t="n">
        <x:f>I153-J153</x:f>
        <x:v>0</x:v>
      </x:c>
      <x:c r="L153" s="90" t="str">
        <x:f>IF(ABS(K153)&lt;0.000000001,"PASS","FAIL")</x:f>
        <x:v>PASS</x:v>
      </x:c>
    </x:row>
    <x:row r="154">
      <x:c r="A154" s="84" t="str">
        <x:f>'Trade Features'!A154</x:f>
        <x:v>A0153</x:v>
      </x:c>
      <x:c r="B154" s="84" t="str">
        <x:f>'Trade Features'!F154</x:f>
        <x:v>Short</x:v>
      </x:c>
      <x:c r="C154" s="91" t="str">
        <x:f>'Trade Features'!BX154</x:f>
        <x:v>19303.75</x:v>
      </x:c>
      <x:c r="D154" s="91" t="str">
        <x:f>'Trade Features'!CA154</x:f>
        <x:v>19348.874472402265</x:v>
      </x:c>
      <x:c r="E154" s="91" t="str">
        <x:f>'Trade Features'!CH154</x:f>
        <x:v>0.02770115490452292</x:v>
      </x:c>
      <x:c r="F154" s="91" t="str">
        <x:f>'Trade Features'!CG154</x:f>
        <x:v>0.016066669844623</x:v>
      </x:c>
      <x:c r="G154" s="92" t="n">
        <x:f>ABS(C154-D154)</x:f>
        <x:v>45.12447240226538</x:v>
      </x:c>
      <x:c r="H154" s="92" t="n">
        <x:f>IFERROR($O$2/(G154*$O$3),0)</x:f>
        <x:v>0.016066669844623</x:v>
      </x:c>
      <x:c r="I154" s="92" t="n">
        <x:f>E154-H154</x:f>
        <x:v>0.011634485059899922</x:v>
      </x:c>
      <x:c r="J154" s="91" t="str">
        <x:f>'Trade Features'!CI154</x:f>
        <x:v>0.011634485059899922</x:v>
      </x:c>
      <x:c r="K154" s="92" t="n">
        <x:f>I154-J154</x:f>
        <x:v>0</x:v>
      </x:c>
      <x:c r="L154" s="90" t="str">
        <x:f>IF(ABS(K154)&lt;0.000000001,"PASS","FAIL")</x:f>
        <x:v>PASS</x:v>
      </x:c>
    </x:row>
    <x:row r="155">
      <x:c r="A155" s="84" t="str">
        <x:f>'Trade Features'!A155</x:f>
        <x:v>A0154</x:v>
      </x:c>
      <x:c r="B155" s="84" t="str">
        <x:f>'Trade Features'!F155</x:f>
        <x:v>Short</x:v>
      </x:c>
      <x:c r="C155" s="91" t="str">
        <x:f>'Trade Features'!BX155</x:f>
        <x:v>19227.0</x:v>
      </x:c>
      <x:c r="D155" s="91" t="str">
        <x:f>'Trade Features'!CA155</x:f>
        <x:v>19242.37656043179</x:v>
      </x:c>
      <x:c r="E155" s="91" t="str">
        <x:f>'Trade Features'!CH155</x:f>
        <x:v>2.0</x:v>
      </x:c>
      <x:c r="F155" s="91" t="str">
        <x:f>'Trade Features'!CG155</x:f>
        <x:v>0.047149686252406224</x:v>
      </x:c>
      <x:c r="G155" s="92" t="n">
        <x:f>ABS(C155-D155)</x:f>
        <x:v>15.376560431788675</x:v>
      </x:c>
      <x:c r="H155" s="92" t="n">
        <x:f>IFERROR($O$2/(G155*$O$3),0)</x:f>
        <x:v>0.047149686252406224</x:v>
      </x:c>
      <x:c r="I155" s="92" t="n">
        <x:f>E155-H155</x:f>
        <x:v>1.9528503137475939</x:v>
      </x:c>
      <x:c r="J155" s="91" t="str">
        <x:f>'Trade Features'!CI155</x:f>
        <x:v>1.9528503137475939</x:v>
      </x:c>
      <x:c r="K155" s="92" t="n">
        <x:f>I155-J155</x:f>
        <x:v>0</x:v>
      </x:c>
      <x:c r="L155" s="90" t="str">
        <x:f>IF(ABS(K155)&lt;0.000000001,"PASS","FAIL")</x:f>
        <x:v>PASS</x:v>
      </x:c>
    </x:row>
    <x:row r="156">
      <x:c r="A156" s="84" t="str">
        <x:f>'Trade Features'!A156</x:f>
        <x:v>A0155</x:v>
      </x:c>
      <x:c r="B156" s="84" t="str">
        <x:f>'Trade Features'!F156</x:f>
        <x:v>Long</x:v>
      </x:c>
      <x:c r="C156" s="91" t="str">
        <x:f>'Trade Features'!BX156</x:f>
        <x:v>19516.25</x:v>
      </x:c>
      <x:c r="D156" s="91" t="str">
        <x:f>'Trade Features'!CA156</x:f>
        <x:v>19492.84537660133</x:v>
      </x:c>
      <x:c r="E156" s="91" t="str">
        <x:f>'Trade Features'!CH156</x:f>
        <x:v>-1.0</x:v>
      </x:c>
      <x:c r="F156" s="91" t="str">
        <x:f>'Trade Features'!CG156</x:f>
        <x:v>0.03097678555431046</x:v>
      </x:c>
      <x:c r="G156" s="92" t="n">
        <x:f>ABS(C156-D156)</x:f>
        <x:v>23.404623398670083</x:v>
      </x:c>
      <x:c r="H156" s="92" t="n">
        <x:f>IFERROR($O$2/(G156*$O$3),0)</x:f>
        <x:v>0.03097678555431046</x:v>
      </x:c>
      <x:c r="I156" s="92" t="n">
        <x:f>E156-H156</x:f>
        <x:v>-1.0309767855543104</x:v>
      </x:c>
      <x:c r="J156" s="91" t="str">
        <x:f>'Trade Features'!CI156</x:f>
        <x:v>-1.0309767855543104</x:v>
      </x:c>
      <x:c r="K156" s="92" t="n">
        <x:f>I156-J156</x:f>
        <x:v>0</x:v>
      </x:c>
      <x:c r="L156" s="90" t="str">
        <x:f>IF(ABS(K156)&lt;0.000000001,"PASS","FAIL")</x:f>
        <x:v>PASS</x:v>
      </x:c>
    </x:row>
    <x:row r="157">
      <x:c r="A157" s="84" t="str">
        <x:f>'Trade Features'!A157</x:f>
        <x:v>A0156</x:v>
      </x:c>
      <x:c r="B157" s="84" t="str">
        <x:f>'Trade Features'!F157</x:f>
        <x:v>Long</x:v>
      </x:c>
      <x:c r="C157" s="91" t="str">
        <x:f>'Trade Features'!BX157</x:f>
        <x:v>19658.25</x:v>
      </x:c>
      <x:c r="D157" s="91" t="str">
        <x:f>'Trade Features'!CA157</x:f>
        <x:v>19650.482624616823</x:v>
      </x:c>
      <x:c r="E157" s="91" t="str">
        <x:f>'Trade Features'!CH157</x:f>
        <x:v>0.03218590420407046</x:v>
      </x:c>
      <x:c r="F157" s="91" t="str">
        <x:f>'Trade Features'!CG157</x:f>
        <x:v>0.09333912219180998</x:v>
      </x:c>
      <x:c r="G157" s="92" t="n">
        <x:f>ABS(C157-D157)</x:f>
        <x:v>7.767375383176841</x:v>
      </x:c>
      <x:c r="H157" s="92" t="n">
        <x:f>IFERROR($O$2/(G157*$O$3),0)</x:f>
        <x:v>0.09333912219180998</x:v>
      </x:c>
      <x:c r="I157" s="92" t="n">
        <x:f>E157-H157</x:f>
        <x:v>-0.06115321798773952</x:v>
      </x:c>
      <x:c r="J157" s="91" t="str">
        <x:f>'Trade Features'!CI157</x:f>
        <x:v>-0.06115321798773952</x:v>
      </x:c>
      <x:c r="K157" s="92" t="n">
        <x:f>I157-J157</x:f>
        <x:v>0</x:v>
      </x:c>
      <x:c r="L157" s="90" t="str">
        <x:f>IF(ABS(K157)&lt;0.000000001,"PASS","FAIL")</x:f>
        <x:v>PASS</x:v>
      </x:c>
    </x:row>
    <x:row r="158">
      <x:c r="A158" s="84" t="str">
        <x:f>'Trade Features'!A158</x:f>
        <x:v>A0157</x:v>
      </x:c>
      <x:c r="B158" s="84" t="str">
        <x:f>'Trade Features'!F158</x:f>
        <x:v>Long</x:v>
      </x:c>
      <x:c r="C158" s="91" t="str">
        <x:f>'Trade Features'!BX158</x:f>
        <x:v>19823.0</x:v>
      </x:c>
      <x:c r="D158" s="91" t="str">
        <x:f>'Trade Features'!CA158</x:f>
        <x:v>19784.544778865988</x:v>
      </x:c>
      <x:c r="E158" s="91" t="str">
        <x:f>'Trade Features'!CH158</x:f>
        <x:v>1.4172327812150978</x:v>
      </x:c>
      <x:c r="F158" s="91" t="str">
        <x:f>'Trade Features'!CG158</x:f>
        <x:v>0.01885309663084374</x:v>
      </x:c>
      <x:c r="G158" s="92" t="n">
        <x:f>ABS(C158-D158)</x:f>
        <x:v>38.45522113401239</x:v>
      </x:c>
      <x:c r="H158" s="92" t="n">
        <x:f>IFERROR($O$2/(G158*$O$3),0)</x:f>
        <x:v>0.01885309663084374</x:v>
      </x:c>
      <x:c r="I158" s="92" t="n">
        <x:f>E158-H158</x:f>
        <x:v>1.398379684584254</x:v>
      </x:c>
      <x:c r="J158" s="91" t="str">
        <x:f>'Trade Features'!CI158</x:f>
        <x:v>1.398379684584254</x:v>
      </x:c>
      <x:c r="K158" s="92" t="n">
        <x:f>I158-J158</x:f>
        <x:v>0</x:v>
      </x:c>
      <x:c r="L158" s="90" t="str">
        <x:f>IF(ABS(K158)&lt;0.000000001,"PASS","FAIL")</x:f>
        <x:v>PASS</x:v>
      </x:c>
    </x:row>
    <x:row r="159">
      <x:c r="A159" s="84" t="str">
        <x:f>'Trade Features'!A159</x:f>
        <x:v>A0158</x:v>
      </x:c>
      <x:c r="B159" s="84" t="str">
        <x:f>'Trade Features'!F159</x:f>
        <x:v>Short</x:v>
      </x:c>
      <x:c r="C159" s="91" t="str">
        <x:f>'Trade Features'!BX159</x:f>
        <x:v>19854.0</x:v>
      </x:c>
      <x:c r="D159" s="91" t="str">
        <x:f>'Trade Features'!CA159</x:f>
        <x:v>19868.044733028433</x:v>
      </x:c>
      <x:c r="E159" s="91" t="str">
        <x:f>'Trade Features'!CH159</x:f>
        <x:v>-1.0</x:v>
      </x:c>
      <x:c r="F159" s="91" t="str">
        <x:f>'Trade Features'!CG159</x:f>
        <x:v>0.05162077474397365</x:v>
      </x:c>
      <x:c r="G159" s="92" t="n">
        <x:f>ABS(C159-D159)</x:f>
        <x:v>14.044733028433257</x:v>
      </x:c>
      <x:c r="H159" s="92" t="n">
        <x:f>IFERROR($O$2/(G159*$O$3),0)</x:f>
        <x:v>0.05162077474397365</x:v>
      </x:c>
      <x:c r="I159" s="92" t="n">
        <x:f>E159-H159</x:f>
        <x:v>-1.0516207747439736</x:v>
      </x:c>
      <x:c r="J159" s="91" t="str">
        <x:f>'Trade Features'!CI159</x:f>
        <x:v>-1.0516207747439736</x:v>
      </x:c>
      <x:c r="K159" s="92" t="n">
        <x:f>I159-J159</x:f>
        <x:v>0</x:v>
      </x:c>
      <x:c r="L159" s="90" t="str">
        <x:f>IF(ABS(K159)&lt;0.000000001,"PASS","FAIL")</x:f>
        <x:v>PASS</x:v>
      </x:c>
    </x:row>
    <x:row r="160">
      <x:c r="A160" s="84" t="str">
        <x:f>'Trade Features'!A160</x:f>
        <x:v>A0159</x:v>
      </x:c>
      <x:c r="B160" s="84" t="str">
        <x:f>'Trade Features'!F160</x:f>
        <x:v>Long</x:v>
      </x:c>
      <x:c r="C160" s="91" t="str">
        <x:f>'Trade Features'!BX160</x:f>
        <x:v>19925.0</x:v>
      </x:c>
      <x:c r="D160" s="91" t="str">
        <x:f>'Trade Features'!CA160</x:f>
        <x:v>19899.2543016648</x:v>
      </x:c>
      <x:c r="E160" s="91" t="str">
        <x:f>'Trade Features'!CH160</x:f>
        <x:v>-1.0</x:v>
      </x:c>
      <x:c r="F160" s="91" t="str">
        <x:f>'Trade Features'!CG160</x:f>
        <x:v>0.02816004408040498</x:v>
      </x:c>
      <x:c r="G160" s="92" t="n">
        <x:f>ABS(C160-D160)</x:f>
        <x:v>25.74569833519854</x:v>
      </x:c>
      <x:c r="H160" s="92" t="n">
        <x:f>IFERROR($O$2/(G160*$O$3),0)</x:f>
        <x:v>0.02816004408040498</x:v>
      </x:c>
      <x:c r="I160" s="92" t="n">
        <x:f>E160-H160</x:f>
        <x:v>-1.028160044080405</x:v>
      </x:c>
      <x:c r="J160" s="91" t="str">
        <x:f>'Trade Features'!CI160</x:f>
        <x:v>-1.028160044080405</x:v>
      </x:c>
      <x:c r="K160" s="92" t="n">
        <x:f>I160-J160</x:f>
        <x:v>0</x:v>
      </x:c>
      <x:c r="L160" s="90" t="str">
        <x:f>IF(ABS(K160)&lt;0.000000001,"PASS","FAIL")</x:f>
        <x:v>PASS</x:v>
      </x:c>
    </x:row>
    <x:row r="161">
      <x:c r="A161" s="84" t="str">
        <x:f>'Trade Features'!A161</x:f>
        <x:v>A0160</x:v>
      </x:c>
      <x:c r="B161" s="84" t="str">
        <x:f>'Trade Features'!F161</x:f>
        <x:v>Long</x:v>
      </x:c>
      <x:c r="C161" s="91" t="str">
        <x:f>'Trade Features'!BX161</x:f>
        <x:v>19938.75</x:v>
      </x:c>
      <x:c r="D161" s="91" t="str">
        <x:f>'Trade Features'!CA161</x:f>
        <x:v>19915.23611931732</x:v>
      </x:c>
      <x:c r="E161" s="91" t="str">
        <x:f>'Trade Features'!CH161</x:f>
        <x:v>0.1488482504114185</x:v>
      </x:c>
      <x:c r="F161" s="91" t="str">
        <x:f>'Trade Features'!CG161</x:f>
        <x:v>0.030832851870938878</x:v>
      </x:c>
      <x:c r="G161" s="92" t="n">
        <x:f>ABS(C161-D161)</x:f>
        <x:v>23.513880682679883</x:v>
      </x:c>
      <x:c r="H161" s="92" t="n">
        <x:f>IFERROR($O$2/(G161*$O$3),0)</x:f>
        <x:v>0.030832851870938878</x:v>
      </x:c>
      <x:c r="I161" s="92" t="n">
        <x:f>E161-H161</x:f>
        <x:v>0.11801539854047963</x:v>
      </x:c>
      <x:c r="J161" s="91" t="str">
        <x:f>'Trade Features'!CI161</x:f>
        <x:v>0.11801539854047963</x:v>
      </x:c>
      <x:c r="K161" s="92" t="n">
        <x:f>I161-J161</x:f>
        <x:v>0</x:v>
      </x:c>
      <x:c r="L161" s="90" t="str">
        <x:f>IF(ABS(K161)&lt;0.000000001,"PASS","FAIL")</x:f>
        <x:v>PASS</x:v>
      </x:c>
    </x:row>
    <x:row r="162">
      <x:c r="A162" s="84" t="str">
        <x:f>'Trade Features'!A162</x:f>
        <x:v>A0161</x:v>
      </x:c>
      <x:c r="B162" s="84" t="str">
        <x:f>'Trade Features'!F162</x:f>
        <x:v>Short</x:v>
      </x:c>
      <x:c r="C162" s="91" t="str">
        <x:f>'Trade Features'!BX162</x:f>
        <x:v>19987.5</x:v>
      </x:c>
      <x:c r="D162" s="91" t="str">
        <x:f>'Trade Features'!CA162</x:f>
        <x:v>19995.124146178463</x:v>
      </x:c>
      <x:c r="E162" s="91" t="str">
        <x:f>'Trade Features'!CH162</x:f>
        <x:v>-1.0</x:v>
      </x:c>
      <x:c r="F162" s="91" t="str">
        <x:f>'Trade Features'!CG162</x:f>
        <x:v>0.09509261536039428</x:v>
      </x:c>
      <x:c r="G162" s="92" t="n">
        <x:f>ABS(C162-D162)</x:f>
        <x:v>7.624146178462979</x:v>
      </x:c>
      <x:c r="H162" s="92" t="n">
        <x:f>IFERROR($O$2/(G162*$O$3),0)</x:f>
        <x:v>0.09509261536039428</x:v>
      </x:c>
      <x:c r="I162" s="92" t="n">
        <x:f>E162-H162</x:f>
        <x:v>-1.0950926153603944</x:v>
      </x:c>
      <x:c r="J162" s="91" t="str">
        <x:f>'Trade Features'!CI162</x:f>
        <x:v>-1.0950926153603944</x:v>
      </x:c>
      <x:c r="K162" s="92" t="n">
        <x:f>I162-J162</x:f>
        <x:v>0</x:v>
      </x:c>
      <x:c r="L162" s="90" t="str">
        <x:f>IF(ABS(K162)&lt;0.000000001,"PASS","FAIL")</x:f>
        <x:v>PASS</x:v>
      </x:c>
    </x:row>
    <x:row r="163">
      <x:c r="A163" s="84" t="str">
        <x:f>'Trade Features'!A163</x:f>
        <x:v>A0162</x:v>
      </x:c>
      <x:c r="B163" s="84" t="str">
        <x:f>'Trade Features'!F163</x:f>
        <x:v>Long</x:v>
      </x:c>
      <x:c r="C163" s="91" t="str">
        <x:f>'Trade Features'!BX163</x:f>
        <x:v>19997.75</x:v>
      </x:c>
      <x:c r="D163" s="91" t="str">
        <x:f>'Trade Features'!CA163</x:f>
        <x:v>19986.823628625203</x:v>
      </x:c>
      <x:c r="E163" s="91" t="str">
        <x:f>'Trade Features'!CH163</x:f>
        <x:v>-0.549130154393184</x:v>
      </x:c>
      <x:c r="F163" s="91" t="str">
        <x:f>'Trade Features'!CG163</x:f>
        <x:v>0.06635322698918224</x:v>
      </x:c>
      <x:c r="G163" s="92" t="n">
        <x:f>ABS(C163-D163)</x:f>
        <x:v>10.926371374796872</x:v>
      </x:c>
      <x:c r="H163" s="92" t="n">
        <x:f>IFERROR($O$2/(G163*$O$3),0)</x:f>
        <x:v>0.06635322698918224</x:v>
      </x:c>
      <x:c r="I163" s="92" t="n">
        <x:f>E163-H163</x:f>
        <x:v>-0.6154833813823662</x:v>
      </x:c>
      <x:c r="J163" s="91" t="str">
        <x:f>'Trade Features'!CI163</x:f>
        <x:v>-0.6154833813823662</x:v>
      </x:c>
      <x:c r="K163" s="92" t="n">
        <x:f>I163-J163</x:f>
        <x:v>0</x:v>
      </x:c>
      <x:c r="L163" s="90" t="str">
        <x:f>IF(ABS(K163)&lt;0.000000001,"PASS","FAIL")</x:f>
        <x:v>PASS</x:v>
      </x:c>
    </x:row>
    <x:row r="164">
      <x:c r="A164" s="84" t="str">
        <x:f>'Trade Features'!A164</x:f>
        <x:v>A0163</x:v>
      </x:c>
      <x:c r="B164" s="84" t="str">
        <x:f>'Trade Features'!F164</x:f>
        <x:v>Short</x:v>
      </x:c>
      <x:c r="C164" s="91" t="str">
        <x:f>'Trade Features'!BX164</x:f>
        <x:v>19969.5</x:v>
      </x:c>
      <x:c r="D164" s="91" t="str">
        <x:f>'Trade Features'!CA164</x:f>
        <x:v>19980.258004574247</x:v>
      </x:c>
      <x:c r="E164" s="91" t="str">
        <x:f>'Trade Features'!CH164</x:f>
        <x:v>-1.0</x:v>
      </x:c>
      <x:c r="F164" s="91" t="str">
        <x:f>'Trade Features'!CG164</x:f>
        <x:v>0.06739167984140258</x:v>
      </x:c>
      <x:c r="G164" s="92" t="n">
        <x:f>ABS(C164-D164)</x:f>
        <x:v>10.758004574247025</x:v>
      </x:c>
      <x:c r="H164" s="92" t="n">
        <x:f>IFERROR($O$2/(G164*$O$3),0)</x:f>
        <x:v>0.06739167984140258</x:v>
      </x:c>
      <x:c r="I164" s="92" t="n">
        <x:f>E164-H164</x:f>
        <x:v>-1.0673916798414025</x:v>
      </x:c>
      <x:c r="J164" s="91" t="str">
        <x:f>'Trade Features'!CI164</x:f>
        <x:v>-1.0673916798414025</x:v>
      </x:c>
      <x:c r="K164" s="92" t="n">
        <x:f>I164-J164</x:f>
        <x:v>0</x:v>
      </x:c>
      <x:c r="L164" s="90" t="str">
        <x:f>IF(ABS(K164)&lt;0.000000001,"PASS","FAIL")</x:f>
        <x:v>PASS</x:v>
      </x:c>
    </x:row>
    <x:row r="165">
      <x:c r="A165" s="84" t="str">
        <x:f>'Trade Features'!A165</x:f>
        <x:v>A0164</x:v>
      </x:c>
      <x:c r="B165" s="84" t="str">
        <x:f>'Trade Features'!F165</x:f>
        <x:v>Long</x:v>
      </x:c>
      <x:c r="C165" s="91" t="str">
        <x:f>'Trade Features'!BX165</x:f>
        <x:v>19975.25</x:v>
      </x:c>
      <x:c r="D165" s="91" t="str">
        <x:f>'Trade Features'!CA165</x:f>
        <x:v>19970.099536001337</x:v>
      </x:c>
      <x:c r="E165" s="91" t="str">
        <x:f>'Trade Features'!CH165</x:f>
        <x:v>-1.0</x:v>
      </x:c>
      <x:c r="F165" s="91" t="str">
        <x:f>'Trade Features'!CG165</x:f>
        <x:v>0.14076401663775448</x:v>
      </x:c>
      <x:c r="G165" s="92" t="n">
        <x:f>ABS(C165-D165)</x:f>
        <x:v>5.1504639986633265</x:v>
      </x:c>
      <x:c r="H165" s="92" t="n">
        <x:f>IFERROR($O$2/(G165*$O$3),0)</x:f>
        <x:v>0.14076401663775448</x:v>
      </x:c>
      <x:c r="I165" s="92" t="n">
        <x:f>E165-H165</x:f>
        <x:v>-1.1407640166377544</x:v>
      </x:c>
      <x:c r="J165" s="91" t="str">
        <x:f>'Trade Features'!CI165</x:f>
        <x:v>-1.1407640166377544</x:v>
      </x:c>
      <x:c r="K165" s="92" t="n">
        <x:f>I165-J165</x:f>
        <x:v>0</x:v>
      </x:c>
      <x:c r="L165" s="90" t="str">
        <x:f>IF(ABS(K165)&lt;0.000000001,"PASS","FAIL")</x:f>
        <x:v>PASS</x:v>
      </x:c>
    </x:row>
    <x:row r="166">
      <x:c r="A166" s="84" t="str">
        <x:f>'Trade Features'!A166</x:f>
        <x:v>A0165</x:v>
      </x:c>
      <x:c r="B166" s="84" t="str">
        <x:f>'Trade Features'!F166</x:f>
        <x:v>Short</x:v>
      </x:c>
      <x:c r="C166" s="91" t="str">
        <x:f>'Trade Features'!BX166</x:f>
        <x:v>20138.75</x:v>
      </x:c>
      <x:c r="D166" s="91" t="str">
        <x:f>'Trade Features'!CA166</x:f>
        <x:v>20147.169479146905</x:v>
      </x:c>
      <x:c r="E166" s="91" t="str">
        <x:f>'Trade Features'!CH166</x:f>
        <x:v>-1.0</x:v>
      </x:c>
      <x:c r="F166" s="91" t="str">
        <x:f>'Trade Features'!CG166</x:f>
        <x:v>0.08610983973592701</x:v>
      </x:c>
      <x:c r="G166" s="92" t="n">
        <x:f>ABS(C166-D166)</x:f>
        <x:v>8.41947914690536</x:v>
      </x:c>
      <x:c r="H166" s="92" t="n">
        <x:f>IFERROR($O$2/(G166*$O$3),0)</x:f>
        <x:v>0.08610983973592701</x:v>
      </x:c>
      <x:c r="I166" s="92" t="n">
        <x:f>E166-H166</x:f>
        <x:v>-1.086109839735927</x:v>
      </x:c>
      <x:c r="J166" s="91" t="str">
        <x:f>'Trade Features'!CI166</x:f>
        <x:v>-1.086109839735927</x:v>
      </x:c>
      <x:c r="K166" s="92" t="n">
        <x:f>I166-J166</x:f>
        <x:v>0</x:v>
      </x:c>
      <x:c r="L166" s="90" t="str">
        <x:f>IF(ABS(K166)&lt;0.000000001,"PASS","FAIL")</x:f>
        <x:v>PASS</x:v>
      </x:c>
    </x:row>
    <x:row r="167">
      <x:c r="A167" s="84" t="str">
        <x:f>'Trade Features'!A167</x:f>
        <x:v>A0166</x:v>
      </x:c>
      <x:c r="B167" s="84" t="str">
        <x:f>'Trade Features'!F167</x:f>
        <x:v>Long</x:v>
      </x:c>
      <x:c r="C167" s="91" t="str">
        <x:f>'Trade Features'!BX167</x:f>
        <x:v>20234.25</x:v>
      </x:c>
      <x:c r="D167" s="91" t="str">
        <x:f>'Trade Features'!CA167</x:f>
        <x:v>20212.949168119947</x:v>
      </x:c>
      <x:c r="E167" s="91" t="str">
        <x:f>'Trade Features'!CH167</x:f>
        <x:v>-1.0</x:v>
      </x:c>
      <x:c r="F167" s="91" t="str">
        <x:f>'Trade Features'!CG167</x:f>
        <x:v>0.03403622938684007</x:v>
      </x:c>
      <x:c r="G167" s="92" t="n">
        <x:f>ABS(C167-D167)</x:f>
        <x:v>21.30083188005301</x:v>
      </x:c>
      <x:c r="H167" s="92" t="n">
        <x:f>IFERROR($O$2/(G167*$O$3),0)</x:f>
        <x:v>0.03403622938684007</x:v>
      </x:c>
      <x:c r="I167" s="92" t="n">
        <x:f>E167-H167</x:f>
        <x:v>-1.0340362293868401</x:v>
      </x:c>
      <x:c r="J167" s="91" t="str">
        <x:f>'Trade Features'!CI167</x:f>
        <x:v>-1.0340362293868401</x:v>
      </x:c>
      <x:c r="K167" s="92" t="n">
        <x:f>I167-J167</x:f>
        <x:v>0</x:v>
      </x:c>
      <x:c r="L167" s="90" t="str">
        <x:f>IF(ABS(K167)&lt;0.000000001,"PASS","FAIL")</x:f>
        <x:v>PASS</x:v>
      </x:c>
    </x:row>
    <x:row r="168">
      <x:c r="A168" s="84" t="str">
        <x:f>'Trade Features'!A168</x:f>
        <x:v>A0167</x:v>
      </x:c>
      <x:c r="B168" s="84" t="str">
        <x:f>'Trade Features'!F168</x:f>
        <x:v>Long</x:v>
      </x:c>
      <x:c r="C168" s="91" t="str">
        <x:f>'Trade Features'!BX168</x:f>
        <x:v>19914.0</x:v>
      </x:c>
      <x:c r="D168" s="91" t="str">
        <x:f>'Trade Features'!CA168</x:f>
        <x:v>19892.64912952405</x:v>
      </x:c>
      <x:c r="E168" s="91" t="str">
        <x:f>'Trade Features'!CH168</x:f>
        <x:v>-1.0</x:v>
      </x:c>
      <x:c r="F168" s="91" t="str">
        <x:f>'Trade Features'!CG168</x:f>
        <x:v>0.03395646097036658</x:v>
      </x:c>
      <x:c r="G168" s="92" t="n">
        <x:f>ABS(C168-D168)</x:f>
        <x:v>21.350870475951524</x:v>
      </x:c>
      <x:c r="H168" s="92" t="n">
        <x:f>IFERROR($O$2/(G168*$O$3),0)</x:f>
        <x:v>0.03395646097036658</x:v>
      </x:c>
      <x:c r="I168" s="92" t="n">
        <x:f>E168-H168</x:f>
        <x:v>-1.0339564609703666</x:v>
      </x:c>
      <x:c r="J168" s="91" t="str">
        <x:f>'Trade Features'!CI168</x:f>
        <x:v>-1.0339564609703666</x:v>
      </x:c>
      <x:c r="K168" s="92" t="n">
        <x:f>I168-J168</x:f>
        <x:v>0</x:v>
      </x:c>
      <x:c r="L168" s="90" t="str">
        <x:f>IF(ABS(K168)&lt;0.000000001,"PASS","FAIL")</x:f>
        <x:v>PASS</x:v>
      </x:c>
    </x:row>
    <x:row r="169">
      <x:c r="A169" s="84" t="str">
        <x:f>'Trade Features'!A169</x:f>
        <x:v>A0168</x:v>
      </x:c>
      <x:c r="B169" s="84" t="str">
        <x:f>'Trade Features'!F169</x:f>
        <x:v>Long</x:v>
      </x:c>
      <x:c r="C169" s="91" t="str">
        <x:f>'Trade Features'!BX169</x:f>
        <x:v>19868.75</x:v>
      </x:c>
      <x:c r="D169" s="91" t="str">
        <x:f>'Trade Features'!CA169</x:f>
        <x:v>19832.089310349198</x:v>
      </x:c>
      <x:c r="E169" s="91" t="str">
        <x:f>'Trade Features'!CH169</x:f>
        <x:v>-0.5182663005245425</x:v>
      </x:c>
      <x:c r="F169" s="91" t="str">
        <x:f>'Trade Features'!CG169</x:f>
        <x:v>0.019775950941068585</x:v>
      </x:c>
      <x:c r="G169" s="92" t="n">
        <x:f>ABS(C169-D169)</x:f>
        <x:v>36.66068965080194</x:v>
      </x:c>
      <x:c r="H169" s="92" t="n">
        <x:f>IFERROR($O$2/(G169*$O$3),0)</x:f>
        <x:v>0.019775950941068585</x:v>
      </x:c>
      <x:c r="I169" s="92" t="n">
        <x:f>E169-H169</x:f>
        <x:v>-0.538042251465611</x:v>
      </x:c>
      <x:c r="J169" s="91" t="str">
        <x:f>'Trade Features'!CI169</x:f>
        <x:v>-0.538042251465611</x:v>
      </x:c>
      <x:c r="K169" s="92" t="n">
        <x:f>I169-J169</x:f>
        <x:v>0</x:v>
      </x:c>
      <x:c r="L169" s="90" t="str">
        <x:f>IF(ABS(K169)&lt;0.000000001,"PASS","FAIL")</x:f>
        <x:v>PASS</x:v>
      </x:c>
    </x:row>
    <x:row r="170">
      <x:c r="A170" s="84" t="str">
        <x:f>'Trade Features'!A170</x:f>
        <x:v>A0169</x:v>
      </x:c>
      <x:c r="B170" s="84" t="str">
        <x:f>'Trade Features'!F170</x:f>
        <x:v>Short</x:v>
      </x:c>
      <x:c r="C170" s="91" t="str">
        <x:f>'Trade Features'!BX170</x:f>
        <x:v>19587.5</x:v>
      </x:c>
      <x:c r="D170" s="91" t="str">
        <x:f>'Trade Features'!CA170</x:f>
        <x:v>19610.29413102209</x:v>
      </x:c>
      <x:c r="E170" s="91" t="str">
        <x:f>'Trade Features'!CH170</x:f>
        <x:v>2.0</x:v>
      </x:c>
      <x:c r="F170" s="91" t="str">
        <x:f>'Trade Features'!CG170</x:f>
        <x:v>0.0318064329496677</x:v>
      </x:c>
      <x:c r="G170" s="92" t="n">
        <x:f>ABS(C170-D170)</x:f>
        <x:v>22.79413102208855</x:v>
      </x:c>
      <x:c r="H170" s="92" t="n">
        <x:f>IFERROR($O$2/(G170*$O$3),0)</x:f>
        <x:v>0.0318064329496677</x:v>
      </x:c>
      <x:c r="I170" s="92" t="n">
        <x:f>E170-H170</x:f>
        <x:v>1.9681935670503323</x:v>
      </x:c>
      <x:c r="J170" s="91" t="str">
        <x:f>'Trade Features'!CI170</x:f>
        <x:v>1.9681935670503323</x:v>
      </x:c>
      <x:c r="K170" s="92" t="n">
        <x:f>I170-J170</x:f>
        <x:v>0</x:v>
      </x:c>
      <x:c r="L170" s="90" t="str">
        <x:f>IF(ABS(K170)&lt;0.000000001,"PASS","FAIL")</x:f>
        <x:v>PASS</x:v>
      </x:c>
    </x:row>
    <x:row r="171">
      <x:c r="A171" s="84" t="str">
        <x:f>'Trade Features'!A171</x:f>
        <x:v>A0170</x:v>
      </x:c>
      <x:c r="B171" s="84" t="str">
        <x:f>'Trade Features'!F171</x:f>
        <x:v>Short</x:v>
      </x:c>
      <x:c r="C171" s="91" t="str">
        <x:f>'Trade Features'!BX171</x:f>
        <x:v>19254.0</x:v>
      </x:c>
      <x:c r="D171" s="91" t="str">
        <x:f>'Trade Features'!CA171</x:f>
        <x:v>19299.38180231687</x:v>
      </x:c>
      <x:c r="E171" s="91" t="str">
        <x:f>'Trade Features'!CH171</x:f>
        <x:v>-1.0</x:v>
      </x:c>
      <x:c r="F171" s="91" t="str">
        <x:f>'Trade Features'!CG171</x:f>
        <x:v>0.01597556648230493</x:v>
      </x:c>
      <x:c r="G171" s="92" t="n">
        <x:f>ABS(C171-D171)</x:f>
        <x:v>45.38180231687147</x:v>
      </x:c>
      <x:c r="H171" s="92" t="n">
        <x:f>IFERROR($O$2/(G171*$O$3),0)</x:f>
        <x:v>0.01597556648230493</x:v>
      </x:c>
      <x:c r="I171" s="92" t="n">
        <x:f>E171-H171</x:f>
        <x:v>-1.015975566482305</x:v>
      </x:c>
      <x:c r="J171" s="91" t="str">
        <x:f>'Trade Features'!CI171</x:f>
        <x:v>-1.015975566482305</x:v>
      </x:c>
      <x:c r="K171" s="92" t="n">
        <x:f>I171-J171</x:f>
        <x:v>0</x:v>
      </x:c>
      <x:c r="L171" s="90" t="str">
        <x:f>IF(ABS(K171)&lt;0.000000001,"PASS","FAIL")</x:f>
        <x:v>PASS</x:v>
      </x:c>
    </x:row>
    <x:row r="172">
      <x:c r="A172" s="84" t="str">
        <x:f>'Trade Features'!A172</x:f>
        <x:v>A0171</x:v>
      </x:c>
      <x:c r="B172" s="84" t="str">
        <x:f>'Trade Features'!F172</x:f>
        <x:v>Long</x:v>
      </x:c>
      <x:c r="C172" s="91" t="str">
        <x:f>'Trade Features'!BX172</x:f>
        <x:v>19379.5</x:v>
      </x:c>
      <x:c r="D172" s="91" t="str">
        <x:f>'Trade Features'!CA172</x:f>
        <x:v>19349.859746948157</x:v>
      </x:c>
      <x:c r="E172" s="91" t="str">
        <x:f>'Trade Features'!CH172</x:f>
        <x:v>-1.0</x:v>
      </x:c>
      <x:c r="F172" s="91" t="str">
        <x:f>'Trade Features'!CG172</x:f>
        <x:v>0.024459980106510265</x:v>
      </x:c>
      <x:c r="G172" s="92" t="n">
        <x:f>ABS(C172-D172)</x:f>
        <x:v>29.640253051842592</x:v>
      </x:c>
      <x:c r="H172" s="92" t="n">
        <x:f>IFERROR($O$2/(G172*$O$3),0)</x:f>
        <x:v>0.024459980106510265</x:v>
      </x:c>
      <x:c r="I172" s="92" t="n">
        <x:f>E172-H172</x:f>
        <x:v>-1.0244599801065102</x:v>
      </x:c>
      <x:c r="J172" s="91" t="str">
        <x:f>'Trade Features'!CI172</x:f>
        <x:v>-1.0244599801065102</x:v>
      </x:c>
      <x:c r="K172" s="92" t="n">
        <x:f>I172-J172</x:f>
        <x:v>0</x:v>
      </x:c>
      <x:c r="L172" s="90" t="str">
        <x:f>IF(ABS(K172)&lt;0.000000001,"PASS","FAIL")</x:f>
        <x:v>PASS</x:v>
      </x:c>
    </x:row>
    <x:row r="173">
      <x:c r="A173" s="84" t="str">
        <x:f>'Trade Features'!A173</x:f>
        <x:v>A0172</x:v>
      </x:c>
      <x:c r="B173" s="84" t="str">
        <x:f>'Trade Features'!F173</x:f>
        <x:v>Short</x:v>
      </x:c>
      <x:c r="C173" s="91" t="str">
        <x:f>'Trade Features'!BX173</x:f>
        <x:v>19252.25</x:v>
      </x:c>
      <x:c r="D173" s="91" t="str">
        <x:f>'Trade Features'!CA173</x:f>
        <x:v>19315.202032503817</x:v>
      </x:c>
      <x:c r="E173" s="91" t="str">
        <x:f>'Trade Features'!CH173</x:f>
        <x:v>2.0</x:v>
      </x:c>
      <x:c r="F173" s="91" t="str">
        <x:f>'Trade Features'!CG173</x:f>
        <x:v>0.01151670519861349</x:v>
      </x:c>
      <x:c r="G173" s="92" t="n">
        <x:f>ABS(C173-D173)</x:f>
        <x:v>62.95203250381746</x:v>
      </x:c>
      <x:c r="H173" s="92" t="n">
        <x:f>IFERROR($O$2/(G173*$O$3),0)</x:f>
        <x:v>0.01151670519861349</x:v>
      </x:c>
      <x:c r="I173" s="92" t="n">
        <x:f>E173-H173</x:f>
        <x:v>1.9884832948013864</x:v>
      </x:c>
      <x:c r="J173" s="91" t="str">
        <x:f>'Trade Features'!CI173</x:f>
        <x:v>1.9884832948013864</x:v>
      </x:c>
      <x:c r="K173" s="92" t="n">
        <x:f>I173-J173</x:f>
        <x:v>0</x:v>
      </x:c>
      <x:c r="L173" s="90" t="str">
        <x:f>IF(ABS(K173)&lt;0.000000001,"PASS","FAIL")</x:f>
        <x:v>PASS</x:v>
      </x:c>
    </x:row>
    <x:row r="174">
      <x:c r="A174" s="84" t="str">
        <x:f>'Trade Features'!A174</x:f>
        <x:v>A0173</x:v>
      </x:c>
      <x:c r="B174" s="84" t="str">
        <x:f>'Trade Features'!F174</x:f>
        <x:v>Short</x:v>
      </x:c>
      <x:c r="C174" s="91" t="str">
        <x:f>'Trade Features'!BX174</x:f>
        <x:v>19078.25</x:v>
      </x:c>
      <x:c r="D174" s="91" t="str">
        <x:f>'Trade Features'!CA174</x:f>
        <x:v>19130.153721193197</x:v>
      </x:c>
      <x:c r="E174" s="91" t="str">
        <x:f>'Trade Features'!CH174</x:f>
        <x:v>-1.0</x:v>
      </x:c>
      <x:c r="F174" s="91" t="str">
        <x:f>'Trade Features'!CG174</x:f>
        <x:v>0.013968169975740038</x:v>
      </x:c>
      <x:c r="G174" s="92" t="n">
        <x:f>ABS(C174-D174)</x:f>
        <x:v>51.90372119319727</x:v>
      </x:c>
      <x:c r="H174" s="92" t="n">
        <x:f>IFERROR($O$2/(G174*$O$3),0)</x:f>
        <x:v>0.013968169975740038</x:v>
      </x:c>
      <x:c r="I174" s="92" t="n">
        <x:f>E174-H174</x:f>
        <x:v>-1.0139681699757401</x:v>
      </x:c>
      <x:c r="J174" s="91" t="str">
        <x:f>'Trade Features'!CI174</x:f>
        <x:v>-1.0139681699757401</x:v>
      </x:c>
      <x:c r="K174" s="92" t="n">
        <x:f>I174-J174</x:f>
        <x:v>0</x:v>
      </x:c>
      <x:c r="L174" s="90" t="str">
        <x:f>IF(ABS(K174)&lt;0.000000001,"PASS","FAIL")</x:f>
        <x:v>PASS</x:v>
      </x:c>
    </x:row>
    <x:row r="175">
      <x:c r="A175" s="84" t="str">
        <x:f>'Trade Features'!A175</x:f>
        <x:v>A0174</x:v>
      </x:c>
      <x:c r="B175" s="84" t="str">
        <x:f>'Trade Features'!F175</x:f>
        <x:v>Short</x:v>
      </x:c>
      <x:c r="C175" s="91" t="str">
        <x:f>'Trade Features'!BX175</x:f>
        <x:v>18953.25</x:v>
      </x:c>
      <x:c r="D175" s="91" t="str">
        <x:f>'Trade Features'!CA175</x:f>
        <x:v>19004.88306107174</x:v>
      </x:c>
      <x:c r="E175" s="91" t="str">
        <x:f>'Trade Features'!CH175</x:f>
        <x:v>-1.0</x:v>
      </x:c>
      <x:c r="F175" s="91" t="str">
        <x:f>'Trade Features'!CG175</x:f>
        <x:v>0.014041391018685703</x:v>
      </x:c>
      <x:c r="G175" s="92" t="n">
        <x:f>ABS(C175-D175)</x:f>
        <x:v>51.633061071741395</x:v>
      </x:c>
      <x:c r="H175" s="92" t="n">
        <x:f>IFERROR($O$2/(G175*$O$3),0)</x:f>
        <x:v>0.014041391018685703</x:v>
      </x:c>
      <x:c r="I175" s="92" t="n">
        <x:f>E175-H175</x:f>
        <x:v>-1.0140413910186856</x:v>
      </x:c>
      <x:c r="J175" s="91" t="str">
        <x:f>'Trade Features'!CI175</x:f>
        <x:v>-1.0140413910186856</x:v>
      </x:c>
      <x:c r="K175" s="92" t="n">
        <x:f>I175-J175</x:f>
        <x:v>0</x:v>
      </x:c>
      <x:c r="L175" s="90" t="str">
        <x:f>IF(ABS(K175)&lt;0.000000001,"PASS","FAIL")</x:f>
        <x:v>PASS</x:v>
      </x:c>
    </x:row>
    <x:row r="176">
      <x:c r="A176" s="84" t="str">
        <x:f>'Trade Features'!A176</x:f>
        <x:v>A0175</x:v>
      </x:c>
      <x:c r="B176" s="84" t="str">
        <x:f>'Trade Features'!F176</x:f>
        <x:v>Long</x:v>
      </x:c>
      <x:c r="C176" s="91" t="str">
        <x:f>'Trade Features'!BX176</x:f>
        <x:v>19024.0</x:v>
      </x:c>
      <x:c r="D176" s="91" t="str">
        <x:f>'Trade Features'!CA176</x:f>
        <x:v>18978.82823310295</x:v>
      </x:c>
      <x:c r="E176" s="91" t="str">
        <x:f>'Trade Features'!CH176</x:f>
        <x:v>-1.0</x:v>
      </x:c>
      <x:c r="F176" s="91" t="str">
        <x:f>'Trade Features'!CG176</x:f>
        <x:v>0.01604984816406127</x:v>
      </x:c>
      <x:c r="G176" s="92" t="n">
        <x:f>ABS(C176-D176)</x:f>
        <x:v>45.171766897048656</x:v>
      </x:c>
      <x:c r="H176" s="92" t="n">
        <x:f>IFERROR($O$2/(G176*$O$3),0)</x:f>
        <x:v>0.01604984816406127</x:v>
      </x:c>
      <x:c r="I176" s="92" t="n">
        <x:f>E176-H176</x:f>
        <x:v>-1.0160498481640612</x:v>
      </x:c>
      <x:c r="J176" s="91" t="str">
        <x:f>'Trade Features'!CI176</x:f>
        <x:v>-1.0160498481640612</x:v>
      </x:c>
      <x:c r="K176" s="92" t="n">
        <x:f>I176-J176</x:f>
        <x:v>0</x:v>
      </x:c>
      <x:c r="L176" s="90" t="str">
        <x:f>IF(ABS(K176)&lt;0.000000001,"PASS","FAIL")</x:f>
        <x:v>PASS</x:v>
      </x:c>
    </x:row>
    <x:row r="177">
      <x:c r="A177" s="84" t="str">
        <x:f>'Trade Features'!A177</x:f>
        <x:v>A0176</x:v>
      </x:c>
      <x:c r="B177" s="84" t="str">
        <x:f>'Trade Features'!F177</x:f>
        <x:v>Short</x:v>
      </x:c>
      <x:c r="C177" s="91" t="str">
        <x:f>'Trade Features'!BX177</x:f>
        <x:v>19194.25</x:v>
      </x:c>
      <x:c r="D177" s="91" t="str">
        <x:f>'Trade Features'!CA177</x:f>
        <x:v>19216.56757649842</x:v>
      </x:c>
      <x:c r="E177" s="91" t="str">
        <x:f>'Trade Features'!CH177</x:f>
        <x:v>-1.0</x:v>
      </x:c>
      <x:c r="F177" s="91" t="str">
        <x:f>'Trade Features'!CG177</x:f>
        <x:v>0.03248560613431131</x:v>
      </x:c>
      <x:c r="G177" s="92" t="n">
        <x:f>ABS(C177-D177)</x:f>
        <x:v>22.31757649841893</x:v>
      </x:c>
      <x:c r="H177" s="92" t="n">
        <x:f>IFERROR($O$2/(G177*$O$3),0)</x:f>
        <x:v>0.03248560613431131</x:v>
      </x:c>
      <x:c r="I177" s="92" t="n">
        <x:f>E177-H177</x:f>
        <x:v>-1.0324856061343113</x:v>
      </x:c>
      <x:c r="J177" s="91" t="str">
        <x:f>'Trade Features'!CI177</x:f>
        <x:v>-1.0324856061343113</x:v>
      </x:c>
      <x:c r="K177" s="92" t="n">
        <x:f>I177-J177</x:f>
        <x:v>0</x:v>
      </x:c>
      <x:c r="L177" s="90" t="str">
        <x:f>IF(ABS(K177)&lt;0.000000001,"PASS","FAIL")</x:f>
        <x:v>PASS</x:v>
      </x:c>
    </x:row>
    <x:row r="178">
      <x:c r="A178" s="84" t="str">
        <x:f>'Trade Features'!A178</x:f>
        <x:v>A0177</x:v>
      </x:c>
      <x:c r="B178" s="84" t="str">
        <x:f>'Trade Features'!F178</x:f>
        <x:v>Short</x:v>
      </x:c>
      <x:c r="C178" s="91" t="str">
        <x:f>'Trade Features'!BX178</x:f>
        <x:v>19075.25</x:v>
      </x:c>
      <x:c r="D178" s="91" t="str">
        <x:f>'Trade Features'!CA178</x:f>
        <x:v>19089.528109175146</x:v>
      </x:c>
      <x:c r="E178" s="91" t="str">
        <x:f>'Trade Features'!CH178</x:f>
        <x:v>-0.5252796366800921</x:v>
      </x:c>
      <x:c r="F178" s="91" t="str">
        <x:f>'Trade Features'!CG178</x:f>
        <x:v>0.05077703154574714</x:v>
      </x:c>
      <x:c r="G178" s="92" t="n">
        <x:f>ABS(C178-D178)</x:f>
        <x:v>14.2781091751458</x:v>
      </x:c>
      <x:c r="H178" s="92" t="n">
        <x:f>IFERROR($O$2/(G178*$O$3),0)</x:f>
        <x:v>0.05077703154574714</x:v>
      </x:c>
      <x:c r="I178" s="92" t="n">
        <x:f>E178-H178</x:f>
        <x:v>-0.5760566682258392</x:v>
      </x:c>
      <x:c r="J178" s="91" t="str">
        <x:f>'Trade Features'!CI178</x:f>
        <x:v>-0.5760566682258392</x:v>
      </x:c>
      <x:c r="K178" s="92" t="n">
        <x:f>I178-J178</x:f>
        <x:v>0</x:v>
      </x:c>
      <x:c r="L178" s="90" t="str">
        <x:f>IF(ABS(K178)&lt;0.000000001,"PASS","FAIL")</x:f>
        <x:v>PASS</x:v>
      </x:c>
    </x:row>
    <x:row r="179">
      <x:c r="A179" s="84" t="str">
        <x:f>'Trade Features'!A179</x:f>
        <x:v>A0178</x:v>
      </x:c>
      <x:c r="B179" s="84" t="str">
        <x:f>'Trade Features'!F179</x:f>
        <x:v>Short</x:v>
      </x:c>
      <x:c r="C179" s="91" t="str">
        <x:f>'Trade Features'!BX179</x:f>
        <x:v>18613.0</x:v>
      </x:c>
      <x:c r="D179" s="91" t="str">
        <x:f>'Trade Features'!CA179</x:f>
        <x:v>18652.153190073623</x:v>
      </x:c>
      <x:c r="E179" s="91" t="str">
        <x:f>'Trade Features'!CH179</x:f>
        <x:v>-0.217095975679554</x:v>
      </x:c>
      <x:c r="F179" s="91" t="str">
        <x:f>'Trade Features'!CG179</x:f>
        <x:v>0.018517009690314584</x:v>
      </x:c>
      <x:c r="G179" s="92" t="n">
        <x:f>ABS(C179-D179)</x:f>
        <x:v>39.15319007362268</x:v>
      </x:c>
      <x:c r="H179" s="92" t="n">
        <x:f>IFERROR($O$2/(G179*$O$3),0)</x:f>
        <x:v>0.018517009690314584</x:v>
      </x:c>
      <x:c r="I179" s="92" t="n">
        <x:f>E179-H179</x:f>
        <x:v>-0.23561298536986858</x:v>
      </x:c>
      <x:c r="J179" s="91" t="str">
        <x:f>'Trade Features'!CI179</x:f>
        <x:v>-0.23561298536986858</x:v>
      </x:c>
      <x:c r="K179" s="92" t="n">
        <x:f>I179-J179</x:f>
        <x:v>0</x:v>
      </x:c>
      <x:c r="L179" s="90" t="str">
        <x:f>IF(ABS(K179)&lt;0.000000001,"PASS","FAIL")</x:f>
        <x:v>PASS</x:v>
      </x:c>
    </x:row>
    <x:row r="180">
      <x:c r="A180" s="84" t="str">
        <x:f>'Trade Features'!A180</x:f>
        <x:v>A0179</x:v>
      </x:c>
      <x:c r="B180" s="84" t="str">
        <x:f>'Trade Features'!F180</x:f>
        <x:v>Short</x:v>
      </x:c>
      <x:c r="C180" s="91" t="str">
        <x:f>'Trade Features'!BX180</x:f>
        <x:v>18484.75</x:v>
      </x:c>
      <x:c r="D180" s="91" t="str">
        <x:f>'Trade Features'!CA180</x:f>
        <x:v>18506.626813059996</x:v>
      </x:c>
      <x:c r="E180" s="91" t="str">
        <x:f>'Trade Features'!CH180</x:f>
        <x:v>-1.0</x:v>
      </x:c>
      <x:c r="F180" s="91" t="str">
        <x:f>'Trade Features'!CG180</x:f>
        <x:v>0.033140110399613947</x:v>
      </x:c>
      <x:c r="G180" s="92" t="n">
        <x:f>ABS(C180-D180)</x:f>
        <x:v>21.876813059996493</x:v>
      </x:c>
      <x:c r="H180" s="92" t="n">
        <x:f>IFERROR($O$2/(G180*$O$3),0)</x:f>
        <x:v>0.033140110399613947</x:v>
      </x:c>
      <x:c r="I180" s="92" t="n">
        <x:f>E180-H180</x:f>
        <x:v>-1.0331401103996138</x:v>
      </x:c>
      <x:c r="J180" s="91" t="str">
        <x:f>'Trade Features'!CI180</x:f>
        <x:v>-1.0331401103996138</x:v>
      </x:c>
      <x:c r="K180" s="92" t="n">
        <x:f>I180-J180</x:f>
        <x:v>0</x:v>
      </x:c>
      <x:c r="L180" s="90" t="str">
        <x:f>IF(ABS(K180)&lt;0.000000001,"PASS","FAIL")</x:f>
        <x:v>PASS</x:v>
      </x:c>
    </x:row>
    <x:row r="181">
      <x:c r="A181" s="84" t="str">
        <x:f>'Trade Features'!A181</x:f>
        <x:v>A0180</x:v>
      </x:c>
      <x:c r="B181" s="84" t="str">
        <x:f>'Trade Features'!F181</x:f>
        <x:v>Long</x:v>
      </x:c>
      <x:c r="C181" s="91" t="str">
        <x:f>'Trade Features'!BX181</x:f>
        <x:v>18609.5</x:v>
      </x:c>
      <x:c r="D181" s="91" t="str">
        <x:f>'Trade Features'!CA181</x:f>
        <x:v>18528.036431450957</x:v>
      </x:c>
      <x:c r="E181" s="91" t="str">
        <x:f>'Trade Features'!CH181</x:f>
        <x:v>-1.0</x:v>
      </x:c>
      <x:c r="F181" s="91" t="str">
        <x:f>'Trade Features'!CG181</x:f>
        <x:v>0.008899683783966977</x:v>
      </x:c>
      <x:c r="G181" s="92" t="n">
        <x:f>ABS(C181-D181)</x:f>
        <x:v>81.46356854904298</x:v>
      </x:c>
      <x:c r="H181" s="92" t="n">
        <x:f>IFERROR($O$2/(G181*$O$3),0)</x:f>
        <x:v>0.008899683783966977</x:v>
      </x:c>
      <x:c r="I181" s="92" t="n">
        <x:f>E181-H181</x:f>
        <x:v>-1.008899683783967</x:v>
      </x:c>
      <x:c r="J181" s="91" t="str">
        <x:f>'Trade Features'!CI181</x:f>
        <x:v>-1.008899683783967</x:v>
      </x:c>
      <x:c r="K181" s="92" t="n">
        <x:f>I181-J181</x:f>
        <x:v>0</x:v>
      </x:c>
      <x:c r="L181" s="90" t="str">
        <x:f>IF(ABS(K181)&lt;0.000000001,"PASS","FAIL")</x:f>
        <x:v>PASS</x:v>
      </x:c>
    </x:row>
    <x:row r="182">
      <x:c r="A182" s="84" t="str">
        <x:f>'Trade Features'!A182</x:f>
        <x:v>A0181</x:v>
      </x:c>
      <x:c r="B182" s="84" t="str">
        <x:f>'Trade Features'!F182</x:f>
        <x:v>Long</x:v>
      </x:c>
      <x:c r="C182" s="91" t="str">
        <x:f>'Trade Features'!BX182</x:f>
        <x:v>18358.75</x:v>
      </x:c>
      <x:c r="D182" s="91" t="str">
        <x:f>'Trade Features'!CA182</x:f>
        <x:v>18345.401253992197</x:v>
      </x:c>
      <x:c r="E182" s="91" t="str">
        <x:f>'Trade Features'!CH182</x:f>
        <x:v>-1.0</x:v>
      </x:c>
      <x:c r="F182" s="91" t="str">
        <x:f>'Trade Features'!CG182</x:f>
        <x:v>0.05431221776009482</x:v>
      </x:c>
      <x:c r="G182" s="92" t="n">
        <x:f>ABS(C182-D182)</x:f>
        <x:v>13.348746007803129</x:v>
      </x:c>
      <x:c r="H182" s="92" t="n">
        <x:f>IFERROR($O$2/(G182*$O$3),0)</x:f>
        <x:v>0.05431221776009482</x:v>
      </x:c>
      <x:c r="I182" s="92" t="n">
        <x:f>E182-H182</x:f>
        <x:v>-1.0543122177600948</x:v>
      </x:c>
      <x:c r="J182" s="91" t="str">
        <x:f>'Trade Features'!CI182</x:f>
        <x:v>-1.0543122177600948</x:v>
      </x:c>
      <x:c r="K182" s="92" t="n">
        <x:f>I182-J182</x:f>
        <x:v>0</x:v>
      </x:c>
      <x:c r="L182" s="90" t="str">
        <x:f>IF(ABS(K182)&lt;0.000000001,"PASS","FAIL")</x:f>
        <x:v>PASS</x:v>
      </x:c>
    </x:row>
    <x:row r="183">
      <x:c r="A183" s="84" t="str">
        <x:f>'Trade Features'!A183</x:f>
        <x:v>A0182</x:v>
      </x:c>
      <x:c r="B183" s="84" t="str">
        <x:f>'Trade Features'!F183</x:f>
        <x:v>Long</x:v>
      </x:c>
      <x:c r="C183" s="91" t="str">
        <x:f>'Trade Features'!BX183</x:f>
        <x:v>18447.5</x:v>
      </x:c>
      <x:c r="D183" s="91" t="str">
        <x:f>'Trade Features'!CA183</x:f>
        <x:v>18386.3877855652</x:v>
      </x:c>
      <x:c r="E183" s="91" t="str">
        <x:f>'Trade Features'!CH183</x:f>
        <x:v>1.5013365306518955</x:v>
      </x:c>
      <x:c r="F183" s="91" t="str">
        <x:f>'Trade Features'!CG183</x:f>
        <x:v>0.011863422176813498</x:v>
      </x:c>
      <x:c r="G183" s="92" t="n">
        <x:f>ABS(C183-D183)</x:f>
        <x:v>61.11221443480099</x:v>
      </x:c>
      <x:c r="H183" s="92" t="n">
        <x:f>IFERROR($O$2/(G183*$O$3),0)</x:f>
        <x:v>0.011863422176813498</x:v>
      </x:c>
      <x:c r="I183" s="92" t="n">
        <x:f>E183-H183</x:f>
        <x:v>1.489473108475082</x:v>
      </x:c>
      <x:c r="J183" s="91" t="str">
        <x:f>'Trade Features'!CI183</x:f>
        <x:v>1.489473108475082</x:v>
      </x:c>
      <x:c r="K183" s="92" t="n">
        <x:f>I183-J183</x:f>
        <x:v>0</x:v>
      </x:c>
      <x:c r="L183" s="90" t="str">
        <x:f>IF(ABS(K183)&lt;0.000000001,"PASS","FAIL")</x:f>
        <x:v>PASS</x:v>
      </x:c>
    </x:row>
    <x:row r="184">
      <x:c r="A184" s="84" t="str">
        <x:f>'Trade Features'!A184</x:f>
        <x:v>A0183</x:v>
      </x:c>
      <x:c r="B184" s="84" t="str">
        <x:f>'Trade Features'!F184</x:f>
        <x:v>Short</x:v>
      </x:c>
      <x:c r="C184" s="91" t="str">
        <x:f>'Trade Features'!BX184</x:f>
        <x:v>18218.25</x:v>
      </x:c>
      <x:c r="D184" s="91" t="str">
        <x:f>'Trade Features'!CA184</x:f>
        <x:v>18272.020470154792</x:v>
      </x:c>
      <x:c r="E184" s="91" t="str">
        <x:f>'Trade Features'!CH184</x:f>
        <x:v>2.0</x:v>
      </x:c>
      <x:c r="F184" s="91" t="str">
        <x:f>'Trade Features'!CG184</x:f>
        <x:v>0.013483237135790424</x:v>
      </x:c>
      <x:c r="G184" s="92" t="n">
        <x:f>ABS(C184-D184)</x:f>
        <x:v>53.77047015479184</x:v>
      </x:c>
      <x:c r="H184" s="92" t="n">
        <x:f>IFERROR($O$2/(G184*$O$3),0)</x:f>
        <x:v>0.013483237135790424</x:v>
      </x:c>
      <x:c r="I184" s="92" t="n">
        <x:f>E184-H184</x:f>
        <x:v>1.9865167628642095</x:v>
      </x:c>
      <x:c r="J184" s="91" t="str">
        <x:f>'Trade Features'!CI184</x:f>
        <x:v>1.9865167628642095</x:v>
      </x:c>
      <x:c r="K184" s="92" t="n">
        <x:f>I184-J184</x:f>
        <x:v>0</x:v>
      </x:c>
      <x:c r="L184" s="90" t="str">
        <x:f>IF(ABS(K184)&lt;0.000000001,"PASS","FAIL")</x:f>
        <x:v>PASS</x:v>
      </x:c>
    </x:row>
    <x:row r="185">
      <x:c r="A185" s="84" t="str">
        <x:f>'Trade Features'!A185</x:f>
        <x:v>A0184</x:v>
      </x:c>
      <x:c r="B185" s="84" t="str">
        <x:f>'Trade Features'!F185</x:f>
        <x:v>Long</x:v>
      </x:c>
      <x:c r="C185" s="91" t="str">
        <x:f>'Trade Features'!BX185</x:f>
        <x:v>18799.25</x:v>
      </x:c>
      <x:c r="D185" s="91" t="str">
        <x:f>'Trade Features'!CA185</x:f>
        <x:v>18744.533639465477</x:v>
      </x:c>
      <x:c r="E185" s="91" t="str">
        <x:f>'Trade Features'!CH185</x:f>
        <x:v>-1.0</x:v>
      </x:c>
      <x:c r="F185" s="91" t="str">
        <x:f>'Trade Features'!CG185</x:f>
        <x:v>0.013250150282611789</x:v>
      </x:c>
      <x:c r="G185" s="92" t="n">
        <x:f>ABS(C185-D185)</x:f>
        <x:v>54.71636053452312</x:v>
      </x:c>
      <x:c r="H185" s="92" t="n">
        <x:f>IFERROR($O$2/(G185*$O$3),0)</x:f>
        <x:v>0.013250150282611789</x:v>
      </x:c>
      <x:c r="I185" s="92" t="n">
        <x:f>E185-H185</x:f>
        <x:v>-1.013250150282612</x:v>
      </x:c>
      <x:c r="J185" s="91" t="str">
        <x:f>'Trade Features'!CI185</x:f>
        <x:v>-1.013250150282612</x:v>
      </x:c>
      <x:c r="K185" s="92" t="n">
        <x:f>I185-J185</x:f>
        <x:v>0</x:v>
      </x:c>
      <x:c r="L185" s="90" t="str">
        <x:f>IF(ABS(K185)&lt;0.000000001,"PASS","FAIL")</x:f>
        <x:v>PASS</x:v>
      </x:c>
    </x:row>
    <x:row r="186">
      <x:c r="A186" s="84" t="str">
        <x:f>'Trade Features'!A186</x:f>
        <x:v>A0185</x:v>
      </x:c>
      <x:c r="B186" s="84" t="str">
        <x:f>'Trade Features'!F186</x:f>
        <x:v>Short</x:v>
      </x:c>
      <x:c r="C186" s="91" t="str">
        <x:f>'Trade Features'!BX186</x:f>
        <x:v>18797.25</x:v>
      </x:c>
      <x:c r="D186" s="91" t="str">
        <x:f>'Trade Features'!CA186</x:f>
        <x:v>18830.92207867774</x:v>
      </x:c>
      <x:c r="E186" s="91" t="str">
        <x:f>'Trade Features'!CH186</x:f>
        <x:v>-1.0</x:v>
      </x:c>
      <x:c r="F186" s="91" t="str">
        <x:f>'Trade Features'!CG186</x:f>
        <x:v>0.021531192265812613</x:v>
      </x:c>
      <x:c r="G186" s="92" t="n">
        <x:f>ABS(C186-D186)</x:f>
        <x:v>33.6720786777405</x:v>
      </x:c>
      <x:c r="H186" s="92" t="n">
        <x:f>IFERROR($O$2/(G186*$O$3),0)</x:f>
        <x:v>0.021531192265812613</x:v>
      </x:c>
      <x:c r="I186" s="92" t="n">
        <x:f>E186-H186</x:f>
        <x:v>-1.0215311922658126</x:v>
      </x:c>
      <x:c r="J186" s="91" t="str">
        <x:f>'Trade Features'!CI186</x:f>
        <x:v>-1.0215311922658126</x:v>
      </x:c>
      <x:c r="K186" s="92" t="n">
        <x:f>I186-J186</x:f>
        <x:v>0</x:v>
      </x:c>
      <x:c r="L186" s="90" t="str">
        <x:f>IF(ABS(K186)&lt;0.000000001,"PASS","FAIL")</x:f>
        <x:v>PASS</x:v>
      </x:c>
    </x:row>
    <x:row r="187">
      <x:c r="A187" s="84" t="str">
        <x:f>'Trade Features'!A187</x:f>
        <x:v>A0186</x:v>
      </x:c>
      <x:c r="B187" s="84" t="str">
        <x:f>'Trade Features'!F187</x:f>
        <x:v>Short</x:v>
      </x:c>
      <x:c r="C187" s="91" t="str">
        <x:f>'Trade Features'!BX187</x:f>
        <x:v>18699.5</x:v>
      </x:c>
      <x:c r="D187" s="91" t="str">
        <x:f>'Trade Features'!CA187</x:f>
        <x:v>18771.871805501054</x:v>
      </x:c>
      <x:c r="E187" s="91" t="str">
        <x:f>'Trade Features'!CH187</x:f>
        <x:v>2.0</x:v>
      </x:c>
      <x:c r="F187" s="91" t="str">
        <x:f>'Trade Features'!CG187</x:f>
        <x:v>0.01001771332054775</x:v>
      </x:c>
      <x:c r="G187" s="92" t="n">
        <x:f>ABS(C187-D187)</x:f>
        <x:v>72.37180550105404</x:v>
      </x:c>
      <x:c r="H187" s="92" t="n">
        <x:f>IFERROR($O$2/(G187*$O$3),0)</x:f>
        <x:v>0.01001771332054775</x:v>
      </x:c>
      <x:c r="I187" s="92" t="n">
        <x:f>E187-H187</x:f>
        <x:v>1.9899822866794523</x:v>
      </x:c>
      <x:c r="J187" s="91" t="str">
        <x:f>'Trade Features'!CI187</x:f>
        <x:v>1.9899822866794523</x:v>
      </x:c>
      <x:c r="K187" s="92" t="n">
        <x:f>I187-J187</x:f>
        <x:v>0</x:v>
      </x:c>
      <x:c r="L187" s="90" t="str">
        <x:f>IF(ABS(K187)&lt;0.000000001,"PASS","FAIL")</x:f>
        <x:v>PASS</x:v>
      </x:c>
    </x:row>
    <x:row r="188">
      <x:c r="A188" s="84" t="str">
        <x:f>'Trade Features'!A188</x:f>
        <x:v>A0187</x:v>
      </x:c>
      <x:c r="B188" s="84" t="str">
        <x:f>'Trade Features'!F188</x:f>
        <x:v>Short</x:v>
      </x:c>
      <x:c r="C188" s="91" t="str">
        <x:f>'Trade Features'!BX188</x:f>
        <x:v>17911.25</x:v>
      </x:c>
      <x:c r="D188" s="91" t="str">
        <x:f>'Trade Features'!CA188</x:f>
        <x:v>17978.459107320115</x:v>
      </x:c>
      <x:c r="E188" s="91" t="str">
        <x:f>'Trade Features'!CH188</x:f>
        <x:v>-1.0</x:v>
      </x:c>
      <x:c r="F188" s="91" t="str">
        <x:f>'Trade Features'!CG188</x:f>
        <x:v>0.010787228530604367</x:v>
      </x:c>
      <x:c r="G188" s="92" t="n">
        <x:f>ABS(C188-D188)</x:f>
        <x:v>67.20910732011544</x:v>
      </x:c>
      <x:c r="H188" s="92" t="n">
        <x:f>IFERROR($O$2/(G188*$O$3),0)</x:f>
        <x:v>0.010787228530604367</x:v>
      </x:c>
      <x:c r="I188" s="92" t="n">
        <x:f>E188-H188</x:f>
        <x:v>-1.0107872285306043</x:v>
      </x:c>
      <x:c r="J188" s="91" t="str">
        <x:f>'Trade Features'!CI188</x:f>
        <x:v>-1.0107872285306043</x:v>
      </x:c>
      <x:c r="K188" s="92" t="n">
        <x:f>I188-J188</x:f>
        <x:v>0</x:v>
      </x:c>
      <x:c r="L188" s="90" t="str">
        <x:f>IF(ABS(K188)&lt;0.000000001,"PASS","FAIL")</x:f>
        <x:v>PASS</x:v>
      </x:c>
    </x:row>
    <x:row r="189">
      <x:c r="A189" s="84" t="str">
        <x:f>'Trade Features'!A189</x:f>
        <x:v>A0188</x:v>
      </x:c>
      <x:c r="B189" s="84" t="str">
        <x:f>'Trade Features'!F189</x:f>
        <x:v>Short</x:v>
      </x:c>
      <x:c r="C189" s="91" t="str">
        <x:f>'Trade Features'!BX189</x:f>
        <x:v>17724.5</x:v>
      </x:c>
      <x:c r="D189" s="91" t="str">
        <x:f>'Trade Features'!CA189</x:f>
        <x:v>17836.437661668093</x:v>
      </x:c>
      <x:c r="E189" s="91" t="str">
        <x:f>'Trade Features'!CH189</x:f>
        <x:v>-1.0</x:v>
      </x:c>
      <x:c r="F189" s="91" t="str">
        <x:f>'Trade Features'!CG189</x:f>
        <x:v>0.006476819233098706</x:v>
      </x:c>
      <x:c r="G189" s="92" t="n">
        <x:f>ABS(C189-D189)</x:f>
        <x:v>111.93766166809291</x:v>
      </x:c>
      <x:c r="H189" s="92" t="n">
        <x:f>IFERROR($O$2/(G189*$O$3),0)</x:f>
        <x:v>0.006476819233098706</x:v>
      </x:c>
      <x:c r="I189" s="92" t="n">
        <x:f>E189-H189</x:f>
        <x:v>-1.0064768192330986</x:v>
      </x:c>
      <x:c r="J189" s="91" t="str">
        <x:f>'Trade Features'!CI189</x:f>
        <x:v>-1.0064768192330986</x:v>
      </x:c>
      <x:c r="K189" s="92" t="n">
        <x:f>I189-J189</x:f>
        <x:v>0</x:v>
      </x:c>
      <x:c r="L189" s="90" t="str">
        <x:f>IF(ABS(K189)&lt;0.000000001,"PASS","FAIL")</x:f>
        <x:v>PASS</x:v>
      </x:c>
    </x:row>
    <x:row r="190">
      <x:c r="A190" s="84" t="str">
        <x:f>'Trade Features'!A190</x:f>
        <x:v>A0189</x:v>
      </x:c>
      <x:c r="B190" s="84" t="str">
        <x:f>'Trade Features'!F190</x:f>
        <x:v>Long</x:v>
      </x:c>
      <x:c r="C190" s="91" t="str">
        <x:f>'Trade Features'!BX190</x:f>
        <x:v>17856.75</x:v>
      </x:c>
      <x:c r="D190" s="91" t="str">
        <x:f>'Trade Features'!CA190</x:f>
        <x:v>17755.298772527807</x:v>
      </x:c>
      <x:c r="E190" s="91" t="str">
        <x:f>'Trade Features'!CH190</x:f>
        <x:v>-1.0</x:v>
      </x:c>
      <x:c r="F190" s="91" t="str">
        <x:f>'Trade Features'!CG190</x:f>
        <x:v>0.007146291060881624</x:v>
      </x:c>
      <x:c r="G190" s="92" t="n">
        <x:f>ABS(C190-D190)</x:f>
        <x:v>101.45122747219284</x:v>
      </x:c>
      <x:c r="H190" s="92" t="n">
        <x:f>IFERROR($O$2/(G190*$O$3),0)</x:f>
        <x:v>0.007146291060881624</x:v>
      </x:c>
      <x:c r="I190" s="92" t="n">
        <x:f>E190-H190</x:f>
        <x:v>-1.0071462910608817</x:v>
      </x:c>
      <x:c r="J190" s="91" t="str">
        <x:f>'Trade Features'!CI190</x:f>
        <x:v>-1.0071462910608817</x:v>
      </x:c>
      <x:c r="K190" s="92" t="n">
        <x:f>I190-J190</x:f>
        <x:v>0</x:v>
      </x:c>
      <x:c r="L190" s="90" t="str">
        <x:f>IF(ABS(K190)&lt;0.000000001,"PASS","FAIL")</x:f>
        <x:v>PASS</x:v>
      </x:c>
    </x:row>
    <x:row r="191">
      <x:c r="A191" s="84" t="str">
        <x:f>'Trade Features'!A191</x:f>
        <x:v>A0190</x:v>
      </x:c>
      <x:c r="B191" s="84" t="str">
        <x:f>'Trade Features'!F191</x:f>
        <x:v>Long</x:v>
      </x:c>
      <x:c r="C191" s="91" t="str">
        <x:f>'Trade Features'!BX191</x:f>
        <x:v>17471.25</x:v>
      </x:c>
      <x:c r="D191" s="91" t="str">
        <x:f>'Trade Features'!CA191</x:f>
        <x:v>17370.65769108684</x:v>
      </x:c>
      <x:c r="E191" s="91" t="str">
        <x:f>'Trade Features'!CH191</x:f>
        <x:v>0.5293645267250908</x:v>
      </x:c>
      <x:c r="F191" s="91" t="str">
        <x:f>'Trade Features'!CG191</x:f>
        <x:v>0.0072073104577594985</x:v>
      </x:c>
      <x:c r="G191" s="92" t="n">
        <x:f>ABS(C191-D191)</x:f>
        <x:v>100.5923089131611</x:v>
      </x:c>
      <x:c r="H191" s="92" t="n">
        <x:f>IFERROR($O$2/(G191*$O$3),0)</x:f>
        <x:v>0.0072073104577594985</x:v>
      </x:c>
      <x:c r="I191" s="92" t="n">
        <x:f>E191-H191</x:f>
        <x:v>0.5221572162673314</x:v>
      </x:c>
      <x:c r="J191" s="91" t="str">
        <x:f>'Trade Features'!CI191</x:f>
        <x:v>0.5221572162673314</x:v>
      </x:c>
      <x:c r="K191" s="92" t="n">
        <x:f>I191-J191</x:f>
        <x:v>0</x:v>
      </x:c>
      <x:c r="L191" s="90" t="str">
        <x:f>IF(ABS(K191)&lt;0.000000001,"PASS","FAIL")</x:f>
        <x:v>PASS</x:v>
      </x:c>
    </x:row>
    <x:row r="192">
      <x:c r="A192" s="84" t="str">
        <x:f>'Trade Features'!A192</x:f>
        <x:v>A0191</x:v>
      </x:c>
      <x:c r="B192" s="84" t="str">
        <x:f>'Trade Features'!F192</x:f>
        <x:v>Long</x:v>
      </x:c>
      <x:c r="C192" s="91" t="str">
        <x:f>'Trade Features'!BX192</x:f>
        <x:v>17529.75</x:v>
      </x:c>
      <x:c r="D192" s="91" t="str">
        <x:f>'Trade Features'!CA192</x:f>
        <x:v>17442.036426138173</x:v>
      </x:c>
      <x:c r="E192" s="91" t="str">
        <x:f>'Trade Features'!CH192</x:f>
        <x:v>0.9377111931337535</x:v>
      </x:c>
      <x:c r="F192" s="91" t="str">
        <x:f>'Trade Features'!CG192</x:f>
        <x:v>0.008265539392364435</x:v>
      </x:c>
      <x:c r="G192" s="92" t="n">
        <x:f>ABS(C192-D192)</x:f>
        <x:v>87.71357386182717</x:v>
      </x:c>
      <x:c r="H192" s="92" t="n">
        <x:f>IFERROR($O$2/(G192*$O$3),0)</x:f>
        <x:v>0.008265539392364435</x:v>
      </x:c>
      <x:c r="I192" s="92" t="n">
        <x:f>E192-H192</x:f>
        <x:v>0.9294456537413891</x:v>
      </x:c>
      <x:c r="J192" s="91" t="str">
        <x:f>'Trade Features'!CI192</x:f>
        <x:v>0.9294456537413891</x:v>
      </x:c>
      <x:c r="K192" s="92" t="n">
        <x:f>I192-J192</x:f>
        <x:v>0</x:v>
      </x:c>
      <x:c r="L192" s="90" t="str">
        <x:f>IF(ABS(K192)&lt;0.000000001,"PASS","FAIL")</x:f>
        <x:v>PASS</x:v>
      </x:c>
    </x:row>
    <x:row r="193">
      <x:c r="A193" s="84" t="str">
        <x:f>'Trade Features'!A193</x:f>
        <x:v>A0192</x:v>
      </x:c>
      <x:c r="B193" s="84" t="str">
        <x:f>'Trade Features'!F193</x:f>
        <x:v>Short</x:v>
      </x:c>
      <x:c r="C193" s="91" t="str">
        <x:f>'Trade Features'!BX193</x:f>
        <x:v>17367.0</x:v>
      </x:c>
      <x:c r="D193" s="91" t="str">
        <x:f>'Trade Features'!CA193</x:f>
        <x:v>17433.29932488276</x:v>
      </x:c>
      <x:c r="E193" s="91" t="str">
        <x:f>'Trade Features'!CH193</x:f>
        <x:v>0.4675764052623223</x:v>
      </x:c>
      <x:c r="F193" s="91" t="str">
        <x:f>'Trade Features'!CG193</x:f>
        <x:v>0.010935254639199754</x:v>
      </x:c>
      <x:c r="G193" s="92" t="n">
        <x:f>ABS(C193-D193)</x:f>
        <x:v>66.29932488275881</x:v>
      </x:c>
      <x:c r="H193" s="92" t="n">
        <x:f>IFERROR($O$2/(G193*$O$3),0)</x:f>
        <x:v>0.010935254639199754</x:v>
      </x:c>
      <x:c r="I193" s="92" t="n">
        <x:f>E193-H193</x:f>
        <x:v>0.45664115062312255</x:v>
      </x:c>
      <x:c r="J193" s="91" t="str">
        <x:f>'Trade Features'!CI193</x:f>
        <x:v>0.45664115062312255</x:v>
      </x:c>
      <x:c r="K193" s="92" t="n">
        <x:f>I193-J193</x:f>
        <x:v>0</x:v>
      </x:c>
      <x:c r="L193" s="90" t="str">
        <x:f>IF(ABS(K193)&lt;0.000000001,"PASS","FAIL")</x:f>
        <x:v>PASS</x:v>
      </x:c>
    </x:row>
    <x:row r="194">
      <x:c r="A194" s="84" t="str">
        <x:f>'Trade Features'!A194</x:f>
        <x:v>A0193</x:v>
      </x:c>
      <x:c r="B194" s="84" t="str">
        <x:f>'Trade Features'!F194</x:f>
        <x:v>Short</x:v>
      </x:c>
      <x:c r="C194" s="91" t="str">
        <x:f>'Trade Features'!BX194</x:f>
        <x:v>17563.25</x:v>
      </x:c>
      <x:c r="D194" s="91" t="str">
        <x:f>'Trade Features'!CA194</x:f>
        <x:v>17640.915608422725</x:v>
      </x:c>
      <x:c r="E194" s="91" t="str">
        <x:f>'Trade Features'!CH194</x:f>
        <x:v>-1.0</x:v>
      </x:c>
      <x:c r="F194" s="91" t="str">
        <x:f>'Trade Features'!CG194</x:f>
        <x:v>0.00933489114066945</x:v>
      </x:c>
      <x:c r="G194" s="92" t="n">
        <x:f>ABS(C194-D194)</x:f>
        <x:v>77.6656084227252</x:v>
      </x:c>
      <x:c r="H194" s="92" t="n">
        <x:f>IFERROR($O$2/(G194*$O$3),0)</x:f>
        <x:v>0.00933489114066945</x:v>
      </x:c>
      <x:c r="I194" s="92" t="n">
        <x:f>E194-H194</x:f>
        <x:v>-1.0093348911406694</x:v>
      </x:c>
      <x:c r="J194" s="91" t="str">
        <x:f>'Trade Features'!CI194</x:f>
        <x:v>-1.0093348911406694</x:v>
      </x:c>
      <x:c r="K194" s="92" t="n">
        <x:f>I194-J194</x:f>
        <x:v>0</x:v>
      </x:c>
      <x:c r="L194" s="90" t="str">
        <x:f>IF(ABS(K194)&lt;0.000000001,"PASS","FAIL")</x:f>
        <x:v>PASS</x:v>
      </x:c>
    </x:row>
    <x:row r="195">
      <x:c r="A195" s="84" t="str">
        <x:f>'Trade Features'!A195</x:f>
        <x:v>A0194</x:v>
      </x:c>
      <x:c r="B195" s="84" t="str">
        <x:f>'Trade Features'!F195</x:f>
        <x:v>Long</x:v>
      </x:c>
      <x:c r="C195" s="91" t="str">
        <x:f>'Trade Features'!BX195</x:f>
        <x:v>17899.75</x:v>
      </x:c>
      <x:c r="D195" s="91" t="str">
        <x:f>'Trade Features'!CA195</x:f>
        <x:v>17877.10861741719</x:v>
      </x:c>
      <x:c r="E195" s="91" t="str">
        <x:f>'Trade Features'!CH195</x:f>
        <x:v>0.2650014846953479</x:v>
      </x:c>
      <x:c r="F195" s="91" t="str">
        <x:f>'Trade Features'!CG195</x:f>
        <x:v>0.032021012734021755</x:v>
      </x:c>
      <x:c r="G195" s="92" t="n">
        <x:f>ABS(C195-D195)</x:f>
        <x:v>22.641382582809456</x:v>
      </x:c>
      <x:c r="H195" s="92" t="n">
        <x:f>IFERROR($O$2/(G195*$O$3),0)</x:f>
        <x:v>0.032021012734021755</x:v>
      </x:c>
      <x:c r="I195" s="92" t="n">
        <x:f>E195-H195</x:f>
        <x:v>0.23298047196132615</x:v>
      </x:c>
      <x:c r="J195" s="91" t="str">
        <x:f>'Trade Features'!CI195</x:f>
        <x:v>0.23298047196132615</x:v>
      </x:c>
      <x:c r="K195" s="92" t="n">
        <x:f>I195-J195</x:f>
        <x:v>0</x:v>
      </x:c>
      <x:c r="L195" s="90" t="str">
        <x:f>IF(ABS(K195)&lt;0.000000001,"PASS","FAIL")</x:f>
        <x:v>PASS</x:v>
      </x:c>
    </x:row>
    <x:row r="196">
      <x:c r="A196" s="84" t="str">
        <x:f>'Trade Features'!A196</x:f>
        <x:v>A0195</x:v>
      </x:c>
      <x:c r="B196" s="84" t="str">
        <x:f>'Trade Features'!F196</x:f>
        <x:v>Short</x:v>
      </x:c>
      <x:c r="C196" s="91" t="str">
        <x:f>'Trade Features'!BX196</x:f>
        <x:v>17916.0</x:v>
      </x:c>
      <x:c r="D196" s="91" t="str">
        <x:f>'Trade Features'!CA196</x:f>
        <x:v>17967.73521481995</x:v>
      </x:c>
      <x:c r="E196" s="91" t="str">
        <x:f>'Trade Features'!CH196</x:f>
        <x:v>0.6281988025584996</x:v>
      </x:c>
      <x:c r="F196" s="91" t="str">
        <x:f>'Trade Features'!CG196</x:f>
        <x:v>0.014013665595536113</x:v>
      </x:c>
      <x:c r="G196" s="92" t="n">
        <x:f>ABS(C196-D196)</x:f>
        <x:v>51.73521481994976</x:v>
      </x:c>
      <x:c r="H196" s="92" t="n">
        <x:f>IFERROR($O$2/(G196*$O$3),0)</x:f>
        <x:v>0.014013665595536113</x:v>
      </x:c>
      <x:c r="I196" s="92" t="n">
        <x:f>E196-H196</x:f>
        <x:v>0.6141851369629635</x:v>
      </x:c>
      <x:c r="J196" s="91" t="str">
        <x:f>'Trade Features'!CI196</x:f>
        <x:v>0.6141851369629635</x:v>
      </x:c>
      <x:c r="K196" s="92" t="n">
        <x:f>I196-J196</x:f>
        <x:v>0</x:v>
      </x:c>
      <x:c r="L196" s="90" t="str">
        <x:f>IF(ABS(K196)&lt;0.000000001,"PASS","FAIL")</x:f>
        <x:v>PASS</x:v>
      </x:c>
    </x:row>
    <x:row r="197">
      <x:c r="A197" s="84" t="str">
        <x:f>'Trade Features'!A197</x:f>
        <x:v>A0196</x:v>
      </x:c>
      <x:c r="B197" s="84" t="str">
        <x:f>'Trade Features'!F197</x:f>
        <x:v>Long</x:v>
      </x:c>
      <x:c r="C197" s="91" t="str">
        <x:f>'Trade Features'!BX197</x:f>
        <x:v>18845.5</x:v>
      </x:c>
      <x:c r="D197" s="91" t="str">
        <x:f>'Trade Features'!CA197</x:f>
        <x:v>18819.826509298662</x:v>
      </x:c>
      <x:c r="E197" s="91" t="str">
        <x:f>'Trade Features'!CH197</x:f>
        <x:v>0.04868835385656381</x:v>
      </x:c>
      <x:c r="F197" s="91" t="str">
        <x:f>'Trade Features'!CG197</x:f>
        <x:v>0.028239245236808395</x:v>
      </x:c>
      <x:c r="G197" s="92" t="n">
        <x:f>ABS(C197-D197)</x:f>
        <x:v>25.67349070133787</x:v>
      </x:c>
      <x:c r="H197" s="92" t="n">
        <x:f>IFERROR($O$2/(G197*$O$3),0)</x:f>
        <x:v>0.028239245236808395</x:v>
      </x:c>
      <x:c r="I197" s="92" t="n">
        <x:f>E197-H197</x:f>
        <x:v>0.020449108619755414</x:v>
      </x:c>
      <x:c r="J197" s="91" t="str">
        <x:f>'Trade Features'!CI197</x:f>
        <x:v>0.020449108619755414</x:v>
      </x:c>
      <x:c r="K197" s="92" t="n">
        <x:f>I197-J197</x:f>
        <x:v>0</x:v>
      </x:c>
      <x:c r="L197" s="90" t="str">
        <x:f>IF(ABS(K197)&lt;0.000000001,"PASS","FAIL")</x:f>
        <x:v>PASS</x:v>
      </x:c>
    </x:row>
    <x:row r="198">
      <x:c r="A198" s="84" t="str">
        <x:f>'Trade Features'!A198</x:f>
        <x:v>A0197</x:v>
      </x:c>
      <x:c r="B198" s="84" t="str">
        <x:f>'Trade Features'!F198</x:f>
        <x:v>Long</x:v>
      </x:c>
      <x:c r="C198" s="91" t="str">
        <x:f>'Trade Features'!BX198</x:f>
        <x:v>18951.0</x:v>
      </x:c>
      <x:c r="D198" s="91" t="str">
        <x:f>'Trade Features'!CA198</x:f>
        <x:v>18922.277414210163</x:v>
      </x:c>
      <x:c r="E198" s="91" t="str">
        <x:f>'Trade Features'!CH198</x:f>
        <x:v>1.401336226985622</x:v>
      </x:c>
      <x:c r="F198" s="91" t="str">
        <x:f>'Trade Features'!CG198</x:f>
        <x:v>0.02524145998918096</x:v>
      </x:c>
      <x:c r="G198" s="92" t="n">
        <x:f>ABS(C198-D198)</x:f>
        <x:v>28.722585789837467</x:v>
      </x:c>
      <x:c r="H198" s="92" t="n">
        <x:f>IFERROR($O$2/(G198*$O$3),0)</x:f>
        <x:v>0.02524145998918096</x:v>
      </x:c>
      <x:c r="I198" s="92" t="n">
        <x:f>E198-H198</x:f>
        <x:v>1.376094766996441</x:v>
      </x:c>
      <x:c r="J198" s="91" t="str">
        <x:f>'Trade Features'!CI198</x:f>
        <x:v>1.376094766996441</x:v>
      </x:c>
      <x:c r="K198" s="92" t="n">
        <x:f>I198-J198</x:f>
        <x:v>0</x:v>
      </x:c>
      <x:c r="L198" s="90" t="str">
        <x:f>IF(ABS(K198)&lt;0.000000001,"PASS","FAIL")</x:f>
        <x:v>PASS</x:v>
      </x:c>
    </x:row>
    <x:row r="199">
      <x:c r="A199" s="84" t="str">
        <x:f>'Trade Features'!A199</x:f>
        <x:v>A0198</x:v>
      </x:c>
      <x:c r="B199" s="84" t="str">
        <x:f>'Trade Features'!F199</x:f>
        <x:v>Long</x:v>
      </x:c>
      <x:c r="C199" s="91" t="str">
        <x:f>'Trade Features'!BX199</x:f>
        <x:v>19163.0</x:v>
      </x:c>
      <x:c r="D199" s="91" t="str">
        <x:f>'Trade Features'!CA199</x:f>
        <x:v>19132.747736245987</x:v>
      </x:c>
      <x:c r="E199" s="91" t="str">
        <x:f>'Trade Features'!CH199</x:f>
        <x:v>-1.0</x:v>
      </x:c>
      <x:c r="F199" s="91" t="str">
        <x:f>'Trade Features'!CG199</x:f>
        <x:v>0.023965148720608443</x:v>
      </x:c>
      <x:c r="G199" s="92" t="n">
        <x:f>ABS(C199-D199)</x:f>
        <x:v>30.252263754013256</x:v>
      </x:c>
      <x:c r="H199" s="92" t="n">
        <x:f>IFERROR($O$2/(G199*$O$3),0)</x:f>
        <x:v>0.023965148720608443</x:v>
      </x:c>
      <x:c r="I199" s="92" t="n">
        <x:f>E199-H199</x:f>
        <x:v>-1.0239651487206085</x:v>
      </x:c>
      <x:c r="J199" s="91" t="str">
        <x:f>'Trade Features'!CI199</x:f>
        <x:v>-1.0239651487206085</x:v>
      </x:c>
      <x:c r="K199" s="92" t="n">
        <x:f>I199-J199</x:f>
        <x:v>0</x:v>
      </x:c>
      <x:c r="L199" s="90" t="str">
        <x:f>IF(ABS(K199)&lt;0.000000001,"PASS","FAIL")</x:f>
        <x:v>PASS</x:v>
      </x:c>
    </x:row>
    <x:row r="200">
      <x:c r="A200" s="84" t="str">
        <x:f>'Trade Features'!A200</x:f>
        <x:v>A0199</x:v>
      </x:c>
      <x:c r="B200" s="84" t="str">
        <x:f>'Trade Features'!F200</x:f>
        <x:v>Short</x:v>
      </x:c>
      <x:c r="C200" s="91" t="str">
        <x:f>'Trade Features'!BX200</x:f>
        <x:v>19165.25</x:v>
      </x:c>
      <x:c r="D200" s="91" t="str">
        <x:f>'Trade Features'!CA200</x:f>
        <x:v>19177.951958406356</x:v>
      </x:c>
      <x:c r="E200" s="91" t="str">
        <x:f>'Trade Features'!CH200</x:f>
        <x:v>-1.0</x:v>
      </x:c>
      <x:c r="F200" s="91" t="str">
        <x:f>'Trade Features'!CG200</x:f>
        <x:v>0.05707781247631776</x:v>
      </x:c>
      <x:c r="G200" s="92" t="n">
        <x:f>ABS(C200-D200)</x:f>
        <x:v>12.701958406356425</x:v>
      </x:c>
      <x:c r="H200" s="92" t="n">
        <x:f>IFERROR($O$2/(G200*$O$3),0)</x:f>
        <x:v>0.05707781247631776</x:v>
      </x:c>
      <x:c r="I200" s="92" t="n">
        <x:f>E200-H200</x:f>
        <x:v>-1.0570778124763178</x:v>
      </x:c>
      <x:c r="J200" s="91" t="str">
        <x:f>'Trade Features'!CI200</x:f>
        <x:v>-1.0570778124763178</x:v>
      </x:c>
      <x:c r="K200" s="92" t="n">
        <x:f>I200-J200</x:f>
        <x:v>0</x:v>
      </x:c>
      <x:c r="L200" s="90" t="str">
        <x:f>IF(ABS(K200)&lt;0.000000001,"PASS","FAIL")</x:f>
        <x:v>PASS</x:v>
      </x:c>
    </x:row>
    <x:row r="201">
      <x:c r="A201" s="84" t="str">
        <x:f>'Trade Features'!A201</x:f>
        <x:v>A0200</x:v>
      </x:c>
      <x:c r="B201" s="84" t="str">
        <x:f>'Trade Features'!F201</x:f>
        <x:v>Short</x:v>
      </x:c>
      <x:c r="C201" s="91" t="str">
        <x:f>'Trade Features'!BX201</x:f>
        <x:v>18799.25</x:v>
      </x:c>
      <x:c r="D201" s="91" t="str">
        <x:f>'Trade Features'!CA201</x:f>
        <x:v>18839.628087558693</x:v>
      </x:c>
      <x:c r="E201" s="91" t="str">
        <x:f>'Trade Features'!CH201</x:f>
        <x:v>-1.0</x:v>
      </x:c>
      <x:c r="F201" s="91" t="str">
        <x:f>'Trade Features'!CG201</x:f>
        <x:v>0.017955283269574296</x:v>
      </x:c>
      <x:c r="G201" s="92" t="n">
        <x:f>ABS(C201-D201)</x:f>
        <x:v>40.37808755869264</x:v>
      </x:c>
      <x:c r="H201" s="92" t="n">
        <x:f>IFERROR($O$2/(G201*$O$3),0)</x:f>
        <x:v>0.017955283269574296</x:v>
      </x:c>
      <x:c r="I201" s="92" t="n">
        <x:f>E201-H201</x:f>
        <x:v>-1.0179552832695742</x:v>
      </x:c>
      <x:c r="J201" s="91" t="str">
        <x:f>'Trade Features'!CI201</x:f>
        <x:v>-1.0179552832695742</x:v>
      </x:c>
      <x:c r="K201" s="92" t="n">
        <x:f>I201-J201</x:f>
        <x:v>0</x:v>
      </x:c>
      <x:c r="L201" s="90" t="str">
        <x:f>IF(ABS(K201)&lt;0.000000001,"PASS","FAIL")</x:f>
        <x:v>PASS</x:v>
      </x:c>
    </x:row>
    <x:row r="202">
      <x:c r="A202" s="84" t="str">
        <x:f>'Trade Features'!A202</x:f>
        <x:v>A0201</x:v>
      </x:c>
      <x:c r="B202" s="84" t="str">
        <x:f>'Trade Features'!F202</x:f>
        <x:v>Short</x:v>
      </x:c>
      <x:c r="C202" s="91" t="str">
        <x:f>'Trade Features'!BX202</x:f>
        <x:v>18819.25</x:v>
      </x:c>
      <x:c r="D202" s="91" t="str">
        <x:f>'Trade Features'!CA202</x:f>
        <x:v>18836.744544050453</x:v>
      </x:c>
      <x:c r="E202" s="91" t="str">
        <x:f>'Trade Features'!CH202</x:f>
        <x:v>-1.0</x:v>
      </x:c>
      <x:c r="F202" s="91" t="str">
        <x:f>'Trade Features'!CG202</x:f>
        <x:v>0.041441491582128225</x:v>
      </x:c>
      <x:c r="G202" s="92" t="n">
        <x:f>ABS(C202-D202)</x:f>
        <x:v>17.494544050452532</x:v>
      </x:c>
      <x:c r="H202" s="92" t="n">
        <x:f>IFERROR($O$2/(G202*$O$3),0)</x:f>
        <x:v>0.041441491582128225</x:v>
      </x:c>
      <x:c r="I202" s="92" t="n">
        <x:f>E202-H202</x:f>
        <x:v>-1.0414414915821282</x:v>
      </x:c>
      <x:c r="J202" s="91" t="str">
        <x:f>'Trade Features'!CI202</x:f>
        <x:v>-1.0414414915821282</x:v>
      </x:c>
      <x:c r="K202" s="92" t="n">
        <x:f>I202-J202</x:f>
        <x:v>0</x:v>
      </x:c>
      <x:c r="L202" s="90" t="str">
        <x:f>IF(ABS(K202)&lt;0.000000001,"PASS","FAIL")</x:f>
        <x:v>PASS</x:v>
      </x:c>
    </x:row>
    <x:row r="203">
      <x:c r="A203" s="84" t="str">
        <x:f>'Trade Features'!A203</x:f>
        <x:v>A0202</x:v>
      </x:c>
      <x:c r="B203" s="84" t="str">
        <x:f>'Trade Features'!F203</x:f>
        <x:v>Short</x:v>
      </x:c>
      <x:c r="C203" s="91" t="str">
        <x:f>'Trade Features'!BX203</x:f>
        <x:v>18291.0</x:v>
      </x:c>
      <x:c r="D203" s="91" t="str">
        <x:f>'Trade Features'!CA203</x:f>
        <x:v>18336.6785115172</x:v>
      </x:c>
      <x:c r="E203" s="91" t="str">
        <x:f>'Trade Features'!CH203</x:f>
        <x:v>1.5981256300900717</x:v>
      </x:c>
      <x:c r="F203" s="91" t="str">
        <x:f>'Trade Features'!CG203</x:f>
        <x:v>0.015871795641305527</x:v>
      </x:c>
      <x:c r="G203" s="92" t="n">
        <x:f>ABS(C203-D203)</x:f>
        <x:v>45.678511517198785</x:v>
      </x:c>
      <x:c r="H203" s="92" t="n">
        <x:f>IFERROR($O$2/(G203*$O$3),0)</x:f>
        <x:v>0.015871795641305527</x:v>
      </x:c>
      <x:c r="I203" s="92" t="n">
        <x:f>E203-H203</x:f>
        <x:v>1.5822538344487662</x:v>
      </x:c>
      <x:c r="J203" s="91" t="str">
        <x:f>'Trade Features'!CI203</x:f>
        <x:v>1.5822538344487662</x:v>
      </x:c>
      <x:c r="K203" s="92" t="n">
        <x:f>I203-J203</x:f>
        <x:v>0</x:v>
      </x:c>
      <x:c r="L203" s="90" t="str">
        <x:f>IF(ABS(K203)&lt;0.000000001,"PASS","FAIL")</x:f>
        <x:v>PASS</x:v>
      </x:c>
    </x:row>
    <x:row r="204">
      <x:c r="A204" s="84" t="str">
        <x:f>'Trade Features'!A204</x:f>
        <x:v>A0203</x:v>
      </x:c>
      <x:c r="B204" s="84" t="str">
        <x:f>'Trade Features'!F204</x:f>
        <x:v>Short</x:v>
      </x:c>
      <x:c r="C204" s="91" t="str">
        <x:f>'Trade Features'!BX204</x:f>
        <x:v>18179.25</x:v>
      </x:c>
      <x:c r="D204" s="91" t="str">
        <x:f>'Trade Features'!CA204</x:f>
        <x:v>18204.815199079712</x:v>
      </x:c>
      <x:c r="E204" s="91" t="str">
        <x:f>'Trade Features'!CH204</x:f>
        <x:v>2.0</x:v>
      </x:c>
      <x:c r="F204" s="91" t="str">
        <x:f>'Trade Features'!CG204</x:f>
        <x:v>0.02835886385001145</x:v>
      </x:c>
      <x:c r="G204" s="92" t="n">
        <x:f>ABS(C204-D204)</x:f>
        <x:v>25.56519907971233</x:v>
      </x:c>
      <x:c r="H204" s="92" t="n">
        <x:f>IFERROR($O$2/(G204*$O$3),0)</x:f>
        <x:v>0.02835886385001145</x:v>
      </x:c>
      <x:c r="I204" s="92" t="n">
        <x:f>E204-H204</x:f>
        <x:v>1.9716411361499886</x:v>
      </x:c>
      <x:c r="J204" s="91" t="str">
        <x:f>'Trade Features'!CI204</x:f>
        <x:v>1.9716411361499886</x:v>
      </x:c>
      <x:c r="K204" s="92" t="n">
        <x:f>I204-J204</x:f>
        <x:v>0</x:v>
      </x:c>
      <x:c r="L204" s="90" t="str">
        <x:f>IF(ABS(K204)&lt;0.000000001,"PASS","FAIL")</x:f>
        <x:v>PASS</x:v>
      </x:c>
    </x:row>
    <x:row r="205">
      <x:c r="A205" s="84" t="str">
        <x:f>'Trade Features'!A205</x:f>
        <x:v>A0204</x:v>
      </x:c>
      <x:c r="B205" s="84" t="str">
        <x:f>'Trade Features'!F205</x:f>
        <x:v>Long</x:v>
      </x:c>
      <x:c r="C205" s="91" t="str">
        <x:f>'Trade Features'!BX205</x:f>
        <x:v>17804.5</x:v>
      </x:c>
      <x:c r="D205" s="91" t="str">
        <x:f>'Trade Features'!CA205</x:f>
        <x:v>17747.97180251328</x:v>
      </x:c>
      <x:c r="E205" s="91" t="str">
        <x:f>'Trade Features'!CH205</x:f>
        <x:v>-1.0</x:v>
      </x:c>
      <x:c r="F205" s="91" t="str">
        <x:f>'Trade Features'!CG205</x:f>
        <x:v>0.01282545759875515</x:v>
      </x:c>
      <x:c r="G205" s="92" t="n">
        <x:f>ABS(C205-D205)</x:f>
        <x:v>56.52819748672118</x:v>
      </x:c>
      <x:c r="H205" s="92" t="n">
        <x:f>IFERROR($O$2/(G205*$O$3),0)</x:f>
        <x:v>0.01282545759875515</x:v>
      </x:c>
      <x:c r="I205" s="92" t="n">
        <x:f>E205-H205</x:f>
        <x:v>-1.0128254575987552</x:v>
      </x:c>
      <x:c r="J205" s="91" t="str">
        <x:f>'Trade Features'!CI205</x:f>
        <x:v>-1.0128254575987552</x:v>
      </x:c>
      <x:c r="K205" s="92" t="n">
        <x:f>I205-J205</x:f>
        <x:v>0</x:v>
      </x:c>
      <x:c r="L205" s="90" t="str">
        <x:f>IF(ABS(K205)&lt;0.000000001,"PASS","FAIL")</x:f>
        <x:v>PASS</x:v>
      </x:c>
    </x:row>
    <x:row r="206">
      <x:c r="A206" s="84" t="str">
        <x:f>'Trade Features'!A206</x:f>
        <x:v>A0205</x:v>
      </x:c>
      <x:c r="B206" s="84" t="str">
        <x:f>'Trade Features'!F206</x:f>
        <x:v>Short</x:v>
      </x:c>
      <x:c r="C206" s="91" t="str">
        <x:f>'Trade Features'!BX206</x:f>
        <x:v>17867.75</x:v>
      </x:c>
      <x:c r="D206" s="91" t="str">
        <x:f>'Trade Features'!CA206</x:f>
        <x:v>17892.072266900355</x:v>
      </x:c>
      <x:c r="E206" s="91" t="str">
        <x:f>'Trade Features'!CH206</x:f>
        <x:v>-1.0</x:v>
      </x:c>
      <x:c r="F206" s="91" t="str">
        <x:f>'Trade Features'!CG206</x:f>
        <x:v>0.029808076811681097</x:v>
      </x:c>
      <x:c r="G206" s="92" t="n">
        <x:f>ABS(C206-D206)</x:f>
        <x:v>24.322266900355316</x:v>
      </x:c>
      <x:c r="H206" s="92" t="n">
        <x:f>IFERROR($O$2/(G206*$O$3),0)</x:f>
        <x:v>0.029808076811681097</x:v>
      </x:c>
      <x:c r="I206" s="92" t="n">
        <x:f>E206-H206</x:f>
        <x:v>-1.029808076811681</x:v>
      </x:c>
      <x:c r="J206" s="91" t="str">
        <x:f>'Trade Features'!CI206</x:f>
        <x:v>-1.029808076811681</x:v>
      </x:c>
      <x:c r="K206" s="92" t="n">
        <x:f>I206-J206</x:f>
        <x:v>0</x:v>
      </x:c>
      <x:c r="L206" s="90" t="str">
        <x:f>IF(ABS(K206)&lt;0.000000001,"PASS","FAIL")</x:f>
        <x:v>PASS</x:v>
      </x:c>
    </x:row>
    <x:row r="207">
      <x:c r="A207" s="84" t="str">
        <x:f>'Trade Features'!A207</x:f>
        <x:v>A0206</x:v>
      </x:c>
      <x:c r="B207" s="84" t="str">
        <x:f>'Trade Features'!F207</x:f>
        <x:v>Short</x:v>
      </x:c>
      <x:c r="C207" s="91" t="str">
        <x:f>'Trade Features'!BX207</x:f>
        <x:v>18034.0</x:v>
      </x:c>
      <x:c r="D207" s="91" t="str">
        <x:f>'Trade Features'!CA207</x:f>
        <x:v>18058.377748187446</x:v>
      </x:c>
      <x:c r="E207" s="91" t="str">
        <x:f>'Trade Features'!CH207</x:f>
        <x:v>-1.0</x:v>
      </x:c>
      <x:c r="F207" s="91" t="str">
        <x:f>'Trade Features'!CG207</x:f>
        <x:v>0.029740236646359483</x:v>
      </x:c>
      <x:c r="G207" s="92" t="n">
        <x:f>ABS(C207-D207)</x:f>
        <x:v>24.37774818744583</x:v>
      </x:c>
      <x:c r="H207" s="92" t="n">
        <x:f>IFERROR($O$2/(G207*$O$3),0)</x:f>
        <x:v>0.029740236646359483</x:v>
      </x:c>
      <x:c r="I207" s="92" t="n">
        <x:f>E207-H207</x:f>
        <x:v>-1.0297402366463595</x:v>
      </x:c>
      <x:c r="J207" s="91" t="str">
        <x:f>'Trade Features'!CI207</x:f>
        <x:v>-1.0297402366463595</x:v>
      </x:c>
      <x:c r="K207" s="92" t="n">
        <x:f>I207-J207</x:f>
        <x:v>0</x:v>
      </x:c>
      <x:c r="L207" s="90" t="str">
        <x:f>IF(ABS(K207)&lt;0.000000001,"PASS","FAIL")</x:f>
        <x:v>PASS</x:v>
      </x:c>
    </x:row>
    <x:row r="208">
      <x:c r="A208" s="84" t="str">
        <x:f>'Trade Features'!A208</x:f>
        <x:v>A0207</x:v>
      </x:c>
      <x:c r="B208" s="84" t="str">
        <x:f>'Trade Features'!F208</x:f>
        <x:v>Long</x:v>
      </x:c>
      <x:c r="C208" s="91" t="str">
        <x:f>'Trade Features'!BX208</x:f>
        <x:v>18393.5</x:v>
      </x:c>
      <x:c r="D208" s="91" t="str">
        <x:f>'Trade Features'!CA208</x:f>
        <x:v>18340.25531322104</x:v>
      </x:c>
      <x:c r="E208" s="91" t="str">
        <x:f>'Trade Features'!CH208</x:f>
        <x:v>1.4273724684588864</x:v>
      </x:c>
      <x:c r="F208" s="91" t="str">
        <x:f>'Trade Features'!CG208</x:f>
        <x:v>0.01361638210042975</x:v>
      </x:c>
      <x:c r="G208" s="92" t="n">
        <x:f>ABS(C208-D208)</x:f>
        <x:v>53.24468677895857</x:v>
      </x:c>
      <x:c r="H208" s="92" t="n">
        <x:f>IFERROR($O$2/(G208*$O$3),0)</x:f>
        <x:v>0.01361638210042975</x:v>
      </x:c>
      <x:c r="I208" s="92" t="n">
        <x:f>E208-H208</x:f>
        <x:v>1.4137560863584566</x:v>
      </x:c>
      <x:c r="J208" s="91" t="str">
        <x:f>'Trade Features'!CI208</x:f>
        <x:v>1.4137560863584566</x:v>
      </x:c>
      <x:c r="K208" s="92" t="n">
        <x:f>I208-J208</x:f>
        <x:v>0</x:v>
      </x:c>
      <x:c r="L208" s="90" t="str">
        <x:f>IF(ABS(K208)&lt;0.000000001,"PASS","FAIL")</x:f>
        <x:v>PASS</x:v>
      </x:c>
    </x:row>
    <x:row r="209">
      <x:c r="A209" s="84" t="str">
        <x:f>'Trade Features'!A209</x:f>
        <x:v>A0208</x:v>
      </x:c>
      <x:c r="B209" s="84" t="str">
        <x:f>'Trade Features'!F209</x:f>
        <x:v>Long</x:v>
      </x:c>
      <x:c r="C209" s="91" t="str">
        <x:f>'Trade Features'!BX209</x:f>
        <x:v>18576.25</x:v>
      </x:c>
      <x:c r="D209" s="91" t="str">
        <x:f>'Trade Features'!CA209</x:f>
        <x:v>18512.812498368654</x:v>
      </x:c>
      <x:c r="E209" s="91" t="str">
        <x:f>'Trade Features'!CH209</x:f>
        <x:v>-0.6778324948842576</x:v>
      </x:c>
      <x:c r="F209" s="91" t="str">
        <x:f>'Trade Features'!CG209</x:f>
        <x:v>0.011428571134676574</x:v>
      </x:c>
      <x:c r="G209" s="92" t="n">
        <x:f>ABS(C209-D209)</x:f>
        <x:v>63.437501631346095</x:v>
      </x:c>
      <x:c r="H209" s="92" t="n">
        <x:f>IFERROR($O$2/(G209*$O$3),0)</x:f>
        <x:v>0.011428571134676574</x:v>
      </x:c>
      <x:c r="I209" s="92" t="n">
        <x:f>E209-H209</x:f>
        <x:v>-0.6892610660189341</x:v>
      </x:c>
      <x:c r="J209" s="91" t="str">
        <x:f>'Trade Features'!CI209</x:f>
        <x:v>-0.6892610660189341</x:v>
      </x:c>
      <x:c r="K209" s="92" t="n">
        <x:f>I209-J209</x:f>
        <x:v>0</x:v>
      </x:c>
      <x:c r="L209" s="90" t="str">
        <x:f>IF(ABS(K209)&lt;0.000000001,"PASS","FAIL")</x:f>
        <x:v>PASS</x:v>
      </x:c>
    </x:row>
    <x:row r="210">
      <x:c r="A210" s="84" t="str">
        <x:f>'Trade Features'!A210</x:f>
        <x:v>A0209</x:v>
      </x:c>
      <x:c r="B210" s="84" t="str">
        <x:f>'Trade Features'!F210</x:f>
        <x:v>Long</x:v>
      </x:c>
      <x:c r="C210" s="91" t="str">
        <x:f>'Trade Features'!BX210</x:f>
        <x:v>18675.75</x:v>
      </x:c>
      <x:c r="D210" s="91" t="str">
        <x:f>'Trade Features'!CA210</x:f>
        <x:v>18631.462035372548</x:v>
      </x:c>
      <x:c r="E210" s="91" t="str">
        <x:f>'Trade Features'!CH210</x:f>
        <x:v>1.2757416258632752</x:v>
      </x:c>
      <x:c r="F210" s="91" t="str">
        <x:f>'Trade Features'!CG210</x:f>
        <x:v>0.01637013590709477</x:v>
      </x:c>
      <x:c r="G210" s="92" t="n">
        <x:f>ABS(C210-D210)</x:f>
        <x:v>44.28796462745231</x:v>
      </x:c>
      <x:c r="H210" s="92" t="n">
        <x:f>IFERROR($O$2/(G210*$O$3),0)</x:f>
        <x:v>0.01637013590709477</x:v>
      </x:c>
      <x:c r="I210" s="92" t="n">
        <x:f>E210-H210</x:f>
        <x:v>1.2593714899561805</x:v>
      </x:c>
      <x:c r="J210" s="91" t="str">
        <x:f>'Trade Features'!CI210</x:f>
        <x:v>1.2593714899561805</x:v>
      </x:c>
      <x:c r="K210" s="92" t="n">
        <x:f>I210-J210</x:f>
        <x:v>0</x:v>
      </x:c>
      <x:c r="L210" s="90" t="str">
        <x:f>IF(ABS(K210)&lt;0.000000001,"PASS","FAIL")</x:f>
        <x:v>PASS</x:v>
      </x:c>
    </x:row>
    <x:row r="211">
      <x:c r="A211" s="84" t="str">
        <x:f>'Trade Features'!A211</x:f>
        <x:v>A0210</x:v>
      </x:c>
      <x:c r="B211" s="84" t="str">
        <x:f>'Trade Features'!F211</x:f>
        <x:v>Long</x:v>
      </x:c>
      <x:c r="C211" s="91" t="str">
        <x:f>'Trade Features'!BX211</x:f>
        <x:v>18740.75</x:v>
      </x:c>
      <x:c r="D211" s="91" t="str">
        <x:f>'Trade Features'!CA211</x:f>
        <x:v>18707.629494589677</x:v>
      </x:c>
      <x:c r="E211" s="91" t="str">
        <x:f>'Trade Features'!CH211</x:f>
        <x:v>-1.0</x:v>
      </x:c>
      <x:c r="F211" s="91" t="str">
        <x:f>'Trade Features'!CG211</x:f>
        <x:v>0.021889762581160162</x:v>
      </x:c>
      <x:c r="G211" s="92" t="n">
        <x:f>ABS(C211-D211)</x:f>
        <x:v>33.12050541032295</x:v>
      </x:c>
      <x:c r="H211" s="92" t="n">
        <x:f>IFERROR($O$2/(G211*$O$3),0)</x:f>
        <x:v>0.021889762581160162</x:v>
      </x:c>
      <x:c r="I211" s="92" t="n">
        <x:f>E211-H211</x:f>
        <x:v>-1.0218897625811603</x:v>
      </x:c>
      <x:c r="J211" s="91" t="str">
        <x:f>'Trade Features'!CI211</x:f>
        <x:v>-1.0218897625811603</x:v>
      </x:c>
      <x:c r="K211" s="92" t="n">
        <x:f>I211-J211</x:f>
        <x:v>0</x:v>
      </x:c>
      <x:c r="L211" s="90" t="str">
        <x:f>IF(ABS(K211)&lt;0.000000001,"PASS","FAIL")</x:f>
        <x:v>PASS</x:v>
      </x:c>
    </x:row>
    <x:row r="212">
      <x:c r="A212" s="84" t="str">
        <x:f>'Trade Features'!A212</x:f>
        <x:v>A0211</x:v>
      </x:c>
      <x:c r="B212" s="84" t="str">
        <x:f>'Trade Features'!F212</x:f>
        <x:v>Short</x:v>
      </x:c>
      <x:c r="C212" s="91" t="str">
        <x:f>'Trade Features'!BX212</x:f>
        <x:v>18779.5</x:v>
      </x:c>
      <x:c r="D212" s="91" t="str">
        <x:f>'Trade Features'!CA212</x:f>
        <x:v>18787.312080820117</x:v>
      </x:c>
      <x:c r="E212" s="91" t="str">
        <x:f>'Trade Features'!CH212</x:f>
        <x:v>2.0</x:v>
      </x:c>
      <x:c r="F212" s="91" t="str">
        <x:f>'Trade Features'!CG212</x:f>
        <x:v>0.09280497945350046</x:v>
      </x:c>
      <x:c r="G212" s="92" t="n">
        <x:f>ABS(C212-D212)</x:f>
        <x:v>7.812080820116535</x:v>
      </x:c>
      <x:c r="H212" s="92" t="n">
        <x:f>IFERROR($O$2/(G212*$O$3),0)</x:f>
        <x:v>0.09280497945350046</x:v>
      </x:c>
      <x:c r="I212" s="92" t="n">
        <x:f>E212-H212</x:f>
        <x:v>1.9071950205464996</x:v>
      </x:c>
      <x:c r="J212" s="91" t="str">
        <x:f>'Trade Features'!CI212</x:f>
        <x:v>1.9071950205464996</x:v>
      </x:c>
      <x:c r="K212" s="92" t="n">
        <x:f>I212-J212</x:f>
        <x:v>0</x:v>
      </x:c>
      <x:c r="L212" s="90" t="str">
        <x:f>IF(ABS(K212)&lt;0.000000001,"PASS","FAIL")</x:f>
        <x:v>PASS</x:v>
      </x:c>
    </x:row>
    <x:row r="213">
      <x:c r="A213" s="84" t="str">
        <x:f>'Trade Features'!A213</x:f>
        <x:v>A0212</x:v>
      </x:c>
      <x:c r="B213" s="84" t="str">
        <x:f>'Trade Features'!F213</x:f>
        <x:v>Short</x:v>
      </x:c>
      <x:c r="C213" s="91" t="str">
        <x:f>'Trade Features'!BX213</x:f>
        <x:v>18709.0</x:v>
      </x:c>
      <x:c r="D213" s="91" t="str">
        <x:f>'Trade Features'!CA213</x:f>
        <x:v>18724.2977224534</x:v>
      </x:c>
      <x:c r="E213" s="91" t="str">
        <x:f>'Trade Features'!CH213</x:f>
        <x:v>-0.11439611388758594</x:v>
      </x:c>
      <x:c r="F213" s="91" t="str">
        <x:f>'Trade Features'!CG213</x:f>
        <x:v>0.04739267575343117</x:v>
      </x:c>
      <x:c r="G213" s="92" t="n">
        <x:f>ABS(C213-D213)</x:f>
        <x:v>15.297722453400638</x:v>
      </x:c>
      <x:c r="H213" s="92" t="n">
        <x:f>IFERROR($O$2/(G213*$O$3),0)</x:f>
        <x:v>0.04739267575343117</x:v>
      </x:c>
      <x:c r="I213" s="92" t="n">
        <x:f>E213-H213</x:f>
        <x:v>-0.16178878964101712</x:v>
      </x:c>
      <x:c r="J213" s="91" t="str">
        <x:f>'Trade Features'!CI213</x:f>
        <x:v>-0.16178878964101712</x:v>
      </x:c>
      <x:c r="K213" s="92" t="n">
        <x:f>I213-J213</x:f>
        <x:v>0</x:v>
      </x:c>
      <x:c r="L213" s="90" t="str">
        <x:f>IF(ABS(K213)&lt;0.000000001,"PASS","FAIL")</x:f>
        <x:v>PASS</x:v>
      </x:c>
    </x:row>
    <x:row r="214">
      <x:c r="A214" s="84" t="str">
        <x:f>'Trade Features'!A214</x:f>
        <x:v>A0213</x:v>
      </x:c>
      <x:c r="B214" s="84" t="str">
        <x:f>'Trade Features'!F214</x:f>
        <x:v>Long</x:v>
      </x:c>
      <x:c r="C214" s="91" t="str">
        <x:f>'Trade Features'!BX214</x:f>
        <x:v>18903.75</x:v>
      </x:c>
      <x:c r="D214" s="91" t="str">
        <x:f>'Trade Features'!CA214</x:f>
        <x:v>18882.776896708594</x:v>
      </x:c>
      <x:c r="E214" s="91" t="str">
        <x:f>'Trade Features'!CH214</x:f>
        <x:v>2.0</x:v>
      </x:c>
      <x:c r="F214" s="91" t="str">
        <x:f>'Trade Features'!CG214</x:f>
        <x:v>0.03456808417555822</x:v>
      </x:c>
      <x:c r="G214" s="92" t="n">
        <x:f>ABS(C214-D214)</x:f>
        <x:v>20.973103291406005</x:v>
      </x:c>
      <x:c r="H214" s="92" t="n">
        <x:f>IFERROR($O$2/(G214*$O$3),0)</x:f>
        <x:v>0.03456808417555822</x:v>
      </x:c>
      <x:c r="I214" s="92" t="n">
        <x:f>E214-H214</x:f>
        <x:v>1.9654319158244418</x:v>
      </x:c>
      <x:c r="J214" s="91" t="str">
        <x:f>'Trade Features'!CI214</x:f>
        <x:v>1.9654319158244418</x:v>
      </x:c>
      <x:c r="K214" s="92" t="n">
        <x:f>I214-J214</x:f>
        <x:v>0</x:v>
      </x:c>
      <x:c r="L214" s="90" t="str">
        <x:f>IF(ABS(K214)&lt;0.000000001,"PASS","FAIL")</x:f>
        <x:v>PASS</x:v>
      </x:c>
    </x:row>
    <x:row r="215">
      <x:c r="A215" s="84" t="str">
        <x:f>'Trade Features'!A215</x:f>
        <x:v>A0214</x:v>
      </x:c>
      <x:c r="B215" s="84" t="str">
        <x:f>'Trade Features'!F215</x:f>
        <x:v>Long</x:v>
      </x:c>
      <x:c r="C215" s="91" t="str">
        <x:f>'Trade Features'!BX215</x:f>
        <x:v>19154.5</x:v>
      </x:c>
      <x:c r="D215" s="91" t="str">
        <x:f>'Trade Features'!CA215</x:f>
        <x:v>19109.020419840926</x:v>
      </x:c>
      <x:c r="E215" s="91" t="str">
        <x:f>'Trade Features'!CH215</x:f>
        <x:v>-1.0</x:v>
      </x:c>
      <x:c r="F215" s="91" t="str">
        <x:f>'Trade Features'!CG215</x:f>
        <x:v>0.01594122015779772</x:v>
      </x:c>
      <x:c r="G215" s="92" t="n">
        <x:f>ABS(C215-D215)</x:f>
        <x:v>45.47958015907352</x:v>
      </x:c>
      <x:c r="H215" s="92" t="n">
        <x:f>IFERROR($O$2/(G215*$O$3),0)</x:f>
        <x:v>0.01594122015779772</x:v>
      </x:c>
      <x:c r="I215" s="92" t="n">
        <x:f>E215-H215</x:f>
        <x:v>-1.0159412201577978</x:v>
      </x:c>
      <x:c r="J215" s="91" t="str">
        <x:f>'Trade Features'!CI215</x:f>
        <x:v>-1.0159412201577978</x:v>
      </x:c>
      <x:c r="K215" s="92" t="n">
        <x:f>I215-J215</x:f>
        <x:v>0</x:v>
      </x:c>
      <x:c r="L215" s="90" t="str">
        <x:f>IF(ABS(K215)&lt;0.000000001,"PASS","FAIL")</x:f>
        <x:v>PASS</x:v>
      </x:c>
    </x:row>
    <x:row r="216">
      <x:c r="A216" s="84" t="str">
        <x:f>'Trade Features'!A216</x:f>
        <x:v>A0215</x:v>
      </x:c>
      <x:c r="B216" s="84" t="str">
        <x:f>'Trade Features'!F216</x:f>
        <x:v>Short</x:v>
      </x:c>
      <x:c r="C216" s="91" t="str">
        <x:f>'Trade Features'!BX216</x:f>
        <x:v>19132.75</x:v>
      </x:c>
      <x:c r="D216" s="91" t="str">
        <x:f>'Trade Features'!CA216</x:f>
        <x:v>19172.88518675916</x:v>
      </x:c>
      <x:c r="E216" s="91" t="str">
        <x:f>'Trade Features'!CH216</x:f>
        <x:v>0.9654869736256224</x:v>
      </x:c>
      <x:c r="F216" s="91" t="str">
        <x:f>'Trade Features'!CG216</x:f>
        <x:v>0.01806394982912502</x:v>
      </x:c>
      <x:c r="G216" s="92" t="n">
        <x:f>ABS(C216-D216)</x:f>
        <x:v>40.13518675915839</x:v>
      </x:c>
      <x:c r="H216" s="92" t="n">
        <x:f>IFERROR($O$2/(G216*$O$3),0)</x:f>
        <x:v>0.01806394982912502</x:v>
      </x:c>
      <x:c r="I216" s="92" t="n">
        <x:f>E216-H216</x:f>
        <x:v>0.9474230237964973</x:v>
      </x:c>
      <x:c r="J216" s="91" t="str">
        <x:f>'Trade Features'!CI216</x:f>
        <x:v>0.9474230237964973</x:v>
      </x:c>
      <x:c r="K216" s="92" t="n">
        <x:f>I216-J216</x:f>
        <x:v>0</x:v>
      </x:c>
      <x:c r="L216" s="90" t="str">
        <x:f>IF(ABS(K216)&lt;0.000000001,"PASS","FAIL")</x:f>
        <x:v>PASS</x:v>
      </x:c>
    </x:row>
    <x:row r="217">
      <x:c r="A217" s="84" t="str">
        <x:f>'Trade Features'!A217</x:f>
        <x:v>A0216</x:v>
      </x:c>
      <x:c r="B217" s="84" t="str">
        <x:f>'Trade Features'!F217</x:f>
        <x:v>Long</x:v>
      </x:c>
      <x:c r="C217" s="91" t="str">
        <x:f>'Trade Features'!BX217</x:f>
        <x:v>19081.25</x:v>
      </x:c>
      <x:c r="D217" s="91" t="str">
        <x:f>'Trade Features'!CA217</x:f>
        <x:v>19066.128396532717</x:v>
      </x:c>
      <x:c r="E217" s="91" t="str">
        <x:f>'Trade Features'!CH217</x:f>
        <x:v>-1.0</x:v>
      </x:c>
      <x:c r="F217" s="91" t="str">
        <x:f>'Trade Features'!CG217</x:f>
        <x:v>0.04794465094714227</x:v>
      </x:c>
      <x:c r="G217" s="92" t="n">
        <x:f>ABS(C217-D217)</x:f>
        <x:v>15.121603467283421</x:v>
      </x:c>
      <x:c r="H217" s="92" t="n">
        <x:f>IFERROR($O$2/(G217*$O$3),0)</x:f>
        <x:v>0.04794465094714227</x:v>
      </x:c>
      <x:c r="I217" s="92" t="n">
        <x:f>E217-H217</x:f>
        <x:v>-1.0479446509471422</x:v>
      </x:c>
      <x:c r="J217" s="91" t="str">
        <x:f>'Trade Features'!CI217</x:f>
        <x:v>-1.0479446509471422</x:v>
      </x:c>
      <x:c r="K217" s="92" t="n">
        <x:f>I217-J217</x:f>
        <x:v>0</x:v>
      </x:c>
      <x:c r="L217" s="90" t="str">
        <x:f>IF(ABS(K217)&lt;0.000000001,"PASS","FAIL")</x:f>
        <x:v>PASS</x:v>
      </x:c>
    </x:row>
    <x:row r="218">
      <x:c r="A218" s="84" t="str">
        <x:f>'Trade Features'!A218</x:f>
        <x:v>A0217</x:v>
      </x:c>
      <x:c r="B218" s="84" t="str">
        <x:f>'Trade Features'!F218</x:f>
        <x:v>Short</x:v>
      </x:c>
      <x:c r="C218" s="91" t="str">
        <x:f>'Trade Features'!BX218</x:f>
        <x:v>19043.25</x:v>
      </x:c>
      <x:c r="D218" s="91" t="str">
        <x:f>'Trade Features'!CA218</x:f>
        <x:v>19062.495817796807</x:v>
      </x:c>
      <x:c r="E218" s="91" t="str">
        <x:f>'Trade Features'!CH218</x:f>
        <x:v>-1.0</x:v>
      </x:c>
      <x:c r="F218" s="91" t="str">
        <x:f>'Trade Features'!CG218</x:f>
        <x:v>0.03767052185853424</x:v>
      </x:c>
      <x:c r="G218" s="92" t="n">
        <x:f>ABS(C218-D218)</x:f>
        <x:v>19.245817796807387</x:v>
      </x:c>
      <x:c r="H218" s="92" t="n">
        <x:f>IFERROR($O$2/(G218*$O$3),0)</x:f>
        <x:v>0.03767052185853424</x:v>
      </x:c>
      <x:c r="I218" s="92" t="n">
        <x:f>E218-H218</x:f>
        <x:v>-1.0376705218585343</x:v>
      </x:c>
      <x:c r="J218" s="91" t="str">
        <x:f>'Trade Features'!CI218</x:f>
        <x:v>-1.0376705218585343</x:v>
      </x:c>
      <x:c r="K218" s="92" t="n">
        <x:f>I218-J218</x:f>
        <x:v>0</x:v>
      </x:c>
      <x:c r="L218" s="90" t="str">
        <x:f>IF(ABS(K218)&lt;0.000000001,"PASS","FAIL")</x:f>
        <x:v>PASS</x:v>
      </x:c>
    </x:row>
    <x:row r="219">
      <x:c r="A219" s="84" t="str">
        <x:f>'Trade Features'!A219</x:f>
        <x:v>A0218</x:v>
      </x:c>
      <x:c r="B219" s="84" t="str">
        <x:f>'Trade Features'!F219</x:f>
        <x:v>Long</x:v>
      </x:c>
      <x:c r="C219" s="91" t="str">
        <x:f>'Trade Features'!BX219</x:f>
        <x:v>19346.75</x:v>
      </x:c>
      <x:c r="D219" s="91" t="str">
        <x:f>'Trade Features'!CA219</x:f>
        <x:v>19332.557612121953</x:v>
      </x:c>
      <x:c r="E219" s="91" t="str">
        <x:f>'Trade Features'!CH219</x:f>
        <x:v>0.7222181417304101</x:v>
      </x:c>
      <x:c r="F219" s="91" t="str">
        <x:f>'Trade Features'!CG219</x:f>
        <x:v>0.05108372221995376</x:v>
      </x:c>
      <x:c r="G219" s="92" t="n">
        <x:f>ABS(C219-D219)</x:f>
        <x:v>14.192387878047157</x:v>
      </x:c>
      <x:c r="H219" s="92" t="n">
        <x:f>IFERROR($O$2/(G219*$O$3),0)</x:f>
        <x:v>0.05108372221995376</x:v>
      </x:c>
      <x:c r="I219" s="92" t="n">
        <x:f>E219-H219</x:f>
        <x:v>0.6711344195104564</x:v>
      </x:c>
      <x:c r="J219" s="91" t="str">
        <x:f>'Trade Features'!CI219</x:f>
        <x:v>0.6711344195104564</x:v>
      </x:c>
      <x:c r="K219" s="92" t="n">
        <x:f>I219-J219</x:f>
        <x:v>0</x:v>
      </x:c>
      <x:c r="L219" s="90" t="str">
        <x:f>IF(ABS(K219)&lt;0.000000001,"PASS","FAIL")</x:f>
        <x:v>PASS</x:v>
      </x:c>
    </x:row>
    <x:row r="220">
      <x:c r="A220" s="84" t="str">
        <x:f>'Trade Features'!A220</x:f>
        <x:v>A0219</x:v>
      </x:c>
      <x:c r="B220" s="84" t="str">
        <x:f>'Trade Features'!F220</x:f>
        <x:v>Long</x:v>
      </x:c>
      <x:c r="C220" s="91" t="str">
        <x:f>'Trade Features'!BX220</x:f>
        <x:v>19513.25</x:v>
      </x:c>
      <x:c r="D220" s="91" t="str">
        <x:f>'Trade Features'!CA220</x:f>
        <x:v>19497.55676365752</x:v>
      </x:c>
      <x:c r="E220" s="91" t="str">
        <x:f>'Trade Features'!CH220</x:f>
        <x:v>-1.0</x:v>
      </x:c>
      <x:c r="F220" s="91" t="str">
        <x:f>'Trade Features'!CG220</x:f>
        <x:v>0.04619824644057443</x:v>
      </x:c>
      <x:c r="G220" s="92" t="n">
        <x:f>ABS(C220-D220)</x:f>
        <x:v>15.693236342478485</x:v>
      </x:c>
      <x:c r="H220" s="92" t="n">
        <x:f>IFERROR($O$2/(G220*$O$3),0)</x:f>
        <x:v>0.04619824644057443</x:v>
      </x:c>
      <x:c r="I220" s="92" t="n">
        <x:f>E220-H220</x:f>
        <x:v>-1.0461982464405744</x:v>
      </x:c>
      <x:c r="J220" s="91" t="str">
        <x:f>'Trade Features'!CI220</x:f>
        <x:v>-1.0461982464405744</x:v>
      </x:c>
      <x:c r="K220" s="92" t="n">
        <x:f>I220-J220</x:f>
        <x:v>0</x:v>
      </x:c>
      <x:c r="L220" s="90" t="str">
        <x:f>IF(ABS(K220)&lt;0.000000001,"PASS","FAIL")</x:f>
        <x:v>PASS</x:v>
      </x:c>
    </x:row>
    <x:row r="221">
      <x:c r="A221" s="84" t="str">
        <x:f>'Trade Features'!A221</x:f>
        <x:v>A0220</x:v>
      </x:c>
      <x:c r="B221" s="84" t="str">
        <x:f>'Trade Features'!F221</x:f>
        <x:v>Short</x:v>
      </x:c>
      <x:c r="C221" s="91" t="str">
        <x:f>'Trade Features'!BX221</x:f>
        <x:v>19462.0</x:v>
      </x:c>
      <x:c r="D221" s="91" t="str">
        <x:f>'Trade Features'!CA221</x:f>
        <x:v>19492.602458624227</x:v>
      </x:c>
      <x:c r="E221" s="91" t="str">
        <x:f>'Trade Features'!CH221</x:f>
        <x:v>2.0</x:v>
      </x:c>
      <x:c r="F221" s="91" t="str">
        <x:f>'Trade Features'!CG221</x:f>
        <x:v>0.02369090695954834</x:v>
      </x:c>
      <x:c r="G221" s="92" t="n">
        <x:f>ABS(C221-D221)</x:f>
        <x:v>30.602458624227438</x:v>
      </x:c>
      <x:c r="H221" s="92" t="n">
        <x:f>IFERROR($O$2/(G221*$O$3),0)</x:f>
        <x:v>0.02369090695954834</x:v>
      </x:c>
      <x:c r="I221" s="92" t="n">
        <x:f>E221-H221</x:f>
        <x:v>1.9763090930404517</x:v>
      </x:c>
      <x:c r="J221" s="91" t="str">
        <x:f>'Trade Features'!CI221</x:f>
        <x:v>1.9763090930404517</x:v>
      </x:c>
      <x:c r="K221" s="92" t="n">
        <x:f>I221-J221</x:f>
        <x:v>0</x:v>
      </x:c>
      <x:c r="L221" s="90" t="str">
        <x:f>IF(ABS(K221)&lt;0.000000001,"PASS","FAIL")</x:f>
        <x:v>PASS</x:v>
      </x:c>
    </x:row>
    <x:row r="222">
      <x:c r="A222" s="84" t="str">
        <x:f>'Trade Features'!A222</x:f>
        <x:v>A0221</x:v>
      </x:c>
      <x:c r="B222" s="84" t="str">
        <x:f>'Trade Features'!F222</x:f>
        <x:v>Short</x:v>
      </x:c>
      <x:c r="C222" s="91" t="str">
        <x:f>'Trade Features'!BX222</x:f>
        <x:v>19172.75</x:v>
      </x:c>
      <x:c r="D222" s="91" t="str">
        <x:f>'Trade Features'!CA222</x:f>
        <x:v>19217.27707027251</x:v>
      </x:c>
      <x:c r="E222" s="91" t="str">
        <x:f>'Trade Features'!CH222</x:f>
        <x:v>-1.0</x:v>
      </x:c>
      <x:c r="F222" s="91" t="str">
        <x:f>'Trade Features'!CG222</x:f>
        <x:v>0.016282230013403683</x:v>
      </x:c>
      <x:c r="G222" s="92" t="n">
        <x:f>ABS(C222-D222)</x:f>
        <x:v>44.52707027251017</x:v>
      </x:c>
      <x:c r="H222" s="92" t="n">
        <x:f>IFERROR($O$2/(G222*$O$3),0)</x:f>
        <x:v>0.016282230013403683</x:v>
      </x:c>
      <x:c r="I222" s="92" t="n">
        <x:f>E222-H222</x:f>
        <x:v>-1.0162822300134038</x:v>
      </x:c>
      <x:c r="J222" s="91" t="str">
        <x:f>'Trade Features'!CI222</x:f>
        <x:v>-1.0162822300134038</x:v>
      </x:c>
      <x:c r="K222" s="92" t="n">
        <x:f>I222-J222</x:f>
        <x:v>0</x:v>
      </x:c>
      <x:c r="L222" s="90" t="str">
        <x:f>IF(ABS(K222)&lt;0.000000001,"PASS","FAIL")</x:f>
        <x:v>PASS</x:v>
      </x:c>
    </x:row>
    <x:row r="223">
      <x:c r="A223" s="84" t="str">
        <x:f>'Trade Features'!A223</x:f>
        <x:v>A0222</x:v>
      </x:c>
      <x:c r="B223" s="84" t="str">
        <x:f>'Trade Features'!F223</x:f>
        <x:v>Long</x:v>
      </x:c>
      <x:c r="C223" s="91" t="str">
        <x:f>'Trade Features'!BX223</x:f>
        <x:v>19052.0</x:v>
      </x:c>
      <x:c r="D223" s="91" t="str">
        <x:f>'Trade Features'!CA223</x:f>
        <x:v>18990.79780862237</x:v>
      </x:c>
      <x:c r="E223" s="91" t="str">
        <x:f>'Trade Features'!CH223</x:f>
        <x:v>0.4820088845835438</x:v>
      </x:c>
      <x:c r="F223" s="91" t="str">
        <x:f>'Trade Features'!CG223</x:f>
        <x:v>0.011845981061798991</x:v>
      </x:c>
      <x:c r="G223" s="92" t="n">
        <x:f>ABS(C223-D223)</x:f>
        <x:v>61.20219137762979</x:v>
      </x:c>
      <x:c r="H223" s="92" t="n">
        <x:f>IFERROR($O$2/(G223*$O$3),0)</x:f>
        <x:v>0.011845981061798991</x:v>
      </x:c>
      <x:c r="I223" s="92" t="n">
        <x:f>E223-H223</x:f>
        <x:v>0.4701629035217448</x:v>
      </x:c>
      <x:c r="J223" s="91" t="str">
        <x:f>'Trade Features'!CI223</x:f>
        <x:v>0.4701629035217448</x:v>
      </x:c>
      <x:c r="K223" s="92" t="n">
        <x:f>I223-J223</x:f>
        <x:v>0</x:v>
      </x:c>
      <x:c r="L223" s="90" t="str">
        <x:f>IF(ABS(K223)&lt;0.000000001,"PASS","FAIL")</x:f>
        <x:v>PASS</x:v>
      </x:c>
    </x:row>
    <x:row r="224">
      <x:c r="A224" s="84" t="str">
        <x:f>'Trade Features'!A224</x:f>
        <x:v>A0223</x:v>
      </x:c>
      <x:c r="B224" s="84" t="str">
        <x:f>'Trade Features'!F224</x:f>
        <x:v>Short</x:v>
      </x:c>
      <x:c r="C224" s="91" t="str">
        <x:f>'Trade Features'!BX224</x:f>
        <x:v>18945.75</x:v>
      </x:c>
      <x:c r="D224" s="91" t="str">
        <x:f>'Trade Features'!CA224</x:f>
        <x:v>18973.756967119883</x:v>
      </x:c>
      <x:c r="E224" s="91" t="str">
        <x:f>'Trade Features'!CH224</x:f>
        <x:v>0.05355810193867795</x:v>
      </x:c>
      <x:c r="F224" s="91" t="str">
        <x:f>'Trade Features'!CG224</x:f>
        <x:v>0.025886415937029034</x:v>
      </x:c>
      <x:c r="G224" s="92" t="n">
        <x:f>ABS(C224-D224)</x:f>
        <x:v>28.006967119883484</x:v>
      </x:c>
      <x:c r="H224" s="92" t="n">
        <x:f>IFERROR($O$2/(G224*$O$3),0)</x:f>
        <x:v>0.025886415937029034</x:v>
      </x:c>
      <x:c r="I224" s="92" t="n">
        <x:f>E224-H224</x:f>
        <x:v>0.027671686001648918</x:v>
      </x:c>
      <x:c r="J224" s="91" t="str">
        <x:f>'Trade Features'!CI224</x:f>
        <x:v>0.027671686001648918</x:v>
      </x:c>
      <x:c r="K224" s="92" t="n">
        <x:f>I224-J224</x:f>
        <x:v>0</x:v>
      </x:c>
      <x:c r="L224" s="90" t="str">
        <x:f>IF(ABS(K224)&lt;0.000000001,"PASS","FAIL")</x:f>
        <x:v>PASS</x:v>
      </x:c>
    </x:row>
    <x:row r="225">
      <x:c r="A225" s="84" t="str">
        <x:f>'Trade Features'!A225</x:f>
        <x:v>A0224</x:v>
      </x:c>
      <x:c r="B225" s="84" t="str">
        <x:f>'Trade Features'!F225</x:f>
        <x:v>Long</x:v>
      </x:c>
      <x:c r="C225" s="91" t="str">
        <x:f>'Trade Features'!BX225</x:f>
        <x:v>19025.25</x:v>
      </x:c>
      <x:c r="D225" s="91" t="str">
        <x:f>'Trade Features'!CA225</x:f>
        <x:v>18988.27455843507</x:v>
      </x:c>
      <x:c r="E225" s="91" t="str">
        <x:f>'Trade Features'!CH225</x:f>
        <x:v>-1.0</x:v>
      </x:c>
      <x:c r="F225" s="91" t="str">
        <x:f>'Trade Features'!CG225</x:f>
        <x:v>0.019607608978161568</x:v>
      </x:c>
      <x:c r="G225" s="92" t="n">
        <x:f>ABS(C225-D225)</x:f>
        <x:v>36.9754415649295</x:v>
      </x:c>
      <x:c r="H225" s="92" t="n">
        <x:f>IFERROR($O$2/(G225*$O$3),0)</x:f>
        <x:v>0.019607608978161568</x:v>
      </x:c>
      <x:c r="I225" s="92" t="n">
        <x:f>E225-H225</x:f>
        <x:v>-1.0196076089781616</x:v>
      </x:c>
      <x:c r="J225" s="91" t="str">
        <x:f>'Trade Features'!CI225</x:f>
        <x:v>-1.0196076089781616</x:v>
      </x:c>
      <x:c r="K225" s="92" t="n">
        <x:f>I225-J225</x:f>
        <x:v>0</x:v>
      </x:c>
      <x:c r="L225" s="90" t="str">
        <x:f>IF(ABS(K225)&lt;0.000000001,"PASS","FAIL")</x:f>
        <x:v>PASS</x:v>
      </x:c>
    </x:row>
    <x:row r="226">
      <x:c r="A226" s="84" t="str">
        <x:f>'Trade Features'!A226</x:f>
        <x:v>A0225</x:v>
      </x:c>
      <x:c r="B226" s="84" t="str">
        <x:f>'Trade Features'!F226</x:f>
        <x:v>Long</x:v>
      </x:c>
      <x:c r="C226" s="91" t="str">
        <x:f>'Trade Features'!BX226</x:f>
        <x:v>19179.5</x:v>
      </x:c>
      <x:c r="D226" s="91" t="str">
        <x:f>'Trade Features'!CA226</x:f>
        <x:v>19128.530422177442</x:v>
      </x:c>
      <x:c r="E226" s="91" t="str">
        <x:f>'Trade Features'!CH226</x:f>
        <x:v>-1.0</x:v>
      </x:c>
      <x:c r="F226" s="91" t="str">
        <x:f>'Trade Features'!CG226</x:f>
        <x:v>0.014224171181561846</x:v>
      </x:c>
      <x:c r="G226" s="92" t="n">
        <x:f>ABS(C226-D226)</x:f>
        <x:v>50.96957782255777</x:v>
      </x:c>
      <x:c r="H226" s="92" t="n">
        <x:f>IFERROR($O$2/(G226*$O$3),0)</x:f>
        <x:v>0.014224171181561846</x:v>
      </x:c>
      <x:c r="I226" s="92" t="n">
        <x:f>E226-H226</x:f>
        <x:v>-1.0142241711815618</x:v>
      </x:c>
      <x:c r="J226" s="91" t="str">
        <x:f>'Trade Features'!CI226</x:f>
        <x:v>-1.0142241711815618</x:v>
      </x:c>
      <x:c r="K226" s="92" t="n">
        <x:f>I226-J226</x:f>
        <x:v>0</x:v>
      </x:c>
      <x:c r="L226" s="90" t="str">
        <x:f>IF(ABS(K226)&lt;0.000000001,"PASS","FAIL")</x:f>
        <x:v>PASS</x:v>
      </x:c>
    </x:row>
    <x:row r="227">
      <x:c r="A227" s="84" t="str">
        <x:f>'Trade Features'!A227</x:f>
        <x:v>A0226</x:v>
      </x:c>
      <x:c r="B227" s="84" t="str">
        <x:f>'Trade Features'!F227</x:f>
        <x:v>Long</x:v>
      </x:c>
      <x:c r="C227" s="91" t="str">
        <x:f>'Trade Features'!BX227</x:f>
        <x:v>19047.0</x:v>
      </x:c>
      <x:c r="D227" s="91" t="str">
        <x:f>'Trade Features'!CA227</x:f>
        <x:v>19017.956500689234</x:v>
      </x:c>
      <x:c r="E227" s="91" t="str">
        <x:f>'Trade Features'!CH227</x:f>
        <x:v>-0.8866011538236261</x:v>
      </x:c>
      <x:c r="F227" s="91" t="str">
        <x:f>'Trade Features'!CG227</x:f>
        <x:v>0.024962556758139708</x:v>
      </x:c>
      <x:c r="G227" s="92" t="n">
        <x:f>ABS(C227-D227)</x:f>
        <x:v>29.043499310766492</x:v>
      </x:c>
      <x:c r="H227" s="92" t="n">
        <x:f>IFERROR($O$2/(G227*$O$3),0)</x:f>
        <x:v>0.024962556758139708</x:v>
      </x:c>
      <x:c r="I227" s="92" t="n">
        <x:f>E227-H227</x:f>
        <x:v>-0.9115637105817659</x:v>
      </x:c>
      <x:c r="J227" s="91" t="str">
        <x:f>'Trade Features'!CI227</x:f>
        <x:v>-0.9115637105817659</x:v>
      </x:c>
      <x:c r="K227" s="92" t="n">
        <x:f>I227-J227</x:f>
        <x:v>0</x:v>
      </x:c>
      <x:c r="L227" s="90" t="str">
        <x:f>IF(ABS(K227)&lt;0.000000001,"PASS","FAIL")</x:f>
        <x:v>PASS</x:v>
      </x:c>
    </x:row>
    <x:row r="228">
      <x:c r="A228" s="84" t="str">
        <x:f>'Trade Features'!A228</x:f>
        <x:v>A0227</x:v>
      </x:c>
      <x:c r="B228" s="84" t="str">
        <x:f>'Trade Features'!F228</x:f>
        <x:v>Long</x:v>
      </x:c>
      <x:c r="C228" s="91" t="str">
        <x:f>'Trade Features'!BX228</x:f>
        <x:v>19028.25</x:v>
      </x:c>
      <x:c r="D228" s="91" t="str">
        <x:f>'Trade Features'!CA228</x:f>
        <x:v>18999.400247703063</x:v>
      </x:c>
      <x:c r="E228" s="91" t="str">
        <x:f>'Trade Features'!CH228</x:f>
        <x:v>-0.6412533393558586</x:v>
      </x:c>
      <x:c r="F228" s="91" t="str">
        <x:f>'Trade Features'!CG228</x:f>
        <x:v>0.025130198434215482</x:v>
      </x:c>
      <x:c r="G228" s="92" t="n">
        <x:f>ABS(C228-D228)</x:f>
        <x:v>28.849752296937368</x:v>
      </x:c>
      <x:c r="H228" s="92" t="n">
        <x:f>IFERROR($O$2/(G228*$O$3),0)</x:f>
        <x:v>0.025130198434215482</x:v>
      </x:c>
      <x:c r="I228" s="92" t="n">
        <x:f>E228-H228</x:f>
        <x:v>-0.6663835377900741</x:v>
      </x:c>
      <x:c r="J228" s="91" t="str">
        <x:f>'Trade Features'!CI228</x:f>
        <x:v>-0.6663835377900741</x:v>
      </x:c>
      <x:c r="K228" s="92" t="n">
        <x:f>I228-J228</x:f>
        <x:v>0</x:v>
      </x:c>
      <x:c r="L228" s="90" t="str">
        <x:f>IF(ABS(K228)&lt;0.000000001,"PASS","FAIL")</x:f>
        <x:v>PASS</x:v>
      </x:c>
    </x:row>
    <x:row r="229">
      <x:c r="A229" s="84" t="str">
        <x:f>'Trade Features'!A229</x:f>
        <x:v>A0228</x:v>
      </x:c>
      <x:c r="B229" s="84" t="str">
        <x:f>'Trade Features'!F229</x:f>
        <x:v>Long</x:v>
      </x:c>
      <x:c r="C229" s="91" t="str">
        <x:f>'Trade Features'!BX229</x:f>
        <x:v>19029.25</x:v>
      </x:c>
      <x:c r="D229" s="91" t="str">
        <x:f>'Trade Features'!CA229</x:f>
        <x:v>19000.27351589509</x:v>
      </x:c>
      <x:c r="E229" s="91" t="str">
        <x:f>'Trade Features'!CH229</x:f>
        <x:v>1.3459189823996003</x:v>
      </x:c>
      <x:c r="F229" s="91" t="str">
        <x:f>'Trade Features'!CG229</x:f>
        <x:v>0.025020288775377247</x:v>
      </x:c>
      <x:c r="G229" s="92" t="n">
        <x:f>ABS(C229-D229)</x:f>
        <x:v>28.976484104910924</x:v>
      </x:c>
      <x:c r="H229" s="92" t="n">
        <x:f>IFERROR($O$2/(G229*$O$3),0)</x:f>
        <x:v>0.025020288775377247</x:v>
      </x:c>
      <x:c r="I229" s="92" t="n">
        <x:f>E229-H229</x:f>
        <x:v>1.320898693624223</x:v>
      </x:c>
      <x:c r="J229" s="91" t="str">
        <x:f>'Trade Features'!CI229</x:f>
        <x:v>1.320898693624223</x:v>
      </x:c>
      <x:c r="K229" s="92" t="n">
        <x:f>I229-J229</x:f>
        <x:v>0</x:v>
      </x:c>
      <x:c r="L229" s="90" t="str">
        <x:f>IF(ABS(K229)&lt;0.000000001,"PASS","FAIL")</x:f>
        <x:v>PASS</x:v>
      </x:c>
    </x:row>
    <x:row r="230">
      <x:c r="A230" s="84" t="str">
        <x:f>'Trade Features'!A230</x:f>
        <x:v>A0229</x:v>
      </x:c>
      <x:c r="B230" s="84" t="str">
        <x:f>'Trade Features'!F230</x:f>
        <x:v>Long</x:v>
      </x:c>
      <x:c r="C230" s="91" t="str">
        <x:f>'Trade Features'!BX230</x:f>
        <x:v>19280.75</x:v>
      </x:c>
      <x:c r="D230" s="91" t="str">
        <x:f>'Trade Features'!CA230</x:f>
        <x:v>19254.35569194335</x:v>
      </x:c>
      <x:c r="E230" s="91" t="str">
        <x:f>'Trade Features'!CH230</x:f>
        <x:v>2.0</x:v>
      </x:c>
      <x:c r="F230" s="91" t="str">
        <x:f>'Trade Features'!CG230</x:f>
        <x:v>0.027468043429816236</x:v>
      </x:c>
      <x:c r="G230" s="92" t="n">
        <x:f>ABS(C230-D230)</x:f>
        <x:v>26.394308056649606</x:v>
      </x:c>
      <x:c r="H230" s="92" t="n">
        <x:f>IFERROR($O$2/(G230*$O$3),0)</x:f>
        <x:v>0.027468043429816236</x:v>
      </x:c>
      <x:c r="I230" s="92" t="n">
        <x:f>E230-H230</x:f>
        <x:v>1.9725319565701838</x:v>
      </x:c>
      <x:c r="J230" s="91" t="str">
        <x:f>'Trade Features'!CI230</x:f>
        <x:v>1.9725319565701838</x:v>
      </x:c>
      <x:c r="K230" s="92" t="n">
        <x:f>I230-J230</x:f>
        <x:v>0</x:v>
      </x:c>
      <x:c r="L230" s="90" t="str">
        <x:f>IF(ABS(K230)&lt;0.000000001,"PASS","FAIL")</x:f>
        <x:v>PASS</x:v>
      </x:c>
    </x:row>
    <x:row r="231">
      <x:c r="A231" s="84" t="str">
        <x:f>'Trade Features'!A231</x:f>
        <x:v>A0230</x:v>
      </x:c>
      <x:c r="B231" s="84" t="str">
        <x:f>'Trade Features'!F231</x:f>
        <x:v>Long</x:v>
      </x:c>
      <x:c r="C231" s="91" t="str">
        <x:f>'Trade Features'!BX231</x:f>
        <x:v>19357.75</x:v>
      </x:c>
      <x:c r="D231" s="91" t="str">
        <x:f>'Trade Features'!CA231</x:f>
        <x:v>19322.865792504494</x:v>
      </x:c>
      <x:c r="E231" s="91" t="str">
        <x:f>'Trade Features'!CH231</x:f>
        <x:v>1.6769766091872202</x:v>
      </x:c>
      <x:c r="F231" s="91" t="str">
        <x:f>'Trade Features'!CG231</x:f>
        <x:v>0.02078304344719284</x:v>
      </x:c>
      <x:c r="G231" s="92" t="n">
        <x:f>ABS(C231-D231)</x:f>
        <x:v>34.884207495506416</x:v>
      </x:c>
      <x:c r="H231" s="92" t="n">
        <x:f>IFERROR($O$2/(G231*$O$3),0)</x:f>
        <x:v>0.02078304344719284</x:v>
      </x:c>
      <x:c r="I231" s="92" t="n">
        <x:f>E231-H231</x:f>
        <x:v>1.6561935657400273</x:v>
      </x:c>
      <x:c r="J231" s="91" t="str">
        <x:f>'Trade Features'!CI231</x:f>
        <x:v>1.6561935657400273</x:v>
      </x:c>
      <x:c r="K231" s="92" t="n">
        <x:f>I231-J231</x:f>
        <x:v>0</x:v>
      </x:c>
      <x:c r="L231" s="90" t="str">
        <x:f>IF(ABS(K231)&lt;0.000000001,"PASS","FAIL")</x:f>
        <x:v>PASS</x:v>
      </x:c>
    </x:row>
    <x:row r="232">
      <x:c r="A232" s="84" t="str">
        <x:f>'Trade Features'!A232</x:f>
        <x:v>A0231</x:v>
      </x:c>
      <x:c r="B232" s="84" t="str">
        <x:f>'Trade Features'!F232</x:f>
        <x:v>Long</x:v>
      </x:c>
      <x:c r="C232" s="91" t="str">
        <x:f>'Trade Features'!BX232</x:f>
        <x:v>19455.25</x:v>
      </x:c>
      <x:c r="D232" s="91" t="str">
        <x:f>'Trade Features'!CA232</x:f>
        <x:v>19421.258703690477</x:v>
      </x:c>
      <x:c r="E232" s="91" t="str">
        <x:f>'Trade Features'!CH232</x:f>
        <x:v>0.6619341550000253</x:v>
      </x:c>
      <x:c r="F232" s="91" t="str">
        <x:f>'Trade Features'!CG232</x:f>
        <x:v>0.021328989438890084</x:v>
      </x:c>
      <x:c r="G232" s="92" t="n">
        <x:f>ABS(C232-D232)</x:f>
        <x:v>33.99129630952302</x:v>
      </x:c>
      <x:c r="H232" s="92" t="n">
        <x:f>IFERROR($O$2/(G232*$O$3),0)</x:f>
        <x:v>0.021328989438890084</x:v>
      </x:c>
      <x:c r="I232" s="92" t="n">
        <x:f>E232-H232</x:f>
        <x:v>0.6406051655611352</x:v>
      </x:c>
      <x:c r="J232" s="91" t="str">
        <x:f>'Trade Features'!CI232</x:f>
        <x:v>0.6406051655611352</x:v>
      </x:c>
      <x:c r="K232" s="92" t="n">
        <x:f>I232-J232</x:f>
        <x:v>0</x:v>
      </x:c>
      <x:c r="L232" s="90" t="str">
        <x:f>IF(ABS(K232)&lt;0.000000001,"PASS","FAIL")</x:f>
        <x:v>PASS</x:v>
      </x:c>
    </x:row>
    <x:row r="233">
      <x:c r="A233" s="84" t="str">
        <x:f>'Trade Features'!A233</x:f>
        <x:v>A0232</x:v>
      </x:c>
      <x:c r="B233" s="84" t="str">
        <x:f>'Trade Features'!F233</x:f>
        <x:v>Long</x:v>
      </x:c>
      <x:c r="C233" s="91" t="str">
        <x:f>'Trade Features'!BX233</x:f>
        <x:v>19495.0</x:v>
      </x:c>
      <x:c r="D233" s="91" t="str">
        <x:f>'Trade Features'!CA233</x:f>
        <x:v>19484.48184301838</x:v>
      </x:c>
      <x:c r="E233" s="91" t="str">
        <x:f>'Trade Features'!CH233</x:f>
        <x:v>0.04753684517865634</x:v>
      </x:c>
      <x:c r="F233" s="91" t="str">
        <x:f>'Trade Features'!CG233</x:f>
        <x:v>0.06892842550904461</x:v>
      </x:c>
      <x:c r="G233" s="92" t="n">
        <x:f>ABS(C233-D233)</x:f>
        <x:v>10.51815698161954</x:v>
      </x:c>
      <x:c r="H233" s="92" t="n">
        <x:f>IFERROR($O$2/(G233*$O$3),0)</x:f>
        <x:v>0.06892842550904461</x:v>
      </x:c>
      <x:c r="I233" s="92" t="n">
        <x:f>E233-H233</x:f>
        <x:v>-0.021391580330388273</x:v>
      </x:c>
      <x:c r="J233" s="91" t="str">
        <x:f>'Trade Features'!CI233</x:f>
        <x:v>-0.021391580330388273</x:v>
      </x:c>
      <x:c r="K233" s="92" t="n">
        <x:f>I233-J233</x:f>
        <x:v>0</x:v>
      </x:c>
      <x:c r="L233" s="90" t="str">
        <x:f>IF(ABS(K233)&lt;0.000000001,"PASS","FAIL")</x:f>
        <x:v>PASS</x:v>
      </x:c>
    </x:row>
    <x:row r="234">
      <x:c r="A234" s="84" t="str">
        <x:f>'Trade Features'!A234</x:f>
        <x:v>A0233</x:v>
      </x:c>
      <x:c r="B234" s="84" t="str">
        <x:f>'Trade Features'!F234</x:f>
        <x:v>Short</x:v>
      </x:c>
      <x:c r="C234" s="91" t="str">
        <x:f>'Trade Features'!BX234</x:f>
        <x:v>19375.5</x:v>
      </x:c>
      <x:c r="D234" s="91" t="str">
        <x:f>'Trade Features'!CA234</x:f>
        <x:v>19406.08330293209</x:v>
      </x:c>
      <x:c r="E234" s="91" t="str">
        <x:f>'Trade Features'!CH234</x:f>
        <x:v>-1.0</x:v>
      </x:c>
      <x:c r="F234" s="91" t="str">
        <x:f>'Trade Features'!CG234</x:f>
        <x:v>0.023705745635449325</x:v>
      </x:c>
      <x:c r="G234" s="92" t="n">
        <x:f>ABS(C234-D234)</x:f>
        <x:v>30.583302932089282</x:v>
      </x:c>
      <x:c r="H234" s="92" t="n">
        <x:f>IFERROR($O$2/(G234*$O$3),0)</x:f>
        <x:v>0.023705745635449325</x:v>
      </x:c>
      <x:c r="I234" s="92" t="n">
        <x:f>E234-H234</x:f>
        <x:v>-1.0237057456354492</x:v>
      </x:c>
      <x:c r="J234" s="91" t="str">
        <x:f>'Trade Features'!CI234</x:f>
        <x:v>-1.0237057456354492</x:v>
      </x:c>
      <x:c r="K234" s="92" t="n">
        <x:f>I234-J234</x:f>
        <x:v>0</x:v>
      </x:c>
      <x:c r="L234" s="90" t="str">
        <x:f>IF(ABS(K234)&lt;0.000000001,"PASS","FAIL")</x:f>
        <x:v>PASS</x:v>
      </x:c>
    </x:row>
    <x:row r="235">
      <x:c r="A235" s="84" t="str">
        <x:f>'Trade Features'!A235</x:f>
        <x:v>A0234</x:v>
      </x:c>
      <x:c r="B235" s="84" t="str">
        <x:f>'Trade Features'!F235</x:f>
        <x:v>Long</x:v>
      </x:c>
      <x:c r="C235" s="91" t="str">
        <x:f>'Trade Features'!BX235</x:f>
        <x:v>19509.0</x:v>
      </x:c>
      <x:c r="D235" s="91" t="str">
        <x:f>'Trade Features'!CA235</x:f>
        <x:v>19487.463017420047</x:v>
      </x:c>
      <x:c r="E235" s="91" t="str">
        <x:f>'Trade Features'!CH235</x:f>
        <x:v>-1.0</x:v>
      </x:c>
      <x:c r="F235" s="91" t="str">
        <x:f>'Trade Features'!CG235</x:f>
        <x:v>0.03366302578871131</x:v>
      </x:c>
      <x:c r="G235" s="92" t="n">
        <x:f>ABS(C235-D235)</x:f>
        <x:v>21.536982579953474</x:v>
      </x:c>
      <x:c r="H235" s="92" t="n">
        <x:f>IFERROR($O$2/(G235*$O$3),0)</x:f>
        <x:v>0.03366302578871131</x:v>
      </x:c>
      <x:c r="I235" s="92" t="n">
        <x:f>E235-H235</x:f>
        <x:v>-1.0336630257887114</x:v>
      </x:c>
      <x:c r="J235" s="91" t="str">
        <x:f>'Trade Features'!CI235</x:f>
        <x:v>-1.0336630257887114</x:v>
      </x:c>
      <x:c r="K235" s="92" t="n">
        <x:f>I235-J235</x:f>
        <x:v>0</x:v>
      </x:c>
      <x:c r="L235" s="90" t="str">
        <x:f>IF(ABS(K235)&lt;0.000000001,"PASS","FAIL")</x:f>
        <x:v>PASS</x:v>
      </x:c>
    </x:row>
    <x:row r="236">
      <x:c r="A236" s="84" t="str">
        <x:f>'Trade Features'!A236</x:f>
        <x:v>A0235</x:v>
      </x:c>
      <x:c r="B236" s="84" t="str">
        <x:f>'Trade Features'!F236</x:f>
        <x:v>Short</x:v>
      </x:c>
      <x:c r="C236" s="91" t="str">
        <x:f>'Trade Features'!BX236</x:f>
        <x:v>19445.75</x:v>
      </x:c>
      <x:c r="D236" s="91" t="str">
        <x:f>'Trade Features'!CA236</x:f>
        <x:v>19465.64572192088</x:v>
      </x:c>
      <x:c r="E236" s="91" t="str">
        <x:f>'Trade Features'!CH236</x:f>
        <x:v>-0.7036688618626208</x:v>
      </x:c>
      <x:c r="F236" s="91" t="str">
        <x:f>'Trade Features'!CG236</x:f>
        <x:v>0.036439994632171645</x:v>
      </x:c>
      <x:c r="G236" s="92" t="n">
        <x:f>ABS(C236-D236)</x:f>
        <x:v>19.895721920878714</x:v>
      </x:c>
      <x:c r="H236" s="92" t="n">
        <x:f>IFERROR($O$2/(G236*$O$3),0)</x:f>
        <x:v>0.036439994632171645</x:v>
      </x:c>
      <x:c r="I236" s="92" t="n">
        <x:f>E236-H236</x:f>
        <x:v>-0.7401088564947924</x:v>
      </x:c>
      <x:c r="J236" s="91" t="str">
        <x:f>'Trade Features'!CI236</x:f>
        <x:v>-0.7401088564947924</x:v>
      </x:c>
      <x:c r="K236" s="92" t="n">
        <x:f>I236-J236</x:f>
        <x:v>0</x:v>
      </x:c>
      <x:c r="L236" s="90" t="str">
        <x:f>IF(ABS(K236)&lt;0.000000001,"PASS","FAIL")</x:f>
        <x:v>PASS</x:v>
      </x:c>
    </x:row>
    <x:row r="237">
      <x:c r="A237" s="84" t="str">
        <x:f>'Trade Features'!A237</x:f>
        <x:v>A0236</x:v>
      </x:c>
      <x:c r="B237" s="84" t="str">
        <x:f>'Trade Features'!F237</x:f>
        <x:v>Short</x:v>
      </x:c>
      <x:c r="C237" s="91" t="str">
        <x:f>'Trade Features'!BX237</x:f>
        <x:v>19448.5</x:v>
      </x:c>
      <x:c r="D237" s="91" t="str">
        <x:f>'Trade Features'!CA237</x:f>
        <x:v>19462.82142225748</x:v>
      </x:c>
      <x:c r="E237" s="91" t="str">
        <x:f>'Trade Features'!CH237</x:f>
        <x:v>1.1521202086883415</x:v>
      </x:c>
      <x:c r="F237" s="91" t="str">
        <x:f>'Trade Features'!CG237</x:f>
        <x:v>0.05062346371509262</x:v>
      </x:c>
      <x:c r="G237" s="92" t="n">
        <x:f>ABS(C237-D237)</x:f>
        <x:v>14.321422257478844</x:v>
      </x:c>
      <x:c r="H237" s="92" t="n">
        <x:f>IFERROR($O$2/(G237*$O$3),0)</x:f>
        <x:v>0.05062346371509262</x:v>
      </x:c>
      <x:c r="I237" s="92" t="n">
        <x:f>E237-H237</x:f>
        <x:v>1.101496744973249</x:v>
      </x:c>
      <x:c r="J237" s="91" t="str">
        <x:f>'Trade Features'!CI237</x:f>
        <x:v>1.101496744973249</x:v>
      </x:c>
      <x:c r="K237" s="92" t="n">
        <x:f>I237-J237</x:f>
        <x:v>0</x:v>
      </x:c>
      <x:c r="L237" s="90" t="str">
        <x:f>IF(ABS(K237)&lt;0.000000001,"PASS","FAIL")</x:f>
        <x:v>PASS</x:v>
      </x:c>
    </x:row>
    <x:row r="238">
      <x:c r="A238" s="84" t="str">
        <x:f>'Trade Features'!A238</x:f>
        <x:v>A0237</x:v>
      </x:c>
      <x:c r="B238" s="84" t="str">
        <x:f>'Trade Features'!F238</x:f>
        <x:v>Long</x:v>
      </x:c>
      <x:c r="C238" s="91" t="str">
        <x:f>'Trade Features'!BX238</x:f>
        <x:v>19658.25</x:v>
      </x:c>
      <x:c r="D238" s="91" t="str">
        <x:f>'Trade Features'!CA238</x:f>
        <x:v>19637.210162442134</x:v>
      </x:c>
      <x:c r="E238" s="91" t="str">
        <x:f>'Trade Features'!CH238</x:f>
        <x:v>1.4258665219011062</x:v>
      </x:c>
      <x:c r="F238" s="91" t="str">
        <x:f>'Trade Features'!CG238</x:f>
        <x:v>0.03445844094594474</x:v>
      </x:c>
      <x:c r="G238" s="92" t="n">
        <x:f>ABS(C238-D238)</x:f>
        <x:v>21.03983755786612</x:v>
      </x:c>
      <x:c r="H238" s="92" t="n">
        <x:f>IFERROR($O$2/(G238*$O$3),0)</x:f>
        <x:v>0.03445844094594474</x:v>
      </x:c>
      <x:c r="I238" s="92" t="n">
        <x:f>E238-H238</x:f>
        <x:v>1.3914080809551614</x:v>
      </x:c>
      <x:c r="J238" s="91" t="str">
        <x:f>'Trade Features'!CI238</x:f>
        <x:v>1.3914080809551614</x:v>
      </x:c>
      <x:c r="K238" s="92" t="n">
        <x:f>I238-J238</x:f>
        <x:v>0</x:v>
      </x:c>
      <x:c r="L238" s="90" t="str">
        <x:f>IF(ABS(K238)&lt;0.000000001,"PASS","FAIL")</x:f>
        <x:v>PASS</x:v>
      </x:c>
    </x:row>
    <x:row r="239">
      <x:c r="A239" s="84" t="str">
        <x:f>'Trade Features'!A239</x:f>
        <x:v>A0238</x:v>
      </x:c>
      <x:c r="B239" s="84" t="str">
        <x:f>'Trade Features'!F239</x:f>
        <x:v>Short</x:v>
      </x:c>
      <x:c r="C239" s="91" t="str">
        <x:f>'Trade Features'!BX239</x:f>
        <x:v>19646.5</x:v>
      </x:c>
      <x:c r="D239" s="91" t="str">
        <x:f>'Trade Features'!CA239</x:f>
        <x:v>19656.206820140855</x:v>
      </x:c>
      <x:c r="E239" s="91" t="str">
        <x:f>'Trade Features'!CH239</x:f>
        <x:v>-1.0</x:v>
      </x:c>
      <x:c r="F239" s="91" t="str">
        <x:f>'Trade Features'!CG239</x:f>
        <x:v>0.07468975313023195</x:v>
      </x:c>
      <x:c r="G239" s="92" t="n">
        <x:f>ABS(C239-D239)</x:f>
        <x:v>9.706820140854688</x:v>
      </x:c>
      <x:c r="H239" s="92" t="n">
        <x:f>IFERROR($O$2/(G239*$O$3),0)</x:f>
        <x:v>0.07468975313023195</x:v>
      </x:c>
      <x:c r="I239" s="92" t="n">
        <x:f>E239-H239</x:f>
        <x:v>-1.074689753130232</x:v>
      </x:c>
      <x:c r="J239" s="91" t="str">
        <x:f>'Trade Features'!CI239</x:f>
        <x:v>-1.074689753130232</x:v>
      </x:c>
      <x:c r="K239" s="92" t="n">
        <x:f>I239-J239</x:f>
        <x:v>0</x:v>
      </x:c>
      <x:c r="L239" s="90" t="str">
        <x:f>IF(ABS(K239)&lt;0.000000001,"PASS","FAIL")</x:f>
        <x:v>PASS</x:v>
      </x:c>
    </x:row>
    <x:row r="240">
      <x:c r="A240" s="84" t="str">
        <x:f>'Trade Features'!A240</x:f>
        <x:v>A0239</x:v>
      </x:c>
      <x:c r="B240" s="84" t="str">
        <x:f>'Trade Features'!F240</x:f>
        <x:v>Short</x:v>
      </x:c>
      <x:c r="C240" s="91" t="str">
        <x:f>'Trade Features'!BX240</x:f>
        <x:v>19593.75</x:v>
      </x:c>
      <x:c r="D240" s="91" t="str">
        <x:f>'Trade Features'!CA240</x:f>
        <x:v>19609.193666974807</x:v>
      </x:c>
      <x:c r="E240" s="91" t="str">
        <x:f>'Trade Features'!CH240</x:f>
        <x:v>-1.0</x:v>
      </x:c>
      <x:c r="F240" s="91" t="str">
        <x:f>'Trade Features'!CG240</x:f>
        <x:v>0.04694480923362967</x:v>
      </x:c>
      <x:c r="G240" s="92" t="n">
        <x:f>ABS(C240-D240)</x:f>
        <x:v>15.443666974806547</x:v>
      </x:c>
      <x:c r="H240" s="92" t="n">
        <x:f>IFERROR($O$2/(G240*$O$3),0)</x:f>
        <x:v>0.04694480923362967</x:v>
      </x:c>
      <x:c r="I240" s="92" t="n">
        <x:f>E240-H240</x:f>
        <x:v>-1.0469448092336298</x:v>
      </x:c>
      <x:c r="J240" s="91" t="str">
        <x:f>'Trade Features'!CI240</x:f>
        <x:v>-1.0469448092336298</x:v>
      </x:c>
      <x:c r="K240" s="92" t="n">
        <x:f>I240-J240</x:f>
        <x:v>0</x:v>
      </x:c>
      <x:c r="L240" s="90" t="str">
        <x:f>IF(ABS(K240)&lt;0.000000001,"PASS","FAIL")</x:f>
        <x:v>PASS</x:v>
      </x:c>
    </x:row>
    <x:row r="241">
      <x:c r="A241" s="84" t="str">
        <x:f>'Trade Features'!A241</x:f>
        <x:v>A0240</x:v>
      </x:c>
      <x:c r="B241" s="84" t="str">
        <x:f>'Trade Features'!F241</x:f>
        <x:v>Short</x:v>
      </x:c>
      <x:c r="C241" s="91" t="str">
        <x:f>'Trade Features'!BX241</x:f>
        <x:v>19404.5</x:v>
      </x:c>
      <x:c r="D241" s="91" t="str">
        <x:f>'Trade Features'!CA241</x:f>
        <x:v>19413.843366782807</x:v>
      </x:c>
      <x:c r="E241" s="91" t="str">
        <x:f>'Trade Features'!CH241</x:f>
        <x:v>-1.0</x:v>
      </x:c>
      <x:c r="F241" s="91" t="str">
        <x:f>'Trade Features'!CG241</x:f>
        <x:v>0.07759515567066434</x:v>
      </x:c>
      <x:c r="G241" s="92" t="n">
        <x:f>ABS(C241-D241)</x:f>
        <x:v>9.343366782806697</x:v>
      </x:c>
      <x:c r="H241" s="92" t="n">
        <x:f>IFERROR($O$2/(G241*$O$3),0)</x:f>
        <x:v>0.07759515567066434</x:v>
      </x:c>
      <x:c r="I241" s="92" t="n">
        <x:f>E241-H241</x:f>
        <x:v>-1.0775951556706644</x:v>
      </x:c>
      <x:c r="J241" s="91" t="str">
        <x:f>'Trade Features'!CI241</x:f>
        <x:v>-1.0775951556706644</x:v>
      </x:c>
      <x:c r="K241" s="92" t="n">
        <x:f>I241-J241</x:f>
        <x:v>0</x:v>
      </x:c>
      <x:c r="L241" s="90" t="str">
        <x:f>IF(ABS(K241)&lt;0.000000001,"PASS","FAIL")</x:f>
        <x:v>PASS</x:v>
      </x:c>
    </x:row>
    <x:row r="242">
      <x:c r="A242" s="84" t="str">
        <x:f>'Trade Features'!A242</x:f>
        <x:v>A0241</x:v>
      </x:c>
      <x:c r="B242" s="84" t="str">
        <x:f>'Trade Features'!F242</x:f>
        <x:v>Short</x:v>
      </x:c>
      <x:c r="C242" s="91" t="str">
        <x:f>'Trade Features'!BX242</x:f>
        <x:v>19396.0</x:v>
      </x:c>
      <x:c r="D242" s="91" t="str">
        <x:f>'Trade Features'!CA242</x:f>
        <x:v>19408.457129569917</x:v>
      </x:c>
      <x:c r="E242" s="91" t="str">
        <x:f>'Trade Features'!CH242</x:f>
        <x:v>-1.0</x:v>
      </x:c>
      <x:c r="F242" s="91" t="str">
        <x:f>'Trade Features'!CG242</x:f>
        <x:v>0.05819960336214354</x:v>
      </x:c>
      <x:c r="G242" s="92" t="n">
        <x:f>ABS(C242-D242)</x:f>
        <x:v>12.457129569917015</x:v>
      </x:c>
      <x:c r="H242" s="92" t="n">
        <x:f>IFERROR($O$2/(G242*$O$3),0)</x:f>
        <x:v>0.05819960336214354</x:v>
      </x:c>
      <x:c r="I242" s="92" t="n">
        <x:f>E242-H242</x:f>
        <x:v>-1.0581996033621435</x:v>
      </x:c>
      <x:c r="J242" s="91" t="str">
        <x:f>'Trade Features'!CI242</x:f>
        <x:v>-1.0581996033621435</x:v>
      </x:c>
      <x:c r="K242" s="92" t="n">
        <x:f>I242-J242</x:f>
        <x:v>0</x:v>
      </x:c>
      <x:c r="L242" s="90" t="str">
        <x:f>IF(ABS(K242)&lt;0.000000001,"PASS","FAIL")</x:f>
        <x:v>PASS</x:v>
      </x:c>
    </x:row>
    <x:row r="243">
      <x:c r="A243" s="84" t="str">
        <x:f>'Trade Features'!A243</x:f>
        <x:v>A0242</x:v>
      </x:c>
      <x:c r="B243" s="84" t="str">
        <x:f>'Trade Features'!F243</x:f>
        <x:v>Long</x:v>
      </x:c>
      <x:c r="C243" s="91" t="str">
        <x:f>'Trade Features'!BX243</x:f>
        <x:v>19403.5</x:v>
      </x:c>
      <x:c r="D243" s="91" t="str">
        <x:f>'Trade Features'!CA243</x:f>
        <x:v>19390.027289209727</x:v>
      </x:c>
      <x:c r="E243" s="91" t="str">
        <x:f>'Trade Features'!CH243</x:f>
        <x:v>-1.0</x:v>
      </x:c>
      <x:c r="F243" s="91" t="str">
        <x:f>'Trade Features'!CG243</x:f>
        <x:v>0.0538124814883914</x:v>
      </x:c>
      <x:c r="G243" s="92" t="n">
        <x:f>ABS(C243-D243)</x:f>
        <x:v>13.472710790272686</x:v>
      </x:c>
      <x:c r="H243" s="92" t="n">
        <x:f>IFERROR($O$2/(G243*$O$3),0)</x:f>
        <x:v>0.0538124814883914</x:v>
      </x:c>
      <x:c r="I243" s="92" t="n">
        <x:f>E243-H243</x:f>
        <x:v>-1.0538124814883914</x:v>
      </x:c>
      <x:c r="J243" s="91" t="str">
        <x:f>'Trade Features'!CI243</x:f>
        <x:v>-1.0538124814883914</x:v>
      </x:c>
      <x:c r="K243" s="92" t="n">
        <x:f>I243-J243</x:f>
        <x:v>0</x:v>
      </x:c>
      <x:c r="L243" s="90" t="str">
        <x:f>IF(ABS(K243)&lt;0.000000001,"PASS","FAIL")</x:f>
        <x:v>PASS</x:v>
      </x:c>
    </x:row>
    <x:row r="244">
      <x:c r="A244" s="84" t="str">
        <x:f>'Trade Features'!A244</x:f>
        <x:v>A0243</x:v>
      </x:c>
      <x:c r="B244" s="84" t="str">
        <x:f>'Trade Features'!F244</x:f>
        <x:v>Short</x:v>
      </x:c>
      <x:c r="C244" s="91" t="str">
        <x:f>'Trade Features'!BX244</x:f>
        <x:v>19419.75</x:v>
      </x:c>
      <x:c r="D244" s="91" t="str">
        <x:f>'Trade Features'!CA244</x:f>
        <x:v>19456.18903017942</x:v>
      </x:c>
      <x:c r="E244" s="91" t="str">
        <x:f>'Trade Features'!CH244</x:f>
        <x:v>-1.0</x:v>
      </x:c>
      <x:c r="F244" s="91" t="str">
        <x:f>'Trade Features'!CG244</x:f>
        <x:v>0.01989624851238441</x:v>
      </x:c>
      <x:c r="G244" s="92" t="n">
        <x:f>ABS(C244-D244)</x:f>
        <x:v>36.439030179419206</x:v>
      </x:c>
      <x:c r="H244" s="92" t="n">
        <x:f>IFERROR($O$2/(G244*$O$3),0)</x:f>
        <x:v>0.01989624851238441</x:v>
      </x:c>
      <x:c r="I244" s="92" t="n">
        <x:f>E244-H244</x:f>
        <x:v>-1.0198962485123844</x:v>
      </x:c>
      <x:c r="J244" s="91" t="str">
        <x:f>'Trade Features'!CI244</x:f>
        <x:v>-1.0198962485123844</x:v>
      </x:c>
      <x:c r="K244" s="92" t="n">
        <x:f>I244-J244</x:f>
        <x:v>0</x:v>
      </x:c>
      <x:c r="L244" s="90" t="str">
        <x:f>IF(ABS(K244)&lt;0.000000001,"PASS","FAIL")</x:f>
        <x:v>PASS</x:v>
      </x:c>
    </x:row>
    <x:row r="245">
      <x:c r="A245" s="84" t="str">
        <x:f>'Trade Features'!A245</x:f>
        <x:v>A0244</x:v>
      </x:c>
      <x:c r="B245" s="84" t="str">
        <x:f>'Trade Features'!F245</x:f>
        <x:v>Long</x:v>
      </x:c>
      <x:c r="C245" s="91" t="str">
        <x:f>'Trade Features'!BX245</x:f>
        <x:v>19539.75</x:v>
      </x:c>
      <x:c r="D245" s="91" t="str">
        <x:f>'Trade Features'!CA245</x:f>
        <x:v>19525.087824423994</x:v>
      </x:c>
      <x:c r="E245" s="91" t="str">
        <x:f>'Trade Features'!CH245</x:f>
        <x:v>-1.0</x:v>
      </x:c>
      <x:c r="F245" s="91" t="str">
        <x:f>'Trade Features'!CG245</x:f>
        <x:v>0.04944695937118802</x:v>
      </x:c>
      <x:c r="G245" s="92" t="n">
        <x:f>ABS(C245-D245)</x:f>
        <x:v>14.66217557600612</x:v>
      </x:c>
      <x:c r="H245" s="92" t="n">
        <x:f>IFERROR($O$2/(G245*$O$3),0)</x:f>
        <x:v>0.04944695937118802</x:v>
      </x:c>
      <x:c r="I245" s="92" t="n">
        <x:f>E245-H245</x:f>
        <x:v>-1.049446959371188</x:v>
      </x:c>
      <x:c r="J245" s="91" t="str">
        <x:f>'Trade Features'!CI245</x:f>
        <x:v>-1.049446959371188</x:v>
      </x:c>
      <x:c r="K245" s="92" t="n">
        <x:f>I245-J245</x:f>
        <x:v>0</x:v>
      </x:c>
      <x:c r="L245" s="90" t="str">
        <x:f>IF(ABS(K245)&lt;0.000000001,"PASS","FAIL")</x:f>
        <x:v>PASS</x:v>
      </x:c>
    </x:row>
    <x:row r="246">
      <x:c r="A246" s="84" t="str">
        <x:f>'Trade Features'!A246</x:f>
        <x:v>A0245</x:v>
      </x:c>
      <x:c r="B246" s="84" t="str">
        <x:f>'Trade Features'!F246</x:f>
        <x:v>Short</x:v>
      </x:c>
      <x:c r="C246" s="91" t="str">
        <x:f>'Trade Features'!BX246</x:f>
        <x:v>19515.25</x:v>
      </x:c>
      <x:c r="D246" s="91" t="str">
        <x:f>'Trade Features'!CA246</x:f>
        <x:v>19529.0618562189</x:v>
      </x:c>
      <x:c r="E246" s="91" t="str">
        <x:f>'Trade Features'!CH246</x:f>
        <x:v>-1.0</x:v>
      </x:c>
      <x:c r="F246" s="91" t="str">
        <x:f>'Trade Features'!CG246</x:f>
        <x:v>0.05249113432037184</x:v>
      </x:c>
      <x:c r="G246" s="92" t="n">
        <x:f>ABS(C246-D246)</x:f>
        <x:v>13.811856218901085</x:v>
      </x:c>
      <x:c r="H246" s="92" t="n">
        <x:f>IFERROR($O$2/(G246*$O$3),0)</x:f>
        <x:v>0.05249113432037184</x:v>
      </x:c>
      <x:c r="I246" s="92" t="n">
        <x:f>E246-H246</x:f>
        <x:v>-1.0524911343203718</x:v>
      </x:c>
      <x:c r="J246" s="91" t="str">
        <x:f>'Trade Features'!CI246</x:f>
        <x:v>-1.0524911343203718</x:v>
      </x:c>
      <x:c r="K246" s="92" t="n">
        <x:f>I246-J246</x:f>
        <x:v>0</x:v>
      </x:c>
      <x:c r="L246" s="90" t="str">
        <x:f>IF(ABS(K246)&lt;0.000000001,"PASS","FAIL")</x:f>
        <x:v>PASS</x:v>
      </x:c>
    </x:row>
    <x:row r="247">
      <x:c r="A247" s="84" t="str">
        <x:f>'Trade Features'!A247</x:f>
        <x:v>A0246</x:v>
      </x:c>
      <x:c r="B247" s="84" t="str">
        <x:f>'Trade Features'!F247</x:f>
        <x:v>Short</x:v>
      </x:c>
      <x:c r="C247" s="91" t="str">
        <x:f>'Trade Features'!BX247</x:f>
        <x:v>19195.5</x:v>
      </x:c>
      <x:c r="D247" s="91" t="str">
        <x:f>'Trade Features'!CA247</x:f>
        <x:v>19240.747190951748</x:v>
      </x:c>
      <x:c r="E247" s="91" t="str">
        <x:f>'Trade Features'!CH247</x:f>
        <x:v>1.5636329794583197</x:v>
      </x:c>
      <x:c r="F247" s="91" t="str">
        <x:f>'Trade Features'!CG247</x:f>
        <x:v>0.016023094135791668</x:v>
      </x:c>
      <x:c r="G247" s="92" t="n">
        <x:f>ABS(C247-D247)</x:f>
        <x:v>45.24719095174805</x:v>
      </x:c>
      <x:c r="H247" s="92" t="n">
        <x:f>IFERROR($O$2/(G247*$O$3),0)</x:f>
        <x:v>0.016023094135791668</x:v>
      </x:c>
      <x:c r="I247" s="92" t="n">
        <x:f>E247-H247</x:f>
        <x:v>1.547609885322528</x:v>
      </x:c>
      <x:c r="J247" s="91" t="str">
        <x:f>'Trade Features'!CI247</x:f>
        <x:v>1.547609885322528</x:v>
      </x:c>
      <x:c r="K247" s="92" t="n">
        <x:f>I247-J247</x:f>
        <x:v>0</x:v>
      </x:c>
      <x:c r="L247" s="90" t="str">
        <x:f>IF(ABS(K247)&lt;0.000000001,"PASS","FAIL")</x:f>
        <x:v>PASS</x:v>
      </x:c>
    </x:row>
    <x:row r="248">
      <x:c r="A248" s="84" t="str">
        <x:f>'Trade Features'!A248</x:f>
        <x:v>A0247</x:v>
      </x:c>
      <x:c r="B248" s="84" t="str">
        <x:f>'Trade Features'!F248</x:f>
        <x:v>Long</x:v>
      </x:c>
      <x:c r="C248" s="91" t="str">
        <x:f>'Trade Features'!BX248</x:f>
        <x:v>19479.75</x:v>
      </x:c>
      <x:c r="D248" s="91" t="str">
        <x:f>'Trade Features'!CA248</x:f>
        <x:v>19465.689466652497</x:v>
      </x:c>
      <x:c r="E248" s="91" t="str">
        <x:f>'Trade Features'!CH248</x:f>
        <x:v>2.0</x:v>
      </x:c>
      <x:c r="F248" s="91" t="str">
        <x:f>'Trade Features'!CG248</x:f>
        <x:v>0.05156276665200191</x:v>
      </x:c>
      <x:c r="G248" s="92" t="n">
        <x:f>ABS(C248-D248)</x:f>
        <x:v>14.060533347503224</x:v>
      </x:c>
      <x:c r="H248" s="92" t="n">
        <x:f>IFERROR($O$2/(G248*$O$3),0)</x:f>
        <x:v>0.05156276665200191</x:v>
      </x:c>
      <x:c r="I248" s="92" t="n">
        <x:f>E248-H248</x:f>
        <x:v>1.948437233347998</x:v>
      </x:c>
      <x:c r="J248" s="91" t="str">
        <x:f>'Trade Features'!CI248</x:f>
        <x:v>1.948437233347998</x:v>
      </x:c>
      <x:c r="K248" s="92" t="n">
        <x:f>I248-J248</x:f>
        <x:v>0</x:v>
      </x:c>
      <x:c r="L248" s="90" t="str">
        <x:f>IF(ABS(K248)&lt;0.000000001,"PASS","FAIL")</x:f>
        <x:v>PASS</x:v>
      </x:c>
    </x:row>
    <x:row r="249">
      <x:c r="A249" s="84" t="str">
        <x:f>'Trade Features'!A249</x:f>
        <x:v>A0248</x:v>
      </x:c>
      <x:c r="B249" s="84" t="str">
        <x:f>'Trade Features'!F249</x:f>
        <x:v>Short</x:v>
      </x:c>
      <x:c r="C249" s="91" t="str">
        <x:f>'Trade Features'!BX249</x:f>
        <x:v>19528.75</x:v>
      </x:c>
      <x:c r="D249" s="91" t="str">
        <x:f>'Trade Features'!CA249</x:f>
        <x:v>19544.943426630125</x:v>
      </x:c>
      <x:c r="E249" s="91" t="str">
        <x:f>'Trade Features'!CH249</x:f>
        <x:v>-1.0</x:v>
      </x:c>
      <x:c r="F249" s="91" t="str">
        <x:f>'Trade Features'!CG249</x:f>
        <x:v>0.04477125296330207</x:v>
      </x:c>
      <x:c r="G249" s="92" t="n">
        <x:f>ABS(C249-D249)</x:f>
        <x:v>16.193426630125032</x:v>
      </x:c>
      <x:c r="H249" s="92" t="n">
        <x:f>IFERROR($O$2/(G249*$O$3),0)</x:f>
        <x:v>0.04477125296330207</x:v>
      </x:c>
      <x:c r="I249" s="92" t="n">
        <x:f>E249-H249</x:f>
        <x:v>-1.044771252963302</x:v>
      </x:c>
      <x:c r="J249" s="91" t="str">
        <x:f>'Trade Features'!CI249</x:f>
        <x:v>-1.044771252963302</x:v>
      </x:c>
      <x:c r="K249" s="92" t="n">
        <x:f>I249-J249</x:f>
        <x:v>0</x:v>
      </x:c>
      <x:c r="L249" s="90" t="str">
        <x:f>IF(ABS(K249)&lt;0.000000001,"PASS","FAIL")</x:f>
        <x:v>PASS</x:v>
      </x:c>
    </x:row>
    <x:row r="250">
      <x:c r="A250" s="84" t="str">
        <x:f>'Trade Features'!A250</x:f>
        <x:v>A0249</x:v>
      </x:c>
      <x:c r="B250" s="84" t="str">
        <x:f>'Trade Features'!F250</x:f>
        <x:v>Short</x:v>
      </x:c>
      <x:c r="C250" s="91" t="str">
        <x:f>'Trade Features'!BX250</x:f>
        <x:v>19735.5</x:v>
      </x:c>
      <x:c r="D250" s="91" t="str">
        <x:f>'Trade Features'!CA250</x:f>
        <x:v>19751.722599842567</x:v>
      </x:c>
      <x:c r="E250" s="91" t="str">
        <x:f>'Trade Features'!CH250</x:f>
        <x:v>-1.0</x:v>
      </x:c>
      <x:c r="F250" s="91" t="str">
        <x:f>'Trade Features'!CG250</x:f>
        <x:v>0.04469074051235795</x:v>
      </x:c>
      <x:c r="G250" s="92" t="n">
        <x:f>ABS(C250-D250)</x:f>
        <x:v>16.222599842567433</x:v>
      </x:c>
      <x:c r="H250" s="92" t="n">
        <x:f>IFERROR($O$2/(G250*$O$3),0)</x:f>
        <x:v>0.04469074051235795</x:v>
      </x:c>
      <x:c r="I250" s="92" t="n">
        <x:f>E250-H250</x:f>
        <x:v>-1.044690740512358</x:v>
      </x:c>
      <x:c r="J250" s="91" t="str">
        <x:f>'Trade Features'!CI250</x:f>
        <x:v>-1.044690740512358</x:v>
      </x:c>
      <x:c r="K250" s="92" t="n">
        <x:f>I250-J250</x:f>
        <x:v>0</x:v>
      </x:c>
      <x:c r="L250" s="90" t="str">
        <x:f>IF(ABS(K250)&lt;0.000000001,"PASS","FAIL")</x:f>
        <x:v>PASS</x:v>
      </x:c>
    </x:row>
    <x:row r="251">
      <x:c r="A251" s="84" t="str">
        <x:f>'Trade Features'!A251</x:f>
        <x:v>A0250</x:v>
      </x:c>
      <x:c r="B251" s="84" t="str">
        <x:f>'Trade Features'!F251</x:f>
        <x:v>Short</x:v>
      </x:c>
      <x:c r="C251" s="91" t="str">
        <x:f>'Trade Features'!BX251</x:f>
        <x:v>19317.75</x:v>
      </x:c>
      <x:c r="D251" s="91" t="str">
        <x:f>'Trade Features'!CA251</x:f>
        <x:v>19348.4759355181</x:v>
      </x:c>
      <x:c r="E251" s="91" t="str">
        <x:f>'Trade Features'!CH251</x:f>
        <x:v>-1.0</x:v>
      </x:c>
      <x:c r="F251" s="91" t="str">
        <x:f>'Trade Features'!CG251</x:f>
        <x:v>0.02359570140908766</x:v>
      </x:c>
      <x:c r="G251" s="92" t="n">
        <x:f>ABS(C251-D251)</x:f>
        <x:v>30.725935518101323</x:v>
      </x:c>
      <x:c r="H251" s="92" t="n">
        <x:f>IFERROR($O$2/(G251*$O$3),0)</x:f>
        <x:v>0.02359570140908766</x:v>
      </x:c>
      <x:c r="I251" s="92" t="n">
        <x:f>E251-H251</x:f>
        <x:v>-1.0235957014090877</x:v>
      </x:c>
      <x:c r="J251" s="91" t="str">
        <x:f>'Trade Features'!CI251</x:f>
        <x:v>-1.0235957014090877</x:v>
      </x:c>
      <x:c r="K251" s="92" t="n">
        <x:f>I251-J251</x:f>
        <x:v>0</x:v>
      </x:c>
      <x:c r="L251" s="90" t="str">
        <x:f>IF(ABS(K251)&lt;0.000000001,"PASS","FAIL")</x:f>
        <x:v>PASS</x:v>
      </x:c>
    </x:row>
    <x:row r="252">
      <x:c r="A252" s="84" t="str">
        <x:f>'Trade Features'!A252</x:f>
        <x:v>A0251</x:v>
      </x:c>
      <x:c r="B252" s="84" t="str">
        <x:f>'Trade Features'!F252</x:f>
        <x:v>Long</x:v>
      </x:c>
      <x:c r="C252" s="91" t="str">
        <x:f>'Trade Features'!BX252</x:f>
        <x:v>19853.75</x:v>
      </x:c>
      <x:c r="D252" s="91" t="str">
        <x:f>'Trade Features'!CA252</x:f>
        <x:v>19816.34814573309</x:v>
      </x:c>
      <x:c r="E252" s="91" t="str">
        <x:f>'Trade Features'!CH252</x:f>
        <x:v>0.995939926779355</x:v>
      </x:c>
      <x:c r="F252" s="91" t="str">
        <x:f>'Trade Features'!CG252</x:f>
        <x:v>0.019384065688994465</x:v>
      </x:c>
      <x:c r="G252" s="92" t="n">
        <x:f>ABS(C252-D252)</x:f>
        <x:v>37.40185426691096</x:v>
      </x:c>
      <x:c r="H252" s="92" t="n">
        <x:f>IFERROR($O$2/(G252*$O$3),0)</x:f>
        <x:v>0.019384065688994465</x:v>
      </x:c>
      <x:c r="I252" s="92" t="n">
        <x:f>E252-H252</x:f>
        <x:v>0.9765558610903605</x:v>
      </x:c>
      <x:c r="J252" s="91" t="str">
        <x:f>'Trade Features'!CI252</x:f>
        <x:v>0.9765558610903605</x:v>
      </x:c>
      <x:c r="K252" s="92" t="n">
        <x:f>I252-J252</x:f>
        <x:v>0</x:v>
      </x:c>
      <x:c r="L252" s="90" t="str">
        <x:f>IF(ABS(K252)&lt;0.000000001,"PASS","FAIL")</x:f>
        <x:v>PASS</x:v>
      </x:c>
    </x:row>
    <x:row r="253">
      <x:c r="A253" s="84" t="str">
        <x:f>'Trade Features'!A253</x:f>
        <x:v>A0252</x:v>
      </x:c>
      <x:c r="B253" s="84" t="str">
        <x:f>'Trade Features'!F253</x:f>
        <x:v>Long</x:v>
      </x:c>
      <x:c r="C253" s="91" t="str">
        <x:f>'Trade Features'!BX253</x:f>
        <x:v>19989.75</x:v>
      </x:c>
      <x:c r="D253" s="91" t="str">
        <x:f>'Trade Features'!CA253</x:f>
        <x:v>19975.618539040206</x:v>
      </x:c>
      <x:c r="E253" s="91" t="str">
        <x:f>'Trade Features'!CH253</x:f>
        <x:v>2.0</x:v>
      </x:c>
      <x:c r="F253" s="91" t="str">
        <x:f>'Trade Features'!CG253</x:f>
        <x:v>0.051303966522833824</x:v>
      </x:c>
      <x:c r="G253" s="92" t="n">
        <x:f>ABS(C253-D253)</x:f>
        <x:v>14.131460959793912</x:v>
      </x:c>
      <x:c r="H253" s="92" t="n">
        <x:f>IFERROR($O$2/(G253*$O$3),0)</x:f>
        <x:v>0.051303966522833824</x:v>
      </x:c>
      <x:c r="I253" s="92" t="n">
        <x:f>E253-H253</x:f>
        <x:v>1.9486960334771661</x:v>
      </x:c>
      <x:c r="J253" s="91" t="str">
        <x:f>'Trade Features'!CI253</x:f>
        <x:v>1.9486960334771661</x:v>
      </x:c>
      <x:c r="K253" s="92" t="n">
        <x:f>I253-J253</x:f>
        <x:v>0</x:v>
      </x:c>
      <x:c r="L253" s="90" t="str">
        <x:f>IF(ABS(K253)&lt;0.000000001,"PASS","FAIL")</x:f>
        <x:v>PASS</x:v>
      </x:c>
    </x:row>
    <x:row r="254">
      <x:c r="A254" s="84" t="str">
        <x:f>'Trade Features'!A254</x:f>
        <x:v>A0253</x:v>
      </x:c>
      <x:c r="B254" s="84" t="str">
        <x:f>'Trade Features'!F254</x:f>
        <x:v>Long</x:v>
      </x:c>
      <x:c r="C254" s="91" t="str">
        <x:f>'Trade Features'!BX254</x:f>
        <x:v>20171.25</x:v>
      </x:c>
      <x:c r="D254" s="91" t="str">
        <x:f>'Trade Features'!CA254</x:f>
        <x:v>20134.47050021602</x:v>
      </x:c>
      <x:c r="E254" s="91" t="str">
        <x:f>'Trade Features'!CH254</x:f>
        <x:v>0.8768471618542125</x:v>
      </x:c>
      <x:c r="F254" s="91" t="str">
        <x:f>'Trade Features'!CG254</x:f>
        <x:v>0.019712067979667507</x:v>
      </x:c>
      <x:c r="G254" s="92" t="n">
        <x:f>ABS(C254-D254)</x:f>
        <x:v>36.77949978398101</x:v>
      </x:c>
      <x:c r="H254" s="92" t="n">
        <x:f>IFERROR($O$2/(G254*$O$3),0)</x:f>
        <x:v>0.019712067979667507</x:v>
      </x:c>
      <x:c r="I254" s="92" t="n">
        <x:f>E254-H254</x:f>
        <x:v>0.857135093874545</x:v>
      </x:c>
      <x:c r="J254" s="91" t="str">
        <x:f>'Trade Features'!CI254</x:f>
        <x:v>0.857135093874545</x:v>
      </x:c>
      <x:c r="K254" s="92" t="n">
        <x:f>I254-J254</x:f>
        <x:v>0</x:v>
      </x:c>
      <x:c r="L254" s="90" t="str">
        <x:f>IF(ABS(K254)&lt;0.000000001,"PASS","FAIL")</x:f>
        <x:v>PASS</x:v>
      </x:c>
    </x:row>
    <x:row r="255">
      <x:c r="A255" s="84" t="str">
        <x:f>'Trade Features'!A255</x:f>
        <x:v>A0254</x:v>
      </x:c>
      <x:c r="B255" s="84" t="str">
        <x:f>'Trade Features'!F255</x:f>
        <x:v>Long</x:v>
      </x:c>
      <x:c r="C255" s="91" t="str">
        <x:f>'Trade Features'!BX255</x:f>
        <x:v>20255.25</x:v>
      </x:c>
      <x:c r="D255" s="91" t="str">
        <x:f>'Trade Features'!CA255</x:f>
        <x:v>20239.78625494509</x:v>
      </x:c>
      <x:c r="E255" s="91" t="str">
        <x:f>'Trade Features'!CH255</x:f>
        <x:v>-0.6951744200275144</x:v>
      </x:c>
      <x:c r="F255" s="91" t="str">
        <x:f>'Trade Features'!CG255</x:f>
        <x:v>0.04688385623441522</x:v>
      </x:c>
      <x:c r="G255" s="92" t="n">
        <x:f>ABS(C255-D255)</x:f>
        <x:v>15.46374505490894</x:v>
      </x:c>
      <x:c r="H255" s="92" t="n">
        <x:f>IFERROR($O$2/(G255*$O$3),0)</x:f>
        <x:v>0.04688385623441522</x:v>
      </x:c>
      <x:c r="I255" s="92" t="n">
        <x:f>E255-H255</x:f>
        <x:v>-0.7420582762619297</x:v>
      </x:c>
      <x:c r="J255" s="91" t="str">
        <x:f>'Trade Features'!CI255</x:f>
        <x:v>-0.7420582762619297</x:v>
      </x:c>
      <x:c r="K255" s="92" t="n">
        <x:f>I255-J255</x:f>
        <x:v>0</x:v>
      </x:c>
      <x:c r="L255" s="90" t="str">
        <x:f>IF(ABS(K255)&lt;0.000000001,"PASS","FAIL")</x:f>
        <x:v>PASS</x:v>
      </x:c>
    </x:row>
    <x:row r="256">
      <x:c r="A256" s="84" t="str">
        <x:f>'Trade Features'!A256</x:f>
        <x:v>A0255</x:v>
      </x:c>
      <x:c r="B256" s="84" t="str">
        <x:f>'Trade Features'!F256</x:f>
        <x:v>Long</x:v>
      </x:c>
      <x:c r="C256" s="91" t="str">
        <x:f>'Trade Features'!BX256</x:f>
        <x:v>20209.25</x:v>
      </x:c>
      <x:c r="D256" s="91" t="str">
        <x:f>'Trade Features'!CA256</x:f>
        <x:v>20178.60173646518</x:v>
      </x:c>
      <x:c r="E256" s="91" t="str">
        <x:f>'Trade Features'!CH256</x:f>
        <x:v>-1.0</x:v>
      </x:c>
      <x:c r="F256" s="91" t="str">
        <x:f>'Trade Features'!CG256</x:f>
        <x:v>0.02365550006369377</x:v>
      </x:c>
      <x:c r="G256" s="92" t="n">
        <x:f>ABS(C256-D256)</x:f>
        <x:v>30.648263534818398</x:v>
      </x:c>
      <x:c r="H256" s="92" t="n">
        <x:f>IFERROR($O$2/(G256*$O$3),0)</x:f>
        <x:v>0.02365550006369377</x:v>
      </x:c>
      <x:c r="I256" s="92" t="n">
        <x:f>E256-H256</x:f>
        <x:v>-1.0236555000636938</x:v>
      </x:c>
      <x:c r="J256" s="91" t="str">
        <x:f>'Trade Features'!CI256</x:f>
        <x:v>-1.0236555000636938</x:v>
      </x:c>
      <x:c r="K256" s="92" t="n">
        <x:f>I256-J256</x:f>
        <x:v>0</x:v>
      </x:c>
      <x:c r="L256" s="90" t="str">
        <x:f>IF(ABS(K256)&lt;0.000000001,"PASS","FAIL")</x:f>
        <x:v>PASS</x:v>
      </x:c>
    </x:row>
    <x:row r="257">
      <x:c r="A257" s="84" t="str">
        <x:f>'Trade Features'!A257</x:f>
        <x:v>A0256</x:v>
      </x:c>
      <x:c r="B257" s="84" t="str">
        <x:f>'Trade Features'!F257</x:f>
        <x:v>Long</x:v>
      </x:c>
      <x:c r="C257" s="91" t="str">
        <x:f>'Trade Features'!BX257</x:f>
        <x:v>20174.0</x:v>
      </x:c>
      <x:c r="D257" s="91" t="str">
        <x:f>'Trade Features'!CA257</x:f>
        <x:v>20162.13227799882</x:v>
      </x:c>
      <x:c r="E257" s="91" t="str">
        <x:f>'Trade Features'!CH257</x:f>
        <x:v>-1.0</x:v>
      </x:c>
      <x:c r="F257" s="91" t="str">
        <x:f>'Trade Features'!CG257</x:f>
        <x:v>0.06109007271385601</x:v>
      </x:c>
      <x:c r="G257" s="92" t="n">
        <x:f>ABS(C257-D257)</x:f>
        <x:v>11.867722001181392</x:v>
      </x:c>
      <x:c r="H257" s="92" t="n">
        <x:f>IFERROR($O$2/(G257*$O$3),0)</x:f>
        <x:v>0.06109007271385601</x:v>
      </x:c>
      <x:c r="I257" s="92" t="n">
        <x:f>E257-H257</x:f>
        <x:v>-1.061090072713856</x:v>
      </x:c>
      <x:c r="J257" s="91" t="str">
        <x:f>'Trade Features'!CI257</x:f>
        <x:v>-1.061090072713856</x:v>
      </x:c>
      <x:c r="K257" s="92" t="n">
        <x:f>I257-J257</x:f>
        <x:v>0</x:v>
      </x:c>
      <x:c r="L257" s="90" t="str">
        <x:f>IF(ABS(K257)&lt;0.000000001,"PASS","FAIL")</x:f>
        <x:v>PASS</x:v>
      </x:c>
    </x:row>
    <x:row r="258">
      <x:c r="A258" s="84" t="str">
        <x:f>'Trade Features'!A258</x:f>
        <x:v>A0257</x:v>
      </x:c>
      <x:c r="B258" s="84" t="str">
        <x:f>'Trade Features'!F258</x:f>
        <x:v>Short</x:v>
      </x:c>
      <x:c r="C258" s="91" t="str">
        <x:f>'Trade Features'!BX258</x:f>
        <x:v>20024.5</x:v>
      </x:c>
      <x:c r="D258" s="91" t="str">
        <x:f>'Trade Features'!CA258</x:f>
        <x:v>20067.10507103152</x:v>
      </x:c>
      <x:c r="E258" s="91" t="str">
        <x:f>'Trade Features'!CH258</x:f>
        <x:v>-1.0</x:v>
      </x:c>
      <x:c r="F258" s="91" t="str">
        <x:f>'Trade Features'!CG258</x:f>
        <x:v>0.017016753697314837</x:v>
      </x:c>
      <x:c r="G258" s="92" t="n">
        <x:f>ABS(C258-D258)</x:f>
        <x:v>42.60507103152122</x:v>
      </x:c>
      <x:c r="H258" s="92" t="n">
        <x:f>IFERROR($O$2/(G258*$O$3),0)</x:f>
        <x:v>0.017016753697314837</x:v>
      </x:c>
      <x:c r="I258" s="92" t="n">
        <x:f>E258-H258</x:f>
        <x:v>-1.017016753697315</x:v>
      </x:c>
      <x:c r="J258" s="91" t="str">
        <x:f>'Trade Features'!CI258</x:f>
        <x:v>-1.017016753697315</x:v>
      </x:c>
      <x:c r="K258" s="92" t="n">
        <x:f>I258-J258</x:f>
        <x:v>0</x:v>
      </x:c>
      <x:c r="L258" s="90" t="str">
        <x:f>IF(ABS(K258)&lt;0.000000001,"PASS","FAIL")</x:f>
        <x:v>PASS</x:v>
      </x:c>
    </x:row>
    <x:row r="259">
      <x:c r="A259" s="84" t="str">
        <x:f>'Trade Features'!A259</x:f>
        <x:v>A0258</x:v>
      </x:c>
      <x:c r="B259" s="84" t="str">
        <x:f>'Trade Features'!F259</x:f>
        <x:v>Long</x:v>
      </x:c>
      <x:c r="C259" s="91" t="str">
        <x:f>'Trade Features'!BX259</x:f>
        <x:v>19879.0</x:v>
      </x:c>
      <x:c r="D259" s="91" t="str">
        <x:f>'Trade Features'!CA259</x:f>
        <x:v>19861.86250230247</x:v>
      </x:c>
      <x:c r="E259" s="91" t="str">
        <x:f>'Trade Features'!CH259</x:f>
        <x:v>0.3646973502380324</x:v>
      </x:c>
      <x:c r="F259" s="91" t="str">
        <x:f>'Trade Features'!CG259</x:f>
        <x:v>0.042304892627611654</x:v>
      </x:c>
      <x:c r="G259" s="92" t="n">
        <x:f>ABS(C259-D259)</x:f>
        <x:v>17.137497697531217</x:v>
      </x:c>
      <x:c r="H259" s="92" t="n">
        <x:f>IFERROR($O$2/(G259*$O$3),0)</x:f>
        <x:v>0.042304892627611654</x:v>
      </x:c>
      <x:c r="I259" s="92" t="n">
        <x:f>E259-H259</x:f>
        <x:v>0.32239245761042074</x:v>
      </x:c>
      <x:c r="J259" s="91" t="str">
        <x:f>'Trade Features'!CI259</x:f>
        <x:v>0.32239245761042074</x:v>
      </x:c>
      <x:c r="K259" s="92" t="n">
        <x:f>I259-J259</x:f>
        <x:v>0</x:v>
      </x:c>
      <x:c r="L259" s="90" t="str">
        <x:f>IF(ABS(K259)&lt;0.000000001,"PASS","FAIL")</x:f>
        <x:v>PASS</x:v>
      </x:c>
    </x:row>
    <x:row r="260">
      <x:c r="A260" s="84" t="str">
        <x:f>'Trade Features'!A260</x:f>
        <x:v>A0259</x:v>
      </x:c>
      <x:c r="B260" s="84" t="str">
        <x:f>'Trade Features'!F260</x:f>
        <x:v>Short</x:v>
      </x:c>
      <x:c r="C260" s="91" t="str">
        <x:f>'Trade Features'!BX260</x:f>
        <x:v>19841.0</x:v>
      </x:c>
      <x:c r="D260" s="91" t="str">
        <x:f>'Trade Features'!CA260</x:f>
        <x:v>19863.5467848774</x:v>
      </x:c>
      <x:c r="E260" s="91" t="str">
        <x:f>'Trade Features'!CH260</x:f>
        <x:v>2.0</x:v>
      </x:c>
      <x:c r="F260" s="91" t="str">
        <x:f>'Trade Features'!CG260</x:f>
        <x:v>0.03215536068411915</x:v>
      </x:c>
      <x:c r="G260" s="92" t="n">
        <x:f>ABS(C260-D260)</x:f>
        <x:v>22.54678487739875</x:v>
      </x:c>
      <x:c r="H260" s="92" t="n">
        <x:f>IFERROR($O$2/(G260*$O$3),0)</x:f>
        <x:v>0.03215536068411915</x:v>
      </x:c>
      <x:c r="I260" s="92" t="n">
        <x:f>E260-H260</x:f>
        <x:v>1.9678446393158808</x:v>
      </x:c>
      <x:c r="J260" s="91" t="str">
        <x:f>'Trade Features'!CI260</x:f>
        <x:v>1.9678446393158808</x:v>
      </x:c>
      <x:c r="K260" s="92" t="n">
        <x:f>I260-J260</x:f>
        <x:v>0</x:v>
      </x:c>
      <x:c r="L260" s="90" t="str">
        <x:f>IF(ABS(K260)&lt;0.000000001,"PASS","FAIL")</x:f>
        <x:v>PASS</x:v>
      </x:c>
    </x:row>
    <x:row r="261">
      <x:c r="A261" s="84" t="str">
        <x:f>'Trade Features'!A261</x:f>
        <x:v>A0260</x:v>
      </x:c>
      <x:c r="B261" s="84" t="str">
        <x:f>'Trade Features'!F261</x:f>
        <x:v>Short</x:v>
      </x:c>
      <x:c r="C261" s="91" t="str">
        <x:f>'Trade Features'!BX261</x:f>
        <x:v>19461.5</x:v>
      </x:c>
      <x:c r="D261" s="91" t="str">
        <x:f>'Trade Features'!CA261</x:f>
        <x:v>19498.62785461373</x:v>
      </x:c>
      <x:c r="E261" s="91" t="str">
        <x:f>'Trade Features'!CH261</x:f>
        <x:v>-1.0</x:v>
      </x:c>
      <x:c r="F261" s="91" t="str">
        <x:f>'Trade Features'!CG261</x:f>
        <x:v>0.01952711805038984</x:v>
      </x:c>
      <x:c r="G261" s="92" t="n">
        <x:f>ABS(C261-D261)</x:f>
        <x:v>37.12785461372914</x:v>
      </x:c>
      <x:c r="H261" s="92" t="n">
        <x:f>IFERROR($O$2/(G261*$O$3),0)</x:f>
        <x:v>0.01952711805038984</x:v>
      </x:c>
      <x:c r="I261" s="92" t="n">
        <x:f>E261-H261</x:f>
        <x:v>-1.0195271180503898</x:v>
      </x:c>
      <x:c r="J261" s="91" t="str">
        <x:f>'Trade Features'!CI261</x:f>
        <x:v>-1.0195271180503898</x:v>
      </x:c>
      <x:c r="K261" s="92" t="n">
        <x:f>I261-J261</x:f>
        <x:v>0</x:v>
      </x:c>
      <x:c r="L261" s="90" t="str">
        <x:f>IF(ABS(K261)&lt;0.000000001,"PASS","FAIL")</x:f>
        <x:v>PASS</x:v>
      </x:c>
    </x:row>
    <x:row r="262">
      <x:c r="A262" s="84" t="str">
        <x:f>'Trade Features'!A262</x:f>
        <x:v>A0261</x:v>
      </x:c>
      <x:c r="B262" s="84" t="str">
        <x:f>'Trade Features'!F262</x:f>
        <x:v>Long</x:v>
      </x:c>
      <x:c r="C262" s="91" t="str">
        <x:f>'Trade Features'!BX262</x:f>
        <x:v>19650.75</x:v>
      </x:c>
      <x:c r="D262" s="91" t="str">
        <x:f>'Trade Features'!CA262</x:f>
        <x:v>19597.677452431297</x:v>
      </x:c>
      <x:c r="E262" s="91" t="str">
        <x:f>'Trade Features'!CH262</x:f>
        <x:v>1.1776333125726368</x:v>
      </x:c>
      <x:c r="F262" s="91" t="str">
        <x:f>'Trade Features'!CG262</x:f>
        <x:v>0.013660546425842425</x:v>
      </x:c>
      <x:c r="G262" s="92" t="n">
        <x:f>ABS(C262-D262)</x:f>
        <x:v>53.07254756870316</x:v>
      </x:c>
      <x:c r="H262" s="92" t="n">
        <x:f>IFERROR($O$2/(G262*$O$3),0)</x:f>
        <x:v>0.013660546425842425</x:v>
      </x:c>
      <x:c r="I262" s="92" t="n">
        <x:f>E262-H262</x:f>
        <x:v>1.1639727661467945</x:v>
      </x:c>
      <x:c r="J262" s="91" t="str">
        <x:f>'Trade Features'!CI262</x:f>
        <x:v>1.1639727661467945</x:v>
      </x:c>
      <x:c r="K262" s="92" t="n">
        <x:f>I262-J262</x:f>
        <x:v>0</x:v>
      </x:c>
      <x:c r="L262" s="90" t="str">
        <x:f>IF(ABS(K262)&lt;0.000000001,"PASS","FAIL")</x:f>
        <x:v>PASS</x:v>
      </x:c>
    </x:row>
    <x:row r="263">
      <x:c r="A263" s="84" t="str">
        <x:f>'Trade Features'!A263</x:f>
        <x:v>A0262</x:v>
      </x:c>
      <x:c r="B263" s="84" t="str">
        <x:f>'Trade Features'!F263</x:f>
        <x:v>Long</x:v>
      </x:c>
      <x:c r="C263" s="91" t="str">
        <x:f>'Trade Features'!BX263</x:f>
        <x:v>19698.75</x:v>
      </x:c>
      <x:c r="D263" s="91" t="str">
        <x:f>'Trade Features'!CA263</x:f>
        <x:v>19676.440279196806</x:v>
      </x:c>
      <x:c r="E263" s="91" t="str">
        <x:f>'Trade Features'!CH263</x:f>
        <x:v>-1.0</x:v>
      </x:c>
      <x:c r="F263" s="91" t="str">
        <x:f>'Trade Features'!CG263</x:f>
        <x:v>0.03249704496060758</x:v>
      </x:c>
      <x:c r="G263" s="92" t="n">
        <x:f>ABS(C263-D263)</x:f>
        <x:v>22.309720803194068</x:v>
      </x:c>
      <x:c r="H263" s="92" t="n">
        <x:f>IFERROR($O$2/(G263*$O$3),0)</x:f>
        <x:v>0.03249704496060758</x:v>
      </x:c>
      <x:c r="I263" s="92" t="n">
        <x:f>E263-H263</x:f>
        <x:v>-1.0324970449606077</x:v>
      </x:c>
      <x:c r="J263" s="91" t="str">
        <x:f>'Trade Features'!CI263</x:f>
        <x:v>-1.0324970449606077</x:v>
      </x:c>
      <x:c r="K263" s="92" t="n">
        <x:f>I263-J263</x:f>
        <x:v>0</x:v>
      </x:c>
      <x:c r="L263" s="90" t="str">
        <x:f>IF(ABS(K263)&lt;0.000000001,"PASS","FAIL")</x:f>
        <x:v>PASS</x:v>
      </x:c>
    </x:row>
    <x:row r="264">
      <x:c r="A264" s="84" t="str">
        <x:f>'Trade Features'!A264</x:f>
        <x:v>A0263</x:v>
      </x:c>
      <x:c r="B264" s="84" t="str">
        <x:f>'Trade Features'!F264</x:f>
        <x:v>Long</x:v>
      </x:c>
      <x:c r="C264" s="91" t="str">
        <x:f>'Trade Features'!BX264</x:f>
        <x:v>19705.25</x:v>
      </x:c>
      <x:c r="D264" s="91" t="str">
        <x:f>'Trade Features'!CA264</x:f>
        <x:v>19675.777672689208</x:v>
      </x:c>
      <x:c r="E264" s="91" t="str">
        <x:f>'Trade Features'!CH264</x:f>
        <x:v>2.0</x:v>
      </x:c>
      <x:c r="F264" s="91" t="str">
        <x:f>'Trade Features'!CG264</x:f>
        <x:v>0.02459934678231275</x:v>
      </x:c>
      <x:c r="G264" s="92" t="n">
        <x:f>ABS(C264-D264)</x:f>
        <x:v>29.472327310792025</x:v>
      </x:c>
      <x:c r="H264" s="92" t="n">
        <x:f>IFERROR($O$2/(G264*$O$3),0)</x:f>
        <x:v>0.02459934678231275</x:v>
      </x:c>
      <x:c r="I264" s="92" t="n">
        <x:f>E264-H264</x:f>
        <x:v>1.9754006532176873</x:v>
      </x:c>
      <x:c r="J264" s="91" t="str">
        <x:f>'Trade Features'!CI264</x:f>
        <x:v>1.9754006532176873</x:v>
      </x:c>
      <x:c r="K264" s="92" t="n">
        <x:f>I264-J264</x:f>
        <x:v>0</x:v>
      </x:c>
      <x:c r="L264" s="90" t="str">
        <x:f>IF(ABS(K264)&lt;0.000000001,"PASS","FAIL")</x:f>
        <x:v>PASS</x:v>
      </x:c>
    </x:row>
    <x:row r="265">
      <x:c r="A265" s="84" t="str">
        <x:f>'Trade Features'!A265</x:f>
        <x:v>A0264</x:v>
      </x:c>
      <x:c r="B265" s="84" t="str">
        <x:f>'Trade Features'!F265</x:f>
        <x:v>Long</x:v>
      </x:c>
      <x:c r="C265" s="91" t="str">
        <x:f>'Trade Features'!BX265</x:f>
        <x:v>19833.0</x:v>
      </x:c>
      <x:c r="D265" s="91" t="str">
        <x:f>'Trade Features'!CA265</x:f>
        <x:v>19813.54417523178</x:v>
      </x:c>
      <x:c r="E265" s="91" t="str">
        <x:f>'Trade Features'!CH265</x:f>
        <x:v>-0.256992446198768</x:v>
      </x:c>
      <x:c r="F265" s="91" t="str">
        <x:f>'Trade Features'!CG265</x:f>
        <x:v>0.03726390469882241</x:v>
      </x:c>
      <x:c r="G265" s="92" t="n">
        <x:f>ABS(C265-D265)</x:f>
        <x:v>19.455824768221646</x:v>
      </x:c>
      <x:c r="H265" s="92" t="n">
        <x:f>IFERROR($O$2/(G265*$O$3),0)</x:f>
        <x:v>0.03726390469882241</x:v>
      </x:c>
      <x:c r="I265" s="92" t="n">
        <x:f>E265-H265</x:f>
        <x:v>-0.2942563508975904</x:v>
      </x:c>
      <x:c r="J265" s="91" t="str">
        <x:f>'Trade Features'!CI265</x:f>
        <x:v>-0.2942563508975904</x:v>
      </x:c>
      <x:c r="K265" s="92" t="n">
        <x:f>I265-J265</x:f>
        <x:v>0</x:v>
      </x:c>
      <x:c r="L265" s="90" t="str">
        <x:f>IF(ABS(K265)&lt;0.000000001,"PASS","FAIL")</x:f>
        <x:v>PASS</x:v>
      </x:c>
    </x:row>
    <x:row r="266">
      <x:c r="A266" s="84" t="str">
        <x:f>'Trade Features'!A266</x:f>
        <x:v>A0265</x:v>
      </x:c>
      <x:c r="B266" s="84" t="str">
        <x:f>'Trade Features'!F266</x:f>
        <x:v>Long</x:v>
      </x:c>
      <x:c r="C266" s="91" t="str">
        <x:f>'Trade Features'!BX266</x:f>
        <x:v>19868.5</x:v>
      </x:c>
      <x:c r="D266" s="91" t="str">
        <x:f>'Trade Features'!CA266</x:f>
        <x:v>19833.568117765528</x:v>
      </x:c>
      <x:c r="E266" s="91" t="str">
        <x:f>'Trade Features'!CH266</x:f>
        <x:v>-1.0</x:v>
      </x:c>
      <x:c r="F266" s="91" t="str">
        <x:f>'Trade Features'!CG266</x:f>
        <x:v>0.0207546789243593</x:v>
      </x:c>
      <x:c r="G266" s="92" t="n">
        <x:f>ABS(C266-D266)</x:f>
        <x:v>34.93188223447214</x:v>
      </x:c>
      <x:c r="H266" s="92" t="n">
        <x:f>IFERROR($O$2/(G266*$O$3),0)</x:f>
        <x:v>0.0207546789243593</x:v>
      </x:c>
      <x:c r="I266" s="92" t="n">
        <x:f>E266-H266</x:f>
        <x:v>-1.0207546789243593</x:v>
      </x:c>
      <x:c r="J266" s="91" t="str">
        <x:f>'Trade Features'!CI266</x:f>
        <x:v>-1.0207546789243593</x:v>
      </x:c>
      <x:c r="K266" s="92" t="n">
        <x:f>I266-J266</x:f>
        <x:v>0</x:v>
      </x:c>
      <x:c r="L266" s="90" t="str">
        <x:f>IF(ABS(K266)&lt;0.000000001,"PASS","FAIL")</x:f>
        <x:v>PASS</x:v>
      </x:c>
    </x:row>
    <x:row r="267">
      <x:c r="A267" s="84" t="str">
        <x:f>'Trade Features'!A267</x:f>
        <x:v>A0266</x:v>
      </x:c>
      <x:c r="B267" s="84" t="str">
        <x:f>'Trade Features'!F267</x:f>
        <x:v>Long</x:v>
      </x:c>
      <x:c r="C267" s="91" t="str">
        <x:f>'Trade Features'!BX267</x:f>
        <x:v>19888.75</x:v>
      </x:c>
      <x:c r="D267" s="91" t="str">
        <x:f>'Trade Features'!CA267</x:f>
        <x:v>19846.31251919004</x:v>
      </x:c>
      <x:c r="E267" s="91" t="str">
        <x:f>'Trade Features'!CH267</x:f>
        <x:v>-0.5596467920976356</x:v>
      </x:c>
      <x:c r="F267" s="91" t="str">
        <x:f>'Trade Features'!CG267</x:f>
        <x:v>0.017083954706138965</x:v>
      </x:c>
      <x:c r="G267" s="92" t="n">
        <x:f>ABS(C267-D267)</x:f>
        <x:v>42.43748080996011</x:v>
      </x:c>
      <x:c r="H267" s="92" t="n">
        <x:f>IFERROR($O$2/(G267*$O$3),0)</x:f>
        <x:v>0.017083954706138965</x:v>
      </x:c>
      <x:c r="I267" s="92" t="n">
        <x:f>E267-H267</x:f>
        <x:v>-0.5767307468037746</x:v>
      </x:c>
      <x:c r="J267" s="91" t="str">
        <x:f>'Trade Features'!CI267</x:f>
        <x:v>-0.5767307468037746</x:v>
      </x:c>
      <x:c r="K267" s="92" t="n">
        <x:f>I267-J267</x:f>
        <x:v>0</x:v>
      </x:c>
      <x:c r="L267" s="90" t="str">
        <x:f>IF(ABS(K267)&lt;0.000000001,"PASS","FAIL")</x:f>
        <x:v>PASS</x:v>
      </x:c>
    </x:row>
    <x:row r="268">
      <x:c r="A268" s="84" t="str">
        <x:f>'Trade Features'!A268</x:f>
        <x:v>A0267</x:v>
      </x:c>
      <x:c r="B268" s="84" t="str">
        <x:f>'Trade Features'!F268</x:f>
        <x:v>Short</x:v>
      </x:c>
      <x:c r="C268" s="91" t="str">
        <x:f>'Trade Features'!BX268</x:f>
        <x:v>19969.25</x:v>
      </x:c>
      <x:c r="D268" s="91" t="str">
        <x:f>'Trade Features'!CA268</x:f>
        <x:v>19981.505996541735</x:v>
      </x:c>
      <x:c r="E268" s="91" t="str">
        <x:f>'Trade Features'!CH268</x:f>
        <x:v>-1.0</x:v>
      </x:c>
      <x:c r="F268" s="91" t="str">
        <x:f>'Trade Features'!CG268</x:f>
        <x:v>0.05915471643053929</x:v>
      </x:c>
      <x:c r="G268" s="92" t="n">
        <x:f>ABS(C268-D268)</x:f>
        <x:v>12.25599654173493</x:v>
      </x:c>
      <x:c r="H268" s="92" t="n">
        <x:f>IFERROR($O$2/(G268*$O$3),0)</x:f>
        <x:v>0.05915471643053929</x:v>
      </x:c>
      <x:c r="I268" s="92" t="n">
        <x:f>E268-H268</x:f>
        <x:v>-1.0591547164305393</x:v>
      </x:c>
      <x:c r="J268" s="91" t="str">
        <x:f>'Trade Features'!CI268</x:f>
        <x:v>-1.0591547164305393</x:v>
      </x:c>
      <x:c r="K268" s="92" t="n">
        <x:f>I268-J268</x:f>
        <x:v>0</x:v>
      </x:c>
      <x:c r="L268" s="90" t="str">
        <x:f>IF(ABS(K268)&lt;0.000000001,"PASS","FAIL")</x:f>
        <x:v>PASS</x:v>
      </x:c>
    </x:row>
    <x:row r="269">
      <x:c r="A269" s="84" t="str">
        <x:f>'Trade Features'!A269</x:f>
        <x:v>A0268</x:v>
      </x:c>
      <x:c r="B269" s="84" t="str">
        <x:f>'Trade Features'!F269</x:f>
        <x:v>Long</x:v>
      </x:c>
      <x:c r="C269" s="91" t="str">
        <x:f>'Trade Features'!BX269</x:f>
        <x:v>20015.25</x:v>
      </x:c>
      <x:c r="D269" s="91" t="str">
        <x:f>'Trade Features'!CA269</x:f>
        <x:v>19988.42153576666</x:v>
      </x:c>
      <x:c r="E269" s="91" t="str">
        <x:f>'Trade Features'!CH269</x:f>
        <x:v>0.33546459915570775</x:v>
      </x:c>
      <x:c r="F269" s="91" t="str">
        <x:f>'Trade Features'!CG269</x:f>
        <x:v>0.027023537154209555</x:v>
      </x:c>
      <x:c r="G269" s="92" t="n">
        <x:f>ABS(C269-D269)</x:f>
        <x:v>26.82846423333831</x:v>
      </x:c>
      <x:c r="H269" s="92" t="n">
        <x:f>IFERROR($O$2/(G269*$O$3),0)</x:f>
        <x:v>0.027023537154209555</x:v>
      </x:c>
      <x:c r="I269" s="92" t="n">
        <x:f>E269-H269</x:f>
        <x:v>0.3084410620014982</x:v>
      </x:c>
      <x:c r="J269" s="91" t="str">
        <x:f>'Trade Features'!CI269</x:f>
        <x:v>0.3084410620014982</x:v>
      </x:c>
      <x:c r="K269" s="92" t="n">
        <x:f>I269-J269</x:f>
        <x:v>0</x:v>
      </x:c>
      <x:c r="L269" s="90" t="str">
        <x:f>IF(ABS(K269)&lt;0.000000001,"PASS","FAIL")</x:f>
        <x:v>PASS</x:v>
      </x:c>
    </x:row>
    <x:row r="270">
      <x:c r="A270" s="84" t="str">
        <x:f>'Trade Features'!A270</x:f>
        <x:v>A0269</x:v>
      </x:c>
      <x:c r="B270" s="84" t="str">
        <x:f>'Trade Features'!F270</x:f>
        <x:v>Long</x:v>
      </x:c>
      <x:c r="C270" s="91" t="str">
        <x:f>'Trade Features'!BX270</x:f>
        <x:v>19810.25</x:v>
      </x:c>
      <x:c r="D270" s="91" t="str">
        <x:f>'Trade Features'!CA270</x:f>
        <x:v>19778.300784331255</x:v>
      </x:c>
      <x:c r="E270" s="91" t="str">
        <x:f>'Trade Features'!CH270</x:f>
        <x:v>0.5242695211571603</x:v>
      </x:c>
      <x:c r="F270" s="91" t="str">
        <x:f>'Trade Features'!CG270</x:f>
        <x:v>0.022692262856056678</x:v>
      </x:c>
      <x:c r="G270" s="92" t="n">
        <x:f>ABS(C270-D270)</x:f>
        <x:v>31.949215668744728</x:v>
      </x:c>
      <x:c r="H270" s="92" t="n">
        <x:f>IFERROR($O$2/(G270*$O$3),0)</x:f>
        <x:v>0.022692262856056678</x:v>
      </x:c>
      <x:c r="I270" s="92" t="n">
        <x:f>E270-H270</x:f>
        <x:v>0.5015772583011037</x:v>
      </x:c>
      <x:c r="J270" s="91" t="str">
        <x:f>'Trade Features'!CI270</x:f>
        <x:v>0.5015772583011037</x:v>
      </x:c>
      <x:c r="K270" s="92" t="n">
        <x:f>I270-J270</x:f>
        <x:v>0</x:v>
      </x:c>
      <x:c r="L270" s="90" t="str">
        <x:f>IF(ABS(K270)&lt;0.000000001,"PASS","FAIL")</x:f>
        <x:v>PASS</x:v>
      </x:c>
    </x:row>
    <x:row r="271">
      <x:c r="A271" s="84" t="str">
        <x:f>'Trade Features'!A271</x:f>
        <x:v>A0270</x:v>
      </x:c>
      <x:c r="B271" s="84" t="str">
        <x:f>'Trade Features'!F271</x:f>
        <x:v>Long</x:v>
      </x:c>
      <x:c r="C271" s="91" t="str">
        <x:f>'Trade Features'!BX271</x:f>
        <x:v>20016.5</x:v>
      </x:c>
      <x:c r="D271" s="91" t="str">
        <x:f>'Trade Features'!CA271</x:f>
        <x:v>19985.00035586847</x:v>
      </x:c>
      <x:c r="E271" s="91" t="str">
        <x:f>'Trade Features'!CH271</x:f>
        <x:v>-0.126985561592297</x:v>
      </x:c>
      <x:c r="F271" s="91" t="str">
        <x:f>'Trade Features'!CG271</x:f>
        <x:v>0.023016133038604274</x:v>
      </x:c>
      <x:c r="G271" s="92" t="n">
        <x:f>ABS(C271-D271)</x:f>
        <x:v>31.49964413153066</x:v>
      </x:c>
      <x:c r="H271" s="92" t="n">
        <x:f>IFERROR($O$2/(G271*$O$3),0)</x:f>
        <x:v>0.023016133038604274</x:v>
      </x:c>
      <x:c r="I271" s="92" t="n">
        <x:f>E271-H271</x:f>
        <x:v>-0.1500016946309013</x:v>
      </x:c>
      <x:c r="J271" s="91" t="str">
        <x:f>'Trade Features'!CI271</x:f>
        <x:v>-0.1500016946309013</x:v>
      </x:c>
      <x:c r="K271" s="92" t="n">
        <x:f>I271-J271</x:f>
        <x:v>0</x:v>
      </x:c>
      <x:c r="L271" s="90" t="str">
        <x:f>IF(ABS(K271)&lt;0.000000001,"PASS","FAIL")</x:f>
        <x:v>PASS</x:v>
      </x:c>
    </x:row>
    <x:row r="272">
      <x:c r="A272" s="84" t="str">
        <x:f>'Trade Features'!A272</x:f>
        <x:v>A0271</x:v>
      </x:c>
      <x:c r="B272" s="84" t="str">
        <x:f>'Trade Features'!F272</x:f>
        <x:v>Short</x:v>
      </x:c>
      <x:c r="C272" s="91" t="str">
        <x:f>'Trade Features'!BX272</x:f>
        <x:v>19972.25</x:v>
      </x:c>
      <x:c r="D272" s="91" t="str">
        <x:f>'Trade Features'!CA272</x:f>
        <x:v>19981.542369570467</x:v>
      </x:c>
      <x:c r="E272" s="91" t="str">
        <x:f>'Trade Features'!CH272</x:f>
        <x:v>-1.0</x:v>
      </x:c>
      <x:c r="F272" s="91" t="str">
        <x:f>'Trade Features'!CG272</x:f>
        <x:v>0.07802100363121786</x:v>
      </x:c>
      <x:c r="G272" s="92" t="n">
        <x:f>ABS(C272-D272)</x:f>
        <x:v>9.29236957046669</x:v>
      </x:c>
      <x:c r="H272" s="92" t="n">
        <x:f>IFERROR($O$2/(G272*$O$3),0)</x:f>
        <x:v>0.07802100363121786</x:v>
      </x:c>
      <x:c r="I272" s="92" t="n">
        <x:f>E272-H272</x:f>
        <x:v>-1.0780210036312179</x:v>
      </x:c>
      <x:c r="J272" s="91" t="str">
        <x:f>'Trade Features'!CI272</x:f>
        <x:v>-1.0780210036312179</x:v>
      </x:c>
      <x:c r="K272" s="92" t="n">
        <x:f>I272-J272</x:f>
        <x:v>0</x:v>
      </x:c>
      <x:c r="L272" s="90" t="str">
        <x:f>IF(ABS(K272)&lt;0.000000001,"PASS","FAIL")</x:f>
        <x:v>PASS</x:v>
      </x:c>
    </x:row>
    <x:row r="273">
      <x:c r="A273" s="84" t="str">
        <x:f>'Trade Features'!A273</x:f>
        <x:v>A0272</x:v>
      </x:c>
      <x:c r="B273" s="84" t="str">
        <x:f>'Trade Features'!F273</x:f>
        <x:v>Short</x:v>
      </x:c>
      <x:c r="C273" s="91" t="str">
        <x:f>'Trade Features'!BX273</x:f>
        <x:v>20524.75</x:v>
      </x:c>
      <x:c r="D273" s="91" t="str">
        <x:f>'Trade Features'!CA273</x:f>
        <x:v>20531.560026090363</x:v>
      </x:c>
      <x:c r="E273" s="91" t="str">
        <x:f>'Trade Features'!CH273</x:f>
        <x:v>-0.11013173665537765</x:v>
      </x:c>
      <x:c r="F273" s="91" t="str">
        <x:f>'Trade Features'!CG273</x:f>
        <x:v>0.10646067876685032</x:v>
      </x:c>
      <x:c r="G273" s="92" t="n">
        <x:f>ABS(C273-D273)</x:f>
        <x:v>6.810026090362953</x:v>
      </x:c>
      <x:c r="H273" s="92" t="n">
        <x:f>IFERROR($O$2/(G273*$O$3),0)</x:f>
        <x:v>0.10646067876685032</x:v>
      </x:c>
      <x:c r="I273" s="92" t="n">
        <x:f>E273-H273</x:f>
        <x:v>-0.21659241542222796</x:v>
      </x:c>
      <x:c r="J273" s="91" t="str">
        <x:f>'Trade Features'!CI273</x:f>
        <x:v>-0.21659241542222796</x:v>
      </x:c>
      <x:c r="K273" s="92" t="n">
        <x:f>I273-J273</x:f>
        <x:v>0</x:v>
      </x:c>
      <x:c r="L273" s="90" t="str">
        <x:f>IF(ABS(K273)&lt;0.000000001,"PASS","FAIL")</x:f>
        <x:v>PASS</x:v>
      </x:c>
    </x:row>
    <x:row r="274">
      <x:c r="A274" s="84" t="str">
        <x:f>'Trade Features'!A274</x:f>
        <x:v>A0273</x:v>
      </x:c>
      <x:c r="B274" s="84" t="str">
        <x:f>'Trade Features'!F274</x:f>
        <x:v>Long</x:v>
      </x:c>
      <x:c r="C274" s="91" t="str">
        <x:f>'Trade Features'!BX274</x:f>
        <x:v>20588.0</x:v>
      </x:c>
      <x:c r="D274" s="91" t="str">
        <x:f>'Trade Features'!CA274</x:f>
        <x:v>20565.489600860663</x:v>
      </x:c>
      <x:c r="E274" s="91" t="str">
        <x:f>'Trade Features'!CH274</x:f>
        <x:v>-1.0</x:v>
      </x:c>
      <x:c r="F274" s="91" t="str">
        <x:f>'Trade Features'!CG274</x:f>
        <x:v>0.03220733650755472</x:v>
      </x:c>
      <x:c r="G274" s="92" t="n">
        <x:f>ABS(C274-D274)</x:f>
        <x:v>22.510399139337096</x:v>
      </x:c>
      <x:c r="H274" s="92" t="n">
        <x:f>IFERROR($O$2/(G274*$O$3),0)</x:f>
        <x:v>0.03220733650755472</x:v>
      </x:c>
      <x:c r="I274" s="92" t="n">
        <x:f>E274-H274</x:f>
        <x:v>-1.0322073365075548</x:v>
      </x:c>
      <x:c r="J274" s="91" t="str">
        <x:f>'Trade Features'!CI274</x:f>
        <x:v>-1.0322073365075548</x:v>
      </x:c>
      <x:c r="K274" s="92" t="n">
        <x:f>I274-J274</x:f>
        <x:v>0</x:v>
      </x:c>
      <x:c r="L274" s="90" t="str">
        <x:f>IF(ABS(K274)&lt;0.000000001,"PASS","FAIL")</x:f>
        <x:v>PASS</x:v>
      </x:c>
    </x:row>
    <x:row r="275">
      <x:c r="A275" s="84" t="str">
        <x:f>'Trade Features'!A275</x:f>
        <x:v>A0274</x:v>
      </x:c>
      <x:c r="B275" s="84" t="str">
        <x:f>'Trade Features'!F275</x:f>
        <x:v>Long</x:v>
      </x:c>
      <x:c r="C275" s="91" t="str">
        <x:f>'Trade Features'!BX275</x:f>
        <x:v>20617.25</x:v>
      </x:c>
      <x:c r="D275" s="91" t="str">
        <x:f>'Trade Features'!CA275</x:f>
        <x:v>20584.278186345768</x:v>
      </x:c>
      <x:c r="E275" s="91" t="str">
        <x:f>'Trade Features'!CH275</x:f>
        <x:v>0.9553614590429771</x:v>
      </x:c>
      <x:c r="F275" s="91" t="str">
        <x:f>'Trade Features'!CG275</x:f>
        <x:v>0.021988478025591902</x:v>
      </x:c>
      <x:c r="G275" s="92" t="n">
        <x:f>ABS(C275-D275)</x:f>
        <x:v>32.97181365423239</x:v>
      </x:c>
      <x:c r="H275" s="92" t="n">
        <x:f>IFERROR($O$2/(G275*$O$3),0)</x:f>
        <x:v>0.021988478025591902</x:v>
      </x:c>
      <x:c r="I275" s="92" t="n">
        <x:f>E275-H275</x:f>
        <x:v>0.9333729810173852</x:v>
      </x:c>
      <x:c r="J275" s="91" t="str">
        <x:f>'Trade Features'!CI275</x:f>
        <x:v>0.9333729810173852</x:v>
      </x:c>
      <x:c r="K275" s="92" t="n">
        <x:f>I275-J275</x:f>
        <x:v>0</x:v>
      </x:c>
      <x:c r="L275" s="90" t="str">
        <x:f>IF(ABS(K275)&lt;0.000000001,"PASS","FAIL")</x:f>
        <x:v>PASS</x:v>
      </x:c>
    </x:row>
    <x:row r="276">
      <x:c r="A276" s="84" t="str">
        <x:f>'Trade Features'!A276</x:f>
        <x:v>A0275</x:v>
      </x:c>
      <x:c r="B276" s="84" t="str">
        <x:f>'Trade Features'!F276</x:f>
        <x:v>Short</x:v>
      </x:c>
      <x:c r="C276" s="91" t="str">
        <x:f>'Trade Features'!BX276</x:f>
        <x:v>20661.75</x:v>
      </x:c>
      <x:c r="D276" s="91" t="str">
        <x:f>'Trade Features'!CA276</x:f>
        <x:v>20674.59829838945</x:v>
      </x:c>
      <x:c r="E276" s="91" t="str">
        <x:f>'Trade Features'!CH276</x:f>
        <x:v>-1.0</x:v>
      </x:c>
      <x:c r="F276" s="91" t="str">
        <x:f>'Trade Features'!CG276</x:f>
        <x:v>0.05642770567932238</x:v>
      </x:c>
      <x:c r="G276" s="92" t="n">
        <x:f>ABS(C276-D276)</x:f>
        <x:v>12.848298389450065</x:v>
      </x:c>
      <x:c r="H276" s="92" t="n">
        <x:f>IFERROR($O$2/(G276*$O$3),0)</x:f>
        <x:v>0.05642770567932238</x:v>
      </x:c>
      <x:c r="I276" s="92" t="n">
        <x:f>E276-H276</x:f>
        <x:v>-1.0564277056793223</x:v>
      </x:c>
      <x:c r="J276" s="91" t="str">
        <x:f>'Trade Features'!CI276</x:f>
        <x:v>-1.0564277056793223</x:v>
      </x:c>
      <x:c r="K276" s="92" t="n">
        <x:f>I276-J276</x:f>
        <x:v>0</x:v>
      </x:c>
      <x:c r="L276" s="90" t="str">
        <x:f>IF(ABS(K276)&lt;0.000000001,"PASS","FAIL")</x:f>
        <x:v>PASS</x:v>
      </x:c>
    </x:row>
    <x:row r="277">
      <x:c r="A277" s="84" t="str">
        <x:f>'Trade Features'!A277</x:f>
        <x:v>A0276</x:v>
      </x:c>
      <x:c r="B277" s="84" t="str">
        <x:f>'Trade Features'!F277</x:f>
        <x:v>Short</x:v>
      </x:c>
      <x:c r="C277" s="91" t="str">
        <x:f>'Trade Features'!BX277</x:f>
        <x:v>20490.75</x:v>
      </x:c>
      <x:c r="D277" s="91" t="str">
        <x:f>'Trade Features'!CA277</x:f>
        <x:v>20498.234146307776</x:v>
      </x:c>
      <x:c r="E277" s="91" t="str">
        <x:f>'Trade Features'!CH277</x:f>
        <x:v>0.60127098201244</x:v>
      </x:c>
      <x:c r="F277" s="91" t="str">
        <x:f>'Trade Features'!CG277</x:f>
        <x:v>0.09687143599087239</x:v>
      </x:c>
      <x:c r="G277" s="92" t="n">
        <x:f>ABS(C277-D277)</x:f>
        <x:v>7.484146307775518</x:v>
      </x:c>
      <x:c r="H277" s="92" t="n">
        <x:f>IFERROR($O$2/(G277*$O$3),0)</x:f>
        <x:v>0.09687143599087239</x:v>
      </x:c>
      <x:c r="I277" s="92" t="n">
        <x:f>E277-H277</x:f>
        <x:v>0.5043995460215676</x:v>
      </x:c>
      <x:c r="J277" s="91" t="str">
        <x:f>'Trade Features'!CI277</x:f>
        <x:v>0.5043995460215676</x:v>
      </x:c>
      <x:c r="K277" s="92" t="n">
        <x:f>I277-J277</x:f>
        <x:v>0</x:v>
      </x:c>
      <x:c r="L277" s="90" t="str">
        <x:f>IF(ABS(K277)&lt;0.000000001,"PASS","FAIL")</x:f>
        <x:v>PASS</x:v>
      </x:c>
    </x:row>
    <x:row r="278">
      <x:c r="A278" s="84" t="str">
        <x:f>'Trade Features'!A278</x:f>
        <x:v>A0277</x:v>
      </x:c>
      <x:c r="B278" s="84" t="str">
        <x:f>'Trade Features'!F278</x:f>
        <x:v>Short</x:v>
      </x:c>
      <x:c r="C278" s="91" t="str">
        <x:f>'Trade Features'!BX278</x:f>
        <x:v>20440.5</x:v>
      </x:c>
      <x:c r="D278" s="91" t="str">
        <x:f>'Trade Features'!CA278</x:f>
        <x:v>20452.65855344052</x:v>
      </x:c>
      <x:c r="E278" s="91" t="str">
        <x:f>'Trade Features'!CH278</x:f>
        <x:v>-1.0</x:v>
      </x:c>
      <x:c r="F278" s="91" t="str">
        <x:f>'Trade Features'!CG278</x:f>
        <x:v>0.05962880399767137</x:v>
      </x:c>
      <x:c r="G278" s="92" t="n">
        <x:f>ABS(C278-D278)</x:f>
        <x:v>12.158553440520336</x:v>
      </x:c>
      <x:c r="H278" s="92" t="n">
        <x:f>IFERROR($O$2/(G278*$O$3),0)</x:f>
        <x:v>0.05962880399767137</x:v>
      </x:c>
      <x:c r="I278" s="92" t="n">
        <x:f>E278-H278</x:f>
        <x:v>-1.0596288039976713</x:v>
      </x:c>
      <x:c r="J278" s="91" t="str">
        <x:f>'Trade Features'!CI278</x:f>
        <x:v>-1.0596288039976713</x:v>
      </x:c>
      <x:c r="K278" s="92" t="n">
        <x:f>I278-J278</x:f>
        <x:v>0</x:v>
      </x:c>
      <x:c r="L278" s="90" t="str">
        <x:f>IF(ABS(K278)&lt;0.000000001,"PASS","FAIL")</x:f>
        <x:v>PASS</x:v>
      </x:c>
    </x:row>
    <x:row r="279">
      <x:c r="A279" s="84" t="str">
        <x:f>'Trade Features'!A279</x:f>
        <x:v>A0278</x:v>
      </x:c>
      <x:c r="B279" s="84" t="str">
        <x:f>'Trade Features'!F279</x:f>
        <x:v>Short</x:v>
      </x:c>
      <x:c r="C279" s="91" t="str">
        <x:f>'Trade Features'!BX279</x:f>
        <x:v>20763.0</x:v>
      </x:c>
      <x:c r="D279" s="91" t="str">
        <x:f>'Trade Features'!CA279</x:f>
        <x:v>20773.707018018104</x:v>
      </x:c>
      <x:c r="E279" s="91" t="str">
        <x:f>'Trade Features'!CH279</x:f>
        <x:v>-0.6070784591013549</x:v>
      </x:c>
      <x:c r="F279" s="91" t="str">
        <x:f>'Trade Features'!CG279</x:f>
        <x:v>0.06771259736129717</x:v>
      </x:c>
      <x:c r="G279" s="92" t="n">
        <x:f>ABS(C279-D279)</x:f>
        <x:v>10.707018018103554</x:v>
      </x:c>
      <x:c r="H279" s="92" t="n">
        <x:f>IFERROR($O$2/(G279*$O$3),0)</x:f>
        <x:v>0.06771259736129717</x:v>
      </x:c>
      <x:c r="I279" s="92" t="n">
        <x:f>E279-H279</x:f>
        <x:v>-0.6747910564626521</x:v>
      </x:c>
      <x:c r="J279" s="91" t="str">
        <x:f>'Trade Features'!CI279</x:f>
        <x:v>-0.6747910564626521</x:v>
      </x:c>
      <x:c r="K279" s="92" t="n">
        <x:f>I279-J279</x:f>
        <x:v>0</x:v>
      </x:c>
      <x:c r="L279" s="90" t="str">
        <x:f>IF(ABS(K279)&lt;0.000000001,"PASS","FAIL")</x:f>
        <x:v>PASS</x:v>
      </x:c>
    </x:row>
    <x:row r="280">
      <x:c r="A280" s="84" t="str">
        <x:f>'Trade Features'!A280</x:f>
        <x:v>A0279</x:v>
      </x:c>
      <x:c r="B280" s="84" t="str">
        <x:f>'Trade Features'!F280</x:f>
        <x:v>Short</x:v>
      </x:c>
      <x:c r="C280" s="91" t="str">
        <x:f>'Trade Features'!BX280</x:f>
        <x:v>20737.25</x:v>
      </x:c>
      <x:c r="D280" s="91" t="str">
        <x:f>'Trade Features'!CA280</x:f>
        <x:v>20752.368354414328</x:v>
      </x:c>
      <x:c r="E280" s="91" t="str">
        <x:f>'Trade Features'!CH280</x:f>
        <x:v>-1.0</x:v>
      </x:c>
      <x:c r="F280" s="91" t="str">
        <x:f>'Trade Features'!CG280</x:f>
        <x:v>0.04795495462872021</x:v>
      </x:c>
      <x:c r="G280" s="92" t="n">
        <x:f>ABS(C280-D280)</x:f>
        <x:v>15.118354414327769</x:v>
      </x:c>
      <x:c r="H280" s="92" t="n">
        <x:f>IFERROR($O$2/(G280*$O$3),0)</x:f>
        <x:v>0.04795495462872021</x:v>
      </x:c>
      <x:c r="I280" s="92" t="n">
        <x:f>E280-H280</x:f>
        <x:v>-1.0479549546287201</x:v>
      </x:c>
      <x:c r="J280" s="91" t="str">
        <x:f>'Trade Features'!CI280</x:f>
        <x:v>-1.0479549546287201</x:v>
      </x:c>
      <x:c r="K280" s="92" t="n">
        <x:f>I280-J280</x:f>
        <x:v>0</x:v>
      </x:c>
      <x:c r="L280" s="90" t="str">
        <x:f>IF(ABS(K280)&lt;0.000000001,"PASS","FAIL")</x:f>
        <x:v>PASS</x:v>
      </x:c>
    </x:row>
    <x:row r="281">
      <x:c r="A281" s="84" t="str">
        <x:f>'Trade Features'!A281</x:f>
        <x:v>A0280</x:v>
      </x:c>
      <x:c r="B281" s="84" t="str">
        <x:f>'Trade Features'!F281</x:f>
        <x:v>Long</x:v>
      </x:c>
      <x:c r="C281" s="91" t="str">
        <x:f>'Trade Features'!BX281</x:f>
        <x:v>20841.25</x:v>
      </x:c>
      <x:c r="D281" s="91" t="str">
        <x:f>'Trade Features'!CA281</x:f>
        <x:v>20827.43032729252</x:v>
      </x:c>
      <x:c r="E281" s="91" t="str">
        <x:f>'Trade Features'!CH281</x:f>
        <x:v>2.0</x:v>
      </x:c>
      <x:c r="F281" s="91" t="str">
        <x:f>'Trade Features'!CG281</x:f>
        <x:v>0.05246144502449983</x:v>
      </x:c>
      <x:c r="G281" s="92" t="n">
        <x:f>ABS(C281-D281)</x:f>
        <x:v>13.819672707479185</x:v>
      </x:c>
      <x:c r="H281" s="92" t="n">
        <x:f>IFERROR($O$2/(G281*$O$3),0)</x:f>
        <x:v>0.05246144502449983</x:v>
      </x:c>
      <x:c r="I281" s="92" t="n">
        <x:f>E281-H281</x:f>
        <x:v>1.9475385549755002</x:v>
      </x:c>
      <x:c r="J281" s="91" t="str">
        <x:f>'Trade Features'!CI281</x:f>
        <x:v>1.9475385549755002</x:v>
      </x:c>
      <x:c r="K281" s="92" t="n">
        <x:f>I281-J281</x:f>
        <x:v>0</x:v>
      </x:c>
      <x:c r="L281" s="90" t="str">
        <x:f>IF(ABS(K281)&lt;0.000000001,"PASS","FAIL")</x:f>
        <x:v>PASS</x:v>
      </x:c>
    </x:row>
    <x:row r="282">
      <x:c r="A282" s="84" t="str">
        <x:f>'Trade Features'!A282</x:f>
        <x:v>A0281</x:v>
      </x:c>
      <x:c r="B282" s="84" t="str">
        <x:f>'Trade Features'!F282</x:f>
        <x:v>Long</x:v>
      </x:c>
      <x:c r="C282" s="91" t="str">
        <x:f>'Trade Features'!BX282</x:f>
        <x:v>20887.5</x:v>
      </x:c>
      <x:c r="D282" s="91" t="str">
        <x:f>'Trade Features'!CA282</x:f>
        <x:v>20850.671438860176</x:v>
      </x:c>
      <x:c r="E282" s="91" t="str">
        <x:f>'Trade Features'!CH282</x:f>
        <x:v>-1.0</x:v>
      </x:c>
      <x:c r="F282" s="91" t="str">
        <x:f>'Trade Features'!CG282</x:f>
        <x:v>0.01968580844761891</x:v>
      </x:c>
      <x:c r="G282" s="92" t="n">
        <x:f>ABS(C282-D282)</x:f>
        <x:v>36.82856113982416</x:v>
      </x:c>
      <x:c r="H282" s="92" t="n">
        <x:f>IFERROR($O$2/(G282*$O$3),0)</x:f>
        <x:v>0.01968580844761891</x:v>
      </x:c>
      <x:c r="I282" s="92" t="n">
        <x:f>E282-H282</x:f>
        <x:v>-1.0196858084476188</x:v>
      </x:c>
      <x:c r="J282" s="91" t="str">
        <x:f>'Trade Features'!CI282</x:f>
        <x:v>-1.0196858084476188</x:v>
      </x:c>
      <x:c r="K282" s="92" t="n">
        <x:f>I282-J282</x:f>
        <x:v>0</x:v>
      </x:c>
      <x:c r="L282" s="90" t="str">
        <x:f>IF(ABS(K282)&lt;0.000000001,"PASS","FAIL")</x:f>
        <x:v>PASS</x:v>
      </x:c>
    </x:row>
    <x:row r="283">
      <x:c r="A283" s="84" t="str">
        <x:f>'Trade Features'!A283</x:f>
        <x:v>A0282</x:v>
      </x:c>
      <x:c r="B283" s="84" t="str">
        <x:f>'Trade Features'!F283</x:f>
        <x:v>Short</x:v>
      </x:c>
      <x:c r="C283" s="91" t="str">
        <x:f>'Trade Features'!BX283</x:f>
        <x:v>20756.75</x:v>
      </x:c>
      <x:c r="D283" s="91" t="str">
        <x:f>'Trade Features'!CA283</x:f>
        <x:v>20805.444009945608</x:v>
      </x:c>
      <x:c r="E283" s="91" t="str">
        <x:f>'Trade Features'!CH283</x:f>
        <x:v>0.8727972916478658</x:v>
      </x:c>
      <x:c r="F283" s="91" t="str">
        <x:f>'Trade Features'!CG283</x:f>
        <x:v>0.01488889497516921</x:v>
      </x:c>
      <x:c r="G283" s="92" t="n">
        <x:f>ABS(C283-D283)</x:f>
        <x:v>48.69400994560783</x:v>
      </x:c>
      <x:c r="H283" s="92" t="n">
        <x:f>IFERROR($O$2/(G283*$O$3),0)</x:f>
        <x:v>0.01488889497516921</x:v>
      </x:c>
      <x:c r="I283" s="92" t="n">
        <x:f>E283-H283</x:f>
        <x:v>0.8579083966726966</x:v>
      </x:c>
      <x:c r="J283" s="91" t="str">
        <x:f>'Trade Features'!CI283</x:f>
        <x:v>0.8579083966726966</x:v>
      </x:c>
      <x:c r="K283" s="92" t="n">
        <x:f>I283-J283</x:f>
        <x:v>0</x:v>
      </x:c>
      <x:c r="L283" s="90" t="str">
        <x:f>IF(ABS(K283)&lt;0.000000001,"PASS","FAIL")</x:f>
        <x:v>PASS</x:v>
      </x:c>
    </x:row>
    <x:row r="284">
      <x:c r="A284" s="84" t="str">
        <x:f>'Trade Features'!A284</x:f>
        <x:v>A0283</x:v>
      </x:c>
      <x:c r="B284" s="84" t="str">
        <x:f>'Trade Features'!F284</x:f>
        <x:v>Short</x:v>
      </x:c>
      <x:c r="C284" s="91" t="str">
        <x:f>'Trade Features'!BX284</x:f>
        <x:v>21096.0</x:v>
      </x:c>
      <x:c r="D284" s="91" t="str">
        <x:f>'Trade Features'!CA284</x:f>
        <x:v>21116.17723195499</x:v>
      </x:c>
      <x:c r="E284" s="91" t="str">
        <x:f>'Trade Features'!CH284</x:f>
        <x:v>1.9204814657651752</x:v>
      </x:c>
      <x:c r="F284" s="91" t="str">
        <x:f>'Trade Features'!CG284</x:f>
        <x:v>0.035931588714314865</x:v>
      </x:c>
      <x:c r="G284" s="92" t="n">
        <x:f>ABS(C284-D284)</x:f>
        <x:v>20.17723195498911</x:v>
      </x:c>
      <x:c r="H284" s="92" t="n">
        <x:f>IFERROR($O$2/(G284*$O$3),0)</x:f>
        <x:v>0.035931588714314865</x:v>
      </x:c>
      <x:c r="I284" s="92" t="n">
        <x:f>E284-H284</x:f>
        <x:v>1.8845498770508604</x:v>
      </x:c>
      <x:c r="J284" s="91" t="str">
        <x:f>'Trade Features'!CI284</x:f>
        <x:v>1.8845498770508604</x:v>
      </x:c>
      <x:c r="K284" s="92" t="n">
        <x:f>I284-J284</x:f>
        <x:v>0</x:v>
      </x:c>
      <x:c r="L284" s="90" t="str">
        <x:f>IF(ABS(K284)&lt;0.000000001,"PASS","FAIL")</x:f>
        <x:v>PASS</x:v>
      </x:c>
    </x:row>
    <x:row r="285">
      <x:c r="A285" s="84" t="str">
        <x:f>'Trade Features'!A285</x:f>
        <x:v>A0284</x:v>
      </x:c>
      <x:c r="B285" s="84" t="str">
        <x:f>'Trade Features'!F285</x:f>
        <x:v>Long</x:v>
      </x:c>
      <x:c r="C285" s="91" t="str">
        <x:f>'Trade Features'!BX285</x:f>
        <x:v>21076.25</x:v>
      </x:c>
      <x:c r="D285" s="91" t="str">
        <x:f>'Trade Features'!CA285</x:f>
        <x:v>21064.53416112037</x:v>
      </x:c>
      <x:c r="E285" s="91" t="str">
        <x:f>'Trade Features'!CH285</x:f>
        <x:v>-1.0</x:v>
      </x:c>
      <x:c r="F285" s="91" t="str">
        <x:f>'Trade Features'!CG285</x:f>
        <x:v>0.06188203913084699</x:v>
      </x:c>
      <x:c r="G285" s="92" t="n">
        <x:f>ABS(C285-D285)</x:f>
        <x:v>11.71583887963061</x:v>
      </x:c>
      <x:c r="H285" s="92" t="n">
        <x:f>IFERROR($O$2/(G285*$O$3),0)</x:f>
        <x:v>0.06188203913084699</x:v>
      </x:c>
      <x:c r="I285" s="92" t="n">
        <x:f>E285-H285</x:f>
        <x:v>-1.061882039130847</x:v>
      </x:c>
      <x:c r="J285" s="91" t="str">
        <x:f>'Trade Features'!CI285</x:f>
        <x:v>-1.061882039130847</x:v>
      </x:c>
      <x:c r="K285" s="92" t="n">
        <x:f>I285-J285</x:f>
        <x:v>0</x:v>
      </x:c>
      <x:c r="L285" s="90" t="str">
        <x:f>IF(ABS(K285)&lt;0.000000001,"PASS","FAIL")</x:f>
        <x:v>PASS</x:v>
      </x:c>
    </x:row>
    <x:row r="286">
      <x:c r="A286" s="84" t="str">
        <x:f>'Trade Features'!A286</x:f>
        <x:v>A0285</x:v>
      </x:c>
      <x:c r="B286" s="84" t="str">
        <x:f>'Trade Features'!F286</x:f>
        <x:v>Short</x:v>
      </x:c>
      <x:c r="C286" s="91" t="str">
        <x:f>'Trade Features'!BX286</x:f>
        <x:v>20215.25</x:v>
      </x:c>
      <x:c r="D286" s="91" t="str">
        <x:f>'Trade Features'!CA286</x:f>
        <x:v>20244.17032433952</x:v>
      </x:c>
      <x:c r="E286" s="91" t="str">
        <x:f>'Trade Features'!CH286</x:f>
        <x:v>-0.6396885381648338</x:v>
      </x:c>
      <x:c r="F286" s="91" t="str">
        <x:f>'Trade Features'!CG286</x:f>
        <x:v>0.025068875144296596</x:v>
      </x:c>
      <x:c r="G286" s="92" t="n">
        <x:f>ABS(C286-D286)</x:f>
        <x:v>28.920324339520448</x:v>
      </x:c>
      <x:c r="H286" s="92" t="n">
        <x:f>IFERROR($O$2/(G286*$O$3),0)</x:f>
        <x:v>0.025068875144296596</x:v>
      </x:c>
      <x:c r="I286" s="92" t="n">
        <x:f>E286-H286</x:f>
        <x:v>-0.6647574133091304</x:v>
      </x:c>
      <x:c r="J286" s="91" t="str">
        <x:f>'Trade Features'!CI286</x:f>
        <x:v>-0.6647574133091304</x:v>
      </x:c>
      <x:c r="K286" s="92" t="n">
        <x:f>I286-J286</x:f>
        <x:v>0</x:v>
      </x:c>
      <x:c r="L286" s="90" t="str">
        <x:f>IF(ABS(K286)&lt;0.000000001,"PASS","FAIL")</x:f>
        <x:v>PASS</x:v>
      </x:c>
    </x:row>
    <x:row r="287">
      <x:c r="A287" s="84" t="str">
        <x:f>'Trade Features'!A287</x:f>
        <x:v>A0286</x:v>
      </x:c>
      <x:c r="B287" s="84" t="str">
        <x:f>'Trade Features'!F287</x:f>
        <x:v>Short</x:v>
      </x:c>
      <x:c r="C287" s="91" t="str">
        <x:f>'Trade Features'!BX287</x:f>
        <x:v>20316.0</x:v>
      </x:c>
      <x:c r="D287" s="91" t="str">
        <x:f>'Trade Features'!CA287</x:f>
        <x:v>20376.489203599114</x:v>
      </x:c>
      <x:c r="E287" s="91" t="str">
        <x:f>'Trade Features'!CH287</x:f>
        <x:v>-1.0</x:v>
      </x:c>
      <x:c r="F287" s="91" t="str">
        <x:f>'Trade Features'!CG287</x:f>
        <x:v>0.011985609941318786</x:v>
      </x:c>
      <x:c r="G287" s="92" t="n">
        <x:f>ABS(C287-D287)</x:f>
        <x:v>60.48920359911426</x:v>
      </x:c>
      <x:c r="H287" s="92" t="n">
        <x:f>IFERROR($O$2/(G287*$O$3),0)</x:f>
        <x:v>0.011985609941318786</x:v>
      </x:c>
      <x:c r="I287" s="92" t="n">
        <x:f>E287-H287</x:f>
        <x:v>-1.0119856099413187</x:v>
      </x:c>
      <x:c r="J287" s="91" t="str">
        <x:f>'Trade Features'!CI287</x:f>
        <x:v>-1.0119856099413187</x:v>
      </x:c>
      <x:c r="K287" s="92" t="n">
        <x:f>I287-J287</x:f>
        <x:v>0</x:v>
      </x:c>
      <x:c r="L287" s="90" t="str">
        <x:f>IF(ABS(K287)&lt;0.000000001,"PASS","FAIL")</x:f>
        <x:v>PASS</x:v>
      </x:c>
    </x:row>
    <x:row r="288">
      <x:c r="A288" s="84" t="str">
        <x:f>'Trade Features'!A288</x:f>
        <x:v>A0287</x:v>
      </x:c>
      <x:c r="B288" s="84" t="str">
        <x:f>'Trade Features'!F288</x:f>
        <x:v>Long</x:v>
      </x:c>
      <x:c r="C288" s="91" t="str">
        <x:f>'Trade Features'!BX288</x:f>
        <x:v>20370.25</x:v>
      </x:c>
      <x:c r="D288" s="91" t="str">
        <x:f>'Trade Features'!CA288</x:f>
        <x:v>20289.626853397556</x:v>
      </x:c>
      <x:c r="E288" s="91" t="str">
        <x:f>'Trade Features'!CH288</x:f>
        <x:v>-1.0</x:v>
      </x:c>
      <x:c r="F288" s="91" t="str">
        <x:f>'Trade Features'!CG288</x:f>
        <x:v>0.008992454779456906</x:v>
      </x:c>
      <x:c r="G288" s="92" t="n">
        <x:f>ABS(C288-D288)</x:f>
        <x:v>80.62314660244374</x:v>
      </x:c>
      <x:c r="H288" s="92" t="n">
        <x:f>IFERROR($O$2/(G288*$O$3),0)</x:f>
        <x:v>0.008992454779456906</x:v>
      </x:c>
      <x:c r="I288" s="92" t="n">
        <x:f>E288-H288</x:f>
        <x:v>-1.0089924547794569</x:v>
      </x:c>
      <x:c r="J288" s="91" t="str">
        <x:f>'Trade Features'!CI288</x:f>
        <x:v>-1.0089924547794569</x:v>
      </x:c>
      <x:c r="K288" s="92" t="n">
        <x:f>I288-J288</x:f>
        <x:v>0</x:v>
      </x:c>
      <x:c r="L288" s="90" t="str">
        <x:f>IF(ABS(K288)&lt;0.000000001,"PASS","FAIL")</x:f>
        <x:v>PASS</x:v>
      </x:c>
    </x:row>
    <x:row r="289">
      <x:c r="A289" s="84" t="str">
        <x:f>'Trade Features'!A289</x:f>
        <x:v>A0288</x:v>
      </x:c>
      <x:c r="B289" s="84" t="str">
        <x:f>'Trade Features'!F289</x:f>
        <x:v>Short</x:v>
      </x:c>
      <x:c r="C289" s="91" t="str">
        <x:f>'Trade Features'!BX289</x:f>
        <x:v>20291.75</x:v>
      </x:c>
      <x:c r="D289" s="91" t="str">
        <x:f>'Trade Features'!CA289</x:f>
        <x:v>20359.881524017776</x:v>
      </x:c>
      <x:c r="E289" s="91" t="str">
        <x:f>'Trade Features'!CH289</x:f>
        <x:v>-1.0</x:v>
      </x:c>
      <x:c r="F289" s="91" t="str">
        <x:f>'Trade Features'!CG289</x:f>
        <x:v>0.01064118277775274</x:v>
      </x:c>
      <x:c r="G289" s="92" t="n">
        <x:f>ABS(C289-D289)</x:f>
        <x:v>68.13152401777552</x:v>
      </x:c>
      <x:c r="H289" s="92" t="n">
        <x:f>IFERROR($O$2/(G289*$O$3),0)</x:f>
        <x:v>0.01064118277775274</x:v>
      </x:c>
      <x:c r="I289" s="92" t="n">
        <x:f>E289-H289</x:f>
        <x:v>-1.0106411827777528</x:v>
      </x:c>
      <x:c r="J289" s="91" t="str">
        <x:f>'Trade Features'!CI289</x:f>
        <x:v>-1.0106411827777528</x:v>
      </x:c>
      <x:c r="K289" s="92" t="n">
        <x:f>I289-J289</x:f>
        <x:v>0</x:v>
      </x:c>
      <x:c r="L289" s="90" t="str">
        <x:f>IF(ABS(K289)&lt;0.000000001,"PASS","FAIL")</x:f>
        <x:v>PASS</x:v>
      </x:c>
    </x:row>
    <x:row r="290">
      <x:c r="A290" s="84" t="str">
        <x:f>'Trade Features'!A290</x:f>
        <x:v>A0289</x:v>
      </x:c>
      <x:c r="B290" s="84" t="str">
        <x:f>'Trade Features'!F290</x:f>
        <x:v>Long</x:v>
      </x:c>
      <x:c r="C290" s="91" t="str">
        <x:f>'Trade Features'!BX290</x:f>
        <x:v>20713.25</x:v>
      </x:c>
      <x:c r="D290" s="91" t="str">
        <x:f>'Trade Features'!CA290</x:f>
        <x:v>20679.294999014226</x:v>
      </x:c>
      <x:c r="E290" s="91" t="str">
        <x:f>'Trade Features'!CH290</x:f>
        <x:v>0.02945074277627027</x:v>
      </x:c>
      <x:c r="F290" s="91" t="str">
        <x:f>'Trade Features'!CG290</x:f>
        <x:v>0.02135178851279526</x:v>
      </x:c>
      <x:c r="G290" s="92" t="n">
        <x:f>ABS(C290-D290)</x:f>
        <x:v>33.95500098577395</x:v>
      </x:c>
      <x:c r="H290" s="92" t="n">
        <x:f>IFERROR($O$2/(G290*$O$3),0)</x:f>
        <x:v>0.02135178851279526</x:v>
      </x:c>
      <x:c r="I290" s="92" t="n">
        <x:f>E290-H290</x:f>
        <x:v>0.008098954263475008</x:v>
      </x:c>
      <x:c r="J290" s="91" t="str">
        <x:f>'Trade Features'!CI290</x:f>
        <x:v>0.008098954263475008</x:v>
      </x:c>
      <x:c r="K290" s="92" t="n">
        <x:f>I290-J290</x:f>
        <x:v>0</x:v>
      </x:c>
      <x:c r="L290" s="90" t="str">
        <x:f>IF(ABS(K290)&lt;0.000000001,"PASS","FAIL")</x:f>
        <x:v>PASS</x:v>
      </x:c>
    </x:row>
    <x:row r="291">
      <x:c r="A291" s="84" t="str">
        <x:f>'Trade Features'!A291</x:f>
        <x:v>A0290</x:v>
      </x:c>
      <x:c r="B291" s="84" t="str">
        <x:f>'Trade Features'!F291</x:f>
        <x:v>Long</x:v>
      </x:c>
      <x:c r="C291" s="91" t="str">
        <x:f>'Trade Features'!BX291</x:f>
        <x:v>20788.75</x:v>
      </x:c>
      <x:c r="D291" s="91" t="str">
        <x:f>'Trade Features'!CA291</x:f>
        <x:v>20754.910723839053</x:v>
      </x:c>
      <x:c r="E291" s="91" t="str">
        <x:f>'Trade Features'!CH291</x:f>
        <x:v>0.5614777310729553</x:v>
      </x:c>
      <x:c r="F291" s="91" t="str">
        <x:f>'Trade Features'!CG291</x:f>
        <x:v>0.02142480815936339</x:v>
      </x:c>
      <x:c r="G291" s="92" t="n">
        <x:f>ABS(C291-D291)</x:f>
        <x:v>33.83927616094661</x:v>
      </x:c>
      <x:c r="H291" s="92" t="n">
        <x:f>IFERROR($O$2/(G291*$O$3),0)</x:f>
        <x:v>0.02142480815936339</x:v>
      </x:c>
      <x:c r="I291" s="92" t="n">
        <x:f>E291-H291</x:f>
        <x:v>0.5400529229135919</x:v>
      </x:c>
      <x:c r="J291" s="91" t="str">
        <x:f>'Trade Features'!CI291</x:f>
        <x:v>0.5400529229135919</x:v>
      </x:c>
      <x:c r="K291" s="92" t="n">
        <x:f>I291-J291</x:f>
        <x:v>0</x:v>
      </x:c>
      <x:c r="L291" s="90" t="str">
        <x:f>IF(ABS(K291)&lt;0.000000001,"PASS","FAIL")</x:f>
        <x:v>PASS</x:v>
      </x:c>
    </x:row>
    <x:row r="292">
      <x:c r="A292" s="84" t="str">
        <x:f>'Trade Features'!A292</x:f>
        <x:v>A0291</x:v>
      </x:c>
      <x:c r="B292" s="84" t="str">
        <x:f>'Trade Features'!F292</x:f>
        <x:v>Short</x:v>
      </x:c>
      <x:c r="C292" s="91" t="str">
        <x:f>'Trade Features'!BX292</x:f>
        <x:v>20724.5</x:v>
      </x:c>
      <x:c r="D292" s="91" t="str">
        <x:f>'Trade Features'!CA292</x:f>
        <x:v>20743.03339680788</x:v>
      </x:c>
      <x:c r="E292" s="91" t="str">
        <x:f>'Trade Features'!CH292</x:f>
        <x:v>0.5395664973701418</x:v>
      </x:c>
      <x:c r="F292" s="91" t="str">
        <x:f>'Trade Features'!CG292</x:f>
        <x:v>0.03911857105933749</x:v>
      </x:c>
      <x:c r="G292" s="92" t="n">
        <x:f>ABS(C292-D292)</x:f>
        <x:v>18.533396807881218</x:v>
      </x:c>
      <x:c r="H292" s="92" t="n">
        <x:f>IFERROR($O$2/(G292*$O$3),0)</x:f>
        <x:v>0.03911857105933749</x:v>
      </x:c>
      <x:c r="I292" s="92" t="n">
        <x:f>E292-H292</x:f>
        <x:v>0.5004479263108044</x:v>
      </x:c>
      <x:c r="J292" s="91" t="str">
        <x:f>'Trade Features'!CI292</x:f>
        <x:v>0.5004479263108044</x:v>
      </x:c>
      <x:c r="K292" s="92" t="n">
        <x:f>I292-J292</x:f>
        <x:v>0</x:v>
      </x:c>
      <x:c r="L292" s="90" t="str">
        <x:f>IF(ABS(K292)&lt;0.000000001,"PASS","FAIL")</x:f>
        <x:v>PASS</x:v>
      </x:c>
    </x:row>
    <x:row r="293">
      <x:c r="A293" s="84" t="str">
        <x:f>'Trade Features'!A293</x:f>
        <x:v>A0292</x:v>
      </x:c>
      <x:c r="B293" s="84" t="str">
        <x:f>'Trade Features'!F293</x:f>
        <x:v>Long</x:v>
      </x:c>
      <x:c r="C293" s="91" t="str">
        <x:f>'Trade Features'!BX293</x:f>
        <x:v>20419.0</x:v>
      </x:c>
      <x:c r="D293" s="91" t="str">
        <x:f>'Trade Features'!CA293</x:f>
        <x:v>20373.109267905897</x:v>
      </x:c>
      <x:c r="E293" s="91" t="str">
        <x:f>'Trade Features'!CH293</x:f>
        <x:v>0.381340615009477</x:v>
      </x:c>
      <x:c r="F293" s="91" t="str">
        <x:f>'Trade Features'!CG293</x:f>
        <x:v>0.015798396907534977</x:v>
      </x:c>
      <x:c r="G293" s="92" t="n">
        <x:f>ABS(C293-D293)</x:f>
        <x:v>45.89073209410344</x:v>
      </x:c>
      <x:c r="H293" s="92" t="n">
        <x:f>IFERROR($O$2/(G293*$O$3),0)</x:f>
        <x:v>0.015798396907534977</x:v>
      </x:c>
      <x:c r="I293" s="92" t="n">
        <x:f>E293-H293</x:f>
        <x:v>0.36554221810194204</x:v>
      </x:c>
      <x:c r="J293" s="91" t="str">
        <x:f>'Trade Features'!CI293</x:f>
        <x:v>0.36554221810194204</x:v>
      </x:c>
      <x:c r="K293" s="92" t="n">
        <x:f>I293-J293</x:f>
        <x:v>0</x:v>
      </x:c>
      <x:c r="L293" s="90" t="str">
        <x:f>IF(ABS(K293)&lt;0.000000001,"PASS","FAIL")</x:f>
        <x:v>PASS</x:v>
      </x:c>
    </x:row>
    <x:row r="294">
      <x:c r="A294" s="84" t="str">
        <x:f>'Trade Features'!A294</x:f>
        <x:v>A0293</x:v>
      </x:c>
      <x:c r="B294" s="84" t="str">
        <x:f>'Trade Features'!F294</x:f>
        <x:v>Long</x:v>
      </x:c>
      <x:c r="C294" s="91" t="str">
        <x:f>'Trade Features'!BX294</x:f>
        <x:v>20476.25</x:v>
      </x:c>
      <x:c r="D294" s="91" t="str">
        <x:f>'Trade Features'!CA294</x:f>
        <x:v>20438.867116780984</x:v>
      </x:c>
      <x:c r="E294" s="91" t="str">
        <x:f>'Trade Features'!CH294</x:f>
        <x:v>-0.42131581739495116</x:v>
      </x:c>
      <x:c r="F294" s="91" t="str">
        <x:f>'Trade Features'!CG294</x:f>
        <x:v>0.0193939027054824</x:v>
      </x:c>
      <x:c r="G294" s="92" t="n">
        <x:f>ABS(C294-D294)</x:f>
        <x:v>37.38288321901564</x:v>
      </x:c>
      <x:c r="H294" s="92" t="n">
        <x:f>IFERROR($O$2/(G294*$O$3),0)</x:f>
        <x:v>0.0193939027054824</x:v>
      </x:c>
      <x:c r="I294" s="92" t="n">
        <x:f>E294-H294</x:f>
        <x:v>-0.4407097201004336</x:v>
      </x:c>
      <x:c r="J294" s="91" t="str">
        <x:f>'Trade Features'!CI294</x:f>
        <x:v>-0.4407097201004336</x:v>
      </x:c>
      <x:c r="K294" s="92" t="n">
        <x:f>I294-J294</x:f>
        <x:v>0</x:v>
      </x:c>
      <x:c r="L294" s="90" t="str">
        <x:f>IF(ABS(K294)&lt;0.000000001,"PASS","FAIL")</x:f>
        <x:v>PASS</x:v>
      </x:c>
    </x:row>
    <x:row r="295">
      <x:c r="A295" s="84" t="str">
        <x:f>'Trade Features'!A295</x:f>
        <x:v>A0294</x:v>
      </x:c>
      <x:c r="B295" s="84" t="str">
        <x:f>'Trade Features'!F295</x:f>
        <x:v>Short</x:v>
      </x:c>
      <x:c r="C295" s="91" t="str">
        <x:f>'Trade Features'!BX295</x:f>
        <x:v>20412.25</x:v>
      </x:c>
      <x:c r="D295" s="91" t="str">
        <x:f>'Trade Features'!CA295</x:f>
        <x:v>20425.56930061615</x:v>
      </x:c>
      <x:c r="E295" s="91" t="str">
        <x:f>'Trade Features'!CH295</x:f>
        <x:v>-1.0</x:v>
      </x:c>
      <x:c r="F295" s="91" t="str">
        <x:f>'Trade Features'!CG295</x:f>
        <x:v>0.05443228746717875</x:v>
      </x:c>
      <x:c r="G295" s="92" t="n">
        <x:f>ABS(C295-D295)</x:f>
        <x:v>13.319300616149121</x:v>
      </x:c>
      <x:c r="H295" s="92" t="n">
        <x:f>IFERROR($O$2/(G295*$O$3),0)</x:f>
        <x:v>0.05443228746717875</x:v>
      </x:c>
      <x:c r="I295" s="92" t="n">
        <x:f>E295-H295</x:f>
        <x:v>-1.0544322874671788</x:v>
      </x:c>
      <x:c r="J295" s="91" t="str">
        <x:f>'Trade Features'!CI295</x:f>
        <x:v>-1.0544322874671788</x:v>
      </x:c>
      <x:c r="K295" s="92" t="n">
        <x:f>I295-J295</x:f>
        <x:v>0</x:v>
      </x:c>
      <x:c r="L295" s="90" t="str">
        <x:f>IF(ABS(K295)&lt;0.000000001,"PASS","FAIL")</x:f>
        <x:v>PASS</x:v>
      </x:c>
    </x:row>
    <x:row r="296">
      <x:c r="A296" s="84" t="str">
        <x:f>'Trade Features'!A296</x:f>
        <x:v>A0295</x:v>
      </x:c>
      <x:c r="B296" s="84" t="str">
        <x:f>'Trade Features'!F296</x:f>
        <x:v>Short</x:v>
      </x:c>
      <x:c r="C296" s="91" t="str">
        <x:f>'Trade Features'!BX296</x:f>
        <x:v>20215.25</x:v>
      </x:c>
      <x:c r="D296" s="91" t="str">
        <x:f>'Trade Features'!CA296</x:f>
        <x:v>20259.03581369569</x:v>
      </x:c>
      <x:c r="E296" s="91" t="str">
        <x:f>'Trade Features'!CH296</x:f>
        <x:v>2.0</x:v>
      </x:c>
      <x:c r="F296" s="91" t="str">
        <x:f>'Trade Features'!CG296</x:f>
        <x:v>0.016557874316068182</x:v>
      </x:c>
      <x:c r="G296" s="92" t="n">
        <x:f>ABS(C296-D296)</x:f>
        <x:v>43.785813695689285</x:v>
      </x:c>
      <x:c r="H296" s="92" t="n">
        <x:f>IFERROR($O$2/(G296*$O$3),0)</x:f>
        <x:v>0.016557874316068182</x:v>
      </x:c>
      <x:c r="I296" s="92" t="n">
        <x:f>E296-H296</x:f>
        <x:v>1.9834421256839319</x:v>
      </x:c>
      <x:c r="J296" s="91" t="str">
        <x:f>'Trade Features'!CI296</x:f>
        <x:v>1.9834421256839319</x:v>
      </x:c>
      <x:c r="K296" s="92" t="n">
        <x:f>I296-J296</x:f>
        <x:v>0</x:v>
      </x:c>
      <x:c r="L296" s="90" t="str">
        <x:f>IF(ABS(K296)&lt;0.000000001,"PASS","FAIL")</x:f>
        <x:v>PASS</x:v>
      </x:c>
    </x:row>
    <x:row r="297">
      <x:c r="A297" s="84" t="str">
        <x:f>'Trade Features'!A297</x:f>
        <x:v>A0296</x:v>
      </x:c>
      <x:c r="B297" s="84" t="str">
        <x:f>'Trade Features'!F297</x:f>
        <x:v>Short</x:v>
      </x:c>
      <x:c r="C297" s="91" t="str">
        <x:f>'Trade Features'!BX297</x:f>
        <x:v>20001.25</x:v>
      </x:c>
      <x:c r="D297" s="91" t="str">
        <x:f>'Trade Features'!CA297</x:f>
        <x:v>20057.391384937273</x:v>
      </x:c>
      <x:c r="E297" s="91" t="str">
        <x:f>'Trade Features'!CH297</x:f>
        <x:v>-1.0</x:v>
      </x:c>
      <x:c r="F297" s="91" t="str">
        <x:f>'Trade Features'!CG297</x:f>
        <x:v>0.012913824637743546</x:v>
      </x:c>
      <x:c r="G297" s="92" t="n">
        <x:f>ABS(C297-D297)</x:f>
        <x:v>56.14138493727296</x:v>
      </x:c>
      <x:c r="H297" s="92" t="n">
        <x:f>IFERROR($O$2/(G297*$O$3),0)</x:f>
        <x:v>0.012913824637743546</x:v>
      </x:c>
      <x:c r="I297" s="92" t="n">
        <x:f>E297-H297</x:f>
        <x:v>-1.0129138246377436</x:v>
      </x:c>
      <x:c r="J297" s="91" t="str">
        <x:f>'Trade Features'!CI297</x:f>
        <x:v>-1.0129138246377436</x:v>
      </x:c>
      <x:c r="K297" s="92" t="n">
        <x:f>I297-J297</x:f>
        <x:v>0</x:v>
      </x:c>
      <x:c r="L297" s="90" t="str">
        <x:f>IF(ABS(K297)&lt;0.000000001,"PASS","FAIL")</x:f>
        <x:v>PASS</x:v>
      </x:c>
    </x:row>
    <x:row r="298">
      <x:c r="A298" s="84" t="str">
        <x:f>'Trade Features'!A298</x:f>
        <x:v>A0297</x:v>
      </x:c>
      <x:c r="B298" s="84" t="str">
        <x:f>'Trade Features'!F298</x:f>
        <x:v>Long</x:v>
      </x:c>
      <x:c r="C298" s="91" t="str">
        <x:f>'Trade Features'!BX298</x:f>
        <x:v>20102.75</x:v>
      </x:c>
      <x:c r="D298" s="91" t="str">
        <x:f>'Trade Features'!CA298</x:f>
        <x:v>20084.262079927455</x:v>
      </x:c>
      <x:c r="E298" s="91" t="str">
        <x:f>'Trade Features'!CH298</x:f>
        <x:v>0.7572512183667252</x:v>
      </x:c>
      <x:c r="F298" s="91" t="str">
        <x:f>'Trade Features'!CG298</x:f>
        <x:v>0.03921479523684556</x:v>
      </x:c>
      <x:c r="G298" s="92" t="n">
        <x:f>ABS(C298-D298)</x:f>
        <x:v>18.48792007254451</x:v>
      </x:c>
      <x:c r="H298" s="92" t="n">
        <x:f>IFERROR($O$2/(G298*$O$3),0)</x:f>
        <x:v>0.03921479523684556</x:v>
      </x:c>
      <x:c r="I298" s="92" t="n">
        <x:f>E298-H298</x:f>
        <x:v>0.7180364231298796</x:v>
      </x:c>
      <x:c r="J298" s="91" t="str">
        <x:f>'Trade Features'!CI298</x:f>
        <x:v>0.7180364231298796</x:v>
      </x:c>
      <x:c r="K298" s="92" t="n">
        <x:f>I298-J298</x:f>
        <x:v>0</x:v>
      </x:c>
      <x:c r="L298" s="90" t="str">
        <x:f>IF(ABS(K298)&lt;0.000000001,"PASS","FAIL")</x:f>
        <x:v>PASS</x:v>
      </x:c>
    </x:row>
    <x:row r="299">
      <x:c r="A299" s="84" t="str">
        <x:f>'Trade Features'!A299</x:f>
        <x:v>A0298</x:v>
      </x:c>
      <x:c r="B299" s="84" t="str">
        <x:f>'Trade Features'!F299</x:f>
        <x:v>Long</x:v>
      </x:c>
      <x:c r="C299" s="91" t="str">
        <x:f>'Trade Features'!BX299</x:f>
        <x:v>20544.25</x:v>
      </x:c>
      <x:c r="D299" s="91" t="str">
        <x:f>'Trade Features'!CA299</x:f>
        <x:v>20497.550734329387</x:v>
      </x:c>
      <x:c r="E299" s="91" t="str">
        <x:f>'Trade Features'!CH299</x:f>
        <x:v>2.0</x:v>
      </x:c>
      <x:c r="F299" s="91" t="str">
        <x:f>'Trade Features'!CG299</x:f>
        <x:v>0.015524869386891096</x:v>
      </x:c>
      <x:c r="G299" s="92" t="n">
        <x:f>ABS(C299-D299)</x:f>
        <x:v>46.699265670613386</x:v>
      </x:c>
      <x:c r="H299" s="92" t="n">
        <x:f>IFERROR($O$2/(G299*$O$3),0)</x:f>
        <x:v>0.015524869386891096</x:v>
      </x:c>
      <x:c r="I299" s="92" t="n">
        <x:f>E299-H299</x:f>
        <x:v>1.984475130613109</x:v>
      </x:c>
      <x:c r="J299" s="91" t="str">
        <x:f>'Trade Features'!CI299</x:f>
        <x:v>1.984475130613109</x:v>
      </x:c>
      <x:c r="K299" s="92" t="n">
        <x:f>I299-J299</x:f>
        <x:v>0</x:v>
      </x:c>
      <x:c r="L299" s="90" t="str">
        <x:f>IF(ABS(K299)&lt;0.000000001,"PASS","FAIL")</x:f>
        <x:v>PASS</x:v>
      </x:c>
    </x:row>
    <x:row r="300">
      <x:c r="A300" s="84" t="str">
        <x:f>'Trade Features'!A300</x:f>
        <x:v>A0299</x:v>
      </x:c>
      <x:c r="B300" s="84" t="str">
        <x:f>'Trade Features'!F300</x:f>
        <x:v>Short</x:v>
      </x:c>
      <x:c r="C300" s="91" t="str">
        <x:f>'Trade Features'!BX300</x:f>
        <x:v>20530.5</x:v>
      </x:c>
      <x:c r="D300" s="91" t="str">
        <x:f>'Trade Features'!CA300</x:f>
        <x:v>20571.059512693504</x:v>
      </x:c>
      <x:c r="E300" s="91" t="str">
        <x:f>'Trade Features'!CH300</x:f>
        <x:v>2.0</x:v>
      </x:c>
      <x:c r="F300" s="91" t="str">
        <x:f>'Trade Features'!CG300</x:f>
        <x:v>0.017874968209766348</x:v>
      </x:c>
      <x:c r="G300" s="92" t="n">
        <x:f>ABS(C300-D300)</x:f>
        <x:v>40.559512693504075</x:v>
      </x:c>
      <x:c r="H300" s="92" t="n">
        <x:f>IFERROR($O$2/(G300*$O$3),0)</x:f>
        <x:v>0.017874968209766348</x:v>
      </x:c>
      <x:c r="I300" s="92" t="n">
        <x:f>E300-H300</x:f>
        <x:v>1.9821250317902337</x:v>
      </x:c>
      <x:c r="J300" s="91" t="str">
        <x:f>'Trade Features'!CI300</x:f>
        <x:v>1.9821250317902337</x:v>
      </x:c>
      <x:c r="K300" s="92" t="n">
        <x:f>I300-J300</x:f>
        <x:v>0</x:v>
      </x:c>
      <x:c r="L300" s="90" t="str">
        <x:f>IF(ABS(K300)&lt;0.000000001,"PASS","FAIL")</x:f>
        <x:v>PASS</x:v>
      </x:c>
    </x:row>
    <x:row r="301">
      <x:c r="A301" s="84" t="str">
        <x:f>'Trade Features'!A301</x:f>
        <x:v>A0300</x:v>
      </x:c>
      <x:c r="B301" s="84" t="str">
        <x:f>'Trade Features'!F301</x:f>
        <x:v>Short</x:v>
      </x:c>
      <x:c r="C301" s="91" t="str">
        <x:f>'Trade Features'!BX301</x:f>
        <x:v>20481.0</x:v>
      </x:c>
      <x:c r="D301" s="91" t="str">
        <x:f>'Trade Features'!CA301</x:f>
        <x:v>20497.116478343458</x:v>
      </x:c>
      <x:c r="E301" s="91" t="str">
        <x:f>'Trade Features'!CH301</x:f>
        <x:v>-1.0</x:v>
      </x:c>
      <x:c r="F301" s="91" t="str">
        <x:f>'Trade Features'!CG301</x:f>
        <x:v>0.044985013757319905</x:v>
      </x:c>
      <x:c r="G301" s="92" t="n">
        <x:f>ABS(C301-D301)</x:f>
        <x:v>16.116478343457857</x:v>
      </x:c>
      <x:c r="H301" s="92" t="n">
        <x:f>IFERROR($O$2/(G301*$O$3),0)</x:f>
        <x:v>0.044985013757319905</x:v>
      </x:c>
      <x:c r="I301" s="92" t="n">
        <x:f>E301-H301</x:f>
        <x:v>-1.04498501375732</x:v>
      </x:c>
      <x:c r="J301" s="91" t="str">
        <x:f>'Trade Features'!CI301</x:f>
        <x:v>-1.04498501375732</x:v>
      </x:c>
      <x:c r="K301" s="92" t="n">
        <x:f>I301-J301</x:f>
        <x:v>0</x:v>
      </x:c>
      <x:c r="L301" s="90" t="str">
        <x:f>IF(ABS(K301)&lt;0.000000001,"PASS","FAIL")</x:f>
        <x:v>PASS</x:v>
      </x:c>
    </x:row>
    <x:row r="302">
      <x:c r="A302" s="84" t="str">
        <x:f>'Trade Features'!A302</x:f>
        <x:v>A0301</x:v>
      </x:c>
      <x:c r="B302" s="84" t="str">
        <x:f>'Trade Features'!F302</x:f>
        <x:v>Long</x:v>
      </x:c>
      <x:c r="C302" s="91" t="str">
        <x:f>'Trade Features'!BX302</x:f>
        <x:v>20179.25</x:v>
      </x:c>
      <x:c r="D302" s="91" t="str">
        <x:f>'Trade Features'!CA302</x:f>
        <x:v>20166.789648920563</x:v>
      </x:c>
      <x:c r="E302" s="91" t="str">
        <x:f>'Trade Features'!CH302</x:f>
        <x:v>-1.0</x:v>
      </x:c>
      <x:c r="F302" s="91" t="str">
        <x:f>'Trade Features'!CG302</x:f>
        <x:v>0.058184556388339685</x:v>
      </x:c>
      <x:c r="G302" s="92" t="n">
        <x:f>ABS(C302-D302)</x:f>
        <x:v>12.460351079436805</x:v>
      </x:c>
      <x:c r="H302" s="92" t="n">
        <x:f>IFERROR($O$2/(G302*$O$3),0)</x:f>
        <x:v>0.058184556388339685</x:v>
      </x:c>
      <x:c r="I302" s="92" t="n">
        <x:f>E302-H302</x:f>
        <x:v>-1.0581845563883396</x:v>
      </x:c>
      <x:c r="J302" s="91" t="str">
        <x:f>'Trade Features'!CI302</x:f>
        <x:v>-1.0581845563883396</x:v>
      </x:c>
      <x:c r="K302" s="92" t="n">
        <x:f>I302-J302</x:f>
        <x:v>0</x:v>
      </x:c>
      <x:c r="L302" s="90" t="str">
        <x:f>IF(ABS(K302)&lt;0.000000001,"PASS","FAIL")</x:f>
        <x:v>PASS</x:v>
      </x:c>
    </x:row>
    <x:row r="303">
      <x:c r="A303" s="84" t="str">
        <x:f>'Trade Features'!A303</x:f>
        <x:v>A0302</x:v>
      </x:c>
      <x:c r="B303" s="84" t="str">
        <x:f>'Trade Features'!F303</x:f>
        <x:v>Short</x:v>
      </x:c>
      <x:c r="C303" s="91" t="str">
        <x:f>'Trade Features'!BX303</x:f>
        <x:v>20138.25</x:v>
      </x:c>
      <x:c r="D303" s="91" t="str">
        <x:f>'Trade Features'!CA303</x:f>
        <x:v>20157.77660823379</x:v>
      </x:c>
      <x:c r="E303" s="91" t="str">
        <x:f>'Trade Features'!CH303</x:f>
        <x:v>2.0</x:v>
      </x:c>
      <x:c r="F303" s="91" t="str">
        <x:f>'Trade Features'!CG303</x:f>
        <x:v>0.03712882397801031</x:v>
      </x:c>
      <x:c r="G303" s="92" t="n">
        <x:f>ABS(C303-D303)</x:f>
        <x:v>19.526608233791194</x:v>
      </x:c>
      <x:c r="H303" s="92" t="n">
        <x:f>IFERROR($O$2/(G303*$O$3),0)</x:f>
        <x:v>0.03712882397801031</x:v>
      </x:c>
      <x:c r="I303" s="92" t="n">
        <x:f>E303-H303</x:f>
        <x:v>1.9628711760219897</x:v>
      </x:c>
      <x:c r="J303" s="91" t="str">
        <x:f>'Trade Features'!CI303</x:f>
        <x:v>1.9628711760219897</x:v>
      </x:c>
      <x:c r="K303" s="92" t="n">
        <x:f>I303-J303</x:f>
        <x:v>0</x:v>
      </x:c>
      <x:c r="L303" s="90" t="str">
        <x:f>IF(ABS(K303)&lt;0.000000001,"PASS","FAIL")</x:f>
        <x:v>PASS</x:v>
      </x:c>
    </x:row>
    <x:row r="304">
      <x:c r="A304" s="84" t="str">
        <x:f>'Trade Features'!A304</x:f>
        <x:v>A0303</x:v>
      </x:c>
      <x:c r="B304" s="84" t="str">
        <x:f>'Trade Features'!F304</x:f>
        <x:v>Short</x:v>
      </x:c>
      <x:c r="C304" s="91" t="str">
        <x:f>'Trade Features'!BX304</x:f>
        <x:v>19640.25</x:v>
      </x:c>
      <x:c r="D304" s="91" t="str">
        <x:f>'Trade Features'!CA304</x:f>
        <x:v>19659.74374697436</x:v>
      </x:c>
      <x:c r="E304" s="91" t="str">
        <x:f>'Trade Features'!CH304</x:f>
        <x:v>-1.0</x:v>
      </x:c>
      <x:c r="F304" s="91" t="str">
        <x:f>'Trade Features'!CG304</x:f>
        <x:v>0.037191413274912676</x:v>
      </x:c>
      <x:c r="G304" s="92" t="n">
        <x:f>ABS(C304-D304)</x:f>
        <x:v>19.493746974359965</x:v>
      </x:c>
      <x:c r="H304" s="92" t="n">
        <x:f>IFERROR($O$2/(G304*$O$3),0)</x:f>
        <x:v>0.037191413274912676</x:v>
      </x:c>
      <x:c r="I304" s="92" t="n">
        <x:f>E304-H304</x:f>
        <x:v>-1.0371914132749127</x:v>
      </x:c>
      <x:c r="J304" s="91" t="str">
        <x:f>'Trade Features'!CI304</x:f>
        <x:v>-1.0371914132749127</x:v>
      </x:c>
      <x:c r="K304" s="92" t="n">
        <x:f>I304-J304</x:f>
        <x:v>0</x:v>
      </x:c>
      <x:c r="L304" s="90" t="str">
        <x:f>IF(ABS(K304)&lt;0.000000001,"PASS","FAIL")</x:f>
        <x:v>PASS</x:v>
      </x:c>
    </x:row>
    <x:row r="305">
      <x:c r="A305" s="84" t="str">
        <x:f>'Trade Features'!A305</x:f>
        <x:v>A0304</x:v>
      </x:c>
      <x:c r="B305" s="84" t="str">
        <x:f>'Trade Features'!F305</x:f>
        <x:v>Short</x:v>
      </x:c>
      <x:c r="C305" s="91" t="str">
        <x:f>'Trade Features'!BX305</x:f>
        <x:v>19595.0</x:v>
      </x:c>
      <x:c r="D305" s="91" t="str">
        <x:f>'Trade Features'!CA305</x:f>
        <x:v>19654.464516493787</x:v>
      </x:c>
      <x:c r="E305" s="91" t="str">
        <x:f>'Trade Features'!CH305</x:f>
        <x:v>-1.0</x:v>
      </x:c>
      <x:c r="F305" s="91" t="str">
        <x:f>'Trade Features'!CG305</x:f>
        <x:v>0.012192144874763352</x:v>
      </x:c>
      <x:c r="G305" s="92" t="n">
        <x:f>ABS(C305-D305)</x:f>
        <x:v>59.464516493786505</x:v>
      </x:c>
      <x:c r="H305" s="92" t="n">
        <x:f>IFERROR($O$2/(G305*$O$3),0)</x:f>
        <x:v>0.012192144874763352</x:v>
      </x:c>
      <x:c r="I305" s="92" t="n">
        <x:f>E305-H305</x:f>
        <x:v>-1.0121921448747633</x:v>
      </x:c>
      <x:c r="J305" s="91" t="str">
        <x:f>'Trade Features'!CI305</x:f>
        <x:v>-1.0121921448747633</x:v>
      </x:c>
      <x:c r="K305" s="92" t="n">
        <x:f>I305-J305</x:f>
        <x:v>0</x:v>
      </x:c>
      <x:c r="L305" s="90" t="str">
        <x:f>IF(ABS(K305)&lt;0.000000001,"PASS","FAIL")</x:f>
        <x:v>PASS</x:v>
      </x:c>
    </x:row>
    <x:row r="306">
      <x:c r="A306" s="84" t="str">
        <x:f>'Trade Features'!A306</x:f>
        <x:v>A0305</x:v>
      </x:c>
      <x:c r="B306" s="84" t="str">
        <x:f>'Trade Features'!F306</x:f>
        <x:v>Short</x:v>
      </x:c>
      <x:c r="C306" s="91" t="str">
        <x:f>'Trade Features'!BX306</x:f>
        <x:v>20022.25</x:v>
      </x:c>
      <x:c r="D306" s="91" t="str">
        <x:f>'Trade Features'!CA306</x:f>
        <x:v>20082.647494493973</x:v>
      </x:c>
      <x:c r="E306" s="91" t="str">
        <x:f>'Trade Features'!CH306</x:f>
        <x:v>-1.0</x:v>
      </x:c>
      <x:c r="F306" s="91" t="str">
        <x:f>'Trade Features'!CG306</x:f>
        <x:v>0.012003809198945326</x:v>
      </x:c>
      <x:c r="G306" s="92" t="n">
        <x:f>ABS(C306-D306)</x:f>
        <x:v>60.39749449397277</x:v>
      </x:c>
      <x:c r="H306" s="92" t="n">
        <x:f>IFERROR($O$2/(G306*$O$3),0)</x:f>
        <x:v>0.012003809198945326</x:v>
      </x:c>
      <x:c r="I306" s="92" t="n">
        <x:f>E306-H306</x:f>
        <x:v>-1.0120038091989454</x:v>
      </x:c>
      <x:c r="J306" s="91" t="str">
        <x:f>'Trade Features'!CI306</x:f>
        <x:v>-1.0120038091989454</x:v>
      </x:c>
      <x:c r="K306" s="92" t="n">
        <x:f>I306-J306</x:f>
        <x:v>0</x:v>
      </x:c>
      <x:c r="L306" s="90" t="str">
        <x:f>IF(ABS(K306)&lt;0.000000001,"PASS","FAIL")</x:f>
        <x:v>PASS</x:v>
      </x:c>
    </x:row>
    <x:row r="307">
      <x:c r="A307" s="84" t="str">
        <x:f>'Trade Features'!A307</x:f>
        <x:v>A0306</x:v>
      </x:c>
      <x:c r="B307" s="84" t="str">
        <x:f>'Trade Features'!F307</x:f>
        <x:v>Long</x:v>
      </x:c>
      <x:c r="C307" s="91" t="str">
        <x:f>'Trade Features'!BX307</x:f>
        <x:v>20167.5</x:v>
      </x:c>
      <x:c r="D307" s="91" t="str">
        <x:f>'Trade Features'!CA307</x:f>
        <x:v>20147.961988870386</x:v>
      </x:c>
      <x:c r="E307" s="91" t="str">
        <x:f>'Trade Features'!CH307</x:f>
        <x:v>2.0</x:v>
      </x:c>
      <x:c r="F307" s="91" t="str">
        <x:f>'Trade Features'!CG307</x:f>
        <x:v>0.03710715462236029</x:v>
      </x:c>
      <x:c r="G307" s="92" t="n">
        <x:f>ABS(C307-D307)</x:f>
        <x:v>19.53801112961446</x:v>
      </x:c>
      <x:c r="H307" s="92" t="n">
        <x:f>IFERROR($O$2/(G307*$O$3),0)</x:f>
        <x:v>0.03710715462236029</x:v>
      </x:c>
      <x:c r="I307" s="92" t="n">
        <x:f>E307-H307</x:f>
        <x:v>1.9628928453776398</x:v>
      </x:c>
      <x:c r="J307" s="91" t="str">
        <x:f>'Trade Features'!CI307</x:f>
        <x:v>1.9628928453776398</x:v>
      </x:c>
      <x:c r="K307" s="92" t="n">
        <x:f>I307-J307</x:f>
        <x:v>0</x:v>
      </x:c>
      <x:c r="L307" s="90" t="str">
        <x:f>IF(ABS(K307)&lt;0.000000001,"PASS","FAIL")</x:f>
        <x:v>PASS</x:v>
      </x:c>
    </x:row>
    <x:row r="308">
      <x:c r="A308" s="84" t="str">
        <x:f>'Trade Features'!A308</x:f>
        <x:v>A0307</x:v>
      </x:c>
      <x:c r="B308" s="84" t="str">
        <x:f>'Trade Features'!F308</x:f>
        <x:v>Short</x:v>
      </x:c>
      <x:c r="C308" s="91" t="str">
        <x:f>'Trade Features'!BX308</x:f>
        <x:v>20210.75</x:v>
      </x:c>
      <x:c r="D308" s="91" t="str">
        <x:f>'Trade Features'!CA308</x:f>
        <x:v>20235.224905505653</x:v>
      </x:c>
      <x:c r="E308" s="91" t="str">
        <x:f>'Trade Features'!CH308</x:f>
        <x:v>0.3166508650344167</x:v>
      </x:c>
      <x:c r="F308" s="91" t="str">
        <x:f>'Trade Features'!CG308</x:f>
        <x:v>0.02962217769676595</x:v>
      </x:c>
      <x:c r="G308" s="92" t="n">
        <x:f>ABS(C308-D308)</x:f>
        <x:v>24.474905505652714</x:v>
      </x:c>
      <x:c r="H308" s="92" t="n">
        <x:f>IFERROR($O$2/(G308*$O$3),0)</x:f>
        <x:v>0.02962217769676595</x:v>
      </x:c>
      <x:c r="I308" s="92" t="n">
        <x:f>E308-H308</x:f>
        <x:v>0.28702868733765075</x:v>
      </x:c>
      <x:c r="J308" s="91" t="str">
        <x:f>'Trade Features'!CI308</x:f>
        <x:v>0.28702868733765075</x:v>
      </x:c>
      <x:c r="K308" s="92" t="n">
        <x:f>I308-J308</x:f>
        <x:v>0</x:v>
      </x:c>
      <x:c r="L308" s="90" t="str">
        <x:f>IF(ABS(K308)&lt;0.000000001,"PASS","FAIL")</x:f>
        <x:v>PASS</x:v>
      </x:c>
    </x:row>
    <x:row r="309">
      <x:c r="A309" s="84" t="str">
        <x:f>'Trade Features'!A309</x:f>
        <x:v>A0308</x:v>
      </x:c>
      <x:c r="B309" s="84" t="str">
        <x:f>'Trade Features'!F309</x:f>
        <x:v>Long</x:v>
      </x:c>
      <x:c r="C309" s="91" t="str">
        <x:f>'Trade Features'!BX309</x:f>
        <x:v>20345.75</x:v>
      </x:c>
      <x:c r="D309" s="91" t="str">
        <x:f>'Trade Features'!CA309</x:f>
        <x:v>20291.525304184972</x:v>
      </x:c>
      <x:c r="E309" s="91" t="str">
        <x:f>'Trade Features'!CH309</x:f>
        <x:v>0.17980737104103872</x:v>
      </x:c>
      <x:c r="F309" s="91" t="str">
        <x:f>'Trade Features'!CG309</x:f>
        <x:v>0.01337029169279489</x:v>
      </x:c>
      <x:c r="G309" s="92" t="n">
        <x:f>ABS(C309-D309)</x:f>
        <x:v>54.2246958150281</x:v>
      </x:c>
      <x:c r="H309" s="92" t="n">
        <x:f>IFERROR($O$2/(G309*$O$3),0)</x:f>
        <x:v>0.01337029169279489</x:v>
      </x:c>
      <x:c r="I309" s="92" t="n">
        <x:f>E309-H309</x:f>
        <x:v>0.16643707934824384</x:v>
      </x:c>
      <x:c r="J309" s="91" t="str">
        <x:f>'Trade Features'!CI309</x:f>
        <x:v>0.16643707934824384</x:v>
      </x:c>
      <x:c r="K309" s="92" t="n">
        <x:f>I309-J309</x:f>
        <x:v>0</x:v>
      </x:c>
      <x:c r="L309" s="90" t="str">
        <x:f>IF(ABS(K309)&lt;0.000000001,"PASS","FAIL")</x:f>
        <x:v>PASS</x:v>
      </x:c>
    </x:row>
    <x:row r="310">
      <x:c r="A310" s="84" t="str">
        <x:f>'Trade Features'!A310</x:f>
        <x:v>A0309</x:v>
      </x:c>
      <x:c r="B310" s="84" t="str">
        <x:f>'Trade Features'!F310</x:f>
        <x:v>Long</x:v>
      </x:c>
      <x:c r="C310" s="91" t="str">
        <x:f>'Trade Features'!BX310</x:f>
        <x:v>20417.5</x:v>
      </x:c>
      <x:c r="D310" s="91" t="str">
        <x:f>'Trade Features'!CA310</x:f>
        <x:v>20385.109480841234</x:v>
      </x:c>
      <x:c r="E310" s="91" t="str">
        <x:f>'Trade Features'!CH310</x:f>
        <x:v>-1.0</x:v>
      </x:c>
      <x:c r="F310" s="91" t="str">
        <x:f>'Trade Features'!CG310</x:f>
        <x:v>0.022383092918218953</x:v>
      </x:c>
      <x:c r="G310" s="92" t="n">
        <x:f>ABS(C310-D310)</x:f>
        <x:v>32.39051915876553</x:v>
      </x:c>
      <x:c r="H310" s="92" t="n">
        <x:f>IFERROR($O$2/(G310*$O$3),0)</x:f>
        <x:v>0.022383092918218953</x:v>
      </x:c>
      <x:c r="I310" s="92" t="n">
        <x:f>E310-H310</x:f>
        <x:v>-1.022383092918219</x:v>
      </x:c>
      <x:c r="J310" s="91" t="str">
        <x:f>'Trade Features'!CI310</x:f>
        <x:v>-1.022383092918219</x:v>
      </x:c>
      <x:c r="K310" s="92" t="n">
        <x:f>I310-J310</x:f>
        <x:v>0</x:v>
      </x:c>
      <x:c r="L310" s="90" t="str">
        <x:f>IF(ABS(K310)&lt;0.000000001,"PASS","FAIL")</x:f>
        <x:v>PASS</x:v>
      </x:c>
    </x:row>
    <x:row r="311">
      <x:c r="A311" s="84" t="str">
        <x:f>'Trade Features'!A311</x:f>
        <x:v>A0310</x:v>
      </x:c>
      <x:c r="B311" s="84" t="str">
        <x:f>'Trade Features'!F311</x:f>
        <x:v>Short</x:v>
      </x:c>
      <x:c r="C311" s="91" t="str">
        <x:f>'Trade Features'!BX311</x:f>
        <x:v>20339.5</x:v>
      </x:c>
      <x:c r="D311" s="91" t="str">
        <x:f>'Trade Features'!CA311</x:f>
        <x:v>20355.721225538535</x:v>
      </x:c>
      <x:c r="E311" s="91" t="str">
        <x:f>'Trade Features'!CH311</x:f>
        <x:v>0.6473000437024026</x:v>
      </x:c>
      <x:c r="F311" s="91" t="str">
        <x:f>'Trade Features'!CG311</x:f>
        <x:v>0.04469452682707026</x:v>
      </x:c>
      <x:c r="G311" s="92" t="n">
        <x:f>ABS(C311-D311)</x:f>
        <x:v>16.22122553853478</x:v>
      </x:c>
      <x:c r="H311" s="92" t="n">
        <x:f>IFERROR($O$2/(G311*$O$3),0)</x:f>
        <x:v>0.04469452682707026</x:v>
      </x:c>
      <x:c r="I311" s="92" t="n">
        <x:f>E311-H311</x:f>
        <x:v>0.6026055168753324</x:v>
      </x:c>
      <x:c r="J311" s="91" t="str">
        <x:f>'Trade Features'!CI311</x:f>
        <x:v>0.6026055168753324</x:v>
      </x:c>
      <x:c r="K311" s="92" t="n">
        <x:f>I311-J311</x:f>
        <x:v>0</x:v>
      </x:c>
      <x:c r="L311" s="90" t="str">
        <x:f>IF(ABS(K311)&lt;0.000000001,"PASS","FAIL")</x:f>
        <x:v>PASS</x:v>
      </x:c>
    </x:row>
    <x:row r="312">
      <x:c r="A312" s="84" t="str">
        <x:f>'Trade Features'!A312</x:f>
        <x:v>A0311</x:v>
      </x:c>
      <x:c r="B312" s="84" t="str">
        <x:f>'Trade Features'!F312</x:f>
        <x:v>Long</x:v>
      </x:c>
      <x:c r="C312" s="91" t="str">
        <x:f>'Trade Features'!BX312</x:f>
        <x:v>20395.0</x:v>
      </x:c>
      <x:c r="D312" s="91" t="str">
        <x:f>'Trade Features'!CA312</x:f>
        <x:v>20361.418056426264</x:v>
      </x:c>
      <x:c r="E312" s="91" t="str">
        <x:f>'Trade Features'!CH312</x:f>
        <x:v>2.0</x:v>
      </x:c>
      <x:c r="F312" s="91" t="str">
        <x:f>'Trade Features'!CG312</x:f>
        <x:v>0.021588982734370918</x:v>
      </x:c>
      <x:c r="G312" s="92" t="n">
        <x:f>ABS(C312-D312)</x:f>
        <x:v>33.58194357373577</x:v>
      </x:c>
      <x:c r="H312" s="92" t="n">
        <x:f>IFERROR($O$2/(G312*$O$3),0)</x:f>
        <x:v>0.021588982734370918</x:v>
      </x:c>
      <x:c r="I312" s="92" t="n">
        <x:f>E312-H312</x:f>
        <x:v>1.978411017265629</x:v>
      </x:c>
      <x:c r="J312" s="91" t="str">
        <x:f>'Trade Features'!CI312</x:f>
        <x:v>1.978411017265629</x:v>
      </x:c>
      <x:c r="K312" s="92" t="n">
        <x:f>I312-J312</x:f>
        <x:v>0</x:v>
      </x:c>
      <x:c r="L312" s="90" t="str">
        <x:f>IF(ABS(K312)&lt;0.000000001,"PASS","FAIL")</x:f>
        <x:v>PASS</x:v>
      </x:c>
    </x:row>
    <x:row r="313">
      <x:c r="A313" s="84" t="str">
        <x:f>'Trade Features'!A313</x:f>
        <x:v>A0312</x:v>
      </x:c>
      <x:c r="B313" s="84" t="str">
        <x:f>'Trade Features'!F313</x:f>
        <x:v>Long</x:v>
      </x:c>
      <x:c r="C313" s="91" t="str">
        <x:f>'Trade Features'!BX313</x:f>
        <x:v>20510.0</x:v>
      </x:c>
      <x:c r="D313" s="91" t="str">
        <x:f>'Trade Features'!CA313</x:f>
        <x:v>20477.010743123843</x:v>
      </x:c>
      <x:c r="E313" s="91" t="str">
        <x:f>'Trade Features'!CH313</x:f>
        <x:v>1.2958764169949457</x:v>
      </x:c>
      <x:c r="F313" s="91" t="str">
        <x:f>'Trade Features'!CG313</x:f>
        <x:v>0.021976851516288434</x:v>
      </x:c>
      <x:c r="G313" s="92" t="n">
        <x:f>ABS(C313-D313)</x:f>
        <x:v>32.989256876157015</x:v>
      </x:c>
      <x:c r="H313" s="92" t="n">
        <x:f>IFERROR($O$2/(G313*$O$3),0)</x:f>
        <x:v>0.021976851516288434</x:v>
      </x:c>
      <x:c r="I313" s="92" t="n">
        <x:f>E313-H313</x:f>
        <x:v>1.2738995654786573</x:v>
      </x:c>
      <x:c r="J313" s="91" t="str">
        <x:f>'Trade Features'!CI313</x:f>
        <x:v>1.2738995654786573</x:v>
      </x:c>
      <x:c r="K313" s="92" t="n">
        <x:f>I313-J313</x:f>
        <x:v>0</x:v>
      </x:c>
      <x:c r="L313" s="90" t="str">
        <x:f>IF(ABS(K313)&lt;0.000000001,"PASS","FAIL")</x:f>
        <x:v>PASS</x:v>
      </x:c>
    </x:row>
    <x:row r="314">
      <x:c r="A314" s="84" t="str">
        <x:f>'Trade Features'!A314</x:f>
        <x:v>A0313</x:v>
      </x:c>
      <x:c r="B314" s="84" t="str">
        <x:f>'Trade Features'!F314</x:f>
        <x:v>Long</x:v>
      </x:c>
      <x:c r="C314" s="91" t="str">
        <x:f>'Trade Features'!BX314</x:f>
        <x:v>20782.0</x:v>
      </x:c>
      <x:c r="D314" s="91" t="str">
        <x:f>'Trade Features'!CA314</x:f>
        <x:v>20768.793558213427</x:v>
      </x:c>
      <x:c r="E314" s="91" t="str">
        <x:f>'Trade Features'!CH314</x:f>
        <x:v>-1.0</x:v>
      </x:c>
      <x:c r="F314" s="91" t="str">
        <x:f>'Trade Features'!CG314</x:f>
        <x:v>0.05489745169187823</x:v>
      </x:c>
      <x:c r="G314" s="92" t="n">
        <x:f>ABS(C314-D314)</x:f>
        <x:v>13.206441786573123</x:v>
      </x:c>
      <x:c r="H314" s="92" t="n">
        <x:f>IFERROR($O$2/(G314*$O$3),0)</x:f>
        <x:v>0.05489745169187823</x:v>
      </x:c>
      <x:c r="I314" s="92" t="n">
        <x:f>E314-H314</x:f>
        <x:v>-1.0548974516918783</x:v>
      </x:c>
      <x:c r="J314" s="91" t="str">
        <x:f>'Trade Features'!CI314</x:f>
        <x:v>-1.0548974516918783</x:v>
      </x:c>
      <x:c r="K314" s="92" t="n">
        <x:f>I314-J314</x:f>
        <x:v>0</x:v>
      </x:c>
      <x:c r="L314" s="90" t="str">
        <x:f>IF(ABS(K314)&lt;0.000000001,"PASS","FAIL")</x:f>
        <x:v>PASS</x:v>
      </x:c>
    </x:row>
    <x:row r="315">
      <x:c r="A315" s="84" t="str">
        <x:f>'Trade Features'!A315</x:f>
        <x:v>A0314</x:v>
      </x:c>
      <x:c r="B315" s="84" t="str">
        <x:f>'Trade Features'!F315</x:f>
        <x:v>Long</x:v>
      </x:c>
      <x:c r="C315" s="91" t="str">
        <x:f>'Trade Features'!BX315</x:f>
        <x:v>20763.5</x:v>
      </x:c>
      <x:c r="D315" s="91" t="str">
        <x:f>'Trade Features'!CA315</x:f>
        <x:v>20748.718298399657</x:v>
      </x:c>
      <x:c r="E315" s="91" t="str">
        <x:f>'Trade Features'!CH315</x:f>
        <x:v>-1.0</x:v>
      </x:c>
      <x:c r="F315" s="91" t="str">
        <x:f>'Trade Features'!CG315</x:f>
        <x:v>0.049047127293057206</x:v>
      </x:c>
      <x:c r="G315" s="92" t="n">
        <x:f>ABS(C315-D315)</x:f>
        <x:v>14.781701600342785</x:v>
      </x:c>
      <x:c r="H315" s="92" t="n">
        <x:f>IFERROR($O$2/(G315*$O$3),0)</x:f>
        <x:v>0.049047127293057206</x:v>
      </x:c>
      <x:c r="I315" s="92" t="n">
        <x:f>E315-H315</x:f>
        <x:v>-1.0490471272930573</x:v>
      </x:c>
      <x:c r="J315" s="91" t="str">
        <x:f>'Trade Features'!CI315</x:f>
        <x:v>-1.0490471272930573</x:v>
      </x:c>
      <x:c r="K315" s="92" t="n">
        <x:f>I315-J315</x:f>
        <x:v>0</x:v>
      </x:c>
      <x:c r="L315" s="90" t="str">
        <x:f>IF(ABS(K315)&lt;0.000000001,"PASS","FAIL")</x:f>
        <x:v>PASS</x:v>
      </x:c>
    </x:row>
    <x:row r="316">
      <x:c r="A316" s="84" t="str">
        <x:f>'Trade Features'!A316</x:f>
        <x:v>A0315</x:v>
      </x:c>
      <x:c r="B316" s="84" t="str">
        <x:f>'Trade Features'!F316</x:f>
        <x:v>Short</x:v>
      </x:c>
      <x:c r="C316" s="91" t="str">
        <x:f>'Trade Features'!BX316</x:f>
        <x:v>19952.75</x:v>
      </x:c>
      <x:c r="D316" s="91" t="str">
        <x:f>'Trade Features'!CA316</x:f>
        <x:v>20024.21650596611</x:v>
      </x:c>
      <x:c r="E316" s="91" t="str">
        <x:f>'Trade Features'!CH316</x:f>
        <x:v>-1.0</x:v>
      </x:c>
      <x:c r="F316" s="91" t="str">
        <x:f>'Trade Features'!CG316</x:f>
        <x:v>0.010144612363500862</x:v>
      </x:c>
      <x:c r="G316" s="92" t="n">
        <x:f>ABS(C316-D316)</x:f>
        <x:v>71.46650596610925</x:v>
      </x:c>
      <x:c r="H316" s="92" t="n">
        <x:f>IFERROR($O$2/(G316*$O$3),0)</x:f>
        <x:v>0.010144612363500862</x:v>
      </x:c>
      <x:c r="I316" s="92" t="n">
        <x:f>E316-H316</x:f>
        <x:v>-1.010144612363501</x:v>
      </x:c>
      <x:c r="J316" s="91" t="str">
        <x:f>'Trade Features'!CI316</x:f>
        <x:v>-1.010144612363501</x:v>
      </x:c>
      <x:c r="K316" s="92" t="n">
        <x:f>I316-J316</x:f>
        <x:v>0</x:v>
      </x:c>
      <x:c r="L316" s="90" t="str">
        <x:f>IF(ABS(K316)&lt;0.000000001,"PASS","FAIL")</x:f>
        <x:v>PASS</x:v>
      </x:c>
    </x:row>
    <x:row r="317">
      <x:c r="A317" s="84" t="str">
        <x:f>'Trade Features'!A317</x:f>
        <x:v>A0316</x:v>
      </x:c>
      <x:c r="B317" s="84" t="str">
        <x:f>'Trade Features'!F317</x:f>
        <x:v>Long</x:v>
      </x:c>
      <x:c r="C317" s="91" t="str">
        <x:f>'Trade Features'!BX317</x:f>
        <x:v>20127.0</x:v>
      </x:c>
      <x:c r="D317" s="91" t="str">
        <x:f>'Trade Features'!CA317</x:f>
        <x:v>20063.862421508617</x:v>
      </x:c>
      <x:c r="E317" s="91" t="str">
        <x:f>'Trade Features'!CH317</x:f>
        <x:v>1.1878821106551405</x:v>
      </x:c>
      <x:c r="F317" s="91" t="str">
        <x:f>'Trade Features'!CG317</x:f>
        <x:v>0.011482860402999815</x:v>
      </x:c>
      <x:c r="G317" s="92" t="n">
        <x:f>ABS(C317-D317)</x:f>
        <x:v>63.137578491383465</x:v>
      </x:c>
      <x:c r="H317" s="92" t="n">
        <x:f>IFERROR($O$2/(G317*$O$3),0)</x:f>
        <x:v>0.011482860402999815</x:v>
      </x:c>
      <x:c r="I317" s="92" t="n">
        <x:f>E317-H317</x:f>
        <x:v>1.1763992502521408</x:v>
      </x:c>
      <x:c r="J317" s="91" t="str">
        <x:f>'Trade Features'!CI317</x:f>
        <x:v>1.1763992502521408</x:v>
      </x:c>
      <x:c r="K317" s="92" t="n">
        <x:f>I317-J317</x:f>
        <x:v>0</x:v>
      </x:c>
      <x:c r="L317" s="90" t="str">
        <x:f>IF(ABS(K317)&lt;0.000000001,"PASS","FAIL")</x:f>
        <x:v>PASS</x:v>
      </x:c>
    </x:row>
    <x:row r="318">
      <x:c r="A318" s="84" t="str">
        <x:f>'Trade Features'!A318</x:f>
        <x:v>A0317</x:v>
      </x:c>
      <x:c r="B318" s="84" t="str">
        <x:f>'Trade Features'!F318</x:f>
        <x:v>Short</x:v>
      </x:c>
      <x:c r="C318" s="91" t="str">
        <x:f>'Trade Features'!BX318</x:f>
        <x:v>20326.0</x:v>
      </x:c>
      <x:c r="D318" s="91" t="str">
        <x:f>'Trade Features'!CA318</x:f>
        <x:v>20393.64482910673</x:v>
      </x:c>
      <x:c r="E318" s="91" t="str">
        <x:f>'Trade Features'!CH318</x:f>
        <x:v>2.0</x:v>
      </x:c>
      <x:c r="F318" s="91" t="str">
        <x:f>'Trade Features'!CG318</x:f>
        <x:v>0.010717744572258082</x:v>
      </x:c>
      <x:c r="G318" s="92" t="n">
        <x:f>ABS(C318-D318)</x:f>
        <x:v>67.64482910673178</x:v>
      </x:c>
      <x:c r="H318" s="92" t="n">
        <x:f>IFERROR($O$2/(G318*$O$3),0)</x:f>
        <x:v>0.010717744572258082</x:v>
      </x:c>
      <x:c r="I318" s="92" t="n">
        <x:f>E318-H318</x:f>
        <x:v>1.9892822554277418</x:v>
      </x:c>
      <x:c r="J318" s="91" t="str">
        <x:f>'Trade Features'!CI318</x:f>
        <x:v>1.9892822554277418</x:v>
      </x:c>
      <x:c r="K318" s="92" t="n">
        <x:f>I318-J318</x:f>
        <x:v>0</x:v>
      </x:c>
      <x:c r="L318" s="90" t="str">
        <x:f>IF(ABS(K318)&lt;0.000000001,"PASS","FAIL")</x:f>
        <x:v>PASS</x:v>
      </x:c>
    </x:row>
    <x:row r="319">
      <x:c r="A319" s="84" t="str">
        <x:f>'Trade Features'!A319</x:f>
        <x:v>A0318</x:v>
      </x:c>
      <x:c r="B319" s="84" t="str">
        <x:f>'Trade Features'!F319</x:f>
        <x:v>Short</x:v>
      </x:c>
      <x:c r="C319" s="91" t="str">
        <x:f>'Trade Features'!BX319</x:f>
        <x:v>20567.5</x:v>
      </x:c>
      <x:c r="D319" s="91" t="str">
        <x:f>'Trade Features'!CA319</x:f>
        <x:v>20610.64710188248</x:v>
      </x:c>
      <x:c r="E319" s="91" t="str">
        <x:f>'Trade Features'!CH319</x:f>
        <x:v>2.0</x:v>
      </x:c>
      <x:c r="F319" s="91" t="str">
        <x:f>'Trade Features'!CG319</x:f>
        <x:v>0.016802982549666105</x:v>
      </x:c>
      <x:c r="G319" s="92" t="n">
        <x:f>ABS(C319-D319)</x:f>
        <x:v>43.147101882481365</x:v>
      </x:c>
      <x:c r="H319" s="92" t="n">
        <x:f>IFERROR($O$2/(G319*$O$3),0)</x:f>
        <x:v>0.016802982549666105</x:v>
      </x:c>
      <x:c r="I319" s="92" t="n">
        <x:f>E319-H319</x:f>
        <x:v>1.983197017450334</x:v>
      </x:c>
      <x:c r="J319" s="91" t="str">
        <x:f>'Trade Features'!CI319</x:f>
        <x:v>1.983197017450334</x:v>
      </x:c>
      <x:c r="K319" s="92" t="n">
        <x:f>I319-J319</x:f>
        <x:v>0</x:v>
      </x:c>
      <x:c r="L319" s="90" t="str">
        <x:f>IF(ABS(K319)&lt;0.000000001,"PASS","FAIL")</x:f>
        <x:v>PASS</x:v>
      </x:c>
    </x:row>
    <x:row r="320">
      <x:c r="A320" s="84" t="str">
        <x:f>'Trade Features'!A320</x:f>
        <x:v>A0319</x:v>
      </x:c>
      <x:c r="B320" s="84" t="str">
        <x:f>'Trade Features'!F320</x:f>
        <x:v>Long</x:v>
      </x:c>
      <x:c r="C320" s="91" t="str">
        <x:f>'Trade Features'!BX320</x:f>
        <x:v>19995.75</x:v>
      </x:c>
      <x:c r="D320" s="91" t="str">
        <x:f>'Trade Features'!CA320</x:f>
        <x:v>19958.3763082787</x:v>
      </x:c>
      <x:c r="E320" s="91" t="str">
        <x:f>'Trade Features'!CH320</x:f>
        <x:v>-0.6087169597707835</x:v>
      </x:c>
      <x:c r="F320" s="91" t="str">
        <x:f>'Trade Features'!CG320</x:f>
        <x:v>0.01939867234434391</x:v>
      </x:c>
      <x:c r="G320" s="92" t="n">
        <x:f>ABS(C320-D320)</x:f>
        <x:v>37.37369172129911</x:v>
      </x:c>
      <x:c r="H320" s="92" t="n">
        <x:f>IFERROR($O$2/(G320*$O$3),0)</x:f>
        <x:v>0.01939867234434391</x:v>
      </x:c>
      <x:c r="I320" s="92" t="n">
        <x:f>E320-H320</x:f>
        <x:v>-0.6281156321151274</x:v>
      </x:c>
      <x:c r="J320" s="91" t="str">
        <x:f>'Trade Features'!CI320</x:f>
        <x:v>-0.6281156321151274</x:v>
      </x:c>
      <x:c r="K320" s="92" t="n">
        <x:f>I320-J320</x:f>
        <x:v>0</x:v>
      </x:c>
      <x:c r="L320" s="90" t="str">
        <x:f>IF(ABS(K320)&lt;0.000000001,"PASS","FAIL")</x:f>
        <x:v>PASS</x:v>
      </x:c>
    </x:row>
    <x:row r="321">
      <x:c r="A321" s="84" t="str">
        <x:f>'Trade Features'!A321</x:f>
        <x:v>A0320</x:v>
      </x:c>
      <x:c r="B321" s="84" t="str">
        <x:f>'Trade Features'!F321</x:f>
        <x:v>Short</x:v>
      </x:c>
      <x:c r="C321" s="91" t="str">
        <x:f>'Trade Features'!BX321</x:f>
        <x:v>20369.75</x:v>
      </x:c>
      <x:c r="D321" s="91" t="str">
        <x:f>'Trade Features'!CA321</x:f>
        <x:v>20409.0274392448</x:v>
      </x:c>
      <x:c r="E321" s="91" t="str">
        <x:f>'Trade Features'!CH321</x:f>
        <x:v>0.8401769726973025</x:v>
      </x:c>
      <x:c r="F321" s="91" t="str">
        <x:f>'Trade Features'!CG321</x:f>
        <x:v>0.018458433491077626</x:v>
      </x:c>
      <x:c r="G321" s="92" t="n">
        <x:f>ABS(C321-D321)</x:f>
        <x:v>39.27743924480092</x:v>
      </x:c>
      <x:c r="H321" s="92" t="n">
        <x:f>IFERROR($O$2/(G321*$O$3),0)</x:f>
        <x:v>0.018458433491077626</x:v>
      </x:c>
      <x:c r="I321" s="92" t="n">
        <x:f>E321-H321</x:f>
        <x:v>0.8217185392062248</x:v>
      </x:c>
      <x:c r="J321" s="91" t="str">
        <x:f>'Trade Features'!CI321</x:f>
        <x:v>0.8217185392062248</x:v>
      </x:c>
      <x:c r="K321" s="92" t="n">
        <x:f>I321-J321</x:f>
        <x:v>0</x:v>
      </x:c>
      <x:c r="L321" s="90" t="str">
        <x:f>IF(ABS(K321)&lt;0.000000001,"PASS","FAIL")</x:f>
        <x:v>PASS</x:v>
      </x:c>
    </x:row>
    <x:row r="322">
      <x:c r="A322" s="84" t="str">
        <x:f>'Trade Features'!A322</x:f>
        <x:v>A0321</x:v>
      </x:c>
      <x:c r="B322" s="84" t="str">
        <x:f>'Trade Features'!F322</x:f>
        <x:v>Long</x:v>
      </x:c>
      <x:c r="C322" s="91" t="str">
        <x:f>'Trade Features'!BX322</x:f>
        <x:v>20514.75</x:v>
      </x:c>
      <x:c r="D322" s="91" t="str">
        <x:f>'Trade Features'!CA322</x:f>
        <x:v>20483.736897470513</x:v>
      </x:c>
      <x:c r="E322" s="91" t="str">
        <x:f>'Trade Features'!CH322</x:f>
        <x:v>-0.3063221421000327</x:v>
      </x:c>
      <x:c r="F322" s="91" t="str">
        <x:f>'Trade Features'!CG322</x:f>
        <x:v>0.02337721610763325</x:v>
      </x:c>
      <x:c r="G322" s="92" t="n">
        <x:f>ABS(C322-D322)</x:f>
        <x:v>31.013102529486787</x:v>
      </x:c>
      <x:c r="H322" s="92" t="n">
        <x:f>IFERROR($O$2/(G322*$O$3),0)</x:f>
        <x:v>0.02337721610763325</x:v>
      </x:c>
      <x:c r="I322" s="92" t="n">
        <x:f>E322-H322</x:f>
        <x:v>-0.329699358207666</x:v>
      </x:c>
      <x:c r="J322" s="91" t="str">
        <x:f>'Trade Features'!CI322</x:f>
        <x:v>-0.329699358207666</x:v>
      </x:c>
      <x:c r="K322" s="92" t="n">
        <x:f>I322-J322</x:f>
        <x:v>0</x:v>
      </x:c>
      <x:c r="L322" s="90" t="str">
        <x:f>IF(ABS(K322)&lt;0.000000001,"PASS","FAIL")</x:f>
        <x:v>PASS</x:v>
      </x:c>
    </x:row>
    <x:row r="323">
      <x:c r="A323" s="84" t="str">
        <x:f>'Trade Features'!A323</x:f>
        <x:v>A0322</x:v>
      </x:c>
      <x:c r="B323" s="84" t="str">
        <x:f>'Trade Features'!F323</x:f>
        <x:v>Long</x:v>
      </x:c>
      <x:c r="C323" s="91" t="str">
        <x:f>'Trade Features'!BX323</x:f>
        <x:v>20705.25</x:v>
      </x:c>
      <x:c r="D323" s="91" t="str">
        <x:f>'Trade Features'!CA323</x:f>
        <x:v>20665.909557132603</x:v>
      </x:c>
      <x:c r="E323" s="91" t="str">
        <x:f>'Trade Features'!CH323</x:f>
        <x:v>-1.0</x:v>
      </x:c>
      <x:c r="F323" s="91" t="str">
        <x:f>'Trade Features'!CG323</x:f>
        <x:v>0.018428872355192607</x:v>
      </x:c>
      <x:c r="G323" s="92" t="n">
        <x:f>ABS(C323-D323)</x:f>
        <x:v>39.34044286739663</x:v>
      </x:c>
      <x:c r="H323" s="92" t="n">
        <x:f>IFERROR($O$2/(G323*$O$3),0)</x:f>
        <x:v>0.018428872355192607</x:v>
      </x:c>
      <x:c r="I323" s="92" t="n">
        <x:f>E323-H323</x:f>
        <x:v>-1.0184288723551926</x:v>
      </x:c>
      <x:c r="J323" s="91" t="str">
        <x:f>'Trade Features'!CI323</x:f>
        <x:v>-1.0184288723551926</x:v>
      </x:c>
      <x:c r="K323" s="92" t="n">
        <x:f>I323-J323</x:f>
        <x:v>0</x:v>
      </x:c>
      <x:c r="L323" s="90" t="str">
        <x:f>IF(ABS(K323)&lt;0.000000001,"PASS","FAIL")</x:f>
        <x:v>PASS</x:v>
      </x:c>
    </x:row>
    <x:row r="324">
      <x:c r="A324" s="84" t="str">
        <x:f>'Trade Features'!A324</x:f>
        <x:v>A0323</x:v>
      </x:c>
      <x:c r="B324" s="84" t="str">
        <x:f>'Trade Features'!F324</x:f>
        <x:v>Short</x:v>
      </x:c>
      <x:c r="C324" s="91" t="str">
        <x:f>'Trade Features'!BX324</x:f>
        <x:v>20472.0</x:v>
      </x:c>
      <x:c r="D324" s="91" t="str">
        <x:f>'Trade Features'!CA324</x:f>
        <x:v>20538.70193511923</x:v>
      </x:c>
      <x:c r="E324" s="91" t="str">
        <x:f>'Trade Features'!CH324</x:f>
        <x:v>-1.0</x:v>
      </x:c>
      <x:c r="F324" s="91" t="str">
        <x:f>'Trade Features'!CG324</x:f>
        <x:v>0.010869249875645682</x:v>
      </x:c>
      <x:c r="G324" s="92" t="n">
        <x:f>ABS(C324-D324)</x:f>
        <x:v>66.70193511922844</x:v>
      </x:c>
      <x:c r="H324" s="92" t="n">
        <x:f>IFERROR($O$2/(G324*$O$3),0)</x:f>
        <x:v>0.010869249875645682</x:v>
      </x:c>
      <x:c r="I324" s="92" t="n">
        <x:f>E324-H324</x:f>
        <x:v>-1.0108692498756457</x:v>
      </x:c>
      <x:c r="J324" s="91" t="str">
        <x:f>'Trade Features'!CI324</x:f>
        <x:v>-1.0108692498756457</x:v>
      </x:c>
      <x:c r="K324" s="92" t="n">
        <x:f>I324-J324</x:f>
        <x:v>0</x:v>
      </x:c>
      <x:c r="L324" s="90" t="str">
        <x:f>IF(ABS(K324)&lt;0.000000001,"PASS","FAIL")</x:f>
        <x:v>PASS</x:v>
      </x:c>
    </x:row>
    <x:row r="325">
      <x:c r="A325" s="84" t="str">
        <x:f>'Trade Features'!A325</x:f>
        <x:v>A0324</x:v>
      </x:c>
      <x:c r="B325" s="84" t="str">
        <x:f>'Trade Features'!F325</x:f>
        <x:v>Short</x:v>
      </x:c>
      <x:c r="C325" s="91" t="str">
        <x:f>'Trade Features'!BX325</x:f>
        <x:v>20539.75</x:v>
      </x:c>
      <x:c r="D325" s="91" t="str">
        <x:f>'Trade Features'!CA325</x:f>
        <x:v>20565.40247842597</x:v>
      </x:c>
      <x:c r="E325" s="91" t="str">
        <x:f>'Trade Features'!CH325</x:f>
        <x:v>-1.0</x:v>
      </x:c>
      <x:c r="F325" s="91" t="str">
        <x:f>'Trade Features'!CG325</x:f>
        <x:v>0.028262376366175998</x:v>
      </x:c>
      <x:c r="G325" s="92" t="n">
        <x:f>ABS(C325-D325)</x:f>
        <x:v>25.652478425970912</x:v>
      </x:c>
      <x:c r="H325" s="92" t="n">
        <x:f>IFERROR($O$2/(G325*$O$3),0)</x:f>
        <x:v>0.028262376366175998</x:v>
      </x:c>
      <x:c r="I325" s="92" t="n">
        <x:f>E325-H325</x:f>
        <x:v>-1.028262376366176</x:v>
      </x:c>
      <x:c r="J325" s="91" t="str">
        <x:f>'Trade Features'!CI325</x:f>
        <x:v>-1.028262376366176</x:v>
      </x:c>
      <x:c r="K325" s="92" t="n">
        <x:f>I325-J325</x:f>
        <x:v>0</x:v>
      </x:c>
      <x:c r="L325" s="90" t="str">
        <x:f>IF(ABS(K325)&lt;0.000000001,"PASS","FAIL")</x:f>
        <x:v>PASS</x:v>
      </x:c>
    </x:row>
    <x:row r="326">
      <x:c r="A326" s="84" t="str">
        <x:f>'Trade Features'!A326</x:f>
        <x:v>A0325</x:v>
      </x:c>
      <x:c r="B326" s="84" t="str">
        <x:f>'Trade Features'!F326</x:f>
        <x:v>Short</x:v>
      </x:c>
      <x:c r="C326" s="91" t="str">
        <x:f>'Trade Features'!BX326</x:f>
        <x:v>20516.0</x:v>
      </x:c>
      <x:c r="D326" s="91" t="str">
        <x:f>'Trade Features'!CA326</x:f>
        <x:v>20533.040482277538</x:v>
      </x:c>
      <x:c r="E326" s="91" t="str">
        <x:f>'Trade Features'!CH326</x:f>
        <x:v>-0.20539324785505078</x:v>
      </x:c>
      <x:c r="F326" s="91" t="str">
        <x:f>'Trade Features'!CG326</x:f>
        <x:v>0.042545744198546426</x:v>
      </x:c>
      <x:c r="G326" s="92" t="n">
        <x:f>ABS(C326-D326)</x:f>
        <x:v>17.040482277538104</x:v>
      </x:c>
      <x:c r="H326" s="92" t="n">
        <x:f>IFERROR($O$2/(G326*$O$3),0)</x:f>
        <x:v>0.042545744198546426</x:v>
      </x:c>
      <x:c r="I326" s="92" t="n">
        <x:f>E326-H326</x:f>
        <x:v>-0.2479389920535972</x:v>
      </x:c>
      <x:c r="J326" s="91" t="str">
        <x:f>'Trade Features'!CI326</x:f>
        <x:v>-0.2479389920535972</x:v>
      </x:c>
      <x:c r="K326" s="92" t="n">
        <x:f>I326-J326</x:f>
        <x:v>0</x:v>
      </x:c>
      <x:c r="L326" s="90" t="str">
        <x:f>IF(ABS(K326)&lt;0.000000001,"PASS","FAIL")</x:f>
        <x:v>PASS</x:v>
      </x:c>
    </x:row>
    <x:row r="327">
      <x:c r="A327" s="84" t="str">
        <x:f>'Trade Features'!A327</x:f>
        <x:v>A0326</x:v>
      </x:c>
      <x:c r="B327" s="84" t="str">
        <x:f>'Trade Features'!F327</x:f>
        <x:v>Long</x:v>
      </x:c>
      <x:c r="C327" s="91" t="str">
        <x:f>'Trade Features'!BX327</x:f>
        <x:v>20537.25</x:v>
      </x:c>
      <x:c r="D327" s="91" t="str">
        <x:f>'Trade Features'!CA327</x:f>
        <x:v>20486.28513939355</x:v>
      </x:c>
      <x:c r="E327" s="91" t="str">
        <x:f>'Trade Features'!CH327</x:f>
        <x:v>0.4807233789804383</x:v>
      </x:c>
      <x:c r="F327" s="91" t="str">
        <x:f>'Trade Features'!CG327</x:f>
        <x:v>0.01422548774533938</x:v>
      </x:c>
      <x:c r="G327" s="92" t="n">
        <x:f>ABS(C327-D327)</x:f>
        <x:v>50.96486060645111</x:v>
      </x:c>
      <x:c r="H327" s="92" t="n">
        <x:f>IFERROR($O$2/(G327*$O$3),0)</x:f>
        <x:v>0.01422548774533938</x:v>
      </x:c>
      <x:c r="I327" s="92" t="n">
        <x:f>E327-H327</x:f>
        <x:v>0.46649789123509894</x:v>
      </x:c>
      <x:c r="J327" s="91" t="str">
        <x:f>'Trade Features'!CI327</x:f>
        <x:v>0.46649789123509894</x:v>
      </x:c>
      <x:c r="K327" s="92" t="n">
        <x:f>I327-J327</x:f>
        <x:v>0</x:v>
      </x:c>
      <x:c r="L327" s="90" t="str">
        <x:f>IF(ABS(K327)&lt;0.000000001,"PASS","FAIL")</x:f>
        <x:v>PASS</x:v>
      </x:c>
    </x:row>
    <x:row r="328">
      <x:c r="A328" s="84" t="str">
        <x:f>'Trade Features'!A328</x:f>
        <x:v>A0327</x:v>
      </x:c>
      <x:c r="B328" s="84" t="str">
        <x:f>'Trade Features'!F328</x:f>
        <x:v>Long</x:v>
      </x:c>
      <x:c r="C328" s="91" t="str">
        <x:f>'Trade Features'!BX328</x:f>
        <x:v>20658.75</x:v>
      </x:c>
      <x:c r="D328" s="91" t="str">
        <x:f>'Trade Features'!CA328</x:f>
        <x:v>20646.184687523775</x:v>
      </x:c>
      <x:c r="E328" s="91" t="str">
        <x:f>'Trade Features'!CH328</x:f>
        <x:v>1.094282376663129</x:v>
      </x:c>
      <x:c r="F328" s="91" t="str">
        <x:f>'Trade Features'!CG328</x:f>
        <x:v>0.05769852531497283</x:v>
      </x:c>
      <x:c r="G328" s="92" t="n">
        <x:f>ABS(C328-D328)</x:f>
        <x:v>12.56531247622479</x:v>
      </x:c>
      <x:c r="H328" s="92" t="n">
        <x:f>IFERROR($O$2/(G328*$O$3),0)</x:f>
        <x:v>0.05769852531497283</x:v>
      </x:c>
      <x:c r="I328" s="92" t="n">
        <x:f>E328-H328</x:f>
        <x:v>1.0365838513481562</x:v>
      </x:c>
      <x:c r="J328" s="91" t="str">
        <x:f>'Trade Features'!CI328</x:f>
        <x:v>1.0365838513481562</x:v>
      </x:c>
      <x:c r="K328" s="92" t="n">
        <x:f>I328-J328</x:f>
        <x:v>0</x:v>
      </x:c>
      <x:c r="L328" s="90" t="str">
        <x:f>IF(ABS(K328)&lt;0.000000001,"PASS","FAIL")</x:f>
        <x:v>PASS</x:v>
      </x:c>
    </x:row>
    <x:row r="329">
      <x:c r="A329" s="84" t="str">
        <x:f>'Trade Features'!A329</x:f>
        <x:v>A0328</x:v>
      </x:c>
      <x:c r="B329" s="84" t="str">
        <x:f>'Trade Features'!F329</x:f>
        <x:v>Short</x:v>
      </x:c>
      <x:c r="C329" s="91" t="str">
        <x:f>'Trade Features'!BX329</x:f>
        <x:v>20868.5</x:v>
      </x:c>
      <x:c r="D329" s="91" t="str">
        <x:f>'Trade Features'!CA329</x:f>
        <x:v>20878.53852538528</x:v>
      </x:c>
      <x:c r="E329" s="91" t="str">
        <x:f>'Trade Features'!CH329</x:f>
        <x:v>-1.0</x:v>
      </x:c>
      <x:c r="F329" s="91" t="str">
        <x:f>'Trade Features'!CG329</x:f>
        <x:v>0.0722217628759597</x:v>
      </x:c>
      <x:c r="G329" s="92" t="n">
        <x:f>ABS(C329-D329)</x:f>
        <x:v>10.038525385280082</x:v>
      </x:c>
      <x:c r="H329" s="92" t="n">
        <x:f>IFERROR($O$2/(G329*$O$3),0)</x:f>
        <x:v>0.0722217628759597</x:v>
      </x:c>
      <x:c r="I329" s="92" t="n">
        <x:f>E329-H329</x:f>
        <x:v>-1.0722217628759596</x:v>
      </x:c>
      <x:c r="J329" s="91" t="str">
        <x:f>'Trade Features'!CI329</x:f>
        <x:v>-1.0722217628759596</x:v>
      </x:c>
      <x:c r="K329" s="92" t="n">
        <x:f>I329-J329</x:f>
        <x:v>0</x:v>
      </x:c>
      <x:c r="L329" s="90" t="str">
        <x:f>IF(ABS(K329)&lt;0.000000001,"PASS","FAIL")</x:f>
        <x:v>PASS</x:v>
      </x:c>
    </x:row>
    <x:row r="330">
      <x:c r="A330" s="84" t="str">
        <x:f>'Trade Features'!A330</x:f>
        <x:v>A0329</x:v>
      </x:c>
      <x:c r="B330" s="84" t="str">
        <x:f>'Trade Features'!F330</x:f>
        <x:v>Long</x:v>
      </x:c>
      <x:c r="C330" s="91" t="str">
        <x:f>'Trade Features'!BX330</x:f>
        <x:v>21015.5</x:v>
      </x:c>
      <x:c r="D330" s="91" t="str">
        <x:f>'Trade Features'!CA330</x:f>
        <x:v>21005.817042872106</x:v>
      </x:c>
      <x:c r="E330" s="91" t="str">
        <x:f>'Trade Features'!CH330</x:f>
        <x:v>-1.0</x:v>
      </x:c>
      <x:c r="F330" s="91" t="str">
        <x:f>'Trade Features'!CG330</x:f>
        <x:v>0.07487382112964917</x:v>
      </x:c>
      <x:c r="G330" s="92" t="n">
        <x:f>ABS(C330-D330)</x:f>
        <x:v>9.682957127894042</x:v>
      </x:c>
      <x:c r="H330" s="92" t="n">
        <x:f>IFERROR($O$2/(G330*$O$3),0)</x:f>
        <x:v>0.07487382112964917</x:v>
      </x:c>
      <x:c r="I330" s="92" t="n">
        <x:f>E330-H330</x:f>
        <x:v>-1.0748738211296491</x:v>
      </x:c>
      <x:c r="J330" s="91" t="str">
        <x:f>'Trade Features'!CI330</x:f>
        <x:v>-1.0748738211296491</x:v>
      </x:c>
      <x:c r="K330" s="92" t="n">
        <x:f>I330-J330</x:f>
        <x:v>0</x:v>
      </x:c>
      <x:c r="L330" s="90" t="str">
        <x:f>IF(ABS(K330)&lt;0.000000001,"PASS","FAIL")</x:f>
        <x:v>PASS</x:v>
      </x:c>
    </x:row>
    <x:row r="331">
      <x:c r="A331" s="84" t="str">
        <x:f>'Trade Features'!A331</x:f>
        <x:v>A0330</x:v>
      </x:c>
      <x:c r="B331" s="84" t="str">
        <x:f>'Trade Features'!F331</x:f>
        <x:v>Short</x:v>
      </x:c>
      <x:c r="C331" s="91" t="str">
        <x:f>'Trade Features'!BX331</x:f>
        <x:v>20959.0</x:v>
      </x:c>
      <x:c r="D331" s="91" t="str">
        <x:f>'Trade Features'!CA331</x:f>
        <x:v>20972.684033009144</x:v>
      </x:c>
      <x:c r="E331" s="91" t="str">
        <x:f>'Trade Features'!CH331</x:f>
        <x:v>-1.0</x:v>
      </x:c>
      <x:c r="F331" s="91" t="str">
        <x:f>'Trade Features'!CG331</x:f>
        <x:v>0.05298145652787877</x:v>
      </x:c>
      <x:c r="G331" s="92" t="n">
        <x:f>ABS(C331-D331)</x:f>
        <x:v>13.684033009143604</x:v>
      </x:c>
      <x:c r="H331" s="92" t="n">
        <x:f>IFERROR($O$2/(G331*$O$3),0)</x:f>
        <x:v>0.05298145652787877</x:v>
      </x:c>
      <x:c r="I331" s="92" t="n">
        <x:f>E331-H331</x:f>
        <x:v>-1.0529814565278788</x:v>
      </x:c>
      <x:c r="J331" s="91" t="str">
        <x:f>'Trade Features'!CI331</x:f>
        <x:v>-1.0529814565278788</x:v>
      </x:c>
      <x:c r="K331" s="92" t="n">
        <x:f>I331-J331</x:f>
        <x:v>0</x:v>
      </x:c>
      <x:c r="L331" s="90" t="str">
        <x:f>IF(ABS(K331)&lt;0.000000001,"PASS","FAIL")</x:f>
        <x:v>PASS</x:v>
      </x:c>
    </x:row>
    <x:row r="332">
      <x:c r="A332" s="84" t="str">
        <x:f>'Trade Features'!A332</x:f>
        <x:v>A0331</x:v>
      </x:c>
      <x:c r="B332" s="84" t="str">
        <x:f>'Trade Features'!F332</x:f>
        <x:v>Short</x:v>
      </x:c>
      <x:c r="C332" s="91" t="str">
        <x:f>'Trade Features'!BX332</x:f>
        <x:v>20997.25</x:v>
      </x:c>
      <x:c r="D332" s="91" t="str">
        <x:f>'Trade Features'!CA332</x:f>
        <x:v>21020.407479153742</x:v>
      </x:c>
      <x:c r="E332" s="91" t="str">
        <x:f>'Trade Features'!CH332</x:f>
        <x:v>2.0</x:v>
      </x:c>
      <x:c r="F332" s="91" t="str">
        <x:f>'Trade Features'!CG332</x:f>
        <x:v>0.031307380012596836</x:v>
      </x:c>
      <x:c r="G332" s="92" t="n">
        <x:f>ABS(C332-D332)</x:f>
        <x:v>23.157479153742315</x:v>
      </x:c>
      <x:c r="H332" s="92" t="n">
        <x:f>IFERROR($O$2/(G332*$O$3),0)</x:f>
        <x:v>0.031307380012596836</x:v>
      </x:c>
      <x:c r="I332" s="92" t="n">
        <x:f>E332-H332</x:f>
        <x:v>1.968692619987403</x:v>
      </x:c>
      <x:c r="J332" s="91" t="str">
        <x:f>'Trade Features'!CI332</x:f>
        <x:v>1.968692619987403</x:v>
      </x:c>
      <x:c r="K332" s="92" t="n">
        <x:f>I332-J332</x:f>
        <x:v>0</x:v>
      </x:c>
      <x:c r="L332" s="90" t="str">
        <x:f>IF(ABS(K332)&lt;0.000000001,"PASS","FAIL")</x:f>
        <x:v>PASS</x:v>
      </x:c>
    </x:row>
    <x:row r="333">
      <x:c r="A333" s="84" t="str">
        <x:f>'Trade Features'!A333</x:f>
        <x:v>A0332</x:v>
      </x:c>
      <x:c r="B333" s="84" t="str">
        <x:f>'Trade Features'!F333</x:f>
        <x:v>Long</x:v>
      </x:c>
      <x:c r="C333" s="91" t="str">
        <x:f>'Trade Features'!BX333</x:f>
        <x:v>21030.25</x:v>
      </x:c>
      <x:c r="D333" s="91" t="str">
        <x:f>'Trade Features'!CA333</x:f>
        <x:v>21003.794375538233</x:v>
      </x:c>
      <x:c r="E333" s="91" t="str">
        <x:f>'Trade Features'!CH333</x:f>
        <x:v>-0.4724893195420648</x:v>
      </x:c>
      <x:c r="F333" s="91" t="str">
        <x:f>'Trade Features'!CG333</x:f>
        <x:v>0.027404380533438234</x:v>
      </x:c>
      <x:c r="G333" s="92" t="n">
        <x:f>ABS(C333-D333)</x:f>
        <x:v>26.455624461767</x:v>
      </x:c>
      <x:c r="H333" s="92" t="n">
        <x:f>IFERROR($O$2/(G333*$O$3),0)</x:f>
        <x:v>0.027404380533438234</x:v>
      </x:c>
      <x:c r="I333" s="92" t="n">
        <x:f>E333-H333</x:f>
        <x:v>-0.49989370007550304</x:v>
      </x:c>
      <x:c r="J333" s="91" t="str">
        <x:f>'Trade Features'!CI333</x:f>
        <x:v>-0.49989370007550304</x:v>
      </x:c>
      <x:c r="K333" s="92" t="n">
        <x:f>I333-J333</x:f>
        <x:v>0</x:v>
      </x:c>
      <x:c r="L333" s="90" t="str">
        <x:f>IF(ABS(K333)&lt;0.000000001,"PASS","FAIL")</x:f>
        <x:v>PASS</x:v>
      </x:c>
    </x:row>
    <x:row r="334">
      <x:c r="A334" s="84" t="str">
        <x:f>'Trade Features'!A334</x:f>
        <x:v>A0333</x:v>
      </x:c>
      <x:c r="B334" s="84" t="str">
        <x:f>'Trade Features'!F334</x:f>
        <x:v>Long</x:v>
      </x:c>
      <x:c r="C334" s="91" t="str">
        <x:f>'Trade Features'!BX334</x:f>
        <x:v>20897.25</x:v>
      </x:c>
      <x:c r="D334" s="91" t="str">
        <x:f>'Trade Features'!CA334</x:f>
        <x:v>20865.018224945543</x:v>
      </x:c>
      <x:c r="E334" s="91" t="str">
        <x:f>'Trade Features'!CH334</x:f>
        <x:v>-0.2792275630117762</x:v>
      </x:c>
      <x:c r="F334" s="91" t="str">
        <x:f>'Trade Features'!CG334</x:f>
        <x:v>0.022493331464837986</x:v>
      </x:c>
      <x:c r="G334" s="92" t="n">
        <x:f>ABS(C334-D334)</x:f>
        <x:v>32.2317750544571</x:v>
      </x:c>
      <x:c r="H334" s="92" t="n">
        <x:f>IFERROR($O$2/(G334*$O$3),0)</x:f>
        <x:v>0.022493331464837986</x:v>
      </x:c>
      <x:c r="I334" s="92" t="n">
        <x:f>E334-H334</x:f>
        <x:v>-0.3017208944766142</x:v>
      </x:c>
      <x:c r="J334" s="91" t="str">
        <x:f>'Trade Features'!CI334</x:f>
        <x:v>-0.3017208944766142</x:v>
      </x:c>
      <x:c r="K334" s="92" t="n">
        <x:f>I334-J334</x:f>
        <x:v>0</x:v>
      </x:c>
      <x:c r="L334" s="90" t="str">
        <x:f>IF(ABS(K334)&lt;0.000000001,"PASS","FAIL")</x:f>
        <x:v>PASS</x:v>
      </x:c>
    </x:row>
    <x:row r="335">
      <x:c r="A335" s="84" t="str">
        <x:f>'Trade Features'!A335</x:f>
        <x:v>A0334</x:v>
      </x:c>
      <x:c r="B335" s="84" t="str">
        <x:f>'Trade Features'!F335</x:f>
        <x:v>Long</x:v>
      </x:c>
      <x:c r="C335" s="91" t="str">
        <x:f>'Trade Features'!BX335</x:f>
        <x:v>20551.75</x:v>
      </x:c>
      <x:c r="D335" s="91" t="str">
        <x:f>'Trade Features'!CA335</x:f>
        <x:v>20524.883466159317</x:v>
      </x:c>
      <x:c r="E335" s="91" t="str">
        <x:f>'Trade Features'!CH335</x:f>
        <x:v>-1.0</x:v>
      </x:c>
      <x:c r="F335" s="91" t="str">
        <x:f>'Trade Features'!CG335</x:f>
        <x:v>0.02698524507475423</x:v>
      </x:c>
      <x:c r="G335" s="92" t="n">
        <x:f>ABS(C335-D335)</x:f>
        <x:v>26.866533840682678</x:v>
      </x:c>
      <x:c r="H335" s="92" t="n">
        <x:f>IFERROR($O$2/(G335*$O$3),0)</x:f>
        <x:v>0.02698524507475423</x:v>
      </x:c>
      <x:c r="I335" s="92" t="n">
        <x:f>E335-H335</x:f>
        <x:v>-1.0269852450747543</x:v>
      </x:c>
      <x:c r="J335" s="91" t="str">
        <x:f>'Trade Features'!CI335</x:f>
        <x:v>-1.0269852450747543</x:v>
      </x:c>
      <x:c r="K335" s="92" t="n">
        <x:f>I335-J335</x:f>
        <x:v>0</x:v>
      </x:c>
      <x:c r="L335" s="90" t="str">
        <x:f>IF(ABS(K335)&lt;0.000000001,"PASS","FAIL")</x:f>
        <x:v>PASS</x:v>
      </x:c>
    </x:row>
    <x:row r="336">
      <x:c r="A336" s="84" t="str">
        <x:f>'Trade Features'!A336</x:f>
        <x:v>A0335</x:v>
      </x:c>
      <x:c r="B336" s="84" t="str">
        <x:f>'Trade Features'!F336</x:f>
        <x:v>Short</x:v>
      </x:c>
      <x:c r="C336" s="91" t="str">
        <x:f>'Trade Features'!BX336</x:f>
        <x:v>19959.75</x:v>
      </x:c>
      <x:c r="D336" s="91" t="str">
        <x:f>'Trade Features'!CA336</x:f>
        <x:v>19993.675239114757</x:v>
      </x:c>
      <x:c r="E336" s="91" t="str">
        <x:f>'Trade Features'!CH336</x:f>
        <x:v>-1.0</x:v>
      </x:c>
      <x:c r="F336" s="91" t="str">
        <x:f>'Trade Features'!CG336</x:f>
        <x:v>0.021370519970326306</x:v>
      </x:c>
      <x:c r="G336" s="92" t="n">
        <x:f>ABS(C336-D336)</x:f>
        <x:v>33.92523911475655</x:v>
      </x:c>
      <x:c r="H336" s="92" t="n">
        <x:f>IFERROR($O$2/(G336*$O$3),0)</x:f>
        <x:v>0.021370519970326306</x:v>
      </x:c>
      <x:c r="I336" s="92" t="n">
        <x:f>E336-H336</x:f>
        <x:v>-1.0213705199703262</x:v>
      </x:c>
      <x:c r="J336" s="91" t="str">
        <x:f>'Trade Features'!CI336</x:f>
        <x:v>-1.0213705199703262</x:v>
      </x:c>
      <x:c r="K336" s="92" t="n">
        <x:f>I336-J336</x:f>
        <x:v>0</x:v>
      </x:c>
      <x:c r="L336" s="90" t="str">
        <x:f>IF(ABS(K336)&lt;0.000000001,"PASS","FAIL")</x:f>
        <x:v>PASS</x:v>
      </x:c>
    </x:row>
    <x:row r="337">
      <x:c r="A337" s="84" t="str">
        <x:f>'Trade Features'!A337</x:f>
        <x:v>A0336</x:v>
      </x:c>
      <x:c r="B337" s="84" t="str">
        <x:f>'Trade Features'!F337</x:f>
        <x:v>Long</x:v>
      </x:c>
      <x:c r="C337" s="91" t="str">
        <x:f>'Trade Features'!BX337</x:f>
        <x:v>19960.5</x:v>
      </x:c>
      <x:c r="D337" s="91" t="str">
        <x:f>'Trade Features'!CA337</x:f>
        <x:v>19902.908058833866</x:v>
      </x:c>
      <x:c r="E337" s="91" t="str">
        <x:f>'Trade Features'!CH337</x:f>
        <x:v>-1.0</x:v>
      </x:c>
      <x:c r="F337" s="91" t="str">
        <x:f>'Trade Features'!CG337</x:f>
        <x:v>0.012588566825844725</x:v>
      </x:c>
      <x:c r="G337" s="92" t="n">
        <x:f>ABS(C337-D337)</x:f>
        <x:v>57.59194116613435</x:v>
      </x:c>
      <x:c r="H337" s="92" t="n">
        <x:f>IFERROR($O$2/(G337*$O$3),0)</x:f>
        <x:v>0.012588566825844725</x:v>
      </x:c>
      <x:c r="I337" s="92" t="n">
        <x:f>E337-H337</x:f>
        <x:v>-1.0125885668258447</x:v>
      </x:c>
      <x:c r="J337" s="91" t="str">
        <x:f>'Trade Features'!CI337</x:f>
        <x:v>-1.0125885668258447</x:v>
      </x:c>
      <x:c r="K337" s="92" t="n">
        <x:f>I337-J337</x:f>
        <x:v>0</x:v>
      </x:c>
      <x:c r="L337" s="90" t="str">
        <x:f>IF(ABS(K337)&lt;0.000000001,"PASS","FAIL")</x:f>
        <x:v>PASS</x:v>
      </x:c>
    </x:row>
    <x:row r="338">
      <x:c r="A338" s="84" t="str">
        <x:f>'Trade Features'!A338</x:f>
        <x:v>A0337</x:v>
      </x:c>
      <x:c r="B338" s="84" t="str">
        <x:f>'Trade Features'!F338</x:f>
        <x:v>Long</x:v>
      </x:c>
      <x:c r="C338" s="91" t="str">
        <x:f>'Trade Features'!BX338</x:f>
        <x:v>19861.0</x:v>
      </x:c>
      <x:c r="D338" s="91" t="str">
        <x:f>'Trade Features'!CA338</x:f>
        <x:v>19795.368046838557</x:v>
      </x:c>
      <x:c r="E338" s="91" t="str">
        <x:f>'Trade Features'!CH338</x:f>
        <x:v>-1.0</x:v>
      </x:c>
      <x:c r="F338" s="91" t="str">
        <x:f>'Trade Features'!CG338</x:f>
        <x:v>0.011046448643949876</x:v>
      </x:c>
      <x:c r="G338" s="92" t="n">
        <x:f>ABS(C338-D338)</x:f>
        <x:v>65.63195316144265</x:v>
      </x:c>
      <x:c r="H338" s="92" t="n">
        <x:f>IFERROR($O$2/(G338*$O$3),0)</x:f>
        <x:v>0.011046448643949876</x:v>
      </x:c>
      <x:c r="I338" s="92" t="n">
        <x:f>E338-H338</x:f>
        <x:v>-1.0110464486439499</x:v>
      </x:c>
      <x:c r="J338" s="91" t="str">
        <x:f>'Trade Features'!CI338</x:f>
        <x:v>-1.0110464486439499</x:v>
      </x:c>
      <x:c r="K338" s="92" t="n">
        <x:f>I338-J338</x:f>
        <x:v>0</x:v>
      </x:c>
      <x:c r="L338" s="90" t="str">
        <x:f>IF(ABS(K338)&lt;0.000000001,"PASS","FAIL")</x:f>
        <x:v>PASS</x:v>
      </x:c>
    </x:row>
    <x:row r="339">
      <x:c r="A339" s="84" t="str">
        <x:f>'Trade Features'!A339</x:f>
        <x:v>A0338</x:v>
      </x:c>
      <x:c r="B339" s="84" t="str">
        <x:f>'Trade Features'!F339</x:f>
        <x:v>Short</x:v>
      </x:c>
      <x:c r="C339" s="91" t="str">
        <x:f>'Trade Features'!BX339</x:f>
        <x:v>19356.75</x:v>
      </x:c>
      <x:c r="D339" s="91" t="str">
        <x:f>'Trade Features'!CA339</x:f>
        <x:v>19385.18771354183</x:v>
      </x:c>
      <x:c r="E339" s="91" t="str">
        <x:f>'Trade Features'!CH339</x:f>
        <x:v>-1.0</x:v>
      </x:c>
      <x:c r="F339" s="91" t="str">
        <x:f>'Trade Features'!CG339</x:f>
        <x:v>0.02549431405354015</x:v>
      </x:c>
      <x:c r="G339" s="92" t="n">
        <x:f>ABS(C339-D339)</x:f>
        <x:v>28.437713541828998</x:v>
      </x:c>
      <x:c r="H339" s="92" t="n">
        <x:f>IFERROR($O$2/(G339*$O$3),0)</x:f>
        <x:v>0.02549431405354015</x:v>
      </x:c>
      <x:c r="I339" s="92" t="n">
        <x:f>E339-H339</x:f>
        <x:v>-1.0254943140535402</x:v>
      </x:c>
      <x:c r="J339" s="91" t="str">
        <x:f>'Trade Features'!CI339</x:f>
        <x:v>-1.0254943140535402</x:v>
      </x:c>
      <x:c r="K339" s="92" t="n">
        <x:f>I339-J339</x:f>
        <x:v>0</x:v>
      </x:c>
      <x:c r="L339" s="90" t="str">
        <x:f>IF(ABS(K339)&lt;0.000000001,"PASS","FAIL")</x:f>
        <x:v>PASS</x:v>
      </x:c>
    </x:row>
    <x:row r="340">
      <x:c r="A340" s="84" t="str">
        <x:f>'Trade Features'!A340</x:f>
        <x:v>A0339</x:v>
      </x:c>
      <x:c r="B340" s="84" t="str">
        <x:f>'Trade Features'!F340</x:f>
        <x:v>Long</x:v>
      </x:c>
      <x:c r="C340" s="91" t="str">
        <x:f>'Trade Features'!BX340</x:f>
        <x:v>19419.0</x:v>
      </x:c>
      <x:c r="D340" s="91" t="str">
        <x:f>'Trade Features'!CA340</x:f>
        <x:v>19387.998414582125</x:v>
      </x:c>
      <x:c r="E340" s="91" t="str">
        <x:f>'Trade Features'!CH340</x:f>
        <x:v>-0.31450004470993226</x:v>
      </x:c>
      <x:c r="F340" s="91" t="str">
        <x:f>'Trade Features'!CG340</x:f>
        <x:v>0.023385900760481318</x:v>
      </x:c>
      <x:c r="G340" s="92" t="n">
        <x:f>ABS(C340-D340)</x:f>
        <x:v>31.001585417874594</x:v>
      </x:c>
      <x:c r="H340" s="92" t="n">
        <x:f>IFERROR($O$2/(G340*$O$3),0)</x:f>
        <x:v>0.023385900760481318</x:v>
      </x:c>
      <x:c r="I340" s="92" t="n">
        <x:f>E340-H340</x:f>
        <x:v>-0.33788594547041356</x:v>
      </x:c>
      <x:c r="J340" s="91" t="str">
        <x:f>'Trade Features'!CI340</x:f>
        <x:v>-0.33788594547041356</x:v>
      </x:c>
      <x:c r="K340" s="92" t="n">
        <x:f>I340-J340</x:f>
        <x:v>0</x:v>
      </x:c>
      <x:c r="L340" s="90" t="str">
        <x:f>IF(ABS(K340)&lt;0.000000001,"PASS","FAIL")</x:f>
        <x:v>PASS</x:v>
      </x:c>
    </x:row>
    <x:row r="341">
      <x:c r="A341" s="84" t="str">
        <x:f>'Trade Features'!A341</x:f>
        <x:v>A0340</x:v>
      </x:c>
      <x:c r="B341" s="84" t="str">
        <x:f>'Trade Features'!F341</x:f>
        <x:v>Short</x:v>
      </x:c>
      <x:c r="C341" s="91" t="str">
        <x:f>'Trade Features'!BX341</x:f>
        <x:v>19286.75</x:v>
      </x:c>
      <x:c r="D341" s="91" t="str">
        <x:f>'Trade Features'!CA341</x:f>
        <x:v>19381.129886022958</x:v>
      </x:c>
      <x:c r="E341" s="91" t="str">
        <x:f>'Trade Features'!CH341</x:f>
        <x:v>2.0</x:v>
      </x:c>
      <x:c r="F341" s="91" t="str">
        <x:f>'Trade Features'!CG341</x:f>
        <x:v>0.007681721503919197</x:v>
      </x:c>
      <x:c r="G341" s="92" t="n">
        <x:f>ABS(C341-D341)</x:f>
        <x:v>94.37988602295809</x:v>
      </x:c>
      <x:c r="H341" s="92" t="n">
        <x:f>IFERROR($O$2/(G341*$O$3),0)</x:f>
        <x:v>0.007681721503919197</x:v>
      </x:c>
      <x:c r="I341" s="92" t="n">
        <x:f>E341-H341</x:f>
        <x:v>1.992318278496081</x:v>
      </x:c>
      <x:c r="J341" s="91" t="str">
        <x:f>'Trade Features'!CI341</x:f>
        <x:v>1.992318278496081</x:v>
      </x:c>
      <x:c r="K341" s="92" t="n">
        <x:f>I341-J341</x:f>
        <x:v>0</x:v>
      </x:c>
      <x:c r="L341" s="90" t="str">
        <x:f>IF(ABS(K341)&lt;0.000000001,"PASS","FAIL")</x:f>
        <x:v>PASS</x:v>
      </x:c>
    </x:row>
    <x:row r="342">
      <x:c r="A342" s="84" t="str">
        <x:f>'Trade Features'!A342</x:f>
        <x:v>A0341</x:v>
      </x:c>
      <x:c r="B342" s="84" t="str">
        <x:f>'Trade Features'!F342</x:f>
        <x:v>Long</x:v>
      </x:c>
      <x:c r="C342" s="91" t="str">
        <x:f>'Trade Features'!BX342</x:f>
        <x:v>19279.0</x:v>
      </x:c>
      <x:c r="D342" s="91" t="str">
        <x:f>'Trade Features'!CA342</x:f>
        <x:v>19245.194130068932</x:v>
      </x:c>
      <x:c r="E342" s="91" t="str">
        <x:f>'Trade Features'!CH342</x:f>
        <x:v>0.2292501277382413</x:v>
      </x:c>
      <x:c r="F342" s="91" t="str">
        <x:f>'Trade Features'!CG342</x:f>
        <x:v>0.02144597969164291</x:v>
      </x:c>
      <x:c r="G342" s="92" t="n">
        <x:f>ABS(C342-D342)</x:f>
        <x:v>33.80586993106772</x:v>
      </x:c>
      <x:c r="H342" s="92" t="n">
        <x:f>IFERROR($O$2/(G342*$O$3),0)</x:f>
        <x:v>0.02144597969164291</x:v>
      </x:c>
      <x:c r="I342" s="92" t="n">
        <x:f>E342-H342</x:f>
        <x:v>0.20780414804659839</x:v>
      </x:c>
      <x:c r="J342" s="91" t="str">
        <x:f>'Trade Features'!CI342</x:f>
        <x:v>0.20780414804659839</x:v>
      </x:c>
      <x:c r="K342" s="92" t="n">
        <x:f>I342-J342</x:f>
        <x:v>0</x:v>
      </x:c>
      <x:c r="L342" s="90" t="str">
        <x:f>IF(ABS(K342)&lt;0.000000001,"PASS","FAIL")</x:f>
        <x:v>PASS</x:v>
      </x:c>
    </x:row>
    <x:row r="343">
      <x:c r="A343" s="84" t="str">
        <x:f>'Trade Features'!A343</x:f>
        <x:v>A0342</x:v>
      </x:c>
      <x:c r="B343" s="84" t="str">
        <x:f>'Trade Features'!F343</x:f>
        <x:v>Long</x:v>
      </x:c>
      <x:c r="C343" s="91" t="str">
        <x:f>'Trade Features'!BX343</x:f>
        <x:v>19056.25</x:v>
      </x:c>
      <x:c r="D343" s="91" t="str">
        <x:f>'Trade Features'!CA343</x:f>
        <x:v>18956.00341563094</x:v>
      </x:c>
      <x:c r="E343" s="91" t="str">
        <x:f>'Trade Features'!CH343</x:f>
        <x:v>0.46136235255388797</x:v>
      </x:c>
      <x:c r="F343" s="91" t="str">
        <x:f>'Trade Features'!CG343</x:f>
        <x:v>0.007232166607601362</x:v>
      </x:c>
      <x:c r="G343" s="92" t="n">
        <x:f>ABS(C343-D343)</x:f>
        <x:v>100.24658436905884</x:v>
      </x:c>
      <x:c r="H343" s="92" t="n">
        <x:f>IFERROR($O$2/(G343*$O$3),0)</x:f>
        <x:v>0.007232166607601362</x:v>
      </x:c>
      <x:c r="I343" s="92" t="n">
        <x:f>E343-H343</x:f>
        <x:v>0.4541301859462866</x:v>
      </x:c>
      <x:c r="J343" s="91" t="str">
        <x:f>'Trade Features'!CI343</x:f>
        <x:v>0.4541301859462866</x:v>
      </x:c>
      <x:c r="K343" s="92" t="n">
        <x:f>I343-J343</x:f>
        <x:v>0</x:v>
      </x:c>
      <x:c r="L343" s="90" t="str">
        <x:f>IF(ABS(K343)&lt;0.000000001,"PASS","FAIL")</x:f>
        <x:v>PASS</x:v>
      </x:c>
    </x:row>
    <x:row r="344">
      <x:c r="A344" s="84" t="str">
        <x:f>'Trade Features'!A344</x:f>
        <x:v>A0343</x:v>
      </x:c>
      <x:c r="B344" s="84" t="str">
        <x:f>'Trade Features'!F344</x:f>
        <x:v>Short</x:v>
      </x:c>
      <x:c r="C344" s="91" t="str">
        <x:f>'Trade Features'!BX344</x:f>
        <x:v>18985.0</x:v>
      </x:c>
      <x:c r="D344" s="91" t="str">
        <x:f>'Trade Features'!CA344</x:f>
        <x:v>19079.840404294137</x:v>
      </x:c>
      <x:c r="E344" s="91" t="str">
        <x:f>'Trade Features'!CH344</x:f>
        <x:v>-1.0</x:v>
      </x:c>
      <x:c r="F344" s="91" t="str">
        <x:f>'Trade Features'!CG344</x:f>
        <x:v>0.007644421229495147</x:v>
      </x:c>
      <x:c r="G344" s="92" t="n">
        <x:f>ABS(C344-D344)</x:f>
        <x:v>94.84040429413653</x:v>
      </x:c>
      <x:c r="H344" s="92" t="n">
        <x:f>IFERROR($O$2/(G344*$O$3),0)</x:f>
        <x:v>0.007644421229495147</x:v>
      </x:c>
      <x:c r="I344" s="92" t="n">
        <x:f>E344-H344</x:f>
        <x:v>-1.007644421229495</x:v>
      </x:c>
      <x:c r="J344" s="91" t="str">
        <x:f>'Trade Features'!CI344</x:f>
        <x:v>-1.007644421229495</x:v>
      </x:c>
      <x:c r="K344" s="92" t="n">
        <x:f>I344-J344</x:f>
        <x:v>0</x:v>
      </x:c>
      <x:c r="L344" s="90" t="str">
        <x:f>IF(ABS(K344)&lt;0.000000001,"PASS","FAIL")</x:f>
        <x:v>PASS</x:v>
      </x:c>
    </x:row>
    <x:row r="345">
      <x:c r="A345" s="84" t="str">
        <x:f>'Trade Features'!A345</x:f>
        <x:v>A0344</x:v>
      </x:c>
      <x:c r="B345" s="84" t="str">
        <x:f>'Trade Features'!F345</x:f>
        <x:v>Long</x:v>
      </x:c>
      <x:c r="C345" s="91" t="str">
        <x:f>'Trade Features'!BX345</x:f>
        <x:v>19296.5</x:v>
      </x:c>
      <x:c r="D345" s="91" t="str">
        <x:f>'Trade Features'!CA345</x:f>
        <x:v>19210.204721533533</x:v>
      </x:c>
      <x:c r="E345" s="91" t="str">
        <x:f>'Trade Features'!CH345</x:f>
        <x:v>-1.0</x:v>
      </x:c>
      <x:c r="F345" s="91" t="str">
        <x:f>'Trade Features'!CG345</x:f>
        <x:v>0.008401386644597551</x:v>
      </x:c>
      <x:c r="G345" s="92" t="n">
        <x:f>ABS(C345-D345)</x:f>
        <x:v>86.2952784664667</x:v>
      </x:c>
      <x:c r="H345" s="92" t="n">
        <x:f>IFERROR($O$2/(G345*$O$3),0)</x:f>
        <x:v>0.008401386644597551</x:v>
      </x:c>
      <x:c r="I345" s="92" t="n">
        <x:f>E345-H345</x:f>
        <x:v>-1.0084013866445976</x:v>
      </x:c>
      <x:c r="J345" s="91" t="str">
        <x:f>'Trade Features'!CI345</x:f>
        <x:v>-1.0084013866445976</x:v>
      </x:c>
      <x:c r="K345" s="92" t="n">
        <x:f>I345-J345</x:f>
        <x:v>0</x:v>
      </x:c>
      <x:c r="L345" s="90" t="str">
        <x:f>IF(ABS(K345)&lt;0.000000001,"PASS","FAIL")</x:f>
        <x:v>PASS</x:v>
      </x:c>
    </x:row>
    <x:row r="346">
      <x:c r="A346" s="84" t="str">
        <x:f>'Trade Features'!A346</x:f>
        <x:v>A0345</x:v>
      </x:c>
      <x:c r="B346" s="84" t="str">
        <x:f>'Trade Features'!F346</x:f>
        <x:v>Short</x:v>
      </x:c>
      <x:c r="C346" s="91" t="str">
        <x:f>'Trade Features'!BX346</x:f>
        <x:v>18908.25</x:v>
      </x:c>
      <x:c r="D346" s="91" t="str">
        <x:f>'Trade Features'!CA346</x:f>
        <x:v>18994.857021050087</x:v>
      </x:c>
      <x:c r="E346" s="91" t="str">
        <x:f>'Trade Features'!CH346</x:f>
        <x:v>0.22804155783834212</x:v>
      </x:c>
      <x:c r="F346" s="91" t="str">
        <x:f>'Trade Features'!CG346</x:f>
        <x:v>0.008371145794065706</x:v>
      </x:c>
      <x:c r="G346" s="92" t="n">
        <x:f>ABS(C346-D346)</x:f>
        <x:v>86.6070210500875</x:v>
      </x:c>
      <x:c r="H346" s="92" t="n">
        <x:f>IFERROR($O$2/(G346*$O$3),0)</x:f>
        <x:v>0.008371145794065706</x:v>
      </x:c>
      <x:c r="I346" s="92" t="n">
        <x:f>E346-H346</x:f>
        <x:v>0.21967041204427643</x:v>
      </x:c>
      <x:c r="J346" s="91" t="str">
        <x:f>'Trade Features'!CI346</x:f>
        <x:v>0.21967041204427643</x:v>
      </x:c>
      <x:c r="K346" s="92" t="n">
        <x:f>I346-J346</x:f>
        <x:v>0</x:v>
      </x:c>
      <x:c r="L346" s="90" t="str">
        <x:f>IF(ABS(K346)&lt;0.000000001,"PASS","FAIL")</x:f>
        <x:v>PASS</x:v>
      </x:c>
    </x:row>
    <x:row r="347">
      <x:c r="A347" s="84" t="str">
        <x:f>'Trade Features'!A347</x:f>
        <x:v>A0346</x:v>
      </x:c>
      <x:c r="B347" s="84" t="str">
        <x:f>'Trade Features'!F347</x:f>
        <x:v>Long</x:v>
      </x:c>
      <x:c r="C347" s="91" t="str">
        <x:f>'Trade Features'!BX347</x:f>
        <x:v>18345.75</x:v>
      </x:c>
      <x:c r="D347" s="91" t="str">
        <x:f>'Trade Features'!CA347</x:f>
        <x:v>18325.87185341274</x:v>
      </x:c>
      <x:c r="E347" s="91" t="str">
        <x:f>'Trade Features'!CH347</x:f>
        <x:v>0.9684001431167976</x:v>
      </x:c>
      <x:c r="F347" s="91" t="str">
        <x:f>'Trade Features'!CG347</x:f>
        <x:v>0.036472213182322646</x:v>
      </x:c>
      <x:c r="G347" s="92" t="n">
        <x:f>ABS(C347-D347)</x:f>
        <x:v>19.878146587259835</x:v>
      </x:c>
      <x:c r="H347" s="92" t="n">
        <x:f>IFERROR($O$2/(G347*$O$3),0)</x:f>
        <x:v>0.036472213182322646</x:v>
      </x:c>
      <x:c r="I347" s="92" t="n">
        <x:f>E347-H347</x:f>
        <x:v>0.9319279299344749</x:v>
      </x:c>
      <x:c r="J347" s="91" t="str">
        <x:f>'Trade Features'!CI347</x:f>
        <x:v>0.9319279299344749</x:v>
      </x:c>
      <x:c r="K347" s="92" t="n">
        <x:f>I347-J347</x:f>
        <x:v>0</x:v>
      </x:c>
      <x:c r="L347" s="90" t="str">
        <x:f>IF(ABS(K347)&lt;0.000000001,"PASS","FAIL")</x:f>
        <x:v>PASS</x:v>
      </x:c>
    </x:row>
    <x:row r="348">
      <x:c r="A348" s="84" t="str">
        <x:f>'Trade Features'!A348</x:f>
        <x:v>A0347</x:v>
      </x:c>
      <x:c r="B348" s="84" t="str">
        <x:f>'Trade Features'!F348</x:f>
        <x:v>Short</x:v>
      </x:c>
      <x:c r="C348" s="91" t="str">
        <x:f>'Trade Features'!BX348</x:f>
        <x:v>18544.75</x:v>
      </x:c>
      <x:c r="D348" s="91" t="str">
        <x:f>'Trade Features'!CA348</x:f>
        <x:v>18564.183706495296</x:v>
      </x:c>
      <x:c r="E348" s="91" t="str">
        <x:f>'Trade Features'!CH348</x:f>
        <x:v>2.0</x:v>
      </x:c>
      <x:c r="F348" s="91" t="str">
        <x:f>'Trade Features'!CG348</x:f>
        <x:v>0.0373063162282237</x:v>
      </x:c>
      <x:c r="G348" s="92" t="n">
        <x:f>ABS(C348-D348)</x:f>
        <x:v>19.433706495296065</x:v>
      </x:c>
      <x:c r="H348" s="92" t="n">
        <x:f>IFERROR($O$2/(G348*$O$3),0)</x:f>
        <x:v>0.0373063162282237</x:v>
      </x:c>
      <x:c r="I348" s="92" t="n">
        <x:f>E348-H348</x:f>
        <x:v>1.9626936837717763</x:v>
      </x:c>
      <x:c r="J348" s="91" t="str">
        <x:f>'Trade Features'!CI348</x:f>
        <x:v>1.9626936837717763</x:v>
      </x:c>
      <x:c r="K348" s="92" t="n">
        <x:f>I348-J348</x:f>
        <x:v>0</x:v>
      </x:c>
      <x:c r="L348" s="90" t="str">
        <x:f>IF(ABS(K348)&lt;0.000000001,"PASS","FAIL")</x:f>
        <x:v>PASS</x:v>
      </x:c>
    </x:row>
    <x:row r="349">
      <x:c r="A349" s="84" t="str">
        <x:f>'Trade Features'!A349</x:f>
        <x:v>A0348</x:v>
      </x:c>
      <x:c r="B349" s="84" t="str">
        <x:f>'Trade Features'!F349</x:f>
        <x:v>Short</x:v>
      </x:c>
      <x:c r="C349" s="91" t="str">
        <x:f>'Trade Features'!BX349</x:f>
        <x:v>18295.0</x:v>
      </x:c>
      <x:c r="D349" s="91" t="str">
        <x:f>'Trade Features'!CA349</x:f>
        <x:v>18308.38632039608</x:v>
      </x:c>
      <x:c r="E349" s="91" t="str">
        <x:f>'Trade Features'!CH349</x:f>
        <x:v>1.5500898967035666</x:v>
      </x:c>
      <x:c r="F349" s="91" t="str">
        <x:f>'Trade Features'!CG349</x:f>
        <x:v>0.054159767475187214</x:v>
      </x:c>
      <x:c r="G349" s="92" t="n">
        <x:f>ABS(C349-D349)</x:f>
        <x:v>13.3863203960791</x:v>
      </x:c>
      <x:c r="H349" s="92" t="n">
        <x:f>IFERROR($O$2/(G349*$O$3),0)</x:f>
        <x:v>0.054159767475187214</x:v>
      </x:c>
      <x:c r="I349" s="92" t="n">
        <x:f>E349-H349</x:f>
        <x:v>1.4959301292283793</x:v>
      </x:c>
      <x:c r="J349" s="91" t="str">
        <x:f>'Trade Features'!CI349</x:f>
        <x:v>1.4959301292283793</x:v>
      </x:c>
      <x:c r="K349" s="92" t="n">
        <x:f>I349-J349</x:f>
        <x:v>0</x:v>
      </x:c>
      <x:c r="L349" s="90" t="str">
        <x:f>IF(ABS(K349)&lt;0.000000001,"PASS","FAIL")</x:f>
        <x:v>PASS</x:v>
      </x:c>
    </x:row>
    <x:row r="350">
      <x:c r="A350" s="84" t="str">
        <x:f>'Trade Features'!A350</x:f>
        <x:v>A0349</x:v>
      </x:c>
      <x:c r="B350" s="84" t="str">
        <x:f>'Trade Features'!F350</x:f>
        <x:v>Short</x:v>
      </x:c>
      <x:c r="C350" s="91" t="str">
        <x:f>'Trade Features'!BX350</x:f>
        <x:v>18424.75</x:v>
      </x:c>
      <x:c r="D350" s="91" t="str">
        <x:f>'Trade Features'!CA350</x:f>
        <x:v>18488.421846338264</x:v>
      </x:c>
      <x:c r="E350" s="91" t="str">
        <x:f>'Trade Features'!CH350</x:f>
        <x:v>0.7734972807031936</x:v>
      </x:c>
      <x:c r="F350" s="91" t="str">
        <x:f>'Trade Features'!CG350</x:f>
        <x:v>0.011386508193092974</x:v>
      </x:c>
      <x:c r="G350" s="92" t="n">
        <x:f>ABS(C350-D350)</x:f>
        <x:v>63.671846338264004</x:v>
      </x:c>
      <x:c r="H350" s="92" t="n">
        <x:f>IFERROR($O$2/(G350*$O$3),0)</x:f>
        <x:v>0.011386508193092974</x:v>
      </x:c>
      <x:c r="I350" s="92" t="n">
        <x:f>E350-H350</x:f>
        <x:v>0.7621107725101006</x:v>
      </x:c>
      <x:c r="J350" s="91" t="str">
        <x:f>'Trade Features'!CI350</x:f>
        <x:v>0.7621107725101006</x:v>
      </x:c>
      <x:c r="K350" s="92" t="n">
        <x:f>I350-J350</x:f>
        <x:v>0</x:v>
      </x:c>
      <x:c r="L350" s="90" t="str">
        <x:f>IF(ABS(K350)&lt;0.000000001,"PASS","FAIL")</x:f>
        <x:v>PASS</x:v>
      </x:c>
    </x:row>
    <x:row r="351">
      <x:c r="A351" s="84" t="str">
        <x:f>'Trade Features'!A351</x:f>
        <x:v>A0350</x:v>
      </x:c>
      <x:c r="B351" s="84" t="str">
        <x:f>'Trade Features'!F351</x:f>
        <x:v>Long</x:v>
      </x:c>
      <x:c r="C351" s="91" t="str">
        <x:f>'Trade Features'!BX351</x:f>
        <x:v>18911.0</x:v>
      </x:c>
      <x:c r="D351" s="91" t="str">
        <x:f>'Trade Features'!CA351</x:f>
        <x:v>18898.395860424553</x:v>
      </x:c>
      <x:c r="E351" s="91" t="str">
        <x:f>'Trade Features'!CH351</x:f>
        <x:v>-1.0</x:v>
      </x:c>
      <x:c r="F351" s="91" t="str">
        <x:f>'Trade Features'!CG351</x:f>
        <x:v>0.057520784791394136</x:v>
      </x:c>
      <x:c r="G351" s="92" t="n">
        <x:f>ABS(C351-D351)</x:f>
        <x:v>12.604139575447334</x:v>
      </x:c>
      <x:c r="H351" s="92" t="n">
        <x:f>IFERROR($O$2/(G351*$O$3),0)</x:f>
        <x:v>0.057520784791394136</x:v>
      </x:c>
      <x:c r="I351" s="92" t="n">
        <x:f>E351-H351</x:f>
        <x:v>-1.057520784791394</x:v>
      </x:c>
      <x:c r="J351" s="91" t="str">
        <x:f>'Trade Features'!CI351</x:f>
        <x:v>-1.057520784791394</x:v>
      </x:c>
      <x:c r="K351" s="92" t="n">
        <x:f>I351-J351</x:f>
        <x:v>0</x:v>
      </x:c>
      <x:c r="L351" s="90" t="str">
        <x:f>IF(ABS(K351)&lt;0.000000001,"PASS","FAIL")</x:f>
        <x:v>PASS</x:v>
      </x:c>
    </x:row>
    <x:row r="352">
      <x:c r="A352" s="84" t="str">
        <x:f>'Trade Features'!A352</x:f>
        <x:v>A0351</x:v>
      </x:c>
      <x:c r="B352" s="84" t="str">
        <x:f>'Trade Features'!F352</x:f>
        <x:v>Short</x:v>
      </x:c>
      <x:c r="C352" s="91" t="str">
        <x:f>'Trade Features'!BX352</x:f>
        <x:v>18841.75</x:v>
      </x:c>
      <x:c r="D352" s="91" t="str">
        <x:f>'Trade Features'!CA352</x:f>
        <x:v>18856.606680905203</x:v>
      </x:c>
      <x:c r="E352" s="91" t="str">
        <x:f>'Trade Features'!CH352</x:f>
        <x:v>-1.0</x:v>
      </x:c>
      <x:c r="F352" s="91" t="str">
        <x:f>'Trade Features'!CG352</x:f>
        <x:v>0.04879959424491052</x:v>
      </x:c>
      <x:c r="G352" s="92" t="n">
        <x:f>ABS(C352-D352)</x:f>
        <x:v>14.856680905202666</x:v>
      </x:c>
      <x:c r="H352" s="92" t="n">
        <x:f>IFERROR($O$2/(G352*$O$3),0)</x:f>
        <x:v>0.04879959424491052</x:v>
      </x:c>
      <x:c r="I352" s="92" t="n">
        <x:f>E352-H352</x:f>
        <x:v>-1.0487995942449104</x:v>
      </x:c>
      <x:c r="J352" s="91" t="str">
        <x:f>'Trade Features'!CI352</x:f>
        <x:v>-1.0487995942449104</x:v>
      </x:c>
      <x:c r="K352" s="92" t="n">
        <x:f>I352-J352</x:f>
        <x:v>0</x:v>
      </x:c>
      <x:c r="L352" s="90" t="str">
        <x:f>IF(ABS(K352)&lt;0.000000001,"PASS","FAIL")</x:f>
        <x:v>PASS</x:v>
      </x:c>
    </x:row>
    <x:row r="353">
      <x:c r="A353" s="84" t="str">
        <x:f>'Trade Features'!A353</x:f>
        <x:v>A0352</x:v>
      </x:c>
      <x:c r="B353" s="84" t="str">
        <x:f>'Trade Features'!F353</x:f>
        <x:v>Short</x:v>
      </x:c>
      <x:c r="C353" s="91" t="str">
        <x:f>'Trade Features'!BX353</x:f>
        <x:v>19054.25</x:v>
      </x:c>
      <x:c r="D353" s="91" t="str">
        <x:f>'Trade Features'!CA353</x:f>
        <x:v>19063.747268257965</x:v>
      </x:c>
      <x:c r="E353" s="91" t="str">
        <x:f>'Trade Features'!CH353</x:f>
        <x:v>2.0</x:v>
      </x:c>
      <x:c r="F353" s="91" t="str">
        <x:f>'Trade Features'!CG353</x:f>
        <x:v>0.07633774052786178</x:v>
      </x:c>
      <x:c r="G353" s="92" t="n">
        <x:f>ABS(C353-D353)</x:f>
        <x:v>9.497268257964606</x:v>
      </x:c>
      <x:c r="H353" s="92" t="n">
        <x:f>IFERROR($O$2/(G353*$O$3),0)</x:f>
        <x:v>0.07633774052786178</x:v>
      </x:c>
      <x:c r="I353" s="92" t="n">
        <x:f>E353-H353</x:f>
        <x:v>1.9236622594721382</x:v>
      </x:c>
      <x:c r="J353" s="91" t="str">
        <x:f>'Trade Features'!CI353</x:f>
        <x:v>1.9236622594721382</x:v>
      </x:c>
      <x:c r="K353" s="92" t="n">
        <x:f>I353-J353</x:f>
        <x:v>0</x:v>
      </x:c>
      <x:c r="L353" s="90" t="str">
        <x:f>IF(ABS(K353)&lt;0.000000001,"PASS","FAIL")</x:f>
        <x:v>PASS</x:v>
      </x:c>
    </x:row>
    <x:row r="354">
      <x:c r="A354" s="84" t="str">
        <x:f>'Trade Features'!A354</x:f>
        <x:v>A0353</x:v>
      </x:c>
      <x:c r="B354" s="84" t="str">
        <x:f>'Trade Features'!F354</x:f>
        <x:v>Short</x:v>
      </x:c>
      <x:c r="C354" s="91" t="str">
        <x:f>'Trade Features'!BX354</x:f>
        <x:v>18495.75</x:v>
      </x:c>
      <x:c r="D354" s="91" t="str">
        <x:f>'Trade Features'!CA354</x:f>
        <x:v>18537.360033799494</x:v>
      </x:c>
      <x:c r="E354" s="91" t="str">
        <x:f>'Trade Features'!CH354</x:f>
        <x:v>-1.0</x:v>
      </x:c>
      <x:c r="F354" s="91" t="str">
        <x:f>'Trade Features'!CG354</x:f>
        <x:v>0.017423682073740992</x:v>
      </x:c>
      <x:c r="G354" s="92" t="n">
        <x:f>ABS(C354-D354)</x:f>
        <x:v>41.610033799493976</x:v>
      </x:c>
      <x:c r="H354" s="92" t="n">
        <x:f>IFERROR($O$2/(G354*$O$3),0)</x:f>
        <x:v>0.017423682073740992</x:v>
      </x:c>
      <x:c r="I354" s="92" t="n">
        <x:f>E354-H354</x:f>
        <x:v>-1.017423682073741</x:v>
      </x:c>
      <x:c r="J354" s="91" t="str">
        <x:f>'Trade Features'!CI354</x:f>
        <x:v>-1.017423682073741</x:v>
      </x:c>
      <x:c r="K354" s="92" t="n">
        <x:f>I354-J354</x:f>
        <x:v>0</x:v>
      </x:c>
      <x:c r="L354" s="90" t="str">
        <x:f>IF(ABS(K354)&lt;0.000000001,"PASS","FAIL")</x:f>
        <x:v>PASS</x:v>
      </x:c>
    </x:row>
    <x:row r="355">
      <x:c r="A355" s="84" t="str">
        <x:f>'Trade Features'!A355</x:f>
        <x:v>A0354</x:v>
      </x:c>
      <x:c r="B355" s="84" t="str">
        <x:f>'Trade Features'!F355</x:f>
        <x:v>Long</x:v>
      </x:c>
      <x:c r="C355" s="91" t="str">
        <x:f>'Trade Features'!BX355</x:f>
        <x:v>18696.25</x:v>
      </x:c>
      <x:c r="D355" s="91" t="str">
        <x:f>'Trade Features'!CA355</x:f>
        <x:v>18636.575851887144</x:v>
      </x:c>
      <x:c r="E355" s="91" t="str">
        <x:f>'Trade Features'!CH355</x:f>
        <x:v>-1.0</x:v>
      </x:c>
      <x:c r="F355" s="91" t="str">
        <x:f>'Trade Features'!CG355</x:f>
        <x:v>0.012149314618264538</x:v>
      </x:c>
      <x:c r="G355" s="92" t="n">
        <x:f>ABS(C355-D355)</x:f>
        <x:v>59.67414811285562</x:v>
      </x:c>
      <x:c r="H355" s="92" t="n">
        <x:f>IFERROR($O$2/(G355*$O$3),0)</x:f>
        <x:v>0.012149314618264538</x:v>
      </x:c>
      <x:c r="I355" s="92" t="n">
        <x:f>E355-H355</x:f>
        <x:v>-1.0121493146182645</x:v>
      </x:c>
      <x:c r="J355" s="91" t="str">
        <x:f>'Trade Features'!CI355</x:f>
        <x:v>-1.0121493146182645</x:v>
      </x:c>
      <x:c r="K355" s="92" t="n">
        <x:f>I355-J355</x:f>
        <x:v>0</x:v>
      </x:c>
      <x:c r="L355" s="90" t="str">
        <x:f>IF(ABS(K355)&lt;0.000000001,"PASS","FAIL")</x:f>
        <x:v>PASS</x:v>
      </x:c>
    </x:row>
    <x:row r="356">
      <x:c r="A356" s="84" t="str">
        <x:f>'Trade Features'!A356</x:f>
        <x:v>A0355</x:v>
      </x:c>
      <x:c r="B356" s="84" t="str">
        <x:f>'Trade Features'!F356</x:f>
        <x:v>Short</x:v>
      </x:c>
      <x:c r="C356" s="91" t="str">
        <x:f>'Trade Features'!BX356</x:f>
        <x:v>18262.5</x:v>
      </x:c>
      <x:c r="D356" s="91" t="str">
        <x:f>'Trade Features'!CA356</x:f>
        <x:v>18330.557859777407</x:v>
      </x:c>
      <x:c r="E356" s="91" t="str">
        <x:f>'Trade Features'!CH356</x:f>
        <x:v>2.0</x:v>
      </x:c>
      <x:c r="F356" s="91" t="str">
        <x:f>'Trade Features'!CG356</x:f>
        <x:v>0.01065270054584749</x:v>
      </x:c>
      <x:c r="G356" s="92" t="n">
        <x:f>ABS(C356-D356)</x:f>
        <x:v>68.05785977740743</x:v>
      </x:c>
      <x:c r="H356" s="92" t="n">
        <x:f>IFERROR($O$2/(G356*$O$3),0)</x:f>
        <x:v>0.01065270054584749</x:v>
      </x:c>
      <x:c r="I356" s="92" t="n">
        <x:f>E356-H356</x:f>
        <x:v>1.9893472994541526</x:v>
      </x:c>
      <x:c r="J356" s="91" t="str">
        <x:f>'Trade Features'!CI356</x:f>
        <x:v>1.9893472994541526</x:v>
      </x:c>
      <x:c r="K356" s="92" t="n">
        <x:f>I356-J356</x:f>
        <x:v>0</x:v>
      </x:c>
      <x:c r="L356" s="90" t="str">
        <x:f>IF(ABS(K356)&lt;0.000000001,"PASS","FAIL")</x:f>
        <x:v>PASS</x:v>
      </x:c>
    </x:row>
    <x:row r="357">
      <x:c r="A357" s="84" t="str">
        <x:f>'Trade Features'!A357</x:f>
        <x:v>A0356</x:v>
      </x:c>
      <x:c r="B357" s="84" t="str">
        <x:f>'Trade Features'!F357</x:f>
        <x:v>Short</x:v>
      </x:c>
      <x:c r="C357" s="91" t="str">
        <x:f>'Trade Features'!BX357</x:f>
        <x:v>17980.25</x:v>
      </x:c>
      <x:c r="D357" s="91" t="str">
        <x:f>'Trade Features'!CA357</x:f>
        <x:v>18019.040435738214</x:v>
      </x:c>
      <x:c r="E357" s="91" t="str">
        <x:f>'Trade Features'!CH357</x:f>
        <x:v>-1.0</x:v>
      </x:c>
      <x:c r="F357" s="91" t="str">
        <x:f>'Trade Features'!CG357</x:f>
        <x:v>0.018690174168004347</x:v>
      </x:c>
      <x:c r="G357" s="92" t="n">
        <x:f>ABS(C357-D357)</x:f>
        <x:v>38.790435738214</x:v>
      </x:c>
      <x:c r="H357" s="92" t="n">
        <x:f>IFERROR($O$2/(G357*$O$3),0)</x:f>
        <x:v>0.018690174168004347</x:v>
      </x:c>
      <x:c r="I357" s="92" t="n">
        <x:f>E357-H357</x:f>
        <x:v>-1.0186901741680043</x:v>
      </x:c>
      <x:c r="J357" s="91" t="str">
        <x:f>'Trade Features'!CI357</x:f>
        <x:v>-1.0186901741680043</x:v>
      </x:c>
      <x:c r="K357" s="92" t="n">
        <x:f>I357-J357</x:f>
        <x:v>0</x:v>
      </x:c>
      <x:c r="L357" s="90" t="str">
        <x:f>IF(ABS(K357)&lt;0.000000001,"PASS","FAIL")</x:f>
        <x:v>PASS</x:v>
      </x:c>
    </x:row>
    <x:row r="358">
      <x:c r="A358" s="84" t="str">
        <x:f>'Trade Features'!A358</x:f>
        <x:v>A0357</x:v>
      </x:c>
      <x:c r="B358" s="84" t="str">
        <x:f>'Trade Features'!F358</x:f>
        <x:v>Short</x:v>
      </x:c>
      <x:c r="C358" s="91" t="str">
        <x:f>'Trade Features'!BX358</x:f>
        <x:v>17947.5</x:v>
      </x:c>
      <x:c r="D358" s="91" t="str">
        <x:f>'Trade Features'!CA358</x:f>
        <x:v>17987.9310166986</x:v>
      </x:c>
      <x:c r="E358" s="91" t="str">
        <x:f>'Trade Features'!CH358</x:f>
        <x:v>2.0</x:v>
      </x:c>
      <x:c r="F358" s="91" t="str">
        <x:f>'Trade Features'!CG358</x:f>
        <x:v>0.017931777610358975</x:v>
      </x:c>
      <x:c r="G358" s="92" t="n">
        <x:f>ABS(C358-D358)</x:f>
        <x:v>40.431016698599706</x:v>
      </x:c>
      <x:c r="H358" s="92" t="n">
        <x:f>IFERROR($O$2/(G358*$O$3),0)</x:f>
        <x:v>0.017931777610358975</x:v>
      </x:c>
      <x:c r="I358" s="92" t="n">
        <x:f>E358-H358</x:f>
        <x:v>1.982068222389641</x:v>
      </x:c>
      <x:c r="J358" s="91" t="str">
        <x:f>'Trade Features'!CI358</x:f>
        <x:v>1.982068222389641</x:v>
      </x:c>
      <x:c r="K358" s="92" t="n">
        <x:f>I358-J358</x:f>
        <x:v>0</x:v>
      </x:c>
      <x:c r="L358" s="90" t="str">
        <x:f>IF(ABS(K358)&lt;0.000000001,"PASS","FAIL")</x:f>
        <x:v>PASS</x:v>
      </x:c>
    </x:row>
    <x:row r="359">
      <x:c r="A359" s="84" t="str">
        <x:f>'Trade Features'!A359</x:f>
        <x:v>A0358</x:v>
      </x:c>
      <x:c r="B359" s="84" t="str">
        <x:f>'Trade Features'!F359</x:f>
        <x:v>Short</x:v>
      </x:c>
      <x:c r="C359" s="91" t="str">
        <x:f>'Trade Features'!BX359</x:f>
        <x:v>17716.5</x:v>
      </x:c>
      <x:c r="D359" s="91" t="str">
        <x:f>'Trade Features'!CA359</x:f>
        <x:v>17748.948798612662</x:v>
      </x:c>
      <x:c r="E359" s="91" t="str">
        <x:f>'Trade Features'!CH359</x:f>
        <x:v>-1.0</x:v>
      </x:c>
      <x:c r="F359" s="91" t="str">
        <x:f>'Trade Features'!CG359</x:f>
        <x:v>0.022342891909627936</x:v>
      </x:c>
      <x:c r="G359" s="92" t="n">
        <x:f>ABS(C359-D359)</x:f>
        <x:v>32.44879861266236</x:v>
      </x:c>
      <x:c r="H359" s="92" t="n">
        <x:f>IFERROR($O$2/(G359*$O$3),0)</x:f>
        <x:v>0.022342891909627936</x:v>
      </x:c>
      <x:c r="I359" s="92" t="n">
        <x:f>E359-H359</x:f>
        <x:v>-1.022342891909628</x:v>
      </x:c>
      <x:c r="J359" s="91" t="str">
        <x:f>'Trade Features'!CI359</x:f>
        <x:v>-1.022342891909628</x:v>
      </x:c>
      <x:c r="K359" s="92" t="n">
        <x:f>I359-J359</x:f>
        <x:v>0</x:v>
      </x:c>
      <x:c r="L359" s="90" t="str">
        <x:f>IF(ABS(K359)&lt;0.000000001,"PASS","FAIL")</x:f>
        <x:v>PASS</x:v>
      </x:c>
    </x:row>
    <x:row r="360">
      <x:c r="A360" s="84" t="str">
        <x:f>'Trade Features'!A360</x:f>
        <x:v>A0359</x:v>
      </x:c>
      <x:c r="B360" s="84" t="str">
        <x:f>'Trade Features'!F360</x:f>
        <x:v>Long</x:v>
      </x:c>
      <x:c r="C360" s="91" t="str">
        <x:f>'Trade Features'!BX360</x:f>
        <x:v>18289.5</x:v>
      </x:c>
      <x:c r="D360" s="91" t="str">
        <x:f>'Trade Features'!CA360</x:f>
        <x:v>18229.863051772503</x:v>
      </x:c>
      <x:c r="E360" s="91" t="str">
        <x:f>'Trade Features'!CH360</x:f>
        <x:v>2.0</x:v>
      </x:c>
      <x:c r="F360" s="91" t="str">
        <x:f>'Trade Features'!CG360</x:f>
        <x:v>0.012156893026020483</x:v>
      </x:c>
      <x:c r="G360" s="92" t="n">
        <x:f>ABS(C360-D360)</x:f>
        <x:v>59.63694822749676</x:v>
      </x:c>
      <x:c r="H360" s="92" t="n">
        <x:f>IFERROR($O$2/(G360*$O$3),0)</x:f>
        <x:v>0.012156893026020483</x:v>
      </x:c>
      <x:c r="I360" s="92" t="n">
        <x:f>E360-H360</x:f>
        <x:v>1.9878431069739795</x:v>
      </x:c>
      <x:c r="J360" s="91" t="str">
        <x:f>'Trade Features'!CI360</x:f>
        <x:v>1.9878431069739795</x:v>
      </x:c>
      <x:c r="K360" s="92" t="n">
        <x:f>I360-J360</x:f>
        <x:v>0</x:v>
      </x:c>
      <x:c r="L360" s="90" t="str">
        <x:f>IF(ABS(K360)&lt;0.000000001,"PASS","FAIL")</x:f>
        <x:v>PASS</x:v>
      </x:c>
    </x:row>
    <x:row r="361">
      <x:c r="A361" s="84" t="str">
        <x:f>'Trade Features'!A361</x:f>
        <x:v>A0360</x:v>
      </x:c>
      <x:c r="B361" s="84" t="str">
        <x:f>'Trade Features'!F361</x:f>
        <x:v>Long</x:v>
      </x:c>
      <x:c r="C361" s="91" t="str">
        <x:f>'Trade Features'!BX361</x:f>
        <x:v>18506.75</x:v>
      </x:c>
      <x:c r="D361" s="91" t="str">
        <x:f>'Trade Features'!CA361</x:f>
        <x:v>18406.25190720595</x:v>
      </x:c>
      <x:c r="E361" s="91" t="str">
        <x:f>'Trade Features'!CH361</x:f>
        <x:v>-1.0</x:v>
      </x:c>
      <x:c r="F361" s="91" t="str">
        <x:f>'Trade Features'!CG361</x:f>
        <x:v>0.00721406725086561</x:v>
      </x:c>
      <x:c r="G361" s="92" t="n">
        <x:f>ABS(C361-D361)</x:f>
        <x:v>100.49809279404872</x:v>
      </x:c>
      <x:c r="H361" s="92" t="n">
        <x:f>IFERROR($O$2/(G361*$O$3),0)</x:f>
        <x:v>0.00721406725086561</x:v>
      </x:c>
      <x:c r="I361" s="92" t="n">
        <x:f>E361-H361</x:f>
        <x:v>-1.0072140672508656</x:v>
      </x:c>
      <x:c r="J361" s="91" t="str">
        <x:f>'Trade Features'!CI361</x:f>
        <x:v>-1.0072140672508656</x:v>
      </x:c>
      <x:c r="K361" s="92" t="n">
        <x:f>I361-J361</x:f>
        <x:v>0</x:v>
      </x:c>
      <x:c r="L361" s="90" t="str">
        <x:f>IF(ABS(K361)&lt;0.000000001,"PASS","FAIL")</x:f>
        <x:v>PASS</x:v>
      </x:c>
    </x:row>
    <x:row r="362">
      <x:c r="A362" s="84" t="str">
        <x:f>'Trade Features'!A362</x:f>
        <x:v>A0361</x:v>
      </x:c>
      <x:c r="B362" s="84" t="str">
        <x:f>'Trade Features'!F362</x:f>
        <x:v>Long</x:v>
      </x:c>
      <x:c r="C362" s="91" t="str">
        <x:f>'Trade Features'!BX362</x:f>
        <x:v>17565.75</x:v>
      </x:c>
      <x:c r="D362" s="91" t="str">
        <x:f>'Trade Features'!CA362</x:f>
        <x:v>17480.077315233564</x:v>
      </x:c>
      <x:c r="E362" s="91" t="str">
        <x:f>'Trade Features'!CH362</x:f>
        <x:v>0.14882223003468945</x:v>
      </x:c>
      <x:c r="F362" s="91" t="str">
        <x:f>'Trade Features'!CG362</x:f>
        <x:v>0.008462440531384334</x:v>
      </x:c>
      <x:c r="G362" s="92" t="n">
        <x:f>ABS(C362-D362)</x:f>
        <x:v>85.67268476643585</x:v>
      </x:c>
      <x:c r="H362" s="92" t="n">
        <x:f>IFERROR($O$2/(G362*$O$3),0)</x:f>
        <x:v>0.008462440531384334</x:v>
      </x:c>
      <x:c r="I362" s="92" t="n">
        <x:f>E362-H362</x:f>
        <x:v>0.1403597895033051</x:v>
      </x:c>
      <x:c r="J362" s="91" t="str">
        <x:f>'Trade Features'!CI362</x:f>
        <x:v>0.1403597895033051</x:v>
      </x:c>
      <x:c r="K362" s="92" t="n">
        <x:f>I362-J362</x:f>
        <x:v>0</x:v>
      </x:c>
      <x:c r="L362" s="90" t="str">
        <x:f>IF(ABS(K362)&lt;0.000000001,"PASS","FAIL")</x:f>
        <x:v>PASS</x:v>
      </x:c>
    </x:row>
    <x:row r="363">
      <x:c r="A363" s="84" t="str">
        <x:f>'Trade Features'!A363</x:f>
        <x:v>A0362</x:v>
      </x:c>
      <x:c r="B363" s="84" t="str">
        <x:f>'Trade Features'!F363</x:f>
        <x:v>Short</x:v>
      </x:c>
      <x:c r="C363" s="91" t="str">
        <x:f>'Trade Features'!BX363</x:f>
        <x:v>17611.5</x:v>
      </x:c>
      <x:c r="D363" s="91" t="str">
        <x:f>'Trade Features'!CA363</x:f>
        <x:v>17647.602234702426</x:v>
      </x:c>
      <x:c r="E363" s="91" t="str">
        <x:f>'Trade Features'!CH363</x:f>
        <x:v>-1.0</x:v>
      </x:c>
      <x:c r="F363" s="91" t="str">
        <x:f>'Trade Features'!CG363</x:f>
        <x:v>0.02008185936343919</x:v>
      </x:c>
      <x:c r="G363" s="92" t="n">
        <x:f>ABS(C363-D363)</x:f>
        <x:v>36.10223470242636</x:v>
      </x:c>
      <x:c r="H363" s="92" t="n">
        <x:f>IFERROR($O$2/(G363*$O$3),0)</x:f>
        <x:v>0.02008185936343919</x:v>
      </x:c>
      <x:c r="I363" s="92" t="n">
        <x:f>E363-H363</x:f>
        <x:v>-1.020081859363439</x:v>
      </x:c>
      <x:c r="J363" s="91" t="str">
        <x:f>'Trade Features'!CI363</x:f>
        <x:v>-1.020081859363439</x:v>
      </x:c>
      <x:c r="K363" s="92" t="n">
        <x:f>I363-J363</x:f>
        <x:v>0</x:v>
      </x:c>
      <x:c r="L363" s="90" t="str">
        <x:f>IF(ABS(K363)&lt;0.000000001,"PASS","FAIL")</x:f>
        <x:v>PASS</x:v>
      </x:c>
    </x:row>
    <x:row r="364">
      <x:c r="A364" s="84" t="str">
        <x:f>'Trade Features'!A364</x:f>
        <x:v>A0363</x:v>
      </x:c>
      <x:c r="B364" s="84" t="str">
        <x:f>'Trade Features'!F364</x:f>
        <x:v>Short</x:v>
      </x:c>
      <x:c r="C364" s="91" t="str">
        <x:f>'Trade Features'!BX364</x:f>
        <x:v>17365.5</x:v>
      </x:c>
      <x:c r="D364" s="91" t="str">
        <x:f>'Trade Features'!CA364</x:f>
        <x:v>17452.130765289563</x:v>
      </x:c>
      <x:c r="E364" s="91" t="str">
        <x:f>'Trade Features'!CH364</x:f>
        <x:v>-1.0</x:v>
      </x:c>
      <x:c r="F364" s="91" t="str">
        <x:f>'Trade Features'!CG364</x:f>
        <x:v>0.008368851384109218</x:v>
      </x:c>
      <x:c r="G364" s="92" t="n">
        <x:f>ABS(C364-D364)</x:f>
        <x:v>86.63076528956299</x:v>
      </x:c>
      <x:c r="H364" s="92" t="n">
        <x:f>IFERROR($O$2/(G364*$O$3),0)</x:f>
        <x:v>0.008368851384109218</x:v>
      </x:c>
      <x:c r="I364" s="92" t="n">
        <x:f>E364-H364</x:f>
        <x:v>-1.0083688513841091</x:v>
      </x:c>
      <x:c r="J364" s="91" t="str">
        <x:f>'Trade Features'!CI364</x:f>
        <x:v>-1.0083688513841091</x:v>
      </x:c>
      <x:c r="K364" s="92" t="n">
        <x:f>I364-J364</x:f>
        <x:v>0</x:v>
      </x:c>
      <x:c r="L364" s="90" t="str">
        <x:f>IF(ABS(K364)&lt;0.000000001,"PASS","FAIL")</x:f>
        <x:v>PASS</x:v>
      </x:c>
    </x:row>
    <x:row r="365">
      <x:c r="A365" s="84" t="str">
        <x:f>'Trade Features'!A365</x:f>
        <x:v>A0364</x:v>
      </x:c>
      <x:c r="B365" s="84" t="str">
        <x:f>'Trade Features'!F365</x:f>
        <x:v>Short</x:v>
      </x:c>
      <x:c r="C365" s="91" t="str">
        <x:f>'Trade Features'!BX365</x:f>
        <x:v>17353.0</x:v>
      </x:c>
      <x:c r="D365" s="91" t="str">
        <x:f>'Trade Features'!CA365</x:f>
        <x:v>17416.525688485854</x:v>
      </x:c>
      <x:c r="E365" s="91" t="str">
        <x:f>'Trade Features'!CH365</x:f>
        <x:v>-0.31089785047190466</x:v>
      </x:c>
      <x:c r="F365" s="91" t="str">
        <x:f>'Trade Features'!CG365</x:f>
        <x:v>0.0114127059033992</x:v>
      </x:c>
      <x:c r="G365" s="92" t="n">
        <x:f>ABS(C365-D365)</x:f>
        <x:v>63.52568848585361</x:v>
      </x:c>
      <x:c r="H365" s="92" t="n">
        <x:f>IFERROR($O$2/(G365*$O$3),0)</x:f>
        <x:v>0.0114127059033992</x:v>
      </x:c>
      <x:c r="I365" s="92" t="n">
        <x:f>E365-H365</x:f>
        <x:v>-0.32231055637530387</x:v>
      </x:c>
      <x:c r="J365" s="91" t="str">
        <x:f>'Trade Features'!CI365</x:f>
        <x:v>-0.32231055637530387</x:v>
      </x:c>
      <x:c r="K365" s="92" t="n">
        <x:f>I365-J365</x:f>
        <x:v>0</x:v>
      </x:c>
      <x:c r="L365" s="90" t="str">
        <x:f>IF(ABS(K365)&lt;0.000000001,"PASS","FAIL")</x:f>
        <x:v>PASS</x:v>
      </x:c>
    </x:row>
    <x:row r="366">
      <x:c r="A366" s="84" t="str">
        <x:f>'Trade Features'!A366</x:f>
        <x:v>A0365</x:v>
      </x:c>
      <x:c r="B366" s="84" t="str">
        <x:f>'Trade Features'!F366</x:f>
        <x:v>Short</x:v>
      </x:c>
      <x:c r="C366" s="91" t="str">
        <x:f>'Trade Features'!BX366</x:f>
        <x:v>17270.5</x:v>
      </x:c>
      <x:c r="D366" s="91" t="str">
        <x:f>'Trade Features'!CA366</x:f>
        <x:v>17337.93638387316</x:v>
      </x:c>
      <x:c r="E366" s="91" t="str">
        <x:f>'Trade Features'!CH366</x:f>
        <x:v>1.564437384401167</x:v>
      </x:c>
      <x:c r="F366" s="91" t="str">
        <x:f>'Trade Features'!CG366</x:f>
        <x:v>0.010750873020766563</x:v>
      </x:c>
      <x:c r="G366" s="92" t="n">
        <x:f>ABS(C366-D366)</x:f>
        <x:v>67.43638387315877</x:v>
      </x:c>
      <x:c r="H366" s="92" t="n">
        <x:f>IFERROR($O$2/(G366*$O$3),0)</x:f>
        <x:v>0.010750873020766563</x:v>
      </x:c>
      <x:c r="I366" s="92" t="n">
        <x:f>E366-H366</x:f>
        <x:v>1.5536865113804004</x:v>
      </x:c>
      <x:c r="J366" s="91" t="str">
        <x:f>'Trade Features'!CI366</x:f>
        <x:v>1.5536865113804004</x:v>
      </x:c>
      <x:c r="K366" s="92" t="n">
        <x:f>I366-J366</x:f>
        <x:v>0</x:v>
      </x:c>
      <x:c r="L366" s="90" t="str">
        <x:f>IF(ABS(K366)&lt;0.000000001,"PASS","FAIL")</x:f>
        <x:v>PASS</x:v>
      </x:c>
    </x:row>
    <x:row r="367">
      <x:c r="A367" s="84" t="str">
        <x:f>'Trade Features'!A367</x:f>
        <x:v>A0366</x:v>
      </x:c>
      <x:c r="B367" s="84" t="str">
        <x:f>'Trade Features'!F367</x:f>
        <x:v>Short</x:v>
      </x:c>
      <x:c r="C367" s="91" t="str">
        <x:f>'Trade Features'!BX367</x:f>
        <x:v>17173.25</x:v>
      </x:c>
      <x:c r="D367" s="91" t="str">
        <x:f>'Trade Features'!CA367</x:f>
        <x:v>17232.468078652386</x:v>
      </x:c>
      <x:c r="E367" s="91" t="str">
        <x:f>'Trade Features'!CH367</x:f>
        <x:v>-1.0</x:v>
      </x:c>
      <x:c r="F367" s="91" t="str">
        <x:f>'Trade Features'!CG367</x:f>
        <x:v>0.01224288285771308</x:v>
      </x:c>
      <x:c r="G367" s="92" t="n">
        <x:f>ABS(C367-D367)</x:f>
        <x:v>59.218078652385884</x:v>
      </x:c>
      <x:c r="H367" s="92" t="n">
        <x:f>IFERROR($O$2/(G367*$O$3),0)</x:f>
        <x:v>0.01224288285771308</x:v>
      </x:c>
      <x:c r="I367" s="92" t="n">
        <x:f>E367-H367</x:f>
        <x:v>-1.012242882857713</x:v>
      </x:c>
      <x:c r="J367" s="91" t="str">
        <x:f>'Trade Features'!CI367</x:f>
        <x:v>-1.012242882857713</x:v>
      </x:c>
      <x:c r="K367" s="92" t="n">
        <x:f>I367-J367</x:f>
        <x:v>0</x:v>
      </x:c>
      <x:c r="L367" s="90" t="str">
        <x:f>IF(ABS(K367)&lt;0.000000001,"PASS","FAIL")</x:f>
        <x:v>PASS</x:v>
      </x:c>
    </x:row>
    <x:row r="368">
      <x:c r="A368" s="84" t="str">
        <x:f>'Trade Features'!A368</x:f>
        <x:v>A0367</x:v>
      </x:c>
      <x:c r="B368" s="84" t="str">
        <x:f>'Trade Features'!F368</x:f>
        <x:v>Long</x:v>
      </x:c>
      <x:c r="C368" s="91" t="str">
        <x:f>'Trade Features'!BX368</x:f>
        <x:v>17152.5</x:v>
      </x:c>
      <x:c r="D368" s="91" t="str">
        <x:f>'Trade Features'!CA368</x:f>
        <x:v>17113.746595451103</x:v>
      </x:c>
      <x:c r="E368" s="91" t="str">
        <x:f>'Trade Features'!CH368</x:f>
        <x:v>0.37416067488225324</x:v>
      </x:c>
      <x:c r="F368" s="91" t="str">
        <x:f>'Trade Features'!CG368</x:f>
        <x:v>0.01870803374411211</x:v>
      </x:c>
      <x:c r="G368" s="92" t="n">
        <x:f>ABS(C368-D368)</x:f>
        <x:v>38.75340454889738</x:v>
      </x:c>
      <x:c r="H368" s="92" t="n">
        <x:f>IFERROR($O$2/(G368*$O$3),0)</x:f>
        <x:v>0.01870803374411211</x:v>
      </x:c>
      <x:c r="I368" s="92" t="n">
        <x:f>E368-H368</x:f>
        <x:v>0.3554526411381411</x:v>
      </x:c>
      <x:c r="J368" s="91" t="str">
        <x:f>'Trade Features'!CI368</x:f>
        <x:v>0.3554526411381411</x:v>
      </x:c>
      <x:c r="K368" s="92" t="n">
        <x:f>I368-J368</x:f>
        <x:v>0</x:v>
      </x:c>
      <x:c r="L368" s="90" t="str">
        <x:f>IF(ABS(K368)&lt;0.000000001,"PASS","FAIL")</x:f>
        <x:v>PASS</x:v>
      </x:c>
    </x:row>
    <x:row r="369">
      <x:c r="A369" s="84" t="str">
        <x:f>'Trade Features'!A369</x:f>
        <x:v>A0368</x:v>
      </x:c>
      <x:c r="B369" s="84" t="str">
        <x:f>'Trade Features'!F369</x:f>
        <x:v>Short</x:v>
      </x:c>
      <x:c r="C369" s="91" t="str">
        <x:f>'Trade Features'!BX369</x:f>
        <x:v>16275.0</x:v>
      </x:c>
      <x:c r="D369" s="91" t="str">
        <x:f>'Trade Features'!CA369</x:f>
        <x:v>16425.2715357413</x:v>
      </x:c>
      <x:c r="E369" s="91" t="str">
        <x:f>'Trade Features'!CH369</x:f>
        <x:v>-0.8002180812673347</x:v>
      </x:c>
      <x:c r="F369" s="91" t="str">
        <x:f>'Trade Features'!CG369</x:f>
        <x:v>0.004824599658368598</x:v>
      </x:c>
      <x:c r="G369" s="92" t="n">
        <x:f>ABS(C369-D369)</x:f>
        <x:v>150.27153574129989</x:v>
      </x:c>
      <x:c r="H369" s="92" t="n">
        <x:f>IFERROR($O$2/(G369*$O$3),0)</x:f>
        <x:v>0.004824599658368598</x:v>
      </x:c>
      <x:c r="I369" s="92" t="n">
        <x:f>E369-H369</x:f>
        <x:v>-0.8050426809257033</x:v>
      </x:c>
      <x:c r="J369" s="91" t="str">
        <x:f>'Trade Features'!CI369</x:f>
        <x:v>-0.8050426809257033</x:v>
      </x:c>
      <x:c r="K369" s="92" t="n">
        <x:f>I369-J369</x:f>
        <x:v>0</x:v>
      </x:c>
      <x:c r="L369" s="90" t="str">
        <x:f>IF(ABS(K369)&lt;0.000000001,"PASS","FAIL")</x:f>
        <x:v>PASS</x:v>
      </x:c>
    </x:row>
    <x:row r="370">
      <x:c r="A370" s="84" t="str">
        <x:f>'Trade Features'!A370</x:f>
        <x:v>A0369</x:v>
      </x:c>
      <x:c r="B370" s="84" t="str">
        <x:f>'Trade Features'!F370</x:f>
        <x:v>Long</x:v>
      </x:c>
      <x:c r="C370" s="91" t="str">
        <x:f>'Trade Features'!BX370</x:f>
        <x:v>15456.25</x:v>
      </x:c>
      <x:c r="D370" s="91" t="str">
        <x:f>'Trade Features'!CA370</x:f>
        <x:v>15334.870809185399</x:v>
      </x:c>
      <x:c r="E370" s="91" t="str">
        <x:f>'Trade Features'!CH370</x:f>
        <x:v>-1.0</x:v>
      </x:c>
      <x:c r="F370" s="91" t="str">
        <x:f>'Trade Features'!CG370</x:f>
        <x:v>0.0059730172456610746</x:v>
      </x:c>
      <x:c r="G370" s="92" t="n">
        <x:f>ABS(C370-D370)</x:f>
        <x:v>121.37919081460132</x:v>
      </x:c>
      <x:c r="H370" s="92" t="n">
        <x:f>IFERROR($O$2/(G370*$O$3),0)</x:f>
        <x:v>0.0059730172456610746</x:v>
      </x:c>
      <x:c r="I370" s="92" t="n">
        <x:f>E370-H370</x:f>
        <x:v>-1.0059730172456611</x:v>
      </x:c>
      <x:c r="J370" s="91" t="str">
        <x:f>'Trade Features'!CI370</x:f>
        <x:v>-1.0059730172456611</x:v>
      </x:c>
      <x:c r="K370" s="92" t="n">
        <x:f>I370-J370</x:f>
        <x:v>0</x:v>
      </x:c>
      <x:c r="L370" s="90" t="str">
        <x:f>IF(ABS(K370)&lt;0.000000001,"PASS","FAIL")</x:f>
        <x:v>PASS</x:v>
      </x:c>
    </x:row>
    <x:row r="371">
      <x:c r="A371" s="84" t="str">
        <x:f>'Trade Features'!A371</x:f>
        <x:v>A0370</x:v>
      </x:c>
      <x:c r="B371" s="84" t="str">
        <x:f>'Trade Features'!F371</x:f>
        <x:v>Short</x:v>
      </x:c>
      <x:c r="C371" s="91" t="str">
        <x:f>'Trade Features'!BX371</x:f>
        <x:v>16375.25</x:v>
      </x:c>
      <x:c r="D371" s="91" t="str">
        <x:f>'Trade Features'!CA371</x:f>
        <x:v>16499.14268732482</x:v>
      </x:c>
      <x:c r="E371" s="91" t="str">
        <x:f>'Trade Features'!CH371</x:f>
        <x:v>2.0</x:v>
      </x:c>
      <x:c r="F371" s="91" t="str">
        <x:f>'Trade Features'!CG371</x:f>
        <x:v>0.005851838519728004</x:v>
      </x:c>
      <x:c r="G371" s="92" t="n">
        <x:f>ABS(C371-D371)</x:f>
        <x:v>123.89268732482014</x:v>
      </x:c>
      <x:c r="H371" s="92" t="n">
        <x:f>IFERROR($O$2/(G371*$O$3),0)</x:f>
        <x:v>0.005851838519728004</x:v>
      </x:c>
      <x:c r="I371" s="92" t="n">
        <x:f>E371-H371</x:f>
        <x:v>1.994148161480272</x:v>
      </x:c>
      <x:c r="J371" s="91" t="str">
        <x:f>'Trade Features'!CI371</x:f>
        <x:v>1.994148161480272</x:v>
      </x:c>
      <x:c r="K371" s="92" t="n">
        <x:f>I371-J371</x:f>
        <x:v>0</x:v>
      </x:c>
      <x:c r="L371" s="90" t="str">
        <x:f>IF(ABS(K371)&lt;0.000000001,"PASS","FAIL")</x:f>
        <x:v>PASS</x:v>
      </x:c>
    </x:row>
    <x:row r="372">
      <x:c r="A372" s="84" t="str">
        <x:f>'Trade Features'!A372</x:f>
        <x:v>A0371</x:v>
      </x:c>
      <x:c r="B372" s="84" t="str">
        <x:f>'Trade Features'!F372</x:f>
        <x:v>Long</x:v>
      </x:c>
      <x:c r="C372" s="91" t="str">
        <x:f>'Trade Features'!BX372</x:f>
        <x:v>15507.25</x:v>
      </x:c>
      <x:c r="D372" s="91" t="str">
        <x:f>'Trade Features'!CA372</x:f>
        <x:v>15412.11330781636</x:v>
      </x:c>
      <x:c r="E372" s="91" t="str">
        <x:f>'Trade Features'!CH372</x:f>
        <x:v>2.0</x:v>
      </x:c>
      <x:c r="F372" s="91" t="str">
        <x:f>'Trade Features'!CG372</x:f>
        <x:v>0.00762061391203882</x:v>
      </x:c>
      <x:c r="G372" s="92" t="n">
        <x:f>ABS(C372-D372)</x:f>
        <x:v>95.13669218363975</x:v>
      </x:c>
      <x:c r="H372" s="92" t="n">
        <x:f>IFERROR($O$2/(G372*$O$3),0)</x:f>
        <x:v>0.00762061391203882</x:v>
      </x:c>
      <x:c r="I372" s="92" t="n">
        <x:f>E372-H372</x:f>
        <x:v>1.9923793860879613</x:v>
      </x:c>
      <x:c r="J372" s="91" t="str">
        <x:f>'Trade Features'!CI372</x:f>
        <x:v>1.9923793860879613</x:v>
      </x:c>
      <x:c r="K372" s="92" t="n">
        <x:f>I372-J372</x:f>
        <x:v>0</x:v>
      </x:c>
      <x:c r="L372" s="90" t="str">
        <x:f>IF(ABS(K372)&lt;0.000000001,"PASS","FAIL")</x:f>
        <x:v>PASS</x:v>
      </x:c>
    </x:row>
    <x:row r="373">
      <x:c r="A373" s="84" t="str">
        <x:f>'Trade Features'!A373</x:f>
        <x:v>A0372</x:v>
      </x:c>
      <x:c r="B373" s="84" t="str">
        <x:f>'Trade Features'!F373</x:f>
        <x:v>Short</x:v>
      </x:c>
      <x:c r="C373" s="91" t="str">
        <x:f>'Trade Features'!BX373</x:f>
        <x:v>17752.25</x:v>
      </x:c>
      <x:c r="D373" s="91" t="str">
        <x:f>'Trade Features'!CA373</x:f>
        <x:v>17808.23212148681</x:v>
      </x:c>
      <x:c r="E373" s="91" t="str">
        <x:f>'Trade Features'!CH373</x:f>
        <x:v>-1.0</x:v>
      </x:c>
      <x:c r="F373" s="91" t="str">
        <x:f>'Trade Features'!CG373</x:f>
        <x:v>0.01295056315739697</x:v>
      </x:c>
      <x:c r="G373" s="92" t="n">
        <x:f>ABS(C373-D373)</x:f>
        <x:v>55.982121486809774</x:v>
      </x:c>
      <x:c r="H373" s="92" t="n">
        <x:f>IFERROR($O$2/(G373*$O$3),0)</x:f>
        <x:v>0.01295056315739697</x:v>
      </x:c>
      <x:c r="I373" s="92" t="n">
        <x:f>E373-H373</x:f>
        <x:v>-1.012950563157397</x:v>
      </x:c>
      <x:c r="J373" s="91" t="str">
        <x:f>'Trade Features'!CI373</x:f>
        <x:v>-1.012950563157397</x:v>
      </x:c>
      <x:c r="K373" s="92" t="n">
        <x:f>I373-J373</x:f>
        <x:v>0</x:v>
      </x:c>
      <x:c r="L373" s="90" t="str">
        <x:f>IF(ABS(K373)&lt;0.000000001,"PASS","FAIL")</x:f>
        <x:v>PASS</x:v>
      </x:c>
    </x:row>
    <x:row r="374">
      <x:c r="A374" s="84" t="str">
        <x:f>'Trade Features'!A374</x:f>
        <x:v>A0373</x:v>
      </x:c>
      <x:c r="B374" s="84" t="str">
        <x:f>'Trade Features'!F374</x:f>
        <x:v>Long</x:v>
      </x:c>
      <x:c r="C374" s="91" t="str">
        <x:f>'Trade Features'!BX374</x:f>
        <x:v>17527.0</x:v>
      </x:c>
      <x:c r="D374" s="91" t="str">
        <x:f>'Trade Features'!CA374</x:f>
        <x:v>17449.175772283932</x:v>
      </x:c>
      <x:c r="E374" s="91" t="str">
        <x:f>'Trade Features'!CH374</x:f>
        <x:v>-1.0</x:v>
      </x:c>
      <x:c r="F374" s="91" t="str">
        <x:f>'Trade Features'!CG374</x:f>
        <x:v>0.009315865011151442</x:v>
      </x:c>
      <x:c r="G374" s="92" t="n">
        <x:f>ABS(C374-D374)</x:f>
        <x:v>77.82422771606798</x:v>
      </x:c>
      <x:c r="H374" s="92" t="n">
        <x:f>IFERROR($O$2/(G374*$O$3),0)</x:f>
        <x:v>0.009315865011151442</x:v>
      </x:c>
      <x:c r="I374" s="92" t="n">
        <x:f>E374-H374</x:f>
        <x:v>-1.0093158650111513</x:v>
      </x:c>
      <x:c r="J374" s="91" t="str">
        <x:f>'Trade Features'!CI374</x:f>
        <x:v>-1.0093158650111513</x:v>
      </x:c>
      <x:c r="K374" s="92" t="n">
        <x:f>I374-J374</x:f>
        <x:v>0</x:v>
      </x:c>
      <x:c r="L374" s="90" t="str">
        <x:f>IF(ABS(K374)&lt;0.000000001,"PASS","FAIL")</x:f>
        <x:v>PASS</x:v>
      </x:c>
    </x:row>
    <x:row r="375">
      <x:c r="A375" s="84" t="str">
        <x:f>'Trade Features'!A375</x:f>
        <x:v>A0374</x:v>
      </x:c>
      <x:c r="B375" s="84" t="str">
        <x:f>'Trade Features'!F375</x:f>
        <x:v>Long</x:v>
      </x:c>
      <x:c r="C375" s="91" t="str">
        <x:f>'Trade Features'!BX375</x:f>
        <x:v>17392.0</x:v>
      </x:c>
      <x:c r="D375" s="91" t="str">
        <x:f>'Trade Features'!CA375</x:f>
        <x:v>17268.843376326953</x:v>
      </x:c>
      <x:c r="E375" s="91" t="str">
        <x:f>'Trade Features'!CH375</x:f>
        <x:v>-1.0</x:v>
      </x:c>
      <x:c r="F375" s="91" t="str">
        <x:f>'Trade Features'!CG375</x:f>
        <x:v>0.005886812892213674</x:v>
      </x:c>
      <x:c r="G375" s="92" t="n">
        <x:f>ABS(C375-D375)</x:f>
        <x:v>123.15662367304685</x:v>
      </x:c>
      <x:c r="H375" s="92" t="n">
        <x:f>IFERROR($O$2/(G375*$O$3),0)</x:f>
        <x:v>0.005886812892213674</x:v>
      </x:c>
      <x:c r="I375" s="92" t="n">
        <x:f>E375-H375</x:f>
        <x:v>-1.0058868128922136</x:v>
      </x:c>
      <x:c r="J375" s="91" t="str">
        <x:f>'Trade Features'!CI375</x:f>
        <x:v>-1.0058868128922136</x:v>
      </x:c>
      <x:c r="K375" s="92" t="n">
        <x:f>I375-J375</x:f>
        <x:v>0</x:v>
      </x:c>
      <x:c r="L375" s="90" t="str">
        <x:f>IF(ABS(K375)&lt;0.000000001,"PASS","FAIL")</x:f>
        <x:v>PASS</x:v>
      </x:c>
    </x:row>
    <x:row r="376">
      <x:c r="A376" s="84" t="str">
        <x:f>'Trade Features'!A376</x:f>
        <x:v>A0375</x:v>
      </x:c>
      <x:c r="B376" s="84" t="str">
        <x:f>'Trade Features'!F376</x:f>
        <x:v>Short</x:v>
      </x:c>
      <x:c r="C376" s="91" t="str">
        <x:f>'Trade Features'!BX376</x:f>
        <x:v>17443.75</x:v>
      </x:c>
      <x:c r="D376" s="91" t="str">
        <x:f>'Trade Features'!CA376</x:f>
        <x:v>17532.635923768546</x:v>
      </x:c>
      <x:c r="E376" s="91" t="str">
        <x:f>'Trade Features'!CH376</x:f>
        <x:v>0.37407497824493013</x:v>
      </x:c>
      <x:c r="F376" s="91" t="str">
        <x:f>'Trade Features'!CG376</x:f>
        <x:v>0.008156522082032422</x:v>
      </x:c>
      <x:c r="G376" s="92" t="n">
        <x:f>ABS(C376-D376)</x:f>
        <x:v>88.88592376854649</x:v>
      </x:c>
      <x:c r="H376" s="92" t="n">
        <x:f>IFERROR($O$2/(G376*$O$3),0)</x:f>
        <x:v>0.008156522082032422</x:v>
      </x:c>
      <x:c r="I376" s="92" t="n">
        <x:f>E376-H376</x:f>
        <x:v>0.3659184561628977</x:v>
      </x:c>
      <x:c r="J376" s="91" t="str">
        <x:f>'Trade Features'!CI376</x:f>
        <x:v>0.3659184561628977</x:v>
      </x:c>
      <x:c r="K376" s="92" t="n">
        <x:f>I376-J376</x:f>
        <x:v>0</x:v>
      </x:c>
      <x:c r="L376" s="90" t="str">
        <x:f>IF(ABS(K376)&lt;0.000000001,"PASS","FAIL")</x:f>
        <x:v>PASS</x:v>
      </x:c>
    </x:row>
    <x:row r="377">
      <x:c r="A377" s="84" t="str">
        <x:f>'Trade Features'!A377</x:f>
        <x:v>A0376</x:v>
      </x:c>
      <x:c r="B377" s="84" t="str">
        <x:f>'Trade Features'!F377</x:f>
        <x:v>Short</x:v>
      </x:c>
      <x:c r="C377" s="91" t="str">
        <x:f>'Trade Features'!BX377</x:f>
        <x:v>17126.0</x:v>
      </x:c>
      <x:c r="D377" s="91" t="str">
        <x:f>'Trade Features'!CA377</x:f>
        <x:v>17187.11227732842</x:v>
      </x:c>
      <x:c r="E377" s="91" t="str">
        <x:f>'Trade Features'!CH377</x:f>
        <x:v>0.6136246534959658</x:v>
      </x:c>
      <x:c r="F377" s="91" t="str">
        <x:f>'Trade Features'!CG377</x:f>
        <x:v>0.011863409967588577</x:v>
      </x:c>
      <x:c r="G377" s="92" t="n">
        <x:f>ABS(C377-D377)</x:f>
        <x:v>61.11227732841871</x:v>
      </x:c>
      <x:c r="H377" s="92" t="n">
        <x:f>IFERROR($O$2/(G377*$O$3),0)</x:f>
        <x:v>0.011863409967588577</x:v>
      </x:c>
      <x:c r="I377" s="92" t="n">
        <x:f>E377-H377</x:f>
        <x:v>0.6017612435283772</x:v>
      </x:c>
      <x:c r="J377" s="91" t="str">
        <x:f>'Trade Features'!CI377</x:f>
        <x:v>0.6017612435283772</x:v>
      </x:c>
      <x:c r="K377" s="92" t="n">
        <x:f>I377-J377</x:f>
        <x:v>0</x:v>
      </x:c>
      <x:c r="L377" s="90" t="str">
        <x:f>IF(ABS(K377)&lt;0.000000001,"PASS","FAIL")</x:f>
        <x:v>PASS</x:v>
      </x:c>
    </x:row>
    <x:row r="378">
      <x:c r="A378" s="84" t="str">
        <x:f>'Trade Features'!A378</x:f>
        <x:v>A0377</x:v>
      </x:c>
      <x:c r="B378" s="84" t="str">
        <x:f>'Trade Features'!F378</x:f>
        <x:v>Short</x:v>
      </x:c>
      <x:c r="C378" s="91" t="str">
        <x:f>'Trade Features'!BX378</x:f>
        <x:v>16795.5</x:v>
      </x:c>
      <x:c r="D378" s="91" t="str">
        <x:f>'Trade Features'!CA378</x:f>
        <x:v>16871.515804334133</x:v>
      </x:c>
      <x:c r="E378" s="91" t="str">
        <x:f>'Trade Features'!CH378</x:f>
        <x:v>-0.14470675008118897</x:v>
      </x:c>
      <x:c r="F378" s="91" t="str">
        <x:f>'Trade Features'!CG378</x:f>
        <x:v>0.009537490346260285</x:v>
      </x:c>
      <x:c r="G378" s="92" t="n">
        <x:f>ABS(C378-D378)</x:f>
        <x:v>76.01580433413255</x:v>
      </x:c>
      <x:c r="H378" s="92" t="n">
        <x:f>IFERROR($O$2/(G378*$O$3),0)</x:f>
        <x:v>0.009537490346260285</x:v>
      </x:c>
      <x:c r="I378" s="92" t="n">
        <x:f>E378-H378</x:f>
        <x:v>-0.15424424042744925</x:v>
      </x:c>
      <x:c r="J378" s="91" t="str">
        <x:f>'Trade Features'!CI378</x:f>
        <x:v>-0.15424424042744925</x:v>
      </x:c>
      <x:c r="K378" s="92" t="n">
        <x:f>I378-J378</x:f>
        <x:v>0</x:v>
      </x:c>
      <x:c r="L378" s="90" t="str">
        <x:f>IF(ABS(K378)&lt;0.000000001,"PASS","FAIL")</x:f>
        <x:v>PASS</x:v>
      </x:c>
    </x:row>
    <x:row r="379">
      <x:c r="A379" s="84" t="str">
        <x:f>'Trade Features'!A379</x:f>
        <x:v>A0378</x:v>
      </x:c>
      <x:c r="B379" s="84" t="str">
        <x:f>'Trade Features'!F379</x:f>
        <x:v>Short</x:v>
      </x:c>
      <x:c r="C379" s="91" t="str">
        <x:f>'Trade Features'!BX379</x:f>
        <x:v>16810.5</x:v>
      </x:c>
      <x:c r="D379" s="91" t="str">
        <x:f>'Trade Features'!CA379</x:f>
        <x:v>16843.861231313607</x:v>
      </x:c>
      <x:c r="E379" s="91" t="str">
        <x:f>'Trade Features'!CH379</x:f>
        <x:v>-1.0</x:v>
      </x:c>
      <x:c r="F379" s="91" t="str">
        <x:f>'Trade Features'!CG379</x:f>
        <x:v>0.021731811790300714</x:v>
      </x:c>
      <x:c r="G379" s="92" t="n">
        <x:f>ABS(C379-D379)</x:f>
        <x:v>33.36123131360728</x:v>
      </x:c>
      <x:c r="H379" s="92" t="n">
        <x:f>IFERROR($O$2/(G379*$O$3),0)</x:f>
        <x:v>0.021731811790300714</x:v>
      </x:c>
      <x:c r="I379" s="92" t="n">
        <x:f>E379-H379</x:f>
        <x:v>-1.0217318117903007</x:v>
      </x:c>
      <x:c r="J379" s="91" t="str">
        <x:f>'Trade Features'!CI379</x:f>
        <x:v>-1.0217318117903007</x:v>
      </x:c>
      <x:c r="K379" s="92" t="n">
        <x:f>I379-J379</x:f>
        <x:v>0</x:v>
      </x:c>
      <x:c r="L379" s="90" t="str">
        <x:f>IF(ABS(K379)&lt;0.000000001,"PASS","FAIL")</x:f>
        <x:v>PASS</x:v>
      </x:c>
    </x:row>
    <x:row r="380">
      <x:c r="A380" s="84" t="str">
        <x:f>'Trade Features'!A380</x:f>
        <x:v>A0379</x:v>
      </x:c>
      <x:c r="B380" s="84" t="str">
        <x:f>'Trade Features'!F380</x:f>
        <x:v>Long</x:v>
      </x:c>
      <x:c r="C380" s="91" t="str">
        <x:f>'Trade Features'!BX380</x:f>
        <x:v>16564.5</x:v>
      </x:c>
      <x:c r="D380" s="91" t="str">
        <x:f>'Trade Features'!CA380</x:f>
        <x:v>16540.862152173082</x:v>
      </x:c>
      <x:c r="E380" s="91" t="str">
        <x:f>'Trade Features'!CH380</x:f>
        <x:v>2.0</x:v>
      </x:c>
      <x:c r="F380" s="91" t="str">
        <x:f>'Trade Features'!CG380</x:f>
        <x:v>0.03067115099938979</x:v>
      </x:c>
      <x:c r="G380" s="92" t="n">
        <x:f>ABS(C380-D380)</x:f>
        <x:v>23.637847826918005</x:v>
      </x:c>
      <x:c r="H380" s="92" t="n">
        <x:f>IFERROR($O$2/(G380*$O$3),0)</x:f>
        <x:v>0.03067115099938979</x:v>
      </x:c>
      <x:c r="I380" s="92" t="n">
        <x:f>E380-H380</x:f>
        <x:v>1.9693288490006102</x:v>
      </x:c>
      <x:c r="J380" s="91" t="str">
        <x:f>'Trade Features'!CI380</x:f>
        <x:v>1.9693288490006102</x:v>
      </x:c>
      <x:c r="K380" s="92" t="n">
        <x:f>I380-J380</x:f>
        <x:v>0</x:v>
      </x:c>
      <x:c r="L380" s="90" t="str">
        <x:f>IF(ABS(K380)&lt;0.000000001,"PASS","FAIL")</x:f>
        <x:v>PASS</x:v>
      </x:c>
    </x:row>
    <x:row r="381">
      <x:c r="A381" s="84" t="str">
        <x:f>'Trade Features'!A381</x:f>
        <x:v>A0380</x:v>
      </x:c>
      <x:c r="B381" s="84" t="str">
        <x:f>'Trade Features'!F381</x:f>
        <x:v>Short</x:v>
      </x:c>
      <x:c r="C381" s="91" t="str">
        <x:f>'Trade Features'!BX381</x:f>
        <x:v>17433.75</x:v>
      </x:c>
      <x:c r="D381" s="91" t="str">
        <x:f>'Trade Features'!CA381</x:f>
        <x:v>17531.73536257744</x:v>
      </x:c>
      <x:c r="E381" s="91" t="str">
        <x:f>'Trade Features'!CH381</x:f>
        <x:v>0.17604670275488132</x:v>
      </x:c>
      <x:c r="F381" s="91" t="str">
        <x:f>'Trade Features'!CG381</x:f>
        <x:v>0.007399064318683386</x:v>
      </x:c>
      <x:c r="G381" s="92" t="n">
        <x:f>ABS(C381-D381)</x:f>
        <x:v>97.98536257744126</x:v>
      </x:c>
      <x:c r="H381" s="92" t="n">
        <x:f>IFERROR($O$2/(G381*$O$3),0)</x:f>
        <x:v>0.007399064318683386</x:v>
      </x:c>
      <x:c r="I381" s="92" t="n">
        <x:f>E381-H381</x:f>
        <x:v>0.16864763843619793</x:v>
      </x:c>
      <x:c r="J381" s="91" t="str">
        <x:f>'Trade Features'!CI381</x:f>
        <x:v>0.16864763843619793</x:v>
      </x:c>
      <x:c r="K381" s="92" t="n">
        <x:f>I381-J381</x:f>
        <x:v>0</x:v>
      </x:c>
      <x:c r="L381" s="90" t="str">
        <x:f>IF(ABS(K381)&lt;0.000000001,"PASS","FAIL")</x:f>
        <x:v>PASS</x:v>
      </x:c>
    </x:row>
    <x:row r="382">
      <x:c r="A382" s="84" t="str">
        <x:f>'Trade Features'!A382</x:f>
        <x:v>A0381</x:v>
      </x:c>
      <x:c r="B382" s="84" t="str">
        <x:f>'Trade Features'!F382</x:f>
        <x:v>Short</x:v>
      </x:c>
      <x:c r="C382" s="91" t="str">
        <x:f>'Trade Features'!BX382</x:f>
        <x:v>17373.0</x:v>
      </x:c>
      <x:c r="D382" s="91" t="str">
        <x:f>'Trade Features'!CA382</x:f>
        <x:v>17446.039598248863</x:v>
      </x:c>
      <x:c r="E382" s="91" t="str">
        <x:f>'Trade Features'!CH382</x:f>
        <x:v>0.41758170542066375</x:v>
      </x:c>
      <x:c r="F382" s="91" t="str">
        <x:f>'Trade Features'!CG382</x:f>
        <x:v>0.009926122505900968</x:v>
      </x:c>
      <x:c r="G382" s="92" t="n">
        <x:f>ABS(C382-D382)</x:f>
        <x:v>73.0395982488626</x:v>
      </x:c>
      <x:c r="H382" s="92" t="n">
        <x:f>IFERROR($O$2/(G382*$O$3),0)</x:f>
        <x:v>0.009926122505900968</x:v>
      </x:c>
      <x:c r="I382" s="92" t="n">
        <x:f>E382-H382</x:f>
        <x:v>0.4076555829147628</x:v>
      </x:c>
      <x:c r="J382" s="91" t="str">
        <x:f>'Trade Features'!CI382</x:f>
        <x:v>0.4076555829147628</x:v>
      </x:c>
      <x:c r="K382" s="92" t="n">
        <x:f>I382-J382</x:f>
        <x:v>0</x:v>
      </x:c>
      <x:c r="L382" s="90" t="str">
        <x:f>IF(ABS(K382)&lt;0.000000001,"PASS","FAIL")</x:f>
        <x:v>PASS</x:v>
      </x:c>
    </x:row>
    <x:row r="383">
      <x:c r="A383" s="84" t="str">
        <x:f>'Trade Features'!A383</x:f>
        <x:v>A0382</x:v>
      </x:c>
      <x:c r="B383" s="84" t="str">
        <x:f>'Trade Features'!F383</x:f>
        <x:v>Long</x:v>
      </x:c>
      <x:c r="C383" s="91" t="str">
        <x:f>'Trade Features'!BX383</x:f>
        <x:v>18078.75</x:v>
      </x:c>
      <x:c r="D383" s="91" t="str">
        <x:f>'Trade Features'!CA383</x:f>
        <x:v>18026.6213775098</x:v>
      </x:c>
      <x:c r="E383" s="91" t="str">
        <x:f>'Trade Features'!CH383</x:f>
        <x:v>-1.0</x:v>
      </x:c>
      <x:c r="F383" s="91" t="str">
        <x:f>'Trade Features'!CG383</x:f>
        <x:v>0.013907906354830354</x:v>
      </x:c>
      <x:c r="G383" s="92" t="n">
        <x:f>ABS(C383-D383)</x:f>
        <x:v>52.12862249019963</x:v>
      </x:c>
      <x:c r="H383" s="92" t="n">
        <x:f>IFERROR($O$2/(G383*$O$3),0)</x:f>
        <x:v>0.013907906354830354</x:v>
      </x:c>
      <x:c r="I383" s="92" t="n">
        <x:f>E383-H383</x:f>
        <x:v>-1.0139079063548304</x:v>
      </x:c>
      <x:c r="J383" s="91" t="str">
        <x:f>'Trade Features'!CI383</x:f>
        <x:v>-1.0139079063548304</x:v>
      </x:c>
      <x:c r="K383" s="92" t="n">
        <x:f>I383-J383</x:f>
        <x:v>0</x:v>
      </x:c>
      <x:c r="L383" s="90" t="str">
        <x:f>IF(ABS(K383)&lt;0.000000001,"PASS","FAIL")</x:f>
        <x:v>PASS</x:v>
      </x:c>
    </x:row>
    <x:row r="384">
      <x:c r="A384" s="84" t="str">
        <x:f>'Trade Features'!A384</x:f>
        <x:v>A0383</x:v>
      </x:c>
      <x:c r="B384" s="84" t="str">
        <x:f>'Trade Features'!F384</x:f>
        <x:v>Short</x:v>
      </x:c>
      <x:c r="C384" s="91" t="str">
        <x:f>'Trade Features'!BX384</x:f>
        <x:v>17992.0</x:v>
      </x:c>
      <x:c r="D384" s="91" t="str">
        <x:f>'Trade Features'!CA384</x:f>
        <x:v>18028.416145192357</x:v>
      </x:c>
      <x:c r="E384" s="91" t="str">
        <x:f>'Trade Features'!CH384</x:f>
        <x:v>0.39130995125180346</x:v>
      </x:c>
      <x:c r="F384" s="91" t="str">
        <x:f>'Trade Features'!CG384</x:f>
        <x:v>0.01990875190579357</x:v>
      </x:c>
      <x:c r="G384" s="92" t="n">
        <x:f>ABS(C384-D384)</x:f>
        <x:v>36.41614519235736</x:v>
      </x:c>
      <x:c r="H384" s="92" t="n">
        <x:f>IFERROR($O$2/(G384*$O$3),0)</x:f>
        <x:v>0.01990875190579357</x:v>
      </x:c>
      <x:c r="I384" s="92" t="n">
        <x:f>E384-H384</x:f>
        <x:v>0.3714011993460099</x:v>
      </x:c>
      <x:c r="J384" s="91" t="str">
        <x:f>'Trade Features'!CI384</x:f>
        <x:v>0.3714011993460099</x:v>
      </x:c>
      <x:c r="K384" s="92" t="n">
        <x:f>I384-J384</x:f>
        <x:v>0</x:v>
      </x:c>
      <x:c r="L384" s="90" t="str">
        <x:f>IF(ABS(K384)&lt;0.000000001,"PASS","FAIL")</x:f>
        <x:v>PASS</x:v>
      </x:c>
    </x:row>
    <x:row r="385">
      <x:c r="A385" s="84" t="str">
        <x:f>'Trade Features'!A385</x:f>
        <x:v>A0384</x:v>
      </x:c>
      <x:c r="B385" s="84" t="str">
        <x:f>'Trade Features'!F385</x:f>
        <x:v>Short</x:v>
      </x:c>
      <x:c r="C385" s="91" t="str">
        <x:f>'Trade Features'!BX385</x:f>
        <x:v>17945.25</x:v>
      </x:c>
      <x:c r="D385" s="91" t="str">
        <x:f>'Trade Features'!CA385</x:f>
        <x:v>18011.740636294602</x:v>
      </x:c>
      <x:c r="E385" s="91" t="str">
        <x:f>'Trade Features'!CH385</x:f>
        <x:v>1.3310144846242806</x:v>
      </x:c>
      <x:c r="F385" s="91" t="str">
        <x:f>'Trade Features'!CG385</x:f>
        <x:v>0.010903790975735586</x:v>
      </x:c>
      <x:c r="G385" s="92" t="n">
        <x:f>ABS(C385-D385)</x:f>
        <x:v>66.49063629460215</x:v>
      </x:c>
      <x:c r="H385" s="92" t="n">
        <x:f>IFERROR($O$2/(G385*$O$3),0)</x:f>
        <x:v>0.010903790975735586</x:v>
      </x:c>
      <x:c r="I385" s="92" t="n">
        <x:f>E385-H385</x:f>
        <x:v>1.320110693648545</x:v>
      </x:c>
      <x:c r="J385" s="91" t="str">
        <x:f>'Trade Features'!CI385</x:f>
        <x:v>1.320110693648545</x:v>
      </x:c>
      <x:c r="K385" s="92" t="n">
        <x:f>I385-J385</x:f>
        <x:v>0</x:v>
      </x:c>
      <x:c r="L385" s="90" t="str">
        <x:f>IF(ABS(K385)&lt;0.000000001,"PASS","FAIL")</x:f>
        <x:v>PASS</x:v>
      </x:c>
    </x:row>
    <x:row r="386">
      <x:c r="A386" s="84" t="str">
        <x:f>'Trade Features'!A386</x:f>
        <x:v>A0385</x:v>
      </x:c>
      <x:c r="B386" s="84" t="str">
        <x:f>'Trade Features'!F386</x:f>
        <x:v>Short</x:v>
      </x:c>
      <x:c r="C386" s="91" t="str">
        <x:f>'Trade Features'!BX386</x:f>
        <x:v>18134.75</x:v>
      </x:c>
      <x:c r="D386" s="91" t="str">
        <x:f>'Trade Features'!CA386</x:f>
        <x:v>18175.798476810178</x:v>
      </x:c>
      <x:c r="E386" s="91" t="str">
        <x:f>'Trade Features'!CH386</x:f>
        <x:v>0.24361439880566366</x:v>
      </x:c>
      <x:c r="F386" s="91" t="str">
        <x:f>'Trade Features'!CG386</x:f>
        <x:v>0.017662043913411155</x:v>
      </x:c>
      <x:c r="G386" s="92" t="n">
        <x:f>ABS(C386-D386)</x:f>
        <x:v>41.04847681017782</x:v>
      </x:c>
      <x:c r="H386" s="92" t="n">
        <x:f>IFERROR($O$2/(G386*$O$3),0)</x:f>
        <x:v>0.017662043913411155</x:v>
      </x:c>
      <x:c r="I386" s="92" t="n">
        <x:f>E386-H386</x:f>
        <x:v>0.22595235489225252</x:v>
      </x:c>
      <x:c r="J386" s="91" t="str">
        <x:f>'Trade Features'!CI386</x:f>
        <x:v>0.22595235489225252</x:v>
      </x:c>
      <x:c r="K386" s="92" t="n">
        <x:f>I386-J386</x:f>
        <x:v>0</x:v>
      </x:c>
      <x:c r="L386" s="90" t="str">
        <x:f>IF(ABS(K386)&lt;0.000000001,"PASS","FAIL")</x:f>
        <x:v>PASS</x:v>
      </x:c>
    </x:row>
    <x:row r="387">
      <x:c r="A387" s="84" t="str">
        <x:f>'Trade Features'!A387</x:f>
        <x:v>A0386</x:v>
      </x:c>
      <x:c r="B387" s="84" t="str">
        <x:f>'Trade Features'!F387</x:f>
        <x:v>Long</x:v>
      </x:c>
      <x:c r="C387" s="91" t="str">
        <x:f>'Trade Features'!BX387</x:f>
        <x:v>18498.75</x:v>
      </x:c>
      <x:c r="D387" s="91" t="str">
        <x:f>'Trade Features'!CA387</x:f>
        <x:v>18481.441576205896</x:v>
      </x:c>
      <x:c r="E387" s="91" t="str">
        <x:f>'Trade Features'!CH387</x:f>
        <x:v>-1.0</x:v>
      </x:c>
      <x:c r="F387" s="91" t="str">
        <x:f>'Trade Features'!CG387</x:f>
        <x:v>0.04188711858597845</x:v>
      </x:c>
      <x:c r="G387" s="92" t="n">
        <x:f>ABS(C387-D387)</x:f>
        <x:v>17.308423794103874</x:v>
      </x:c>
      <x:c r="H387" s="92" t="n">
        <x:f>IFERROR($O$2/(G387*$O$3),0)</x:f>
        <x:v>0.04188711858597845</x:v>
      </x:c>
      <x:c r="I387" s="92" t="n">
        <x:f>E387-H387</x:f>
        <x:v>-1.0418871185859784</x:v>
      </x:c>
      <x:c r="J387" s="91" t="str">
        <x:f>'Trade Features'!CI387</x:f>
        <x:v>-1.0418871185859784</x:v>
      </x:c>
      <x:c r="K387" s="92" t="n">
        <x:f>I387-J387</x:f>
        <x:v>0</x:v>
      </x:c>
      <x:c r="L387" s="90" t="str">
        <x:f>IF(ABS(K387)&lt;0.000000001,"PASS","FAIL")</x:f>
        <x:v>PASS</x:v>
      </x:c>
    </x:row>
    <x:row r="388">
      <x:c r="A388" s="84" t="str">
        <x:f>'Trade Features'!A388</x:f>
        <x:v>A0387</x:v>
      </x:c>
      <x:c r="B388" s="84" t="str">
        <x:f>'Trade Features'!F388</x:f>
        <x:v>Short</x:v>
      </x:c>
      <x:c r="C388" s="91" t="str">
        <x:f>'Trade Features'!BX388</x:f>
        <x:v>18469.0</x:v>
      </x:c>
      <x:c r="D388" s="91" t="str">
        <x:f>'Trade Features'!CA388</x:f>
        <x:v>18489.277044360253</x:v>
      </x:c>
      <x:c r="E388" s="91" t="str">
        <x:f>'Trade Features'!CH388</x:f>
        <x:v>-1.0</x:v>
      </x:c>
      <x:c r="F388" s="91" t="str">
        <x:f>'Trade Features'!CG388</x:f>
        <x:v>0.035754717853314986</x:v>
      </x:c>
      <x:c r="G388" s="92" t="n">
        <x:f>ABS(C388-D388)</x:f>
        <x:v>20.277044360253058</x:v>
      </x:c>
      <x:c r="H388" s="92" t="n">
        <x:f>IFERROR($O$2/(G388*$O$3),0)</x:f>
        <x:v>0.035754717853314986</x:v>
      </x:c>
      <x:c r="I388" s="92" t="n">
        <x:f>E388-H388</x:f>
        <x:v>-1.035754717853315</x:v>
      </x:c>
      <x:c r="J388" s="91" t="str">
        <x:f>'Trade Features'!CI388</x:f>
        <x:v>-1.035754717853315</x:v>
      </x:c>
      <x:c r="K388" s="92" t="n">
        <x:f>I388-J388</x:f>
        <x:v>0</x:v>
      </x:c>
      <x:c r="L388" s="90" t="str">
        <x:f>IF(ABS(K388)&lt;0.000000001,"PASS","FAIL")</x:f>
        <x:v>PASS</x:v>
      </x:c>
    </x:row>
    <x:row r="389">
      <x:c r="A389" s="84" t="str">
        <x:f>'Trade Features'!A389</x:f>
        <x:v>A0388</x:v>
      </x:c>
      <x:c r="B389" s="84" t="str">
        <x:f>'Trade Features'!F389</x:f>
        <x:v>Long</x:v>
      </x:c>
      <x:c r="C389" s="91" t="str">
        <x:f>'Trade Features'!BX389</x:f>
        <x:v>18512.75</x:v>
      </x:c>
      <x:c r="D389" s="91" t="str">
        <x:f>'Trade Features'!CA389</x:f>
        <x:v>18490.846465300372</x:v>
      </x:c>
      <x:c r="E389" s="91" t="str">
        <x:f>'Trade Features'!CH389</x:f>
        <x:v>-1.0</x:v>
      </x:c>
      <x:c r="F389" s="91" t="str">
        <x:f>'Trade Features'!CG389</x:f>
        <x:v>0.03309968048272663</x:v>
      </x:c>
      <x:c r="G389" s="92" t="n">
        <x:f>ABS(C389-D389)</x:f>
        <x:v>21.903534699627926</x:v>
      </x:c>
      <x:c r="H389" s="92" t="n">
        <x:f>IFERROR($O$2/(G389*$O$3),0)</x:f>
        <x:v>0.03309968048272663</x:v>
      </x:c>
      <x:c r="I389" s="92" t="n">
        <x:f>E389-H389</x:f>
        <x:v>-1.0330996804827266</x:v>
      </x:c>
      <x:c r="J389" s="91" t="str">
        <x:f>'Trade Features'!CI389</x:f>
        <x:v>-1.0330996804827266</x:v>
      </x:c>
      <x:c r="K389" s="92" t="n">
        <x:f>I389-J389</x:f>
        <x:v>0</x:v>
      </x:c>
      <x:c r="L389" s="90" t="str">
        <x:f>IF(ABS(K389)&lt;0.000000001,"PASS","FAIL")</x:f>
        <x:v>PASS</x:v>
      </x:c>
    </x:row>
    <x:row r="390">
      <x:c r="A390" s="84" t="str">
        <x:f>'Trade Features'!A390</x:f>
        <x:v>A0389</x:v>
      </x:c>
      <x:c r="B390" s="84" t="str">
        <x:f>'Trade Features'!F390</x:f>
        <x:v>Short</x:v>
      </x:c>
      <x:c r="C390" s="91" t="str">
        <x:f>'Trade Features'!BX390</x:f>
        <x:v>18523.25</x:v>
      </x:c>
      <x:c r="D390" s="91" t="str">
        <x:f>'Trade Features'!CA390</x:f>
        <x:v>18553.063438320096</x:v>
      </x:c>
      <x:c r="E390" s="91" t="str">
        <x:f>'Trade Features'!CH390</x:f>
        <x:v>2.0</x:v>
      </x:c>
      <x:c r="F390" s="91" t="str">
        <x:f>'Trade Features'!CG390</x:f>
        <x:v>0.024317892898361556</x:v>
      </x:c>
      <x:c r="G390" s="92" t="n">
        <x:f>ABS(C390-D390)</x:f>
        <x:v>29.813438320095884</x:v>
      </x:c>
      <x:c r="H390" s="92" t="n">
        <x:f>IFERROR($O$2/(G390*$O$3),0)</x:f>
        <x:v>0.024317892898361556</x:v>
      </x:c>
      <x:c r="I390" s="92" t="n">
        <x:f>E390-H390</x:f>
        <x:v>1.9756821071016384</x:v>
      </x:c>
      <x:c r="J390" s="91" t="str">
        <x:f>'Trade Features'!CI390</x:f>
        <x:v>1.9756821071016384</x:v>
      </x:c>
      <x:c r="K390" s="92" t="n">
        <x:f>I390-J390</x:f>
        <x:v>0</x:v>
      </x:c>
      <x:c r="L390" s="90" t="str">
        <x:f>IF(ABS(K390)&lt;0.000000001,"PASS","FAIL")</x:f>
        <x:v>PASS</x:v>
      </x:c>
    </x:row>
    <x:row r="391">
      <x:c r="A391" s="84" t="str">
        <x:f>'Trade Features'!A391</x:f>
        <x:v>A0390</x:v>
      </x:c>
      <x:c r="B391" s="84" t="str">
        <x:f>'Trade Features'!F391</x:f>
        <x:v>Long</x:v>
      </x:c>
      <x:c r="C391" s="91" t="str">
        <x:f>'Trade Features'!BX391</x:f>
        <x:v>18572.75</x:v>
      </x:c>
      <x:c r="D391" s="91" t="str">
        <x:f>'Trade Features'!CA391</x:f>
        <x:v>18511.275545388675</x:v>
      </x:c>
      <x:c r="E391" s="91" t="str">
        <x:f>'Trade Features'!CH391</x:f>
        <x:v>0.5042745022464861</x:v>
      </x:c>
      <x:c r="F391" s="91" t="str">
        <x:f>'Trade Features'!CG391</x:f>
        <x:v>0.01179351658479677</x:v>
      </x:c>
      <x:c r="G391" s="92" t="n">
        <x:f>ABS(C391-D391)</x:f>
        <x:v>61.4744546113252</x:v>
      </x:c>
      <x:c r="H391" s="92" t="n">
        <x:f>IFERROR($O$2/(G391*$O$3),0)</x:f>
        <x:v>0.01179351658479677</x:v>
      </x:c>
      <x:c r="I391" s="92" t="n">
        <x:f>E391-H391</x:f>
        <x:v>0.4924809856616893</x:v>
      </x:c>
      <x:c r="J391" s="91" t="str">
        <x:f>'Trade Features'!CI391</x:f>
        <x:v>0.4924809856616893</x:v>
      </x:c>
      <x:c r="K391" s="92" t="n">
        <x:f>I391-J391</x:f>
        <x:v>0</x:v>
      </x:c>
      <x:c r="L391" s="90" t="str">
        <x:f>IF(ABS(K391)&lt;0.000000001,"PASS","FAIL")</x:f>
        <x:v>PASS</x:v>
      </x:c>
    </x:row>
    <x:row r="392">
      <x:c r="A392" s="84" t="str">
        <x:f>'Trade Features'!A392</x:f>
        <x:v>A0391</x:v>
      </x:c>
      <x:c r="B392" s="84" t="str">
        <x:f>'Trade Features'!F392</x:f>
        <x:v>Short</x:v>
      </x:c>
      <x:c r="C392" s="91" t="str">
        <x:f>'Trade Features'!BX392</x:f>
        <x:v>18463.0</x:v>
      </x:c>
      <x:c r="D392" s="91" t="str">
        <x:f>'Trade Features'!CA392</x:f>
        <x:v>18488.71788225175</x:v>
      </x:c>
      <x:c r="E392" s="91" t="str">
        <x:f>'Trade Features'!CH392</x:f>
        <x:v>-1.0</x:v>
      </x:c>
      <x:c r="F392" s="91" t="str">
        <x:f>'Trade Features'!CG392</x:f>
        <x:v>0.028190501570194253</x:v>
      </x:c>
      <x:c r="G392" s="92" t="n">
        <x:f>ABS(C392-D392)</x:f>
        <x:v>25.71788225174896</x:v>
      </x:c>
      <x:c r="H392" s="92" t="n">
        <x:f>IFERROR($O$2/(G392*$O$3),0)</x:f>
        <x:v>0.028190501570194253</x:v>
      </x:c>
      <x:c r="I392" s="92" t="n">
        <x:f>E392-H392</x:f>
        <x:v>-1.0281905015701942</x:v>
      </x:c>
      <x:c r="J392" s="91" t="str">
        <x:f>'Trade Features'!CI392</x:f>
        <x:v>-1.0281905015701942</x:v>
      </x:c>
      <x:c r="K392" s="92" t="n">
        <x:f>I392-J392</x:f>
        <x:v>0</x:v>
      </x:c>
      <x:c r="L392" s="90" t="str">
        <x:f>IF(ABS(K392)&lt;0.000000001,"PASS","FAIL")</x:f>
        <x:v>PASS</x:v>
      </x:c>
    </x:row>
    <x:row r="393">
      <x:c r="A393" s="84" t="str">
        <x:f>'Trade Features'!A393</x:f>
        <x:v>A0392</x:v>
      </x:c>
      <x:c r="B393" s="84" t="str">
        <x:f>'Trade Features'!F393</x:f>
        <x:v>Long</x:v>
      </x:c>
      <x:c r="C393" s="91" t="str">
        <x:f>'Trade Features'!BX393</x:f>
        <x:v>18796.25</x:v>
      </x:c>
      <x:c r="D393" s="91" t="str">
        <x:f>'Trade Features'!CA393</x:f>
        <x:v>18744.051458023456</x:v>
      </x:c>
      <x:c r="E393" s="91" t="str">
        <x:f>'Trade Features'!CH393</x:f>
        <x:v>-0.6800956244324469</x:v>
      </x:c>
      <x:c r="F393" s="91" t="str">
        <x:f>'Trade Features'!CG393</x:f>
        <x:v>0.013889276837000234</x:v>
      </x:c>
      <x:c r="G393" s="92" t="n">
        <x:f>ABS(C393-D393)</x:f>
        <x:v>52.19854197654422</x:v>
      </x:c>
      <x:c r="H393" s="92" t="n">
        <x:f>IFERROR($O$2/(G393*$O$3),0)</x:f>
        <x:v>0.013889276837000234</x:v>
      </x:c>
      <x:c r="I393" s="92" t="n">
        <x:f>E393-H393</x:f>
        <x:v>-0.6939849012694471</x:v>
      </x:c>
      <x:c r="J393" s="91" t="str">
        <x:f>'Trade Features'!CI393</x:f>
        <x:v>-0.6939849012694471</x:v>
      </x:c>
      <x:c r="K393" s="92" t="n">
        <x:f>I393-J393</x:f>
        <x:v>0</x:v>
      </x:c>
      <x:c r="L393" s="90" t="str">
        <x:f>IF(ABS(K393)&lt;0.000000001,"PASS","FAIL")</x:f>
        <x:v>PASS</x:v>
      </x:c>
    </x:row>
    <x:row r="394">
      <x:c r="A394" s="84" t="str">
        <x:f>'Trade Features'!A394</x:f>
        <x:v>A0393</x:v>
      </x:c>
      <x:c r="B394" s="84" t="str">
        <x:f>'Trade Features'!F394</x:f>
        <x:v>Long</x:v>
      </x:c>
      <x:c r="C394" s="91" t="str">
        <x:f>'Trade Features'!BX394</x:f>
        <x:v>18559.75</x:v>
      </x:c>
      <x:c r="D394" s="91" t="str">
        <x:f>'Trade Features'!CA394</x:f>
        <x:v>18537.426378787517</x:v>
      </x:c>
      <x:c r="E394" s="91" t="str">
        <x:f>'Trade Features'!CH394</x:f>
        <x:v>-1.0</x:v>
      </x:c>
      <x:c r="F394" s="91" t="str">
        <x:f>'Trade Features'!CG394</x:f>
        <x:v>0.03247680979260626</x:v>
      </x:c>
      <x:c r="G394" s="92" t="n">
        <x:f>ABS(C394-D394)</x:f>
        <x:v>22.323621212482976</x:v>
      </x:c>
      <x:c r="H394" s="92" t="n">
        <x:f>IFERROR($O$2/(G394*$O$3),0)</x:f>
        <x:v>0.03247680979260626</x:v>
      </x:c>
      <x:c r="I394" s="92" t="n">
        <x:f>E394-H394</x:f>
        <x:v>-1.0324768097926063</x:v>
      </x:c>
      <x:c r="J394" s="91" t="str">
        <x:f>'Trade Features'!CI394</x:f>
        <x:v>-1.0324768097926063</x:v>
      </x:c>
      <x:c r="K394" s="92" t="n">
        <x:f>I394-J394</x:f>
        <x:v>0</x:v>
      </x:c>
      <x:c r="L394" s="90" t="str">
        <x:f>IF(ABS(K394)&lt;0.000000001,"PASS","FAIL")</x:f>
        <x:v>PASS</x:v>
      </x:c>
    </x:row>
    <x:row r="395">
      <x:c r="A395" s="84" t="str">
        <x:f>'Trade Features'!A395</x:f>
        <x:v>A0394</x:v>
      </x:c>
      <x:c r="B395" s="84" t="str">
        <x:f>'Trade Features'!F395</x:f>
        <x:v>Long</x:v>
      </x:c>
      <x:c r="C395" s="91" t="str">
        <x:f>'Trade Features'!BX395</x:f>
        <x:v>18493.75</x:v>
      </x:c>
      <x:c r="D395" s="91" t="str">
        <x:f>'Trade Features'!CA395</x:f>
        <x:v>18381.49832657854</x:v>
      </x:c>
      <x:c r="E395" s="91" t="str">
        <x:f>'Trade Features'!CH395</x:f>
        <x:v>0.0734955635719101</x:v>
      </x:c>
      <x:c r="F395" s="91" t="str">
        <x:f>'Trade Features'!CG395</x:f>
        <x:v>0.006458701041167772</x:v>
      </x:c>
      <x:c r="G395" s="92" t="n">
        <x:f>ABS(C395-D395)</x:f>
        <x:v>112.25167342145869</x:v>
      </x:c>
      <x:c r="H395" s="92" t="n">
        <x:f>IFERROR($O$2/(G395*$O$3),0)</x:f>
        <x:v>0.006458701041167772</x:v>
      </x:c>
      <x:c r="I395" s="92" t="n">
        <x:f>E395-H395</x:f>
        <x:v>0.06703686253074233</x:v>
      </x:c>
      <x:c r="J395" s="91" t="str">
        <x:f>'Trade Features'!CI395</x:f>
        <x:v>0.06703686253074233</x:v>
      </x:c>
      <x:c r="K395" s="92" t="n">
        <x:f>I395-J395</x:f>
        <x:v>0</x:v>
      </x:c>
      <x:c r="L395" s="90" t="str">
        <x:f>IF(ABS(K395)&lt;0.000000001,"PASS","FAIL")</x:f>
        <x:v>PASS</x:v>
      </x:c>
    </x:row>
    <x:row r="396">
      <x:c r="A396" s="84" t="str">
        <x:f>'Trade Features'!A396</x:f>
        <x:v>A0395</x:v>
      </x:c>
      <x:c r="B396" s="84" t="str">
        <x:f>'Trade Features'!F396</x:f>
        <x:v>Short</x:v>
      </x:c>
      <x:c r="C396" s="91" t="str">
        <x:f>'Trade Features'!BX396</x:f>
        <x:v>18708.0</x:v>
      </x:c>
      <x:c r="D396" s="91" t="str">
        <x:f>'Trade Features'!CA396</x:f>
        <x:v>18725.336130718137</x:v>
      </x:c>
      <x:c r="E396" s="91" t="str">
        <x:f>'Trade Features'!CH396</x:f>
        <x:v>-1.0</x:v>
      </x:c>
      <x:c r="F396" s="91" t="str">
        <x:f>'Trade Features'!CG396</x:f>
        <x:v>0.041820173820073935</x:v>
      </x:c>
      <x:c r="G396" s="92" t="n">
        <x:f>ABS(C396-D396)</x:f>
        <x:v>17.3361307181367</x:v>
      </x:c>
      <x:c r="H396" s="92" t="n">
        <x:f>IFERROR($O$2/(G396*$O$3),0)</x:f>
        <x:v>0.041820173820073935</x:v>
      </x:c>
      <x:c r="I396" s="92" t="n">
        <x:f>E396-H396</x:f>
        <x:v>-1.0418201738200739</x:v>
      </x:c>
      <x:c r="J396" s="91" t="str">
        <x:f>'Trade Features'!CI396</x:f>
        <x:v>-1.0418201738200739</x:v>
      </x:c>
      <x:c r="K396" s="92" t="n">
        <x:f>I396-J396</x:f>
        <x:v>0</x:v>
      </x:c>
      <x:c r="L396" s="90" t="str">
        <x:f>IF(ABS(K396)&lt;0.000000001,"PASS","FAIL")</x:f>
        <x:v>PASS</x:v>
      </x:c>
    </x:row>
    <x:row r="397">
      <x:c r="A397" s="84" t="str">
        <x:f>'Trade Features'!A397</x:f>
        <x:v>A0396</x:v>
      </x:c>
      <x:c r="B397" s="84" t="str">
        <x:f>'Trade Features'!F397</x:f>
        <x:v>Long</x:v>
      </x:c>
      <x:c r="C397" s="91" t="str">
        <x:f>'Trade Features'!BX397</x:f>
        <x:v>18780.5</x:v>
      </x:c>
      <x:c r="D397" s="91" t="str">
        <x:f>'Trade Features'!CA397</x:f>
        <x:v>18747.975914982915</x:v>
      </x:c>
      <x:c r="E397" s="91" t="str">
        <x:f>'Trade Features'!CH397</x:f>
        <x:v>0.14604561504204788</x:v>
      </x:c>
      <x:c r="F397" s="91" t="str">
        <x:f>'Trade Features'!CG397</x:f>
        <x:v>0.02229117282220724</x:v>
      </x:c>
      <x:c r="G397" s="92" t="n">
        <x:f>ABS(C397-D397)</x:f>
        <x:v>32.52408501708487</x:v>
      </x:c>
      <x:c r="H397" s="92" t="n">
        <x:f>IFERROR($O$2/(G397*$O$3),0)</x:f>
        <x:v>0.02229117282220724</x:v>
      </x:c>
      <x:c r="I397" s="92" t="n">
        <x:f>E397-H397</x:f>
        <x:v>0.12375444221984064</x:v>
      </x:c>
      <x:c r="J397" s="91" t="str">
        <x:f>'Trade Features'!CI397</x:f>
        <x:v>0.12375444221984064</x:v>
      </x:c>
      <x:c r="K397" s="92" t="n">
        <x:f>I397-J397</x:f>
        <x:v>0</x:v>
      </x:c>
      <x:c r="L397" s="90" t="str">
        <x:f>IF(ABS(K397)&lt;0.000000001,"PASS","FAIL")</x:f>
        <x:v>PASS</x:v>
      </x:c>
    </x:row>
    <x:row r="398">
      <x:c r="A398" s="84" t="str">
        <x:f>'Trade Features'!A398</x:f>
        <x:v>A0397</x:v>
      </x:c>
      <x:c r="B398" s="84" t="str">
        <x:f>'Trade Features'!F398</x:f>
        <x:v>Long</x:v>
      </x:c>
      <x:c r="C398" s="91" t="str">
        <x:f>'Trade Features'!BX398</x:f>
        <x:v>19865.5</x:v>
      </x:c>
      <x:c r="D398" s="91" t="str">
        <x:f>'Trade Features'!CA398</x:f>
        <x:v>19832.938963224264</x:v>
      </x:c>
      <x:c r="E398" s="91" t="str">
        <x:f>'Trade Features'!CH398</x:f>
        <x:v>-1.0</x:v>
      </x:c>
      <x:c r="F398" s="91" t="str">
        <x:f>'Trade Features'!CG398</x:f>
        <x:v>0.02226587577642039</x:v>
      </x:c>
      <x:c r="G398" s="92" t="n">
        <x:f>ABS(C398-D398)</x:f>
        <x:v>32.561036775736284</x:v>
      </x:c>
      <x:c r="H398" s="92" t="n">
        <x:f>IFERROR($O$2/(G398*$O$3),0)</x:f>
        <x:v>0.02226587577642039</x:v>
      </x:c>
      <x:c r="I398" s="92" t="n">
        <x:f>E398-H398</x:f>
        <x:v>-1.0222658757764205</x:v>
      </x:c>
      <x:c r="J398" s="91" t="str">
        <x:f>'Trade Features'!CI398</x:f>
        <x:v>-1.0222658757764205</x:v>
      </x:c>
      <x:c r="K398" s="92" t="n">
        <x:f>I398-J398</x:f>
        <x:v>0</x:v>
      </x:c>
      <x:c r="L398" s="90" t="str">
        <x:f>IF(ABS(K398)&lt;0.000000001,"PASS","FAIL")</x:f>
        <x:v>PASS</x:v>
      </x:c>
    </x:row>
    <x:row r="399">
      <x:c r="A399" s="84" t="str">
        <x:f>'Trade Features'!A399</x:f>
        <x:v>A0398</x:v>
      </x:c>
      <x:c r="B399" s="84" t="str">
        <x:f>'Trade Features'!F399</x:f>
        <x:v>Short</x:v>
      </x:c>
      <x:c r="C399" s="91" t="str">
        <x:f>'Trade Features'!BX399</x:f>
        <x:v>19836.25</x:v>
      </x:c>
      <x:c r="D399" s="91" t="str">
        <x:f>'Trade Features'!CA399</x:f>
        <x:v>19869.473132042625</x:v>
      </x:c>
      <x:c r="E399" s="91" t="str">
        <x:f>'Trade Features'!CH399</x:f>
        <x:v>-1.0</x:v>
      </x:c>
      <x:c r="F399" s="91" t="str">
        <x:f>'Trade Features'!CG399</x:f>
        <x:v>0.021822144855874005</x:v>
      </x:c>
      <x:c r="G399" s="92" t="n">
        <x:f>ABS(C399-D399)</x:f>
        <x:v>33.223132042625366</x:v>
      </x:c>
      <x:c r="H399" s="92" t="n">
        <x:f>IFERROR($O$2/(G399*$O$3),0)</x:f>
        <x:v>0.021822144855874005</x:v>
      </x:c>
      <x:c r="I399" s="92" t="n">
        <x:f>E399-H399</x:f>
        <x:v>-1.021822144855874</x:v>
      </x:c>
      <x:c r="J399" s="91" t="str">
        <x:f>'Trade Features'!CI399</x:f>
        <x:v>-1.021822144855874</x:v>
      </x:c>
      <x:c r="K399" s="92" t="n">
        <x:f>I399-J399</x:f>
        <x:v>0</x:v>
      </x:c>
      <x:c r="L399" s="90" t="str">
        <x:f>IF(ABS(K399)&lt;0.000000001,"PASS","FAIL")</x:f>
        <x:v>PASS</x:v>
      </x:c>
    </x:row>
    <x:row r="400">
      <x:c r="A400" s="84" t="str">
        <x:f>'Trade Features'!A400</x:f>
        <x:v>A0399</x:v>
      </x:c>
      <x:c r="B400" s="84" t="str">
        <x:f>'Trade Features'!F400</x:f>
        <x:v>Short</x:v>
      </x:c>
      <x:c r="C400" s="91" t="str">
        <x:f>'Trade Features'!BX400</x:f>
        <x:v>19821.0</x:v>
      </x:c>
      <x:c r="D400" s="91" t="str">
        <x:f>'Trade Features'!CA400</x:f>
        <x:v>19845.94844853184</x:v>
      </x:c>
      <x:c r="E400" s="91" t="str">
        <x:f>'Trade Features'!CH400</x:f>
        <x:v>0.7214877501111038</x:v>
      </x:c>
      <x:c r="F400" s="91" t="str">
        <x:f>'Trade Features'!CG400</x:f>
        <x:v>0.02905992326836527</x:v>
      </x:c>
      <x:c r="G400" s="92" t="n">
        <x:f>ABS(C400-D400)</x:f>
        <x:v>24.94844853183895</x:v>
      </x:c>
      <x:c r="H400" s="92" t="n">
        <x:f>IFERROR($O$2/(G400*$O$3),0)</x:f>
        <x:v>0.02905992326836527</x:v>
      </x:c>
      <x:c r="I400" s="92" t="n">
        <x:f>E400-H400</x:f>
        <x:v>0.6924278268427385</x:v>
      </x:c>
      <x:c r="J400" s="91" t="str">
        <x:f>'Trade Features'!CI400</x:f>
        <x:v>0.6924278268427385</x:v>
      </x:c>
      <x:c r="K400" s="92" t="n">
        <x:f>I400-J400</x:f>
        <x:v>0</x:v>
      </x:c>
      <x:c r="L400" s="90" t="str">
        <x:f>IF(ABS(K400)&lt;0.000000001,"PASS","FAIL")</x:f>
        <x:v>PASS</x:v>
      </x:c>
    </x:row>
    <x:row r="401">
      <x:c r="A401" s="84" t="str">
        <x:f>'Trade Features'!A401</x:f>
        <x:v>A0400</x:v>
      </x:c>
      <x:c r="B401" s="84" t="str">
        <x:f>'Trade Features'!F401</x:f>
        <x:v>Short</x:v>
      </x:c>
      <x:c r="C401" s="91" t="str">
        <x:f>'Trade Features'!BX401</x:f>
        <x:v>19868.75</x:v>
      </x:c>
      <x:c r="D401" s="91" t="str">
        <x:f>'Trade Features'!CA401</x:f>
        <x:v>19891.12152196297</x:v>
      </x:c>
      <x:c r="E401" s="91" t="str">
        <x:f>'Trade Features'!CH401</x:f>
        <x:v>-1.0</x:v>
      </x:c>
      <x:c r="F401" s="91" t="str">
        <x:f>'Trade Features'!CG401</x:f>
        <x:v>0.032407272120333695</x:v>
      </x:c>
      <x:c r="G401" s="92" t="n">
        <x:f>ABS(C401-D401)</x:f>
        <x:v>22.37152196297029</x:v>
      </x:c>
      <x:c r="H401" s="92" t="n">
        <x:f>IFERROR($O$2/(G401*$O$3),0)</x:f>
        <x:v>0.032407272120333695</x:v>
      </x:c>
      <x:c r="I401" s="92" t="n">
        <x:f>E401-H401</x:f>
        <x:v>-1.0324072721203337</x:v>
      </x:c>
      <x:c r="J401" s="91" t="str">
        <x:f>'Trade Features'!CI401</x:f>
        <x:v>-1.0324072721203337</x:v>
      </x:c>
      <x:c r="K401" s="92" t="n">
        <x:f>I401-J401</x:f>
        <x:v>0</x:v>
      </x:c>
      <x:c r="L401" s="90" t="str">
        <x:f>IF(ABS(K401)&lt;0.000000001,"PASS","FAIL")</x:f>
        <x:v>PASS</x:v>
      </x:c>
    </x:row>
    <x:row r="402">
      <x:c r="A402" s="84" t="str">
        <x:f>'Trade Features'!A402</x:f>
        <x:v>A0401</x:v>
      </x:c>
      <x:c r="B402" s="84" t="str">
        <x:f>'Trade Features'!F402</x:f>
        <x:v>Short</x:v>
      </x:c>
      <x:c r="C402" s="91" t="str">
        <x:f>'Trade Features'!BX402</x:f>
        <x:v>19904.25</x:v>
      </x:c>
      <x:c r="D402" s="91" t="str">
        <x:f>'Trade Features'!CA402</x:f>
        <x:v>19921.183765040318</x:v>
      </x:c>
      <x:c r="E402" s="91" t="str">
        <x:f>'Trade Features'!CH402</x:f>
        <x:v>-1.0</x:v>
      </x:c>
      <x:c r="F402" s="91" t="str">
        <x:f>'Trade Features'!CG402</x:f>
        <x:v>0.04281386911143769</x:v>
      </x:c>
      <x:c r="G402" s="92" t="n">
        <x:f>ABS(C402-D402)</x:f>
        <x:v>16.933765040317667</x:v>
      </x:c>
      <x:c r="H402" s="92" t="n">
        <x:f>IFERROR($O$2/(G402*$O$3),0)</x:f>
        <x:v>0.04281386911143769</x:v>
      </x:c>
      <x:c r="I402" s="92" t="n">
        <x:f>E402-H402</x:f>
        <x:v>-1.0428138691114377</x:v>
      </x:c>
      <x:c r="J402" s="91" t="str">
        <x:f>'Trade Features'!CI402</x:f>
        <x:v>-1.0428138691114377</x:v>
      </x:c>
      <x:c r="K402" s="92" t="n">
        <x:f>I402-J402</x:f>
        <x:v>0</x:v>
      </x:c>
      <x:c r="L402" s="90" t="str">
        <x:f>IF(ABS(K402)&lt;0.000000001,"PASS","FAIL")</x:f>
        <x:v>PASS</x:v>
      </x:c>
    </x:row>
    <x:row r="403">
      <x:c r="A403" s="84" t="str">
        <x:f>'Trade Features'!A403</x:f>
        <x:v>A0402</x:v>
      </x:c>
      <x:c r="B403" s="84" t="str">
        <x:f>'Trade Features'!F403</x:f>
        <x:v>Long</x:v>
      </x:c>
      <x:c r="C403" s="91" t="str">
        <x:f>'Trade Features'!BX403</x:f>
        <x:v>20035.5</x:v>
      </x:c>
      <x:c r="D403" s="91" t="str">
        <x:f>'Trade Features'!CA403</x:f>
        <x:v>19997.992302363604</x:v>
      </x:c>
      <x:c r="E403" s="91" t="str">
        <x:f>'Trade Features'!CH403</x:f>
        <x:v>-0.09331417870350874</x:v>
      </x:c>
      <x:c r="F403" s="91" t="str">
        <x:f>'Trade Features'!CG403</x:f>
        <x:v>0.019329365588584804</x:v>
      </x:c>
      <x:c r="G403" s="92" t="n">
        <x:f>ABS(C403-D403)</x:f>
        <x:v>37.50769763639619</x:v>
      </x:c>
      <x:c r="H403" s="92" t="n">
        <x:f>IFERROR($O$2/(G403*$O$3),0)</x:f>
        <x:v>0.019329365588584804</x:v>
      </x:c>
      <x:c r="I403" s="92" t="n">
        <x:f>E403-H403</x:f>
        <x:v>-0.11264354429209354</x:v>
      </x:c>
      <x:c r="J403" s="91" t="str">
        <x:f>'Trade Features'!CI403</x:f>
        <x:v>-0.11264354429209354</x:v>
      </x:c>
      <x:c r="K403" s="92" t="n">
        <x:f>I403-J403</x:f>
        <x:v>0</x:v>
      </x:c>
      <x:c r="L403" s="90" t="str">
        <x:f>IF(ABS(K403)&lt;0.000000001,"PASS","FAIL")</x:f>
        <x:v>PASS</x:v>
      </x:c>
    </x:row>
    <x:row r="404">
      <x:c r="A404" s="84" t="str">
        <x:f>'Trade Features'!A404</x:f>
        <x:v>A0403</x:v>
      </x:c>
      <x:c r="B404" s="84" t="str">
        <x:f>'Trade Features'!F404</x:f>
        <x:v>Short</x:v>
      </x:c>
      <x:c r="C404" s="91" t="str">
        <x:f>'Trade Features'!BX404</x:f>
        <x:v>19946.25</x:v>
      </x:c>
      <x:c r="D404" s="91" t="str">
        <x:f>'Trade Features'!CA404</x:f>
        <x:v>19957.67629472306</x:v>
      </x:c>
      <x:c r="E404" s="91" t="str">
        <x:f>'Trade Features'!CH404</x:f>
        <x:v>0.612622041498102</x:v>
      </x:c>
      <x:c r="F404" s="91" t="str">
        <x:f>'Trade Features'!CG404</x:f>
        <x:v>0.06345014001230345</x:v>
      </x:c>
      <x:c r="G404" s="92" t="n">
        <x:f>ABS(C404-D404)</x:f>
        <x:v>11.426294723059982</x:v>
      </x:c>
      <x:c r="H404" s="92" t="n">
        <x:f>IFERROR($O$2/(G404*$O$3),0)</x:f>
        <x:v>0.06345014001230345</x:v>
      </x:c>
      <x:c r="I404" s="92" t="n">
        <x:f>E404-H404</x:f>
        <x:v>0.5491719014857985</x:v>
      </x:c>
      <x:c r="J404" s="91" t="str">
        <x:f>'Trade Features'!CI404</x:f>
        <x:v>0.5491719014857985</x:v>
      </x:c>
      <x:c r="K404" s="92" t="n">
        <x:f>I404-J404</x:f>
        <x:v>0</x:v>
      </x:c>
      <x:c r="L404" s="90" t="str">
        <x:f>IF(ABS(K404)&lt;0.000000001,"PASS","FAIL")</x:f>
        <x:v>PASS</x:v>
      </x:c>
    </x:row>
    <x:row r="405">
      <x:c r="A405" s="84" t="str">
        <x:f>'Trade Features'!A405</x:f>
        <x:v>A0404</x:v>
      </x:c>
      <x:c r="B405" s="84" t="str">
        <x:f>'Trade Features'!F405</x:f>
        <x:v>Short</x:v>
      </x:c>
      <x:c r="C405" s="91" t="str">
        <x:f>'Trade Features'!BX405</x:f>
        <x:v>20019.5</x:v>
      </x:c>
      <x:c r="D405" s="91" t="str">
        <x:f>'Trade Features'!CA405</x:f>
        <x:v>20041.012873018295</x:v>
      </x:c>
      <x:c r="E405" s="91" t="str">
        <x:f>'Trade Features'!CH405</x:f>
        <x:v>1.1272320521474724</x:v>
      </x:c>
      <x:c r="F405" s="91" t="str">
        <x:f>'Trade Features'!CG405</x:f>
        <x:v>0.03370075207451104</x:v>
      </x:c>
      <x:c r="G405" s="92" t="n">
        <x:f>ABS(C405-D405)</x:f>
        <x:v>21.512873018295068</x:v>
      </x:c>
      <x:c r="H405" s="92" t="n">
        <x:f>IFERROR($O$2/(G405*$O$3),0)</x:f>
        <x:v>0.03370075207451104</x:v>
      </x:c>
      <x:c r="I405" s="92" t="n">
        <x:f>E405-H405</x:f>
        <x:v>1.0935313000729614</x:v>
      </x:c>
      <x:c r="J405" s="91" t="str">
        <x:f>'Trade Features'!CI405</x:f>
        <x:v>1.0935313000729614</x:v>
      </x:c>
      <x:c r="K405" s="92" t="n">
        <x:f>I405-J405</x:f>
        <x:v>0</x:v>
      </x:c>
      <x:c r="L405" s="90" t="str">
        <x:f>IF(ABS(K405)&lt;0.000000001,"PASS","FAIL")</x:f>
        <x:v>PASS</x:v>
      </x:c>
    </x:row>
    <x:row r="406">
      <x:c r="A406" s="84" t="str">
        <x:f>'Trade Features'!A406</x:f>
        <x:v>A0405</x:v>
      </x:c>
      <x:c r="B406" s="84" t="str">
        <x:f>'Trade Features'!F406</x:f>
        <x:v>Long</x:v>
      </x:c>
      <x:c r="C406" s="91" t="str">
        <x:f>'Trade Features'!BX406</x:f>
        <x:v>20011.5</x:v>
      </x:c>
      <x:c r="D406" s="91" t="str">
        <x:f>'Trade Features'!CA406</x:f>
        <x:v>19995.955174082304</x:v>
      </x:c>
      <x:c r="E406" s="91" t="str">
        <x:f>'Trade Features'!CH406</x:f>
        <x:v>-1.0</x:v>
      </x:c>
      <x:c r="F406" s="91" t="str">
        <x:f>'Trade Features'!CG406</x:f>
        <x:v>0.04663931290312432</x:v>
      </x:c>
      <x:c r="G406" s="92" t="n">
        <x:f>ABS(C406-D406)</x:f>
        <x:v>15.544825917695562</x:v>
      </x:c>
      <x:c r="H406" s="92" t="n">
        <x:f>IFERROR($O$2/(G406*$O$3),0)</x:f>
        <x:v>0.04663931290312432</x:v>
      </x:c>
      <x:c r="I406" s="92" t="n">
        <x:f>E406-H406</x:f>
        <x:v>-1.0466393129031244</x:v>
      </x:c>
      <x:c r="J406" s="91" t="str">
        <x:f>'Trade Features'!CI406</x:f>
        <x:v>-1.0466393129031244</x:v>
      </x:c>
      <x:c r="K406" s="92" t="n">
        <x:f>I406-J406</x:f>
        <x:v>0</x:v>
      </x:c>
      <x:c r="L406" s="90" t="str">
        <x:f>IF(ABS(K406)&lt;0.000000001,"PASS","FAIL")</x:f>
        <x:v>PASS</x:v>
      </x:c>
    </x:row>
    <x:row r="407">
      <x:c r="A407" s="84" t="str">
        <x:f>'Trade Features'!A407</x:f>
        <x:v>A0406</x:v>
      </x:c>
      <x:c r="B407" s="84" t="str">
        <x:f>'Trade Features'!F407</x:f>
        <x:v>Long</x:v>
      </x:c>
      <x:c r="C407" s="91" t="str">
        <x:f>'Trade Features'!BX407</x:f>
        <x:v>19998.25</x:v>
      </x:c>
      <x:c r="D407" s="91" t="str">
        <x:f>'Trade Features'!CA407</x:f>
        <x:v>19970.112946352958</x:v>
      </x:c>
      <x:c r="E407" s="91" t="str">
        <x:f>'Trade Features'!CH407</x:f>
        <x:v>-1.0</x:v>
      </x:c>
      <x:c r="F407" s="91" t="str">
        <x:f>'Trade Features'!CG407</x:f>
        <x:v>0.025766734822151964</x:v>
      </x:c>
      <x:c r="G407" s="92" t="n">
        <x:f>ABS(C407-D407)</x:f>
        <x:v>28.137053647042194</x:v>
      </x:c>
      <x:c r="H407" s="92" t="n">
        <x:f>IFERROR($O$2/(G407*$O$3),0)</x:f>
        <x:v>0.025766734822151964</x:v>
      </x:c>
      <x:c r="I407" s="92" t="n">
        <x:f>E407-H407</x:f>
        <x:v>-1.025766734822152</x:v>
      </x:c>
      <x:c r="J407" s="91" t="str">
        <x:f>'Trade Features'!CI407</x:f>
        <x:v>-1.025766734822152</x:v>
      </x:c>
      <x:c r="K407" s="92" t="n">
        <x:f>I407-J407</x:f>
        <x:v>0</x:v>
      </x:c>
      <x:c r="L407" s="90" t="str">
        <x:f>IF(ABS(K407)&lt;0.000000001,"PASS","FAIL")</x:f>
        <x:v>PASS</x:v>
      </x:c>
    </x:row>
    <x:row r="408">
      <x:c r="A408" s="84" t="str">
        <x:f>'Trade Features'!A408</x:f>
        <x:v>A0407</x:v>
      </x:c>
      <x:c r="B408" s="84" t="str">
        <x:f>'Trade Features'!F408</x:f>
        <x:v>Short</x:v>
      </x:c>
      <x:c r="C408" s="91" t="str">
        <x:f>'Trade Features'!BX408</x:f>
        <x:v>19814.5</x:v>
      </x:c>
      <x:c r="D408" s="91" t="str">
        <x:f>'Trade Features'!CA408</x:f>
        <x:v>19840.88691604602</x:v>
      </x:c>
      <x:c r="E408" s="91" t="str">
        <x:f>'Trade Features'!CH408</x:f>
        <x:v>-1.0</x:v>
      </x:c>
      <x:c r="F408" s="91" t="str">
        <x:f>'Trade Features'!CG408</x:f>
        <x:v>0.027475738306650507</x:v>
      </x:c>
      <x:c r="G408" s="92" t="n">
        <x:f>ABS(C408-D408)</x:f>
        <x:v>26.386916046019905</x:v>
      </x:c>
      <x:c r="H408" s="92" t="n">
        <x:f>IFERROR($O$2/(G408*$O$3),0)</x:f>
        <x:v>0.027475738306650507</x:v>
      </x:c>
      <x:c r="I408" s="92" t="n">
        <x:f>E408-H408</x:f>
        <x:v>-1.0274757383066504</x:v>
      </x:c>
      <x:c r="J408" s="91" t="str">
        <x:f>'Trade Features'!CI408</x:f>
        <x:v>-1.0274757383066504</x:v>
      </x:c>
      <x:c r="K408" s="92" t="n">
        <x:f>I408-J408</x:f>
        <x:v>0</x:v>
      </x:c>
      <x:c r="L408" s="90" t="str">
        <x:f>IF(ABS(K408)&lt;0.000000001,"PASS","FAIL")</x:f>
        <x:v>PASS</x:v>
      </x:c>
    </x:row>
    <x:row r="409">
      <x:c r="A409" s="84" t="str">
        <x:f>'Trade Features'!A409</x:f>
        <x:v>A0408</x:v>
      </x:c>
      <x:c r="B409" s="84" t="str">
        <x:f>'Trade Features'!F409</x:f>
        <x:v>Long</x:v>
      </x:c>
      <x:c r="C409" s="91" t="str">
        <x:f>'Trade Features'!BX409</x:f>
        <x:v>19723.25</x:v>
      </x:c>
      <x:c r="D409" s="91" t="str">
        <x:f>'Trade Features'!CA409</x:f>
        <x:v>19707.513523699</x:v>
      </x:c>
      <x:c r="E409" s="91" t="str">
        <x:f>'Trade Features'!CH409</x:f>
        <x:v>2.0</x:v>
      </x:c>
      <x:c r="F409" s="91" t="str">
        <x:f>'Trade Features'!CG409</x:f>
        <x:v>0.04607130504520157</x:v>
      </x:c>
      <x:c r="G409" s="92" t="n">
        <x:f>ABS(C409-D409)</x:f>
        <x:v>15.736476301000948</x:v>
      </x:c>
      <x:c r="H409" s="92" t="n">
        <x:f>IFERROR($O$2/(G409*$O$3),0)</x:f>
        <x:v>0.04607130504520157</x:v>
      </x:c>
      <x:c r="I409" s="92" t="n">
        <x:f>E409-H409</x:f>
        <x:v>1.9539286949547985</x:v>
      </x:c>
      <x:c r="J409" s="91" t="str">
        <x:f>'Trade Features'!CI409</x:f>
        <x:v>1.9539286949547985</x:v>
      </x:c>
      <x:c r="K409" s="92" t="n">
        <x:f>I409-J409</x:f>
        <x:v>0</x:v>
      </x:c>
      <x:c r="L409" s="90" t="str">
        <x:f>IF(ABS(K409)&lt;0.000000001,"PASS","FAIL")</x:f>
        <x:v>PASS</x:v>
      </x:c>
    </x:row>
    <x:row r="410">
      <x:c r="A410" s="84" t="str">
        <x:f>'Trade Features'!A410</x:f>
        <x:v>A0409</x:v>
      </x:c>
      <x:c r="B410" s="84" t="str">
        <x:f>'Trade Features'!F410</x:f>
        <x:v>Short</x:v>
      </x:c>
      <x:c r="C410" s="91" t="str">
        <x:f>'Trade Features'!BX410</x:f>
        <x:v>19712.5</x:v>
      </x:c>
      <x:c r="D410" s="91" t="str">
        <x:f>'Trade Features'!CA410</x:f>
        <x:v>19742.050056413278</x:v>
      </x:c>
      <x:c r="E410" s="91" t="str">
        <x:f>'Trade Features'!CH410</x:f>
        <x:v>2.0</x:v>
      </x:c>
      <x:c r="F410" s="91" t="str">
        <x:f>'Trade Features'!CG410</x:f>
        <x:v>0.02453464013267424</x:v>
      </x:c>
      <x:c r="G410" s="92" t="n">
        <x:f>ABS(C410-D410)</x:f>
        <x:v>29.55005641327807</x:v>
      </x:c>
      <x:c r="H410" s="92" t="n">
        <x:f>IFERROR($O$2/(G410*$O$3),0)</x:f>
        <x:v>0.02453464013267424</x:v>
      </x:c>
      <x:c r="I410" s="92" t="n">
        <x:f>E410-H410</x:f>
        <x:v>1.9754653598673257</x:v>
      </x:c>
      <x:c r="J410" s="91" t="str">
        <x:f>'Trade Features'!CI410</x:f>
        <x:v>1.9754653598673257</x:v>
      </x:c>
      <x:c r="K410" s="92" t="n">
        <x:f>I410-J410</x:f>
        <x:v>0</x:v>
      </x:c>
      <x:c r="L410" s="90" t="str">
        <x:f>IF(ABS(K410)&lt;0.000000001,"PASS","FAIL")</x:f>
        <x:v>PASS</x:v>
      </x:c>
    </x:row>
    <x:row r="411">
      <x:c r="A411" s="84" t="str">
        <x:f>'Trade Features'!A411</x:f>
        <x:v>A0410</x:v>
      </x:c>
      <x:c r="B411" s="84" t="str">
        <x:f>'Trade Features'!F411</x:f>
        <x:v>Long</x:v>
      </x:c>
      <x:c r="C411" s="91" t="str">
        <x:f>'Trade Features'!BX411</x:f>
        <x:v>19463.0</x:v>
      </x:c>
      <x:c r="D411" s="91" t="str">
        <x:f>'Trade Features'!CA411</x:f>
        <x:v>19388.01668471702</x:v>
      </x:c>
      <x:c r="E411" s="91" t="str">
        <x:f>'Trade Features'!CH411</x:f>
        <x:v>0.6801513084281445</x:v>
      </x:c>
      <x:c r="F411" s="91" t="str">
        <x:f>'Trade Features'!CG411</x:f>
        <x:v>0.009668817619811868</x:v>
      </x:c>
      <x:c r="G411" s="92" t="n">
        <x:f>ABS(C411-D411)</x:f>
        <x:v>74.9833152829815</x:v>
      </x:c>
      <x:c r="H411" s="92" t="n">
        <x:f>IFERROR($O$2/(G411*$O$3),0)</x:f>
        <x:v>0.009668817619811868</x:v>
      </x:c>
      <x:c r="I411" s="92" t="n">
        <x:f>E411-H411</x:f>
        <x:v>0.6704824908083327</x:v>
      </x:c>
      <x:c r="J411" s="91" t="str">
        <x:f>'Trade Features'!CI411</x:f>
        <x:v>0.6704824908083327</x:v>
      </x:c>
      <x:c r="K411" s="92" t="n">
        <x:f>I411-J411</x:f>
        <x:v>0</x:v>
      </x:c>
      <x:c r="L411" s="90" t="str">
        <x:f>IF(ABS(K411)&lt;0.000000001,"PASS","FAIL")</x:f>
        <x:v>PASS</x:v>
      </x:c>
    </x:row>
    <x:row r="412">
      <x:c r="A412" s="84" t="str">
        <x:f>'Trade Features'!A412</x:f>
        <x:v>A0411</x:v>
      </x:c>
      <x:c r="B412" s="84" t="str">
        <x:f>'Trade Features'!F412</x:f>
        <x:v>Short</x:v>
      </x:c>
      <x:c r="C412" s="91" t="str">
        <x:f>'Trade Features'!BX412</x:f>
        <x:v>19782.0</x:v>
      </x:c>
      <x:c r="D412" s="91" t="str">
        <x:f>'Trade Features'!CA412</x:f>
        <x:v>19802.816241556015</x:v>
      </x:c>
      <x:c r="E412" s="91" t="str">
        <x:f>'Trade Features'!CH412</x:f>
        <x:v>-1.0</x:v>
      </x:c>
      <x:c r="F412" s="91" t="str">
        <x:f>'Trade Features'!CG412</x:f>
        <x:v>0.03482857354672275</x:v>
      </x:c>
      <x:c r="G412" s="92" t="n">
        <x:f>ABS(C412-D412)</x:f>
        <x:v>20.816241556014575</x:v>
      </x:c>
      <x:c r="H412" s="92" t="n">
        <x:f>IFERROR($O$2/(G412*$O$3),0)</x:f>
        <x:v>0.03482857354672275</x:v>
      </x:c>
      <x:c r="I412" s="92" t="n">
        <x:f>E412-H412</x:f>
        <x:v>-1.0348285735467226</x:v>
      </x:c>
      <x:c r="J412" s="91" t="str">
        <x:f>'Trade Features'!CI412</x:f>
        <x:v>-1.0348285735467226</x:v>
      </x:c>
      <x:c r="K412" s="92" t="n">
        <x:f>I412-J412</x:f>
        <x:v>0</x:v>
      </x:c>
      <x:c r="L412" s="90" t="str">
        <x:f>IF(ABS(K412)&lt;0.000000001,"PASS","FAIL")</x:f>
        <x:v>PASS</x:v>
      </x:c>
    </x:row>
    <x:row r="413">
      <x:c r="A413" s="84" t="str">
        <x:f>'Trade Features'!A413</x:f>
        <x:v>A0412</x:v>
      </x:c>
      <x:c r="B413" s="84" t="str">
        <x:f>'Trade Features'!F413</x:f>
        <x:v>Long</x:v>
      </x:c>
      <x:c r="C413" s="91" t="str">
        <x:f>'Trade Features'!BX413</x:f>
        <x:v>19995.75</x:v>
      </x:c>
      <x:c r="D413" s="91" t="str">
        <x:f>'Trade Features'!CA413</x:f>
        <x:v>19979.143031706884</x:v>
      </x:c>
      <x:c r="E413" s="91" t="str">
        <x:f>'Trade Features'!CH413</x:f>
        <x:v>2.0</x:v>
      </x:c>
      <x:c r="F413" s="91" t="str">
        <x:f>'Trade Features'!CG413</x:f>
        <x:v>0.04365637286731896</x:v>
      </x:c>
      <x:c r="G413" s="92" t="n">
        <x:f>ABS(C413-D413)</x:f>
        <x:v>16.606968293115642</x:v>
      </x:c>
      <x:c r="H413" s="92" t="n">
        <x:f>IFERROR($O$2/(G413*$O$3),0)</x:f>
        <x:v>0.04365637286731896</x:v>
      </x:c>
      <x:c r="I413" s="92" t="n">
        <x:f>E413-H413</x:f>
        <x:v>1.956343627132681</x:v>
      </x:c>
      <x:c r="J413" s="91" t="str">
        <x:f>'Trade Features'!CI413</x:f>
        <x:v>1.956343627132681</x:v>
      </x:c>
      <x:c r="K413" s="92" t="n">
        <x:f>I413-J413</x:f>
        <x:v>0</x:v>
      </x:c>
      <x:c r="L413" s="90" t="str">
        <x:f>IF(ABS(K413)&lt;0.000000001,"PASS","FAIL")</x:f>
        <x:v>PASS</x:v>
      </x:c>
    </x:row>
    <x:row r="414">
      <x:c r="A414" s="84" t="str">
        <x:f>'Trade Features'!A414</x:f>
        <x:v>A0413</x:v>
      </x:c>
      <x:c r="B414" s="84" t="str">
        <x:f>'Trade Features'!F414</x:f>
        <x:v>Long</x:v>
      </x:c>
      <x:c r="C414" s="91" t="str">
        <x:f>'Trade Features'!BX414</x:f>
        <x:v>19903.25</x:v>
      </x:c>
      <x:c r="D414" s="91" t="str">
        <x:f>'Trade Features'!CA414</x:f>
        <x:v>19882.046143635846</x:v>
      </x:c>
      <x:c r="E414" s="91" t="str">
        <x:f>'Trade Features'!CH414</x:f>
        <x:v>-1.0</x:v>
      </x:c>
      <x:c r="F414" s="91" t="str">
        <x:f>'Trade Features'!CG414</x:f>
        <x:v>0.034191893566380964</x:v>
      </x:c>
      <x:c r="G414" s="92" t="n">
        <x:f>ABS(C414-D414)</x:f>
        <x:v>21.20385636415449</x:v>
      </x:c>
      <x:c r="H414" s="92" t="n">
        <x:f>IFERROR($O$2/(G414*$O$3),0)</x:f>
        <x:v>0.034191893566380964</x:v>
      </x:c>
      <x:c r="I414" s="92" t="n">
        <x:f>E414-H414</x:f>
        <x:v>-1.034191893566381</x:v>
      </x:c>
      <x:c r="J414" s="91" t="str">
        <x:f>'Trade Features'!CI414</x:f>
        <x:v>-1.034191893566381</x:v>
      </x:c>
      <x:c r="K414" s="92" t="n">
        <x:f>I414-J414</x:f>
        <x:v>0</x:v>
      </x:c>
      <x:c r="L414" s="90" t="str">
        <x:f>IF(ABS(K414)&lt;0.000000001,"PASS","FAIL")</x:f>
        <x:v>PASS</x:v>
      </x:c>
    </x:row>
    <x:row r="415">
      <x:c r="A415" s="84" t="str">
        <x:f>'Trade Features'!A415</x:f>
        <x:v>A0414</x:v>
      </x:c>
      <x:c r="B415" s="84" t="str">
        <x:f>'Trade Features'!F415</x:f>
        <x:v>Long</x:v>
      </x:c>
      <x:c r="C415" s="91" t="str">
        <x:f>'Trade Features'!BX415</x:f>
        <x:v>19953.5</x:v>
      </x:c>
      <x:c r="D415" s="91" t="str">
        <x:f>'Trade Features'!CA415</x:f>
        <x:v>19931.58734892539</x:v>
      </x:c>
      <x:c r="E415" s="91" t="str">
        <x:f>'Trade Features'!CH415</x:f>
        <x:v>-1.0</x:v>
      </x:c>
      <x:c r="F415" s="91" t="str">
        <x:f>'Trade Features'!CG415</x:f>
        <x:v>0.033085909939945604</x:v>
      </x:c>
      <x:c r="G415" s="92" t="n">
        <x:f>ABS(C415-D415)</x:f>
        <x:v>21.91265107461004</x:v>
      </x:c>
      <x:c r="H415" s="92" t="n">
        <x:f>IFERROR($O$2/(G415*$O$3),0)</x:f>
        <x:v>0.033085909939945604</x:v>
      </x:c>
      <x:c r="I415" s="92" t="n">
        <x:f>E415-H415</x:f>
        <x:v>-1.0330859099399456</x:v>
      </x:c>
      <x:c r="J415" s="91" t="str">
        <x:f>'Trade Features'!CI415</x:f>
        <x:v>-1.0330859099399456</x:v>
      </x:c>
      <x:c r="K415" s="92" t="n">
        <x:f>I415-J415</x:f>
        <x:v>0</x:v>
      </x:c>
      <x:c r="L415" s="90" t="str">
        <x:f>IF(ABS(K415)&lt;0.000000001,"PASS","FAIL")</x:f>
        <x:v>PASS</x:v>
      </x:c>
    </x:row>
    <x:row r="416">
      <x:c r="A416" s="84" t="str">
        <x:f>'Trade Features'!A416</x:f>
        <x:v>A0415</x:v>
      </x:c>
      <x:c r="B416" s="84" t="str">
        <x:f>'Trade Features'!F416</x:f>
        <x:v>Short</x:v>
      </x:c>
      <x:c r="C416" s="91" t="str">
        <x:f>'Trade Features'!BX416</x:f>
        <x:v>19720.0</x:v>
      </x:c>
      <x:c r="D416" s="91" t="str">
        <x:f>'Trade Features'!CA416</x:f>
        <x:v>19781.860688907233</x:v>
      </x:c>
      <x:c r="E416" s="91" t="str">
        <x:f>'Trade Features'!CH416</x:f>
        <x:v>0.008082677526430685</x:v>
      </x:c>
      <x:c r="F416" s="91" t="str">
        <x:f>'Trade Features'!CG416</x:f>
        <x:v>0.011719882413324296</x:v>
      </x:c>
      <x:c r="G416" s="92" t="n">
        <x:f>ABS(C416-D416)</x:f>
        <x:v>61.86068890723254</x:v>
      </x:c>
      <x:c r="H416" s="92" t="n">
        <x:f>IFERROR($O$2/(G416*$O$3),0)</x:f>
        <x:v>0.011719882413324296</x:v>
      </x:c>
      <x:c r="I416" s="92" t="n">
        <x:f>E416-H416</x:f>
        <x:v>-0.0036372048868936104</x:v>
      </x:c>
      <x:c r="J416" s="91" t="str">
        <x:f>'Trade Features'!CI416</x:f>
        <x:v>-0.0036372048868936104</x:v>
      </x:c>
      <x:c r="K416" s="92" t="n">
        <x:f>I416-J416</x:f>
        <x:v>0</x:v>
      </x:c>
      <x:c r="L416" s="90" t="str">
        <x:f>IF(ABS(K416)&lt;0.000000001,"PASS","FAIL")</x:f>
        <x:v>PASS</x:v>
      </x:c>
    </x:row>
    <x:row r="417">
      <x:c r="A417" s="84" t="str">
        <x:f>'Trade Features'!A417</x:f>
        <x:v>A0416</x:v>
      </x:c>
      <x:c r="B417" s="84" t="str">
        <x:f>'Trade Features'!F417</x:f>
        <x:v>Long</x:v>
      </x:c>
      <x:c r="C417" s="91" t="str">
        <x:f>'Trade Features'!BX417</x:f>
        <x:v>19808.5</x:v>
      </x:c>
      <x:c r="D417" s="91" t="str">
        <x:f>'Trade Features'!CA417</x:f>
        <x:v>19784.55497510095</x:v>
      </x:c>
      <x:c r="E417" s="91" t="str">
        <x:f>'Trade Features'!CH417</x:f>
        <x:v>-1.0</x:v>
      </x:c>
      <x:c r="F417" s="91" t="str">
        <x:f>'Trade Features'!CG417</x:f>
        <x:v>0.030277688290428338</x:v>
      </x:c>
      <x:c r="G417" s="92" t="n">
        <x:f>ABS(C417-D417)</x:f>
        <x:v>23.945024899050622</x:v>
      </x:c>
      <x:c r="H417" s="92" t="n">
        <x:f>IFERROR($O$2/(G417*$O$3),0)</x:f>
        <x:v>0.030277688290428338</x:v>
      </x:c>
      <x:c r="I417" s="92" t="n">
        <x:f>E417-H417</x:f>
        <x:v>-1.0302776882904283</x:v>
      </x:c>
      <x:c r="J417" s="91" t="str">
        <x:f>'Trade Features'!CI417</x:f>
        <x:v>-1.0302776882904283</x:v>
      </x:c>
      <x:c r="K417" s="92" t="n">
        <x:f>I417-J417</x:f>
        <x:v>0</x:v>
      </x:c>
      <x:c r="L417" s="90" t="str">
        <x:f>IF(ABS(K417)&lt;0.000000001,"PASS","FAIL")</x:f>
        <x:v>PASS</x:v>
      </x:c>
    </x:row>
    <x:row r="418">
      <x:c r="A418" s="84" t="str">
        <x:f>'Trade Features'!A418</x:f>
        <x:v>A0417</x:v>
      </x:c>
      <x:c r="B418" s="84" t="str">
        <x:f>'Trade Features'!F418</x:f>
        <x:v>Long</x:v>
      </x:c>
      <x:c r="C418" s="91" t="str">
        <x:f>'Trade Features'!BX418</x:f>
        <x:v>19802.0</x:v>
      </x:c>
      <x:c r="D418" s="91" t="str">
        <x:f>'Trade Features'!CA418</x:f>
        <x:v>19777.279097874733</x:v>
      </x:c>
      <x:c r="E418" s="91" t="str">
        <x:f>'Trade Features'!CH418</x:f>
        <x:v>0.4651933793405687</x:v>
      </x:c>
      <x:c r="F418" s="91" t="str">
        <x:f>'Trade Features'!CG418</x:f>
        <x:v>0.029327408697556023</x:v>
      </x:c>
      <x:c r="G418" s="92" t="n">
        <x:f>ABS(C418-D418)</x:f>
        <x:v>24.720902125267457</x:v>
      </x:c>
      <x:c r="H418" s="92" t="n">
        <x:f>IFERROR($O$2/(G418*$O$3),0)</x:f>
        <x:v>0.029327408697556023</x:v>
      </x:c>
      <x:c r="I418" s="92" t="n">
        <x:f>E418-H418</x:f>
        <x:v>0.4358659706430127</x:v>
      </x:c>
      <x:c r="J418" s="91" t="str">
        <x:f>'Trade Features'!CI418</x:f>
        <x:v>0.4358659706430127</x:v>
      </x:c>
      <x:c r="K418" s="92" t="n">
        <x:f>I418-J418</x:f>
        <x:v>0</x:v>
      </x:c>
      <x:c r="L418" s="90" t="str">
        <x:f>IF(ABS(K418)&lt;0.000000001,"PASS","FAIL")</x:f>
        <x:v>PASS</x:v>
      </x:c>
    </x:row>
    <x:row r="419">
      <x:c r="A419" s="84" t="str">
        <x:f>'Trade Features'!A419</x:f>
        <x:v>A0418</x:v>
      </x:c>
      <x:c r="B419" s="84" t="str">
        <x:f>'Trade Features'!F419</x:f>
        <x:v>Long</x:v>
      </x:c>
      <x:c r="C419" s="91" t="str">
        <x:f>'Trade Features'!BX419</x:f>
        <x:v>20014.5</x:v>
      </x:c>
      <x:c r="D419" s="91" t="str">
        <x:f>'Trade Features'!CA419</x:f>
        <x:v>19998.705404881966</x:v>
      </x:c>
      <x:c r="E419" s="91" t="str">
        <x:f>'Trade Features'!CH419</x:f>
        <x:v>-1.0</x:v>
      </x:c>
      <x:c r="F419" s="91" t="str">
        <x:f>'Trade Features'!CG419</x:f>
        <x:v>0.04590177808180883</x:v>
      </x:c>
      <x:c r="G419" s="92" t="n">
        <x:f>ABS(C419-D419)</x:f>
        <x:v>15.794595118033612</x:v>
      </x:c>
      <x:c r="H419" s="92" t="n">
        <x:f>IFERROR($O$2/(G419*$O$3),0)</x:f>
        <x:v>0.04590177808180883</x:v>
      </x:c>
      <x:c r="I419" s="92" t="n">
        <x:f>E419-H419</x:f>
        <x:v>-1.0459017780818087</x:v>
      </x:c>
      <x:c r="J419" s="91" t="str">
        <x:f>'Trade Features'!CI419</x:f>
        <x:v>-1.0459017780818087</x:v>
      </x:c>
      <x:c r="K419" s="92" t="n">
        <x:f>I419-J419</x:f>
        <x:v>0</x:v>
      </x:c>
      <x:c r="L419" s="90" t="str">
        <x:f>IF(ABS(K419)&lt;0.000000001,"PASS","FAIL")</x:f>
        <x:v>PASS</x:v>
      </x:c>
    </x:row>
    <x:row r="420">
      <x:c r="A420" s="84" t="str">
        <x:f>'Trade Features'!A420</x:f>
        <x:v>A0419</x:v>
      </x:c>
      <x:c r="B420" s="84" t="str">
        <x:f>'Trade Features'!F420</x:f>
        <x:v>Long</x:v>
      </x:c>
      <x:c r="C420" s="91" t="str">
        <x:f>'Trade Features'!BX420</x:f>
        <x:v>20331.25</x:v>
      </x:c>
      <x:c r="D420" s="91" t="str">
        <x:f>'Trade Features'!CA420</x:f>
        <x:v>20307.4762900125</x:v>
      </x:c>
      <x:c r="E420" s="91" t="str">
        <x:f>'Trade Features'!CH420</x:f>
        <x:v>0.24186380682791178</x:v>
      </x:c>
      <x:c r="F420" s="91" t="str">
        <x:f>'Trade Features'!CG420</x:f>
        <x:v>0.030495871295694345</x:v>
      </x:c>
      <x:c r="G420" s="92" t="n">
        <x:f>ABS(C420-D420)</x:f>
        <x:v>23.773709987501206</x:v>
      </x:c>
      <x:c r="H420" s="92" t="n">
        <x:f>IFERROR($O$2/(G420*$O$3),0)</x:f>
        <x:v>0.030495871295694345</x:v>
      </x:c>
      <x:c r="I420" s="92" t="n">
        <x:f>E420-H420</x:f>
        <x:v>0.21136793553221744</x:v>
      </x:c>
      <x:c r="J420" s="91" t="str">
        <x:f>'Trade Features'!CI420</x:f>
        <x:v>0.21136793553221744</x:v>
      </x:c>
      <x:c r="K420" s="92" t="n">
        <x:f>I420-J420</x:f>
        <x:v>0</x:v>
      </x:c>
      <x:c r="L420" s="90" t="str">
        <x:f>IF(ABS(K420)&lt;0.000000001,"PASS","FAIL")</x:f>
        <x:v>PASS</x:v>
      </x:c>
    </x:row>
    <x:row r="421">
      <x:c r="A421" s="84" t="str">
        <x:f>'Trade Features'!A421</x:f>
        <x:v>A0420</x:v>
      </x:c>
      <x:c r="B421" s="84" t="str">
        <x:f>'Trade Features'!F421</x:f>
        <x:v>Short</x:v>
      </x:c>
      <x:c r="C421" s="91" t="str">
        <x:f>'Trade Features'!BX421</x:f>
        <x:v>20301.5</x:v>
      </x:c>
      <x:c r="D421" s="91" t="str">
        <x:f>'Trade Features'!CA421</x:f>
        <x:v>20327.259729090732</x:v>
      </x:c>
      <x:c r="E421" s="91" t="str">
        <x:f>'Trade Features'!CH421</x:f>
        <x:v>0.47554847944452416</x:v>
      </x:c>
      <x:c r="F421" s="91" t="str">
        <x:f>'Trade Features'!CG421</x:f>
        <x:v>0.028144705926307</x:v>
      </x:c>
      <x:c r="G421" s="92" t="n">
        <x:f>ABS(C421-D421)</x:f>
        <x:v>25.759729090732435</x:v>
      </x:c>
      <x:c r="H421" s="92" t="n">
        <x:f>IFERROR($O$2/(G421*$O$3),0)</x:f>
        <x:v>0.028144705926307</x:v>
      </x:c>
      <x:c r="I421" s="92" t="n">
        <x:f>E421-H421</x:f>
        <x:v>0.44740377351821714</x:v>
      </x:c>
      <x:c r="J421" s="91" t="str">
        <x:f>'Trade Features'!CI421</x:f>
        <x:v>0.44740377351821714</x:v>
      </x:c>
      <x:c r="K421" s="92" t="n">
        <x:f>I421-J421</x:f>
        <x:v>0</x:v>
      </x:c>
      <x:c r="L421" s="90" t="str">
        <x:f>IF(ABS(K421)&lt;0.000000001,"PASS","FAIL")</x:f>
        <x:v>PASS</x:v>
      </x:c>
    </x:row>
    <x:row r="422">
      <x:c r="A422" s="84" t="str">
        <x:f>'Trade Features'!A422</x:f>
        <x:v>A0421</x:v>
      </x:c>
      <x:c r="B422" s="84" t="str">
        <x:f>'Trade Features'!F422</x:f>
        <x:v>Long</x:v>
      </x:c>
      <x:c r="C422" s="91" t="str">
        <x:f>'Trade Features'!BX422</x:f>
        <x:v>20360.75</x:v>
      </x:c>
      <x:c r="D422" s="91" t="str">
        <x:f>'Trade Features'!CA422</x:f>
        <x:v>20317.027248551596</x:v>
      </x:c>
      <x:c r="E422" s="91" t="str">
        <x:f>'Trade Features'!CH422</x:f>
        <x:v>-1.0</x:v>
      </x:c>
      <x:c r="F422" s="91" t="str">
        <x:f>'Trade Features'!CG422</x:f>
        <x:v>0.01658175608768708</x:v>
      </x:c>
      <x:c r="G422" s="92" t="n">
        <x:f>ABS(C422-D422)</x:f>
        <x:v>43.72275144840387</x:v>
      </x:c>
      <x:c r="H422" s="92" t="n">
        <x:f>IFERROR($O$2/(G422*$O$3),0)</x:f>
        <x:v>0.01658175608768708</x:v>
      </x:c>
      <x:c r="I422" s="92" t="n">
        <x:f>E422-H422</x:f>
        <x:v>-1.016581756087687</x:v>
      </x:c>
      <x:c r="J422" s="91" t="str">
        <x:f>'Trade Features'!CI422</x:f>
        <x:v>-1.016581756087687</x:v>
      </x:c>
      <x:c r="K422" s="92" t="n">
        <x:f>I422-J422</x:f>
        <x:v>0</x:v>
      </x:c>
      <x:c r="L422" s="90" t="str">
        <x:f>IF(ABS(K422)&lt;0.000000001,"PASS","FAIL")</x:f>
        <x:v>PASS</x:v>
      </x:c>
    </x:row>
    <x:row r="423">
      <x:c r="A423" s="84" t="str">
        <x:f>'Trade Features'!A423</x:f>
        <x:v>A0422</x:v>
      </x:c>
      <x:c r="B423" s="84" t="str">
        <x:f>'Trade Features'!F423</x:f>
        <x:v>Long</x:v>
      </x:c>
      <x:c r="C423" s="91" t="str">
        <x:f>'Trade Features'!BX423</x:f>
        <x:v>20390.25</x:v>
      </x:c>
      <x:c r="D423" s="91" t="str">
        <x:f>'Trade Features'!CA423</x:f>
        <x:v>20360.895222792038</x:v>
      </x:c>
      <x:c r="E423" s="91" t="str">
        <x:f>'Trade Features'!CH423</x:f>
        <x:v>-1.0</x:v>
      </x:c>
      <x:c r="F423" s="91" t="str">
        <x:f>'Trade Features'!CG423</x:f>
        <x:v>0.024697853942606603</x:v>
      </x:c>
      <x:c r="G423" s="92" t="n">
        <x:f>ABS(C423-D423)</x:f>
        <x:v>29.354777207961888</x:v>
      </x:c>
      <x:c r="H423" s="92" t="n">
        <x:f>IFERROR($O$2/(G423*$O$3),0)</x:f>
        <x:v>0.024697853942606603</x:v>
      </x:c>
      <x:c r="I423" s="92" t="n">
        <x:f>E423-H423</x:f>
        <x:v>-1.0246978539426066</x:v>
      </x:c>
      <x:c r="J423" s="91" t="str">
        <x:f>'Trade Features'!CI423</x:f>
        <x:v>-1.0246978539426066</x:v>
      </x:c>
      <x:c r="K423" s="92" t="n">
        <x:f>I423-J423</x:f>
        <x:v>0</x:v>
      </x:c>
      <x:c r="L423" s="90" t="str">
        <x:f>IF(ABS(K423)&lt;0.000000001,"PASS","FAIL")</x:f>
        <x:v>PASS</x:v>
      </x:c>
    </x:row>
    <x:row r="424">
      <x:c r="A424" s="84" t="str">
        <x:f>'Trade Features'!A424</x:f>
        <x:v>A0423</x:v>
      </x:c>
      <x:c r="B424" s="84" t="str">
        <x:f>'Trade Features'!F424</x:f>
        <x:v>Short</x:v>
      </x:c>
      <x:c r="C424" s="91" t="str">
        <x:f>'Trade Features'!BX424</x:f>
        <x:v>20363.25</x:v>
      </x:c>
      <x:c r="D424" s="91" t="str">
        <x:f>'Trade Features'!CA424</x:f>
        <x:v>20388.388731922816</x:v>
      </x:c>
      <x:c r="E424" s="91" t="str">
        <x:f>'Trade Features'!CH424</x:f>
        <x:v>-0.1392273886664574</x:v>
      </x:c>
      <x:c r="F424" s="91" t="str">
        <x:f>'Trade Features'!CG424</x:f>
        <x:v>0.02883995908091073</x:v>
      </x:c>
      <x:c r="G424" s="92" t="n">
        <x:f>ABS(C424-D424)</x:f>
        <x:v>25.138731922816078</x:v>
      </x:c>
      <x:c r="H424" s="92" t="n">
        <x:f>IFERROR($O$2/(G424*$O$3),0)</x:f>
        <x:v>0.02883995908091073</x:v>
      </x:c>
      <x:c r="I424" s="92" t="n">
        <x:f>E424-H424</x:f>
        <x:v>-0.16806734774736812</x:v>
      </x:c>
      <x:c r="J424" s="91" t="str">
        <x:f>'Trade Features'!CI424</x:f>
        <x:v>-0.16806734774736812</x:v>
      </x:c>
      <x:c r="K424" s="92" t="n">
        <x:f>I424-J424</x:f>
        <x:v>0</x:v>
      </x:c>
      <x:c r="L424" s="90" t="str">
        <x:f>IF(ABS(K424)&lt;0.000000001,"PASS","FAIL")</x:f>
        <x:v>PASS</x:v>
      </x:c>
    </x:row>
    <x:row r="425">
      <x:c r="A425" s="84" t="str">
        <x:f>'Trade Features'!A425</x:f>
        <x:v>A0424</x:v>
      </x:c>
      <x:c r="B425" s="84" t="str">
        <x:f>'Trade Features'!F425</x:f>
        <x:v>Long</x:v>
      </x:c>
      <x:c r="C425" s="91" t="str">
        <x:f>'Trade Features'!BX425</x:f>
        <x:v>20487.5</x:v>
      </x:c>
      <x:c r="D425" s="91" t="str">
        <x:f>'Trade Features'!CA425</x:f>
        <x:v>20452.456716591154</x:v>
      </x:c>
      <x:c r="E425" s="91" t="str">
        <x:f>'Trade Features'!CH425</x:f>
        <x:v>0.25682524936371204</x:v>
      </x:c>
      <x:c r="F425" s="91" t="str">
        <x:f>'Trade Features'!CG425</x:f>
        <x:v>0.020688700643187646</x:v>
      </x:c>
      <x:c r="G425" s="92" t="n">
        <x:f>ABS(C425-D425)</x:f>
        <x:v>35.04328340884604</x:v>
      </x:c>
      <x:c r="H425" s="92" t="n">
        <x:f>IFERROR($O$2/(G425*$O$3),0)</x:f>
        <x:v>0.020688700643187646</x:v>
      </x:c>
      <x:c r="I425" s="92" t="n">
        <x:f>E425-H425</x:f>
        <x:v>0.2361365487205244</x:v>
      </x:c>
      <x:c r="J425" s="91" t="str">
        <x:f>'Trade Features'!CI425</x:f>
        <x:v>0.2361365487205244</x:v>
      </x:c>
      <x:c r="K425" s="92" t="n">
        <x:f>I425-J425</x:f>
        <x:v>0</x:v>
      </x:c>
      <x:c r="L425" s="90" t="str">
        <x:f>IF(ABS(K425)&lt;0.000000001,"PASS","FAIL")</x:f>
        <x:v>PASS</x:v>
      </x:c>
    </x:row>
    <x:row r="426">
      <x:c r="A426" s="84" t="str">
        <x:f>'Trade Features'!A426</x:f>
        <x:v>A0425</x:v>
      </x:c>
      <x:c r="B426" s="84" t="str">
        <x:f>'Trade Features'!F426</x:f>
        <x:v>Short</x:v>
      </x:c>
      <x:c r="C426" s="91" t="str">
        <x:f>'Trade Features'!BX426</x:f>
        <x:v>20459.25</x:v>
      </x:c>
      <x:c r="D426" s="91" t="str">
        <x:f>'Trade Features'!CA426</x:f>
        <x:v>20482.44417702236</x:v>
      </x:c>
      <x:c r="E426" s="91" t="str">
        <x:f>'Trade Features'!CH426</x:f>
        <x:v>0.4203641280568222</x:v>
      </x:c>
      <x:c r="F426" s="91" t="str">
        <x:f>'Trade Features'!CG426</x:f>
        <x:v>0.03125784541960972</x:v>
      </x:c>
      <x:c r="G426" s="92" t="n">
        <x:f>ABS(C426-D426)</x:f>
        <x:v>23.194177022360236</x:v>
      </x:c>
      <x:c r="H426" s="92" t="n">
        <x:f>IFERROR($O$2/(G426*$O$3),0)</x:f>
        <x:v>0.03125784541960972</x:v>
      </x:c>
      <x:c r="I426" s="92" t="n">
        <x:f>E426-H426</x:f>
        <x:v>0.3891062826372125</x:v>
      </x:c>
      <x:c r="J426" s="91" t="str">
        <x:f>'Trade Features'!CI426</x:f>
        <x:v>0.3891062826372125</x:v>
      </x:c>
      <x:c r="K426" s="92" t="n">
        <x:f>I426-J426</x:f>
        <x:v>0</x:v>
      </x:c>
      <x:c r="L426" s="90" t="str">
        <x:f>IF(ABS(K426)&lt;0.000000001,"PASS","FAIL")</x:f>
        <x:v>PASS</x:v>
      </x:c>
    </x:row>
    <x:row r="427">
      <x:c r="A427" s="84" t="str">
        <x:f>'Trade Features'!A427</x:f>
        <x:v>A0426</x:v>
      </x:c>
      <x:c r="B427" s="84" t="str">
        <x:f>'Trade Features'!F427</x:f>
        <x:v>Short</x:v>
      </x:c>
      <x:c r="C427" s="91" t="str">
        <x:f>'Trade Features'!BX427</x:f>
        <x:v>20511.5</x:v>
      </x:c>
      <x:c r="D427" s="91" t="str">
        <x:f>'Trade Features'!CA427</x:f>
        <x:v>20555.44098324084</x:v>
      </x:c>
      <x:c r="E427" s="91" t="str">
        <x:f>'Trade Features'!CH427</x:f>
        <x:v>-1.0</x:v>
      </x:c>
      <x:c r="F427" s="91" t="str">
        <x:f>'Trade Features'!CG427</x:f>
        <x:v>0.016499403211491938</x:v>
      </x:c>
      <x:c r="G427" s="92" t="n">
        <x:f>ABS(C427-D427)</x:f>
        <x:v>43.94098324083825</x:v>
      </x:c>
      <x:c r="H427" s="92" t="n">
        <x:f>IFERROR($O$2/(G427*$O$3),0)</x:f>
        <x:v>0.016499403211491938</x:v>
      </x:c>
      <x:c r="I427" s="92" t="n">
        <x:f>E427-H427</x:f>
        <x:v>-1.016499403211492</x:v>
      </x:c>
      <x:c r="J427" s="91" t="str">
        <x:f>'Trade Features'!CI427</x:f>
        <x:v>-1.016499403211492</x:v>
      </x:c>
      <x:c r="K427" s="92" t="n">
        <x:f>I427-J427</x:f>
        <x:v>0</x:v>
      </x:c>
      <x:c r="L427" s="90" t="str">
        <x:f>IF(ABS(K427)&lt;0.000000001,"PASS","FAIL")</x:f>
        <x:v>PASS</x:v>
      </x:c>
    </x:row>
    <x:row r="428">
      <x:c r="A428" s="84" t="str">
        <x:f>'Trade Features'!A428</x:f>
        <x:v>A0427</x:v>
      </x:c>
      <x:c r="B428" s="84" t="str">
        <x:f>'Trade Features'!F428</x:f>
        <x:v>Long</x:v>
      </x:c>
      <x:c r="C428" s="91" t="str">
        <x:f>'Trade Features'!BX428</x:f>
        <x:v>20377.0</x:v>
      </x:c>
      <x:c r="D428" s="91" t="str">
        <x:f>'Trade Features'!CA428</x:f>
        <x:v>20342.063347623072</x:v>
      </x:c>
      <x:c r="E428" s="91" t="str">
        <x:f>'Trade Features'!CH428</x:f>
        <x:v>1.28804556070516</x:v>
      </x:c>
      <x:c r="F428" s="91" t="str">
        <x:f>'Trade Features'!CG428</x:f>
        <x:v>0.020751845144693755</x:v>
      </x:c>
      <x:c r="G428" s="92" t="n">
        <x:f>ABS(C428-D428)</x:f>
        <x:v>34.93665237692767</x:v>
      </x:c>
      <x:c r="H428" s="92" t="n">
        <x:f>IFERROR($O$2/(G428*$O$3),0)</x:f>
        <x:v>0.020751845144693755</x:v>
      </x:c>
      <x:c r="I428" s="92" t="n">
        <x:f>E428-H428</x:f>
        <x:v>1.2672937155604662</x:v>
      </x:c>
      <x:c r="J428" s="91" t="str">
        <x:f>'Trade Features'!CI428</x:f>
        <x:v>1.2672937155604662</x:v>
      </x:c>
      <x:c r="K428" s="92" t="n">
        <x:f>I428-J428</x:f>
        <x:v>0</x:v>
      </x:c>
      <x:c r="L428" s="90" t="str">
        <x:f>IF(ABS(K428)&lt;0.000000001,"PASS","FAIL")</x:f>
        <x:v>PASS</x:v>
      </x:c>
    </x:row>
    <x:row r="429">
      <x:c r="A429" s="84" t="str">
        <x:f>'Trade Features'!A429</x:f>
        <x:v>A0428</x:v>
      </x:c>
      <x:c r="B429" s="84" t="str">
        <x:f>'Trade Features'!F429</x:f>
        <x:v>Long</x:v>
      </x:c>
      <x:c r="C429" s="91" t="str">
        <x:f>'Trade Features'!BX429</x:f>
        <x:v>20145.0</x:v>
      </x:c>
      <x:c r="D429" s="91" t="str">
        <x:f>'Trade Features'!CA429</x:f>
        <x:v>20115.342751761942</x:v>
      </x:c>
      <x:c r="E429" s="91" t="str">
        <x:f>'Trade Features'!CH429</x:f>
        <x:v>-1.0</x:v>
      </x:c>
      <x:c r="F429" s="91" t="str">
        <x:f>'Trade Features'!CG429</x:f>
        <x:v>0.024445963232341862</x:v>
      </x:c>
      <x:c r="G429" s="92" t="n">
        <x:f>ABS(C429-D429)</x:f>
        <x:v>29.657248238057946</x:v>
      </x:c>
      <x:c r="H429" s="92" t="n">
        <x:f>IFERROR($O$2/(G429*$O$3),0)</x:f>
        <x:v>0.024445963232341862</x:v>
      </x:c>
      <x:c r="I429" s="92" t="n">
        <x:f>E429-H429</x:f>
        <x:v>-1.024445963232342</x:v>
      </x:c>
      <x:c r="J429" s="91" t="str">
        <x:f>'Trade Features'!CI429</x:f>
        <x:v>-1.024445963232342</x:v>
      </x:c>
      <x:c r="K429" s="92" t="n">
        <x:f>I429-J429</x:f>
        <x:v>0</x:v>
      </x:c>
      <x:c r="L429" s="90" t="str">
        <x:f>IF(ABS(K429)&lt;0.000000001,"PASS","FAIL")</x:f>
        <x:v>PASS</x:v>
      </x:c>
    </x:row>
    <x:row r="430">
      <x:c r="A430" s="84" t="str">
        <x:f>'Trade Features'!A430</x:f>
        <x:v>A0429</x:v>
      </x:c>
      <x:c r="B430" s="84" t="str">
        <x:f>'Trade Features'!F430</x:f>
        <x:v>Short</x:v>
      </x:c>
      <x:c r="C430" s="91" t="str">
        <x:f>'Trade Features'!BX430</x:f>
        <x:v>20356.5</x:v>
      </x:c>
      <x:c r="D430" s="91" t="str">
        <x:f>'Trade Features'!CA430</x:f>
        <x:v>20395.522137241365</x:v>
      </x:c>
      <x:c r="E430" s="91" t="str">
        <x:f>'Trade Features'!CH430</x:f>
        <x:v>2.0</x:v>
      </x:c>
      <x:c r="F430" s="91" t="str">
        <x:f>'Trade Features'!CG430</x:f>
        <x:v>0.018579197636347463</x:v>
      </x:c>
      <x:c r="G430" s="92" t="n">
        <x:f>ABS(C430-D430)</x:f>
        <x:v>39.02213724136527</x:v>
      </x:c>
      <x:c r="H430" s="92" t="n">
        <x:f>IFERROR($O$2/(G430*$O$3),0)</x:f>
        <x:v>0.018579197636347463</x:v>
      </x:c>
      <x:c r="I430" s="92" t="n">
        <x:f>E430-H430</x:f>
        <x:v>1.9814208023636526</x:v>
      </x:c>
      <x:c r="J430" s="91" t="str">
        <x:f>'Trade Features'!CI430</x:f>
        <x:v>1.9814208023636526</x:v>
      </x:c>
      <x:c r="K430" s="92" t="n">
        <x:f>I430-J430</x:f>
        <x:v>0</x:v>
      </x:c>
      <x:c r="L430" s="90" t="str">
        <x:f>IF(ABS(K430)&lt;0.000000001,"PASS","FAIL")</x:f>
        <x:v>PASS</x:v>
      </x:c>
    </x:row>
    <x:row r="431">
      <x:c r="A431" s="84" t="str">
        <x:f>'Trade Features'!A431</x:f>
        <x:v>A0430</x:v>
      </x:c>
      <x:c r="B431" s="84" t="str">
        <x:f>'Trade Features'!F431</x:f>
        <x:v>Short</x:v>
      </x:c>
      <x:c r="C431" s="91" t="str">
        <x:f>'Trade Features'!BX431</x:f>
        <x:v>20129.75</x:v>
      </x:c>
      <x:c r="D431" s="91" t="str">
        <x:f>'Trade Features'!CA431</x:f>
        <x:v>20150.795685759906</x:v>
      </x:c>
      <x:c r="E431" s="91" t="str">
        <x:f>'Trade Features'!CH431</x:f>
        <x:v>0.2613362217200125</x:v>
      </x:c>
      <x:c r="F431" s="91" t="str">
        <x:f>'Trade Features'!CG431</x:f>
        <x:v>0.03444886559036277</x:v>
      </x:c>
      <x:c r="G431" s="92" t="n">
        <x:f>ABS(C431-D431)</x:f>
        <x:v>21.04568575990561</x:v>
      </x:c>
      <x:c r="H431" s="92" t="n">
        <x:f>IFERROR($O$2/(G431*$O$3),0)</x:f>
        <x:v>0.03444886559036277</x:v>
      </x:c>
      <x:c r="I431" s="92" t="n">
        <x:f>E431-H431</x:f>
        <x:v>0.22688735612964972</x:v>
      </x:c>
      <x:c r="J431" s="91" t="str">
        <x:f>'Trade Features'!CI431</x:f>
        <x:v>0.22688735612964972</x:v>
      </x:c>
      <x:c r="K431" s="92" t="n">
        <x:f>I431-J431</x:f>
        <x:v>0</x:v>
      </x:c>
      <x:c r="L431" s="90" t="str">
        <x:f>IF(ABS(K431)&lt;0.000000001,"PASS","FAIL")</x:f>
        <x:v>PASS</x:v>
      </x:c>
    </x:row>
    <x:row r="432">
      <x:c r="A432" s="84" t="str">
        <x:f>'Trade Features'!A432</x:f>
        <x:v>A0431</x:v>
      </x:c>
      <x:c r="B432" s="84" t="str">
        <x:f>'Trade Features'!F432</x:f>
        <x:v>Short</x:v>
      </x:c>
      <x:c r="C432" s="91" t="str">
        <x:f>'Trade Features'!BX432</x:f>
        <x:v>20721.5</x:v>
      </x:c>
      <x:c r="D432" s="91" t="str">
        <x:f>'Trade Features'!CA432</x:f>
        <x:v>20740.392092783153</x:v>
      </x:c>
      <x:c r="E432" s="91" t="str">
        <x:f>'Trade Features'!CH432</x:f>
        <x:v>0.5160889326508934</x:v>
      </x:c>
      <x:c r="F432" s="91" t="str">
        <x:f>'Trade Features'!CG432</x:f>
        <x:v>0.038375843709941446</x:v>
      </x:c>
      <x:c r="G432" s="92" t="n">
        <x:f>ABS(C432-D432)</x:f>
        <x:v>18.892092783153203</x:v>
      </x:c>
      <x:c r="H432" s="92" t="n">
        <x:f>IFERROR($O$2/(G432*$O$3),0)</x:f>
        <x:v>0.038375843709941446</x:v>
      </x:c>
      <x:c r="I432" s="92" t="n">
        <x:f>E432-H432</x:f>
        <x:v>0.47771308894095194</x:v>
      </x:c>
      <x:c r="J432" s="91" t="str">
        <x:f>'Trade Features'!CI432</x:f>
        <x:v>0.47771308894095194</x:v>
      </x:c>
      <x:c r="K432" s="92" t="n">
        <x:f>I432-J432</x:f>
        <x:v>0</x:v>
      </x:c>
      <x:c r="L432" s="90" t="str">
        <x:f>IF(ABS(K432)&lt;0.000000001,"PASS","FAIL")</x:f>
        <x:v>PASS</x:v>
      </x:c>
    </x:row>
    <x:row r="433">
      <x:c r="A433" s="84" t="str">
        <x:f>'Trade Features'!A433</x:f>
        <x:v>A0432</x:v>
      </x:c>
      <x:c r="B433" s="84" t="str">
        <x:f>'Trade Features'!F433</x:f>
        <x:v>Short</x:v>
      </x:c>
      <x:c r="C433" s="91" t="str">
        <x:f>'Trade Features'!BX433</x:f>
        <x:v>20871.0</x:v>
      </x:c>
      <x:c r="D433" s="91" t="str">
        <x:f>'Trade Features'!CA433</x:f>
        <x:v>20889.93703934205</x:v>
      </x:c>
      <x:c r="E433" s="91" t="str">
        <x:f>'Trade Features'!CH433</x:f>
        <x:v>2.0</x:v>
      </x:c>
      <x:c r="F433" s="91" t="str">
        <x:f>'Trade Features'!CG433</x:f>
        <x:v>0.03828475966621193</x:v>
      </x:c>
      <x:c r="G433" s="92" t="n">
        <x:f>ABS(C433-D433)</x:f>
        <x:v>18.93703934205041</x:v>
      </x:c>
      <x:c r="H433" s="92" t="n">
        <x:f>IFERROR($O$2/(G433*$O$3),0)</x:f>
        <x:v>0.03828475966621193</x:v>
      </x:c>
      <x:c r="I433" s="92" t="n">
        <x:f>E433-H433</x:f>
        <x:v>1.961715240333788</x:v>
      </x:c>
      <x:c r="J433" s="91" t="str">
        <x:f>'Trade Features'!CI433</x:f>
        <x:v>1.961715240333788</x:v>
      </x:c>
      <x:c r="K433" s="92" t="n">
        <x:f>I433-J433</x:f>
        <x:v>0</x:v>
      </x:c>
      <x:c r="L433" s="90" t="str">
        <x:f>IF(ABS(K433)&lt;0.000000001,"PASS","FAIL")</x:f>
        <x:v>PASS</x:v>
      </x:c>
    </x:row>
    <x:row r="434">
      <x:c r="A434" s="84" t="str">
        <x:f>'Trade Features'!A434</x:f>
        <x:v>A0433</x:v>
      </x:c>
      <x:c r="B434" s="84" t="str">
        <x:f>'Trade Features'!F434</x:f>
        <x:v>Long</x:v>
      </x:c>
      <x:c r="C434" s="91" t="str">
        <x:f>'Trade Features'!BX434</x:f>
        <x:v>21021.75</x:v>
      </x:c>
      <x:c r="D434" s="91" t="str">
        <x:f>'Trade Features'!CA434</x:f>
        <x:v>21011.379405465104</x:v>
      </x:c>
      <x:c r="E434" s="91" t="str">
        <x:f>'Trade Features'!CH434</x:f>
        <x:v>-1.0</x:v>
      </x:c>
      <x:c r="F434" s="91" t="str">
        <x:f>'Trade Features'!CG434</x:f>
        <x:v>0.0699092031378214</x:v>
      </x:c>
      <x:c r="G434" s="92" t="n">
        <x:f>ABS(C434-D434)</x:f>
        <x:v>10.370594534895645</x:v>
      </x:c>
      <x:c r="H434" s="92" t="n">
        <x:f>IFERROR($O$2/(G434*$O$3),0)</x:f>
        <x:v>0.0699092031378214</x:v>
      </x:c>
      <x:c r="I434" s="92" t="n">
        <x:f>E434-H434</x:f>
        <x:v>-1.0699092031378215</x:v>
      </x:c>
      <x:c r="J434" s="91" t="str">
        <x:f>'Trade Features'!CI434</x:f>
        <x:v>-1.0699092031378215</x:v>
      </x:c>
      <x:c r="K434" s="92" t="n">
        <x:f>I434-J434</x:f>
        <x:v>0</x:v>
      </x:c>
      <x:c r="L434" s="90" t="str">
        <x:f>IF(ABS(K434)&lt;0.000000001,"PASS","FAIL")</x:f>
        <x:v>PASS</x:v>
      </x:c>
    </x:row>
    <x:row r="435">
      <x:c r="A435" s="84" t="str">
        <x:f>'Trade Features'!A435</x:f>
        <x:v>A0434</x:v>
      </x:c>
      <x:c r="B435" s="84" t="str">
        <x:f>'Trade Features'!F435</x:f>
        <x:v>Long</x:v>
      </x:c>
      <x:c r="C435" s="91" t="str">
        <x:f>'Trade Features'!BX435</x:f>
        <x:v>21076.5</x:v>
      </x:c>
      <x:c r="D435" s="91" t="str">
        <x:f>'Trade Features'!CA435</x:f>
        <x:v>21064.107340230134</x:v>
      </x:c>
      <x:c r="E435" s="91" t="str">
        <x:f>'Trade Features'!CH435</x:f>
        <x:v>2.0</x:v>
      </x:c>
      <x:c r="F435" s="91" t="str">
        <x:f>'Trade Features'!CG435</x:f>
        <x:v>0.05850237265150172</x:v>
      </x:c>
      <x:c r="G435" s="92" t="n">
        <x:f>ABS(C435-D435)</x:f>
        <x:v>12.392659769866441</x:v>
      </x:c>
      <x:c r="H435" s="92" t="n">
        <x:f>IFERROR($O$2/(G435*$O$3),0)</x:f>
        <x:v>0.05850237265150172</x:v>
      </x:c>
      <x:c r="I435" s="92" t="n">
        <x:f>E435-H435</x:f>
        <x:v>1.9414976273484983</x:v>
      </x:c>
      <x:c r="J435" s="91" t="str">
        <x:f>'Trade Features'!CI435</x:f>
        <x:v>1.9414976273484983</x:v>
      </x:c>
      <x:c r="K435" s="92" t="n">
        <x:f>I435-J435</x:f>
        <x:v>0</x:v>
      </x:c>
      <x:c r="L435" s="90" t="str">
        <x:f>IF(ABS(K435)&lt;0.000000001,"PASS","FAIL")</x:f>
        <x:v>PASS</x:v>
      </x:c>
    </x:row>
    <x:row r="436">
      <x:c r="A436" s="84" t="str">
        <x:f>'Trade Features'!A436</x:f>
        <x:v>A0435</x:v>
      </x:c>
      <x:c r="B436" s="84" t="str">
        <x:f>'Trade Features'!F436</x:f>
        <x:v>Long</x:v>
      </x:c>
      <x:c r="C436" s="91" t="str">
        <x:f>'Trade Features'!BX436</x:f>
        <x:v>21048.5</x:v>
      </x:c>
      <x:c r="D436" s="91" t="str">
        <x:f>'Trade Features'!CA436</x:f>
        <x:v>21034.171051316145</x:v>
      </x:c>
      <x:c r="E436" s="91" t="str">
        <x:f>'Trade Features'!CH436</x:f>
        <x:v>0.4885215345831747</x:v>
      </x:c>
      <x:c r="F436" s="91" t="str">
        <x:f>'Trade Features'!CG436</x:f>
        <x:v>0.050596873224683606</x:v>
      </x:c>
      <x:c r="G436" s="92" t="n">
        <x:f>ABS(C436-D436)</x:f>
        <x:v>14.328948683854833</x:v>
      </x:c>
      <x:c r="H436" s="92" t="n">
        <x:f>IFERROR($O$2/(G436*$O$3),0)</x:f>
        <x:v>0.050596873224683606</x:v>
      </x:c>
      <x:c r="I436" s="92" t="n">
        <x:f>E436-H436</x:f>
        <x:v>0.4379246613584911</x:v>
      </x:c>
      <x:c r="J436" s="91" t="str">
        <x:f>'Trade Features'!CI436</x:f>
        <x:v>0.4379246613584911</x:v>
      </x:c>
      <x:c r="K436" s="92" t="n">
        <x:f>I436-J436</x:f>
        <x:v>0</x:v>
      </x:c>
      <x:c r="L436" s="90" t="str">
        <x:f>IF(ABS(K436)&lt;0.000000001,"PASS","FAIL")</x:f>
        <x:v>PASS</x:v>
      </x:c>
    </x:row>
    <x:row r="437">
      <x:c r="A437" s="84" t="str">
        <x:f>'Trade Features'!A437</x:f>
        <x:v>A0436</x:v>
      </x:c>
      <x:c r="B437" s="84" t="str">
        <x:f>'Trade Features'!F437</x:f>
        <x:v>Long</x:v>
      </x:c>
      <x:c r="C437" s="91" t="str">
        <x:f>'Trade Features'!BX437</x:f>
        <x:v>21030.0</x:v>
      </x:c>
      <x:c r="D437" s="91" t="str">
        <x:f>'Trade Features'!CA437</x:f>
        <x:v>20992.42427305732</x:v>
      </x:c>
      <x:c r="E437" s="91" t="str">
        <x:f>'Trade Features'!CH437</x:f>
        <x:v>2.0</x:v>
      </x:c>
      <x:c r="F437" s="91" t="str">
        <x:f>'Trade Features'!CG437</x:f>
        <x:v>0.01929437056815863</x:v>
      </x:c>
      <x:c r="G437" s="92" t="n">
        <x:f>ABS(C437-D437)</x:f>
        <x:v>37.575726942679466</x:v>
      </x:c>
      <x:c r="H437" s="92" t="n">
        <x:f>IFERROR($O$2/(G437*$O$3),0)</x:f>
        <x:v>0.01929437056815863</x:v>
      </x:c>
      <x:c r="I437" s="92" t="n">
        <x:f>E437-H437</x:f>
        <x:v>1.9807056294318415</x:v>
      </x:c>
      <x:c r="J437" s="91" t="str">
        <x:f>'Trade Features'!CI437</x:f>
        <x:v>1.9807056294318415</x:v>
      </x:c>
      <x:c r="K437" s="92" t="n">
        <x:f>I437-J437</x:f>
        <x:v>0</x:v>
      </x:c>
      <x:c r="L437" s="90" t="str">
        <x:f>IF(ABS(K437)&lt;0.000000001,"PASS","FAIL")</x:f>
        <x:v>PASS</x:v>
      </x:c>
    </x:row>
    <x:row r="438">
      <x:c r="A438" s="84" t="str">
        <x:f>'Trade Features'!A438</x:f>
        <x:v>A0437</x:v>
      </x:c>
      <x:c r="B438" s="84" t="str">
        <x:f>'Trade Features'!F438</x:f>
        <x:v>Short</x:v>
      </x:c>
      <x:c r="C438" s="91" t="str">
        <x:f>'Trade Features'!BX438</x:f>
        <x:v>21266.0</x:v>
      </x:c>
      <x:c r="D438" s="91" t="str">
        <x:f>'Trade Features'!CA438</x:f>
        <x:v>21285.2206509125</x:v>
      </x:c>
      <x:c r="E438" s="91" t="str">
        <x:f>'Trade Features'!CH438</x:f>
        <x:v>-1.0</x:v>
      </x:c>
      <x:c r="F438" s="91" t="str">
        <x:f>'Trade Features'!CG438</x:f>
        <x:v>0.0377198463933675</x:v>
      </x:c>
      <x:c r="G438" s="92" t="n">
        <x:f>ABS(C438-D438)</x:f>
        <x:v>19.220650912498968</x:v>
      </x:c>
      <x:c r="H438" s="92" t="n">
        <x:f>IFERROR($O$2/(G438*$O$3),0)</x:f>
        <x:v>0.0377198463933675</x:v>
      </x:c>
      <x:c r="I438" s="92" t="n">
        <x:f>E438-H438</x:f>
        <x:v>-1.0377198463933675</x:v>
      </x:c>
      <x:c r="J438" s="91" t="str">
        <x:f>'Trade Features'!CI438</x:f>
        <x:v>-1.0377198463933675</x:v>
      </x:c>
      <x:c r="K438" s="92" t="n">
        <x:f>I438-J438</x:f>
        <x:v>0</x:v>
      </x:c>
      <x:c r="L438" s="90" t="str">
        <x:f>IF(ABS(K438)&lt;0.000000001,"PASS","FAIL")</x:f>
        <x:v>PASS</x:v>
      </x:c>
    </x:row>
    <x:row r="439">
      <x:c r="A439" s="84" t="str">
        <x:f>'Trade Features'!A439</x:f>
        <x:v>A0438</x:v>
      </x:c>
      <x:c r="B439" s="84" t="str">
        <x:f>'Trade Features'!F439</x:f>
        <x:v>Long</x:v>
      </x:c>
      <x:c r="C439" s="91" t="str">
        <x:f>'Trade Features'!BX439</x:f>
        <x:v>21339.0</x:v>
      </x:c>
      <x:c r="D439" s="91" t="str">
        <x:f>'Trade Features'!CA439</x:f>
        <x:v>21307.42690217347</x:v>
      </x:c>
      <x:c r="E439" s="91" t="str">
        <x:f>'Trade Features'!CH439</x:f>
        <x:v>0.6888776045828328</x:v>
      </x:c>
      <x:c r="F439" s="91" t="str">
        <x:f>'Trade Features'!CG439</x:f>
        <x:v>0.022962586819427627</x:v>
      </x:c>
      <x:c r="G439" s="92" t="n">
        <x:f>ABS(C439-D439)</x:f>
        <x:v>31.57309782653101</x:v>
      </x:c>
      <x:c r="H439" s="92" t="n">
        <x:f>IFERROR($O$2/(G439*$O$3),0)</x:f>
        <x:v>0.022962586819427627</x:v>
      </x:c>
      <x:c r="I439" s="92" t="n">
        <x:f>E439-H439</x:f>
        <x:v>0.6659150177634051</x:v>
      </x:c>
      <x:c r="J439" s="91" t="str">
        <x:f>'Trade Features'!CI439</x:f>
        <x:v>0.6659150177634051</x:v>
      </x:c>
      <x:c r="K439" s="92" t="n">
        <x:f>I439-J439</x:f>
        <x:v>0</x:v>
      </x:c>
      <x:c r="L439" s="90" t="str">
        <x:f>IF(ABS(K439)&lt;0.000000001,"PASS","FAIL")</x:f>
        <x:v>PASS</x:v>
      </x:c>
    </x:row>
    <x:row r="440">
      <x:c r="A440" s="84" t="str">
        <x:f>'Trade Features'!A440</x:f>
        <x:v>A0439</x:v>
      </x:c>
      <x:c r="B440" s="84" t="str">
        <x:f>'Trade Features'!F440</x:f>
        <x:v>Short</x:v>
      </x:c>
      <x:c r="C440" s="91" t="str">
        <x:f>'Trade Features'!BX440</x:f>
        <x:v>21347.0</x:v>
      </x:c>
      <x:c r="D440" s="91" t="str">
        <x:f>'Trade Features'!CA440</x:f>
        <x:v>21363.891827756557</x:v>
      </x:c>
      <x:c r="E440" s="91" t="str">
        <x:f>'Trade Features'!CH440</x:f>
        <x:v>-0.19240073050935178</x:v>
      </x:c>
      <x:c r="F440" s="91" t="str">
        <x:f>'Trade Features'!CG440</x:f>
        <x:v>0.042920162959781835</x:v>
      </x:c>
      <x:c r="G440" s="92" t="n">
        <x:f>ABS(C440-D440)</x:f>
        <x:v>16.891827756557177</x:v>
      </x:c>
      <x:c r="H440" s="92" t="n">
        <x:f>IFERROR($O$2/(G440*$O$3),0)</x:f>
        <x:v>0.042920162959781835</x:v>
      </x:c>
      <x:c r="I440" s="92" t="n">
        <x:f>E440-H440</x:f>
        <x:v>-0.2353208934691336</x:v>
      </x:c>
      <x:c r="J440" s="91" t="str">
        <x:f>'Trade Features'!CI440</x:f>
        <x:v>-0.2353208934691336</x:v>
      </x:c>
      <x:c r="K440" s="92" t="n">
        <x:f>I440-J440</x:f>
        <x:v>0</x:v>
      </x:c>
      <x:c r="L440" s="90" t="str">
        <x:f>IF(ABS(K440)&lt;0.000000001,"PASS","FAIL")</x:f>
        <x:v>PASS</x:v>
      </x:c>
    </x:row>
    <x:row r="441">
      <x:c r="A441" s="84" t="str">
        <x:f>'Trade Features'!A441</x:f>
        <x:v>A0440</x:v>
      </x:c>
      <x:c r="B441" s="84" t="str">
        <x:f>'Trade Features'!F441</x:f>
        <x:v>Short</x:v>
      </x:c>
      <x:c r="C441" s="91" t="str">
        <x:f>'Trade Features'!BX441</x:f>
        <x:v>21695.75</x:v>
      </x:c>
      <x:c r="D441" s="91" t="str">
        <x:f>'Trade Features'!CA441</x:f>
        <x:v>21717.406110706877</x:v>
      </x:c>
      <x:c r="E441" s="91" t="str">
        <x:f>'Trade Features'!CH441</x:f>
        <x:v>-1.0</x:v>
      </x:c>
      <x:c r="F441" s="91" t="str">
        <x:f>'Trade Features'!CG441</x:f>
        <x:v>0.033477848807346576</x:v>
      </x:c>
      <x:c r="G441" s="92" t="n">
        <x:f>ABS(C441-D441)</x:f>
        <x:v>21.65611070687737</x:v>
      </x:c>
      <x:c r="H441" s="92" t="n">
        <x:f>IFERROR($O$2/(G441*$O$3),0)</x:f>
        <x:v>0.033477848807346576</x:v>
      </x:c>
      <x:c r="I441" s="92" t="n">
        <x:f>E441-H441</x:f>
        <x:v>-1.0334778488073466</x:v>
      </x:c>
      <x:c r="J441" s="91" t="str">
        <x:f>'Trade Features'!CI441</x:f>
        <x:v>-1.0334778488073466</x:v>
      </x:c>
      <x:c r="K441" s="92" t="n">
        <x:f>I441-J441</x:f>
        <x:v>0</x:v>
      </x:c>
      <x:c r="L441" s="90" t="str">
        <x:f>IF(ABS(K441)&lt;0.000000001,"PASS","FAIL")</x:f>
        <x:v>PASS</x:v>
      </x:c>
    </x:row>
    <x:row r="442">
      <x:c r="A442" s="84" t="str">
        <x:f>'Trade Features'!A442</x:f>
        <x:v>A0441</x:v>
      </x:c>
      <x:c r="B442" s="84" t="str">
        <x:f>'Trade Features'!F442</x:f>
        <x:v>Long</x:v>
      </x:c>
      <x:c r="C442" s="91" t="str">
        <x:f>'Trade Features'!BX442</x:f>
        <x:v>21733.25</x:v>
      </x:c>
      <x:c r="D442" s="91" t="str">
        <x:f>'Trade Features'!CA442</x:f>
        <x:v>21712.74994129593</x:v>
      </x:c>
      <x:c r="E442" s="91" t="str">
        <x:f>'Trade Features'!CH442</x:f>
        <x:v>-0.12195087029206819</x:v>
      </x:c>
      <x:c r="F442" s="91" t="str">
        <x:f>'Trade Features'!CG442</x:f>
        <x:v>0.035365752384701576</x:v>
      </x:c>
      <x:c r="G442" s="92" t="n">
        <x:f>ABS(C442-D442)</x:f>
        <x:v>20.500058704070398</x:v>
      </x:c>
      <x:c r="H442" s="92" t="n">
        <x:f>IFERROR($O$2/(G442*$O$3),0)</x:f>
        <x:v>0.035365752384701576</x:v>
      </x:c>
      <x:c r="I442" s="92" t="n">
        <x:f>E442-H442</x:f>
        <x:v>-0.15731662267676977</x:v>
      </x:c>
      <x:c r="J442" s="91" t="str">
        <x:f>'Trade Features'!CI442</x:f>
        <x:v>-0.15731662267676977</x:v>
      </x:c>
      <x:c r="K442" s="92" t="n">
        <x:f>I442-J442</x:f>
        <x:v>0</x:v>
      </x:c>
      <x:c r="L442" s="90" t="str">
        <x:f>IF(ABS(K442)&lt;0.000000001,"PASS","FAIL")</x:f>
        <x:v>PASS</x:v>
      </x:c>
    </x:row>
    <x:row r="443">
      <x:c r="A443" s="84" t="str">
        <x:f>'Trade Features'!A443</x:f>
        <x:v>A0442</x:v>
      </x:c>
      <x:c r="B443" s="84" t="str">
        <x:f>'Trade Features'!F443</x:f>
        <x:v>Short</x:v>
      </x:c>
      <x:c r="C443" s="91" t="str">
        <x:f>'Trade Features'!BX443</x:f>
        <x:v>21710.5</x:v>
      </x:c>
      <x:c r="D443" s="91" t="str">
        <x:f>'Trade Features'!CA443</x:f>
        <x:v>21725.88526939844</x:v>
      </x:c>
      <x:c r="E443" s="91" t="str">
        <x:f>'Trade Features'!CH443</x:f>
        <x:v>2.0</x:v>
      </x:c>
      <x:c r="F443" s="91" t="str">
        <x:f>'Trade Features'!CG443</x:f>
        <x:v>0.047122996759060384</x:v>
      </x:c>
      <x:c r="G443" s="92" t="n">
        <x:f>ABS(C443-D443)</x:f>
        <x:v>15.385269398440869</x:v>
      </x:c>
      <x:c r="H443" s="92" t="n">
        <x:f>IFERROR($O$2/(G443*$O$3),0)</x:f>
        <x:v>0.047122996759060384</x:v>
      </x:c>
      <x:c r="I443" s="92" t="n">
        <x:f>E443-H443</x:f>
        <x:v>1.9528770032409397</x:v>
      </x:c>
      <x:c r="J443" s="91" t="str">
        <x:f>'Trade Features'!CI443</x:f>
        <x:v>1.9528770032409397</x:v>
      </x:c>
      <x:c r="K443" s="92" t="n">
        <x:f>I443-J443</x:f>
        <x:v>0</x:v>
      </x:c>
      <x:c r="L443" s="90" t="str">
        <x:f>IF(ABS(K443)&lt;0.000000001,"PASS","FAIL")</x:f>
        <x:v>PASS</x:v>
      </x:c>
    </x:row>
    <x:row r="444">
      <x:c r="A444" s="84" t="str">
        <x:f>'Trade Features'!A444</x:f>
        <x:v>A0443</x:v>
      </x:c>
      <x:c r="B444" s="84" t="str">
        <x:f>'Trade Features'!F444</x:f>
        <x:v>Short</x:v>
      </x:c>
      <x:c r="C444" s="91" t="str">
        <x:f>'Trade Features'!BX444</x:f>
        <x:v>21664.75</x:v>
      </x:c>
      <x:c r="D444" s="91" t="str">
        <x:f>'Trade Features'!CA444</x:f>
        <x:v>21685.800335295877</x:v>
      </x:c>
      <x:c r="E444" s="91" t="str">
        <x:f>'Trade Features'!CH444</x:f>
        <x:v>-0.10688665849615758</x:v>
      </x:c>
      <x:c r="F444" s="91" t="str">
        <x:f>'Trade Features'!CG444</x:f>
        <x:v>0.03444125662653986</x:v>
      </x:c>
      <x:c r="G444" s="92" t="n">
        <x:f>ABS(C444-D444)</x:f>
        <x:v>21.05033529587672</x:v>
      </x:c>
      <x:c r="H444" s="92" t="n">
        <x:f>IFERROR($O$2/(G444*$O$3),0)</x:f>
        <x:v>0.03444125662653986</x:v>
      </x:c>
      <x:c r="I444" s="92" t="n">
        <x:f>E444-H444</x:f>
        <x:v>-0.14132791512269743</x:v>
      </x:c>
      <x:c r="J444" s="91" t="str">
        <x:f>'Trade Features'!CI444</x:f>
        <x:v>-0.14132791512269743</x:v>
      </x:c>
      <x:c r="K444" s="92" t="n">
        <x:f>I444-J444</x:f>
        <x:v>0</x:v>
      </x:c>
      <x:c r="L444" s="90" t="str">
        <x:f>IF(ABS(K444)&lt;0.000000001,"PASS","FAIL")</x:f>
        <x:v>PASS</x:v>
      </x:c>
    </x:row>
    <x:row r="445">
      <x:c r="A445" s="84" t="str">
        <x:f>'Trade Features'!A445</x:f>
        <x:v>A0444</x:v>
      </x:c>
      <x:c r="B445" s="84" t="str">
        <x:f>'Trade Features'!F445</x:f>
        <x:v>Long</x:v>
      </x:c>
      <x:c r="C445" s="91" t="str">
        <x:f>'Trade Features'!BX445</x:f>
        <x:v>21685.75</x:v>
      </x:c>
      <x:c r="D445" s="91" t="str">
        <x:f>'Trade Features'!CA445</x:f>
        <x:v>21676.408195668067</x:v>
      </x:c>
      <x:c r="E445" s="91" t="str">
        <x:f>'Trade Features'!CH445</x:f>
        <x:v>-1.0</x:v>
      </x:c>
      <x:c r="F445" s="91" t="str">
        <x:f>'Trade Features'!CG445</x:f>
        <x:v>0.07760813374368992</x:v>
      </x:c>
      <x:c r="G445" s="92" t="n">
        <x:f>ABS(C445-D445)</x:f>
        <x:v>9.341804331932508</x:v>
      </x:c>
      <x:c r="H445" s="92" t="n">
        <x:f>IFERROR($O$2/(G445*$O$3),0)</x:f>
        <x:v>0.07760813374368992</x:v>
      </x:c>
      <x:c r="I445" s="92" t="n">
        <x:f>E445-H445</x:f>
        <x:v>-1.07760813374369</x:v>
      </x:c>
      <x:c r="J445" s="91" t="str">
        <x:f>'Trade Features'!CI445</x:f>
        <x:v>-1.07760813374369</x:v>
      </x:c>
      <x:c r="K445" s="92" t="n">
        <x:f>I445-J445</x:f>
        <x:v>0</x:v>
      </x:c>
      <x:c r="L445" s="90" t="str">
        <x:f>IF(ABS(K445)&lt;0.000000001,"PASS","FAIL")</x:f>
        <x:v>PASS</x:v>
      </x:c>
    </x:row>
    <x:row r="446">
      <x:c r="A446" s="84" t="str">
        <x:f>'Trade Features'!A446</x:f>
        <x:v>A0445</x:v>
      </x:c>
      <x:c r="B446" s="84" t="str">
        <x:f>'Trade Features'!F446</x:f>
        <x:v>Short</x:v>
      </x:c>
      <x:c r="C446" s="91" t="str">
        <x:f>'Trade Features'!BX446</x:f>
        <x:v>21517.75</x:v>
      </x:c>
      <x:c r="D446" s="91" t="str">
        <x:f>'Trade Features'!CA446</x:f>
        <x:v>21546.222631291672</x:v>
      </x:c>
      <x:c r="E446" s="91" t="str">
        <x:f>'Trade Features'!CH446</x:f>
        <x:v>0.842914718845057</x:v>
      </x:c>
      <x:c r="F446" s="91" t="str">
        <x:f>'Trade Features'!CG446</x:f>
        <x:v>0.02546304879844596</x:v>
      </x:c>
      <x:c r="G446" s="92" t="n">
        <x:f>ABS(C446-D446)</x:f>
        <x:v>28.47263129167186</x:v>
      </x:c>
      <x:c r="H446" s="92" t="n">
        <x:f>IFERROR($O$2/(G446*$O$3),0)</x:f>
        <x:v>0.02546304879844596</x:v>
      </x:c>
      <x:c r="I446" s="92" t="n">
        <x:f>E446-H446</x:f>
        <x:v>0.817451670046611</x:v>
      </x:c>
      <x:c r="J446" s="91" t="str">
        <x:f>'Trade Features'!CI446</x:f>
        <x:v>0.817451670046611</x:v>
      </x:c>
      <x:c r="K446" s="92" t="n">
        <x:f>I446-J446</x:f>
        <x:v>0</x:v>
      </x:c>
      <x:c r="L446" s="90" t="str">
        <x:f>IF(ABS(K446)&lt;0.000000001,"PASS","FAIL")</x:f>
        <x:v>PASS</x:v>
      </x:c>
    </x:row>
    <x:row r="447">
      <x:c r="A447" s="84" t="str">
        <x:f>'Trade Features'!A447</x:f>
        <x:v>A0446</x:v>
      </x:c>
      <x:c r="B447" s="84" t="str">
        <x:f>'Trade Features'!F447</x:f>
        <x:v>Long</x:v>
      </x:c>
      <x:c r="C447" s="91" t="str">
        <x:f>'Trade Features'!BX447</x:f>
        <x:v>21728.0</x:v>
      </x:c>
      <x:c r="D447" s="91" t="str">
        <x:f>'Trade Features'!CA447</x:f>
        <x:v>21715.02375220075</x:v>
      </x:c>
      <x:c r="E447" s="91" t="str">
        <x:f>'Trade Features'!CH447</x:f>
        <x:v>-0.11559581962410524</x:v>
      </x:c>
      <x:c r="F447" s="91" t="str">
        <x:f>'Trade Features'!CG447</x:f>
        <x:v>0.055871312818317725</x:v>
      </x:c>
      <x:c r="G447" s="92" t="n">
        <x:f>ABS(C447-D447)</x:f>
        <x:v>12.976247799251723</x:v>
      </x:c>
      <x:c r="H447" s="92" t="n">
        <x:f>IFERROR($O$2/(G447*$O$3),0)</x:f>
        <x:v>0.055871312818317725</x:v>
      </x:c>
      <x:c r="I447" s="92" t="n">
        <x:f>E447-H447</x:f>
        <x:v>-0.17146713244242295</x:v>
      </x:c>
      <x:c r="J447" s="91" t="str">
        <x:f>'Trade Features'!CI447</x:f>
        <x:v>-0.17146713244242295</x:v>
      </x:c>
      <x:c r="K447" s="92" t="n">
        <x:f>I447-J447</x:f>
        <x:v>0</x:v>
      </x:c>
      <x:c r="L447" s="90" t="str">
        <x:f>IF(ABS(K447)&lt;0.000000001,"PASS","FAIL")</x:f>
        <x:v>PASS</x:v>
      </x:c>
    </x:row>
    <x:row r="448">
      <x:c r="A448" s="84" t="str">
        <x:f>'Trade Features'!A448</x:f>
        <x:v>A0447</x:v>
      </x:c>
      <x:c r="B448" s="84" t="str">
        <x:f>'Trade Features'!F448</x:f>
        <x:v>Long</x:v>
      </x:c>
      <x:c r="C448" s="91" t="str">
        <x:f>'Trade Features'!BX448</x:f>
        <x:v>21776.25</x:v>
      </x:c>
      <x:c r="D448" s="91" t="str">
        <x:f>'Trade Features'!CA448</x:f>
        <x:v>21754.005748791482</x:v>
      </x:c>
      <x:c r="E448" s="91" t="str">
        <x:f>'Trade Features'!CH448</x:f>
        <x:v>-1.0</x:v>
      </x:c>
      <x:c r="F448" s="91" t="str">
        <x:f>'Trade Features'!CG448</x:f>
        <x:v>0.03259269072282244</x:v>
      </x:c>
      <x:c r="G448" s="92" t="n">
        <x:f>ABS(C448-D448)</x:f>
        <x:v>22.244251208518108</x:v>
      </x:c>
      <x:c r="H448" s="92" t="n">
        <x:f>IFERROR($O$2/(G448*$O$3),0)</x:f>
        <x:v>0.03259269072282244</x:v>
      </x:c>
      <x:c r="I448" s="92" t="n">
        <x:f>E448-H448</x:f>
        <x:v>-1.0325926907228224</x:v>
      </x:c>
      <x:c r="J448" s="91" t="str">
        <x:f>'Trade Features'!CI448</x:f>
        <x:v>-1.0325926907228224</x:v>
      </x:c>
      <x:c r="K448" s="92" t="n">
        <x:f>I448-J448</x:f>
        <x:v>0</x:v>
      </x:c>
      <x:c r="L448" s="90" t="str">
        <x:f>IF(ABS(K448)&lt;0.000000001,"PASS","FAIL")</x:f>
        <x:v>PASS</x:v>
      </x:c>
    </x:row>
    <x:row r="449">
      <x:c r="A449" s="84" t="str">
        <x:f>'Trade Features'!A449</x:f>
        <x:v>A0448</x:v>
      </x:c>
      <x:c r="B449" s="84" t="str">
        <x:f>'Trade Features'!F449</x:f>
        <x:v>Short</x:v>
      </x:c>
      <x:c r="C449" s="91" t="str">
        <x:f>'Trade Features'!BX449</x:f>
        <x:v>21742.0</x:v>
      </x:c>
      <x:c r="D449" s="91" t="str">
        <x:f>'Trade Features'!CA449</x:f>
        <x:v>21759.920928975116</x:v>
      </x:c>
      <x:c r="E449" s="91" t="str">
        <x:f>'Trade Features'!CH449</x:f>
        <x:v>-1.0</x:v>
      </x:c>
      <x:c r="F449" s="91" t="str">
        <x:f>'Trade Features'!CG449</x:f>
        <x:v>0.040455492067776724</x:v>
      </x:c>
      <x:c r="G449" s="92" t="n">
        <x:f>ABS(C449-D449)</x:f>
        <x:v>17.920928975116112</x:v>
      </x:c>
      <x:c r="H449" s="92" t="n">
        <x:f>IFERROR($O$2/(G449*$O$3),0)</x:f>
        <x:v>0.040455492067776724</x:v>
      </x:c>
      <x:c r="I449" s="92" t="n">
        <x:f>E449-H449</x:f>
        <x:v>-1.0404554920677767</x:v>
      </x:c>
      <x:c r="J449" s="91" t="str">
        <x:f>'Trade Features'!CI449</x:f>
        <x:v>-1.0404554920677767</x:v>
      </x:c>
      <x:c r="K449" s="92" t="n">
        <x:f>I449-J449</x:f>
        <x:v>0</x:v>
      </x:c>
      <x:c r="L449" s="90" t="str">
        <x:f>IF(ABS(K449)&lt;0.000000001,"PASS","FAIL")</x:f>
        <x:v>PASS</x:v>
      </x:c>
    </x:row>
    <x:row r="450">
      <x:c r="A450" s="84" t="str">
        <x:f>'Trade Features'!A450</x:f>
        <x:v>A0449</x:v>
      </x:c>
      <x:c r="B450" s="84" t="str">
        <x:f>'Trade Features'!F450</x:f>
        <x:v>Long</x:v>
      </x:c>
      <x:c r="C450" s="91" t="str">
        <x:f>'Trade Features'!BX450</x:f>
        <x:v>21854.0</x:v>
      </x:c>
      <x:c r="D450" s="91" t="str">
        <x:f>'Trade Features'!CA450</x:f>
        <x:v>21844.5439923378</x:v>
      </x:c>
      <x:c r="E450" s="91" t="str">
        <x:f>'Trade Features'!CH450</x:f>
        <x:v>0.29082040732609993</x:v>
      </x:c>
      <x:c r="F450" s="91" t="str">
        <x:f>'Trade Features'!CG450</x:f>
        <x:v>0.07667083465870561</x:v>
      </x:c>
      <x:c r="G450" s="92" t="n">
        <x:f>ABS(C450-D450)</x:f>
        <x:v>9.456007662200136</x:v>
      </x:c>
      <x:c r="H450" s="92" t="n">
        <x:f>IFERROR($O$2/(G450*$O$3),0)</x:f>
        <x:v>0.07667083465870561</x:v>
      </x:c>
      <x:c r="I450" s="92" t="n">
        <x:f>E450-H450</x:f>
        <x:v>0.21414957266739432</x:v>
      </x:c>
      <x:c r="J450" s="91" t="str">
        <x:f>'Trade Features'!CI450</x:f>
        <x:v>0.21414957266739432</x:v>
      </x:c>
      <x:c r="K450" s="92" t="n">
        <x:f>I450-J450</x:f>
        <x:v>0</x:v>
      </x:c>
      <x:c r="L450" s="90" t="str">
        <x:f>IF(ABS(K450)&lt;0.000000001,"PASS","FAIL")</x:f>
        <x:v>PASS</x:v>
      </x:c>
    </x:row>
    <x:row r="451">
      <x:c r="A451" s="84" t="str">
        <x:f>'Trade Features'!A451</x:f>
        <x:v>A0450</x:v>
      </x:c>
      <x:c r="B451" s="84" t="str">
        <x:f>'Trade Features'!F451</x:f>
        <x:v>Long</x:v>
      </x:c>
      <x:c r="C451" s="91" t="str">
        <x:f>'Trade Features'!BX451</x:f>
        <x:v>22138.5</x:v>
      </x:c>
      <x:c r="D451" s="91" t="str">
        <x:f>'Trade Features'!CA451</x:f>
        <x:v>22124.388820765347</x:v>
      </x:c>
      <x:c r="E451" s="91" t="str">
        <x:f>'Trade Features'!CH451</x:f>
        <x:v>-1.0</x:v>
      </x:c>
      <x:c r="F451" s="91" t="str">
        <x:f>'Trade Features'!CG451</x:f>
        <x:v>0.051377704722197715</x:v>
      </x:c>
      <x:c r="G451" s="92" t="n">
        <x:f>ABS(C451-D451)</x:f>
        <x:v>14.111179234652809</x:v>
      </x:c>
      <x:c r="H451" s="92" t="n">
        <x:f>IFERROR($O$2/(G451*$O$3),0)</x:f>
        <x:v>0.051377704722197715</x:v>
      </x:c>
      <x:c r="I451" s="92" t="n">
        <x:f>E451-H451</x:f>
        <x:v>-1.0513777047221977</x:v>
      </x:c>
      <x:c r="J451" s="91" t="str">
        <x:f>'Trade Features'!CI451</x:f>
        <x:v>-1.0513777047221977</x:v>
      </x:c>
      <x:c r="K451" s="92" t="n">
        <x:f>I451-J451</x:f>
        <x:v>0</x:v>
      </x:c>
      <x:c r="L451" s="90" t="str">
        <x:f>IF(ABS(K451)&lt;0.000000001,"PASS","FAIL")</x:f>
        <x:v>PASS</x:v>
      </x:c>
    </x:row>
    <x:row r="452">
      <x:c r="A452" s="84" t="str">
        <x:f>'Trade Features'!A452</x:f>
        <x:v>A0451</x:v>
      </x:c>
      <x:c r="B452" s="84" t="str">
        <x:f>'Trade Features'!F452</x:f>
        <x:v>Short</x:v>
      </x:c>
      <x:c r="C452" s="91" t="str">
        <x:f>'Trade Features'!BX452</x:f>
        <x:v>21979.25</x:v>
      </x:c>
      <x:c r="D452" s="91" t="str">
        <x:f>'Trade Features'!CA452</x:f>
        <x:v>22012.372360538953</x:v>
      </x:c>
      <x:c r="E452" s="91" t="str">
        <x:f>'Trade Features'!CH452</x:f>
        <x:v>-1.0</x:v>
      </x:c>
      <x:c r="F452" s="91" t="str">
        <x:f>'Trade Features'!CG452</x:f>
        <x:v>0.02188853657176309</x:v>
      </x:c>
      <x:c r="G452" s="92" t="n">
        <x:f>ABS(C452-D452)</x:f>
        <x:v>33.12236053895322</x:v>
      </x:c>
      <x:c r="H452" s="92" t="n">
        <x:f>IFERROR($O$2/(G452*$O$3),0)</x:f>
        <x:v>0.02188853657176309</x:v>
      </x:c>
      <x:c r="I452" s="92" t="n">
        <x:f>E452-H452</x:f>
        <x:v>-1.0218885365717632</x:v>
      </x:c>
      <x:c r="J452" s="91" t="str">
        <x:f>'Trade Features'!CI452</x:f>
        <x:v>-1.0218885365717632</x:v>
      </x:c>
      <x:c r="K452" s="92" t="n">
        <x:f>I452-J452</x:f>
        <x:v>0</x:v>
      </x:c>
      <x:c r="L452" s="90" t="str">
        <x:f>IF(ABS(K452)&lt;0.000000001,"PASS","FAIL")</x:f>
        <x:v>PASS</x:v>
      </x:c>
    </x:row>
    <x:row r="453">
      <x:c r="A453" s="84" t="str">
        <x:f>'Trade Features'!A453</x:f>
        <x:v>A0452</x:v>
      </x:c>
      <x:c r="B453" s="84" t="str">
        <x:f>'Trade Features'!F453</x:f>
        <x:v>Short</x:v>
      </x:c>
      <x:c r="C453" s="91" t="str">
        <x:f>'Trade Features'!BX453</x:f>
        <x:v>21624.5</x:v>
      </x:c>
      <x:c r="D453" s="91" t="str">
        <x:f>'Trade Features'!CA453</x:f>
        <x:v>21639.615084995377</x:v>
      </x:c>
      <x:c r="E453" s="91" t="str">
        <x:f>'Trade Features'!CH453</x:f>
        <x:v>-1.0</x:v>
      </x:c>
      <x:c r="F453" s="91" t="str">
        <x:f>'Trade Features'!CG453</x:f>
        <x:v>0.04796532736810441</x:v>
      </x:c>
      <x:c r="G453" s="92" t="n">
        <x:f>ABS(C453-D453)</x:f>
        <x:v>15.115084995377401</x:v>
      </x:c>
      <x:c r="H453" s="92" t="n">
        <x:f>IFERROR($O$2/(G453*$O$3),0)</x:f>
        <x:v>0.04796532736810441</x:v>
      </x:c>
      <x:c r="I453" s="92" t="n">
        <x:f>E453-H453</x:f>
        <x:v>-1.0479653273681044</x:v>
      </x:c>
      <x:c r="J453" s="91" t="str">
        <x:f>'Trade Features'!CI453</x:f>
        <x:v>-1.0479653273681044</x:v>
      </x:c>
      <x:c r="K453" s="92" t="n">
        <x:f>I453-J453</x:f>
        <x:v>0</x:v>
      </x:c>
      <x:c r="L453" s="90" t="str">
        <x:f>IF(ABS(K453)&lt;0.000000001,"PASS","FAIL")</x:f>
        <x:v>PASS</x:v>
      </x:c>
    </x:row>
    <x:row r="454">
      <x:c r="A454" s="84" t="str">
        <x:f>'Trade Features'!A454</x:f>
        <x:v>A0453</x:v>
      </x:c>
      <x:c r="B454" s="84" t="str">
        <x:f>'Trade Features'!F454</x:f>
        <x:v>Short</x:v>
      </x:c>
      <x:c r="C454" s="91" t="str">
        <x:f>'Trade Features'!BX454</x:f>
        <x:v>21616.5</x:v>
      </x:c>
      <x:c r="D454" s="91" t="str">
        <x:f>'Trade Features'!CA454</x:f>
        <x:v>21631.28286425392</x:v>
      </x:c>
      <x:c r="E454" s="91" t="str">
        <x:f>'Trade Features'!CH454</x:f>
        <x:v>2.0</x:v>
      </x:c>
      <x:c r="F454" s="91" t="str">
        <x:f>'Trade Features'!CG454</x:f>
        <x:v>0.04904326979852472</x:v>
      </x:c>
      <x:c r="G454" s="92" t="n">
        <x:f>ABS(C454-D454)</x:f>
        <x:v>14.782864253920707</x:v>
      </x:c>
      <x:c r="H454" s="92" t="n">
        <x:f>IFERROR($O$2/(G454*$O$3),0)</x:f>
        <x:v>0.04904326979852472</x:v>
      </x:c>
      <x:c r="I454" s="92" t="n">
        <x:f>E454-H454</x:f>
        <x:v>1.9509567302014752</x:v>
      </x:c>
      <x:c r="J454" s="91" t="str">
        <x:f>'Trade Features'!CI454</x:f>
        <x:v>1.9509567302014752</x:v>
      </x:c>
      <x:c r="K454" s="92" t="n">
        <x:f>I454-J454</x:f>
        <x:v>0</x:v>
      </x:c>
      <x:c r="L454" s="90" t="str">
        <x:f>IF(ABS(K454)&lt;0.000000001,"PASS","FAIL")</x:f>
        <x:v>PASS</x:v>
      </x:c>
    </x:row>
    <x:row r="455">
      <x:c r="A455" s="84" t="str">
        <x:f>'Trade Features'!A455</x:f>
        <x:v>A0454</x:v>
      </x:c>
      <x:c r="B455" s="84" t="str">
        <x:f>'Trade Features'!F455</x:f>
        <x:v>Short</x:v>
      </x:c>
      <x:c r="C455" s="91" t="str">
        <x:f>'Trade Features'!BX455</x:f>
        <x:v>21182.75</x:v>
      </x:c>
      <x:c r="D455" s="91" t="str">
        <x:f>'Trade Features'!CA455</x:f>
        <x:v>21237.800434798006</x:v>
      </x:c>
      <x:c r="E455" s="91" t="str">
        <x:f>'Trade Features'!CH455</x:f>
        <x:v>1.044496745774701</x:v>
      </x:c>
      <x:c r="F455" s="91" t="str">
        <x:f>'Trade Features'!CG455</x:f>
        <x:v>0.013169741577159387</x:v>
      </x:c>
      <x:c r="G455" s="92" t="n">
        <x:f>ABS(C455-D455)</x:f>
        <x:v>55.05043479800588</x:v>
      </x:c>
      <x:c r="H455" s="92" t="n">
        <x:f>IFERROR($O$2/(G455*$O$3),0)</x:f>
        <x:v>0.013169741577159387</x:v>
      </x:c>
      <x:c r="I455" s="92" t="n">
        <x:f>E455-H455</x:f>
        <x:v>1.0313270041975415</x:v>
      </x:c>
      <x:c r="J455" s="91" t="str">
        <x:f>'Trade Features'!CI455</x:f>
        <x:v>1.0313270041975415</x:v>
      </x:c>
      <x:c r="K455" s="92" t="n">
        <x:f>I455-J455</x:f>
        <x:v>0</x:v>
      </x:c>
      <x:c r="L455" s="90" t="str">
        <x:f>IF(ABS(K455)&lt;0.000000001,"PASS","FAIL")</x:f>
        <x:v>PASS</x:v>
      </x:c>
    </x:row>
    <x:row r="456">
      <x:c r="A456" s="84" t="str">
        <x:f>'Trade Features'!A456</x:f>
        <x:v>A0455</x:v>
      </x:c>
      <x:c r="B456" s="84" t="str">
        <x:f>'Trade Features'!F456</x:f>
        <x:v>Long</x:v>
      </x:c>
      <x:c r="C456" s="91" t="str">
        <x:f>'Trade Features'!BX456</x:f>
        <x:v>21326.25</x:v>
      </x:c>
      <x:c r="D456" s="91" t="str">
        <x:f>'Trade Features'!CA456</x:f>
        <x:v>21303.32251581456</x:v>
      </x:c>
      <x:c r="E456" s="91" t="str">
        <x:f>'Trade Features'!CH456</x:f>
        <x:v>2.0</x:v>
      </x:c>
      <x:c r="F456" s="91" t="str">
        <x:f>'Trade Features'!CG456</x:f>
        <x:v>0.03162143714225982</x:v>
      </x:c>
      <x:c r="G456" s="92" t="n">
        <x:f>ABS(C456-D456)</x:f>
        <x:v>22.927484185438516</x:v>
      </x:c>
      <x:c r="H456" s="92" t="n">
        <x:f>IFERROR($O$2/(G456*$O$3),0)</x:f>
        <x:v>0.03162143714225982</x:v>
      </x:c>
      <x:c r="I456" s="92" t="n">
        <x:f>E456-H456</x:f>
        <x:v>1.9683785628577402</x:v>
      </x:c>
      <x:c r="J456" s="91" t="str">
        <x:f>'Trade Features'!CI456</x:f>
        <x:v>1.9683785628577402</x:v>
      </x:c>
      <x:c r="K456" s="92" t="n">
        <x:f>I456-J456</x:f>
        <x:v>0</x:v>
      </x:c>
      <x:c r="L456" s="90" t="str">
        <x:f>IF(ABS(K456)&lt;0.000000001,"PASS","FAIL")</x:f>
        <x:v>PASS</x:v>
      </x:c>
    </x:row>
    <x:row r="457">
      <x:c r="A457" s="84" t="str">
        <x:f>'Trade Features'!A457</x:f>
        <x:v>A0456</x:v>
      </x:c>
      <x:c r="B457" s="84" t="str">
        <x:f>'Trade Features'!F457</x:f>
        <x:v>Short</x:v>
      </x:c>
      <x:c r="C457" s="91" t="str">
        <x:f>'Trade Features'!BX457</x:f>
        <x:v>21651.25</x:v>
      </x:c>
      <x:c r="D457" s="91" t="str">
        <x:f>'Trade Features'!CA457</x:f>
        <x:v>21668.424164023345</x:v>
      </x:c>
      <x:c r="E457" s="91" t="str">
        <x:f>'Trade Features'!CH457</x:f>
        <x:v>-0.014556749292726198</x:v>
      </x:c>
      <x:c r="F457" s="91" t="str">
        <x:f>'Trade Features'!CG457</x:f>
        <x:v>0.04221457294890766</x:v>
      </x:c>
      <x:c r="G457" s="92" t="n">
        <x:f>ABS(C457-D457)</x:f>
        <x:v>17.17416402334493</x:v>
      </x:c>
      <x:c r="H457" s="92" t="n">
        <x:f>IFERROR($O$2/(G457*$O$3),0)</x:f>
        <x:v>0.04221457294890766</x:v>
      </x:c>
      <x:c r="I457" s="92" t="n">
        <x:f>E457-H457</x:f>
        <x:v>-0.05677132224163386</x:v>
      </x:c>
      <x:c r="J457" s="91" t="str">
        <x:f>'Trade Features'!CI457</x:f>
        <x:v>-0.05677132224163386</x:v>
      </x:c>
      <x:c r="K457" s="92" t="n">
        <x:f>I457-J457</x:f>
        <x:v>0</x:v>
      </x:c>
      <x:c r="L457" s="90" t="str">
        <x:f>IF(ABS(K457)&lt;0.000000001,"PASS","FAIL")</x:f>
        <x:v>PASS</x:v>
      </x:c>
    </x:row>
    <x:row r="458">
      <x:c r="A458" s="84" t="str">
        <x:f>'Trade Features'!A458</x:f>
        <x:v>A0457</x:v>
      </x:c>
      <x:c r="B458" s="84" t="str">
        <x:f>'Trade Features'!F458</x:f>
        <x:v>Short</x:v>
      </x:c>
      <x:c r="C458" s="91" t="str">
        <x:f>'Trade Features'!BX458</x:f>
        <x:v>21452.25</x:v>
      </x:c>
      <x:c r="D458" s="91" t="str">
        <x:f>'Trade Features'!CA458</x:f>
        <x:v>21474.98480822244</x:v>
      </x:c>
      <x:c r="E458" s="91" t="str">
        <x:f>'Trade Features'!CH458</x:f>
        <x:v>-1.0</x:v>
      </x:c>
      <x:c r="F458" s="91" t="str">
        <x:f>'Trade Features'!CG458</x:f>
        <x:v>0.031889426684688235</x:v>
      </x:c>
      <x:c r="G458" s="92" t="n">
        <x:f>ABS(C458-D458)</x:f>
        <x:v>22.734808222441643</x:v>
      </x:c>
      <x:c r="H458" s="92" t="n">
        <x:f>IFERROR($O$2/(G458*$O$3),0)</x:f>
        <x:v>0.031889426684688235</x:v>
      </x:c>
      <x:c r="I458" s="92" t="n">
        <x:f>E458-H458</x:f>
        <x:v>-1.0318894266846883</x:v>
      </x:c>
      <x:c r="J458" s="91" t="str">
        <x:f>'Trade Features'!CI458</x:f>
        <x:v>-1.0318894266846883</x:v>
      </x:c>
      <x:c r="K458" s="92" t="n">
        <x:f>I458-J458</x:f>
        <x:v>0</x:v>
      </x:c>
      <x:c r="L458" s="90" t="str">
        <x:f>IF(ABS(K458)&lt;0.000000001,"PASS","FAIL")</x:f>
        <x:v>PASS</x:v>
      </x:c>
    </x:row>
    <x:row r="459">
      <x:c r="A459" s="84" t="str">
        <x:f>'Trade Features'!A459</x:f>
        <x:v>A0458</x:v>
      </x:c>
      <x:c r="B459" s="84" t="str">
        <x:f>'Trade Features'!F459</x:f>
        <x:v>Short</x:v>
      </x:c>
      <x:c r="C459" s="91" t="str">
        <x:f>'Trade Features'!BX459</x:f>
        <x:v>21798.0</x:v>
      </x:c>
      <x:c r="D459" s="91" t="str">
        <x:f>'Trade Features'!CA459</x:f>
        <x:v>21809.09090702577</x:v>
      </x:c>
      <x:c r="E459" s="91" t="str">
        <x:f>'Trade Features'!CH459</x:f>
        <x:v>2.0</x:v>
      </x:c>
      <x:c r="F459" s="91" t="str">
        <x:f>'Trade Features'!CG459</x:f>
        <x:v>0.06536886463077211</x:v>
      </x:c>
      <x:c r="G459" s="92" t="n">
        <x:f>ABS(C459-D459)</x:f>
        <x:v>11.090907025769411</x:v>
      </x:c>
      <x:c r="H459" s="92" t="n">
        <x:f>IFERROR($O$2/(G459*$O$3),0)</x:f>
        <x:v>0.06536886463077211</x:v>
      </x:c>
      <x:c r="I459" s="92" t="n">
        <x:f>E459-H459</x:f>
        <x:v>1.9346311353692278</x:v>
      </x:c>
      <x:c r="J459" s="91" t="str">
        <x:f>'Trade Features'!CI459</x:f>
        <x:v>1.9346311353692278</x:v>
      </x:c>
      <x:c r="K459" s="92" t="n">
        <x:f>I459-J459</x:f>
        <x:v>0</x:v>
      </x:c>
      <x:c r="L459" s="90" t="str">
        <x:f>IF(ABS(K459)&lt;0.000000001,"PASS","FAIL")</x:f>
        <x:v>PASS</x:v>
      </x:c>
    </x:row>
    <x:row r="460">
      <x:c r="A460" s="84" t="str">
        <x:f>'Trade Features'!A460</x:f>
        <x:v>A0459</x:v>
      </x:c>
      <x:c r="B460" s="84" t="str">
        <x:f>'Trade Features'!F460</x:f>
        <x:v>Short</x:v>
      </x:c>
      <x:c r="C460" s="91" t="str">
        <x:f>'Trade Features'!BX460</x:f>
        <x:v>21911.25</x:v>
      </x:c>
      <x:c r="D460" s="91" t="str">
        <x:f>'Trade Features'!CA460</x:f>
        <x:v>21932.66830559036</x:v>
      </x:c>
      <x:c r="E460" s="91" t="str">
        <x:f>'Trade Features'!CH460</x:f>
        <x:v>-1.0</x:v>
      </x:c>
      <x:c r="F460" s="91" t="str">
        <x:f>'Trade Features'!CG460</x:f>
        <x:v>0.03384954972004535</x:v>
      </x:c>
      <x:c r="G460" s="92" t="n">
        <x:f>ABS(C460-D460)</x:f>
        <x:v>21.418305590359523</x:v>
      </x:c>
      <x:c r="H460" s="92" t="n">
        <x:f>IFERROR($O$2/(G460*$O$3),0)</x:f>
        <x:v>0.03384954972004535</x:v>
      </x:c>
      <x:c r="I460" s="92" t="n">
        <x:f>E460-H460</x:f>
        <x:v>-1.0338495497200453</x:v>
      </x:c>
      <x:c r="J460" s="91" t="str">
        <x:f>'Trade Features'!CI460</x:f>
        <x:v>-1.0338495497200453</x:v>
      </x:c>
      <x:c r="K460" s="92" t="n">
        <x:f>I460-J460</x:f>
        <x:v>0</x:v>
      </x:c>
      <x:c r="L460" s="90" t="str">
        <x:f>IF(ABS(K460)&lt;0.000000001,"PASS","FAIL")</x:f>
        <x:v>PASS</x:v>
      </x:c>
    </x:row>
    <x:row r="461">
      <x:c r="A461" s="84" t="str">
        <x:f>'Trade Features'!A461</x:f>
        <x:v>A0460</x:v>
      </x:c>
      <x:c r="B461" s="84" t="str">
        <x:f>'Trade Features'!F461</x:f>
        <x:v>Long</x:v>
      </x:c>
      <x:c r="C461" s="91" t="str">
        <x:f>'Trade Features'!BX461</x:f>
        <x:v>22168.25</x:v>
      </x:c>
      <x:c r="D461" s="91" t="str">
        <x:f>'Trade Features'!CA461</x:f>
        <x:v>22119.30265889655</x:v>
      </x:c>
      <x:c r="E461" s="91" t="str">
        <x:f>'Trade Features'!CH461</x:f>
        <x:v>0.32688190286341495</x:v>
      </x:c>
      <x:c r="F461" s="91" t="str">
        <x:f>'Trade Features'!CG461</x:f>
        <x:v>0.014811836223498529</x:v>
      </x:c>
      <x:c r="G461" s="92" t="n">
        <x:f>ABS(C461-D461)</x:f>
        <x:v>48.94734110344871</x:v>
      </x:c>
      <x:c r="H461" s="92" t="n">
        <x:f>IFERROR($O$2/(G461*$O$3),0)</x:f>
        <x:v>0.014811836223498529</x:v>
      </x:c>
      <x:c r="I461" s="92" t="n">
        <x:f>E461-H461</x:f>
        <x:v>0.31207006663991643</x:v>
      </x:c>
      <x:c r="J461" s="91" t="str">
        <x:f>'Trade Features'!CI461</x:f>
        <x:v>0.31207006663991643</x:v>
      </x:c>
      <x:c r="K461" s="92" t="n">
        <x:f>I461-J461</x:f>
        <x:v>0</x:v>
      </x:c>
      <x:c r="L461" s="90" t="str">
        <x:f>IF(ABS(K461)&lt;0.000000001,"PASS","FAIL")</x:f>
        <x:v>PASS</x:v>
      </x:c>
    </x:row>
    <x:row r="462">
      <x:c r="A462" s="84" t="str">
        <x:f>'Trade Features'!A462</x:f>
        <x:v>A0461</x:v>
      </x:c>
      <x:c r="B462" s="84" t="str">
        <x:f>'Trade Features'!F462</x:f>
        <x:v>Long</x:v>
      </x:c>
      <x:c r="C462" s="91" t="str">
        <x:f>'Trade Features'!BX462</x:f>
        <x:v>22234.5</x:v>
      </x:c>
      <x:c r="D462" s="91" t="str">
        <x:f>'Trade Features'!CA462</x:f>
        <x:v>22213.049280518408</x:v>
      </x:c>
      <x:c r="E462" s="91" t="str">
        <x:f>'Trade Features'!CH462</x:f>
        <x:v>-0.34963862197887957</x:v>
      </x:c>
      <x:c r="F462" s="91" t="str">
        <x:f>'Trade Features'!CG462</x:f>
        <x:v>0.033798400124627426</x:v>
      </x:c>
      <x:c r="G462" s="92" t="n">
        <x:f>ABS(C462-D462)</x:f>
        <x:v>21.450719481592387</x:v>
      </x:c>
      <x:c r="H462" s="92" t="n">
        <x:f>IFERROR($O$2/(G462*$O$3),0)</x:f>
        <x:v>0.033798400124627426</x:v>
      </x:c>
      <x:c r="I462" s="92" t="n">
        <x:f>E462-H462</x:f>
        <x:v>-0.383437022103507</x:v>
      </x:c>
      <x:c r="J462" s="91" t="str">
        <x:f>'Trade Features'!CI462</x:f>
        <x:v>-0.383437022103507</x:v>
      </x:c>
      <x:c r="K462" s="92" t="n">
        <x:f>I462-J462</x:f>
        <x:v>0</x:v>
      </x:c>
      <x:c r="L462" s="90" t="str">
        <x:f>IF(ABS(K462)&lt;0.000000001,"PASS","FAIL")</x:f>
        <x:v>PASS</x:v>
      </x:c>
    </x:row>
    <x:row r="463">
      <x:c r="A463" s="84" t="str">
        <x:f>'Trade Features'!A463</x:f>
        <x:v>A0462</x:v>
      </x:c>
      <x:c r="B463" s="84" t="str">
        <x:f>'Trade Features'!F463</x:f>
        <x:v>Long</x:v>
      </x:c>
      <x:c r="C463" s="91" t="str">
        <x:f>'Trade Features'!BX463</x:f>
        <x:v>22317.5</x:v>
      </x:c>
      <x:c r="D463" s="91" t="str">
        <x:f>'Trade Features'!CA463</x:f>
        <x:v>22303.880780667332</x:v>
      </x:c>
      <x:c r="E463" s="91" t="str">
        <x:f>'Trade Features'!CH463</x:f>
        <x:v>-0.6057615931193918</x:v>
      </x:c>
      <x:c r="F463" s="91" t="str">
        <x:f>'Trade Features'!CG463</x:f>
        <x:v>0.05323359454686016</x:v>
      </x:c>
      <x:c r="G463" s="92" t="n">
        <x:f>ABS(C463-D463)</x:f>
        <x:v>13.619219332667853</x:v>
      </x:c>
      <x:c r="H463" s="92" t="n">
        <x:f>IFERROR($O$2/(G463*$O$3),0)</x:f>
        <x:v>0.05323359454686016</x:v>
      </x:c>
      <x:c r="I463" s="92" t="n">
        <x:f>E463-H463</x:f>
        <x:v>-0.658995187666252</x:v>
      </x:c>
      <x:c r="J463" s="91" t="str">
        <x:f>'Trade Features'!CI463</x:f>
        <x:v>-0.658995187666252</x:v>
      </x:c>
      <x:c r="K463" s="92" t="n">
        <x:f>I463-J463</x:f>
        <x:v>0</x:v>
      </x:c>
      <x:c r="L463" s="90" t="str">
        <x:f>IF(ABS(K463)&lt;0.000000001,"PASS","FAIL")</x:f>
        <x:v>PASS</x:v>
      </x:c>
    </x:row>
    <x:row r="464">
      <x:c r="A464" s="84" t="str">
        <x:f>'Trade Features'!A464</x:f>
        <x:v>A0463</x:v>
      </x:c>
      <x:c r="B464" s="84" t="str">
        <x:f>'Trade Features'!F464</x:f>
        <x:v>Long</x:v>
      </x:c>
      <x:c r="C464" s="91" t="str">
        <x:f>'Trade Features'!BX464</x:f>
        <x:v>22344.0</x:v>
      </x:c>
      <x:c r="D464" s="91" t="str">
        <x:f>'Trade Features'!CA464</x:f>
        <x:v>22330.49338469202</x:v>
      </x:c>
      <x:c r="E464" s="91" t="str">
        <x:f>'Trade Features'!CH464</x:f>
        <x:v>2.0</x:v>
      </x:c>
      <x:c r="F464" s="91" t="str">
        <x:f>'Trade Features'!CG464</x:f>
        <x:v>0.05367740055287717</x:v>
      </x:c>
      <x:c r="G464" s="92" t="n">
        <x:f>ABS(C464-D464)</x:f>
        <x:v>13.506615307978791</x:v>
      </x:c>
      <x:c r="H464" s="92" t="n">
        <x:f>IFERROR($O$2/(G464*$O$3),0)</x:f>
        <x:v>0.05367740055287717</x:v>
      </x:c>
      <x:c r="I464" s="92" t="n">
        <x:f>E464-H464</x:f>
        <x:v>1.946322599447123</x:v>
      </x:c>
      <x:c r="J464" s="91" t="str">
        <x:f>'Trade Features'!CI464</x:f>
        <x:v>1.946322599447123</x:v>
      </x:c>
      <x:c r="K464" s="92" t="n">
        <x:f>I464-J464</x:f>
        <x:v>0</x:v>
      </x:c>
      <x:c r="L464" s="90" t="str">
        <x:f>IF(ABS(K464)&lt;0.000000001,"PASS","FAIL")</x:f>
        <x:v>PASS</x:v>
      </x:c>
    </x:row>
    <x:row r="465">
      <x:c r="A465" s="84" t="str">
        <x:f>'Trade Features'!A465</x:f>
        <x:v>A0464</x:v>
      </x:c>
      <x:c r="B465" s="84" t="str">
        <x:f>'Trade Features'!F465</x:f>
        <x:v>Long</x:v>
      </x:c>
      <x:c r="C465" s="91" t="str">
        <x:f>'Trade Features'!BX465</x:f>
        <x:v>22319.0</x:v>
      </x:c>
      <x:c r="D465" s="91" t="str">
        <x:f>'Trade Features'!CA465</x:f>
        <x:v>22277.656998545477</x:v>
      </x:c>
      <x:c r="E465" s="91" t="str">
        <x:f>'Trade Features'!CH465</x:f>
        <x:v>-1.0</x:v>
      </x:c>
      <x:c r="F465" s="91" t="str">
        <x:f>'Trade Features'!CG465</x:f>
        <x:v>0.01753622075062684</x:v>
      </x:c>
      <x:c r="G465" s="92" t="n">
        <x:f>ABS(C465-D465)</x:f>
        <x:v>41.34300145452289</x:v>
      </x:c>
      <x:c r="H465" s="92" t="n">
        <x:f>IFERROR($O$2/(G465*$O$3),0)</x:f>
        <x:v>0.01753622075062684</x:v>
      </x:c>
      <x:c r="I465" s="92" t="n">
        <x:f>E465-H465</x:f>
        <x:v>-1.0175362207506269</x:v>
      </x:c>
      <x:c r="J465" s="91" t="str">
        <x:f>'Trade Features'!CI465</x:f>
        <x:v>-1.0175362207506269</x:v>
      </x:c>
      <x:c r="K465" s="92" t="n">
        <x:f>I465-J465</x:f>
        <x:v>0</x:v>
      </x:c>
      <x:c r="L465" s="90" t="str">
        <x:f>IF(ABS(K465)&lt;0.000000001,"PASS","FAIL")</x:f>
        <x:v>PASS</x:v>
      </x:c>
    </x:row>
    <x:row r="466">
      <x:c r="A466" s="84" t="str">
        <x:f>'Trade Features'!A466</x:f>
        <x:v>A0465</x:v>
      </x:c>
      <x:c r="B466" s="84" t="str">
        <x:f>'Trade Features'!F466</x:f>
        <x:v>Short</x:v>
      </x:c>
      <x:c r="C466" s="91" t="str">
        <x:f>'Trade Features'!BX466</x:f>
        <x:v>21520.25</x:v>
      </x:c>
      <x:c r="D466" s="91" t="str">
        <x:f>'Trade Features'!CA466</x:f>
        <x:v>21542.291836676224</x:v>
      </x:c>
      <x:c r="E466" s="91" t="str">
        <x:f>'Trade Features'!CH466</x:f>
        <x:v>-1.0</x:v>
      </x:c>
      <x:c r="F466" s="91" t="str">
        <x:f>'Trade Features'!CG466</x:f>
        <x:v>0.032891995828189476</x:v>
      </x:c>
      <x:c r="G466" s="92" t="n">
        <x:f>ABS(C466-D466)</x:f>
        <x:v>22.041836676224193</x:v>
      </x:c>
      <x:c r="H466" s="92" t="n">
        <x:f>IFERROR($O$2/(G466*$O$3),0)</x:f>
        <x:v>0.032891995828189476</x:v>
      </x:c>
      <x:c r="I466" s="92" t="n">
        <x:f>E466-H466</x:f>
        <x:v>-1.0328919958281895</x:v>
      </x:c>
      <x:c r="J466" s="91" t="str">
        <x:f>'Trade Features'!CI466</x:f>
        <x:v>-1.0328919958281895</x:v>
      </x:c>
      <x:c r="K466" s="92" t="n">
        <x:f>I466-J466</x:f>
        <x:v>0</x:v>
      </x:c>
      <x:c r="L466" s="90" t="str">
        <x:f>IF(ABS(K466)&lt;0.000000001,"PASS","FAIL")</x:f>
        <x:v>PASS</x:v>
      </x:c>
    </x:row>
    <x:row r="467">
      <x:c r="A467" s="84" t="str">
        <x:f>'Trade Features'!A467</x:f>
        <x:v>A0466</x:v>
      </x:c>
      <x:c r="B467" s="84" t="str">
        <x:f>'Trade Features'!F467</x:f>
        <x:v>Long</x:v>
      </x:c>
      <x:c r="C467" s="91" t="str">
        <x:f>'Trade Features'!BX467</x:f>
        <x:v>21855.5</x:v>
      </x:c>
      <x:c r="D467" s="91" t="str">
        <x:f>'Trade Features'!CA467</x:f>
        <x:v>21819.03635637629</x:v>
      </x:c>
      <x:c r="E467" s="91" t="str">
        <x:f>'Trade Features'!CH467</x:f>
        <x:v>-1.0</x:v>
      </x:c>
      <x:c r="F467" s="91" t="str">
        <x:f>'Trade Features'!CG467</x:f>
        <x:v>0.0198828182800855</x:v>
      </x:c>
      <x:c r="G467" s="92" t="n">
        <x:f>ABS(C467-D467)</x:f>
        <x:v>36.463643623708776</x:v>
      </x:c>
      <x:c r="H467" s="92" t="n">
        <x:f>IFERROR($O$2/(G467*$O$3),0)</x:f>
        <x:v>0.0198828182800855</x:v>
      </x:c>
      <x:c r="I467" s="92" t="n">
        <x:f>E467-H467</x:f>
        <x:v>-1.0198828182800854</x:v>
      </x:c>
      <x:c r="J467" s="91" t="str">
        <x:f>'Trade Features'!CI467</x:f>
        <x:v>-1.0198828182800854</x:v>
      </x:c>
      <x:c r="K467" s="92" t="n">
        <x:f>I467-J467</x:f>
        <x:v>0</x:v>
      </x:c>
      <x:c r="L467" s="90" t="str">
        <x:f>IF(ABS(K467)&lt;0.000000001,"PASS","FAIL")</x:f>
        <x:v>PASS</x:v>
      </x:c>
    </x:row>
    <x:row r="468">
      <x:c r="A468" s="84" t="str">
        <x:f>'Trade Features'!A468</x:f>
        <x:v>A0467</x:v>
      </x:c>
      <x:c r="B468" s="84" t="str">
        <x:f>'Trade Features'!F468</x:f>
        <x:v>Long</x:v>
      </x:c>
      <x:c r="C468" s="91" t="str">
        <x:f>'Trade Features'!BX468</x:f>
        <x:v>21890.0</x:v>
      </x:c>
      <x:c r="D468" s="91" t="str">
        <x:f>'Trade Features'!CA468</x:f>
        <x:v>21868.84052657264</x:v>
      </x:c>
      <x:c r="E468" s="91" t="str">
        <x:f>'Trade Features'!CH468</x:f>
        <x:v>-1.0</x:v>
      </x:c>
      <x:c r="F468" s="91" t="str">
        <x:f>'Trade Features'!CG468</x:f>
        <x:v>0.03426361258416457</x:v>
      </x:c>
      <x:c r="G468" s="92" t="n">
        <x:f>ABS(C468-D468)</x:f>
        <x:v>21.159473427360354</x:v>
      </x:c>
      <x:c r="H468" s="92" t="n">
        <x:f>IFERROR($O$2/(G468*$O$3),0)</x:f>
        <x:v>0.03426361258416457</x:v>
      </x:c>
      <x:c r="I468" s="92" t="n">
        <x:f>E468-H468</x:f>
        <x:v>-1.0342636125841647</x:v>
      </x:c>
      <x:c r="J468" s="91" t="str">
        <x:f>'Trade Features'!CI468</x:f>
        <x:v>-1.0342636125841647</x:v>
      </x:c>
      <x:c r="K468" s="92" t="n">
        <x:f>I468-J468</x:f>
        <x:v>0</x:v>
      </x:c>
      <x:c r="L468" s="90" t="str">
        <x:f>IF(ABS(K468)&lt;0.000000001,"PASS","FAIL")</x:f>
        <x:v>PASS</x:v>
      </x:c>
    </x:row>
    <x:row r="469">
      <x:c r="A469" s="84" t="str">
        <x:f>'Trade Features'!A469</x:f>
        <x:v>A0468</x:v>
      </x:c>
      <x:c r="B469" s="84" t="str">
        <x:f>'Trade Features'!F469</x:f>
        <x:v>Short</x:v>
      </x:c>
      <x:c r="C469" s="91" t="str">
        <x:f>'Trade Features'!BX469</x:f>
        <x:v>21924.5</x:v>
      </x:c>
      <x:c r="D469" s="91" t="str">
        <x:f>'Trade Features'!CA469</x:f>
        <x:v>21934.939654224705</x:v>
      </x:c>
      <x:c r="E469" s="91" t="str">
        <x:f>'Trade Features'!CH469</x:f>
        <x:v>-0.38315445261917364</x:v>
      </x:c>
      <x:c r="F469" s="91" t="str">
        <x:f>'Trade Features'!CG469</x:f>
        <x:v>0.06944674453722016</x:v>
      </x:c>
      <x:c r="G469" s="92" t="n">
        <x:f>ABS(C469-D469)</x:f>
        <x:v>10.43965422470501</x:v>
      </x:c>
      <x:c r="H469" s="92" t="n">
        <x:f>IFERROR($O$2/(G469*$O$3),0)</x:f>
        <x:v>0.06944674453722016</x:v>
      </x:c>
      <x:c r="I469" s="92" t="n">
        <x:f>E469-H469</x:f>
        <x:v>-0.4526011971563938</x:v>
      </x:c>
      <x:c r="J469" s="91" t="str">
        <x:f>'Trade Features'!CI469</x:f>
        <x:v>-0.4526011971563938</x:v>
      </x:c>
      <x:c r="K469" s="92" t="n">
        <x:f>I469-J469</x:f>
        <x:v>0</x:v>
      </x:c>
      <x:c r="L469" s="90" t="str">
        <x:f>IF(ABS(K469)&lt;0.000000001,"PASS","FAIL")</x:f>
        <x:v>PASS</x:v>
      </x:c>
    </x:row>
    <x:row r="470">
      <x:c r="A470" s="84" t="str">
        <x:f>'Trade Features'!A470</x:f>
        <x:v>A0469</x:v>
      </x:c>
      <x:c r="B470" s="84" t="str">
        <x:f>'Trade Features'!F470</x:f>
        <x:v>Short</x:v>
      </x:c>
      <x:c r="C470" s="91" t="str">
        <x:f>'Trade Features'!BX470</x:f>
        <x:v>21918.0</x:v>
      </x:c>
      <x:c r="D470" s="91" t="str">
        <x:f>'Trade Features'!CA470</x:f>
        <x:v>21926.412892869004</x:v>
      </x:c>
      <x:c r="E470" s="91" t="str">
        <x:f>'Trade Features'!CH470</x:f>
        <x:v>-1.0</x:v>
      </x:c>
      <x:c r="F470" s="91" t="str">
        <x:f>'Trade Features'!CG470</x:f>
        <x:v>0.08617725332877184</x:v>
      </x:c>
      <x:c r="G470" s="92" t="n">
        <x:f>ABS(C470-D470)</x:f>
        <x:v>8.412892869004281</x:v>
      </x:c>
      <x:c r="H470" s="92" t="n">
        <x:f>IFERROR($O$2/(G470*$O$3),0)</x:f>
        <x:v>0.08617725332877184</x:v>
      </x:c>
      <x:c r="I470" s="92" t="n">
        <x:f>E470-H470</x:f>
        <x:v>-1.086177253328772</x:v>
      </x:c>
      <x:c r="J470" s="91" t="str">
        <x:f>'Trade Features'!CI470</x:f>
        <x:v>-1.086177253328772</x:v>
      </x:c>
      <x:c r="K470" s="92" t="n">
        <x:f>I470-J470</x:f>
        <x:v>0</x:v>
      </x:c>
      <x:c r="L470" s="90" t="str">
        <x:f>IF(ABS(K470)&lt;0.000000001,"PASS","FAIL")</x:f>
        <x:v>PASS</x:v>
      </x:c>
    </x:row>
    <x:row r="471">
      <x:c r="A471" s="84" t="str">
        <x:f>'Trade Features'!A471</x:f>
        <x:v>A0470</x:v>
      </x:c>
      <x:c r="B471" s="84" t="str">
        <x:f>'Trade Features'!F471</x:f>
        <x:v>Short</x:v>
      </x:c>
      <x:c r="C471" s="91" t="str">
        <x:f>'Trade Features'!BX471</x:f>
        <x:v>21886.25</x:v>
      </x:c>
      <x:c r="D471" s="91" t="str">
        <x:f>'Trade Features'!CA471</x:f>
        <x:v>21899.45562755182</x:v>
      </x:c>
      <x:c r="E471" s="91" t="str">
        <x:f>'Trade Features'!CH471</x:f>
        <x:v>-1.0</x:v>
      </x:c>
      <x:c r="F471" s="91" t="str">
        <x:f>'Trade Features'!CG471</x:f>
        <x:v>0.05490083656797821</x:v>
      </x:c>
      <x:c r="G471" s="92" t="n">
        <x:f>ABS(C471-D471)</x:f>
        <x:v>13.205627551818907</x:v>
      </x:c>
      <x:c r="H471" s="92" t="n">
        <x:f>IFERROR($O$2/(G471*$O$3),0)</x:f>
        <x:v>0.05490083656797821</x:v>
      </x:c>
      <x:c r="I471" s="92" t="n">
        <x:f>E471-H471</x:f>
        <x:v>-1.0549008365679782</x:v>
      </x:c>
      <x:c r="J471" s="91" t="str">
        <x:f>'Trade Features'!CI471</x:f>
        <x:v>-1.0549008365679782</x:v>
      </x:c>
      <x:c r="K471" s="92" t="n">
        <x:f>I471-J471</x:f>
        <x:v>0</x:v>
      </x:c>
      <x:c r="L471" s="90" t="str">
        <x:f>IF(ABS(K471)&lt;0.000000001,"PASS","FAIL")</x:f>
        <x:v>PASS</x:v>
      </x:c>
    </x:row>
    <x:row r="472">
      <x:c r="A472" s="84" t="str">
        <x:f>'Trade Features'!A472</x:f>
        <x:v>A0471</x:v>
      </x:c>
      <x:c r="B472" s="84" t="str">
        <x:f>'Trade Features'!F472</x:f>
        <x:v>Long</x:v>
      </x:c>
      <x:c r="C472" s="91" t="str">
        <x:f>'Trade Features'!BX472</x:f>
        <x:v>21943.25</x:v>
      </x:c>
      <x:c r="D472" s="91" t="str">
        <x:f>'Trade Features'!CA472</x:f>
        <x:v>21916.184180042517</x:v>
      </x:c>
      <x:c r="E472" s="91" t="str">
        <x:f>'Trade Features'!CH472</x:f>
        <x:v>-1.0</x:v>
      </x:c>
      <x:c r="F472" s="91" t="str">
        <x:f>'Trade Features'!CG472</x:f>
        <x:v>0.026786552232257906</x:v>
      </x:c>
      <x:c r="G472" s="92" t="n">
        <x:f>ABS(C472-D472)</x:f>
        <x:v>27.065819957482745</x:v>
      </x:c>
      <x:c r="H472" s="92" t="n">
        <x:f>IFERROR($O$2/(G472*$O$3),0)</x:f>
        <x:v>0.026786552232257906</x:v>
      </x:c>
      <x:c r="I472" s="92" t="n">
        <x:f>E472-H472</x:f>
        <x:v>-1.026786552232258</x:v>
      </x:c>
      <x:c r="J472" s="91" t="str">
        <x:f>'Trade Features'!CI472</x:f>
        <x:v>-1.026786552232258</x:v>
      </x:c>
      <x:c r="K472" s="92" t="n">
        <x:f>I472-J472</x:f>
        <x:v>0</x:v>
      </x:c>
      <x:c r="L472" s="90" t="str">
        <x:f>IF(ABS(K472)&lt;0.000000001,"PASS","FAIL")</x:f>
        <x:v>PASS</x:v>
      </x:c>
    </x:row>
    <x:row r="473">
      <x:c r="A473" s="84" t="str">
        <x:f>'Trade Features'!A473</x:f>
        <x:v>A0472</x:v>
      </x:c>
      <x:c r="B473" s="84" t="str">
        <x:f>'Trade Features'!F473</x:f>
        <x:v>Short</x:v>
      </x:c>
      <x:c r="C473" s="91" t="str">
        <x:f>'Trade Features'!BX473</x:f>
        <x:v>21885.0</x:v>
      </x:c>
      <x:c r="D473" s="91" t="str">
        <x:f>'Trade Features'!CA473</x:f>
        <x:v>21912.136932075286</x:v>
      </x:c>
      <x:c r="E473" s="91" t="str">
        <x:f>'Trade Features'!CH473</x:f>
        <x:v>-1.0</x:v>
      </x:c>
      <x:c r="F473" s="91" t="str">
        <x:f>'Trade Features'!CG473</x:f>
        <x:v>0.026716358282087425</x:v>
      </x:c>
      <x:c r="G473" s="92" t="n">
        <x:f>ABS(C473-D473)</x:f>
        <x:v>27.136932075285586</x:v>
      </x:c>
      <x:c r="H473" s="92" t="n">
        <x:f>IFERROR($O$2/(G473*$O$3),0)</x:f>
        <x:v>0.026716358282087425</x:v>
      </x:c>
      <x:c r="I473" s="92" t="n">
        <x:f>E473-H473</x:f>
        <x:v>-1.0267163582820875</x:v>
      </x:c>
      <x:c r="J473" s="91" t="str">
        <x:f>'Trade Features'!CI473</x:f>
        <x:v>-1.0267163582820875</x:v>
      </x:c>
      <x:c r="K473" s="92" t="n">
        <x:f>I473-J473</x:f>
        <x:v>0</x:v>
      </x:c>
      <x:c r="L473" s="90" t="str">
        <x:f>IF(ABS(K473)&lt;0.000000001,"PASS","FAIL")</x:f>
        <x:v>PASS</x:v>
      </x:c>
    </x:row>
    <x:row r="474">
      <x:c r="A474" s="84" t="str">
        <x:f>'Trade Features'!A474</x:f>
        <x:v>A0473</x:v>
      </x:c>
      <x:c r="B474" s="84" t="str">
        <x:f>'Trade Features'!F474</x:f>
        <x:v>Long</x:v>
      </x:c>
      <x:c r="C474" s="91" t="str">
        <x:f>'Trade Features'!BX474</x:f>
        <x:v>21940.0</x:v>
      </x:c>
      <x:c r="D474" s="91" t="str">
        <x:f>'Trade Features'!CA474</x:f>
        <x:v>21919.54424580453</x:v>
      </x:c>
      <x:c r="E474" s="91" t="str">
        <x:f>'Trade Features'!CH474</x:f>
        <x:v>0.40330950016141653</x:v>
      </x:c>
      <x:c r="F474" s="91" t="str">
        <x:f>'Trade Features'!CG474</x:f>
        <x:v>0.03544235001418429</x:v>
      </x:c>
      <x:c r="G474" s="92" t="n">
        <x:f>ABS(C474-D474)</x:f>
        <x:v>20.455754195470945</x:v>
      </x:c>
      <x:c r="H474" s="92" t="n">
        <x:f>IFERROR($O$2/(G474*$O$3),0)</x:f>
        <x:v>0.03544235001418429</x:v>
      </x:c>
      <x:c r="I474" s="92" t="n">
        <x:f>E474-H474</x:f>
        <x:v>0.36786715014723226</x:v>
      </x:c>
      <x:c r="J474" s="91" t="str">
        <x:f>'Trade Features'!CI474</x:f>
        <x:v>0.36786715014723226</x:v>
      </x:c>
      <x:c r="K474" s="92" t="n">
        <x:f>I474-J474</x:f>
        <x:v>0</x:v>
      </x:c>
      <x:c r="L474" s="90" t="str">
        <x:f>IF(ABS(K474)&lt;0.000000001,"PASS","FAIL")</x:f>
        <x:v>PASS</x:v>
      </x:c>
    </x:row>
    <x:row r="475">
      <x:c r="A475" s="84" t="str">
        <x:f>'Trade Features'!A475</x:f>
        <x:v>A0474</x:v>
      </x:c>
      <x:c r="B475" s="84" t="str">
        <x:f>'Trade Features'!F475</x:f>
        <x:v>Short</x:v>
      </x:c>
      <x:c r="C475" s="91" t="str">
        <x:f>'Trade Features'!BX475</x:f>
        <x:v>21718.0</x:v>
      </x:c>
      <x:c r="D475" s="91" t="str">
        <x:f>'Trade Features'!CA475</x:f>
        <x:v>21738.40299851914</x:v>
      </x:c>
      <x:c r="E475" s="91" t="str">
        <x:f>'Trade Features'!CH475</x:f>
        <x:v>-1.0</x:v>
      </x:c>
      <x:c r="F475" s="91" t="str">
        <x:f>'Trade Features'!CG475</x:f>
        <x:v>0.03553399267856855</x:v>
      </x:c>
      <x:c r="G475" s="92" t="n">
        <x:f>ABS(C475-D475)</x:f>
        <x:v>20.402998519140965</x:v>
      </x:c>
      <x:c r="H475" s="92" t="n">
        <x:f>IFERROR($O$2/(G475*$O$3),0)</x:f>
        <x:v>0.03553399267856855</x:v>
      </x:c>
      <x:c r="I475" s="92" t="n">
        <x:f>E475-H475</x:f>
        <x:v>-1.0355339926785685</x:v>
      </x:c>
      <x:c r="J475" s="91" t="str">
        <x:f>'Trade Features'!CI475</x:f>
        <x:v>-1.0355339926785685</x:v>
      </x:c>
      <x:c r="K475" s="92" t="n">
        <x:f>I475-J475</x:f>
        <x:v>0</x:v>
      </x:c>
      <x:c r="L475" s="90" t="str">
        <x:f>IF(ABS(K475)&lt;0.000000001,"PASS","FAIL")</x:f>
        <x:v>PASS</x:v>
      </x:c>
    </x:row>
    <x:row r="476">
      <x:c r="A476" s="84" t="str">
        <x:f>'Trade Features'!A476</x:f>
        <x:v>A0475</x:v>
      </x:c>
      <x:c r="B476" s="84" t="str">
        <x:f>'Trade Features'!F476</x:f>
        <x:v>Short</x:v>
      </x:c>
      <x:c r="C476" s="91" t="str">
        <x:f>'Trade Features'!BX476</x:f>
        <x:v>21698.5</x:v>
      </x:c>
      <x:c r="D476" s="91" t="str">
        <x:f>'Trade Features'!CA476</x:f>
        <x:v>21721.08837222806</x:v>
      </x:c>
      <x:c r="E476" s="91" t="str">
        <x:f>'Trade Features'!CH476</x:f>
        <x:v>-1.0</x:v>
      </x:c>
      <x:c r="F476" s="91" t="str">
        <x:f>'Trade Features'!CG476</x:f>
        <x:v>0.03209615959397883</x:v>
      </x:c>
      <x:c r="G476" s="92" t="n">
        <x:f>ABS(C476-D476)</x:f>
        <x:v>22.588372228059598</x:v>
      </x:c>
      <x:c r="H476" s="92" t="n">
        <x:f>IFERROR($O$2/(G476*$O$3),0)</x:f>
        <x:v>0.03209615959397883</x:v>
      </x:c>
      <x:c r="I476" s="92" t="n">
        <x:f>E476-H476</x:f>
        <x:v>-1.0320961595939788</x:v>
      </x:c>
      <x:c r="J476" s="91" t="str">
        <x:f>'Trade Features'!CI476</x:f>
        <x:v>-1.0320961595939788</x:v>
      </x:c>
      <x:c r="K476" s="92" t="n">
        <x:f>I476-J476</x:f>
        <x:v>0</x:v>
      </x:c>
      <x:c r="L476" s="90" t="str">
        <x:f>IF(ABS(K476)&lt;0.000000001,"PASS","FAIL")</x:f>
        <x:v>PASS</x:v>
      </x:c>
    </x:row>
    <x:row r="477">
      <x:c r="A477" s="84" t="str">
        <x:f>'Trade Features'!A477</x:f>
        <x:v>A0476</x:v>
      </x:c>
      <x:c r="B477" s="84" t="str">
        <x:f>'Trade Features'!F477</x:f>
        <x:v>Short</x:v>
      </x:c>
      <x:c r="C477" s="91" t="str">
        <x:f>'Trade Features'!BX477</x:f>
        <x:v>21790.75</x:v>
      </x:c>
      <x:c r="D477" s="91" t="str">
        <x:f>'Trade Features'!CA477</x:f>
        <x:v>21806.19514584584</x:v>
      </x:c>
      <x:c r="E477" s="91" t="str">
        <x:f>'Trade Features'!CH477</x:f>
        <x:v>-1.0</x:v>
      </x:c>
      <x:c r="F477" s="91" t="str">
        <x:f>'Trade Features'!CG477</x:f>
        <x:v>0.04694031427325923</x:v>
      </x:c>
      <x:c r="G477" s="92" t="n">
        <x:f>ABS(C477-D477)</x:f>
        <x:v>15.445145845838852</x:v>
      </x:c>
      <x:c r="H477" s="92" t="n">
        <x:f>IFERROR($O$2/(G477*$O$3),0)</x:f>
        <x:v>0.04694031427325923</x:v>
      </x:c>
      <x:c r="I477" s="92" t="n">
        <x:f>E477-H477</x:f>
        <x:v>-1.0469403142732592</x:v>
      </x:c>
      <x:c r="J477" s="91" t="str">
        <x:f>'Trade Features'!CI477</x:f>
        <x:v>-1.0469403142732592</x:v>
      </x:c>
      <x:c r="K477" s="92" t="n">
        <x:f>I477-J477</x:f>
        <x:v>0</x:v>
      </x:c>
      <x:c r="L477" s="90" t="str">
        <x:f>IF(ABS(K477)&lt;0.000000001,"PASS","FAIL")</x:f>
        <x:v>PASS</x:v>
      </x:c>
    </x:row>
    <x:row r="478">
      <x:c r="A478" s="84" t="str">
        <x:f>'Trade Features'!A478</x:f>
        <x:v>A0477</x:v>
      </x:c>
      <x:c r="B478" s="84" t="str">
        <x:f>'Trade Features'!F478</x:f>
        <x:v>Long</x:v>
      </x:c>
      <x:c r="C478" s="91" t="str">
        <x:f>'Trade Features'!BX478</x:f>
        <x:v>22160.25</x:v>
      </x:c>
      <x:c r="D478" s="91" t="str">
        <x:f>'Trade Features'!CA478</x:f>
        <x:v>22130.67416131208</x:v>
      </x:c>
      <x:c r="E478" s="91" t="str">
        <x:f>'Trade Features'!CH478</x:f>
        <x:v>2.0</x:v>
      </x:c>
      <x:c r="F478" s="91" t="str">
        <x:f>'Trade Features'!CG478</x:f>
        <x:v>0.024513252443999326</x:v>
      </x:c>
      <x:c r="G478" s="92" t="n">
        <x:f>ABS(C478-D478)</x:f>
        <x:v>29.575838687920623</x:v>
      </x:c>
      <x:c r="H478" s="92" t="n">
        <x:f>IFERROR($O$2/(G478*$O$3),0)</x:f>
        <x:v>0.024513252443999326</x:v>
      </x:c>
      <x:c r="I478" s="92" t="n">
        <x:f>E478-H478</x:f>
        <x:v>1.9754867475560007</x:v>
      </x:c>
      <x:c r="J478" s="91" t="str">
        <x:f>'Trade Features'!CI478</x:f>
        <x:v>1.9754867475560007</x:v>
      </x:c>
      <x:c r="K478" s="92" t="n">
        <x:f>I478-J478</x:f>
        <x:v>0</x:v>
      </x:c>
      <x:c r="L478" s="90" t="str">
        <x:f>IF(ABS(K478)&lt;0.000000001,"PASS","FAIL")</x:f>
        <x:v>PASS</x:v>
      </x:c>
    </x:row>
    <x:row r="479">
      <x:c r="A479" s="84" t="str">
        <x:f>'Trade Features'!A479</x:f>
        <x:v>A0478</x:v>
      </x:c>
      <x:c r="B479" s="84" t="str">
        <x:f>'Trade Features'!F479</x:f>
        <x:v>Short</x:v>
      </x:c>
      <x:c r="C479" s="91" t="str">
        <x:f>'Trade Features'!BX479</x:f>
        <x:v>21974.0</x:v>
      </x:c>
      <x:c r="D479" s="91" t="str">
        <x:f>'Trade Features'!CA479</x:f>
        <x:v>22035.758441483442</x:v>
      </x:c>
      <x:c r="E479" s="91" t="str">
        <x:f>'Trade Features'!CH479</x:f>
        <x:v>2.0</x:v>
      </x:c>
      <x:c r="F479" s="91" t="str">
        <x:f>'Trade Features'!CG479</x:f>
        <x:v>0.011739285878747131</x:v>
      </x:c>
      <x:c r="G479" s="92" t="n">
        <x:f>ABS(C479-D479)</x:f>
        <x:v>61.75844148344186</x:v>
      </x:c>
      <x:c r="H479" s="92" t="n">
        <x:f>IFERROR($O$2/(G479*$O$3),0)</x:f>
        <x:v>0.011739285878747131</x:v>
      </x:c>
      <x:c r="I479" s="92" t="n">
        <x:f>E479-H479</x:f>
        <x:v>1.988260714121253</x:v>
      </x:c>
      <x:c r="J479" s="91" t="str">
        <x:f>'Trade Features'!CI479</x:f>
        <x:v>1.988260714121253</x:v>
      </x:c>
      <x:c r="K479" s="92" t="n">
        <x:f>I479-J479</x:f>
        <x:v>0</x:v>
      </x:c>
      <x:c r="L479" s="90" t="str">
        <x:f>IF(ABS(K479)&lt;0.000000001,"PASS","FAIL")</x:f>
        <x:v>PASS</x:v>
      </x:c>
    </x:row>
    <x:row r="480">
      <x:c r="A480" s="84" t="str">
        <x:f>'Trade Features'!A480</x:f>
        <x:v>A0479</x:v>
      </x:c>
      <x:c r="B480" s="84" t="str">
        <x:f>'Trade Features'!F480</x:f>
        <x:v>Long</x:v>
      </x:c>
      <x:c r="C480" s="91" t="str">
        <x:f>'Trade Features'!BX480</x:f>
        <x:v>22160.25</x:v>
      </x:c>
      <x:c r="D480" s="91" t="str">
        <x:f>'Trade Features'!CA480</x:f>
        <x:v>22133.509683192467</x:v>
      </x:c>
      <x:c r="E480" s="91" t="str">
        <x:f>'Trade Features'!CH480</x:f>
        <x:v>0.0373967147508986</x:v>
      </x:c>
      <x:c r="F480" s="91" t="str">
        <x:f>'Trade Features'!CG480</x:f>
        <x:v>0.027112618194402766</x:v>
      </x:c>
      <x:c r="G480" s="92" t="n">
        <x:f>ABS(C480-D480)</x:f>
        <x:v>26.74031680753251</x:v>
      </x:c>
      <x:c r="H480" s="92" t="n">
        <x:f>IFERROR($O$2/(G480*$O$3),0)</x:f>
        <x:v>0.027112618194402766</x:v>
      </x:c>
      <x:c r="I480" s="92" t="n">
        <x:f>E480-H480</x:f>
        <x:v>0.010284096556495832</x:v>
      </x:c>
      <x:c r="J480" s="91" t="str">
        <x:f>'Trade Features'!CI480</x:f>
        <x:v>0.010284096556495832</x:v>
      </x:c>
      <x:c r="K480" s="92" t="n">
        <x:f>I480-J480</x:f>
        <x:v>0</x:v>
      </x:c>
      <x:c r="L480" s="90" t="str">
        <x:f>IF(ABS(K480)&lt;0.000000001,"PASS","FAIL")</x:f>
        <x:v>PASS</x:v>
      </x:c>
    </x:row>
    <x:row r="481">
      <x:c r="A481" s="84" t="str">
        <x:f>'Trade Features'!A481</x:f>
        <x:v>A0480</x:v>
      </x:c>
      <x:c r="B481" s="84" t="str">
        <x:f>'Trade Features'!F481</x:f>
        <x:v>Short</x:v>
      </x:c>
      <x:c r="C481" s="91" t="str">
        <x:f>'Trade Features'!BX481</x:f>
        <x:v>22241.5</x:v>
      </x:c>
      <x:c r="D481" s="91" t="str">
        <x:f>'Trade Features'!CA481</x:f>
        <x:v>22254.701612666628</x:v>
      </x:c>
      <x:c r="E481" s="91" t="str">
        <x:f>'Trade Features'!CH481</x:f>
        <x:v>2.0</x:v>
      </x:c>
      <x:c r="F481" s="91" t="str">
        <x:f>'Trade Features'!CG481</x:f>
        <x:v>0.05491753305508868</x:v>
      </x:c>
      <x:c r="G481" s="92" t="n">
        <x:f>ABS(C481-D481)</x:f>
        <x:v>13.201612666627625</x:v>
      </x:c>
      <x:c r="H481" s="92" t="n">
        <x:f>IFERROR($O$2/(G481*$O$3),0)</x:f>
        <x:v>0.05491753305508868</x:v>
      </x:c>
      <x:c r="I481" s="92" t="n">
        <x:f>E481-H481</x:f>
        <x:v>1.9450824669449114</x:v>
      </x:c>
      <x:c r="J481" s="91" t="str">
        <x:f>'Trade Features'!CI481</x:f>
        <x:v>1.9450824669449114</x:v>
      </x:c>
      <x:c r="K481" s="92" t="n">
        <x:f>I481-J481</x:f>
        <x:v>0</x:v>
      </x:c>
      <x:c r="L481" s="90" t="str">
        <x:f>IF(ABS(K481)&lt;0.000000001,"PASS","FAIL")</x:f>
        <x:v>PASS</x:v>
      </x:c>
    </x:row>
    <x:row r="482">
      <x:c r="A482" s="84" t="str">
        <x:f>'Trade Features'!A482</x:f>
        <x:v>A0481</x:v>
      </x:c>
      <x:c r="B482" s="84" t="str">
        <x:f>'Trade Features'!F482</x:f>
        <x:v>Short</x:v>
      </x:c>
      <x:c r="C482" s="91" t="str">
        <x:f>'Trade Features'!BX482</x:f>
        <x:v>22251.25</x:v>
      </x:c>
      <x:c r="D482" s="91" t="str">
        <x:f>'Trade Features'!CA482</x:f>
        <x:v>22285.877646685785</x:v>
      </x:c>
      <x:c r="E482" s="91" t="str">
        <x:f>'Trade Features'!CH482</x:f>
        <x:v>-1.0</x:v>
      </x:c>
      <x:c r="F482" s="91" t="str">
        <x:f>'Trade Features'!CG482</x:f>
        <x:v>0.020937027762201747</x:v>
      </x:c>
      <x:c r="G482" s="92" t="n">
        <x:f>ABS(C482-D482)</x:f>
        <x:v>34.627646685785294</x:v>
      </x:c>
      <x:c r="H482" s="92" t="n">
        <x:f>IFERROR($O$2/(G482*$O$3),0)</x:f>
        <x:v>0.020937027762201747</x:v>
      </x:c>
      <x:c r="I482" s="92" t="n">
        <x:f>E482-H482</x:f>
        <x:v>-1.0209370277622019</x:v>
      </x:c>
      <x:c r="J482" s="91" t="str">
        <x:f>'Trade Features'!CI482</x:f>
        <x:v>-1.0209370277622019</x:v>
      </x:c>
      <x:c r="K482" s="92" t="n">
        <x:f>I482-J482</x:f>
        <x:v>0</x:v>
      </x:c>
      <x:c r="L482" s="90" t="str">
        <x:f>IF(ABS(K482)&lt;0.000000001,"PASS","FAIL")</x:f>
        <x:v>PASS</x:v>
      </x:c>
    </x:row>
    <x:row r="483">
      <x:c r="A483" s="84" t="str">
        <x:f>'Trade Features'!A483</x:f>
        <x:v>A0482</x:v>
      </x:c>
      <x:c r="B483" s="84" t="str">
        <x:f>'Trade Features'!F483</x:f>
        <x:v>Short</x:v>
      </x:c>
      <x:c r="C483" s="91" t="str">
        <x:f>'Trade Features'!BX483</x:f>
        <x:v>22233.25</x:v>
      </x:c>
      <x:c r="D483" s="91" t="str">
        <x:f>'Trade Features'!CA483</x:f>
        <x:v>22243.64508595084</x:v>
      </x:c>
      <x:c r="E483" s="91" t="str">
        <x:f>'Trade Features'!CH483</x:f>
        <x:v>-1.0</x:v>
      </x:c>
      <x:c r="F483" s="91" t="str">
        <x:f>'Trade Features'!CG483</x:f>
        <x:v>0.0697444930641852</x:v>
      </x:c>
      <x:c r="G483" s="92" t="n">
        <x:f>ABS(C483-D483)</x:f>
        <x:v>10.39508595084044</x:v>
      </x:c>
      <x:c r="H483" s="92" t="n">
        <x:f>IFERROR($O$2/(G483*$O$3),0)</x:f>
        <x:v>0.0697444930641852</x:v>
      </x:c>
      <x:c r="I483" s="92" t="n">
        <x:f>E483-H483</x:f>
        <x:v>-1.0697444930641853</x:v>
      </x:c>
      <x:c r="J483" s="91" t="str">
        <x:f>'Trade Features'!CI483</x:f>
        <x:v>-1.0697444930641853</x:v>
      </x:c>
      <x:c r="K483" s="92" t="n">
        <x:f>I483-J483</x:f>
        <x:v>0</x:v>
      </x:c>
      <x:c r="L483" s="90" t="str">
        <x:f>IF(ABS(K483)&lt;0.000000001,"PASS","FAIL")</x:f>
        <x:v>PASS</x:v>
      </x:c>
    </x:row>
    <x:row r="484">
      <x:c r="A484" s="84" t="str">
        <x:f>'Trade Features'!A484</x:f>
        <x:v>A0483</x:v>
      </x:c>
      <x:c r="B484" s="84" t="str">
        <x:f>'Trade Features'!F484</x:f>
        <x:v>Long</x:v>
      </x:c>
      <x:c r="C484" s="91" t="str">
        <x:f>'Trade Features'!BX484</x:f>
        <x:v>22334.25</x:v>
      </x:c>
      <x:c r="D484" s="91" t="str">
        <x:f>'Trade Features'!CA484</x:f>
        <x:v>22295.75256617371</x:v>
      </x:c>
      <x:c r="E484" s="91" t="str">
        <x:f>'Trade Features'!CH484</x:f>
        <x:v>-1.0</x:v>
      </x:c>
      <x:c r="F484" s="91" t="str">
        <x:f>'Trade Features'!CG484</x:f>
        <x:v>0.018832424084975704</x:v>
      </x:c>
      <x:c r="G484" s="92" t="n">
        <x:f>ABS(C484-D484)</x:f>
        <x:v>38.497433826290944</x:v>
      </x:c>
      <x:c r="H484" s="92" t="n">
        <x:f>IFERROR($O$2/(G484*$O$3),0)</x:f>
        <x:v>0.018832424084975704</x:v>
      </x:c>
      <x:c r="I484" s="92" t="n">
        <x:f>E484-H484</x:f>
        <x:v>-1.0188324240849758</x:v>
      </x:c>
      <x:c r="J484" s="91" t="str">
        <x:f>'Trade Features'!CI484</x:f>
        <x:v>-1.0188324240849758</x:v>
      </x:c>
      <x:c r="K484" s="92" t="n">
        <x:f>I484-J484</x:f>
        <x:v>0</x:v>
      </x:c>
      <x:c r="L484" s="90" t="str">
        <x:f>IF(ABS(K484)&lt;0.000000001,"PASS","FAIL")</x:f>
        <x:v>PASS</x:v>
      </x:c>
    </x:row>
    <x:row r="485">
      <x:c r="A485" s="84" t="str">
        <x:f>'Trade Features'!A485</x:f>
        <x:v>A0484</x:v>
      </x:c>
      <x:c r="B485" s="84" t="str">
        <x:f>'Trade Features'!F485</x:f>
        <x:v>Short</x:v>
      </x:c>
      <x:c r="C485" s="91" t="str">
        <x:f>'Trade Features'!BX485</x:f>
        <x:v>22327.25</x:v>
      </x:c>
      <x:c r="D485" s="91" t="str">
        <x:f>'Trade Features'!CA485</x:f>
        <x:v>22348.063786904186</x:v>
      </x:c>
      <x:c r="E485" s="91" t="str">
        <x:f>'Trade Features'!CH485</x:f>
        <x:v>-1.0</x:v>
      </x:c>
      <x:c r="F485" s="91" t="str">
        <x:f>'Trade Features'!CG485</x:f>
        <x:v>0.0348326810175135</x:v>
      </x:c>
      <x:c r="G485" s="92" t="n">
        <x:f>ABS(C485-D485)</x:f>
        <x:v>20.81378690418569</x:v>
      </x:c>
      <x:c r="H485" s="92" t="n">
        <x:f>IFERROR($O$2/(G485*$O$3),0)</x:f>
        <x:v>0.0348326810175135</x:v>
      </x:c>
      <x:c r="I485" s="92" t="n">
        <x:f>E485-H485</x:f>
        <x:v>-1.0348326810175135</x:v>
      </x:c>
      <x:c r="J485" s="91" t="str">
        <x:f>'Trade Features'!CI485</x:f>
        <x:v>-1.0348326810175135</x:v>
      </x:c>
      <x:c r="K485" s="92" t="n">
        <x:f>I485-J485</x:f>
        <x:v>0</x:v>
      </x:c>
      <x:c r="L485" s="90" t="str">
        <x:f>IF(ABS(K485)&lt;0.000000001,"PASS","FAIL")</x:f>
        <x:v>PASS</x:v>
      </x:c>
    </x:row>
    <x:row r="486">
      <x:c r="A486" s="84" t="str">
        <x:f>'Trade Features'!A486</x:f>
        <x:v>A0485</x:v>
      </x:c>
      <x:c r="B486" s="84" t="str">
        <x:f>'Trade Features'!F486</x:f>
        <x:v>Long</x:v>
      </x:c>
      <x:c r="C486" s="91" t="str">
        <x:f>'Trade Features'!BX486</x:f>
        <x:v>22400.0</x:v>
      </x:c>
      <x:c r="D486" s="91" t="str">
        <x:f>'Trade Features'!CA486</x:f>
        <x:v>22373.25388417041</x:v>
      </x:c>
      <x:c r="E486" s="91" t="str">
        <x:f>'Trade Features'!CH486</x:f>
        <x:v>0.4860518844242246</x:v>
      </x:c>
      <x:c r="F486" s="91" t="str">
        <x:f>'Trade Features'!CG486</x:f>
        <x:v>0.02710673970827418</x:v>
      </x:c>
      <x:c r="G486" s="92" t="n">
        <x:f>ABS(C486-D486)</x:f>
        <x:v>26.746115829588234</x:v>
      </x:c>
      <x:c r="H486" s="92" t="n">
        <x:f>IFERROR($O$2/(G486*$O$3),0)</x:f>
        <x:v>0.02710673970827418</x:v>
      </x:c>
      <x:c r="I486" s="92" t="n">
        <x:f>E486-H486</x:f>
        <x:v>0.4589451447159504</x:v>
      </x:c>
      <x:c r="J486" s="91" t="str">
        <x:f>'Trade Features'!CI486</x:f>
        <x:v>0.4589451447159504</x:v>
      </x:c>
      <x:c r="K486" s="92" t="n">
        <x:f>I486-J486</x:f>
        <x:v>0</x:v>
      </x:c>
      <x:c r="L486" s="90" t="str">
        <x:f>IF(ABS(K486)&lt;0.000000001,"PASS","FAIL")</x:f>
        <x:v>PASS</x:v>
      </x:c>
    </x:row>
    <x:row r="487">
      <x:c r="A487" s="84" t="str">
        <x:f>'Trade Features'!A487</x:f>
        <x:v>A0486</x:v>
      </x:c>
      <x:c r="B487" s="84" t="str">
        <x:f>'Trade Features'!F487</x:f>
        <x:v>Long</x:v>
      </x:c>
      <x:c r="C487" s="91" t="str">
        <x:f>'Trade Features'!BX487</x:f>
        <x:v>22459.5</x:v>
      </x:c>
      <x:c r="D487" s="91" t="str">
        <x:f>'Trade Features'!CA487</x:f>
        <x:v>22444.072027011945</x:v>
      </x:c>
      <x:c r="E487" s="91" t="str">
        <x:f>'Trade Features'!CH487</x:f>
        <x:v>-1.0</x:v>
      </x:c>
      <x:c r="F487" s="91" t="str">
        <x:f>'Trade Features'!CG487</x:f>
        <x:v>0.04699256347942455</x:v>
      </x:c>
      <x:c r="G487" s="92" t="n">
        <x:f>ABS(C487-D487)</x:f>
        <x:v>15.427972988054535</x:v>
      </x:c>
      <x:c r="H487" s="92" t="n">
        <x:f>IFERROR($O$2/(G487*$O$3),0)</x:f>
        <x:v>0.04699256347942455</x:v>
      </x:c>
      <x:c r="I487" s="92" t="n">
        <x:f>E487-H487</x:f>
        <x:v>-1.0469925634794246</x:v>
      </x:c>
      <x:c r="J487" s="91" t="str">
        <x:f>'Trade Features'!CI487</x:f>
        <x:v>-1.0469925634794246</x:v>
      </x:c>
      <x:c r="K487" s="92" t="n">
        <x:f>I487-J487</x:f>
        <x:v>0</x:v>
      </x:c>
      <x:c r="L487" s="90" t="str">
        <x:f>IF(ABS(K487)&lt;0.000000001,"PASS","FAIL")</x:f>
        <x:v>PASS</x:v>
      </x:c>
    </x:row>
    <x:row r="488">
      <x:c r="A488" s="84" t="str">
        <x:f>'Trade Features'!A488</x:f>
        <x:v>A0487</x:v>
      </x:c>
      <x:c r="B488" s="84" t="str">
        <x:f>'Trade Features'!F488</x:f>
        <x:v>Long</x:v>
      </x:c>
      <x:c r="C488" s="91" t="str">
        <x:f>'Trade Features'!BX488</x:f>
        <x:v>22603.25</x:v>
      </x:c>
      <x:c r="D488" s="91" t="str">
        <x:f>'Trade Features'!CA488</x:f>
        <x:v>22579.95550572695</x:v>
      </x:c>
      <x:c r="E488" s="91" t="str">
        <x:f>'Trade Features'!CH488</x:f>
        <x:v>-0.4400181381855038</x:v>
      </x:c>
      <x:c r="F488" s="91" t="str">
        <x:f>'Trade Features'!CG488</x:f>
        <x:v>0.03112323416433937</x:v>
      </x:c>
      <x:c r="G488" s="92" t="n">
        <x:f>ABS(C488-D488)</x:f>
        <x:v>23.294494273050077</x:v>
      </x:c>
      <x:c r="H488" s="92" t="n">
        <x:f>IFERROR($O$2/(G488*$O$3),0)</x:f>
        <x:v>0.03112323416433937</x:v>
      </x:c>
      <x:c r="I488" s="92" t="n">
        <x:f>E488-H488</x:f>
        <x:v>-0.47114137234984316</x:v>
      </x:c>
      <x:c r="J488" s="91" t="str">
        <x:f>'Trade Features'!CI488</x:f>
        <x:v>-0.47114137234984316</x:v>
      </x:c>
      <x:c r="K488" s="92" t="n">
        <x:f>I488-J488</x:f>
        <x:v>0</x:v>
      </x:c>
      <x:c r="L488" s="90" t="str">
        <x:f>IF(ABS(K488)&lt;0.000000001,"PASS","FAIL")</x:f>
        <x:v>PASS</x:v>
      </x:c>
    </x:row>
    <x:row r="489">
      <x:c r="A489" s="84" t="str">
        <x:f>'Trade Features'!A489</x:f>
        <x:v>A0488</x:v>
      </x:c>
      <x:c r="B489" s="84" t="str">
        <x:f>'Trade Features'!F489</x:f>
        <x:v>Long</x:v>
      </x:c>
      <x:c r="C489" s="91" t="str">
        <x:f>'Trade Features'!BX489</x:f>
        <x:v>22631.75</x:v>
      </x:c>
      <x:c r="D489" s="91" t="str">
        <x:f>'Trade Features'!CA489</x:f>
        <x:v>22609.34561240688</x:v>
      </x:c>
      <x:c r="E489" s="91" t="str">
        <x:f>'Trade Features'!CH489</x:f>
        <x:v>-1.0</x:v>
      </x:c>
      <x:c r="F489" s="91" t="str">
        <x:f>'Trade Features'!CG489</x:f>
        <x:v>0.03235973297581358</x:v>
      </x:c>
      <x:c r="G489" s="92" t="n">
        <x:f>ABS(C489-D489)</x:f>
        <x:v>22.40438759312019</x:v>
      </x:c>
      <x:c r="H489" s="92" t="n">
        <x:f>IFERROR($O$2/(G489*$O$3),0)</x:f>
        <x:v>0.03235973297581358</x:v>
      </x:c>
      <x:c r="I489" s="92" t="n">
        <x:f>E489-H489</x:f>
        <x:v>-1.0323597329758136</x:v>
      </x:c>
      <x:c r="J489" s="91" t="str">
        <x:f>'Trade Features'!CI489</x:f>
        <x:v>-1.0323597329758136</x:v>
      </x:c>
      <x:c r="K489" s="92" t="n">
        <x:f>I489-J489</x:f>
        <x:v>0</x:v>
      </x:c>
      <x:c r="L489" s="90" t="str">
        <x:f>IF(ABS(K489)&lt;0.000000001,"PASS","FAIL")</x:f>
        <x:v>PASS</x:v>
      </x:c>
    </x:row>
    <x:row r="490">
      <x:c r="A490" s="84" t="str">
        <x:f>'Trade Features'!A490</x:f>
        <x:v>A0489</x:v>
      </x:c>
      <x:c r="B490" s="84" t="str">
        <x:f>'Trade Features'!F490</x:f>
        <x:v>Long</x:v>
      </x:c>
      <x:c r="C490" s="91" t="str">
        <x:f>'Trade Features'!BX490</x:f>
        <x:v>22688.75</x:v>
      </x:c>
      <x:c r="D490" s="91" t="str">
        <x:f>'Trade Features'!CA490</x:f>
        <x:v>22676.3591744274</x:v>
      </x:c>
      <x:c r="E490" s="91" t="str">
        <x:f>'Trade Features'!CH490</x:f>
        <x:v>-1.0</x:v>
      </x:c>
      <x:c r="F490" s="91" t="str">
        <x:f>'Trade Features'!CG490</x:f>
        <x:v>0.058511032679154494</x:v>
      </x:c>
      <x:c r="G490" s="92" t="n">
        <x:f>ABS(C490-D490)</x:f>
        <x:v>12.39082557259826</x:v>
      </x:c>
      <x:c r="H490" s="92" t="n">
        <x:f>IFERROR($O$2/(G490*$O$3),0)</x:f>
        <x:v>0.058511032679154494</x:v>
      </x:c>
      <x:c r="I490" s="92" t="n">
        <x:f>E490-H490</x:f>
        <x:v>-1.0585110326791545</x:v>
      </x:c>
      <x:c r="J490" s="91" t="str">
        <x:f>'Trade Features'!CI490</x:f>
        <x:v>-1.0585110326791545</x:v>
      </x:c>
      <x:c r="K490" s="92" t="n">
        <x:f>I490-J490</x:f>
        <x:v>0</x:v>
      </x:c>
      <x:c r="L490" s="90" t="str">
        <x:f>IF(ABS(K490)&lt;0.000000001,"PASS","FAIL")</x:f>
        <x:v>PASS</x:v>
      </x:c>
    </x:row>
    <x:row r="491">
      <x:c r="A491" s="84" t="str">
        <x:f>'Trade Features'!A491</x:f>
        <x:v>A0490</x:v>
      </x:c>
      <x:c r="B491" s="84" t="str">
        <x:f>'Trade Features'!F491</x:f>
        <x:v>Short</x:v>
      </x:c>
      <x:c r="C491" s="91" t="str">
        <x:f>'Trade Features'!BX491</x:f>
        <x:v>22745.25</x:v>
      </x:c>
      <x:c r="D491" s="91" t="str">
        <x:f>'Trade Features'!CA491</x:f>
        <x:v>22770.301260982145</x:v>
      </x:c>
      <x:c r="E491" s="91" t="str">
        <x:f>'Trade Features'!CH491</x:f>
        <x:v>-1.0</x:v>
      </x:c>
      <x:c r="F491" s="91" t="str">
        <x:f>'Trade Features'!CG491</x:f>
        <x:v>0.028940658935960394</x:v>
      </x:c>
      <x:c r="G491" s="92" t="n">
        <x:f>ABS(C491-D491)</x:f>
        <x:v>25.051260982145322</x:v>
      </x:c>
      <x:c r="H491" s="92" t="n">
        <x:f>IFERROR($O$2/(G491*$O$3),0)</x:f>
        <x:v>0.028940658935960394</x:v>
      </x:c>
      <x:c r="I491" s="92" t="n">
        <x:f>E491-H491</x:f>
        <x:v>-1.0289406589359604</x:v>
      </x:c>
      <x:c r="J491" s="91" t="str">
        <x:f>'Trade Features'!CI491</x:f>
        <x:v>-1.0289406589359604</x:v>
      </x:c>
      <x:c r="K491" s="92" t="n">
        <x:f>I491-J491</x:f>
        <x:v>0</x:v>
      </x:c>
      <x:c r="L491" s="90" t="str">
        <x:f>IF(ABS(K491)&lt;0.000000001,"PASS","FAIL")</x:f>
        <x:v>PASS</x:v>
      </x:c>
    </x:row>
    <x:row r="492">
      <x:c r="A492" s="84" t="str">
        <x:f>'Trade Features'!A492</x:f>
        <x:v>A0491</x:v>
      </x:c>
      <x:c r="B492" s="84" t="str">
        <x:f>'Trade Features'!F492</x:f>
        <x:v>Short</x:v>
      </x:c>
      <x:c r="C492" s="91" t="str">
        <x:f>'Trade Features'!BX492</x:f>
        <x:v>22792.75</x:v>
      </x:c>
      <x:c r="D492" s="91" t="str">
        <x:f>'Trade Features'!CA492</x:f>
        <x:v>22818.839407753083</x:v>
      </x:c>
      <x:c r="E492" s="91" t="str">
        <x:f>'Trade Features'!CH492</x:f>
        <x:v>-0.06707703051607981</x:v>
      </x:c>
      <x:c r="F492" s="91" t="str">
        <x:f>'Trade Features'!CG492</x:f>
        <x:v>0.0277890554995189</x:v>
      </x:c>
      <x:c r="G492" s="92" t="n">
        <x:f>ABS(C492-D492)</x:f>
        <x:v>26.089407753082924</x:v>
      </x:c>
      <x:c r="H492" s="92" t="n">
        <x:f>IFERROR($O$2/(G492*$O$3),0)</x:f>
        <x:v>0.0277890554995189</x:v>
      </x:c>
      <x:c r="I492" s="92" t="n">
        <x:f>E492-H492</x:f>
        <x:v>-0.0948660860155987</x:v>
      </x:c>
      <x:c r="J492" s="91" t="str">
        <x:f>'Trade Features'!CI492</x:f>
        <x:v>-0.0948660860155987</x:v>
      </x:c>
      <x:c r="K492" s="92" t="n">
        <x:f>I492-J492</x:f>
        <x:v>0</x:v>
      </x:c>
      <x:c r="L492" s="90" t="str">
        <x:f>IF(ABS(K492)&lt;0.000000001,"PASS","FAIL")</x:f>
        <x:v>PASS</x:v>
      </x:c>
    </x:row>
    <x:row r="493">
      <x:c r="A493" s="84" t="str">
        <x:f>'Trade Features'!A493</x:f>
        <x:v>A0492</x:v>
      </x:c>
      <x:c r="B493" s="84" t="str">
        <x:f>'Trade Features'!F493</x:f>
        <x:v>Long</x:v>
      </x:c>
      <x:c r="C493" s="91" t="str">
        <x:f>'Trade Features'!BX493</x:f>
        <x:v>23074.5</x:v>
      </x:c>
      <x:c r="D493" s="91" t="str">
        <x:f>'Trade Features'!CA493</x:f>
        <x:v>23063.745807296673</x:v>
      </x:c>
      <x:c r="E493" s="91" t="str">
        <x:f>'Trade Features'!CH493</x:f>
        <x:v>-1.0</x:v>
      </x:c>
      <x:c r="F493" s="91" t="str">
        <x:f>'Trade Features'!CG493</x:f>
        <x:v>0.06741556711883165</x:v>
      </x:c>
      <x:c r="G493" s="92" t="n">
        <x:f>ABS(C493-D493)</x:f>
        <x:v>10.754192703327135</x:v>
      </x:c>
      <x:c r="H493" s="92" t="n">
        <x:f>IFERROR($O$2/(G493*$O$3),0)</x:f>
        <x:v>0.06741556711883165</x:v>
      </x:c>
      <x:c r="I493" s="92" t="n">
        <x:f>E493-H493</x:f>
        <x:v>-1.0674155671188317</x:v>
      </x:c>
      <x:c r="J493" s="91" t="str">
        <x:f>'Trade Features'!CI493</x:f>
        <x:v>-1.0674155671188317</x:v>
      </x:c>
      <x:c r="K493" s="92" t="n">
        <x:f>I493-J493</x:f>
        <x:v>0</x:v>
      </x:c>
      <x:c r="L493" s="90" t="str">
        <x:f>IF(ABS(K493)&lt;0.000000001,"PASS","FAIL")</x:f>
        <x:v>PASS</x:v>
      </x:c>
    </x:row>
    <x:row r="494">
      <x:c r="A494" s="84" t="str">
        <x:f>'Trade Features'!A494</x:f>
        <x:v>A0493</x:v>
      </x:c>
      <x:c r="B494" s="84" t="str">
        <x:f>'Trade Features'!F494</x:f>
        <x:v>Short</x:v>
      </x:c>
      <x:c r="C494" s="91" t="str">
        <x:f>'Trade Features'!BX494</x:f>
        <x:v>23031.5</x:v>
      </x:c>
      <x:c r="D494" s="91" t="str">
        <x:f>'Trade Features'!CA494</x:f>
        <x:v>23051.970910988734</x:v>
      </x:c>
      <x:c r="E494" s="91" t="str">
        <x:f>'Trade Features'!CH494</x:f>
        <x:v>-1.0</x:v>
      </x:c>
      <x:c r="F494" s="91" t="str">
        <x:f>'Trade Features'!CG494</x:f>
        <x:v>0.035416108271830934</x:v>
      </x:c>
      <x:c r="G494" s="92" t="n">
        <x:f>ABS(C494-D494)</x:f>
        <x:v>20.47091098873352</x:v>
      </x:c>
      <x:c r="H494" s="92" t="n">
        <x:f>IFERROR($O$2/(G494*$O$3),0)</x:f>
        <x:v>0.035416108271830934</x:v>
      </x:c>
      <x:c r="I494" s="92" t="n">
        <x:f>E494-H494</x:f>
        <x:v>-1.035416108271831</x:v>
      </x:c>
      <x:c r="J494" s="91" t="str">
        <x:f>'Trade Features'!CI494</x:f>
        <x:v>-1.035416108271831</x:v>
      </x:c>
      <x:c r="K494" s="92" t="n">
        <x:f>I494-J494</x:f>
        <x:v>0</x:v>
      </x:c>
      <x:c r="L494" s="90" t="str">
        <x:f>IF(ABS(K494)&lt;0.000000001,"PASS","FAIL")</x:f>
        <x:v>PASS</x:v>
      </x:c>
    </x:row>
    <x:row r="495">
      <x:c r="A495" s="84" t="str">
        <x:f>'Trade Features'!A495</x:f>
        <x:v>A0494</x:v>
      </x:c>
      <x:c r="B495" s="84" t="str">
        <x:f>'Trade Features'!F495</x:f>
        <x:v>Short</x:v>
      </x:c>
      <x:c r="C495" s="91" t="str">
        <x:f>'Trade Features'!BX495</x:f>
        <x:v>22897.75</x:v>
      </x:c>
      <x:c r="D495" s="91" t="str">
        <x:f>'Trade Features'!CA495</x:f>
        <x:v>22931.001835372812</x:v>
      </x:c>
      <x:c r="E495" s="91" t="str">
        <x:f>'Trade Features'!CH495</x:f>
        <x:v>-1.0</x:v>
      </x:c>
      <x:c r="F495" s="91" t="str">
        <x:f>'Trade Features'!CG495</x:f>
        <x:v>0.021803307753435777</x:v>
      </x:c>
      <x:c r="G495" s="92" t="n">
        <x:f>ABS(C495-D495)</x:f>
        <x:v>33.25183537281191</x:v>
      </x:c>
      <x:c r="H495" s="92" t="n">
        <x:f>IFERROR($O$2/(G495*$O$3),0)</x:f>
        <x:v>0.021803307753435777</x:v>
      </x:c>
      <x:c r="I495" s="92" t="n">
        <x:f>E495-H495</x:f>
        <x:v>-1.0218033077534359</x:v>
      </x:c>
      <x:c r="J495" s="91" t="str">
        <x:f>'Trade Features'!CI495</x:f>
        <x:v>-1.0218033077534359</x:v>
      </x:c>
      <x:c r="K495" s="92" t="n">
        <x:f>I495-J495</x:f>
        <x:v>0</x:v>
      </x:c>
      <x:c r="L495" s="90" t="str">
        <x:f>IF(ABS(K495)&lt;0.000000001,"PASS","FAIL")</x:f>
        <x:v>PASS</x:v>
      </x:c>
    </x:row>
    <x:row r="496">
      <x:c r="A496" s="84" t="str">
        <x:f>'Trade Features'!A496</x:f>
        <x:v>A0495</x:v>
      </x:c>
      <x:c r="B496" s="84" t="str">
        <x:f>'Trade Features'!F496</x:f>
        <x:v>Long</x:v>
      </x:c>
      <x:c r="C496" s="91" t="str">
        <x:f>'Trade Features'!BX496</x:f>
        <x:v>23195.25</x:v>
      </x:c>
      <x:c r="D496" s="91" t="str">
        <x:f>'Trade Features'!CA496</x:f>
        <x:v>23176.798974937105</x:v>
      </x:c>
      <x:c r="E496" s="91" t="str">
        <x:f>'Trade Features'!CH496</x:f>
        <x:v>-1.0</x:v>
      </x:c>
      <x:c r="F496" s="91" t="str">
        <x:f>'Trade Features'!CG496</x:f>
        <x:v>0.03929320986387662</x:v>
      </x:c>
      <x:c r="G496" s="92" t="n">
        <x:f>ABS(C496-D496)</x:f>
        <x:v>18.451025062895496</x:v>
      </x:c>
      <x:c r="H496" s="92" t="n">
        <x:f>IFERROR($O$2/(G496*$O$3),0)</x:f>
        <x:v>0.03929320986387662</x:v>
      </x:c>
      <x:c r="I496" s="92" t="n">
        <x:f>E496-H496</x:f>
        <x:v>-1.0392932098638765</x:v>
      </x:c>
      <x:c r="J496" s="91" t="str">
        <x:f>'Trade Features'!CI496</x:f>
        <x:v>-1.0392932098638765</x:v>
      </x:c>
      <x:c r="K496" s="92" t="n">
        <x:f>I496-J496</x:f>
        <x:v>0</x:v>
      </x:c>
      <x:c r="L496" s="90" t="str">
        <x:f>IF(ABS(K496)&lt;0.000000001,"PASS","FAIL")</x:f>
        <x:v>PASS</x:v>
      </x:c>
    </x:row>
    <x:row r="497">
      <x:c r="A497" s="84" t="str">
        <x:f>'Trade Features'!A497</x:f>
        <x:v>A0496</x:v>
      </x:c>
      <x:c r="B497" s="84" t="str">
        <x:f>'Trade Features'!F497</x:f>
        <x:v>Short</x:v>
      </x:c>
      <x:c r="C497" s="91" t="str">
        <x:f>'Trade Features'!BX497</x:f>
        <x:v>23246.25</x:v>
      </x:c>
      <x:c r="D497" s="91" t="str">
        <x:f>'Trade Features'!CA497</x:f>
        <x:v>23256.936934096826</x:v>
      </x:c>
      <x:c r="E497" s="91" t="str">
        <x:f>'Trade Features'!CH497</x:f>
        <x:v>2.0</x:v>
      </x:c>
      <x:c r="F497" s="91" t="str">
        <x:f>'Trade Features'!CG497</x:f>
        <x:v>0.06783984943027983</x:v>
      </x:c>
      <x:c r="G497" s="92" t="n">
        <x:f>ABS(C497-D497)</x:f>
        <x:v>10.686934096826008</x:v>
      </x:c>
      <x:c r="H497" s="92" t="n">
        <x:f>IFERROR($O$2/(G497*$O$3),0)</x:f>
        <x:v>0.06783984943027983</x:v>
      </x:c>
      <x:c r="I497" s="92" t="n">
        <x:f>E497-H497</x:f>
        <x:v>1.9321601505697201</x:v>
      </x:c>
      <x:c r="J497" s="91" t="str">
        <x:f>'Trade Features'!CI497</x:f>
        <x:v>1.9321601505697201</x:v>
      </x:c>
      <x:c r="K497" s="92" t="n">
        <x:f>I497-J497</x:f>
        <x:v>0</x:v>
      </x:c>
      <x:c r="L497" s="90" t="str">
        <x:f>IF(ABS(K497)&lt;0.000000001,"PASS","FAIL")</x:f>
        <x:v>PASS</x:v>
      </x:c>
    </x:row>
    <x:row r="498">
      <x:c r="A498" s="84" t="str">
        <x:f>'Trade Features'!A498</x:f>
        <x:v>A0497</x:v>
      </x:c>
      <x:c r="B498" s="84" t="str">
        <x:f>'Trade Features'!F498</x:f>
        <x:v>Long</x:v>
      </x:c>
      <x:c r="C498" s="91" t="str">
        <x:f>'Trade Features'!BX498</x:f>
        <x:v>23203.75</x:v>
      </x:c>
      <x:c r="D498" s="91" t="str">
        <x:f>'Trade Features'!CA498</x:f>
        <x:v>23189.57894456419</x:v>
      </x:c>
      <x:c r="E498" s="91" t="str">
        <x:f>'Trade Features'!CH498</x:f>
        <x:v>0.5116062125958096</x:v>
      </x:c>
      <x:c r="F498" s="91" t="str">
        <x:f>'Trade Features'!CG498</x:f>
        <x:v>0.05116062125957885</x:v>
      </x:c>
      <x:c r="G498" s="92" t="n">
        <x:f>ABS(C498-D498)</x:f>
        <x:v>14.171055435810558</x:v>
      </x:c>
      <x:c r="H498" s="92" t="n">
        <x:f>IFERROR($O$2/(G498*$O$3),0)</x:f>
        <x:v>0.05116062125957885</x:v>
      </x:c>
      <x:c r="I498" s="92" t="n">
        <x:f>E498-H498</x:f>
        <x:v>0.46044559133623075</x:v>
      </x:c>
      <x:c r="J498" s="91" t="str">
        <x:f>'Trade Features'!CI498</x:f>
        <x:v>0.46044559133623075</x:v>
      </x:c>
      <x:c r="K498" s="92" t="n">
        <x:f>I498-J498</x:f>
        <x:v>0</x:v>
      </x:c>
      <x:c r="L498" s="90" t="str">
        <x:f>IF(ABS(K498)&lt;0.000000001,"PASS","FAIL")</x:f>
        <x:v>PASS</x:v>
      </x:c>
    </x:row>
    <x:row r="499">
      <x:c r="A499" s="84" t="str">
        <x:f>'Trade Features'!A499</x:f>
        <x:v>A0498</x:v>
      </x:c>
      <x:c r="B499" s="84" t="str">
        <x:f>'Trade Features'!F499</x:f>
        <x:v>Short</x:v>
      </x:c>
      <x:c r="C499" s="91" t="str">
        <x:f>'Trade Features'!BX499</x:f>
        <x:v>23218.0</x:v>
      </x:c>
      <x:c r="D499" s="91" t="str">
        <x:f>'Trade Features'!CA499</x:f>
        <x:v>23253.975989888248</x:v>
      </x:c>
      <x:c r="E499" s="91" t="str">
        <x:f>'Trade Features'!CH499</x:f>
        <x:v>-1.0</x:v>
      </x:c>
      <x:c r="F499" s="91" t="str">
        <x:f>'Trade Features'!CG499</x:f>
        <x:v>0.02015232943560613</x:v>
      </x:c>
      <x:c r="G499" s="92" t="n">
        <x:f>ABS(C499-D499)</x:f>
        <x:v>35.97598988824757</x:v>
      </x:c>
      <x:c r="H499" s="92" t="n">
        <x:f>IFERROR($O$2/(G499*$O$3),0)</x:f>
        <x:v>0.02015232943560613</x:v>
      </x:c>
      <x:c r="I499" s="92" t="n">
        <x:f>E499-H499</x:f>
        <x:v>-1.020152329435606</x:v>
      </x:c>
      <x:c r="J499" s="91" t="str">
        <x:f>'Trade Features'!CI499</x:f>
        <x:v>-1.020152329435606</x:v>
      </x:c>
      <x:c r="K499" s="92" t="n">
        <x:f>I499-J499</x:f>
        <x:v>0</x:v>
      </x:c>
      <x:c r="L499" s="90" t="str">
        <x:f>IF(ABS(K499)&lt;0.000000001,"PASS","FAIL")</x:f>
        <x:v>PASS</x:v>
      </x:c>
    </x:row>
    <x:row r="500">
      <x:c r="A500" s="84" t="str">
        <x:f>'Trade Features'!A500</x:f>
        <x:v>A0499</x:v>
      </x:c>
      <x:c r="B500" s="84" t="str">
        <x:f>'Trade Features'!F500</x:f>
        <x:v>Long</x:v>
      </x:c>
      <x:c r="C500" s="91" t="str">
        <x:f>'Trade Features'!BX500</x:f>
        <x:v>23270.75</x:v>
      </x:c>
      <x:c r="D500" s="91" t="str">
        <x:f>'Trade Features'!CA500</x:f>
        <x:v>23243.39284326035</x:v>
      </x:c>
      <x:c r="E500" s="91" t="str">
        <x:f>'Trade Features'!CH500</x:f>
        <x:v>0.23759779065707584</x:v>
      </x:c>
      <x:c r="F500" s="91" t="str">
        <x:f>'Trade Features'!CG500</x:f>
        <x:v>0.02650129203482676</x:v>
      </x:c>
      <x:c r="G500" s="92" t="n">
        <x:f>ABS(C500-D500)</x:f>
        <x:v>27.357156739650236</x:v>
      </x:c>
      <x:c r="H500" s="92" t="n">
        <x:f>IFERROR($O$2/(G500*$O$3),0)</x:f>
        <x:v>0.02650129203482676</x:v>
      </x:c>
      <x:c r="I500" s="92" t="n">
        <x:f>E500-H500</x:f>
        <x:v>0.21109649862224908</x:v>
      </x:c>
      <x:c r="J500" s="91" t="str">
        <x:f>'Trade Features'!CI500</x:f>
        <x:v>0.21109649862224908</x:v>
      </x:c>
      <x:c r="K500" s="92" t="n">
        <x:f>I500-J500</x:f>
        <x:v>0</x:v>
      </x:c>
      <x:c r="L500" s="90" t="str">
        <x:f>IF(ABS(K500)&lt;0.000000001,"PASS","FAIL")</x:f>
        <x:v>PASS</x:v>
      </x:c>
    </x:row>
    <x:row r="501">
      <x:c r="A501" s="84" t="str">
        <x:f>'Trade Features'!A501</x:f>
        <x:v>A0500</x:v>
      </x:c>
      <x:c r="B501" s="84" t="str">
        <x:f>'Trade Features'!F501</x:f>
        <x:v>Long</x:v>
      </x:c>
      <x:c r="C501" s="91" t="str">
        <x:f>'Trade Features'!BX501</x:f>
        <x:v>23300.75</x:v>
      </x:c>
      <x:c r="D501" s="91" t="str">
        <x:f>'Trade Features'!CA501</x:f>
        <x:v>23278.324233287414</x:v>
      </x:c>
      <x:c r="E501" s="91" t="str">
        <x:f>'Trade Features'!CH501</x:f>
        <x:v>0.6242818887500282</x:v>
      </x:c>
      <x:c r="F501" s="91" t="str">
        <x:f>'Trade Features'!CG501</x:f>
        <x:v>0.03232888352455377</x:v>
      </x:c>
      <x:c r="G501" s="92" t="n">
        <x:f>ABS(C501-D501)</x:f>
        <x:v>22.425766712585755</x:v>
      </x:c>
      <x:c r="H501" s="92" t="n">
        <x:f>IFERROR($O$2/(G501*$O$3),0)</x:f>
        <x:v>0.03232888352455377</x:v>
      </x:c>
      <x:c r="I501" s="92" t="n">
        <x:f>E501-H501</x:f>
        <x:v>0.5919530052254744</x:v>
      </x:c>
      <x:c r="J501" s="91" t="str">
        <x:f>'Trade Features'!CI501</x:f>
        <x:v>0.5919530052254744</x:v>
      </x:c>
      <x:c r="K501" s="92" t="n">
        <x:f>I501-J501</x:f>
        <x:v>0</x:v>
      </x:c>
      <x:c r="L501" s="90" t="str">
        <x:f>IF(ABS(K501)&lt;0.000000001,"PASS","FAIL")</x:f>
        <x:v>PASS</x:v>
      </x:c>
    </x:row>
    <x:row r="502">
      <x:c r="A502" s="84" t="str">
        <x:f>'Trade Features'!A502</x:f>
        <x:v>A0501</x:v>
      </x:c>
      <x:c r="B502" s="84" t="str">
        <x:f>'Trade Features'!F502</x:f>
        <x:v>Long</x:v>
      </x:c>
      <x:c r="C502" s="91" t="str">
        <x:f>'Trade Features'!BX502</x:f>
        <x:v>23285.25</x:v>
      </x:c>
      <x:c r="D502" s="91" t="str">
        <x:f>'Trade Features'!CA502</x:f>
        <x:v>23271.15261540695</x:v>
      </x:c>
      <x:c r="E502" s="91" t="str">
        <x:f>'Trade Features'!CH502</x:f>
        <x:v>2.0</x:v>
      </x:c>
      <x:c r="F502" s="91" t="str">
        <x:f>'Trade Features'!CG502</x:f>
        <x:v>0.05142797908467771</x:v>
      </x:c>
      <x:c r="G502" s="92" t="n">
        <x:f>ABS(C502-D502)</x:f>
        <x:v>14.097384593049355</x:v>
      </x:c>
      <x:c r="H502" s="92" t="n">
        <x:f>IFERROR($O$2/(G502*$O$3),0)</x:f>
        <x:v>0.05142797908467771</x:v>
      </x:c>
      <x:c r="I502" s="92" t="n">
        <x:f>E502-H502</x:f>
        <x:v>1.9485720209153223</x:v>
      </x:c>
      <x:c r="J502" s="91" t="str">
        <x:f>'Trade Features'!CI502</x:f>
        <x:v>1.9485720209153223</x:v>
      </x:c>
      <x:c r="K502" s="92" t="n">
        <x:f>I502-J502</x:f>
        <x:v>0</x:v>
      </x:c>
      <x:c r="L502" s="90" t="str">
        <x:f>IF(ABS(K502)&lt;0.000000001,"PASS","FAIL")</x:f>
        <x:v>PASS</x:v>
      </x:c>
    </x:row>
    <x:row r="503">
      <x:c r="A503" s="84" t="str">
        <x:f>'Trade Features'!A503</x:f>
        <x:v>A0502</x:v>
      </x:c>
      <x:c r="B503" s="84" t="str">
        <x:f>'Trade Features'!F503</x:f>
        <x:v>Long</x:v>
      </x:c>
      <x:c r="C503" s="91" t="str">
        <x:f>'Trade Features'!BX503</x:f>
        <x:v>23176.25</x:v>
      </x:c>
      <x:c r="D503" s="91" t="str">
        <x:f>'Trade Features'!CA503</x:f>
        <x:v>23163.242190829616</x:v>
      </x:c>
      <x:c r="E503" s="91" t="str">
        <x:f>'Trade Features'!CH503</x:f>
        <x:v>-1.0</x:v>
      </x:c>
      <x:c r="F503" s="91" t="str">
        <x:f>'Trade Features'!CG503</x:f>
        <x:v>0.055735750002444295</x:v>
      </x:c>
      <x:c r="G503" s="92" t="n">
        <x:f>ABS(C503-D503)</x:f>
        <x:v>13.007809170383553</x:v>
      </x:c>
      <x:c r="H503" s="92" t="n">
        <x:f>IFERROR($O$2/(G503*$O$3),0)</x:f>
        <x:v>0.055735750002444295</x:v>
      </x:c>
      <x:c r="I503" s="92" t="n">
        <x:f>E503-H503</x:f>
        <x:v>-1.0557357500024442</x:v>
      </x:c>
      <x:c r="J503" s="91" t="str">
        <x:f>'Trade Features'!CI503</x:f>
        <x:v>-1.0557357500024442</x:v>
      </x:c>
      <x:c r="K503" s="92" t="n">
        <x:f>I503-J503</x:f>
        <x:v>0</x:v>
      </x:c>
      <x:c r="L503" s="90" t="str">
        <x:f>IF(ABS(K503)&lt;0.000000001,"PASS","FAIL")</x:f>
        <x:v>PASS</x:v>
      </x:c>
    </x:row>
    <x:row r="504">
      <x:c r="A504" s="84" t="str">
        <x:f>'Trade Features'!A504</x:f>
        <x:v>A0503</x:v>
      </x:c>
      <x:c r="B504" s="84" t="str">
        <x:f>'Trade Features'!F504</x:f>
        <x:v>Long</x:v>
      </x:c>
      <x:c r="C504" s="91" t="str">
        <x:f>'Trade Features'!BX504</x:f>
        <x:v>23405.5</x:v>
      </x:c>
      <x:c r="D504" s="91" t="str">
        <x:f>'Trade Features'!CA504</x:f>
        <x:v>23387.532276481077</x:v>
      </x:c>
      <x:c r="E504" s="91" t="str">
        <x:f>'Trade Features'!CH504</x:f>
        <x:v>-1.0</x:v>
      </x:c>
      <x:c r="F504" s="91" t="str">
        <x:f>'Trade Features'!CG504</x:f>
        <x:v>0.04035013112465026</x:v>
      </x:c>
      <x:c r="G504" s="92" t="n">
        <x:f>ABS(C504-D504)</x:f>
        <x:v>17.967723518922867</x:v>
      </x:c>
      <x:c r="H504" s="92" t="n">
        <x:f>IFERROR($O$2/(G504*$O$3),0)</x:f>
        <x:v>0.04035013112465026</x:v>
      </x:c>
      <x:c r="I504" s="92" t="n">
        <x:f>E504-H504</x:f>
        <x:v>-1.0403501311246504</x:v>
      </x:c>
      <x:c r="J504" s="91" t="str">
        <x:f>'Trade Features'!CI504</x:f>
        <x:v>-1.0403501311246504</x:v>
      </x:c>
      <x:c r="K504" s="92" t="n">
        <x:f>I504-J504</x:f>
        <x:v>0</x:v>
      </x:c>
      <x:c r="L504" s="90" t="str">
        <x:f>IF(ABS(K504)&lt;0.000000001,"PASS","FAIL")</x:f>
        <x:v>PASS</x:v>
      </x:c>
    </x:row>
    <x:row r="505">
      <x:c r="A505" s="84" t="str">
        <x:f>'Trade Features'!A505</x:f>
        <x:v>A0504</x:v>
      </x:c>
      <x:c r="B505" s="84" t="str">
        <x:f>'Trade Features'!F505</x:f>
        <x:v>Long</x:v>
      </x:c>
      <x:c r="C505" s="91" t="str">
        <x:f>'Trade Features'!BX505</x:f>
        <x:v>22903.25</x:v>
      </x:c>
      <x:c r="D505" s="91" t="str">
        <x:f>'Trade Features'!CA505</x:f>
        <x:v>22862.9321925904</x:v>
      </x:c>
      <x:c r="E505" s="91" t="str">
        <x:f>'Trade Features'!CH505</x:f>
        <x:v>-1.0</x:v>
      </x:c>
      <x:c r="F505" s="91" t="str">
        <x:f>'Trade Features'!CG505</x:f>
        <x:v>0.017982128656812348</x:v>
      </x:c>
      <x:c r="G505" s="92" t="n">
        <x:f>ABS(C505-D505)</x:f>
        <x:v>40.31780740959948</x:v>
      </x:c>
      <x:c r="H505" s="92" t="n">
        <x:f>IFERROR($O$2/(G505*$O$3),0)</x:f>
        <x:v>0.017982128656812348</x:v>
      </x:c>
      <x:c r="I505" s="92" t="n">
        <x:f>E505-H505</x:f>
        <x:v>-1.0179821286568123</x:v>
      </x:c>
      <x:c r="J505" s="91" t="str">
        <x:f>'Trade Features'!CI505</x:f>
        <x:v>-1.0179821286568123</x:v>
      </x:c>
      <x:c r="K505" s="92" t="n">
        <x:f>I505-J505</x:f>
        <x:v>0</x:v>
      </x:c>
      <x:c r="L505" s="90" t="str">
        <x:f>IF(ABS(K505)&lt;0.000000001,"PASS","FAIL")</x:f>
        <x:v>PASS</x:v>
      </x:c>
    </x:row>
    <x:row r="506">
      <x:c r="A506" s="84" t="str">
        <x:f>'Trade Features'!A506</x:f>
        <x:v>A0505</x:v>
      </x:c>
      <x:c r="B506" s="84" t="str">
        <x:f>'Trade Features'!F506</x:f>
        <x:v>Long</x:v>
      </x:c>
      <x:c r="C506" s="91" t="str">
        <x:f>'Trade Features'!BX506</x:f>
        <x:v>22872.5</x:v>
      </x:c>
      <x:c r="D506" s="91" t="str">
        <x:f>'Trade Features'!CA506</x:f>
        <x:v>22809.837601033465</x:v>
      </x:c>
      <x:c r="E506" s="91" t="str">
        <x:f>'Trade Features'!CH506</x:f>
        <x:v>2.0</x:v>
      </x:c>
      <x:c r="F506" s="91" t="str">
        <x:f>'Trade Features'!CG506</x:f>
        <x:v>0.01156993686735786</x:v>
      </x:c>
      <x:c r="G506" s="92" t="n">
        <x:f>ABS(C506-D506)</x:f>
        <x:v>62.662398966534965</x:v>
      </x:c>
      <x:c r="H506" s="92" t="n">
        <x:f>IFERROR($O$2/(G506*$O$3),0)</x:f>
        <x:v>0.01156993686735786</x:v>
      </x:c>
      <x:c r="I506" s="92" t="n">
        <x:f>E506-H506</x:f>
        <x:v>1.9884300631326421</x:v>
      </x:c>
      <x:c r="J506" s="91" t="str">
        <x:f>'Trade Features'!CI506</x:f>
        <x:v>1.9884300631326421</x:v>
      </x:c>
      <x:c r="K506" s="92" t="n">
        <x:f>I506-J506</x:f>
        <x:v>0</x:v>
      </x:c>
      <x:c r="L506" s="90" t="str">
        <x:f>IF(ABS(K506)&lt;0.000000001,"PASS","FAIL")</x:f>
        <x:v>PASS</x:v>
      </x:c>
    </x:row>
    <x:row r="507">
      <x:c r="A507" s="84" t="str">
        <x:f>'Trade Features'!A507</x:f>
        <x:v>A0506</x:v>
      </x:c>
      <x:c r="B507" s="84" t="str">
        <x:f>'Trade Features'!F507</x:f>
        <x:v>Long</x:v>
      </x:c>
      <x:c r="C507" s="91" t="str">
        <x:f>'Trade Features'!BX507</x:f>
        <x:v>23114.5</x:v>
      </x:c>
      <x:c r="D507" s="91" t="str">
        <x:f>'Trade Features'!CA507</x:f>
        <x:v>23083.876251950907</x:v>
      </x:c>
      <x:c r="E507" s="91" t="str">
        <x:f>'Trade Features'!CH507</x:f>
        <x:v>-0.12245398551439401</x:v>
      </x:c>
      <x:c r="F507" s="91" t="str">
        <x:f>'Trade Features'!CG507</x:f>
        <x:v>0.02367443719944921</x:v>
      </x:c>
      <x:c r="G507" s="92" t="n">
        <x:f>ABS(C507-D507)</x:f>
        <x:v>30.623748049092683</x:v>
      </x:c>
      <x:c r="H507" s="92" t="n">
        <x:f>IFERROR($O$2/(G507*$O$3),0)</x:f>
        <x:v>0.02367443719944921</x:v>
      </x:c>
      <x:c r="I507" s="92" t="n">
        <x:f>E507-H507</x:f>
        <x:v>-0.14612842271384321</x:v>
      </x:c>
      <x:c r="J507" s="91" t="str">
        <x:f>'Trade Features'!CI507</x:f>
        <x:v>-0.14612842271384321</x:v>
      </x:c>
      <x:c r="K507" s="92" t="n">
        <x:f>I507-J507</x:f>
        <x:v>0</x:v>
      </x:c>
      <x:c r="L507" s="90" t="str">
        <x:f>IF(ABS(K507)&lt;0.000000001,"PASS","FAIL")</x:f>
        <x:v>PASS</x:v>
      </x:c>
    </x:row>
    <x:row r="508">
      <x:c r="A508" s="84" t="str">
        <x:f>'Trade Features'!A508</x:f>
        <x:v>A0507</x:v>
      </x:c>
      <x:c r="B508" s="84" t="str">
        <x:f>'Trade Features'!F508</x:f>
        <x:v>Short</x:v>
      </x:c>
      <x:c r="C508" s="91" t="str">
        <x:f>'Trade Features'!BX508</x:f>
        <x:v>23118.75</x:v>
      </x:c>
      <x:c r="D508" s="91" t="str">
        <x:f>'Trade Features'!CA508</x:f>
        <x:v>23144.118692493204</x:v>
      </x:c>
      <x:c r="E508" s="91" t="str">
        <x:f>'Trade Features'!CH508</x:f>
        <x:v>-1.0</x:v>
      </x:c>
      <x:c r="F508" s="91" t="str">
        <x:f>'Trade Features'!CG508</x:f>
        <x:v>0.02857853238570365</x:v>
      </x:c>
      <x:c r="G508" s="92" t="n">
        <x:f>ABS(C508-D508)</x:f>
        <x:v>25.368692493204435</x:v>
      </x:c>
      <x:c r="H508" s="92" t="n">
        <x:f>IFERROR($O$2/(G508*$O$3),0)</x:f>
        <x:v>0.02857853238570365</x:v>
      </x:c>
      <x:c r="I508" s="92" t="n">
        <x:f>E508-H508</x:f>
        <x:v>-1.0285785323857037</x:v>
      </x:c>
      <x:c r="J508" s="91" t="str">
        <x:f>'Trade Features'!CI508</x:f>
        <x:v>-1.0285785323857037</x:v>
      </x:c>
      <x:c r="K508" s="92" t="n">
        <x:f>I508-J508</x:f>
        <x:v>0</x:v>
      </x:c>
      <x:c r="L508" s="90" t="str">
        <x:f>IF(ABS(K508)&lt;0.000000001,"PASS","FAIL")</x:f>
        <x:v>PASS</x:v>
      </x:c>
    </x:row>
    <x:row r="509">
      <x:c r="A509" s="84" t="str">
        <x:f>'Trade Features'!A509</x:f>
        <x:v>A0508</x:v>
      </x:c>
      <x:c r="B509" s="84" t="str">
        <x:f>'Trade Features'!F509</x:f>
        <x:v>Short</x:v>
      </x:c>
      <x:c r="C509" s="91" t="str">
        <x:f>'Trade Features'!BX509</x:f>
        <x:v>23343.0</x:v>
      </x:c>
      <x:c r="D509" s="91" t="str">
        <x:f>'Trade Features'!CA509</x:f>
        <x:v>23360.974734973137</x:v>
      </x:c>
      <x:c r="E509" s="91" t="str">
        <x:f>'Trade Features'!CH509</x:f>
        <x:v>0.3198934509239625</x:v>
      </x:c>
      <x:c r="F509" s="91" t="str">
        <x:f>'Trade Features'!CG509</x:f>
        <x:v>0.04033439163823583</x:v>
      </x:c>
      <x:c r="G509" s="92" t="n">
        <x:f>ABS(C509-D509)</x:f>
        <x:v>17.974734973136947</x:v>
      </x:c>
      <x:c r="H509" s="92" t="n">
        <x:f>IFERROR($O$2/(G509*$O$3),0)</x:f>
        <x:v>0.04033439163823583</x:v>
      </x:c>
      <x:c r="I509" s="92" t="n">
        <x:f>E509-H509</x:f>
        <x:v>0.27955905928572666</x:v>
      </x:c>
      <x:c r="J509" s="91" t="str">
        <x:f>'Trade Features'!CI509</x:f>
        <x:v>0.27955905928572666</x:v>
      </x:c>
      <x:c r="K509" s="92" t="n">
        <x:f>I509-J509</x:f>
        <x:v>0</x:v>
      </x:c>
      <x:c r="L509" s="90" t="str">
        <x:f>IF(ABS(K509)&lt;0.000000001,"PASS","FAIL")</x:f>
        <x:v>PASS</x:v>
      </x:c>
    </x:row>
    <x:row r="510">
      <x:c r="A510" s="84" t="str">
        <x:f>'Trade Features'!A510</x:f>
        <x:v>A0509</x:v>
      </x:c>
      <x:c r="B510" s="84" t="str">
        <x:f>'Trade Features'!F510</x:f>
        <x:v>Long</x:v>
      </x:c>
      <x:c r="C510" s="91" t="str">
        <x:f>'Trade Features'!BX510</x:f>
        <x:v>23395.25</x:v>
      </x:c>
      <x:c r="D510" s="91" t="str">
        <x:f>'Trade Features'!CA510</x:f>
        <x:v>23383.756655716898</x:v>
      </x:c>
      <x:c r="E510" s="91" t="str">
        <x:f>'Trade Features'!CH510</x:f>
        <x:v>-1.0</x:v>
      </x:c>
      <x:c r="F510" s="91" t="str">
        <x:f>'Trade Features'!CG510</x:f>
        <x:v>0.06307998630702248</x:v>
      </x:c>
      <x:c r="G510" s="92" t="n">
        <x:f>ABS(C510-D510)</x:f>
        <x:v>11.493344283102488</x:v>
      </x:c>
      <x:c r="H510" s="92" t="n">
        <x:f>IFERROR($O$2/(G510*$O$3),0)</x:f>
        <x:v>0.06307998630702248</x:v>
      </x:c>
      <x:c r="I510" s="92" t="n">
        <x:f>E510-H510</x:f>
        <x:v>-1.0630799863070224</x:v>
      </x:c>
      <x:c r="J510" s="91" t="str">
        <x:f>'Trade Features'!CI510</x:f>
        <x:v>-1.0630799863070224</x:v>
      </x:c>
      <x:c r="K510" s="92" t="n">
        <x:f>I510-J510</x:f>
        <x:v>0</x:v>
      </x:c>
      <x:c r="L510" s="90" t="str">
        <x:f>IF(ABS(K510)&lt;0.000000001,"PASS","FAIL")</x:f>
        <x:v>PASS</x:v>
      </x:c>
    </x:row>
    <x:row r="511">
      <x:c r="A511" s="84" t="str">
        <x:f>'Trade Features'!A511</x:f>
        <x:v>A0510</x:v>
      </x:c>
      <x:c r="B511" s="84" t="str">
        <x:f>'Trade Features'!F511</x:f>
        <x:v>Long</x:v>
      </x:c>
      <x:c r="C511" s="91" t="str">
        <x:f>'Trade Features'!BX511</x:f>
        <x:v>23629.5</x:v>
      </x:c>
      <x:c r="D511" s="91" t="str">
        <x:f>'Trade Features'!CA511</x:f>
        <x:v>23599.49231772326</x:v>
      </x:c>
      <x:c r="E511" s="91" t="str">
        <x:f>'Trade Features'!CH511</x:f>
        <x:v>-0.21661119776113372</x:v>
      </x:c>
      <x:c r="F511" s="91" t="str">
        <x:f>'Trade Features'!CG511</x:f>
        <x:v>0.02416047975027915</x:v>
      </x:c>
      <x:c r="G511" s="92" t="n">
        <x:f>ABS(C511-D511)</x:f>
        <x:v>30.007682276740525</x:v>
      </x:c>
      <x:c r="H511" s="92" t="n">
        <x:f>IFERROR($O$2/(G511*$O$3),0)</x:f>
        <x:v>0.02416047975027915</x:v>
      </x:c>
      <x:c r="I511" s="92" t="n">
        <x:f>E511-H511</x:f>
        <x:v>-0.24077167751141287</x:v>
      </x:c>
      <x:c r="J511" s="91" t="str">
        <x:f>'Trade Features'!CI511</x:f>
        <x:v>-0.24077167751141287</x:v>
      </x:c>
      <x:c r="K511" s="92" t="n">
        <x:f>I511-J511</x:f>
        <x:v>0</x:v>
      </x:c>
      <x:c r="L511" s="90" t="str">
        <x:f>IF(ABS(K511)&lt;0.000000001,"PASS","FAIL")</x:f>
        <x:v>PASS</x:v>
      </x:c>
    </x:row>
    <x:row r="512">
      <x:c r="A512" s="84" t="str">
        <x:f>'Trade Features'!A512</x:f>
        <x:v>A0511</x:v>
      </x:c>
      <x:c r="B512" s="84" t="str">
        <x:f>'Trade Features'!F512</x:f>
        <x:v>Long</x:v>
      </x:c>
      <x:c r="C512" s="91" t="str">
        <x:f>'Trade Features'!BX512</x:f>
        <x:v>23944.0</x:v>
      </x:c>
      <x:c r="D512" s="91" t="str">
        <x:f>'Trade Features'!CA512</x:f>
        <x:v>23914.782172416166</x:v>
      </x:c>
      <x:c r="E512" s="91" t="str">
        <x:f>'Trade Features'!CH512</x:f>
        <x:v>-1.0</x:v>
      </x:c>
      <x:c r="F512" s="91" t="str">
        <x:f>'Trade Features'!CG512</x:f>
        <x:v>0.024813617573714933</x:v>
      </x:c>
      <x:c r="G512" s="92" t="n">
        <x:f>ABS(C512-D512)</x:f>
        <x:v>29.21782758383415</x:v>
      </x:c>
      <x:c r="H512" s="92" t="n">
        <x:f>IFERROR($O$2/(G512*$O$3),0)</x:f>
        <x:v>0.024813617573714933</x:v>
      </x:c>
      <x:c r="I512" s="92" t="n">
        <x:f>E512-H512</x:f>
        <x:v>-1.024813617573715</x:v>
      </x:c>
      <x:c r="J512" s="91" t="str">
        <x:f>'Trade Features'!CI512</x:f>
        <x:v>-1.024813617573715</x:v>
      </x:c>
      <x:c r="K512" s="92" t="n">
        <x:f>I512-J512</x:f>
        <x:v>0</x:v>
      </x:c>
      <x:c r="L512" s="90" t="str">
        <x:f>IF(ABS(K512)&lt;0.000000001,"PASS","FAIL")</x:f>
        <x:v>PASS</x:v>
      </x:c>
    </x:row>
    <x:row r="513">
      <x:c r="A513" s="84" t="str">
        <x:f>'Trade Features'!A513</x:f>
        <x:v>A0512</x:v>
      </x:c>
      <x:c r="B513" s="84" t="str">
        <x:f>'Trade Features'!F513</x:f>
        <x:v>Long</x:v>
      </x:c>
      <x:c r="C513" s="91" t="str">
        <x:f>'Trade Features'!BX513</x:f>
        <x:v>23991.0</x:v>
      </x:c>
      <x:c r="D513" s="91" t="str">
        <x:f>'Trade Features'!CA513</x:f>
        <x:v>23972.304743903584</x:v>
      </x:c>
      <x:c r="E513" s="91" t="str">
        <x:f>'Trade Features'!CH513</x:f>
        <x:v>-1.0</x:v>
      </x:c>
      <x:c r="F513" s="91" t="str">
        <x:f>'Trade Features'!CG513</x:f>
        <x:v>0.038779891340401114</x:v>
      </x:c>
      <x:c r="G513" s="92" t="n">
        <x:f>ABS(C513-D513)</x:f>
        <x:v>18.695256096416415</x:v>
      </x:c>
      <x:c r="H513" s="92" t="n">
        <x:f>IFERROR($O$2/(G513*$O$3),0)</x:f>
        <x:v>0.038779891340401114</x:v>
      </x:c>
      <x:c r="I513" s="92" t="n">
        <x:f>E513-H513</x:f>
        <x:v>-1.0387798913404012</x:v>
      </x:c>
      <x:c r="J513" s="91" t="str">
        <x:f>'Trade Features'!CI513</x:f>
        <x:v>-1.0387798913404012</x:v>
      </x:c>
      <x:c r="K513" s="92" t="n">
        <x:f>I513-J513</x:f>
        <x:v>0</x:v>
      </x:c>
      <x:c r="L513" s="90" t="str">
        <x:f>IF(ABS(K513)&lt;0.000000001,"PASS","FAIL")</x:f>
        <x:v>PASS</x:v>
      </x:c>
    </x:row>
    <x:row r="514">
      <x:c r="A514" s="84" t="str">
        <x:f>'Trade Features'!A514</x:f>
        <x:v>A0513</x:v>
      </x:c>
      <x:c r="B514" s="84" t="str">
        <x:f>'Trade Features'!F514</x:f>
        <x:v>Short</x:v>
      </x:c>
      <x:c r="C514" s="91" t="str">
        <x:f>'Trade Features'!BX514</x:f>
        <x:v>24262.0</x:v>
      </x:c>
      <x:c r="D514" s="91" t="str">
        <x:f>'Trade Features'!CA514</x:f>
        <x:v>24336.13798856445</x:v>
      </x:c>
      <x:c r="E514" s="91" t="str">
        <x:f>'Trade Features'!CH514</x:f>
        <x:v>-1.0</x:v>
      </x:c>
      <x:c r="F514" s="91" t="str">
        <x:f>'Trade Features'!CG514</x:f>
        <x:v>0.00977906217903049</x:v>
      </x:c>
      <x:c r="G514" s="92" t="n">
        <x:f>ABS(C514-D514)</x:f>
        <x:v>74.13798856444919</x:v>
      </x:c>
      <x:c r="H514" s="92" t="n">
        <x:f>IFERROR($O$2/(G514*$O$3),0)</x:f>
        <x:v>0.00977906217903049</x:v>
      </x:c>
      <x:c r="I514" s="92" t="n">
        <x:f>E514-H514</x:f>
        <x:v>-1.0097790621790306</x:v>
      </x:c>
      <x:c r="J514" s="91" t="str">
        <x:f>'Trade Features'!CI514</x:f>
        <x:v>-1.0097790621790306</x:v>
      </x:c>
      <x:c r="K514" s="92" t="n">
        <x:f>I514-J514</x:f>
        <x:v>0</x:v>
      </x:c>
      <x:c r="L514" s="90" t="str">
        <x:f>IF(ABS(K514)&lt;0.000000001,"PASS","FAIL")</x:f>
        <x:v>PASS</x:v>
      </x:c>
    </x:row>
    <x:row r="515">
      <x:c r="A515" s="84" t="str">
        <x:f>'Trade Features'!A515</x:f>
        <x:v>A0514</x:v>
      </x:c>
      <x:c r="B515" s="84" t="str">
        <x:f>'Trade Features'!F515</x:f>
        <x:v>Short</x:v>
      </x:c>
      <x:c r="C515" s="91" t="str">
        <x:f>'Trade Features'!BX515</x:f>
        <x:v>23703.75</x:v>
      </x:c>
      <x:c r="D515" s="91" t="str">
        <x:f>'Trade Features'!CA515</x:f>
        <x:v>23756.874997871124</x:v>
      </x:c>
      <x:c r="E515" s="91" t="str">
        <x:f>'Trade Features'!CH515</x:f>
        <x:v>-1.0</x:v>
      </x:c>
      <x:c r="F515" s="91" t="str">
        <x:f>'Trade Features'!CG515</x:f>
        <x:v>0.013647059370407496</x:v>
      </x:c>
      <x:c r="G515" s="92" t="n">
        <x:f>ABS(C515-D515)</x:f>
        <x:v>53.124997871123924</x:v>
      </x:c>
      <x:c r="H515" s="92" t="n">
        <x:f>IFERROR($O$2/(G515*$O$3),0)</x:f>
        <x:v>0.013647059370407496</x:v>
      </x:c>
      <x:c r="I515" s="92" t="n">
        <x:f>E515-H515</x:f>
        <x:v>-1.0136470593704074</x:v>
      </x:c>
      <x:c r="J515" s="91" t="str">
        <x:f>'Trade Features'!CI515</x:f>
        <x:v>-1.0136470593704074</x:v>
      </x:c>
      <x:c r="K515" s="92" t="n">
        <x:f>I515-J515</x:f>
        <x:v>0</x:v>
      </x:c>
      <x:c r="L515" s="90" t="str">
        <x:f>IF(ABS(K515)&lt;0.000000001,"PASS","FAIL")</x:f>
        <x:v>PASS</x:v>
      </x:c>
    </x:row>
    <x:row r="516">
      <x:c r="A516" s="84" t="str">
        <x:f>'Trade Features'!A516</x:f>
        <x:v>A0515</x:v>
      </x:c>
      <x:c r="B516" s="84" t="str">
        <x:f>'Trade Features'!F516</x:f>
        <x:v>Short</x:v>
      </x:c>
      <x:c r="C516" s="91" t="str">
        <x:f>'Trade Features'!BX516</x:f>
        <x:v>23659.25</x:v>
      </x:c>
      <x:c r="D516" s="91" t="str">
        <x:f>'Trade Features'!CA516</x:f>
        <x:v>23711.485877562533</x:v>
      </x:c>
      <x:c r="E516" s="91" t="str">
        <x:f>'Trade Features'!CH516</x:f>
        <x:v>-1.0</x:v>
      </x:c>
      <x:c r="F516" s="91" t="str">
        <x:f>'Trade Features'!CG516</x:f>
        <x:v>0.013879349478375066</x:v>
      </x:c>
      <x:c r="G516" s="92" t="n">
        <x:f>ABS(C516-D516)</x:f>
        <x:v>52.23587756253255</x:v>
      </x:c>
      <x:c r="H516" s="92" t="n">
        <x:f>IFERROR($O$2/(G516*$O$3),0)</x:f>
        <x:v>0.013879349478375066</x:v>
      </x:c>
      <x:c r="I516" s="92" t="n">
        <x:f>E516-H516</x:f>
        <x:v>-1.013879349478375</x:v>
      </x:c>
      <x:c r="J516" s="91" t="str">
        <x:f>'Trade Features'!CI516</x:f>
        <x:v>-1.013879349478375</x:v>
      </x:c>
      <x:c r="K516" s="92" t="n">
        <x:f>I516-J516</x:f>
        <x:v>0</x:v>
      </x:c>
      <x:c r="L516" s="90" t="str">
        <x:f>IF(ABS(K516)&lt;0.000000001,"PASS","FAIL")</x:f>
        <x:v>PASS</x:v>
      </x:c>
    </x:row>
    <x:row r="517">
      <x:c r="A517" s="84" t="str">
        <x:f>'Trade Features'!A517</x:f>
        <x:v>A0516</x:v>
      </x:c>
      <x:c r="B517" s="84" t="str">
        <x:f>'Trade Features'!F517</x:f>
        <x:v>Short</x:v>
      </x:c>
      <x:c r="C517" s="91" t="str">
        <x:f>'Trade Features'!BX517</x:f>
        <x:v>23655.25</x:v>
      </x:c>
      <x:c r="D517" s="91" t="str">
        <x:f>'Trade Features'!CA517</x:f>
        <x:v>23705.978259694777</x:v>
      </x:c>
      <x:c r="E517" s="91" t="str">
        <x:f>'Trade Features'!CH517</x:f>
        <x:v>0.8525819781760469</x:v>
      </x:c>
      <x:c r="F517" s="91" t="str">
        <x:f>'Trade Features'!CG517</x:f>
        <x:v>0.01429183662838418</x:v>
      </x:c>
      <x:c r="G517" s="92" t="n">
        <x:f>ABS(C517-D517)</x:f>
        <x:v>50.72825969477708</x:v>
      </x:c>
      <x:c r="H517" s="92" t="n">
        <x:f>IFERROR($O$2/(G517*$O$3),0)</x:f>
        <x:v>0.01429183662838418</x:v>
      </x:c>
      <x:c r="I517" s="92" t="n">
        <x:f>E517-H517</x:f>
        <x:v>0.8382901415476627</x:v>
      </x:c>
      <x:c r="J517" s="91" t="str">
        <x:f>'Trade Features'!CI517</x:f>
        <x:v>0.8382901415476627</x:v>
      </x:c>
      <x:c r="K517" s="92" t="n">
        <x:f>I517-J517</x:f>
        <x:v>0</x:v>
      </x:c>
      <x:c r="L517" s="90" t="str">
        <x:f>IF(ABS(K517)&lt;0.000000001,"PASS","FAIL")</x:f>
        <x:v>PASS</x:v>
      </x:c>
    </x:row>
    <x:row r="518">
      <x:c r="A518" s="84" t="str">
        <x:f>'Trade Features'!A518</x:f>
        <x:v>A0517</x:v>
      </x:c>
      <x:c r="B518" s="84" t="str">
        <x:f>'Trade Features'!F518</x:f>
        <x:v>Long</x:v>
      </x:c>
      <x:c r="C518" s="91" t="str">
        <x:f>'Trade Features'!BX518</x:f>
        <x:v>23435.0</x:v>
      </x:c>
      <x:c r="D518" s="91" t="str">
        <x:f>'Trade Features'!CA518</x:f>
        <x:v>23372.09183149608</x:v>
      </x:c>
      <x:c r="E518" s="91" t="str">
        <x:f>'Trade Features'!CH518</x:f>
        <x:v>0.3497161103749007</x:v>
      </x:c>
      <x:c r="F518" s="91" t="str">
        <x:f>'Trade Features'!CG518</x:f>
        <x:v>0.011524735455536632</x:v>
      </x:c>
      <x:c r="G518" s="92" t="n">
        <x:f>ABS(C518-D518)</x:f>
        <x:v>62.908168503920024</x:v>
      </x:c>
      <x:c r="H518" s="92" t="n">
        <x:f>IFERROR($O$2/(G518*$O$3),0)</x:f>
        <x:v>0.011524735455536632</x:v>
      </x:c>
      <x:c r="I518" s="92" t="n">
        <x:f>E518-H518</x:f>
        <x:v>0.3381913749193641</x:v>
      </x:c>
      <x:c r="J518" s="91" t="str">
        <x:f>'Trade Features'!CI518</x:f>
        <x:v>0.3381913749193641</x:v>
      </x:c>
      <x:c r="K518" s="92" t="n">
        <x:f>I518-J518</x:f>
        <x:v>0</x:v>
      </x:c>
      <x:c r="L518" s="90" t="str">
        <x:f>IF(ABS(K518)&lt;0.000000001,"PASS","FAIL")</x:f>
        <x:v>PASS</x:v>
      </x:c>
    </x:row>
    <x:row r="519">
      <x:c r="A519" s="84" t="str">
        <x:f>'Trade Features'!A519</x:f>
        <x:v>A0518</x:v>
      </x:c>
      <x:c r="B519" s="84" t="str">
        <x:f>'Trade Features'!F519</x:f>
        <x:v>Short</x:v>
      </x:c>
      <x:c r="C519" s="91" t="str">
        <x:f>'Trade Features'!BX519</x:f>
        <x:v>23368.5</x:v>
      </x:c>
      <x:c r="D519" s="91" t="str">
        <x:f>'Trade Features'!CA519</x:f>
        <x:v>23396.498105076123</x:v>
      </x:c>
      <x:c r="E519" s="91" t="str">
        <x:f>'Trade Features'!CH519</x:f>
        <x:v>-1.0</x:v>
      </x:c>
      <x:c r="F519" s="91" t="str">
        <x:f>'Trade Features'!CG519</x:f>
        <x:v>0.025894609582641847</x:v>
      </x:c>
      <x:c r="G519" s="92" t="n">
        <x:f>ABS(C519-D519)</x:f>
        <x:v>27.998105076123466</x:v>
      </x:c>
      <x:c r="H519" s="92" t="n">
        <x:f>IFERROR($O$2/(G519*$O$3),0)</x:f>
        <x:v>0.025894609582641847</x:v>
      </x:c>
      <x:c r="I519" s="92" t="n">
        <x:f>E519-H519</x:f>
        <x:v>-1.0258946095826418</x:v>
      </x:c>
      <x:c r="J519" s="91" t="str">
        <x:f>'Trade Features'!CI519</x:f>
        <x:v>-1.0258946095826418</x:v>
      </x:c>
      <x:c r="K519" s="92" t="n">
        <x:f>I519-J519</x:f>
        <x:v>0</x:v>
      </x:c>
      <x:c r="L519" s="90" t="str">
        <x:f>IF(ABS(K519)&lt;0.000000001,"PASS","FAIL")</x:f>
        <x:v>PASS</x:v>
      </x:c>
    </x:row>
    <x:row r="520">
      <x:c r="A520" s="84" t="str">
        <x:f>'Trade Features'!A520</x:f>
        <x:v>A0519</x:v>
      </x:c>
      <x:c r="B520" s="84" t="str">
        <x:f>'Trade Features'!F520</x:f>
        <x:v>Short</x:v>
      </x:c>
      <x:c r="C520" s="91" t="str">
        <x:f>'Trade Features'!BX520</x:f>
        <x:v>23335.0</x:v>
      </x:c>
      <x:c r="D520" s="91" t="str">
        <x:f>'Trade Features'!CA520</x:f>
        <x:v>23365.91057660928</x:v>
      </x:c>
      <x:c r="E520" s="91" t="str">
        <x:f>'Trade Features'!CH520</x:f>
        <x:v>2.0</x:v>
      </x:c>
      <x:c r="F520" s="91" t="str">
        <x:f>'Trade Features'!CG520</x:f>
        <x:v>0.023454754958609998</x:v>
      </x:c>
      <x:c r="G520" s="92" t="n">
        <x:f>ABS(C520-D520)</x:f>
        <x:v>30.910576609279815</x:v>
      </x:c>
      <x:c r="H520" s="92" t="n">
        <x:f>IFERROR($O$2/(G520*$O$3),0)</x:f>
        <x:v>0.023454754958609998</x:v>
      </x:c>
      <x:c r="I520" s="92" t="n">
        <x:f>E520-H520</x:f>
        <x:v>1.97654524504139</x:v>
      </x:c>
      <x:c r="J520" s="91" t="str">
        <x:f>'Trade Features'!CI520</x:f>
        <x:v>1.97654524504139</x:v>
      </x:c>
      <x:c r="K520" s="92" t="n">
        <x:f>I520-J520</x:f>
        <x:v>0</x:v>
      </x:c>
      <x:c r="L520" s="90" t="str">
        <x:f>IF(ABS(K520)&lt;0.000000001,"PASS","FAIL")</x:f>
        <x:v>PASS</x:v>
      </x:c>
    </x:row>
    <x:row r="521">
      <x:c r="A521" s="84" t="str">
        <x:f>'Trade Features'!A521</x:f>
        <x:v>A0520</x:v>
      </x:c>
      <x:c r="B521" s="84" t="str">
        <x:f>'Trade Features'!F521</x:f>
        <x:v>Short</x:v>
      </x:c>
      <x:c r="C521" s="91" t="str">
        <x:f>'Trade Features'!BX521</x:f>
        <x:v>23792.25</x:v>
      </x:c>
      <x:c r="D521" s="91" t="str">
        <x:f>'Trade Features'!CA521</x:f>
        <x:v>23809.834506871986</x:v>
      </x:c>
      <x:c r="E521" s="91" t="str">
        <x:f>'Trade Features'!CH521</x:f>
        <x:v>2.0</x:v>
      </x:c>
      <x:c r="F521" s="91" t="str">
        <x:f>'Trade Features'!CG521</x:f>
        <x:v>0.04122947576966102</x:v>
      </x:c>
      <x:c r="G521" s="92" t="n">
        <x:f>ABS(C521-D521)</x:f>
        <x:v>17.584506871986378</x:v>
      </x:c>
      <x:c r="H521" s="92" t="n">
        <x:f>IFERROR($O$2/(G521*$O$3),0)</x:f>
        <x:v>0.04122947576966102</x:v>
      </x:c>
      <x:c r="I521" s="92" t="n">
        <x:f>E521-H521</x:f>
        <x:v>1.958770524230339</x:v>
      </x:c>
      <x:c r="J521" s="91" t="str">
        <x:f>'Trade Features'!CI521</x:f>
        <x:v>1.958770524230339</x:v>
      </x:c>
      <x:c r="K521" s="92" t="n">
        <x:f>I521-J521</x:f>
        <x:v>0</x:v>
      </x:c>
      <x:c r="L521" s="90" t="str">
        <x:f>IF(ABS(K521)&lt;0.000000001,"PASS","FAIL")</x:f>
        <x:v>PASS</x:v>
      </x:c>
    </x:row>
    <x:row r="522">
      <x:c r="A522" s="84" t="str">
        <x:f>'Trade Features'!A522</x:f>
        <x:v>A0521</x:v>
      </x:c>
      <x:c r="B522" s="84" t="str">
        <x:f>'Trade Features'!F522</x:f>
        <x:v>Long</x:v>
      </x:c>
      <x:c r="C522" s="91" t="str">
        <x:f>'Trade Features'!BX522</x:f>
        <x:v>23829.75</x:v>
      </x:c>
      <x:c r="D522" s="91" t="str">
        <x:f>'Trade Features'!CA522</x:f>
        <x:v>23814.049492636033</x:v>
      </x:c>
      <x:c r="E522" s="91" t="str">
        <x:f>'Trade Features'!CH522</x:f>
        <x:v>1.1305367137840094</x:v>
      </x:c>
      <x:c r="F522" s="91" t="str">
        <x:f>'Trade Features'!CG522</x:f>
        <x:v>0.046176851689768234</x:v>
      </x:c>
      <x:c r="G522" s="92" t="n">
        <x:f>ABS(C522-D522)</x:f>
        <x:v>15.700507363966608</x:v>
      </x:c>
      <x:c r="H522" s="92" t="n">
        <x:f>IFERROR($O$2/(G522*$O$3),0)</x:f>
        <x:v>0.046176851689768234</x:v>
      </x:c>
      <x:c r="I522" s="92" t="n">
        <x:f>E522-H522</x:f>
        <x:v>1.0843598620942412</x:v>
      </x:c>
      <x:c r="J522" s="91" t="str">
        <x:f>'Trade Features'!CI522</x:f>
        <x:v>1.0843598620942412</x:v>
      </x:c>
      <x:c r="K522" s="92" t="n">
        <x:f>I522-J522</x:f>
        <x:v>0</x:v>
      </x:c>
      <x:c r="L522" s="90" t="str">
        <x:f>IF(ABS(K522)&lt;0.000000001,"PASS","FAIL")</x:f>
        <x:v>PASS</x:v>
      </x:c>
    </x:row>
    <x:row r="523">
      <x:c r="A523" s="84" t="str">
        <x:f>'Trade Features'!A523</x:f>
        <x:v>A0522</x:v>
      </x:c>
      <x:c r="B523" s="84" t="str">
        <x:f>'Trade Features'!F523</x:f>
        <x:v>Long</x:v>
      </x:c>
      <x:c r="C523" s="91" t="str">
        <x:f>'Trade Features'!BX523</x:f>
        <x:v>23233.5</x:v>
      </x:c>
      <x:c r="D523" s="91" t="str">
        <x:f>'Trade Features'!CA523</x:f>
        <x:v>23165.063987188416</x:v>
      </x:c>
      <x:c r="E523" s="91" t="str">
        <x:f>'Trade Features'!CH523</x:f>
        <x:v>-1.0</x:v>
      </x:c>
      <x:c r="F523" s="91" t="str">
        <x:f>'Trade Features'!CG523</x:f>
        <x:v>0.010593837516455666</x:v>
      </x:c>
      <x:c r="G523" s="92" t="n">
        <x:f>ABS(C523-D523)</x:f>
        <x:v>68.43601281158408</x:v>
      </x:c>
      <x:c r="H523" s="92" t="n">
        <x:f>IFERROR($O$2/(G523*$O$3),0)</x:f>
        <x:v>0.010593837516455666</x:v>
      </x:c>
      <x:c r="I523" s="92" t="n">
        <x:f>E523-H523</x:f>
        <x:v>-1.0105938375164556</x:v>
      </x:c>
      <x:c r="J523" s="91" t="str">
        <x:f>'Trade Features'!CI523</x:f>
        <x:v>-1.0105938375164556</x:v>
      </x:c>
      <x:c r="K523" s="92" t="n">
        <x:f>I523-J523</x:f>
        <x:v>0</x:v>
      </x:c>
      <x:c r="L523" s="90" t="str">
        <x:f>IF(ABS(K523)&lt;0.000000001,"PASS","FAIL")</x:f>
        <x:v>PASS</x:v>
      </x:c>
    </x:row>
    <x:row r="524">
      <x:c r="A524" s="84" t="str">
        <x:f>'Trade Features'!A524</x:f>
        <x:v>A0523</x:v>
      </x:c>
      <x:c r="B524" s="84" t="str">
        <x:f>'Trade Features'!F524</x:f>
        <x:v>Short</x:v>
      </x:c>
      <x:c r="C524" s="91" t="str">
        <x:f>'Trade Features'!BX524</x:f>
        <x:v>23161.5</x:v>
      </x:c>
      <x:c r="D524" s="91" t="str">
        <x:f>'Trade Features'!CA524</x:f>
        <x:v>23189.04647691343</x:v>
      </x:c>
      <x:c r="E524" s="91" t="str">
        <x:f>'Trade Features'!CH524</x:f>
        <x:v>2.0</x:v>
      </x:c>
      <x:c r="F524" s="91" t="str">
        <x:f>'Trade Features'!CG524</x:f>
        <x:v>0.026319155160147538</x:v>
      </x:c>
      <x:c r="G524" s="92" t="n">
        <x:f>ABS(C524-D524)</x:f>
        <x:v>27.546476913430524</x:v>
      </x:c>
      <x:c r="H524" s="92" t="n">
        <x:f>IFERROR($O$2/(G524*$O$3),0)</x:f>
        <x:v>0.026319155160147538</x:v>
      </x:c>
      <x:c r="I524" s="92" t="n">
        <x:f>E524-H524</x:f>
        <x:v>1.9736808448398524</x:v>
      </x:c>
      <x:c r="J524" s="91" t="str">
        <x:f>'Trade Features'!CI524</x:f>
        <x:v>1.9736808448398524</x:v>
      </x:c>
      <x:c r="K524" s="92" t="n">
        <x:f>I524-J524</x:f>
        <x:v>0</x:v>
      </x:c>
      <x:c r="L524" s="90" t="str">
        <x:f>IF(ABS(K524)&lt;0.000000001,"PASS","FAIL")</x:f>
        <x:v>PASS</x:v>
      </x:c>
    </x:row>
    <x:row r="525">
      <x:c r="A525" s="84" t="str">
        <x:f>'Trade Features'!A525</x:f>
        <x:v>A0524</x:v>
      </x:c>
      <x:c r="B525" s="84" t="str">
        <x:f>'Trade Features'!F525</x:f>
        <x:v>Long</x:v>
      </x:c>
      <x:c r="C525" s="91" t="str">
        <x:f>'Trade Features'!BX525</x:f>
        <x:v>23163.5</x:v>
      </x:c>
      <x:c r="D525" s="91" t="str">
        <x:f>'Trade Features'!CA525</x:f>
        <x:v>23127.067040410377</x:v>
      </x:c>
      <x:c r="E525" s="91" t="str">
        <x:f>'Trade Features'!CH525</x:f>
        <x:v>-1.0</x:v>
      </x:c>
      <x:c r="F525" s="91" t="str">
        <x:f>'Trade Features'!CG525</x:f>
        <x:v>0.01989956369634299</x:v>
      </x:c>
      <x:c r="G525" s="92" t="n">
        <x:f>ABS(C525-D525)</x:f>
        <x:v>36.43295958962335</x:v>
      </x:c>
      <x:c r="H525" s="92" t="n">
        <x:f>IFERROR($O$2/(G525*$O$3),0)</x:f>
        <x:v>0.01989956369634299</x:v>
      </x:c>
      <x:c r="I525" s="92" t="n">
        <x:f>E525-H525</x:f>
        <x:v>-1.019899563696343</x:v>
      </x:c>
      <x:c r="J525" s="91" t="str">
        <x:f>'Trade Features'!CI525</x:f>
        <x:v>-1.019899563696343</x:v>
      </x:c>
      <x:c r="K525" s="92" t="n">
        <x:f>I525-J525</x:f>
        <x:v>0</x:v>
      </x:c>
      <x:c r="L525" s="90" t="str">
        <x:f>IF(ABS(K525)&lt;0.000000001,"PASS","FAIL")</x:f>
        <x:v>PASS</x:v>
      </x:c>
    </x:row>
    <x:row r="526">
      <x:c r="A526" s="84" t="str">
        <x:f>'Trade Features'!A526</x:f>
        <x:v>A0525</x:v>
      </x:c>
      <x:c r="B526" s="84" t="str">
        <x:f>'Trade Features'!F526</x:f>
        <x:v>Short</x:v>
      </x:c>
      <x:c r="C526" s="91" t="str">
        <x:f>'Trade Features'!BX526</x:f>
        <x:v>22895.25</x:v>
      </x:c>
      <x:c r="D526" s="91" t="str">
        <x:f>'Trade Features'!CA526</x:f>
        <x:v>22935.41994553588</x:v>
      </x:c>
      <x:c r="E526" s="91" t="str">
        <x:f>'Trade Features'!CH526</x:f>
        <x:v>2.0</x:v>
      </x:c>
      <x:c r="F526" s="91" t="str">
        <x:f>'Trade Features'!CG526</x:f>
        <x:v>0.018048319217969504</x:v>
      </x:c>
      <x:c r="G526" s="92" t="n">
        <x:f>ABS(C526-D526)</x:f>
        <x:v>40.16994553587938</x:v>
      </x:c>
      <x:c r="H526" s="92" t="n">
        <x:f>IFERROR($O$2/(G526*$O$3),0)</x:f>
        <x:v>0.018048319217969504</x:v>
      </x:c>
      <x:c r="I526" s="92" t="n">
        <x:f>E526-H526</x:f>
        <x:v>1.9819516807820305</x:v>
      </x:c>
      <x:c r="J526" s="91" t="str">
        <x:f>'Trade Features'!CI526</x:f>
        <x:v>1.9819516807820305</x:v>
      </x:c>
      <x:c r="K526" s="92" t="n">
        <x:f>I526-J526</x:f>
        <x:v>0</x:v>
      </x:c>
      <x:c r="L526" s="90" t="str">
        <x:f>IF(ABS(K526)&lt;0.000000001,"PASS","FAIL")</x:f>
        <x:v>PASS</x:v>
      </x:c>
    </x:row>
    <x:row r="527">
      <x:c r="A527" s="84" t="str">
        <x:f>'Trade Features'!A527</x:f>
        <x:v>A0526</x:v>
      </x:c>
      <x:c r="B527" s="84" t="str">
        <x:f>'Trade Features'!F527</x:f>
        <x:v>Short</x:v>
      </x:c>
      <x:c r="C527" s="91" t="str">
        <x:f>'Trade Features'!BX527</x:f>
        <x:v>22653.25</x:v>
      </x:c>
      <x:c r="D527" s="91" t="str">
        <x:f>'Trade Features'!CA527</x:f>
        <x:v>22737.89945699041</x:v>
      </x:c>
      <x:c r="E527" s="91" t="str">
        <x:f>'Trade Features'!CH527</x:f>
        <x:v>0.977560907559918</x:v>
      </x:c>
      <x:c r="F527" s="91" t="str">
        <x:f>'Trade Features'!CG527</x:f>
        <x:v>0.008564733026960083</x:v>
      </x:c>
      <x:c r="G527" s="92" t="n">
        <x:f>ABS(C527-D527)</x:f>
        <x:v>84.64945699040982</x:v>
      </x:c>
      <x:c r="H527" s="92" t="n">
        <x:f>IFERROR($O$2/(G527*$O$3),0)</x:f>
        <x:v>0.008564733026960083</x:v>
      </x:c>
      <x:c r="I527" s="92" t="n">
        <x:f>E527-H527</x:f>
        <x:v>0.9689961745329579</x:v>
      </x:c>
      <x:c r="J527" s="91" t="str">
        <x:f>'Trade Features'!CI527</x:f>
        <x:v>0.9689961745329579</x:v>
      </x:c>
      <x:c r="K527" s="92" t="n">
        <x:f>I527-J527</x:f>
        <x:v>0</x:v>
      </x:c>
      <x:c r="L527" s="90" t="str">
        <x:f>IF(ABS(K527)&lt;0.000000001,"PASS","FAIL")</x:f>
        <x:v>PASS</x:v>
      </x:c>
    </x:row>
    <x:row r="528">
      <x:c r="A528" s="84" t="str">
        <x:f>'Trade Features'!A528</x:f>
        <x:v>A0527</x:v>
      </x:c>
      <x:c r="B528" s="84" t="str">
        <x:f>'Trade Features'!F528</x:f>
        <x:v>Long</x:v>
      </x:c>
      <x:c r="C528" s="91" t="str">
        <x:f>'Trade Features'!BX528</x:f>
        <x:v>22731.25</x:v>
      </x:c>
      <x:c r="D528" s="91" t="str">
        <x:f>'Trade Features'!CA528</x:f>
        <x:v>22625.260336549123</x:v>
      </x:c>
      <x:c r="E528" s="91" t="str">
        <x:f>'Trade Features'!CH528</x:f>
        <x:v>-1.0</x:v>
      </x:c>
      <x:c r="F528" s="91" t="str">
        <x:f>'Trade Features'!CG528</x:f>
        <x:v>0.006840289669718752</x:v>
      </x:c>
      <x:c r="G528" s="92" t="n">
        <x:f>ABS(C528-D528)</x:f>
        <x:v>105.98966345087683</x:v>
      </x:c>
      <x:c r="H528" s="92" t="n">
        <x:f>IFERROR($O$2/(G528*$O$3),0)</x:f>
        <x:v>0.006840289669718752</x:v>
      </x:c>
      <x:c r="I528" s="92" t="n">
        <x:f>E528-H528</x:f>
        <x:v>-1.0068402896697188</x:v>
      </x:c>
      <x:c r="J528" s="91" t="str">
        <x:f>'Trade Features'!CI528</x:f>
        <x:v>-1.0068402896697188</x:v>
      </x:c>
      <x:c r="K528" s="92" t="n">
        <x:f>I528-J528</x:f>
        <x:v>0</x:v>
      </x:c>
      <x:c r="L528" s="90" t="str">
        <x:f>IF(ABS(K528)&lt;0.000000001,"PASS","FAIL")</x:f>
        <x:v>PASS</x:v>
      </x:c>
    </x:row>
    <x:row r="529">
      <x:c r="A529" s="84" t="str">
        <x:f>'Trade Features'!A529</x:f>
        <x:v>A0528</x:v>
      </x:c>
      <x:c r="B529" s="84" t="str">
        <x:f>'Trade Features'!F529</x:f>
        <x:v>Long</x:v>
      </x:c>
      <x:c r="C529" s="91" t="str">
        <x:f>'Trade Features'!BX529</x:f>
        <x:v>22818.25</x:v>
      </x:c>
      <x:c r="D529" s="91" t="str">
        <x:f>'Trade Features'!CA529</x:f>
        <x:v>22713.32360477391</x:v>
      </x:c>
      <x:c r="E529" s="91" t="str">
        <x:f>'Trade Features'!CH529</x:f>
        <x:v>0.3478628987620422</x:v>
      </x:c>
      <x:c r="F529" s="91" t="str">
        <x:f>'Trade Features'!CG529</x:f>
        <x:v>0.006909605523355639</x:v>
      </x:c>
      <x:c r="G529" s="92" t="n">
        <x:f>ABS(C529-D529)</x:f>
        <x:v>104.9263952260917</x:v>
      </x:c>
      <x:c r="H529" s="92" t="n">
        <x:f>IFERROR($O$2/(G529*$O$3),0)</x:f>
        <x:v>0.006909605523355639</x:v>
      </x:c>
      <x:c r="I529" s="92" t="n">
        <x:f>E529-H529</x:f>
        <x:v>0.34095329323868656</x:v>
      </x:c>
      <x:c r="J529" s="91" t="str">
        <x:f>'Trade Features'!CI529</x:f>
        <x:v>0.34095329323868656</x:v>
      </x:c>
      <x:c r="K529" s="92" t="n">
        <x:f>I529-J529</x:f>
        <x:v>0</x:v>
      </x:c>
      <x:c r="L529" s="90" t="str">
        <x:f>IF(ABS(K529)&lt;0.000000001,"PASS","FAIL")</x:f>
        <x:v>PASS</x:v>
      </x:c>
    </x:row>
    <x:row r="530">
      <x:c r="A530" s="84" t="str">
        <x:f>'Trade Features'!A530</x:f>
        <x:v>A0529</x:v>
      </x:c>
      <x:c r="B530" s="84" t="str">
        <x:f>'Trade Features'!F530</x:f>
        <x:v>Long</x:v>
      </x:c>
      <x:c r="C530" s="91" t="str">
        <x:f>'Trade Features'!BX530</x:f>
        <x:v>22753.75</x:v>
      </x:c>
      <x:c r="D530" s="91" t="str">
        <x:f>'Trade Features'!CA530</x:f>
        <x:v>22718.593388261717</x:v>
      </x:c>
      <x:c r="E530" s="91" t="str">
        <x:f>'Trade Features'!CH530</x:f>
        <x:v>0.67554860453571</x:v>
      </x:c>
      <x:c r="F530" s="91" t="str">
        <x:f>'Trade Features'!CG530</x:f>
        <x:v>0.020622010033194825</x:v>
      </x:c>
      <x:c r="G530" s="92" t="n">
        <x:f>ABS(C530-D530)</x:f>
        <x:v>35.15661173828266</x:v>
      </x:c>
      <x:c r="H530" s="92" t="n">
        <x:f>IFERROR($O$2/(G530*$O$3),0)</x:f>
        <x:v>0.020622010033194825</x:v>
      </x:c>
      <x:c r="I530" s="92" t="n">
        <x:f>E530-H530</x:f>
        <x:v>0.6549265945025151</x:v>
      </x:c>
      <x:c r="J530" s="91" t="str">
        <x:f>'Trade Features'!CI530</x:f>
        <x:v>0.6549265945025151</x:v>
      </x:c>
      <x:c r="K530" s="92" t="n">
        <x:f>I530-J530</x:f>
        <x:v>0</x:v>
      </x:c>
      <x:c r="L530" s="90" t="str">
        <x:f>IF(ABS(K530)&lt;0.000000001,"PASS","FAIL")</x:f>
        <x:v>PASS</x:v>
      </x:c>
    </x:row>
    <x:row r="531">
      <x:c r="A531" s="84" t="str">
        <x:f>'Trade Features'!A531</x:f>
        <x:v>A0530</x:v>
      </x:c>
      <x:c r="B531" s="84" t="str">
        <x:f>'Trade Features'!F531</x:f>
        <x:v>Short</x:v>
      </x:c>
      <x:c r="C531" s="91" t="str">
        <x:f>'Trade Features'!BX531</x:f>
        <x:v>22177.25</x:v>
      </x:c>
      <x:c r="D531" s="91" t="str">
        <x:f>'Trade Features'!CA531</x:f>
        <x:v>22288.44119147584</x:v>
      </x:c>
      <x:c r="E531" s="91" t="str">
        <x:f>'Trade Features'!CH531</x:f>
        <x:v>0.004496759081034313</x:v>
      </x:c>
      <x:c r="F531" s="91" t="str">
        <x:f>'Trade Features'!CG531</x:f>
        <x:v>0.006520300667499734</x:v>
      </x:c>
      <x:c r="G531" s="92" t="n">
        <x:f>ABS(C531-D531)</x:f>
        <x:v>111.19119147583842</x:v>
      </x:c>
      <x:c r="H531" s="92" t="n">
        <x:f>IFERROR($O$2/(G531*$O$3),0)</x:f>
        <x:v>0.006520300667499734</x:v>
      </x:c>
      <x:c r="I531" s="92" t="n">
        <x:f>E531-H531</x:f>
        <x:v>-0.0020235415864654207</x:v>
      </x:c>
      <x:c r="J531" s="91" t="str">
        <x:f>'Trade Features'!CI531</x:f>
        <x:v>-0.0020235415864654207</x:v>
      </x:c>
      <x:c r="K531" s="92" t="n">
        <x:f>I531-J531</x:f>
        <x:v>0</x:v>
      </x:c>
      <x:c r="L531" s="90" t="str">
        <x:f>IF(ABS(K531)&lt;0.000000001,"PASS","FAIL")</x:f>
        <x:v>PASS</x:v>
      </x:c>
    </x:row>
    <x:row r="532">
      <x:c r="A532" s="84" t="str">
        <x:f>'Trade Features'!A532</x:f>
        <x:v>A0531</x:v>
      </x:c>
      <x:c r="B532" s="84" t="str">
        <x:f>'Trade Features'!F532</x:f>
        <x:v>Long</x:v>
      </x:c>
      <x:c r="C532" s="91" t="str">
        <x:f>'Trade Features'!BX532</x:f>
        <x:v>22464.0</x:v>
      </x:c>
      <x:c r="D532" s="91" t="str">
        <x:f>'Trade Features'!CA532</x:f>
        <x:v>22351.64913141579</x:v>
      </x:c>
      <x:c r="E532" s="91" t="str">
        <x:f>'Trade Features'!CH532</x:f>
        <x:v>-1.0</x:v>
      </x:c>
      <x:c r="F532" s="91" t="str">
        <x:f>'Trade Features'!CG532</x:f>
        <x:v>0.006452998620625653</x:v>
      </x:c>
      <x:c r="G532" s="92" t="n">
        <x:f>ABS(C532-D532)</x:f>
        <x:v>112.35086858420982</x:v>
      </x:c>
      <x:c r="H532" s="92" t="n">
        <x:f>IFERROR($O$2/(G532*$O$3),0)</x:f>
        <x:v>0.006452998620625653</x:v>
      </x:c>
      <x:c r="I532" s="92" t="n">
        <x:f>E532-H532</x:f>
        <x:v>-1.0064529986206256</x:v>
      </x:c>
      <x:c r="J532" s="91" t="str">
        <x:f>'Trade Features'!CI532</x:f>
        <x:v>-1.0064529986206256</x:v>
      </x:c>
      <x:c r="K532" s="92" t="n">
        <x:f>I532-J532</x:f>
        <x:v>0</x:v>
      </x:c>
      <x:c r="L532" s="90" t="str">
        <x:f>IF(ABS(K532)&lt;0.000000001,"PASS","FAIL")</x:f>
        <x:v>PASS</x:v>
      </x:c>
    </x:row>
    <x:row r="533">
      <x:c r="A533" s="84" t="str">
        <x:f>'Trade Features'!A533</x:f>
        <x:v>A0532</x:v>
      </x:c>
      <x:c r="B533" s="84" t="str">
        <x:f>'Trade Features'!F533</x:f>
        <x:v>Short</x:v>
      </x:c>
      <x:c r="C533" s="91" t="str">
        <x:f>'Trade Features'!BX533</x:f>
        <x:v>23010.75</x:v>
      </x:c>
      <x:c r="D533" s="91" t="str">
        <x:f>'Trade Features'!CA533</x:f>
        <x:v>23035.200157965268</x:v>
      </x:c>
      <x:c r="E533" s="91" t="str">
        <x:f>'Trade Features'!CH533</x:f>
        <x:v>-1.0</x:v>
      </x:c>
      <x:c r="F533" s="91" t="str">
        <x:f>'Trade Features'!CG533</x:f>
        <x:v>0.029652160163131987</x:v>
      </x:c>
      <x:c r="G533" s="92" t="n">
        <x:f>ABS(C533-D533)</x:f>
        <x:v>24.450157965267863</x:v>
      </x:c>
      <x:c r="H533" s="92" t="n">
        <x:f>IFERROR($O$2/(G533*$O$3),0)</x:f>
        <x:v>0.029652160163131987</x:v>
      </x:c>
      <x:c r="I533" s="92" t="n">
        <x:f>E533-H533</x:f>
        <x:v>-1.0296521601631319</x:v>
      </x:c>
      <x:c r="J533" s="91" t="str">
        <x:f>'Trade Features'!CI533</x:f>
        <x:v>-1.0296521601631319</x:v>
      </x:c>
      <x:c r="K533" s="92" t="n">
        <x:f>I533-J533</x:f>
        <x:v>0</x:v>
      </x:c>
      <x:c r="L533" s="90" t="str">
        <x:f>IF(ABS(K533)&lt;0.000000001,"PASS","FAIL")</x:f>
        <x:v>PASS</x:v>
      </x:c>
    </x:row>
    <x:row r="534">
      <x:c r="A534" s="84" t="str">
        <x:f>'Trade Features'!A534</x:f>
        <x:v>A0533</x:v>
      </x:c>
      <x:c r="B534" s="84" t="str">
        <x:f>'Trade Features'!F534</x:f>
        <x:v>Short</x:v>
      </x:c>
      <x:c r="C534" s="91" t="str">
        <x:f>'Trade Features'!BX534</x:f>
        <x:v>23374.5</x:v>
      </x:c>
      <x:c r="D534" s="91" t="str">
        <x:f>'Trade Features'!CA534</x:f>
        <x:v>23384.896850208042</x:v>
      </x:c>
      <x:c r="E534" s="91" t="str">
        <x:f>'Trade Features'!CH534</x:f>
        <x:v>-1.0</x:v>
      </x:c>
      <x:c r="F534" s="91" t="str">
        <x:f>'Trade Features'!CG534</x:f>
        <x:v>0.06973265801590356</x:v>
      </x:c>
      <x:c r="G534" s="92" t="n">
        <x:f>ABS(C534-D534)</x:f>
        <x:v>10.396850208042451</x:v>
      </x:c>
      <x:c r="H534" s="92" t="n">
        <x:f>IFERROR($O$2/(G534*$O$3),0)</x:f>
        <x:v>0.06973265801590356</x:v>
      </x:c>
      <x:c r="I534" s="92" t="n">
        <x:f>E534-H534</x:f>
        <x:v>-1.0697326580159037</x:v>
      </x:c>
      <x:c r="J534" s="91" t="str">
        <x:f>'Trade Features'!CI534</x:f>
        <x:v>-1.0697326580159037</x:v>
      </x:c>
      <x:c r="K534" s="92" t="n">
        <x:f>I534-J534</x:f>
        <x:v>0</x:v>
      </x:c>
      <x:c r="L534" s="90" t="str">
        <x:f>IF(ABS(K534)&lt;0.000000001,"PASS","FAIL")</x:f>
        <x:v>PASS</x:v>
      </x:c>
    </x:row>
    <x:row r="535">
      <x:c r="A535" s="84" t="str">
        <x:f>'Trade Features'!A535</x:f>
        <x:v>A0534</x:v>
      </x:c>
      <x:c r="B535" s="84" t="str">
        <x:f>'Trade Features'!F535</x:f>
        <x:v>Long</x:v>
      </x:c>
      <x:c r="C535" s="91" t="str">
        <x:f>'Trade Features'!BX535</x:f>
        <x:v>23492.5</x:v>
      </x:c>
      <x:c r="D535" s="91" t="str">
        <x:f>'Trade Features'!CA535</x:f>
        <x:v>23456.283731172873</x:v>
      </x:c>
      <x:c r="E535" s="91" t="str">
        <x:f>'Trade Features'!CH535</x:f>
        <x:v>-1.0</x:v>
      </x:c>
      <x:c r="F535" s="91" t="str">
        <x:f>'Trade Features'!CG535</x:f>
        <x:v>0.020018627635570996</x:v>
      </x:c>
      <x:c r="G535" s="92" t="n">
        <x:f>ABS(C535-D535)</x:f>
        <x:v>36.21626882712735</x:v>
      </x:c>
      <x:c r="H535" s="92" t="n">
        <x:f>IFERROR($O$2/(G535*$O$3),0)</x:f>
        <x:v>0.020018627635570996</x:v>
      </x:c>
      <x:c r="I535" s="92" t="n">
        <x:f>E535-H535</x:f>
        <x:v>-1.020018627635571</x:v>
      </x:c>
      <x:c r="J535" s="91" t="str">
        <x:f>'Trade Features'!CI535</x:f>
        <x:v>-1.020018627635571</x:v>
      </x:c>
      <x:c r="K535" s="92" t="n">
        <x:f>I535-J535</x:f>
        <x:v>0</x:v>
      </x:c>
      <x:c r="L535" s="90" t="str">
        <x:f>IF(ABS(K535)&lt;0.000000001,"PASS","FAIL")</x:f>
        <x:v>PASS</x:v>
      </x:c>
    </x:row>
    <x:row r="536">
      <x:c r="A536" s="84" t="str">
        <x:f>'Trade Features'!A536</x:f>
        <x:v>A0535</x:v>
      </x:c>
      <x:c r="B536" s="84" t="str">
        <x:f>'Trade Features'!F536</x:f>
        <x:v>Short</x:v>
      </x:c>
      <x:c r="C536" s="91" t="str">
        <x:f>'Trade Features'!BX536</x:f>
        <x:v>23459.5</x:v>
      </x:c>
      <x:c r="D536" s="91" t="str">
        <x:f>'Trade Features'!CA536</x:f>
        <x:v>23499.074271093872</x:v>
      </x:c>
      <x:c r="E536" s="91" t="str">
        <x:f>'Trade Features'!CH536</x:f>
        <x:v>2.0</x:v>
      </x:c>
      <x:c r="F536" s="91" t="str">
        <x:f>'Trade Features'!CG536</x:f>
        <x:v>0.01831998366515115</x:v>
      </x:c>
      <x:c r="G536" s="92" t="n">
        <x:f>ABS(C536-D536)</x:f>
        <x:v>39.574271093872085</x:v>
      </x:c>
      <x:c r="H536" s="92" t="n">
        <x:f>IFERROR($O$2/(G536*$O$3),0)</x:f>
        <x:v>0.01831998366515115</x:v>
      </x:c>
      <x:c r="I536" s="92" t="n">
        <x:f>E536-H536</x:f>
        <x:v>1.981680016334849</x:v>
      </x:c>
      <x:c r="J536" s="91" t="str">
        <x:f>'Trade Features'!CI536</x:f>
        <x:v>1.981680016334849</x:v>
      </x:c>
      <x:c r="K536" s="92" t="n">
        <x:f>I536-J536</x:f>
        <x:v>0</x:v>
      </x:c>
      <x:c r="L536" s="90" t="str">
        <x:f>IF(ABS(K536)&lt;0.000000001,"PASS","FAIL")</x:f>
        <x:v>PASS</x:v>
      </x:c>
    </x:row>
    <x:row r="537">
      <x:c r="A537" s="84" t="str">
        <x:f>'Trade Features'!A537</x:f>
        <x:v>A0536</x:v>
      </x:c>
      <x:c r="B537" s="84" t="str">
        <x:f>'Trade Features'!F537</x:f>
        <x:v>Long</x:v>
      </x:c>
      <x:c r="C537" s="91" t="str">
        <x:f>'Trade Features'!BX537</x:f>
        <x:v>23512.75</x:v>
      </x:c>
      <x:c r="D537" s="91" t="str">
        <x:f>'Trade Features'!CA537</x:f>
        <x:v>23460.99044494069</x:v>
      </x:c>
      <x:c r="E537" s="91" t="str">
        <x:f>'Trade Features'!CH537</x:f>
        <x:v>0.2898015638428916</x:v>
      </x:c>
      <x:c r="F537" s="91" t="str">
        <x:f>'Trade Features'!CG537</x:f>
        <x:v>0.01400707558573935</x:v>
      </x:c>
      <x:c r="G537" s="92" t="n">
        <x:f>ABS(C537-D537)</x:f>
        <x:v>51.759555059310514</x:v>
      </x:c>
      <x:c r="H537" s="92" t="n">
        <x:f>IFERROR($O$2/(G537*$O$3),0)</x:f>
        <x:v>0.01400707558573935</x:v>
      </x:c>
      <x:c r="I537" s="92" t="n">
        <x:f>E537-H537</x:f>
        <x:v>0.27579448825715225</x:v>
      </x:c>
      <x:c r="J537" s="91" t="str">
        <x:f>'Trade Features'!CI537</x:f>
        <x:v>0.27579448825715225</x:v>
      </x:c>
      <x:c r="K537" s="92" t="n">
        <x:f>I537-J537</x:f>
        <x:v>0</x:v>
      </x:c>
      <x:c r="L537" s="90" t="str">
        <x:f>IF(ABS(K537)&lt;0.000000001,"PASS","FAIL")</x:f>
        <x:v>PASS</x:v>
      </x:c>
    </x:row>
    <x:row r="538">
      <x:c r="A538" s="84" t="str">
        <x:f>'Trade Features'!A538</x:f>
        <x:v>A0537</x:v>
      </x:c>
      <x:c r="B538" s="84" t="str">
        <x:f>'Trade Features'!F538</x:f>
        <x:v>Short</x:v>
      </x:c>
      <x:c r="C538" s="91" t="str">
        <x:f>'Trade Features'!BX538</x:f>
        <x:v>23537.0</x:v>
      </x:c>
      <x:c r="D538" s="91" t="str">
        <x:f>'Trade Features'!CA538</x:f>
        <x:v>23602.691478075627</x:v>
      </x:c>
      <x:c r="E538" s="91" t="str">
        <x:f>'Trade Features'!CH538</x:f>
        <x:v>-1.0</x:v>
      </x:c>
      <x:c r="F538" s="91" t="str">
        <x:f>'Trade Features'!CG538</x:f>
        <x:v>0.011036439143070396</x:v>
      </x:c>
      <x:c r="G538" s="92" t="n">
        <x:f>ABS(C538-D538)</x:f>
        <x:v>65.69147807562695</x:v>
      </x:c>
      <x:c r="H538" s="92" t="n">
        <x:f>IFERROR($O$2/(G538*$O$3),0)</x:f>
        <x:v>0.011036439143070396</x:v>
      </x:c>
      <x:c r="I538" s="92" t="n">
        <x:f>E538-H538</x:f>
        <x:v>-1.0110364391430704</x:v>
      </x:c>
      <x:c r="J538" s="91" t="str">
        <x:f>'Trade Features'!CI538</x:f>
        <x:v>-1.0110364391430704</x:v>
      </x:c>
      <x:c r="K538" s="92" t="n">
        <x:f>I538-J538</x:f>
        <x:v>0</x:v>
      </x:c>
      <x:c r="L538" s="90" t="str">
        <x:f>IF(ABS(K538)&lt;0.000000001,"PASS","FAIL")</x:f>
        <x:v>PASS</x:v>
      </x:c>
    </x:row>
    <x:row r="539">
      <x:c r="A539" s="84" t="str">
        <x:f>'Trade Features'!A539</x:f>
        <x:v>A0538</x:v>
      </x:c>
      <x:c r="B539" s="84" t="str">
        <x:f>'Trade Features'!F539</x:f>
        <x:v>Short</x:v>
      </x:c>
      <x:c r="C539" s="91" t="str">
        <x:f>'Trade Features'!BX539</x:f>
        <x:v>23713.25</x:v>
      </x:c>
      <x:c r="D539" s="91" t="str">
        <x:f>'Trade Features'!CA539</x:f>
        <x:v>23727.785176139467</x:v>
      </x:c>
      <x:c r="E539" s="91" t="str">
        <x:f>'Trade Features'!CH539</x:f>
        <x:v>2.0</x:v>
      </x:c>
      <x:c r="F539" s="91" t="str">
        <x:f>'Trade Features'!CG539</x:f>
        <x:v>0.049878996514630215</x:v>
      </x:c>
      <x:c r="G539" s="92" t="n">
        <x:f>ABS(C539-D539)</x:f>
        <x:v>14.535176139466785</x:v>
      </x:c>
      <x:c r="H539" s="92" t="n">
        <x:f>IFERROR($O$2/(G539*$O$3),0)</x:f>
        <x:v>0.049878996514630215</x:v>
      </x:c>
      <x:c r="I539" s="92" t="n">
        <x:f>E539-H539</x:f>
        <x:v>1.9501210034853698</x:v>
      </x:c>
      <x:c r="J539" s="91" t="str">
        <x:f>'Trade Features'!CI539</x:f>
        <x:v>1.9501210034853698</x:v>
      </x:c>
      <x:c r="K539" s="92" t="n">
        <x:f>I539-J539</x:f>
        <x:v>0</x:v>
      </x:c>
      <x:c r="L539" s="90" t="str">
        <x:f>IF(ABS(K539)&lt;0.000000001,"PASS","FAIL")</x:f>
        <x:v>PASS</x:v>
      </x:c>
    </x:row>
    <x:row r="540">
      <x:c r="A540" s="84" t="str">
        <x:f>'Trade Features'!A540</x:f>
        <x:v>A0539</x:v>
      </x:c>
      <x:c r="B540" s="84" t="str">
        <x:f>'Trade Features'!F540</x:f>
        <x:v>Long</x:v>
      </x:c>
      <x:c r="C540" s="91" t="str">
        <x:f>'Trade Features'!BX540</x:f>
        <x:v>23820.0</x:v>
      </x:c>
      <x:c r="D540" s="91" t="str">
        <x:f>'Trade Features'!CA540</x:f>
        <x:v>23805.947015775248</x:v>
      </x:c>
      <x:c r="E540" s="91" t="str">
        <x:f>'Trade Features'!CH540</x:f>
        <x:v>-1.0</x:v>
      </x:c>
      <x:c r="F540" s="91" t="str">
        <x:f>'Trade Features'!CG540</x:f>
        <x:v>0.05159046565518876</x:v>
      </x:c>
      <x:c r="G540" s="92" t="n">
        <x:f>ABS(C540-D540)</x:f>
        <x:v>14.052984224752436</x:v>
      </x:c>
      <x:c r="H540" s="92" t="n">
        <x:f>IFERROR($O$2/(G540*$O$3),0)</x:f>
        <x:v>0.05159046565518876</x:v>
      </x:c>
      <x:c r="I540" s="92" t="n">
        <x:f>E540-H540</x:f>
        <x:v>-1.0515904656551887</x:v>
      </x:c>
      <x:c r="J540" s="91" t="str">
        <x:f>'Trade Features'!CI540</x:f>
        <x:v>-1.0515904656551887</x:v>
      </x:c>
      <x:c r="K540" s="92" t="n">
        <x:f>I540-J540</x:f>
        <x:v>0</x:v>
      </x:c>
      <x:c r="L540" s="90" t="str">
        <x:f>IF(ABS(K540)&lt;0.000000001,"PASS","FAIL")</x:f>
        <x:v>PASS</x:v>
      </x:c>
    </x:row>
    <x:row r="541">
      <x:c r="A541" s="84" t="str">
        <x:f>'Trade Features'!A541</x:f>
        <x:v>A0540</x:v>
      </x:c>
      <x:c r="B541" s="84" t="str">
        <x:f>'Trade Features'!F541</x:f>
        <x:v>Short</x:v>
      </x:c>
      <x:c r="C541" s="91" t="str">
        <x:f>'Trade Features'!BX541</x:f>
        <x:v>23740.25</x:v>
      </x:c>
      <x:c r="D541" s="91" t="str">
        <x:f>'Trade Features'!CA541</x:f>
        <x:v>23757.607662744937</x:v>
      </x:c>
      <x:c r="E541" s="91" t="str">
        <x:f>'Trade Features'!CH541</x:f>
        <x:v>2.0</x:v>
      </x:c>
      <x:c r="F541" s="91" t="str">
        <x:f>'Trade Features'!CG541</x:f>
        <x:v>0.04176829626508859</x:v>
      </x:c>
      <x:c r="G541" s="92" t="n">
        <x:f>ABS(C541-D541)</x:f>
        <x:v>17.357662744936533</x:v>
      </x:c>
      <x:c r="H541" s="92" t="n">
        <x:f>IFERROR($O$2/(G541*$O$3),0)</x:f>
        <x:v>0.04176829626508859</x:v>
      </x:c>
      <x:c r="I541" s="92" t="n">
        <x:f>E541-H541</x:f>
        <x:v>1.9582317037349115</x:v>
      </x:c>
      <x:c r="J541" s="91" t="str">
        <x:f>'Trade Features'!CI541</x:f>
        <x:v>1.9582317037349115</x:v>
      </x:c>
      <x:c r="K541" s="92" t="n">
        <x:f>I541-J541</x:f>
        <x:v>0</x:v>
      </x:c>
      <x:c r="L541" s="90" t="str">
        <x:f>IF(ABS(K541)&lt;0.000000001,"PASS","FAIL")</x:f>
        <x:v>PASS</x:v>
      </x:c>
    </x:row>
    <x:row r="542">
      <x:c r="A542" s="84" t="str">
        <x:f>'Trade Features'!A542</x:f>
        <x:v>A0541</x:v>
      </x:c>
      <x:c r="B542" s="84" t="str">
        <x:f>'Trade Features'!F542</x:f>
        <x:v>Long</x:v>
      </x:c>
      <x:c r="C542" s="91" t="str">
        <x:f>'Trade Features'!BX542</x:f>
        <x:v>23895.75</x:v>
      </x:c>
      <x:c r="D542" s="91" t="str">
        <x:f>'Trade Features'!CA542</x:f>
        <x:v>23883.725391042935</x:v>
      </x:c>
      <x:c r="E542" s="91" t="str">
        <x:f>'Trade Features'!CH542</x:f>
        <x:v>-1.0</x:v>
      </x:c>
      <x:c r="F542" s="91" t="str">
        <x:f>'Trade Features'!CG542</x:f>
        <x:v>0.06029302096963845</x:v>
      </x:c>
      <x:c r="G542" s="92" t="n">
        <x:f>ABS(C542-D542)</x:f>
        <x:v>12.024608957064629</x:v>
      </x:c>
      <x:c r="H542" s="92" t="n">
        <x:f>IFERROR($O$2/(G542*$O$3),0)</x:f>
        <x:v>0.06029302096963845</x:v>
      </x:c>
      <x:c r="I542" s="92" t="n">
        <x:f>E542-H542</x:f>
        <x:v>-1.0602930209696384</x:v>
      </x:c>
      <x:c r="J542" s="91" t="str">
        <x:f>'Trade Features'!CI542</x:f>
        <x:v>-1.0602930209696384</x:v>
      </x:c>
      <x:c r="K542" s="92" t="n">
        <x:f>I542-J542</x:f>
        <x:v>0</x:v>
      </x:c>
      <x:c r="L542" s="90" t="str">
        <x:f>IF(ABS(K542)&lt;0.000000001,"PASS","FAIL")</x:f>
        <x:v>PASS</x:v>
      </x:c>
    </x:row>
    <x:row r="543">
      <x:c r="A543" s="84" t="str">
        <x:f>'Trade Features'!A543</x:f>
        <x:v>A0542</x:v>
      </x:c>
      <x:c r="B543" s="84" t="str">
        <x:f>'Trade Features'!F543</x:f>
        <x:v>Long</x:v>
      </x:c>
      <x:c r="C543" s="91" t="str">
        <x:f>'Trade Features'!BX543</x:f>
        <x:v>23884.0</x:v>
      </x:c>
      <x:c r="D543" s="91" t="str">
        <x:f>'Trade Features'!CA543</x:f>
        <x:v>23869.333792416317</x:v>
      </x:c>
      <x:c r="E543" s="91" t="str">
        <x:f>'Trade Features'!CH543</x:f>
        <x:v>-1.0</x:v>
      </x:c>
      <x:c r="F543" s="91" t="str">
        <x:f>'Trade Features'!CG543</x:f>
        <x:v>0.049433365501154146</x:v>
      </x:c>
      <x:c r="G543" s="92" t="n">
        <x:f>ABS(C543-D543)</x:f>
        <x:v>14.66620758368299</x:v>
      </x:c>
      <x:c r="H543" s="92" t="n">
        <x:f>IFERROR($O$2/(G543*$O$3),0)</x:f>
        <x:v>0.049433365501154146</x:v>
      </x:c>
      <x:c r="I543" s="92" t="n">
        <x:f>E543-H543</x:f>
        <x:v>-1.049433365501154</x:v>
      </x:c>
      <x:c r="J543" s="91" t="str">
        <x:f>'Trade Features'!CI543</x:f>
        <x:v>-1.049433365501154</x:v>
      </x:c>
      <x:c r="K543" s="92" t="n">
        <x:f>I543-J543</x:f>
        <x:v>0</x:v>
      </x:c>
      <x:c r="L543" s="90" t="str">
        <x:f>IF(ABS(K543)&lt;0.000000001,"PASS","FAIL")</x:f>
        <x:v>PASS</x:v>
      </x:c>
    </x:row>
    <x:row r="544">
      <x:c r="A544" s="84" t="str">
        <x:f>'Trade Features'!A544</x:f>
        <x:v>A0543</x:v>
      </x:c>
      <x:c r="B544" s="84" t="str">
        <x:f>'Trade Features'!F544</x:f>
        <x:v>Short</x:v>
      </x:c>
      <x:c r="C544" s="91" t="str">
        <x:f>'Trade Features'!BX544</x:f>
        <x:v>23234.0</x:v>
      </x:c>
      <x:c r="D544" s="91" t="str">
        <x:f>'Trade Features'!CA544</x:f>
        <x:v>23283.71885714914</x:v>
      </x:c>
      <x:c r="E544" s="91" t="str">
        <x:f>'Trade Features'!CH544</x:f>
        <x:v>-1.0</x:v>
      </x:c>
      <x:c r="F544" s="91" t="str">
        <x:f>'Trade Features'!CG544</x:f>
        <x:v>0.01458199245862107</x:v>
      </x:c>
      <x:c r="G544" s="92" t="n">
        <x:f>ABS(C544-D544)</x:f>
        <x:v>49.718857149138785</x:v>
      </x:c>
      <x:c r="H544" s="92" t="n">
        <x:f>IFERROR($O$2/(G544*$O$3),0)</x:f>
        <x:v>0.01458199245862107</x:v>
      </x:c>
      <x:c r="I544" s="92" t="n">
        <x:f>E544-H544</x:f>
        <x:v>-1.014581992458621</x:v>
      </x:c>
      <x:c r="J544" s="91" t="str">
        <x:f>'Trade Features'!CI544</x:f>
        <x:v>-1.014581992458621</x:v>
      </x:c>
      <x:c r="K544" s="92" t="n">
        <x:f>I544-J544</x:f>
        <x:v>0</x:v>
      </x:c>
      <x:c r="L544" s="90" t="str">
        <x:f>IF(ABS(K544)&lt;0.000000001,"PASS","FAIL")</x:f>
        <x:v>PASS</x:v>
      </x:c>
    </x:row>
    <x:row r="545">
      <x:c r="A545" s="84" t="str">
        <x:f>'Trade Features'!A545</x:f>
        <x:v>A0544</x:v>
      </x:c>
      <x:c r="B545" s="84" t="str">
        <x:f>'Trade Features'!F545</x:f>
        <x:v>Long</x:v>
      </x:c>
      <x:c r="C545" s="91" t="str">
        <x:f>'Trade Features'!BX545</x:f>
        <x:v>23363.5</x:v>
      </x:c>
      <x:c r="D545" s="91" t="str">
        <x:f>'Trade Features'!CA545</x:f>
        <x:v>23343.26906091811</x:v>
      </x:c>
      <x:c r="E545" s="91" t="str">
        <x:f>'Trade Features'!CH545</x:f>
        <x:v>2.0</x:v>
      </x:c>
      <x:c r="F545" s="91" t="str">
        <x:f>'Trade Features'!CG545</x:f>
        <x:v>0.03583620103176811</x:v>
      </x:c>
      <x:c r="G545" s="92" t="n">
        <x:f>ABS(C545-D545)</x:f>
        <x:v>20.23093908188821</x:v>
      </x:c>
      <x:c r="H545" s="92" t="n">
        <x:f>IFERROR($O$2/(G545*$O$3),0)</x:f>
        <x:v>0.03583620103176811</x:v>
      </x:c>
      <x:c r="I545" s="92" t="n">
        <x:f>E545-H545</x:f>
        <x:v>1.964163798968232</x:v>
      </x:c>
      <x:c r="J545" s="91" t="str">
        <x:f>'Trade Features'!CI545</x:f>
        <x:v>1.964163798968232</x:v>
      </x:c>
      <x:c r="K545" s="92" t="n">
        <x:f>I545-J545</x:f>
        <x:v>0</x:v>
      </x:c>
      <x:c r="L545" s="90" t="str">
        <x:f>IF(ABS(K545)&lt;0.000000001,"PASS","FAIL")</x:f>
        <x:v>PASS</x:v>
      </x:c>
    </x:row>
    <x:row r="546">
      <x:c r="A546" s="84" t="str">
        <x:f>'Trade Features'!A546</x:f>
        <x:v>A0545</x:v>
      </x:c>
      <x:c r="B546" s="84" t="str">
        <x:f>'Trade Features'!F546</x:f>
        <x:v>Short</x:v>
      </x:c>
      <x:c r="C546" s="91" t="str">
        <x:f>'Trade Features'!BX546</x:f>
        <x:v>22789.25</x:v>
      </x:c>
      <x:c r="D546" s="91" t="str">
        <x:f>'Trade Features'!CA546</x:f>
        <x:v>22850.138359976678</x:v>
      </x:c>
      <x:c r="E546" s="91" t="str">
        <x:f>'Trade Features'!CH546</x:f>
        <x:v>-0.13138800261764513</x:v>
      </x:c>
      <x:c r="F546" s="91" t="str">
        <x:f>'Trade Features'!CG546</x:f>
        <x:v>0.011907037737224306</x:v>
      </x:c>
      <x:c r="G546" s="92" t="n">
        <x:f>ABS(C546-D546)</x:f>
        <x:v>60.88835997667775</x:v>
      </x:c>
      <x:c r="H546" s="92" t="n">
        <x:f>IFERROR($O$2/(G546*$O$3),0)</x:f>
        <x:v>0.011907037737224306</x:v>
      </x:c>
      <x:c r="I546" s="92" t="n">
        <x:f>E546-H546</x:f>
        <x:v>-0.14329504035486945</x:v>
      </x:c>
      <x:c r="J546" s="91" t="str">
        <x:f>'Trade Features'!CI546</x:f>
        <x:v>-0.14329504035486945</x:v>
      </x:c>
      <x:c r="K546" s="92" t="n">
        <x:f>I546-J546</x:f>
        <x:v>0</x:v>
      </x:c>
      <x:c r="L546" s="90" t="str">
        <x:f>IF(ABS(K546)&lt;0.000000001,"PASS","FAIL")</x:f>
        <x:v>PASS</x:v>
      </x:c>
    </x:row>
    <x:row r="547">
      <x:c r="A547" s="84" t="str">
        <x:f>'Trade Features'!A547</x:f>
        <x:v>A0546</x:v>
      </x:c>
      <x:c r="B547" s="84" t="str">
        <x:f>'Trade Features'!F547</x:f>
        <x:v>Short</x:v>
      </x:c>
      <x:c r="C547" s="91" t="str">
        <x:f>'Trade Features'!BX547</x:f>
        <x:v>22757.5</x:v>
      </x:c>
      <x:c r="D547" s="91" t="str">
        <x:f>'Trade Features'!CA547</x:f>
        <x:v>22788.844757438983</x:v>
      </x:c>
      <x:c r="E547" s="91" t="str">
        <x:f>'Trade Features'!CH547</x:f>
        <x:v>-1.0</x:v>
      </x:c>
      <x:c r="F547" s="91" t="str">
        <x:f>'Trade Features'!CG547</x:f>
        <x:v>0.023129864744090515</x:v>
      </x:c>
      <x:c r="G547" s="92" t="n">
        <x:f>ABS(C547-D547)</x:f>
        <x:v>31.344757438982924</x:v>
      </x:c>
      <x:c r="H547" s="92" t="n">
        <x:f>IFERROR($O$2/(G547*$O$3),0)</x:f>
        <x:v>0.023129864744090515</x:v>
      </x:c>
      <x:c r="I547" s="92" t="n">
        <x:f>E547-H547</x:f>
        <x:v>-1.0231298647440905</x:v>
      </x:c>
      <x:c r="J547" s="91" t="str">
        <x:f>'Trade Features'!CI547</x:f>
        <x:v>-1.0231298647440905</x:v>
      </x:c>
      <x:c r="K547" s="92" t="n">
        <x:f>I547-J547</x:f>
        <x:v>0</x:v>
      </x:c>
      <x:c r="L547" s="90" t="str">
        <x:f>IF(ABS(K547)&lt;0.000000001,"PASS","FAIL")</x:f>
        <x:v>PASS</x:v>
      </x:c>
    </x:row>
    <x:row r="548">
      <x:c r="A548" s="84" t="str">
        <x:f>'Trade Features'!A548</x:f>
        <x:v>A0547</x:v>
      </x:c>
      <x:c r="B548" s="84" t="str">
        <x:f>'Trade Features'!F548</x:f>
        <x:v>Long</x:v>
      </x:c>
      <x:c r="C548" s="91" t="str">
        <x:f>'Trade Features'!BX548</x:f>
        <x:v>22857.75</x:v>
      </x:c>
      <x:c r="D548" s="91" t="str">
        <x:f>'Trade Features'!CA548</x:f>
        <x:v>22832.347867654724</x:v>
      </x:c>
      <x:c r="E548" s="91" t="str">
        <x:f>'Trade Features'!CH548</x:f>
        <x:v>0.3936677387581339</x:v>
      </x:c>
      <x:c r="F548" s="91" t="str">
        <x:f>'Trade Features'!CG548</x:f>
        <x:v>0.028540911059965483</x:v>
      </x:c>
      <x:c r="G548" s="92" t="n">
        <x:f>ABS(C548-D548)</x:f>
        <x:v>25.402132345276186</x:v>
      </x:c>
      <x:c r="H548" s="92" t="n">
        <x:f>IFERROR($O$2/(G548*$O$3),0)</x:f>
        <x:v>0.028540911059965483</x:v>
      </x:c>
      <x:c r="I548" s="92" t="n">
        <x:f>E548-H548</x:f>
        <x:v>0.3651268276981684</x:v>
      </x:c>
      <x:c r="J548" s="91" t="str">
        <x:f>'Trade Features'!CI548</x:f>
        <x:v>0.3651268276981684</x:v>
      </x:c>
      <x:c r="K548" s="92" t="n">
        <x:f>I548-J548</x:f>
        <x:v>0</x:v>
      </x:c>
      <x:c r="L548" s="90" t="str">
        <x:f>IF(ABS(K548)&lt;0.000000001,"PASS","FAIL")</x:f>
        <x:v>PASS</x:v>
      </x:c>
    </x:row>
    <x:row r="549">
      <x:c r="A549" s="84" t="str">
        <x:f>'Trade Features'!A549</x:f>
        <x:v>A0548</x:v>
      </x:c>
      <x:c r="B549" s="84" t="str">
        <x:f>'Trade Features'!F549</x:f>
        <x:v>Long</x:v>
      </x:c>
      <x:c r="C549" s="91" t="str">
        <x:f>'Trade Features'!BX549</x:f>
        <x:v>23416.0</x:v>
      </x:c>
      <x:c r="D549" s="91" t="str">
        <x:f>'Trade Features'!CA549</x:f>
        <x:v>23375.42110895505</x:v>
      </x:c>
      <x:c r="E549" s="91" t="str">
        <x:f>'Trade Features'!CH549</x:f>
        <x:v>-0.2710769002488503</x:v>
      </x:c>
      <x:c r="F549" s="91" t="str">
        <x:f>'Trade Features'!CG549</x:f>
        <x:v>0.01786643206185539</x:v>
      </x:c>
      <x:c r="G549" s="92" t="n">
        <x:f>ABS(C549-D549)</x:f>
        <x:v>40.57889104494825</x:v>
      </x:c>
      <x:c r="H549" s="92" t="n">
        <x:f>IFERROR($O$2/(G549*$O$3),0)</x:f>
        <x:v>0.01786643206185539</x:v>
      </x:c>
      <x:c r="I549" s="92" t="n">
        <x:f>E549-H549</x:f>
        <x:v>-0.2889433323107057</x:v>
      </x:c>
      <x:c r="J549" s="91" t="str">
        <x:f>'Trade Features'!CI549</x:f>
        <x:v>-0.2889433323107057</x:v>
      </x:c>
      <x:c r="K549" s="92" t="n">
        <x:f>I549-J549</x:f>
        <x:v>0</x:v>
      </x:c>
      <x:c r="L549" s="90" t="str">
        <x:f>IF(ABS(K549)&lt;0.000000001,"PASS","FAIL")</x:f>
        <x:v>PASS</x:v>
      </x:c>
    </x:row>
    <x:row r="550">
      <x:c r="A550" s="84" t="str">
        <x:f>'Trade Features'!A550</x:f>
        <x:v>A0549</x:v>
      </x:c>
      <x:c r="B550" s="84" t="str">
        <x:f>'Trade Features'!F550</x:f>
        <x:v>Short</x:v>
      </x:c>
      <x:c r="C550" s="91" t="str">
        <x:f>'Trade Features'!BX550</x:f>
        <x:v>23515.75</x:v>
      </x:c>
      <x:c r="D550" s="91" t="str">
        <x:f>'Trade Features'!CA550</x:f>
        <x:v>23526.79384636731</x:v>
      </x:c>
      <x:c r="E550" s="91" t="str">
        <x:f>'Trade Features'!CH550</x:f>
        <x:v>-1.0</x:v>
      </x:c>
      <x:c r="F550" s="91" t="str">
        <x:f>'Trade Features'!CG550</x:f>
        <x:v>0.06564741810842993</x:v>
      </x:c>
      <x:c r="G550" s="92" t="n">
        <x:f>ABS(C550-D550)</x:f>
        <x:v>11.043846367309015</x:v>
      </x:c>
      <x:c r="H550" s="92" t="n">
        <x:f>IFERROR($O$2/(G550*$O$3),0)</x:f>
        <x:v>0.06564741810842993</x:v>
      </x:c>
      <x:c r="I550" s="92" t="n">
        <x:f>E550-H550</x:f>
        <x:v>-1.06564741810843</x:v>
      </x:c>
      <x:c r="J550" s="91" t="str">
        <x:f>'Trade Features'!CI550</x:f>
        <x:v>-1.06564741810843</x:v>
      </x:c>
      <x:c r="K550" s="92" t="n">
        <x:f>I550-J550</x:f>
        <x:v>0</x:v>
      </x:c>
      <x:c r="L550" s="90" t="str">
        <x:f>IF(ABS(K550)&lt;0.000000001,"PASS","FAIL")</x:f>
        <x:v>PASS</x:v>
      </x:c>
    </x:row>
    <x:row r="551">
      <x:c r="A551" s="84" t="str">
        <x:f>'Trade Features'!A551</x:f>
        <x:v>A0550</x:v>
      </x:c>
      <x:c r="B551" s="84" t="str">
        <x:f>'Trade Features'!F551</x:f>
        <x:v>Short</x:v>
      </x:c>
      <x:c r="C551" s="91" t="str">
        <x:f>'Trade Features'!BX551</x:f>
        <x:v>23505.25</x:v>
      </x:c>
      <x:c r="D551" s="91" t="str">
        <x:f>'Trade Features'!CA551</x:f>
        <x:v>23515.34368788728</x:v>
      </x:c>
      <x:c r="E551" s="91" t="str">
        <x:f>'Trade Features'!CH551</x:f>
        <x:v>-1.0</x:v>
      </x:c>
      <x:c r="F551" s="91" t="str">
        <x:f>'Trade Features'!CG551</x:f>
        <x:v>0.07182706738074573</x:v>
      </x:c>
      <x:c r="G551" s="92" t="n">
        <x:f>ABS(C551-D551)</x:f>
        <x:v>10.093687887281703</x:v>
      </x:c>
      <x:c r="H551" s="92" t="n">
        <x:f>IFERROR($O$2/(G551*$O$3),0)</x:f>
        <x:v>0.07182706738074573</x:v>
      </x:c>
      <x:c r="I551" s="92" t="n">
        <x:f>E551-H551</x:f>
        <x:v>-1.0718270673807457</x:v>
      </x:c>
      <x:c r="J551" s="91" t="str">
        <x:f>'Trade Features'!CI551</x:f>
        <x:v>-1.0718270673807457</x:v>
      </x:c>
      <x:c r="K551" s="92" t="n">
        <x:f>I551-J551</x:f>
        <x:v>0</x:v>
      </x:c>
      <x:c r="L551" s="90" t="str">
        <x:f>IF(ABS(K551)&lt;0.000000001,"PASS","FAIL")</x:f>
        <x:v>PASS</x:v>
      </x:c>
    </x:row>
    <x:row r="552">
      <x:c r="A552" s="84" t="str">
        <x:f>'Trade Features'!A552</x:f>
        <x:v>A0551</x:v>
      </x:c>
      <x:c r="B552" s="84" t="str">
        <x:f>'Trade Features'!F552</x:f>
        <x:v>Long</x:v>
      </x:c>
      <x:c r="C552" s="91" t="str">
        <x:f>'Trade Features'!BX552</x:f>
        <x:v>23610.75</x:v>
      </x:c>
      <x:c r="D552" s="91" t="str">
        <x:f>'Trade Features'!CA552</x:f>
        <x:v>23582.140593767224</x:v>
      </x:c>
      <x:c r="E552" s="91" t="str">
        <x:f>'Trade Features'!CH552</x:f>
        <x:v>-0.5505182411634763</x:v>
      </x:c>
      <x:c r="F552" s="91" t="str">
        <x:f>'Trade Features'!CG552</x:f>
        <x:v>0.025341315863082185</x:v>
      </x:c>
      <x:c r="G552" s="92" t="n">
        <x:f>ABS(C552-D552)</x:f>
        <x:v>28.609406232775655</x:v>
      </x:c>
      <x:c r="H552" s="92" t="n">
        <x:f>IFERROR($O$2/(G552*$O$3),0)</x:f>
        <x:v>0.025341315863082185</x:v>
      </x:c>
      <x:c r="I552" s="92" t="n">
        <x:f>E552-H552</x:f>
        <x:v>-0.5758595570265584</x:v>
      </x:c>
      <x:c r="J552" s="91" t="str">
        <x:f>'Trade Features'!CI552</x:f>
        <x:v>-0.5758595570265584</x:v>
      </x:c>
      <x:c r="K552" s="92" t="n">
        <x:f>I552-J552</x:f>
        <x:v>0</x:v>
      </x:c>
      <x:c r="L552" s="90" t="str">
        <x:f>IF(ABS(K552)&lt;0.000000001,"PASS","FAIL")</x:f>
        <x:v>PASS</x:v>
      </x:c>
    </x:row>
    <x:row r="553">
      <x:c r="A553" s="84" t="str">
        <x:f>'Trade Features'!A553</x:f>
        <x:v>A0552</x:v>
      </x:c>
      <x:c r="B553" s="84" t="str">
        <x:f>'Trade Features'!F553</x:f>
        <x:v>Long</x:v>
      </x:c>
      <x:c r="C553" s="91" t="str">
        <x:f>'Trade Features'!BX553</x:f>
        <x:v>23625.5</x:v>
      </x:c>
      <x:c r="D553" s="91" t="str">
        <x:f>'Trade Features'!CA553</x:f>
        <x:v>23610.79180651076</x:v>
      </x:c>
      <x:c r="E553" s="91" t="str">
        <x:f>'Trade Features'!CH553</x:f>
        <x:v>0.8498664373121915</x:v>
      </x:c>
      <x:c r="F553" s="91" t="str">
        <x:f>'Trade Features'!CG553</x:f>
        <x:v>0.04929225336410781</x:v>
      </x:c>
      <x:c r="G553" s="92" t="n">
        <x:f>ABS(C553-D553)</x:f>
        <x:v>14.70819348924124</x:v>
      </x:c>
      <x:c r="H553" s="92" t="n">
        <x:f>IFERROR($O$2/(G553*$O$3),0)</x:f>
        <x:v>0.04929225336410781</x:v>
      </x:c>
      <x:c r="I553" s="92" t="n">
        <x:f>E553-H553</x:f>
        <x:v>0.8005741839480837</x:v>
      </x:c>
      <x:c r="J553" s="91" t="str">
        <x:f>'Trade Features'!CI553</x:f>
        <x:v>0.8005741839480837</x:v>
      </x:c>
      <x:c r="K553" s="92" t="n">
        <x:f>I553-J553</x:f>
        <x:v>0</x:v>
      </x:c>
      <x:c r="L553" s="90" t="str">
        <x:f>IF(ABS(K553)&lt;0.000000001,"PASS","FAIL")</x:f>
        <x:v>PASS</x:v>
      </x:c>
    </x:row>
    <x:row r="554">
      <x:c r="A554" s="84" t="str">
        <x:f>'Trade Features'!A554</x:f>
        <x:v>A0553</x:v>
      </x:c>
      <x:c r="B554" s="84" t="str">
        <x:f>'Trade Features'!F554</x:f>
        <x:v>Long</x:v>
      </x:c>
      <x:c r="C554" s="91" t="str">
        <x:f>'Trade Features'!BX554</x:f>
        <x:v>23638.75</x:v>
      </x:c>
      <x:c r="D554" s="91" t="str">
        <x:f>'Trade Features'!CA554</x:f>
        <x:v>23631.684816286855</x:v>
      </x:c>
      <x:c r="E554" s="91" t="str">
        <x:f>'Trade Features'!CH554</x:f>
        <x:v>-1.0</x:v>
      </x:c>
      <x:c r="F554" s="91" t="str">
        <x:f>'Trade Features'!CG554</x:f>
        <x:v>0.1026158737601069</x:v>
      </x:c>
      <x:c r="G554" s="92" t="n">
        <x:f>ABS(C554-D554)</x:f>
        <x:v>7.065183713144506</x:v>
      </x:c>
      <x:c r="H554" s="92" t="n">
        <x:f>IFERROR($O$2/(G554*$O$3),0)</x:f>
        <x:v>0.1026158737601069</x:v>
      </x:c>
      <x:c r="I554" s="92" t="n">
        <x:f>E554-H554</x:f>
        <x:v>-1.1026158737601068</x:v>
      </x:c>
      <x:c r="J554" s="91" t="str">
        <x:f>'Trade Features'!CI554</x:f>
        <x:v>-1.1026158737601068</x:v>
      </x:c>
      <x:c r="K554" s="92" t="n">
        <x:f>I554-J554</x:f>
        <x:v>0</x:v>
      </x:c>
      <x:c r="L554" s="90" t="str">
        <x:f>IF(ABS(K554)&lt;0.000000001,"PASS","FAIL")</x:f>
        <x:v>PASS</x:v>
      </x:c>
    </x:row>
    <x:row r="555">
      <x:c r="A555" s="84" t="str">
        <x:f>'Trade Features'!A555</x:f>
        <x:v>A0554</x:v>
      </x:c>
      <x:c r="B555" s="84" t="str">
        <x:f>'Trade Features'!F555</x:f>
        <x:v>Long</x:v>
      </x:c>
      <x:c r="C555" s="91" t="str">
        <x:f>'Trade Features'!BX555</x:f>
        <x:v>23747.0</x:v>
      </x:c>
      <x:c r="D555" s="91" t="str">
        <x:f>'Trade Features'!CA555</x:f>
        <x:v>23730.47734584071</x:v>
      </x:c>
      <x:c r="E555" s="91" t="str">
        <x:f>'Trade Features'!CH555</x:f>
        <x:v>-0.13617666860957953</x:v>
      </x:c>
      <x:c r="F555" s="91" t="str">
        <x:f>'Trade Features'!CG555</x:f>
        <x:v>0.04387914877419355</x:v>
      </x:c>
      <x:c r="G555" s="92" t="n">
        <x:f>ABS(C555-D555)</x:f>
        <x:v>16.52265415928923</x:v>
      </x:c>
      <x:c r="H555" s="92" t="n">
        <x:f>IFERROR($O$2/(G555*$O$3),0)</x:f>
        <x:v>0.04387914877419355</x:v>
      </x:c>
      <x:c r="I555" s="92" t="n">
        <x:f>E555-H555</x:f>
        <x:v>-0.18005581738377308</x:v>
      </x:c>
      <x:c r="J555" s="91" t="str">
        <x:f>'Trade Features'!CI555</x:f>
        <x:v>-0.18005581738377308</x:v>
      </x:c>
      <x:c r="K555" s="92" t="n">
        <x:f>I555-J555</x:f>
        <x:v>0</x:v>
      </x:c>
      <x:c r="L555" s="90" t="str">
        <x:f>IF(ABS(K555)&lt;0.000000001,"PASS","FAIL")</x:f>
        <x:v>PASS</x:v>
      </x:c>
    </x:row>
    <x:row r="556">
      <x:c r="A556" s="84" t="str">
        <x:f>'Trade Features'!A556</x:f>
        <x:v>A0555</x:v>
      </x:c>
      <x:c r="B556" s="84" t="str">
        <x:f>'Trade Features'!F556</x:f>
        <x:v>Short</x:v>
      </x:c>
      <x:c r="C556" s="91" t="str">
        <x:f>'Trade Features'!BX556</x:f>
        <x:v>23729.5</x:v>
      </x:c>
      <x:c r="D556" s="91" t="str">
        <x:f>'Trade Features'!CA556</x:f>
        <x:v>23742.442649464247</x:v>
      </x:c>
      <x:c r="E556" s="91" t="str">
        <x:f>'Trade Features'!CH556</x:f>
        <x:v>-0.5022155639736957</x:v>
      </x:c>
      <x:c r="F556" s="91" t="str">
        <x:f>'Trade Features'!CG556</x:f>
        <x:v>0.05601635136629271</x:v>
      </x:c>
      <x:c r="G556" s="92" t="n">
        <x:f>ABS(C556-D556)</x:f>
        <x:v>12.942649464246642</x:v>
      </x:c>
      <x:c r="H556" s="92" t="n">
        <x:f>IFERROR($O$2/(G556*$O$3),0)</x:f>
        <x:v>0.05601635136629271</x:v>
      </x:c>
      <x:c r="I556" s="92" t="n">
        <x:f>E556-H556</x:f>
        <x:v>-0.5582319153399884</x:v>
      </x:c>
      <x:c r="J556" s="91" t="str">
        <x:f>'Trade Features'!CI556</x:f>
        <x:v>-0.5582319153399884</x:v>
      </x:c>
      <x:c r="K556" s="92" t="n">
        <x:f>I556-J556</x:f>
        <x:v>0</x:v>
      </x:c>
      <x:c r="L556" s="90" t="str">
        <x:f>IF(ABS(K556)&lt;0.000000001,"PASS","FAIL")</x:f>
        <x:v>PASS</x:v>
      </x:c>
    </x:row>
    <x:row r="557">
      <x:c r="A557" s="84" t="str">
        <x:f>'Trade Features'!A557</x:f>
        <x:v>A0556</x:v>
      </x:c>
      <x:c r="B557" s="84" t="str">
        <x:f>'Trade Features'!F557</x:f>
        <x:v>Short</x:v>
      </x:c>
      <x:c r="C557" s="91" t="str">
        <x:f>'Trade Features'!BX557</x:f>
        <x:v>23719.75</x:v>
      </x:c>
      <x:c r="D557" s="91" t="str">
        <x:f>'Trade Features'!CA557</x:f>
        <x:v>23728.146202065527</x:v>
      </x:c>
      <x:c r="E557" s="91" t="str">
        <x:f>'Trade Features'!CH557</x:f>
        <x:v>-0.35730440699105037</x:v>
      </x:c>
      <x:c r="F557" s="91" t="str">
        <x:f>'Trade Features'!CG557</x:f>
        <x:v>0.08634856502283084</x:v>
      </x:c>
      <x:c r="G557" s="92" t="n">
        <x:f>ABS(C557-D557)</x:f>
        <x:v>8.396202065527177</x:v>
      </x:c>
      <x:c r="H557" s="92" t="n">
        <x:f>IFERROR($O$2/(G557*$O$3),0)</x:f>
        <x:v>0.08634856502283084</x:v>
      </x:c>
      <x:c r="I557" s="92" t="n">
        <x:f>E557-H557</x:f>
        <x:v>-0.4436529720138812</x:v>
      </x:c>
      <x:c r="J557" s="91" t="str">
        <x:f>'Trade Features'!CI557</x:f>
        <x:v>-0.4436529720138812</x:v>
      </x:c>
      <x:c r="K557" s="92" t="n">
        <x:f>I557-J557</x:f>
        <x:v>0</x:v>
      </x:c>
      <x:c r="L557" s="90" t="str">
        <x:f>IF(ABS(K557)&lt;0.000000001,"PASS","FAIL")</x:f>
        <x:v>PASS</x:v>
      </x:c>
    </x:row>
    <x:row r="558">
      <x:c r="A558" s="84" t="str">
        <x:f>'Trade Features'!A558</x:f>
        <x:v>A0557</x:v>
      </x:c>
      <x:c r="B558" s="84" t="str">
        <x:f>'Trade Features'!F558</x:f>
        <x:v>Short</x:v>
      </x:c>
      <x:c r="C558" s="91" t="str">
        <x:f>'Trade Features'!BX558</x:f>
        <x:v>23699.75</x:v>
      </x:c>
      <x:c r="D558" s="91" t="str">
        <x:f>'Trade Features'!CA558</x:f>
        <x:v>23728.40972564577</x:v>
      </x:c>
      <x:c r="E558" s="91" t="str">
        <x:f>'Trade Features'!CH558</x:f>
        <x:v>-1.0</x:v>
      </x:c>
      <x:c r="F558" s="91" t="str">
        <x:f>'Trade Features'!CG558</x:f>
        <x:v>0.025296822759605268</x:v>
      </x:c>
      <x:c r="G558" s="92" t="n">
        <x:f>ABS(C558-D558)</x:f>
        <x:v>28.659725645771687</x:v>
      </x:c>
      <x:c r="H558" s="92" t="n">
        <x:f>IFERROR($O$2/(G558*$O$3),0)</x:f>
        <x:v>0.025296822759605268</x:v>
      </x:c>
      <x:c r="I558" s="92" t="n">
        <x:f>E558-H558</x:f>
        <x:v>-1.0252968227596053</x:v>
      </x:c>
      <x:c r="J558" s="91" t="str">
        <x:f>'Trade Features'!CI558</x:f>
        <x:v>-1.0252968227596053</x:v>
      </x:c>
      <x:c r="K558" s="92" t="n">
        <x:f>I558-J558</x:f>
        <x:v>0</x:v>
      </x:c>
      <x:c r="L558" s="90" t="str">
        <x:f>IF(ABS(K558)&lt;0.000000001,"PASS","FAIL")</x:f>
        <x:v>PASS</x:v>
      </x:c>
    </x:row>
    <x:row r="559">
      <x:c r="A559" s="84" t="str">
        <x:f>'Trade Features'!A559</x:f>
        <x:v>A0558</x:v>
      </x:c>
      <x:c r="B559" s="84" t="str">
        <x:f>'Trade Features'!F559</x:f>
        <x:v>Long</x:v>
      </x:c>
      <x:c r="C559" s="91" t="str">
        <x:f>'Trade Features'!BX559</x:f>
        <x:v>23583.25</x:v>
      </x:c>
      <x:c r="D559" s="91" t="str">
        <x:f>'Trade Features'!CA559</x:f>
        <x:v>23571.621201597336</x:v>
      </x:c>
      <x:c r="E559" s="91" t="str">
        <x:f>'Trade Features'!CH559</x:f>
        <x:v>0.3654719819570372</x:v>
      </x:c>
      <x:c r="F559" s="91" t="str">
        <x:f>'Trade Features'!CG559</x:f>
        <x:v>0.06234522045148833</x:v>
      </x:c>
      <x:c r="G559" s="92" t="n">
        <x:f>ABS(C559-D559)</x:f>
        <x:v>11.62879840266396</x:v>
      </x:c>
      <x:c r="H559" s="92" t="n">
        <x:f>IFERROR($O$2/(G559*$O$3),0)</x:f>
        <x:v>0.06234522045148833</x:v>
      </x:c>
      <x:c r="I559" s="92" t="n">
        <x:f>E559-H559</x:f>
        <x:v>0.30312676150554885</x:v>
      </x:c>
      <x:c r="J559" s="91" t="str">
        <x:f>'Trade Features'!CI559</x:f>
        <x:v>0.30312676150554885</x:v>
      </x:c>
      <x:c r="K559" s="92" t="n">
        <x:f>I559-J559</x:f>
        <x:v>0</x:v>
      </x:c>
      <x:c r="L559" s="90" t="str">
        <x:f>IF(ABS(K559)&lt;0.000000001,"PASS","FAIL")</x:f>
        <x:v>PASS</x:v>
      </x:c>
    </x:row>
    <x:row r="560">
      <x:c r="A560" s="84" t="str">
        <x:f>'Trade Features'!A560</x:f>
        <x:v>A0559</x:v>
      </x:c>
      <x:c r="B560" s="84" t="str">
        <x:f>'Trade Features'!F560</x:f>
        <x:v>Short</x:v>
      </x:c>
      <x:c r="C560" s="91" t="str">
        <x:f>'Trade Features'!BX560</x:f>
        <x:v>23535.0</x:v>
      </x:c>
      <x:c r="D560" s="91" t="str">
        <x:f>'Trade Features'!CA560</x:f>
        <x:v>23552.458922780574</x:v>
      </x:c>
      <x:c r="E560" s="91" t="str">
        <x:f>'Trade Features'!CH560</x:f>
        <x:v>-1.0</x:v>
      </x:c>
      <x:c r="F560" s="91" t="str">
        <x:f>'Trade Features'!CG560</x:f>
        <x:v>0.04152604425323997</x:v>
      </x:c>
      <x:c r="G560" s="92" t="n">
        <x:f>ABS(C560-D560)</x:f>
        <x:v>17.45892278057363</x:v>
      </x:c>
      <x:c r="H560" s="92" t="n">
        <x:f>IFERROR($O$2/(G560*$O$3),0)</x:f>
        <x:v>0.04152604425323997</x:v>
      </x:c>
      <x:c r="I560" s="92" t="n">
        <x:f>E560-H560</x:f>
        <x:v>-1.04152604425324</x:v>
      </x:c>
      <x:c r="J560" s="91" t="str">
        <x:f>'Trade Features'!CI560</x:f>
        <x:v>-1.04152604425324</x:v>
      </x:c>
      <x:c r="K560" s="92" t="n">
        <x:f>I560-J560</x:f>
        <x:v>0</x:v>
      </x:c>
      <x:c r="L560" s="90" t="str">
        <x:f>IF(ABS(K560)&lt;0.000000001,"PASS","FAIL")</x:f>
        <x:v>PASS</x:v>
      </x:c>
    </x:row>
    <x:row r="561">
      <x:c r="A561" s="84" t="str">
        <x:f>'Trade Features'!A561</x:f>
        <x:v>A0560</x:v>
      </x:c>
      <x:c r="B561" s="84" t="str">
        <x:f>'Trade Features'!F561</x:f>
        <x:v>Short</x:v>
      </x:c>
      <x:c r="C561" s="91" t="str">
        <x:f>'Trade Features'!BX561</x:f>
        <x:v>23540.25</x:v>
      </x:c>
      <x:c r="D561" s="91" t="str">
        <x:f>'Trade Features'!CA561</x:f>
        <x:v>23557.789478031802</x:v>
      </x:c>
      <x:c r="E561" s="91" t="str">
        <x:f>'Trade Features'!CH561</x:f>
        <x:v>1.0690169893314168</x:v>
      </x:c>
      <x:c r="F561" s="91" t="str">
        <x:f>'Trade Features'!CG561</x:f>
        <x:v>0.04133532358747817</x:v>
      </x:c>
      <x:c r="G561" s="92" t="n">
        <x:f>ABS(C561-D561)</x:f>
        <x:v>17.53947803180199</x:v>
      </x:c>
      <x:c r="H561" s="92" t="n">
        <x:f>IFERROR($O$2/(G561*$O$3),0)</x:f>
        <x:v>0.04133532358747817</x:v>
      </x:c>
      <x:c r="I561" s="92" t="n">
        <x:f>E561-H561</x:f>
        <x:v>1.0276816657439385</x:v>
      </x:c>
      <x:c r="J561" s="91" t="str">
        <x:f>'Trade Features'!CI561</x:f>
        <x:v>1.0276816657439385</x:v>
      </x:c>
      <x:c r="K561" s="92" t="n">
        <x:f>I561-J561</x:f>
        <x:v>0</x:v>
      </x:c>
      <x:c r="L561" s="90" t="str">
        <x:f>IF(ABS(K561)&lt;0.000000001,"PASS","FAIL")</x:f>
        <x:v>PASS</x:v>
      </x:c>
    </x:row>
    <x:row r="562">
      <x:c r="A562" s="84" t="str">
        <x:f>'Trade Features'!A562</x:f>
        <x:v>A0561</x:v>
      </x:c>
      <x:c r="B562" s="84" t="str">
        <x:f>'Trade Features'!F562</x:f>
        <x:v>Short</x:v>
      </x:c>
      <x:c r="C562" s="91" t="str">
        <x:f>'Trade Features'!BX562</x:f>
        <x:v>23449.75</x:v>
      </x:c>
      <x:c r="D562" s="91" t="str">
        <x:f>'Trade Features'!CA562</x:f>
        <x:v>23460.005511940657</x:v>
      </x:c>
      <x:c r="E562" s="91" t="str">
        <x:f>'Trade Features'!CH562</x:f>
        <x:v>2.0</x:v>
      </x:c>
      <x:c r="F562" s="91" t="str">
        <x:f>'Trade Features'!CG562</x:f>
        <x:v>0.07069369176255409</x:v>
      </x:c>
      <x:c r="G562" s="92" t="n">
        <x:f>ABS(C562-D562)</x:f>
        <x:v>10.255511940657016</x:v>
      </x:c>
      <x:c r="H562" s="92" t="n">
        <x:f>IFERROR($O$2/(G562*$O$3),0)</x:f>
        <x:v>0.07069369176255409</x:v>
      </x:c>
      <x:c r="I562" s="92" t="n">
        <x:f>E562-H562</x:f>
        <x:v>1.929306308237446</x:v>
      </x:c>
      <x:c r="J562" s="91" t="str">
        <x:f>'Trade Features'!CI562</x:f>
        <x:v>1.929306308237446</x:v>
      </x:c>
      <x:c r="K562" s="92" t="n">
        <x:f>I562-J562</x:f>
        <x:v>0</x:v>
      </x:c>
      <x:c r="L562" s="90" t="str">
        <x:f>IF(ABS(K562)&lt;0.000000001,"PASS","FAIL")</x:f>
        <x:v>PASS</x:v>
      </x:c>
    </x:row>
    <x:row r="563">
      <x:c r="A563" s="84" t="str">
        <x:f>'Trade Features'!A563</x:f>
        <x:v>A0562</x:v>
      </x:c>
      <x:c r="B563" s="84" t="str">
        <x:f>'Trade Features'!F563</x:f>
        <x:v>Short</x:v>
      </x:c>
      <x:c r="C563" s="91" t="str">
        <x:f>'Trade Features'!BX563</x:f>
        <x:v>23401.25</x:v>
      </x:c>
      <x:c r="D563" s="91" t="str">
        <x:f>'Trade Features'!CA563</x:f>
        <x:v>23433.477081985428</x:v>
      </x:c>
      <x:c r="E563" s="91" t="str">
        <x:f>'Trade Features'!CH563</x:f>
        <x:v>-1.0</x:v>
      </x:c>
      <x:c r="F563" s="91" t="str">
        <x:f>'Trade Features'!CG563</x:f>
        <x:v>0.022496607056382942</x:v>
      </x:c>
      <x:c r="G563" s="92" t="n">
        <x:f>ABS(C563-D563)</x:f>
        <x:v>32.2270819854275</x:v>
      </x:c>
      <x:c r="H563" s="92" t="n">
        <x:f>IFERROR($O$2/(G563*$O$3),0)</x:f>
        <x:v>0.022496607056382942</x:v>
      </x:c>
      <x:c r="I563" s="92" t="n">
        <x:f>E563-H563</x:f>
        <x:v>-1.022496607056383</x:v>
      </x:c>
      <x:c r="J563" s="91" t="str">
        <x:f>'Trade Features'!CI563</x:f>
        <x:v>-1.022496607056383</x:v>
      </x:c>
      <x:c r="K563" s="92" t="n">
        <x:f>I563-J563</x:f>
        <x:v>0</x:v>
      </x:c>
      <x:c r="L563" s="90" t="str">
        <x:f>IF(ABS(K563)&lt;0.000000001,"PASS","FAIL")</x:f>
        <x:v>PASS</x:v>
      </x:c>
    </x:row>
    <x:row r="564">
      <x:c r="A564" s="84" t="str">
        <x:f>'Trade Features'!A564</x:f>
        <x:v>A0563</x:v>
      </x:c>
      <x:c r="B564" s="84" t="str">
        <x:f>'Trade Features'!F564</x:f>
        <x:v>Long</x:v>
      </x:c>
      <x:c r="C564" s="91" t="str">
        <x:f>'Trade Features'!BX564</x:f>
        <x:v>23250.5</x:v>
      </x:c>
      <x:c r="D564" s="91" t="str">
        <x:f>'Trade Features'!CA564</x:f>
        <x:v>23196.106454224904</x:v>
      </x:c>
      <x:c r="E564" s="91" t="str">
        <x:f>'Trade Features'!CH564</x:f>
        <x:v>0.3860752172110753</x:v>
      </x:c>
      <x:c r="F564" s="91" t="str">
        <x:f>'Trade Features'!CG564</x:f>
        <x:v>0.013328787260858111</x:v>
      </x:c>
      <x:c r="G564" s="92" t="n">
        <x:f>ABS(C564-D564)</x:f>
        <x:v>54.393545775095845</x:v>
      </x:c>
      <x:c r="H564" s="92" t="n">
        <x:f>IFERROR($O$2/(G564*$O$3),0)</x:f>
        <x:v>0.013328787260858111</x:v>
      </x:c>
      <x:c r="I564" s="92" t="n">
        <x:f>E564-H564</x:f>
        <x:v>0.3727464299502172</x:v>
      </x:c>
      <x:c r="J564" s="91" t="str">
        <x:f>'Trade Features'!CI564</x:f>
        <x:v>0.3727464299502172</x:v>
      </x:c>
      <x:c r="K564" s="92" t="n">
        <x:f>I564-J564</x:f>
        <x:v>0</x:v>
      </x:c>
      <x:c r="L564" s="90" t="str">
        <x:f>IF(ABS(K564)&lt;0.000000001,"PASS","FAIL")</x:f>
        <x:v>PASS</x:v>
      </x:c>
    </x:row>
    <x:row r="565">
      <x:c r="A565" s="84" t="str">
        <x:f>'Trade Features'!A565</x:f>
        <x:v>A0564</x:v>
      </x:c>
      <x:c r="B565" s="84" t="str">
        <x:f>'Trade Features'!F565</x:f>
        <x:v>Long</x:v>
      </x:c>
      <x:c r="C565" s="91" t="str">
        <x:f>'Trade Features'!BX565</x:f>
        <x:v>23367.25</x:v>
      </x:c>
      <x:c r="D565" s="91" t="str">
        <x:f>'Trade Features'!CA565</x:f>
        <x:v>23345.707352577945</x:v>
      </x:c>
      <x:c r="E565" s="91" t="str">
        <x:f>'Trade Features'!CH565</x:f>
        <x:v>-1.0</x:v>
      </x:c>
      <x:c r="F565" s="91" t="str">
        <x:f>'Trade Features'!CG565</x:f>
        <x:v>0.03365417377892754</x:v>
      </x:c>
      <x:c r="G565" s="92" t="n">
        <x:f>ABS(C565-D565)</x:f>
        <x:v>21.54264742205487</x:v>
      </x:c>
      <x:c r="H565" s="92" t="n">
        <x:f>IFERROR($O$2/(G565*$O$3),0)</x:f>
        <x:v>0.03365417377892754</x:v>
      </x:c>
      <x:c r="I565" s="92" t="n">
        <x:f>E565-H565</x:f>
        <x:v>-1.0336541737789275</x:v>
      </x:c>
      <x:c r="J565" s="91" t="str">
        <x:f>'Trade Features'!CI565</x:f>
        <x:v>-1.0336541737789275</x:v>
      </x:c>
      <x:c r="K565" s="92" t="n">
        <x:f>I565-J565</x:f>
        <x:v>0</x:v>
      </x:c>
      <x:c r="L565" s="90" t="str">
        <x:f>IF(ABS(K565)&lt;0.000000001,"PASS","FAIL")</x:f>
        <x:v>PASS</x:v>
      </x:c>
    </x:row>
    <x:row r="566">
      <x:c r="A566" s="84" t="str">
        <x:f>'Trade Features'!A566</x:f>
        <x:v>A0565</x:v>
      </x:c>
      <x:c r="B566" s="84" t="str">
        <x:f>'Trade Features'!F566</x:f>
        <x:v>Short</x:v>
      </x:c>
      <x:c r="C566" s="91" t="str">
        <x:f>'Trade Features'!BX566</x:f>
        <x:v>23578.25</x:v>
      </x:c>
      <x:c r="D566" s="91" t="str">
        <x:f>'Trade Features'!CA566</x:f>
        <x:v>23593.317344591684</x:v>
      </x:c>
      <x:c r="E566" s="91" t="str">
        <x:f>'Trade Features'!CH566</x:f>
        <x:v>-1.0</x:v>
      </x:c>
      <x:c r="F566" s="91" t="str">
        <x:f>'Trade Features'!CG566</x:f>
        <x:v>0.04811730398733698</x:v>
      </x:c>
      <x:c r="G566" s="92" t="n">
        <x:f>ABS(C566-D566)</x:f>
        <x:v>15.06734459168365</x:v>
      </x:c>
      <x:c r="H566" s="92" t="n">
        <x:f>IFERROR($O$2/(G566*$O$3),0)</x:f>
        <x:v>0.04811730398733698</x:v>
      </x:c>
      <x:c r="I566" s="92" t="n">
        <x:f>E566-H566</x:f>
        <x:v>-1.048117303987337</x:v>
      </x:c>
      <x:c r="J566" s="91" t="str">
        <x:f>'Trade Features'!CI566</x:f>
        <x:v>-1.048117303987337</x:v>
      </x:c>
      <x:c r="K566" s="92" t="n">
        <x:f>I566-J566</x:f>
        <x:v>0</x:v>
      </x:c>
      <x:c r="L566" s="90" t="str">
        <x:f>IF(ABS(K566)&lt;0.000000001,"PASS","FAIL")</x:f>
        <x:v>PASS</x:v>
      </x:c>
    </x:row>
    <x:row r="567">
      <x:c r="A567" s="84" t="str">
        <x:f>'Trade Features'!A567</x:f>
        <x:v>A0566</x:v>
      </x:c>
      <x:c r="B567" s="84" t="str">
        <x:f>'Trade Features'!F567</x:f>
        <x:v>Long</x:v>
      </x:c>
      <x:c r="C567" s="91" t="str">
        <x:f>'Trade Features'!BX567</x:f>
        <x:v>23527.5</x:v>
      </x:c>
      <x:c r="D567" s="91" t="str">
        <x:f>'Trade Features'!CA567</x:f>
        <x:v>23495.94318715078</x:v>
      </x:c>
      <x:c r="E567" s="91" t="str">
        <x:f>'Trade Features'!CH567</x:f>
        <x:v>1.315088446931948</x:v>
      </x:c>
      <x:c r="F567" s="91" t="str">
        <x:f>'Trade Features'!CG567</x:f>
        <x:v>0.02297443672350866</x:v>
      </x:c>
      <x:c r="G567" s="92" t="n">
        <x:f>ABS(C567-D567)</x:f>
        <x:v>31.55681284921957</x:v>
      </x:c>
      <x:c r="H567" s="92" t="n">
        <x:f>IFERROR($O$2/(G567*$O$3),0)</x:f>
        <x:v>0.02297443672350866</x:v>
      </x:c>
      <x:c r="I567" s="92" t="n">
        <x:f>E567-H567</x:f>
        <x:v>1.2921140102084392</x:v>
      </x:c>
      <x:c r="J567" s="91" t="str">
        <x:f>'Trade Features'!CI567</x:f>
        <x:v>1.2921140102084392</x:v>
      </x:c>
      <x:c r="K567" s="92" t="n">
        <x:f>I567-J567</x:f>
        <x:v>0</x:v>
      </x:c>
      <x:c r="L567" s="90" t="str">
        <x:f>IF(ABS(K567)&lt;0.000000001,"PASS","FAIL")</x:f>
        <x:v>PASS</x:v>
      </x:c>
    </x:row>
    <x:row r="568">
      <x:c r="A568" s="84" t="str">
        <x:f>'Trade Features'!A568</x:f>
        <x:v>A0567</x:v>
      </x:c>
      <x:c r="B568" s="84" t="str">
        <x:f>'Trade Features'!F568</x:f>
        <x:v>Long</x:v>
      </x:c>
      <x:c r="C568" s="91" t="str">
        <x:f>'Trade Features'!BX568</x:f>
        <x:v>23790.5</x:v>
      </x:c>
      <x:c r="D568" s="91" t="str">
        <x:f>'Trade Features'!CA568</x:f>
        <x:v>23756.154679101797</x:v>
      </x:c>
      <x:c r="E568" s="91" t="str">
        <x:f>'Trade Features'!CH568</x:f>
        <x:v>0.4149036790844295</x:v>
      </x:c>
      <x:c r="F568" s="91" t="str">
        <x:f>'Trade Features'!CG568</x:f>
        <x:v>0.021109134549910057</x:v>
      </x:c>
      <x:c r="G568" s="92" t="n">
        <x:f>ABS(C568-D568)</x:f>
        <x:v>34.34532089820277</x:v>
      </x:c>
      <x:c r="H568" s="92" t="n">
        <x:f>IFERROR($O$2/(G568*$O$3),0)</x:f>
        <x:v>0.021109134549910057</x:v>
      </x:c>
      <x:c r="I568" s="92" t="n">
        <x:f>E568-H568</x:f>
        <x:v>0.39379454453451945</x:v>
      </x:c>
      <x:c r="J568" s="91" t="str">
        <x:f>'Trade Features'!CI568</x:f>
        <x:v>0.39379454453451945</x:v>
      </x:c>
      <x:c r="K568" s="92" t="n">
        <x:f>I568-J568</x:f>
        <x:v>0</x:v>
      </x:c>
      <x:c r="L568" s="90" t="str">
        <x:f>IF(ABS(K568)&lt;0.000000001,"PASS","FAIL")</x:f>
        <x:v>PASS</x:v>
      </x:c>
    </x:row>
    <x:row r="569">
      <x:c r="A569" s="84" t="str">
        <x:f>'Trade Features'!A569</x:f>
        <x:v>A0568</x:v>
      </x:c>
      <x:c r="B569" s="84" t="str">
        <x:f>'Trade Features'!F569</x:f>
        <x:v>Long</x:v>
      </x:c>
      <x:c r="C569" s="91" t="str">
        <x:f>'Trade Features'!BX569</x:f>
        <x:v>23811.5</x:v>
      </x:c>
      <x:c r="D569" s="91" t="str">
        <x:f>'Trade Features'!CA569</x:f>
        <x:v>23789.98431942616</x:v>
      </x:c>
      <x:c r="E569" s="91" t="str">
        <x:f>'Trade Features'!CH569</x:f>
        <x:v>-1.0</x:v>
      </x:c>
      <x:c r="F569" s="91" t="str">
        <x:f>'Trade Features'!CG569</x:f>
        <x:v>0.033696354503490566</x:v>
      </x:c>
      <x:c r="G569" s="92" t="n">
        <x:f>ABS(C569-D569)</x:f>
        <x:v>21.515680573840655</x:v>
      </x:c>
      <x:c r="H569" s="92" t="n">
        <x:f>IFERROR($O$2/(G569*$O$3),0)</x:f>
        <x:v>0.033696354503490566</x:v>
      </x:c>
      <x:c r="I569" s="92" t="n">
        <x:f>E569-H569</x:f>
        <x:v>-1.0336963545034905</x:v>
      </x:c>
      <x:c r="J569" s="91" t="str">
        <x:f>'Trade Features'!CI569</x:f>
        <x:v>-1.0336963545034905</x:v>
      </x:c>
      <x:c r="K569" s="92" t="n">
        <x:f>I569-J569</x:f>
        <x:v>0</x:v>
      </x:c>
      <x:c r="L569" s="90" t="str">
        <x:f>IF(ABS(K569)&lt;0.000000001,"PASS","FAIL")</x:f>
        <x:v>PASS</x:v>
      </x:c>
    </x:row>
    <x:row r="570">
      <x:c r="A570" s="84" t="str">
        <x:f>'Trade Features'!A570</x:f>
        <x:v>A0569</x:v>
      </x:c>
      <x:c r="B570" s="84" t="str">
        <x:f>'Trade Features'!F570</x:f>
        <x:v>Long</x:v>
      </x:c>
      <x:c r="C570" s="91" t="str">
        <x:f>'Trade Features'!BX570</x:f>
        <x:v>23784.0</x:v>
      </x:c>
      <x:c r="D570" s="91" t="str">
        <x:f>'Trade Features'!CA570</x:f>
        <x:v>23746.038797759476</x:v>
      </x:c>
      <x:c r="E570" s="91" t="str">
        <x:f>'Trade Features'!CH570</x:f>
        <x:v>0.2107414815081934</x:v>
      </x:c>
      <x:c r="F570" s="91" t="str">
        <x:f>'Trade Features'!CG570</x:f>
        <x:v>0.01909844676167982</x:v>
      </x:c>
      <x:c r="G570" s="92" t="n">
        <x:f>ABS(C570-D570)</x:f>
        <x:v>37.96120224052356</x:v>
      </x:c>
      <x:c r="H570" s="92" t="n">
        <x:f>IFERROR($O$2/(G570*$O$3),0)</x:f>
        <x:v>0.01909844676167982</x:v>
      </x:c>
      <x:c r="I570" s="92" t="n">
        <x:f>E570-H570</x:f>
        <x:v>0.1916430347465136</x:v>
      </x:c>
      <x:c r="J570" s="91" t="str">
        <x:f>'Trade Features'!CI570</x:f>
        <x:v>0.1916430347465136</x:v>
      </x:c>
      <x:c r="K570" s="92" t="n">
        <x:f>I570-J570</x:f>
        <x:v>0</x:v>
      </x:c>
      <x:c r="L570" s="90" t="str">
        <x:f>IF(ABS(K570)&lt;0.000000001,"PASS","FAIL")</x:f>
        <x:v>PASS</x:v>
      </x:c>
    </x:row>
    <x:row r="571">
      <x:c r="A571" s="84" t="str">
        <x:f>'Trade Features'!A571</x:f>
        <x:v>A0570</x:v>
      </x:c>
      <x:c r="B571" s="84" t="str">
        <x:f>'Trade Features'!F571</x:f>
        <x:v>Short</x:v>
      </x:c>
      <x:c r="C571" s="91" t="str">
        <x:f>'Trade Features'!BX571</x:f>
        <x:v>23760.0</x:v>
      </x:c>
      <x:c r="D571" s="91" t="str">
        <x:f>'Trade Features'!CA571</x:f>
        <x:v>23780.835285479952</x:v>
      </x:c>
      <x:c r="E571" s="91" t="str">
        <x:f>'Trade Features'!CH571</x:f>
        <x:v>1.703840344984011</x:v>
      </x:c>
      <x:c r="F571" s="91" t="str">
        <x:f>'Trade Features'!CG571</x:f>
        <x:v>0.03479673943981209</x:v>
      </x:c>
      <x:c r="G571" s="92" t="n">
        <x:f>ABS(C571-D571)</x:f>
        <x:v>20.83528547995229</x:v>
      </x:c>
      <x:c r="H571" s="92" t="n">
        <x:f>IFERROR($O$2/(G571*$O$3),0)</x:f>
        <x:v>0.03479673943981209</x:v>
      </x:c>
      <x:c r="I571" s="92" t="n">
        <x:f>E571-H571</x:f>
        <x:v>1.6690436055441988</x:v>
      </x:c>
      <x:c r="J571" s="91" t="str">
        <x:f>'Trade Features'!CI571</x:f>
        <x:v>1.6690436055441988</x:v>
      </x:c>
      <x:c r="K571" s="92" t="n">
        <x:f>I571-J571</x:f>
        <x:v>0</x:v>
      </x:c>
      <x:c r="L571" s="90" t="str">
        <x:f>IF(ABS(K571)&lt;0.000000001,"PASS","FAIL")</x:f>
        <x:v>PASS</x:v>
      </x:c>
    </x:row>
    <x:row r="572">
      <x:c r="A572" s="84" t="str">
        <x:f>'Trade Features'!A572</x:f>
        <x:v>A0571</x:v>
      </x:c>
      <x:c r="B572" s="84" t="str">
        <x:f>'Trade Features'!F572</x:f>
        <x:v>Short</x:v>
      </x:c>
      <x:c r="C572" s="91" t="str">
        <x:f>'Trade Features'!BX572</x:f>
        <x:v>23722.75</x:v>
      </x:c>
      <x:c r="D572" s="91" t="str">
        <x:f>'Trade Features'!CA572</x:f>
        <x:v>23780.359927227226</x:v>
      </x:c>
      <x:c r="E572" s="91" t="str">
        <x:f>'Trade Features'!CH572</x:f>
        <x:v>-0.5467807635957952</x:v>
      </x:c>
      <x:c r="F572" s="91" t="str">
        <x:f>'Trade Features'!CG572</x:f>
        <x:v>0.012584636622442608</x:v>
      </x:c>
      <x:c r="G572" s="92" t="n">
        <x:f>ABS(C572-D572)</x:f>
        <x:v>57.60992722722585</x:v>
      </x:c>
      <x:c r="H572" s="92" t="n">
        <x:f>IFERROR($O$2/(G572*$O$3),0)</x:f>
        <x:v>0.012584636622442608</x:v>
      </x:c>
      <x:c r="I572" s="92" t="n">
        <x:f>E572-H572</x:f>
        <x:v>-0.5593654002182378</x:v>
      </x:c>
      <x:c r="J572" s="91" t="str">
        <x:f>'Trade Features'!CI572</x:f>
        <x:v>-0.5593654002182378</x:v>
      </x:c>
      <x:c r="K572" s="92" t="n">
        <x:f>I572-J572</x:f>
        <x:v>0</x:v>
      </x:c>
      <x:c r="L572" s="90" t="str">
        <x:f>IF(ABS(K572)&lt;0.000000001,"PASS","FAIL")</x:f>
        <x:v>PASS</x:v>
      </x:c>
    </x:row>
    <x:row r="573">
      <x:c r="A573" s="84" t="str">
        <x:f>'Trade Features'!A573</x:f>
        <x:v>A0572</x:v>
      </x:c>
      <x:c r="B573" s="84" t="str">
        <x:f>'Trade Features'!F573</x:f>
        <x:v>Short</x:v>
      </x:c>
      <x:c r="C573" s="91" t="str">
        <x:f>'Trade Features'!BX573</x:f>
        <x:v>23343.75</x:v>
      </x:c>
      <x:c r="D573" s="91" t="str">
        <x:f>'Trade Features'!CA573</x:f>
        <x:v>23416.847755129584</x:v>
      </x:c>
      <x:c r="E573" s="91" t="str">
        <x:f>'Trade Features'!CH573</x:f>
        <x:v>-1.0</x:v>
      </x:c>
      <x:c r="F573" s="91" t="str">
        <x:f>'Trade Features'!CG573</x:f>
        <x:v>0.009918225241182304</x:v>
      </x:c>
      <x:c r="G573" s="92" t="n">
        <x:f>ABS(C573-D573)</x:f>
        <x:v>73.09775512958367</x:v>
      </x:c>
      <x:c r="H573" s="92" t="n">
        <x:f>IFERROR($O$2/(G573*$O$3),0)</x:f>
        <x:v>0.009918225241182304</x:v>
      </x:c>
      <x:c r="I573" s="92" t="n">
        <x:f>E573-H573</x:f>
        <x:v>-1.0099182252411822</x:v>
      </x:c>
      <x:c r="J573" s="91" t="str">
        <x:f>'Trade Features'!CI573</x:f>
        <x:v>-1.0099182252411822</x:v>
      </x:c>
      <x:c r="K573" s="92" t="n">
        <x:f>I573-J573</x:f>
        <x:v>0</x:v>
      </x:c>
      <x:c r="L573" s="90" t="str">
        <x:f>IF(ABS(K573)&lt;0.000000001,"PASS","FAIL")</x:f>
        <x:v>PASS</x:v>
      </x:c>
    </x:row>
    <x:row r="574">
      <x:c r="A574" s="84" t="str">
        <x:f>'Trade Features'!A574</x:f>
        <x:v>A0573</x:v>
      </x:c>
      <x:c r="B574" s="84" t="str">
        <x:f>'Trade Features'!F574</x:f>
        <x:v>Long</x:v>
      </x:c>
      <x:c r="C574" s="91" t="str">
        <x:f>'Trade Features'!BX574</x:f>
        <x:v>23394.25</x:v>
      </x:c>
      <x:c r="D574" s="91" t="str">
        <x:f>'Trade Features'!CA574</x:f>
        <x:v>23341.880973772728</x:v>
      </x:c>
      <x:c r="E574" s="91" t="str">
        <x:f>'Trade Features'!CH574</x:f>
        <x:v>1.2316440584570105</x:v>
      </x:c>
      <x:c r="F574" s="91" t="str">
        <x:f>'Trade Features'!CG574</x:f>
        <x:v>0.013844061122191406</x:v>
      </x:c>
      <x:c r="G574" s="92" t="n">
        <x:f>ABS(C574-D574)</x:f>
        <x:v>52.369026227272116</x:v>
      </x:c>
      <x:c r="H574" s="92" t="n">
        <x:f>IFERROR($O$2/(G574*$O$3),0)</x:f>
        <x:v>0.013844061122191406</x:v>
      </x:c>
      <x:c r="I574" s="92" t="n">
        <x:f>E574-H574</x:f>
        <x:v>1.217799997334819</x:v>
      </x:c>
      <x:c r="J574" s="91" t="str">
        <x:f>'Trade Features'!CI574</x:f>
        <x:v>1.217799997334819</x:v>
      </x:c>
      <x:c r="K574" s="92" t="n">
        <x:f>I574-J574</x:f>
        <x:v>0</x:v>
      </x:c>
      <x:c r="L574" s="90" t="str">
        <x:f>IF(ABS(K574)&lt;0.000000001,"PASS","FAIL")</x:f>
        <x:v>PASS</x:v>
      </x:c>
    </x:row>
    <x:row r="575">
      <x:c r="A575" s="84" t="str">
        <x:f>'Trade Features'!A575</x:f>
        <x:v>A0574</x:v>
      </x:c>
      <x:c r="B575" s="84" t="str">
        <x:f>'Trade Features'!F575</x:f>
        <x:v>Long</x:v>
      </x:c>
      <x:c r="C575" s="91" t="str">
        <x:f>'Trade Features'!BX575</x:f>
        <x:v>23457.5</x:v>
      </x:c>
      <x:c r="D575" s="91" t="str">
        <x:f>'Trade Features'!CA575</x:f>
        <x:v>23438.38794958798</x:v>
      </x:c>
      <x:c r="E575" s="91" t="str">
        <x:f>'Trade Features'!CH575</x:f>
        <x:v>2.0</x:v>
      </x:c>
      <x:c r="F575" s="91" t="str">
        <x:f>'Trade Features'!CG575</x:f>
        <x:v>0.037934182066831953</x:v>
      </x:c>
      <x:c r="G575" s="92" t="n">
        <x:f>ABS(C575-D575)</x:f>
        <x:v>19.112050412019016</x:v>
      </x:c>
      <x:c r="H575" s="92" t="n">
        <x:f>IFERROR($O$2/(G575*$O$3),0)</x:f>
        <x:v>0.037934182066831953</x:v>
      </x:c>
      <x:c r="I575" s="92" t="n">
        <x:f>E575-H575</x:f>
        <x:v>1.962065817933168</x:v>
      </x:c>
      <x:c r="J575" s="91" t="str">
        <x:f>'Trade Features'!CI575</x:f>
        <x:v>1.962065817933168</x:v>
      </x:c>
      <x:c r="K575" s="92" t="n">
        <x:f>I575-J575</x:f>
        <x:v>0</x:v>
      </x:c>
      <x:c r="L575" s="90" t="str">
        <x:f>IF(ABS(K575)&lt;0.000000001,"PASS","FAIL")</x:f>
        <x:v>PASS</x:v>
      </x:c>
    </x:row>
    <x:row r="576">
      <x:c r="A576" s="84" t="str">
        <x:f>'Trade Features'!A576</x:f>
        <x:v>A0575</x:v>
      </x:c>
      <x:c r="B576" s="84" t="str">
        <x:f>'Trade Features'!F576</x:f>
        <x:v>Short</x:v>
      </x:c>
      <x:c r="C576" s="91" t="str">
        <x:f>'Trade Features'!BX576</x:f>
        <x:v>23711.25</x:v>
      </x:c>
      <x:c r="D576" s="91" t="str">
        <x:f>'Trade Features'!CA576</x:f>
        <x:v>23752.137918971188</x:v>
      </x:c>
      <x:c r="E576" s="91" t="str">
        <x:f>'Trade Features'!CH576</x:f>
        <x:v>-0.4341135583962626</x:v>
      </x:c>
      <x:c r="F576" s="91" t="str">
        <x:f>'Trade Features'!CG576</x:f>
        <x:v>0.017731398864072268</x:v>
      </x:c>
      <x:c r="G576" s="92" t="n">
        <x:f>ABS(C576-D576)</x:f>
        <x:v>40.8879189711879</x:v>
      </x:c>
      <x:c r="H576" s="92" t="n">
        <x:f>IFERROR($O$2/(G576*$O$3),0)</x:f>
        <x:v>0.017731398864072268</x:v>
      </x:c>
      <x:c r="I576" s="92" t="n">
        <x:f>E576-H576</x:f>
        <x:v>-0.45184495726033486</x:v>
      </x:c>
      <x:c r="J576" s="91" t="str">
        <x:f>'Trade Features'!CI576</x:f>
        <x:v>-0.45184495726033486</x:v>
      </x:c>
      <x:c r="K576" s="92" t="n">
        <x:f>I576-J576</x:f>
        <x:v>0</x:v>
      </x:c>
      <x:c r="L576" s="90" t="str">
        <x:f>IF(ABS(K576)&lt;0.000000001,"PASS","FAIL")</x:f>
        <x:v>PASS</x:v>
      </x:c>
    </x:row>
    <x:row r="577">
      <x:c r="A577" s="84" t="str">
        <x:f>'Trade Features'!A577</x:f>
        <x:v>A0576</x:v>
      </x:c>
      <x:c r="B577" s="84" t="str">
        <x:f>'Trade Features'!F577</x:f>
        <x:v>Long</x:v>
      </x:c>
      <x:c r="C577" s="91" t="str">
        <x:f>'Trade Features'!BX577</x:f>
        <x:v>23708.0</x:v>
      </x:c>
      <x:c r="D577" s="91" t="str">
        <x:f>'Trade Features'!CA577</x:f>
        <x:v>23681.83653920423</x:v>
      </x:c>
      <x:c r="E577" s="91" t="str">
        <x:f>'Trade Features'!CH577</x:f>
        <x:v>-1.0</x:v>
      </x:c>
      <x:c r="F577" s="91" t="str">
        <x:f>'Trade Features'!CG577</x:f>
        <x:v>0.027710401374621683</x:v>
      </x:c>
      <x:c r="G577" s="92" t="n">
        <x:f>ABS(C577-D577)</x:f>
        <x:v>26.163460795771243</x:v>
      </x:c>
      <x:c r="H577" s="92" t="n">
        <x:f>IFERROR($O$2/(G577*$O$3),0)</x:f>
        <x:v>0.027710401374621683</x:v>
      </x:c>
      <x:c r="I577" s="92" t="n">
        <x:f>E577-H577</x:f>
        <x:v>-1.0277104013746217</x:v>
      </x:c>
      <x:c r="J577" s="91" t="str">
        <x:f>'Trade Features'!CI577</x:f>
        <x:v>-1.0277104013746217</x:v>
      </x:c>
      <x:c r="K577" s="92" t="n">
        <x:f>I577-J577</x:f>
        <x:v>0</x:v>
      </x:c>
      <x:c r="L577" s="90" t="str">
        <x:f>IF(ABS(K577)&lt;0.000000001,"PASS","FAIL")</x:f>
        <x:v>PASS</x:v>
      </x:c>
    </x:row>
    <x:row r="578">
      <x:c r="A578" s="84" t="str">
        <x:f>'Trade Features'!A578</x:f>
        <x:v>A0577</x:v>
      </x:c>
      <x:c r="B578" s="84" t="str">
        <x:f>'Trade Features'!F578</x:f>
        <x:v>Short</x:v>
      </x:c>
      <x:c r="C578" s="91" t="str">
        <x:f>'Trade Features'!BX578</x:f>
        <x:v>23067.0</x:v>
      </x:c>
      <x:c r="D578" s="91" t="str">
        <x:f>'Trade Features'!CA578</x:f>
        <x:v>23116.924132112934</x:v>
      </x:c>
      <x:c r="E578" s="91" t="str">
        <x:f>'Trade Features'!CH578</x:f>
        <x:v>1.8177581894606205</x:v>
      </x:c>
      <x:c r="F578" s="91" t="str">
        <x:f>'Trade Features'!CG578</x:f>
        <x:v>0.01452203512241275</x:v>
      </x:c>
      <x:c r="G578" s="92" t="n">
        <x:f>ABS(C578-D578)</x:f>
        <x:v>49.924132112933876</x:v>
      </x:c>
      <x:c r="H578" s="92" t="n">
        <x:f>IFERROR($O$2/(G578*$O$3),0)</x:f>
        <x:v>0.01452203512241275</x:v>
      </x:c>
      <x:c r="I578" s="92" t="n">
        <x:f>E578-H578</x:f>
        <x:v>1.8032361543382078</x:v>
      </x:c>
      <x:c r="J578" s="91" t="str">
        <x:f>'Trade Features'!CI578</x:f>
        <x:v>1.8032361543382078</x:v>
      </x:c>
      <x:c r="K578" s="92" t="n">
        <x:f>I578-J578</x:f>
        <x:v>0</x:v>
      </x:c>
      <x:c r="L578" s="90" t="str">
        <x:f>IF(ABS(K578)&lt;0.000000001,"PASS","FAIL")</x:f>
        <x:v>PASS</x:v>
      </x:c>
    </x:row>
    <x:row r="579">
      <x:c r="A579" s="84" t="str">
        <x:f>'Trade Features'!A579</x:f>
        <x:v>A0578</x:v>
      </x:c>
      <x:c r="B579" s="84" t="str">
        <x:f>'Trade Features'!F579</x:f>
        <x:v>Short</x:v>
      </x:c>
      <x:c r="C579" s="91" t="str">
        <x:f>'Trade Features'!BX579</x:f>
        <x:v>23572.75</x:v>
      </x:c>
      <x:c r="D579" s="91" t="str">
        <x:f>'Trade Features'!CA579</x:f>
        <x:v>23620.99247215235</x:v>
      </x:c>
      <x:c r="E579" s="91" t="str">
        <x:f>'Trade Features'!CH579</x:f>
        <x:v>-0.24356131590632357</x:v>
      </x:c>
      <x:c r="F579" s="91" t="str">
        <x:f>'Trade Features'!CG579</x:f>
        <x:v>0.015028251406985434</x:v>
      </x:c>
      <x:c r="G579" s="92" t="n">
        <x:f>ABS(C579-D579)</x:f>
        <x:v>48.242472152349364</x:v>
      </x:c>
      <x:c r="H579" s="92" t="n">
        <x:f>IFERROR($O$2/(G579*$O$3),0)</x:f>
        <x:v>0.015028251406985434</x:v>
      </x:c>
      <x:c r="I579" s="92" t="n">
        <x:f>E579-H579</x:f>
        <x:v>-0.258589567313309</x:v>
      </x:c>
      <x:c r="J579" s="91" t="str">
        <x:f>'Trade Features'!CI579</x:f>
        <x:v>-0.258589567313309</x:v>
      </x:c>
      <x:c r="K579" s="92" t="n">
        <x:f>I579-J579</x:f>
        <x:v>0</x:v>
      </x:c>
      <x:c r="L579" s="90" t="str">
        <x:f>IF(ABS(K579)&lt;0.000000001,"PASS","FAIL")</x:f>
        <x:v>PASS</x:v>
      </x:c>
    </x:row>
    <x:row r="580">
      <x:c r="A580" s="84" t="str">
        <x:f>'Trade Features'!A580</x:f>
        <x:v>A0579</x:v>
      </x:c>
      <x:c r="B580" s="84" t="str">
        <x:f>'Trade Features'!F580</x:f>
        <x:v>Short</x:v>
      </x:c>
      <x:c r="C580" s="91" t="str">
        <x:f>'Trade Features'!BX580</x:f>
        <x:v>23527.0</x:v>
      </x:c>
      <x:c r="D580" s="91" t="str">
        <x:f>'Trade Features'!CA580</x:f>
        <x:v>23559.202097046906</x:v>
      </x:c>
      <x:c r="E580" s="91" t="str">
        <x:f>'Trade Features'!CH580</x:f>
        <x:v>2.0</x:v>
      </x:c>
      <x:c r="F580" s="91" t="str">
        <x:f>'Trade Features'!CG580</x:f>
        <x:v>0.02251406170672557</x:v>
      </x:c>
      <x:c r="G580" s="92" t="n">
        <x:f>ABS(C580-D580)</x:f>
        <x:v>32.20209704690569</x:v>
      </x:c>
      <x:c r="H580" s="92" t="n">
        <x:f>IFERROR($O$2/(G580*$O$3),0)</x:f>
        <x:v>0.02251406170672557</x:v>
      </x:c>
      <x:c r="I580" s="92" t="n">
        <x:f>E580-H580</x:f>
        <x:v>1.9774859382932743</x:v>
      </x:c>
      <x:c r="J580" s="91" t="str">
        <x:f>'Trade Features'!CI580</x:f>
        <x:v>1.9774859382932743</x:v>
      </x:c>
      <x:c r="K580" s="92" t="n">
        <x:f>I580-J580</x:f>
        <x:v>0</x:v>
      </x:c>
      <x:c r="L580" s="90" t="str">
        <x:f>IF(ABS(K580)&lt;0.000000001,"PASS","FAIL")</x:f>
        <x:v>PASS</x:v>
      </x:c>
    </x:row>
    <x:row r="581">
      <x:c r="A581" s="84" t="str">
        <x:f>'Trade Features'!A581</x:f>
        <x:v>A0580</x:v>
      </x:c>
      <x:c r="B581" s="84" t="str">
        <x:f>'Trade Features'!F581</x:f>
        <x:v>Short</x:v>
      </x:c>
      <x:c r="C581" s="91" t="str">
        <x:f>'Trade Features'!BX581</x:f>
        <x:v>23916.5</x:v>
      </x:c>
      <x:c r="D581" s="91" t="str">
        <x:f>'Trade Features'!CA581</x:f>
        <x:v>23937.76994007538</x:v>
      </x:c>
      <x:c r="E581" s="91" t="str">
        <x:f>'Trade Features'!CH581</x:f>
        <x:v>-1.0</x:v>
      </x:c>
      <x:c r="F581" s="91" t="str">
        <x:f>'Trade Features'!CG581</x:f>
        <x:v>0.0340856625561987</x:v>
      </x:c>
      <x:c r="G581" s="92" t="n">
        <x:f>ABS(C581-D581)</x:f>
        <x:v>21.269940075380873</x:v>
      </x:c>
      <x:c r="H581" s="92" t="n">
        <x:f>IFERROR($O$2/(G581*$O$3),0)</x:f>
        <x:v>0.0340856625561987</x:v>
      </x:c>
      <x:c r="I581" s="92" t="n">
        <x:f>E581-H581</x:f>
        <x:v>-1.0340856625561987</x:v>
      </x:c>
      <x:c r="J581" s="91" t="str">
        <x:f>'Trade Features'!CI581</x:f>
        <x:v>-1.0340856625561987</x:v>
      </x:c>
      <x:c r="K581" s="92" t="n">
        <x:f>I581-J581</x:f>
        <x:v>0</x:v>
      </x:c>
      <x:c r="L581" s="90" t="str">
        <x:f>IF(ABS(K581)&lt;0.000000001,"PASS","FAIL")</x:f>
        <x:v>PASS</x:v>
      </x:c>
    </x:row>
    <x:row r="582">
      <x:c r="A582" s="84" t="str">
        <x:f>'Trade Features'!A582</x:f>
        <x:v>A0581</x:v>
      </x:c>
      <x:c r="B582" s="84" t="str">
        <x:f>'Trade Features'!F582</x:f>
        <x:v>Short</x:v>
      </x:c>
      <x:c r="C582" s="91" t="str">
        <x:f>'Trade Features'!BX582</x:f>
        <x:v>24114.5</x:v>
      </x:c>
      <x:c r="D582" s="91" t="str">
        <x:f>'Trade Features'!CA582</x:f>
        <x:v>24140.298016821685</x:v>
      </x:c>
      <x:c r="E582" s="91" t="str">
        <x:f>'Trade Features'!CH582</x:f>
        <x:v>-1.0</x:v>
      </x:c>
      <x:c r="F582" s="91" t="str">
        <x:f>'Trade Features'!CG582</x:f>
        <x:v>0.02810293539271496</x:v>
      </x:c>
      <x:c r="G582" s="92" t="n">
        <x:f>ABS(C582-D582)</x:f>
        <x:v>25.79801682168545</x:v>
      </x:c>
      <x:c r="H582" s="92" t="n">
        <x:f>IFERROR($O$2/(G582*$O$3),0)</x:f>
        <x:v>0.02810293539271496</x:v>
      </x:c>
      <x:c r="I582" s="92" t="n">
        <x:f>E582-H582</x:f>
        <x:v>-1.028102935392715</x:v>
      </x:c>
      <x:c r="J582" s="91" t="str">
        <x:f>'Trade Features'!CI582</x:f>
        <x:v>-1.028102935392715</x:v>
      </x:c>
      <x:c r="K582" s="92" t="n">
        <x:f>I582-J582</x:f>
        <x:v>0</x:v>
      </x:c>
      <x:c r="L582" s="90" t="str">
        <x:f>IF(ABS(K582)&lt;0.000000001,"PASS","FAIL")</x:f>
        <x:v>PASS</x:v>
      </x:c>
    </x:row>
    <x:row r="583">
      <x:c r="A583" s="84" t="str">
        <x:f>'Trade Features'!A583</x:f>
        <x:v>A0582</x:v>
      </x:c>
      <x:c r="B583" s="84" t="str">
        <x:f>'Trade Features'!F583</x:f>
        <x:v>Short</x:v>
      </x:c>
      <x:c r="C583" s="91" t="str">
        <x:f>'Trade Features'!BX583</x:f>
        <x:v>23731.5</x:v>
      </x:c>
      <x:c r="D583" s="91" t="str">
        <x:f>'Trade Features'!CA583</x:f>
        <x:v>23776.46903567895</x:v>
      </x:c>
      <x:c r="E583" s="91" t="str">
        <x:f>'Trade Features'!CH583</x:f>
        <x:v>2.0</x:v>
      </x:c>
      <x:c r="F583" s="91" t="str">
        <x:f>'Trade Features'!CG583</x:f>
        <x:v>0.016122204736077155</x:v>
      </x:c>
      <x:c r="G583" s="92" t="n">
        <x:f>ABS(C583-D583)</x:f>
        <x:v>44.969035678950604</x:v>
      </x:c>
      <x:c r="H583" s="92" t="n">
        <x:f>IFERROR($O$2/(G583*$O$3),0)</x:f>
        <x:v>0.016122204736077155</x:v>
      </x:c>
      <x:c r="I583" s="92" t="n">
        <x:f>E583-H583</x:f>
        <x:v>1.9838777952639228</x:v>
      </x:c>
      <x:c r="J583" s="91" t="str">
        <x:f>'Trade Features'!CI583</x:f>
        <x:v>1.9838777952639228</x:v>
      </x:c>
      <x:c r="K583" s="92" t="n">
        <x:f>I583-J583</x:f>
        <x:v>0</x:v>
      </x:c>
      <x:c r="L583" s="90" t="str">
        <x:f>IF(ABS(K583)&lt;0.000000001,"PASS","FAIL")</x:f>
        <x:v>PASS</x:v>
      </x:c>
    </x:row>
    <x:row r="584">
      <x:c r="A584" s="84" t="str">
        <x:f>'Trade Features'!A584</x:f>
        <x:v>A0583</x:v>
      </x:c>
      <x:c r="B584" s="84" t="str">
        <x:f>'Trade Features'!F584</x:f>
        <x:v>Short</x:v>
      </x:c>
      <x:c r="C584" s="91" t="str">
        <x:f>'Trade Features'!BX584</x:f>
        <x:v>23764.0</x:v>
      </x:c>
      <x:c r="D584" s="91" t="str">
        <x:f>'Trade Features'!CA584</x:f>
        <x:v>23787.481057940542</x:v>
      </x:c>
      <x:c r="E584" s="91" t="str">
        <x:f>'Trade Features'!CH584</x:f>
        <x:v>-1.0</x:v>
      </x:c>
      <x:c r="F584" s="91" t="str">
        <x:f>'Trade Features'!CG584</x:f>
        <x:v>0.030875951238475696</x:v>
      </x:c>
      <x:c r="G584" s="92" t="n">
        <x:f>ABS(C584-D584)</x:f>
        <x:v>23.481057940542087</x:v>
      </x:c>
      <x:c r="H584" s="92" t="n">
        <x:f>IFERROR($O$2/(G584*$O$3),0)</x:f>
        <x:v>0.030875951238475696</x:v>
      </x:c>
      <x:c r="I584" s="92" t="n">
        <x:f>E584-H584</x:f>
        <x:v>-1.0308759512384758</x:v>
      </x:c>
      <x:c r="J584" s="91" t="str">
        <x:f>'Trade Features'!CI584</x:f>
        <x:v>-1.0308759512384758</x:v>
      </x:c>
      <x:c r="K584" s="92" t="n">
        <x:f>I584-J584</x:f>
        <x:v>0</x:v>
      </x:c>
      <x:c r="L584" s="90" t="str">
        <x:f>IF(ABS(K584)&lt;0.000000001,"PASS","FAIL")</x:f>
        <x:v>PASS</x:v>
      </x:c>
    </x:row>
    <x:row r="585">
      <x:c r="A585" s="84" t="str">
        <x:f>'Trade Features'!A585</x:f>
        <x:v>A0584</x:v>
      </x:c>
      <x:c r="B585" s="84" t="str">
        <x:f>'Trade Features'!F585</x:f>
        <x:v>Long</x:v>
      </x:c>
      <x:c r="C585" s="91" t="str">
        <x:f>'Trade Features'!BX585</x:f>
        <x:v>23300.0</x:v>
      </x:c>
      <x:c r="D585" s="91" t="str">
        <x:f>'Trade Features'!CA585</x:f>
        <x:v>23279.78242857977</x:v>
      </x:c>
      <x:c r="E585" s="91" t="str">
        <x:f>'Trade Features'!CH585</x:f>
        <x:v>-1.0</x:v>
      </x:c>
      <x:c r="F585" s="91" t="str">
        <x:f>'Trade Features'!CG585</x:f>
        <x:v>0.0358598955794715</x:v>
      </x:c>
      <x:c r="G585" s="92" t="n">
        <x:f>ABS(C585-D585)</x:f>
        <x:v>20.217571420231252</x:v>
      </x:c>
      <x:c r="H585" s="92" t="n">
        <x:f>IFERROR($O$2/(G585*$O$3),0)</x:f>
        <x:v>0.0358598955794715</x:v>
      </x:c>
      <x:c r="I585" s="92" t="n">
        <x:f>E585-H585</x:f>
        <x:v>-1.0358598955794716</x:v>
      </x:c>
      <x:c r="J585" s="91" t="str">
        <x:f>'Trade Features'!CI585</x:f>
        <x:v>-1.0358598955794716</x:v>
      </x:c>
      <x:c r="K585" s="92" t="n">
        <x:f>I585-J585</x:f>
        <x:v>0</x:v>
      </x:c>
      <x:c r="L585" s="90" t="str">
        <x:f>IF(ABS(K585)&lt;0.000000001,"PASS","FAIL")</x:f>
        <x:v>PASS</x:v>
      </x:c>
    </x:row>
    <x:row r="586">
      <x:c r="A586" s="84" t="str">
        <x:f>'Trade Features'!A586</x:f>
        <x:v>A0585</x:v>
      </x:c>
      <x:c r="B586" s="84" t="str">
        <x:f>'Trade Features'!F586</x:f>
        <x:v>Short</x:v>
      </x:c>
      <x:c r="C586" s="91" t="str">
        <x:f>'Trade Features'!BX586</x:f>
        <x:v>22892.25</x:v>
      </x:c>
      <x:c r="D586" s="91" t="str">
        <x:f>'Trade Features'!CA586</x:f>
        <x:v>23003.534829758057</x:v>
      </x:c>
      <x:c r="E586" s="91" t="str">
        <x:f>'Trade Features'!CH586</x:f>
        <x:v>0.6537279174364033</x:v>
      </x:c>
      <x:c r="F586" s="91" t="str">
        <x:f>'Trade Features'!CG586</x:f>
        <x:v>0.006514814297476264</x:v>
      </x:c>
      <x:c r="G586" s="92" t="n">
        <x:f>ABS(C586-D586)</x:f>
        <x:v>111.28482975805673</x:v>
      </x:c>
      <x:c r="H586" s="92" t="n">
        <x:f>IFERROR($O$2/(G586*$O$3),0)</x:f>
        <x:v>0.006514814297476264</x:v>
      </x:c>
      <x:c r="I586" s="92" t="n">
        <x:f>E586-H586</x:f>
        <x:v>0.6472131031389271</x:v>
      </x:c>
      <x:c r="J586" s="91" t="str">
        <x:f>'Trade Features'!CI586</x:f>
        <x:v>0.6472131031389271</x:v>
      </x:c>
      <x:c r="K586" s="92" t="n">
        <x:f>I586-J586</x:f>
        <x:v>0</x:v>
      </x:c>
      <x:c r="L586" s="90" t="str">
        <x:f>IF(ABS(K586)&lt;0.000000001,"PASS","FAIL")</x:f>
        <x:v>PASS</x:v>
      </x:c>
    </x:row>
    <x:row r="587">
      <x:c r="A587" s="84" t="str">
        <x:f>'Trade Features'!A587</x:f>
        <x:v>A0586</x:v>
      </x:c>
      <x:c r="B587" s="84" t="str">
        <x:f>'Trade Features'!F587</x:f>
        <x:v>Short</x:v>
      </x:c>
      <x:c r="C587" s="91" t="str">
        <x:f>'Trade Features'!BX587</x:f>
        <x:v>22656.0</x:v>
      </x:c>
      <x:c r="D587" s="91" t="str">
        <x:f>'Trade Features'!CA587</x:f>
        <x:v>22755.327850389072</x:v>
      </x:c>
      <x:c r="E587" s="91" t="str">
        <x:f>'Trade Features'!CH587</x:f>
        <x:v>-1.0</x:v>
      </x:c>
      <x:c r="F587" s="91" t="str">
        <x:f>'Trade Features'!CG587</x:f>
        <x:v>0.007299060607474509</x:v>
      </x:c>
      <x:c r="G587" s="92" t="n">
        <x:f>ABS(C587-D587)</x:f>
        <x:v>99.32785038907241</x:v>
      </x:c>
      <x:c r="H587" s="92" t="n">
        <x:f>IFERROR($O$2/(G587*$O$3),0)</x:f>
        <x:v>0.007299060607474509</x:v>
      </x:c>
      <x:c r="I587" s="92" t="n">
        <x:f>E587-H587</x:f>
        <x:v>-1.0072990606074745</x:v>
      </x:c>
      <x:c r="J587" s="91" t="str">
        <x:f>'Trade Features'!CI587</x:f>
        <x:v>-1.0072990606074745</x:v>
      </x:c>
      <x:c r="K587" s="92" t="n">
        <x:f>I587-J587</x:f>
        <x:v>0</x:v>
      </x:c>
      <x:c r="L587" s="90" t="str">
        <x:f>IF(ABS(K587)&lt;0.000000001,"PASS","FAIL")</x:f>
        <x:v>PASS</x:v>
      </x:c>
    </x:row>
    <x:row r="588">
      <x:c r="A588" s="84" t="str">
        <x:f>'Trade Features'!A588</x:f>
        <x:v>A0587</x:v>
      </x:c>
      <x:c r="B588" s="84" t="str">
        <x:f>'Trade Features'!F588</x:f>
        <x:v>Long</x:v>
      </x:c>
      <x:c r="C588" s="91" t="str">
        <x:f>'Trade Features'!BX588</x:f>
        <x:v>22765.5</x:v>
      </x:c>
      <x:c r="D588" s="91" t="str">
        <x:f>'Trade Features'!CA588</x:f>
        <x:v>22667.400323275615</x:v>
      </x:c>
      <x:c r="E588" s="91" t="str">
        <x:f>'Trade Features'!CH588</x:f>
        <x:v>-1.0</x:v>
      </x:c>
      <x:c r="F588" s="91" t="str">
        <x:f>'Trade Features'!CG588</x:f>
        <x:v>0.007390442295104767</x:v>
      </x:c>
      <x:c r="G588" s="92" t="n">
        <x:f>ABS(C588-D588)</x:f>
        <x:v>98.09967672438506</x:v>
      </x:c>
      <x:c r="H588" s="92" t="n">
        <x:f>IFERROR($O$2/(G588*$O$3),0)</x:f>
        <x:v>0.007390442295104767</x:v>
      </x:c>
      <x:c r="I588" s="92" t="n">
        <x:f>E588-H588</x:f>
        <x:v>-1.0073904422951048</x:v>
      </x:c>
      <x:c r="J588" s="91" t="str">
        <x:f>'Trade Features'!CI588</x:f>
        <x:v>-1.0073904422951048</x:v>
      </x:c>
      <x:c r="K588" s="92" t="n">
        <x:f>I588-J588</x:f>
        <x:v>0</x:v>
      </x:c>
      <x:c r="L588" s="90" t="str">
        <x:f>IF(ABS(K588)&lt;0.000000001,"PASS","FAIL")</x:f>
        <x:v>PASS</x:v>
      </x:c>
    </x:row>
    <x:row r="589">
      <x:c r="A589" s="84" t="str">
        <x:f>'Trade Features'!A589</x:f>
        <x:v>A0588</x:v>
      </x:c>
      <x:c r="B589" s="84" t="str">
        <x:f>'Trade Features'!F589</x:f>
        <x:v>Short</x:v>
      </x:c>
      <x:c r="C589" s="91" t="str">
        <x:f>'Trade Features'!BX589</x:f>
        <x:v>22533.5</x:v>
      </x:c>
      <x:c r="D589" s="91" t="str">
        <x:f>'Trade Features'!CA589</x:f>
        <x:v>22612.520438666725</x:v>
      </x:c>
      <x:c r="E589" s="91" t="str">
        <x:f>'Trade Features'!CH589</x:f>
        <x:v>-1.0</x:v>
      </x:c>
      <x:c r="F589" s="91" t="str">
        <x:f>'Trade Features'!CG589</x:f>
        <x:v>0.009174841499649837</x:v>
      </x:c>
      <x:c r="G589" s="92" t="n">
        <x:f>ABS(C589-D589)</x:f>
        <x:v>79.02043866672466</x:v>
      </x:c>
      <x:c r="H589" s="92" t="n">
        <x:f>IFERROR($O$2/(G589*$O$3),0)</x:f>
        <x:v>0.009174841499649837</x:v>
      </x:c>
      <x:c r="I589" s="92" t="n">
        <x:f>E589-H589</x:f>
        <x:v>-1.0091748414996498</x:v>
      </x:c>
      <x:c r="J589" s="91" t="str">
        <x:f>'Trade Features'!CI589</x:f>
        <x:v>-1.0091748414996498</x:v>
      </x:c>
      <x:c r="K589" s="92" t="n">
        <x:f>I589-J589</x:f>
        <x:v>0</x:v>
      </x:c>
      <x:c r="L589" s="90" t="str">
        <x:f>IF(ABS(K589)&lt;0.000000001,"PASS","FAIL")</x:f>
        <x:v>PASS</x:v>
      </x:c>
    </x:row>
    <x:row r="590">
      <x:c r="A590" s="84" t="str">
        <x:f>'Trade Features'!A590</x:f>
        <x:v>A0589</x:v>
      </x:c>
      <x:c r="B590" s="84" t="str">
        <x:f>'Trade Features'!F590</x:f>
        <x:v>Short</x:v>
      </x:c>
      <x:c r="C590" s="91" t="str">
        <x:f>'Trade Features'!BX590</x:f>
        <x:v>23006.25</x:v>
      </x:c>
      <x:c r="D590" s="91" t="str">
        <x:f>'Trade Features'!CA590</x:f>
        <x:v>23036.15386322286</x:v>
      </x:c>
      <x:c r="E590" s="91" t="str">
        <x:f>'Trade Features'!CH590</x:f>
        <x:v>-1.0</x:v>
      </x:c>
      <x:c r="F590" s="91" t="str">
        <x:f>'Trade Features'!CG590</x:f>
        <x:v>0.02424435915175704</x:v>
      </x:c>
      <x:c r="G590" s="92" t="n">
        <x:f>ABS(C590-D590)</x:f>
        <x:v>29.90386322285849</x:v>
      </x:c>
      <x:c r="H590" s="92" t="n">
        <x:f>IFERROR($O$2/(G590*$O$3),0)</x:f>
        <x:v>0.02424435915175704</x:v>
      </x:c>
      <x:c r="I590" s="92" t="n">
        <x:f>E590-H590</x:f>
        <x:v>-1.024244359151757</x:v>
      </x:c>
      <x:c r="J590" s="91" t="str">
        <x:f>'Trade Features'!CI590</x:f>
        <x:v>-1.024244359151757</x:v>
      </x:c>
      <x:c r="K590" s="92" t="n">
        <x:f>I590-J590</x:f>
        <x:v>0</x:v>
      </x:c>
      <x:c r="L590" s="90" t="str">
        <x:f>IF(ABS(K590)&lt;0.000000001,"PASS","FAIL")</x:f>
        <x:v>PASS</x:v>
      </x:c>
    </x:row>
    <x:row r="591">
      <x:c r="A591" s="84" t="str">
        <x:f>'Trade Features'!A591</x:f>
        <x:v>A0590</x:v>
      </x:c>
      <x:c r="B591" s="84" t="str">
        <x:f>'Trade Features'!F591</x:f>
        <x:v>Short</x:v>
      </x:c>
      <x:c r="C591" s="91" t="str">
        <x:f>'Trade Features'!BX591</x:f>
        <x:v>23159.25</x:v>
      </x:c>
      <x:c r="D591" s="91" t="str">
        <x:f>'Trade Features'!CA591</x:f>
        <x:v>23187.554255270694</x:v>
      </x:c>
      <x:c r="E591" s="91" t="str">
        <x:f>'Trade Features'!CH591</x:f>
        <x:v>-0.6359467800107608</x:v>
      </x:c>
      <x:c r="F591" s="91" t="str">
        <x:f>'Trade Features'!CG591</x:f>
        <x:v>0.02561452308376626</x:v>
      </x:c>
      <x:c r="G591" s="92" t="n">
        <x:f>ABS(C591-D591)</x:f>
        <x:v>28.30425527069383</x:v>
      </x:c>
      <x:c r="H591" s="92" t="n">
        <x:f>IFERROR($O$2/(G591*$O$3),0)</x:f>
        <x:v>0.02561452308376626</x:v>
      </x:c>
      <x:c r="I591" s="92" t="n">
        <x:f>E591-H591</x:f>
        <x:v>-0.661561303094527</x:v>
      </x:c>
      <x:c r="J591" s="91" t="str">
        <x:f>'Trade Features'!CI591</x:f>
        <x:v>-0.661561303094527</x:v>
      </x:c>
      <x:c r="K591" s="92" t="n">
        <x:f>I591-J591</x:f>
        <x:v>0</x:v>
      </x:c>
      <x:c r="L591" s="90" t="str">
        <x:f>IF(ABS(K591)&lt;0.000000001,"PASS","FAIL")</x:f>
        <x:v>PASS</x:v>
      </x:c>
    </x:row>
    <x:row r="592">
      <x:c r="A592" s="84" t="str">
        <x:f>'Trade Features'!A592</x:f>
        <x:v>A0591</x:v>
      </x:c>
      <x:c r="B592" s="84" t="str">
        <x:f>'Trade Features'!F592</x:f>
        <x:v>Long</x:v>
      </x:c>
      <x:c r="C592" s="91" t="str">
        <x:f>'Trade Features'!BX592</x:f>
        <x:v>23190.0</x:v>
      </x:c>
      <x:c r="D592" s="91" t="str">
        <x:f>'Trade Features'!CA592</x:f>
        <x:v>23170.638961521403</x:v>
      </x:c>
      <x:c r="E592" s="91" t="str">
        <x:f>'Trade Features'!CH592</x:f>
        <x:v>-1.0</x:v>
      </x:c>
      <x:c r="F592" s="91" t="str">
        <x:f>'Trade Features'!CG592</x:f>
        <x:v>0.037446338469987676</x:v>
      </x:c>
      <x:c r="G592" s="92" t="n">
        <x:f>ABS(C592-D592)</x:f>
        <x:v>19.361038478597038</x:v>
      </x:c>
      <x:c r="H592" s="92" t="n">
        <x:f>IFERROR($O$2/(G592*$O$3),0)</x:f>
        <x:v>0.037446338469987676</x:v>
      </x:c>
      <x:c r="I592" s="92" t="n">
        <x:f>E592-H592</x:f>
        <x:v>-1.0374463384699877</x:v>
      </x:c>
      <x:c r="J592" s="91" t="str">
        <x:f>'Trade Features'!CI592</x:f>
        <x:v>-1.0374463384699877</x:v>
      </x:c>
      <x:c r="K592" s="92" t="n">
        <x:f>I592-J592</x:f>
        <x:v>0</x:v>
      </x:c>
      <x:c r="L592" s="90" t="str">
        <x:f>IF(ABS(K592)&lt;0.000000001,"PASS","FAIL")</x:f>
        <x:v>PASS</x:v>
      </x:c>
    </x:row>
    <x:row r="593">
      <x:c r="A593" s="84" t="str">
        <x:f>'Trade Features'!A593</x:f>
        <x:v>A0592</x:v>
      </x:c>
      <x:c r="B593" s="84" t="str">
        <x:f>'Trade Features'!F593</x:f>
        <x:v>Long</x:v>
      </x:c>
      <x:c r="C593" s="91" t="str">
        <x:f>'Trade Features'!BX593</x:f>
        <x:v>23235.25</x:v>
      </x:c>
      <x:c r="D593" s="91" t="str">
        <x:f>'Trade Features'!CA593</x:f>
        <x:v>23207.985277780343</x:v>
      </x:c>
      <x:c r="E593" s="91" t="str">
        <x:f>'Trade Features'!CH593</x:f>
        <x:v>-1.0</x:v>
      </x:c>
      <x:c r="F593" s="91" t="str">
        <x:f>'Trade Features'!CG593</x:f>
        <x:v>0.02659113832736161</x:v>
      </x:c>
      <x:c r="G593" s="92" t="n">
        <x:f>ABS(C593-D593)</x:f>
        <x:v>27.264722219657415</x:v>
      </x:c>
      <x:c r="H593" s="92" t="n">
        <x:f>IFERROR($O$2/(G593*$O$3),0)</x:f>
        <x:v>0.02659113832736161</x:v>
      </x:c>
      <x:c r="I593" s="92" t="n">
        <x:f>E593-H593</x:f>
        <x:v>-1.0265911383273616</x:v>
      </x:c>
      <x:c r="J593" s="91" t="str">
        <x:f>'Trade Features'!CI593</x:f>
        <x:v>-1.0265911383273616</x:v>
      </x:c>
      <x:c r="K593" s="92" t="n">
        <x:f>I593-J593</x:f>
        <x:v>0</x:v>
      </x:c>
      <x:c r="L593" s="90" t="str">
        <x:f>IF(ABS(K593)&lt;0.000000001,"PASS","FAIL")</x:f>
        <x:v>PASS</x:v>
      </x:c>
    </x:row>
    <x:row r="594">
      <x:c r="A594" s="84" t="str">
        <x:f>'Trade Features'!A594</x:f>
        <x:v>A0593</x:v>
      </x:c>
      <x:c r="B594" s="84" t="str">
        <x:f>'Trade Features'!F594</x:f>
        <x:v>Short</x:v>
      </x:c>
      <x:c r="C594" s="91" t="str">
        <x:f>'Trade Features'!BX594</x:f>
        <x:v>22555.75</x:v>
      </x:c>
      <x:c r="D594" s="91" t="str">
        <x:f>'Trade Features'!CA594</x:f>
        <x:v>22604.717748904135</x:v>
      </x:c>
      <x:c r="E594" s="91" t="str">
        <x:f>'Trade Features'!CH594</x:f>
        <x:v>-1.0</x:v>
      </x:c>
      <x:c r="F594" s="91" t="str">
        <x:f>'Trade Features'!CG594</x:f>
        <x:v>0.014805663242133997</x:v>
      </x:c>
      <x:c r="G594" s="92" t="n">
        <x:f>ABS(C594-D594)</x:f>
        <x:v>48.96774890413508</x:v>
      </x:c>
      <x:c r="H594" s="92" t="n">
        <x:f>IFERROR($O$2/(G594*$O$3),0)</x:f>
        <x:v>0.014805663242133997</x:v>
      </x:c>
      <x:c r="I594" s="92" t="n">
        <x:f>E594-H594</x:f>
        <x:v>-1.014805663242134</x:v>
      </x:c>
      <x:c r="J594" s="91" t="str">
        <x:f>'Trade Features'!CI594</x:f>
        <x:v>-1.014805663242134</x:v>
      </x:c>
      <x:c r="K594" s="92" t="n">
        <x:f>I594-J594</x:f>
        <x:v>0</x:v>
      </x:c>
      <x:c r="L594" s="90" t="str">
        <x:f>IF(ABS(K594)&lt;0.000000001,"PASS","FAIL")</x:f>
        <x:v>PASS</x:v>
      </x:c>
    </x:row>
    <x:row r="595">
      <x:c r="A595" s="84" t="str">
        <x:f>'Trade Features'!A595</x:f>
        <x:v>A0594</x:v>
      </x:c>
      <x:c r="B595" s="84" t="str">
        <x:f>'Trade Features'!F595</x:f>
        <x:v>Short</x:v>
      </x:c>
      <x:c r="C595" s="91" t="str">
        <x:f>'Trade Features'!BX595</x:f>
        <x:v>22597.25</x:v>
      </x:c>
      <x:c r="D595" s="91" t="str">
        <x:f>'Trade Features'!CA595</x:f>
        <x:v>22630.387793524587</x:v>
      </x:c>
      <x:c r="E595" s="91" t="str">
        <x:f>'Trade Features'!CH595</x:f>
        <x:v>2.0</x:v>
      </x:c>
      <x:c r="F595" s="91" t="str">
        <x:f>'Trade Features'!CG595</x:f>
        <x:v>0.021878342607876716</x:v>
      </x:c>
      <x:c r="G595" s="92" t="n">
        <x:f>ABS(C595-D595)</x:f>
        <x:v>33.13779352458732</x:v>
      </x:c>
      <x:c r="H595" s="92" t="n">
        <x:f>IFERROR($O$2/(G595*$O$3),0)</x:f>
        <x:v>0.021878342607876716</x:v>
      </x:c>
      <x:c r="I595" s="92" t="n">
        <x:f>E595-H595</x:f>
        <x:v>1.9781216573921232</x:v>
      </x:c>
      <x:c r="J595" s="91" t="str">
        <x:f>'Trade Features'!CI595</x:f>
        <x:v>1.9781216573921232</x:v>
      </x:c>
      <x:c r="K595" s="92" t="n">
        <x:f>I595-J595</x:f>
        <x:v>0</x:v>
      </x:c>
      <x:c r="L595" s="90" t="str">
        <x:f>IF(ABS(K595)&lt;0.000000001,"PASS","FAIL")</x:f>
        <x:v>PASS</x:v>
      </x:c>
    </x:row>
    <x:row r="596">
      <x:c r="A596" s="84" t="str">
        <x:f>'Trade Features'!A596</x:f>
        <x:v>A0595</x:v>
      </x:c>
      <x:c r="B596" s="84" t="str">
        <x:f>'Trade Features'!F596</x:f>
        <x:v>Long</x:v>
      </x:c>
      <x:c r="C596" s="91" t="str">
        <x:f>'Trade Features'!BX596</x:f>
        <x:v>22614.75</x:v>
      </x:c>
      <x:c r="D596" s="91" t="str">
        <x:f>'Trade Features'!CA596</x:f>
        <x:v>22550.229695058708</x:v>
      </x:c>
      <x:c r="E596" s="91" t="str">
        <x:f>'Trade Features'!CH596</x:f>
        <x:v>-1.0</x:v>
      </x:c>
      <x:c r="F596" s="91" t="str">
        <x:f>'Trade Features'!CG596</x:f>
        <x:v>0.011236772682021374</x:v>
      </x:c>
      <x:c r="G596" s="92" t="n">
        <x:f>ABS(C596-D596)</x:f>
        <x:v>64.52030494129212</x:v>
      </x:c>
      <x:c r="H596" s="92" t="n">
        <x:f>IFERROR($O$2/(G596*$O$3),0)</x:f>
        <x:v>0.011236772682021374</x:v>
      </x:c>
      <x:c r="I596" s="92" t="n">
        <x:f>E596-H596</x:f>
        <x:v>-1.0112367726820213</x:v>
      </x:c>
      <x:c r="J596" s="91" t="str">
        <x:f>'Trade Features'!CI596</x:f>
        <x:v>-1.0112367726820213</x:v>
      </x:c>
      <x:c r="K596" s="92" t="n">
        <x:f>I596-J596</x:f>
        <x:v>0</x:v>
      </x:c>
      <x:c r="L596" s="90" t="str">
        <x:f>IF(ABS(K596)&lt;0.000000001,"PASS","FAIL")</x:f>
        <x:v>PASS</x:v>
      </x:c>
    </x:row>
    <x:row r="597">
      <x:c r="A597" s="84" t="str">
        <x:f>'Trade Features'!A597</x:f>
        <x:v>A0596</x:v>
      </x:c>
      <x:c r="B597" s="84" t="str">
        <x:f>'Trade Features'!F597</x:f>
        <x:v>Short</x:v>
      </x:c>
      <x:c r="C597" s="91" t="str">
        <x:f>'Trade Features'!BX597</x:f>
        <x:v>22649.25</x:v>
      </x:c>
      <x:c r="D597" s="91" t="str">
        <x:f>'Trade Features'!CA597</x:f>
        <x:v>22663.727578367194</x:v>
      </x:c>
      <x:c r="E597" s="91" t="str">
        <x:f>'Trade Features'!CH597</x:f>
        <x:v>-1.0</x:v>
      </x:c>
      <x:c r="F597" s="91" t="str">
        <x:f>'Trade Features'!CG597</x:f>
        <x:v>0.0500774357155506</x:v>
      </x:c>
      <x:c r="G597" s="92" t="n">
        <x:f>ABS(C597-D597)</x:f>
        <x:v>14.477578367193928</x:v>
      </x:c>
      <x:c r="H597" s="92" t="n">
        <x:f>IFERROR($O$2/(G597*$O$3),0)</x:f>
        <x:v>0.0500774357155506</x:v>
      </x:c>
      <x:c r="I597" s="92" t="n">
        <x:f>E597-H597</x:f>
        <x:v>-1.0500774357155507</x:v>
      </x:c>
      <x:c r="J597" s="91" t="str">
        <x:f>'Trade Features'!CI597</x:f>
        <x:v>-1.0500774357155507</x:v>
      </x:c>
      <x:c r="K597" s="92" t="n">
        <x:f>I597-J597</x:f>
        <x:v>0</x:v>
      </x:c>
      <x:c r="L597" s="90" t="str">
        <x:f>IF(ABS(K597)&lt;0.000000001,"PASS","FAIL")</x:f>
        <x:v>PASS</x:v>
      </x:c>
    </x:row>
    <x:row r="598">
      <x:c r="A598" s="84" t="str">
        <x:f>'Trade Features'!A598</x:f>
        <x:v>A0597</x:v>
      </x:c>
      <x:c r="B598" s="84" t="str">
        <x:f>'Trade Features'!F598</x:f>
        <x:v>Long</x:v>
      </x:c>
      <x:c r="C598" s="91" t="str">
        <x:f>'Trade Features'!BX598</x:f>
        <x:v>22663.25</x:v>
      </x:c>
      <x:c r="D598" s="91" t="str">
        <x:f>'Trade Features'!CA598</x:f>
        <x:v>22648.555481881307</x:v>
      </x:c>
      <x:c r="E598" s="91" t="str">
        <x:f>'Trade Features'!CH598</x:f>
        <x:v>2.0</x:v>
      </x:c>
      <x:c r="F598" s="91" t="str">
        <x:f>'Trade Features'!CG598</x:f>
        <x:v>0.04933812692215646</x:v>
      </x:c>
      <x:c r="G598" s="92" t="n">
        <x:f>ABS(C598-D598)</x:f>
        <x:v>14.69451811869294</x:v>
      </x:c>
      <x:c r="H598" s="92" t="n">
        <x:f>IFERROR($O$2/(G598*$O$3),0)</x:f>
        <x:v>0.04933812692215646</x:v>
      </x:c>
      <x:c r="I598" s="92" t="n">
        <x:f>E598-H598</x:f>
        <x:v>1.9506618730778436</x:v>
      </x:c>
      <x:c r="J598" s="91" t="str">
        <x:f>'Trade Features'!CI598</x:f>
        <x:v>1.9506618730778436</x:v>
      </x:c>
      <x:c r="K598" s="92" t="n">
        <x:f>I598-J598</x:f>
        <x:v>0</x:v>
      </x:c>
      <x:c r="L598" s="90" t="str">
        <x:f>IF(ABS(K598)&lt;0.000000001,"PASS","FAIL")</x:f>
        <x:v>PASS</x:v>
      </x:c>
    </x:row>
    <x:row r="599">
      <x:c r="A599" s="84" t="str">
        <x:f>'Trade Features'!A599</x:f>
        <x:v>A0598</x:v>
      </x:c>
      <x:c r="B599" s="84" t="str">
        <x:f>'Trade Features'!F599</x:f>
        <x:v>Short</x:v>
      </x:c>
      <x:c r="C599" s="91" t="str">
        <x:f>'Trade Features'!BX599</x:f>
        <x:v>22448.75</x:v>
      </x:c>
      <x:c r="D599" s="91" t="str">
        <x:f>'Trade Features'!CA599</x:f>
        <x:v>22478.499049230188</x:v>
      </x:c>
      <x:c r="E599" s="91" t="str">
        <x:f>'Trade Features'!CH599</x:f>
        <x:v>-0.46219964522587814</x:v>
      </x:c>
      <x:c r="F599" s="91" t="str">
        <x:f>'Trade Features'!CG599</x:f>
        <x:v>0.024370526748273714</x:v>
      </x:c>
      <x:c r="G599" s="92" t="n">
        <x:f>ABS(C599-D599)</x:f>
        <x:v>29.749049230187666</x:v>
      </x:c>
      <x:c r="H599" s="92" t="n">
        <x:f>IFERROR($O$2/(G599*$O$3),0)</x:f>
        <x:v>0.024370526748273714</x:v>
      </x:c>
      <x:c r="I599" s="92" t="n">
        <x:f>E599-H599</x:f>
        <x:v>-0.48657017197415187</x:v>
      </x:c>
      <x:c r="J599" s="91" t="str">
        <x:f>'Trade Features'!CI599</x:f>
        <x:v>-0.48657017197415187</x:v>
      </x:c>
      <x:c r="K599" s="92" t="n">
        <x:f>I599-J599</x:f>
        <x:v>0</x:v>
      </x:c>
      <x:c r="L599" s="90" t="str">
        <x:f>IF(ABS(K599)&lt;0.000000001,"PASS","FAIL")</x:f>
        <x:v>PASS</x:v>
      </x:c>
    </x:row>
    <x:row r="600">
      <x:c r="A600" s="84" t="str">
        <x:f>'Trade Features'!A600</x:f>
        <x:v>A0599</x:v>
      </x:c>
      <x:c r="B600" s="84" t="str">
        <x:f>'Trade Features'!F600</x:f>
        <x:v>Short</x:v>
      </x:c>
      <x:c r="C600" s="91" t="str">
        <x:f>'Trade Features'!BX600</x:f>
        <x:v>22717.75</x:v>
      </x:c>
      <x:c r="D600" s="91" t="str">
        <x:f>'Trade Features'!CA600</x:f>
        <x:v>22751.45919387987</x:v>
      </x:c>
      <x:c r="E600" s="91" t="str">
        <x:f>'Trade Features'!CH600</x:f>
        <x:v>-1.0</x:v>
      </x:c>
      <x:c r="F600" s="91" t="str">
        <x:f>'Trade Features'!CG600</x:f>
        <x:v>0.02150748554188827</x:v>
      </x:c>
      <x:c r="G600" s="92" t="n">
        <x:f>ABS(C600-D600)</x:f>
        <x:v>33.70919387986942</x:v>
      </x:c>
      <x:c r="H600" s="92" t="n">
        <x:f>IFERROR($O$2/(G600*$O$3),0)</x:f>
        <x:v>0.02150748554188827</x:v>
      </x:c>
      <x:c r="I600" s="92" t="n">
        <x:f>E600-H600</x:f>
        <x:v>-1.0215074855418882</x:v>
      </x:c>
      <x:c r="J600" s="91" t="str">
        <x:f>'Trade Features'!CI600</x:f>
        <x:v>-1.0215074855418882</x:v>
      </x:c>
      <x:c r="K600" s="92" t="n">
        <x:f>I600-J600</x:f>
        <x:v>0</x:v>
      </x:c>
      <x:c r="L600" s="90" t="str">
        <x:f>IF(ABS(K600)&lt;0.000000001,"PASS","FAIL")</x:f>
        <x:v>PASS</x:v>
      </x:c>
    </x:row>
    <x:row r="601">
      <x:c r="A601" s="84" t="str">
        <x:f>'Trade Features'!A601</x:f>
        <x:v>A0600</x:v>
      </x:c>
      <x:c r="B601" s="84" t="str">
        <x:f>'Trade Features'!F601</x:f>
        <x:v>Short</x:v>
      </x:c>
      <x:c r="C601" s="91" t="str">
        <x:f>'Trade Features'!BX601</x:f>
        <x:v>22671.75</x:v>
      </x:c>
      <x:c r="D601" s="91" t="str">
        <x:f>'Trade Features'!CA601</x:f>
        <x:v>22706.169186136918</x:v>
      </x:c>
      <x:c r="E601" s="91" t="str">
        <x:f>'Trade Features'!CH601</x:f>
        <x:v>2.0</x:v>
      </x:c>
      <x:c r="F601" s="91" t="str">
        <x:f>'Trade Features'!CG601</x:f>
        <x:v>0.02106383332586596</x:v>
      </x:c>
      <x:c r="G601" s="92" t="n">
        <x:f>ABS(C601-D601)</x:f>
        <x:v>34.41918613691814</x:v>
      </x:c>
      <x:c r="H601" s="92" t="n">
        <x:f>IFERROR($O$2/(G601*$O$3),0)</x:f>
        <x:v>0.02106383332586596</x:v>
      </x:c>
      <x:c r="I601" s="92" t="n">
        <x:f>E601-H601</x:f>
        <x:v>1.978936166674134</x:v>
      </x:c>
      <x:c r="J601" s="91" t="str">
        <x:f>'Trade Features'!CI601</x:f>
        <x:v>1.978936166674134</x:v>
      </x:c>
      <x:c r="K601" s="92" t="n">
        <x:f>I601-J601</x:f>
        <x:v>0</x:v>
      </x:c>
      <x:c r="L601" s="90" t="str">
        <x:f>IF(ABS(K601)&lt;0.000000001,"PASS","FAIL")</x:f>
        <x:v>PASS</x:v>
      </x:c>
    </x:row>
    <x:row r="602">
      <x:c r="A602" s="84" t="str">
        <x:f>'Trade Features'!A602</x:f>
        <x:v>A0601</x:v>
      </x:c>
      <x:c r="B602" s="84" t="str">
        <x:f>'Trade Features'!F602</x:f>
        <x:v>Short</x:v>
      </x:c>
      <x:c r="C602" s="91" t="str">
        <x:f>'Trade Features'!BX602</x:f>
        <x:v>22869.0</x:v>
      </x:c>
      <x:c r="D602" s="91" t="str">
        <x:f>'Trade Features'!CA602</x:f>
        <x:v>22908.58766748425</x:v>
      </x:c>
      <x:c r="E602" s="91" t="str">
        <x:f>'Trade Features'!CH602</x:f>
        <x:v>2.0</x:v>
      </x:c>
      <x:c r="F602" s="91" t="str">
        <x:f>'Trade Features'!CG602</x:f>
        <x:v>0.01831378421798711</x:v>
      </x:c>
      <x:c r="G602" s="92" t="n">
        <x:f>ABS(C602-D602)</x:f>
        <x:v>39.58766748425114</x:v>
      </x:c>
      <x:c r="H602" s="92" t="n">
        <x:f>IFERROR($O$2/(G602*$O$3),0)</x:f>
        <x:v>0.01831378421798711</x:v>
      </x:c>
      <x:c r="I602" s="92" t="n">
        <x:f>E602-H602</x:f>
        <x:v>1.981686215782013</x:v>
      </x:c>
      <x:c r="J602" s="91" t="str">
        <x:f>'Trade Features'!CI602</x:f>
        <x:v>1.981686215782013</x:v>
      </x:c>
      <x:c r="K602" s="92" t="n">
        <x:f>I602-J602</x:f>
        <x:v>0</x:v>
      </x:c>
      <x:c r="L602" s="90" t="str">
        <x:f>IF(ABS(K602)&lt;0.000000001,"PASS","FAIL")</x:f>
        <x:v>PASS</x:v>
      </x:c>
    </x:row>
    <x:row r="603">
      <x:c r="A603" s="84" t="str">
        <x:f>'Trade Features'!A603</x:f>
        <x:v>A0602</x:v>
      </x:c>
      <x:c r="B603" s="84" t="str">
        <x:f>'Trade Features'!F603</x:f>
        <x:v>Short</x:v>
      </x:c>
      <x:c r="C603" s="91" t="str">
        <x:f>'Trade Features'!BX603</x:f>
        <x:v>22795.5</x:v>
      </x:c>
      <x:c r="D603" s="91" t="str">
        <x:f>'Trade Features'!CA603</x:f>
        <x:v>22811.65762628223</x:v>
      </x:c>
      <x:c r="E603" s="91" t="str">
        <x:f>'Trade Features'!CH603</x:f>
        <x:v>-1.0</x:v>
      </x:c>
      <x:c r="F603" s="91" t="str">
        <x:f>'Trade Features'!CG603</x:f>
        <x:v>0.04487045233849149</x:v>
      </x:c>
      <x:c r="G603" s="92" t="n">
        <x:f>ABS(C603-D603)</x:f>
        <x:v>16.157626282230922</x:v>
      </x:c>
      <x:c r="H603" s="92" t="n">
        <x:f>IFERROR($O$2/(G603*$O$3),0)</x:f>
        <x:v>0.04487045233849149</x:v>
      </x:c>
      <x:c r="I603" s="92" t="n">
        <x:f>E603-H603</x:f>
        <x:v>-1.0448704523384915</x:v>
      </x:c>
      <x:c r="J603" s="91" t="str">
        <x:f>'Trade Features'!CI603</x:f>
        <x:v>-1.0448704523384915</x:v>
      </x:c>
      <x:c r="K603" s="92" t="n">
        <x:f>I603-J603</x:f>
        <x:v>0</x:v>
      </x:c>
      <x:c r="L603" s="90" t="str">
        <x:f>IF(ABS(K603)&lt;0.000000001,"PASS","FAIL")</x:f>
        <x:v>PASS</x:v>
      </x:c>
    </x:row>
    <x:row r="604">
      <x:c r="A604" s="84" t="str">
        <x:f>'Trade Features'!A604</x:f>
        <x:v>A0603</x:v>
      </x:c>
      <x:c r="B604" s="84" t="str">
        <x:f>'Trade Features'!F604</x:f>
        <x:v>Short</x:v>
      </x:c>
      <x:c r="C604" s="91" t="str">
        <x:f>'Trade Features'!BX604</x:f>
        <x:v>22809.5</x:v>
      </x:c>
      <x:c r="D604" s="91" t="str">
        <x:f>'Trade Features'!CA604</x:f>
        <x:v>22834.96499596708</x:v>
      </x:c>
      <x:c r="E604" s="91" t="str">
        <x:f>'Trade Features'!CH604</x:f>
        <x:v>2.0</x:v>
      </x:c>
      <x:c r="F604" s="91" t="str">
        <x:f>'Trade Features'!CG604</x:f>
        <x:v>0.028470454145654835</x:v>
      </x:c>
      <x:c r="G604" s="92" t="n">
        <x:f>ABS(C604-D604)</x:f>
        <x:v>25.46499596707872</x:v>
      </x:c>
      <x:c r="H604" s="92" t="n">
        <x:f>IFERROR($O$2/(G604*$O$3),0)</x:f>
        <x:v>0.028470454145654835</x:v>
      </x:c>
      <x:c r="I604" s="92" t="n">
        <x:f>E604-H604</x:f>
        <x:v>1.9715295458543451</x:v>
      </x:c>
      <x:c r="J604" s="91" t="str">
        <x:f>'Trade Features'!CI604</x:f>
        <x:v>1.9715295458543451</x:v>
      </x:c>
      <x:c r="K604" s="92" t="n">
        <x:f>I604-J604</x:f>
        <x:v>0</x:v>
      </x:c>
      <x:c r="L604" s="90" t="str">
        <x:f>IF(ABS(K604)&lt;0.000000001,"PASS","FAIL")</x:f>
        <x:v>PASS</x:v>
      </x:c>
    </x:row>
    <x:row r="605">
      <x:c r="A605" s="84" t="str">
        <x:f>'Trade Features'!A605</x:f>
        <x:v>A0604</x:v>
      </x:c>
      <x:c r="B605" s="84" t="str">
        <x:f>'Trade Features'!F605</x:f>
        <x:v>Short</x:v>
      </x:c>
      <x:c r="C605" s="91" t="str">
        <x:f>'Trade Features'!BX605</x:f>
        <x:v>22548.75</x:v>
      </x:c>
      <x:c r="D605" s="91" t="str">
        <x:f>'Trade Features'!CA605</x:f>
        <x:v>22589.424490126963</x:v>
      </x:c>
      <x:c r="E605" s="91" t="str">
        <x:f>'Trade Features'!CH605</x:f>
        <x:v>-1.0</x:v>
      </x:c>
      <x:c r="F605" s="91" t="str">
        <x:f>'Trade Features'!CG605</x:f>
        <x:v>0.01782443978368148</x:v>
      </x:c>
      <x:c r="G605" s="92" t="n">
        <x:f>ABS(C605-D605)</x:f>
        <x:v>40.674490126963065</x:v>
      </x:c>
      <x:c r="H605" s="92" t="n">
        <x:f>IFERROR($O$2/(G605*$O$3),0)</x:f>
        <x:v>0.01782443978368148</x:v>
      </x:c>
      <x:c r="I605" s="92" t="n">
        <x:f>E605-H605</x:f>
        <x:v>-1.0178244397836815</x:v>
      </x:c>
      <x:c r="J605" s="91" t="str">
        <x:f>'Trade Features'!CI605</x:f>
        <x:v>-1.0178244397836815</x:v>
      </x:c>
      <x:c r="K605" s="92" t="n">
        <x:f>I605-J605</x:f>
        <x:v>0</x:v>
      </x:c>
      <x:c r="L605" s="90" t="str">
        <x:f>IF(ABS(K605)&lt;0.000000001,"PASS","FAIL")</x:f>
        <x:v>PASS</x:v>
      </x:c>
    </x:row>
    <x:row r="606">
      <x:c r="A606" s="84" t="str">
        <x:f>'Trade Features'!A606</x:f>
        <x:v>A0605</x:v>
      </x:c>
      <x:c r="B606" s="84" t="str">
        <x:f>'Trade Features'!F606</x:f>
        <x:v>Long</x:v>
      </x:c>
      <x:c r="C606" s="91" t="str">
        <x:f>'Trade Features'!BX606</x:f>
        <x:v>22910.0</x:v>
      </x:c>
      <x:c r="D606" s="91" t="str">
        <x:f>'Trade Features'!CA606</x:f>
        <x:v>22887.90290794562</x:v>
      </x:c>
      <x:c r="E606" s="91" t="str">
        <x:f>'Trade Features'!CH606</x:f>
        <x:v>1.7649381151157864</x:v>
      </x:c>
      <x:c r="F606" s="91" t="str">
        <x:f>'Trade Features'!CG606</x:f>
        <x:v>0.032809747011769246</x:v>
      </x:c>
      <x:c r="G606" s="92" t="n">
        <x:f>ABS(C606-D606)</x:f>
        <x:v>22.097092054380482</x:v>
      </x:c>
      <x:c r="H606" s="92" t="n">
        <x:f>IFERROR($O$2/(G606*$O$3),0)</x:f>
        <x:v>0.032809747011769246</x:v>
      </x:c>
      <x:c r="I606" s="92" t="n">
        <x:f>E606-H606</x:f>
        <x:v>1.7321283681040172</x:v>
      </x:c>
      <x:c r="J606" s="91" t="str">
        <x:f>'Trade Features'!CI606</x:f>
        <x:v>1.7321283681040172</x:v>
      </x:c>
      <x:c r="K606" s="92" t="n">
        <x:f>I606-J606</x:f>
        <x:v>0</x:v>
      </x:c>
      <x:c r="L606" s="90" t="str">
        <x:f>IF(ABS(K606)&lt;0.000000001,"PASS","FAIL")</x:f>
        <x:v>PASS</x:v>
      </x:c>
    </x:row>
    <x:row r="607">
      <x:c r="A607" s="84" t="str">
        <x:f>'Trade Features'!A607</x:f>
        <x:v>A0606</x:v>
      </x:c>
      <x:c r="B607" s="84" t="str">
        <x:f>'Trade Features'!F607</x:f>
        <x:v>Short</x:v>
      </x:c>
      <x:c r="C607" s="91" t="str">
        <x:f>'Trade Features'!BX607</x:f>
        <x:v>23124.75</x:v>
      </x:c>
      <x:c r="D607" s="91" t="str">
        <x:f>'Trade Features'!CA607</x:f>
        <x:v>23139.044052594814</x:v>
      </x:c>
      <x:c r="E607" s="91" t="str">
        <x:f>'Trade Features'!CH607</x:f>
        <x:v>-1.0</x:v>
      </x:c>
      <x:c r="F607" s="91" t="str">
        <x:f>'Trade Features'!CG607</x:f>
        <x:v>0.050720395436562336</x:v>
      </x:c>
      <x:c r="G607" s="92" t="n">
        <x:f>ABS(C607-D607)</x:f>
        <x:v>14.294052594814275</x:v>
      </x:c>
      <x:c r="H607" s="92" t="n">
        <x:f>IFERROR($O$2/(G607*$O$3),0)</x:f>
        <x:v>0.050720395436562336</x:v>
      </x:c>
      <x:c r="I607" s="92" t="n">
        <x:f>E607-H607</x:f>
        <x:v>-1.0507203954365623</x:v>
      </x:c>
      <x:c r="J607" s="91" t="str">
        <x:f>'Trade Features'!CI607</x:f>
        <x:v>-1.0507203954365623</x:v>
      </x:c>
      <x:c r="K607" s="92" t="n">
        <x:f>I607-J607</x:f>
        <x:v>0</x:v>
      </x:c>
      <x:c r="L607" s="90" t="str">
        <x:f>IF(ABS(K607)&lt;0.000000001,"PASS","FAIL")</x:f>
        <x:v>PASS</x:v>
      </x:c>
    </x:row>
    <x:row r="608">
      <x:c r="A608" s="84" t="str">
        <x:f>'Trade Features'!A608</x:f>
        <x:v>A0607</x:v>
      </x:c>
      <x:c r="B608" s="84" t="str">
        <x:f>'Trade Features'!F608</x:f>
        <x:v>Long</x:v>
      </x:c>
      <x:c r="C608" s="91" t="str">
        <x:f>'Trade Features'!BX608</x:f>
        <x:v>22914.0</x:v>
      </x:c>
      <x:c r="D608" s="91" t="str">
        <x:f>'Trade Features'!CA608</x:f>
        <x:v>22896.116495904047</x:v>
      </x:c>
      <x:c r="E608" s="91" t="str">
        <x:f>'Trade Features'!CH608</x:f>
        <x:v>-1.0</x:v>
      </x:c>
      <x:c r="F608" s="91" t="str">
        <x:f>'Trade Features'!CG608</x:f>
        <x:v>0.040540153434698946</x:v>
      </x:c>
      <x:c r="G608" s="92" t="n">
        <x:f>ABS(C608-D608)</x:f>
        <x:v>17.883504095952958</x:v>
      </x:c>
      <x:c r="H608" s="92" t="n">
        <x:f>IFERROR($O$2/(G608*$O$3),0)</x:f>
        <x:v>0.040540153434698946</x:v>
      </x:c>
      <x:c r="I608" s="92" t="n">
        <x:f>E608-H608</x:f>
        <x:v>-1.040540153434699</x:v>
      </x:c>
      <x:c r="J608" s="91" t="str">
        <x:f>'Trade Features'!CI608</x:f>
        <x:v>-1.040540153434699</x:v>
      </x:c>
      <x:c r="K608" s="92" t="n">
        <x:f>I608-J608</x:f>
        <x:v>0</x:v>
      </x:c>
      <x:c r="L608" s="90" t="str">
        <x:f>IF(ABS(K608)&lt;0.000000001,"PASS","FAIL")</x:f>
        <x:v>PASS</x:v>
      </x:c>
    </x:row>
    <x:row r="609">
      <x:c r="A609" s="84" t="str">
        <x:f>'Trade Features'!A609</x:f>
        <x:v>A0608</x:v>
      </x:c>
      <x:c r="B609" s="84" t="str">
        <x:f>'Trade Features'!F609</x:f>
        <x:v>Long</x:v>
      </x:c>
      <x:c r="C609" s="91" t="str">
        <x:f>'Trade Features'!BX609</x:f>
        <x:v>22833.0</x:v>
      </x:c>
      <x:c r="D609" s="91" t="str">
        <x:f>'Trade Features'!CA609</x:f>
        <x:v>22788.482639108977</x:v>
      </x:c>
      <x:c r="E609" s="91" t="str">
        <x:f>'Trade Features'!CH609</x:f>
        <x:v>-1.0</x:v>
      </x:c>
      <x:c r="F609" s="91" t="str">
        <x:f>'Trade Features'!CG609</x:f>
        <x:v>0.016285781220831592</x:v>
      </x:c>
      <x:c r="G609" s="92" t="n">
        <x:f>ABS(C609-D609)</x:f>
        <x:v>44.51736089102269</x:v>
      </x:c>
      <x:c r="H609" s="92" t="n">
        <x:f>IFERROR($O$2/(G609*$O$3),0)</x:f>
        <x:v>0.016285781220831592</x:v>
      </x:c>
      <x:c r="I609" s="92" t="n">
        <x:f>E609-H609</x:f>
        <x:v>-1.0162857812208317</x:v>
      </x:c>
      <x:c r="J609" s="91" t="str">
        <x:f>'Trade Features'!CI609</x:f>
        <x:v>-1.0162857812208317</x:v>
      </x:c>
      <x:c r="K609" s="92" t="n">
        <x:f>I609-J609</x:f>
        <x:v>0</x:v>
      </x:c>
      <x:c r="L609" s="90" t="str">
        <x:f>IF(ABS(K609)&lt;0.000000001,"PASS","FAIL")</x:f>
        <x:v>PASS</x:v>
      </x:c>
    </x:row>
    <x:row r="610">
      <x:c r="A610" s="84" t="str">
        <x:f>'Trade Features'!A610</x:f>
        <x:v>A0609</x:v>
      </x:c>
      <x:c r="B610" s="84" t="str">
        <x:f>'Trade Features'!F610</x:f>
        <x:v>Long</x:v>
      </x:c>
      <x:c r="C610" s="91" t="str">
        <x:f>'Trade Features'!BX610</x:f>
        <x:v>22347.75</x:v>
      </x:c>
      <x:c r="D610" s="91" t="str">
        <x:f>'Trade Features'!CA610</x:f>
        <x:v>22285.097663814737</x:v>
      </x:c>
      <x:c r="E610" s="91" t="str">
        <x:f>'Trade Features'!CH610</x:f>
        <x:v>1.1212670472857054</x:v>
      </x:c>
      <x:c r="F610" s="91" t="str">
        <x:f>'Trade Features'!CG610</x:f>
        <x:v>0.011571795149923403</x:v>
      </x:c>
      <x:c r="G610" s="92" t="n">
        <x:f>ABS(C610-D610)</x:f>
        <x:v>62.652336185263266</x:v>
      </x:c>
      <x:c r="H610" s="92" t="n">
        <x:f>IFERROR($O$2/(G610*$O$3),0)</x:f>
        <x:v>0.011571795149923403</x:v>
      </x:c>
      <x:c r="I610" s="92" t="n">
        <x:f>E610-H610</x:f>
        <x:v>1.109695252135782</x:v>
      </x:c>
      <x:c r="J610" s="91" t="str">
        <x:f>'Trade Features'!CI610</x:f>
        <x:v>1.109695252135782</x:v>
      </x:c>
      <x:c r="K610" s="92" t="n">
        <x:f>I610-J610</x:f>
        <x:v>0</x:v>
      </x:c>
      <x:c r="L610" s="90" t="str">
        <x:f>IF(ABS(K610)&lt;0.000000001,"PASS","FAIL")</x:f>
        <x:v>PASS</x:v>
      </x:c>
    </x:row>
    <x:row r="611">
      <x:c r="A611" s="84" t="str">
        <x:f>'Trade Features'!A611</x:f>
        <x:v>A0610</x:v>
      </x:c>
      <x:c r="B611" s="84" t="str">
        <x:f>'Trade Features'!F611</x:f>
        <x:v>Short</x:v>
      </x:c>
      <x:c r="C611" s="91" t="str">
        <x:f>'Trade Features'!BX611</x:f>
        <x:v>22198.0</x:v>
      </x:c>
      <x:c r="D611" s="91" t="str">
        <x:f>'Trade Features'!CA611</x:f>
        <x:v>22296.795333718354</x:v>
      </x:c>
      <x:c r="E611" s="91" t="str">
        <x:f>'Trade Features'!CH611</x:f>
        <x:v>-1.0</x:v>
      </x:c>
      <x:c r="F611" s="91" t="str">
        <x:f>'Trade Features'!CG611</x:f>
        <x:v>0.007338403269802556</x:v>
      </x:c>
      <x:c r="G611" s="92" t="n">
        <x:f>ABS(C611-D611)</x:f>
        <x:v>98.7953337183535</x:v>
      </x:c>
      <x:c r="H611" s="92" t="n">
        <x:f>IFERROR($O$2/(G611*$O$3),0)</x:f>
        <x:v>0.007338403269802556</x:v>
      </x:c>
      <x:c r="I611" s="92" t="n">
        <x:f>E611-H611</x:f>
        <x:v>-1.0073384032698025</x:v>
      </x:c>
      <x:c r="J611" s="91" t="str">
        <x:f>'Trade Features'!CI611</x:f>
        <x:v>-1.0073384032698025</x:v>
      </x:c>
      <x:c r="K611" s="92" t="n">
        <x:f>I611-J611</x:f>
        <x:v>0</x:v>
      </x:c>
      <x:c r="L611" s="90" t="str">
        <x:f>IF(ABS(K611)&lt;0.000000001,"PASS","FAIL")</x:f>
        <x:v>PASS</x:v>
      </x:c>
    </x:row>
    <x:row r="612">
      <x:c r="A612" s="84" t="str">
        <x:f>'Trade Features'!A612</x:f>
        <x:v>A0611</x:v>
      </x:c>
      <x:c r="B612" s="84" t="str">
        <x:f>'Trade Features'!F612</x:f>
        <x:v>Long</x:v>
      </x:c>
      <x:c r="C612" s="91" t="str">
        <x:f>'Trade Features'!BX612</x:f>
        <x:v>22513.75</x:v>
      </x:c>
      <x:c r="D612" s="91" t="str">
        <x:f>'Trade Features'!CA612</x:f>
        <x:v>22423.638155515</x:v>
      </x:c>
      <x:c r="E612" s="91" t="str">
        <x:f>'Trade Features'!CH612</x:f>
        <x:v>0.10542454273678968</x:v>
      </x:c>
      <x:c r="F612" s="91" t="str">
        <x:f>'Trade Features'!CG612</x:f>
        <x:v>0.00804555720886042</x:v>
      </x:c>
      <x:c r="G612" s="92" t="n">
        <x:f>ABS(C612-D612)</x:f>
        <x:v>90.11184448499989</x:v>
      </x:c>
      <x:c r="H612" s="92" t="n">
        <x:f>IFERROR($O$2/(G612*$O$3),0)</x:f>
        <x:v>0.00804555720886042</x:v>
      </x:c>
      <x:c r="I612" s="92" t="n">
        <x:f>E612-H612</x:f>
        <x:v>0.09737898552792926</x:v>
      </x:c>
      <x:c r="J612" s="91" t="str">
        <x:f>'Trade Features'!CI612</x:f>
        <x:v>0.09737898552792926</x:v>
      </x:c>
      <x:c r="K612" s="92" t="n">
        <x:f>I612-J612</x:f>
        <x:v>0</x:v>
      </x:c>
      <x:c r="L612" s="90" t="str">
        <x:f>IF(ABS(K612)&lt;0.000000001,"PASS","FAIL")</x:f>
        <x:v>PASS</x:v>
      </x:c>
    </x:row>
    <x:row r="613">
      <x:c r="A613" s="84" t="str">
        <x:f>'Trade Features'!A613</x:f>
        <x:v>A0612</x:v>
      </x:c>
      <x:c r="B613" s="84" t="str">
        <x:f>'Trade Features'!F613</x:f>
        <x:v>Short</x:v>
      </x:c>
      <x:c r="C613" s="91" t="str">
        <x:f>'Trade Features'!BX613</x:f>
        <x:v>22891.75</x:v>
      </x:c>
      <x:c r="D613" s="91" t="str">
        <x:f>'Trade Features'!CA613</x:f>
        <x:v>22935.963714232108</x:v>
      </x:c>
      <x:c r="E613" s="91" t="str">
        <x:f>'Trade Features'!CH613</x:f>
        <x:v>1.4079341914865164</x:v>
      </x:c>
      <x:c r="F613" s="91" t="str">
        <x:f>'Trade Features'!CG613</x:f>
        <x:v>0.016397627129762928</x:v>
      </x:c>
      <x:c r="G613" s="92" t="n">
        <x:f>ABS(C613-D613)</x:f>
        <x:v>44.21371423210803</x:v>
      </x:c>
      <x:c r="H613" s="92" t="n">
        <x:f>IFERROR($O$2/(G613*$O$3),0)</x:f>
        <x:v>0.016397627129762928</x:v>
      </x:c>
      <x:c r="I613" s="92" t="n">
        <x:f>E613-H613</x:f>
        <x:v>1.3915365643567534</x:v>
      </x:c>
      <x:c r="J613" s="91" t="str">
        <x:f>'Trade Features'!CI613</x:f>
        <x:v>1.3915365643567534</x:v>
      </x:c>
      <x:c r="K613" s="92" t="n">
        <x:f>I613-J613</x:f>
        <x:v>0</x:v>
      </x:c>
      <x:c r="L613" s="90" t="str">
        <x:f>IF(ABS(K613)&lt;0.000000001,"PASS","FAIL")</x:f>
        <x:v>PASS</x:v>
      </x:c>
    </x:row>
    <x:row r="614">
      <x:c r="A614" s="84" t="str">
        <x:f>'Trade Features'!A614</x:f>
        <x:v>A0613</x:v>
      </x:c>
      <x:c r="B614" s="84" t="str">
        <x:f>'Trade Features'!F614</x:f>
        <x:v>Short</x:v>
      </x:c>
      <x:c r="C614" s="91" t="str">
        <x:f>'Trade Features'!BX614</x:f>
        <x:v>22838.5</x:v>
      </x:c>
      <x:c r="D614" s="91" t="str">
        <x:f>'Trade Features'!CA614</x:f>
        <x:v>22878.859679553025</x:v>
      </x:c>
      <x:c r="E614" s="91" t="str">
        <x:f>'Trade Features'!CH614</x:f>
        <x:v>2.0</x:v>
      </x:c>
      <x:c r="F614" s="91" t="str">
        <x:f>'Trade Features'!CG614</x:f>
        <x:v>0.01796347265462034</x:v>
      </x:c>
      <x:c r="G614" s="92" t="n">
        <x:f>ABS(C614-D614)</x:f>
        <x:v>40.35967955302476</x:v>
      </x:c>
      <x:c r="H614" s="92" t="n">
        <x:f>IFERROR($O$2/(G614*$O$3),0)</x:f>
        <x:v>0.01796347265462034</x:v>
      </x:c>
      <x:c r="I614" s="92" t="n">
        <x:f>E614-H614</x:f>
        <x:v>1.9820365273453797</x:v>
      </x:c>
      <x:c r="J614" s="91" t="str">
        <x:f>'Trade Features'!CI614</x:f>
        <x:v>1.9820365273453797</x:v>
      </x:c>
      <x:c r="K614" s="92" t="n">
        <x:f>I614-J614</x:f>
        <x:v>0</x:v>
      </x:c>
      <x:c r="L614" s="90" t="str">
        <x:f>IF(ABS(K614)&lt;0.000000001,"PASS","FAIL")</x:f>
        <x:v>PASS</x:v>
      </x:c>
    </x:row>
    <x:row r="615">
      <x:c r="A615" s="84" t="str">
        <x:f>'Trade Features'!A615</x:f>
        <x:v>A0614</x:v>
      </x:c>
      <x:c r="B615" s="84" t="str">
        <x:f>'Trade Features'!F615</x:f>
        <x:v>Long</x:v>
      </x:c>
      <x:c r="C615" s="91" t="str">
        <x:f>'Trade Features'!BX615</x:f>
        <x:v>22410.25</x:v>
      </x:c>
      <x:c r="D615" s="91" t="str">
        <x:f>'Trade Features'!CA615</x:f>
        <x:v>22310.9950232052</x:v>
      </x:c>
      <x:c r="E615" s="91" t="str">
        <x:f>'Trade Features'!CH615</x:f>
        <x:v>0.5843535696946414</x:v>
      </x:c>
      <x:c r="F615" s="91" t="str">
        <x:f>'Trade Features'!CG615</x:f>
        <x:v>0.007304419621182972</x:v>
      </x:c>
      <x:c r="G615" s="92" t="n">
        <x:f>ABS(C615-D615)</x:f>
        <x:v>99.25497679480031</x:v>
      </x:c>
      <x:c r="H615" s="92" t="n">
        <x:f>IFERROR($O$2/(G615*$O$3),0)</x:f>
        <x:v>0.007304419621182972</x:v>
      </x:c>
      <x:c r="I615" s="92" t="n">
        <x:f>E615-H615</x:f>
        <x:v>0.5770491500734584</x:v>
      </x:c>
      <x:c r="J615" s="91" t="str">
        <x:f>'Trade Features'!CI615</x:f>
        <x:v>0.5770491500734584</x:v>
      </x:c>
      <x:c r="K615" s="92" t="n">
        <x:f>I615-J615</x:f>
        <x:v>0</x:v>
      </x:c>
      <x:c r="L615" s="90" t="str">
        <x:f>IF(ABS(K615)&lt;0.000000001,"PASS","FAIL")</x:f>
        <x:v>PASS</x:v>
      </x:c>
    </x:row>
    <x:row r="616">
      <x:c r="A616" s="84" t="str">
        <x:f>'Trade Features'!A616</x:f>
        <x:v>A0615</x:v>
      </x:c>
      <x:c r="B616" s="84" t="str">
        <x:f>'Trade Features'!F616</x:f>
        <x:v>Long</x:v>
      </x:c>
      <x:c r="C616" s="91" t="str">
        <x:f>'Trade Features'!BX616</x:f>
        <x:v>22844.75</x:v>
      </x:c>
      <x:c r="D616" s="91" t="str">
        <x:f>'Trade Features'!CA616</x:f>
        <x:v>22812.970402043487</x:v>
      </x:c>
      <x:c r="E616" s="91" t="str">
        <x:f>'Trade Features'!CH616</x:f>
        <x:v>2.0</x:v>
      </x:c>
      <x:c r="F616" s="91" t="str">
        <x:f>'Trade Features'!CG616</x:f>
        <x:v>0.022813378601960126</x:v>
      </x:c>
      <x:c r="G616" s="92" t="n">
        <x:f>ABS(C616-D616)</x:f>
        <x:v>31.77959795651259</x:v>
      </x:c>
      <x:c r="H616" s="92" t="n">
        <x:f>IFERROR($O$2/(G616*$O$3),0)</x:f>
        <x:v>0.022813378601960126</x:v>
      </x:c>
      <x:c r="I616" s="92" t="n">
        <x:f>E616-H616</x:f>
        <x:v>1.9771866213980398</x:v>
      </x:c>
      <x:c r="J616" s="91" t="str">
        <x:f>'Trade Features'!CI616</x:f>
        <x:v>1.9771866213980398</x:v>
      </x:c>
      <x:c r="K616" s="92" t="n">
        <x:f>I616-J616</x:f>
        <x:v>0</x:v>
      </x:c>
      <x:c r="L616" s="90" t="str">
        <x:f>IF(ABS(K616)&lt;0.000000001,"PASS","FAIL")</x:f>
        <x:v>PASS</x:v>
      </x:c>
    </x:row>
    <x:row r="617">
      <x:c r="A617" s="84" t="str">
        <x:f>'Trade Features'!A617</x:f>
        <x:v>A0616</x:v>
      </x:c>
      <x:c r="B617" s="84" t="str">
        <x:f>'Trade Features'!F617</x:f>
        <x:v>Long</x:v>
      </x:c>
      <x:c r="C617" s="91" t="str">
        <x:f>'Trade Features'!BX617</x:f>
        <x:v>23052.25</x:v>
      </x:c>
      <x:c r="D617" s="91" t="str">
        <x:f>'Trade Features'!CA617</x:f>
        <x:v>23002.653571399747</x:v>
      </x:c>
      <x:c r="E617" s="91" t="str">
        <x:f>'Trade Features'!CH617</x:f>
        <x:v>-1.0</x:v>
      </x:c>
      <x:c r="F617" s="91" t="str">
        <x:f>'Trade Features'!CG617</x:f>
        <x:v>0.014617988037878723</x:v>
      </x:c>
      <x:c r="G617" s="92" t="n">
        <x:f>ABS(C617-D617)</x:f>
        <x:v>49.59642860025269</x:v>
      </x:c>
      <x:c r="H617" s="92" t="n">
        <x:f>IFERROR($O$2/(G617*$O$3),0)</x:f>
        <x:v>0.014617988037878723</x:v>
      </x:c>
      <x:c r="I617" s="92" t="n">
        <x:f>E617-H617</x:f>
        <x:v>-1.0146179880378787</x:v>
      </x:c>
      <x:c r="J617" s="91" t="str">
        <x:f>'Trade Features'!CI617</x:f>
        <x:v>-1.0146179880378787</x:v>
      </x:c>
      <x:c r="K617" s="92" t="n">
        <x:f>I617-J617</x:f>
        <x:v>0</x:v>
      </x:c>
      <x:c r="L617" s="90" t="str">
        <x:f>IF(ABS(K617)&lt;0.000000001,"PASS","FAIL")</x:f>
        <x:v>PASS</x:v>
      </x:c>
    </x:row>
    <x:row r="618">
      <x:c r="A618" s="84" t="str">
        <x:f>'Trade Features'!A618</x:f>
        <x:v>A0617</x:v>
      </x:c>
      <x:c r="B618" s="84" t="str">
        <x:f>'Trade Features'!F618</x:f>
        <x:v>Short</x:v>
      </x:c>
      <x:c r="C618" s="91" t="str">
        <x:f>'Trade Features'!BX618</x:f>
        <x:v>22887.25</x:v>
      </x:c>
      <x:c r="D618" s="91" t="str">
        <x:f>'Trade Features'!CA618</x:f>
        <x:v>22964.68722120914</x:v>
      </x:c>
      <x:c r="E618" s="91" t="str">
        <x:f>'Trade Features'!CH618</x:f>
        <x:v>0.6844253857826267</x:v>
      </x:c>
      <x:c r="F618" s="91" t="str">
        <x:f>'Trade Features'!CG618</x:f>
        <x:v>0.00936242273004529</x:v>
      </x:c>
      <x:c r="G618" s="92" t="n">
        <x:f>ABS(C618-D618)</x:f>
        <x:v>77.43722120914026</x:v>
      </x:c>
      <x:c r="H618" s="92" t="n">
        <x:f>IFERROR($O$2/(G618*$O$3),0)</x:f>
        <x:v>0.00936242273004529</x:v>
      </x:c>
      <x:c r="I618" s="92" t="n">
        <x:f>E618-H618</x:f>
        <x:v>0.6750629630525814</x:v>
      </x:c>
      <x:c r="J618" s="91" t="str">
        <x:f>'Trade Features'!CI618</x:f>
        <x:v>0.6750629630525814</x:v>
      </x:c>
      <x:c r="K618" s="92" t="n">
        <x:f>I618-J618</x:f>
        <x:v>0</x:v>
      </x:c>
      <x:c r="L618" s="90" t="str">
        <x:f>IF(ABS(K618)&lt;0.000000001,"PASS","FAIL")</x:f>
        <x:v>PASS</x:v>
      </x:c>
    </x:row>
    <x:row r="619">
      <x:c r="A619" s="84" t="str">
        <x:f>'Trade Features'!A619</x:f>
        <x:v>A0618</x:v>
      </x:c>
      <x:c r="B619" s="84" t="str">
        <x:f>'Trade Features'!F619</x:f>
        <x:v>Short</x:v>
      </x:c>
      <x:c r="C619" s="91" t="str">
        <x:f>'Trade Features'!BX619</x:f>
        <x:v>22670.5</x:v>
      </x:c>
      <x:c r="D619" s="91" t="str">
        <x:f>'Trade Features'!CA619</x:f>
        <x:v>22705.235925585457</x:v>
      </x:c>
      <x:c r="E619" s="91" t="str">
        <x:f>'Trade Features'!CH619</x:f>
        <x:v>1.3314745244435244</x:v>
      </x:c>
      <x:c r="F619" s="91" t="str">
        <x:f>'Trade Features'!CG619</x:f>
        <x:v>0.020871762815600194</x:v>
      </x:c>
      <x:c r="G619" s="92" t="n">
        <x:f>ABS(C619-D619)</x:f>
        <x:v>34.73592558545715</x:v>
      </x:c>
      <x:c r="H619" s="92" t="n">
        <x:f>IFERROR($O$2/(G619*$O$3),0)</x:f>
        <x:v>0.020871762815600194</x:v>
      </x:c>
      <x:c r="I619" s="92" t="n">
        <x:f>E619-H619</x:f>
        <x:v>1.3106027616279243</x:v>
      </x:c>
      <x:c r="J619" s="91" t="str">
        <x:f>'Trade Features'!CI619</x:f>
        <x:v>1.3106027616279243</x:v>
      </x:c>
      <x:c r="K619" s="92" t="n">
        <x:f>I619-J619</x:f>
        <x:v>0</x:v>
      </x:c>
      <x:c r="L619" s="90" t="str">
        <x:f>IF(ABS(K619)&lt;0.000000001,"PASS","FAIL")</x:f>
        <x:v>PASS</x:v>
      </x:c>
    </x:row>
    <x:row r="620">
      <x:c r="A620" s="84" t="str">
        <x:f>'Trade Features'!A620</x:f>
        <x:v>A0619</x:v>
      </x:c>
      <x:c r="B620" s="84" t="str">
        <x:f>'Trade Features'!F620</x:f>
        <x:v>Short</x:v>
      </x:c>
      <x:c r="C620" s="91" t="str">
        <x:f>'Trade Features'!BX620</x:f>
        <x:v>22382.5</x:v>
      </x:c>
      <x:c r="D620" s="91" t="str">
        <x:f>'Trade Features'!CA620</x:f>
        <x:v>22432.69973167747</x:v>
      </x:c>
      <x:c r="E620" s="91" t="str">
        <x:f>'Trade Features'!CH620</x:f>
        <x:v>-0.3635477599214254</x:v>
      </x:c>
      <x:c r="F620" s="91" t="str">
        <x:f>'Trade Features'!CG620</x:f>
        <x:v>0.014442308270850869</x:v>
      </x:c>
      <x:c r="G620" s="92" t="n">
        <x:f>ABS(C620-D620)</x:f>
        <x:v>50.19973167746866</x:v>
      </x:c>
      <x:c r="H620" s="92" t="n">
        <x:f>IFERROR($O$2/(G620*$O$3),0)</x:f>
        <x:v>0.014442308270850869</x:v>
      </x:c>
      <x:c r="I620" s="92" t="n">
        <x:f>E620-H620</x:f>
        <x:v>-0.37799006819227626</x:v>
      </x:c>
      <x:c r="J620" s="91" t="str">
        <x:f>'Trade Features'!CI620</x:f>
        <x:v>-0.37799006819227626</x:v>
      </x:c>
      <x:c r="K620" s="92" t="n">
        <x:f>I620-J620</x:f>
        <x:v>0</x:v>
      </x:c>
      <x:c r="L620" s="90" t="str">
        <x:f>IF(ABS(K620)&lt;0.000000001,"PASS","FAIL")</x:f>
        <x:v>PASS</x:v>
      </x:c>
    </x:row>
    <x:row r="621">
      <x:c r="A621" s="84" t="str">
        <x:f>'Trade Features'!A621</x:f>
        <x:v>A0620</x:v>
      </x:c>
      <x:c r="B621" s="84" t="str">
        <x:f>'Trade Features'!F621</x:f>
        <x:v>Short</x:v>
      </x:c>
      <x:c r="C621" s="91" t="str">
        <x:f>'Trade Features'!BX621</x:f>
        <x:v>22264.25</x:v>
      </x:c>
      <x:c r="D621" s="91" t="str">
        <x:f>'Trade Features'!CA621</x:f>
        <x:v>22343.938835323006</x:v>
      </x:c>
      <x:c r="E621" s="91" t="str">
        <x:f>'Trade Features'!CH621</x:f>
        <x:v>-0.5552848127424578</x:v>
      </x:c>
      <x:c r="F621" s="91" t="str">
        <x:f>'Trade Features'!CG621</x:f>
        <x:v>0.009097886762447053</x:v>
      </x:c>
      <x:c r="G621" s="92" t="n">
        <x:f>ABS(C621-D621)</x:f>
        <x:v>79.68883532300606</x:v>
      </x:c>
      <x:c r="H621" s="92" t="n">
        <x:f>IFERROR($O$2/(G621*$O$3),0)</x:f>
        <x:v>0.009097886762447053</x:v>
      </x:c>
      <x:c r="I621" s="92" t="n">
        <x:f>E621-H621</x:f>
        <x:v>-0.5643826995049048</x:v>
      </x:c>
      <x:c r="J621" s="91" t="str">
        <x:f>'Trade Features'!CI621</x:f>
        <x:v>-0.5643826995049048</x:v>
      </x:c>
      <x:c r="K621" s="92" t="n">
        <x:f>I621-J621</x:f>
        <x:v>0</x:v>
      </x:c>
      <x:c r="L621" s="90" t="str">
        <x:f>IF(ABS(K621)&lt;0.000000001,"PASS","FAIL")</x:f>
        <x:v>PASS</x:v>
      </x:c>
    </x:row>
    <x:row r="622">
      <x:c r="A622" s="84" t="str">
        <x:f>'Trade Features'!A622</x:f>
        <x:v>A0621</x:v>
      </x:c>
      <x:c r="B622" s="84" t="str">
        <x:f>'Trade Features'!F622</x:f>
        <x:v>Short</x:v>
      </x:c>
      <x:c r="C622" s="91" t="str">
        <x:f>'Trade Features'!BX622</x:f>
        <x:v>22213.75</x:v>
      </x:c>
      <x:c r="D622" s="91" t="str">
        <x:f>'Trade Features'!CA622</x:f>
        <x:v>22277.975461416194</x:v>
      </x:c>
      <x:c r="E622" s="91" t="str">
        <x:f>'Trade Features'!CH622</x:f>
        <x:v>-1.0</x:v>
      </x:c>
      <x:c r="F622" s="91" t="str">
        <x:f>'Trade Features'!CG622</x:f>
        <x:v>0.011288357981608798</x:v>
      </x:c>
      <x:c r="G622" s="92" t="n">
        <x:f>ABS(C622-D622)</x:f>
        <x:v>64.22546141619387</x:v>
      </x:c>
      <x:c r="H622" s="92" t="n">
        <x:f>IFERROR($O$2/(G622*$O$3),0)</x:f>
        <x:v>0.011288357981608798</x:v>
      </x:c>
      <x:c r="I622" s="92" t="n">
        <x:f>E622-H622</x:f>
        <x:v>-1.0112883579816088</x:v>
      </x:c>
      <x:c r="J622" s="91" t="str">
        <x:f>'Trade Features'!CI622</x:f>
        <x:v>-1.0112883579816088</x:v>
      </x:c>
      <x:c r="K622" s="92" t="n">
        <x:f>I622-J622</x:f>
        <x:v>0</x:v>
      </x:c>
      <x:c r="L622" s="90" t="str">
        <x:f>IF(ABS(K622)&lt;0.000000001,"PASS","FAIL")</x:f>
        <x:v>PASS</x:v>
      </x:c>
    </x:row>
    <x:row r="623">
      <x:c r="A623" s="84" t="str">
        <x:f>'Trade Features'!A623</x:f>
        <x:v>A0622</x:v>
      </x:c>
      <x:c r="B623" s="84" t="str">
        <x:f>'Trade Features'!F623</x:f>
        <x:v>Long</x:v>
      </x:c>
      <x:c r="C623" s="91" t="str">
        <x:f>'Trade Features'!BX623</x:f>
        <x:v>22228.0</x:v>
      </x:c>
      <x:c r="D623" s="91" t="str">
        <x:f>'Trade Features'!CA623</x:f>
        <x:v>22179.83380244048</x:v>
      </x:c>
      <x:c r="E623" s="91" t="str">
        <x:f>'Trade Features'!CH623</x:f>
        <x:v>-1.0</x:v>
      </x:c>
      <x:c r="F623" s="91" t="str">
        <x:f>'Trade Features'!CG623</x:f>
        <x:v>0.015052049709842783</x:v>
      </x:c>
      <x:c r="G623" s="92" t="n">
        <x:f>ABS(C623-D623)</x:f>
        <x:v>48.16619755951979</x:v>
      </x:c>
      <x:c r="H623" s="92" t="n">
        <x:f>IFERROR($O$2/(G623*$O$3),0)</x:f>
        <x:v>0.015052049709842783</x:v>
      </x:c>
      <x:c r="I623" s="92" t="n">
        <x:f>E623-H623</x:f>
        <x:v>-1.0150520497098428</x:v>
      </x:c>
      <x:c r="J623" s="91" t="str">
        <x:f>'Trade Features'!CI623</x:f>
        <x:v>-1.0150520497098428</x:v>
      </x:c>
      <x:c r="K623" s="92" t="n">
        <x:f>I623-J623</x:f>
        <x:v>0</x:v>
      </x:c>
      <x:c r="L623" s="90" t="str">
        <x:f>IF(ABS(K623)&lt;0.000000001,"PASS","FAIL")</x:f>
        <x:v>PASS</x:v>
      </x:c>
    </x:row>
    <x:row r="624">
      <x:c r="A624" s="84" t="str">
        <x:f>'Trade Features'!A624</x:f>
        <x:v>A0623</x:v>
      </x:c>
      <x:c r="B624" s="84" t="str">
        <x:f>'Trade Features'!F624</x:f>
        <x:v>Short</x:v>
      </x:c>
      <x:c r="C624" s="91" t="str">
        <x:f>'Trade Features'!BX624</x:f>
        <x:v>21746.25</x:v>
      </x:c>
      <x:c r="D624" s="91" t="str">
        <x:f>'Trade Features'!CA624</x:f>
        <x:v>21799.915850012243</x:v>
      </x:c>
      <x:c r="E624" s="91" t="str">
        <x:f>'Trade Features'!CH624</x:f>
        <x:v>1.7515794491013092</x:v>
      </x:c>
      <x:c r="F624" s="91" t="str">
        <x:f>'Trade Features'!CG624</x:f>
        <x:v>0.013509522346792282</x:v>
      </x:c>
      <x:c r="G624" s="92" t="n">
        <x:f>ABS(C624-D624)</x:f>
        <x:v>53.66585001224303</x:v>
      </x:c>
      <x:c r="H624" s="92" t="n">
        <x:f>IFERROR($O$2/(G624*$O$3),0)</x:f>
        <x:v>0.013509522346792282</x:v>
      </x:c>
      <x:c r="I624" s="92" t="n">
        <x:f>E624-H624</x:f>
        <x:v>1.738069926754517</x:v>
      </x:c>
      <x:c r="J624" s="91" t="str">
        <x:f>'Trade Features'!CI624</x:f>
        <x:v>1.738069926754517</x:v>
      </x:c>
      <x:c r="K624" s="92" t="n">
        <x:f>I624-J624</x:f>
        <x:v>0</x:v>
      </x:c>
      <x:c r="L624" s="90" t="str">
        <x:f>IF(ABS(K624)&lt;0.000000001,"PASS","FAIL")</x:f>
        <x:v>PASS</x:v>
      </x:c>
    </x:row>
    <x:row r="625">
      <x:c r="A625" s="84" t="str">
        <x:f>'Trade Features'!A625</x:f>
        <x:v>A0624</x:v>
      </x:c>
      <x:c r="B625" s="84" t="str">
        <x:f>'Trade Features'!F625</x:f>
        <x:v>Long</x:v>
      </x:c>
      <x:c r="C625" s="91" t="str">
        <x:f>'Trade Features'!BX625</x:f>
        <x:v>21933.0</x:v>
      </x:c>
      <x:c r="D625" s="91" t="str">
        <x:f>'Trade Features'!CA625</x:f>
        <x:v>21834.78698455991</x:v>
      </x:c>
      <x:c r="E625" s="91" t="str">
        <x:f>'Trade Features'!CH625</x:f>
        <x:v>-0.22909387212252708</x:v>
      </x:c>
      <x:c r="F625" s="91" t="str">
        <x:f>'Trade Features'!CG625</x:f>
        <x:v>0.007381913657281425</x:v>
      </x:c>
      <x:c r="G625" s="92" t="n">
        <x:f>ABS(C625-D625)</x:f>
        <x:v>98.21301544009111</x:v>
      </x:c>
      <x:c r="H625" s="92" t="n">
        <x:f>IFERROR($O$2/(G625*$O$3),0)</x:f>
        <x:v>0.007381913657281425</x:v>
      </x:c>
      <x:c r="I625" s="92" t="n">
        <x:f>E625-H625</x:f>
        <x:v>-0.2364757857798085</x:v>
      </x:c>
      <x:c r="J625" s="91" t="str">
        <x:f>'Trade Features'!CI625</x:f>
        <x:v>-0.2364757857798085</x:v>
      </x:c>
      <x:c r="K625" s="92" t="n">
        <x:f>I625-J625</x:f>
        <x:v>0</x:v>
      </x:c>
      <x:c r="L625" s="90" t="str">
        <x:f>IF(ABS(K625)&lt;0.000000001,"PASS","FAIL")</x:f>
        <x:v>PASS</x:v>
      </x:c>
    </x:row>
    <x:row r="626">
      <x:c r="A626" s="84" t="str">
        <x:f>'Trade Features'!A626</x:f>
        <x:v>A0625</x:v>
      </x:c>
      <x:c r="B626" s="84" t="str">
        <x:f>'Trade Features'!F626</x:f>
        <x:v>Long</x:v>
      </x:c>
      <x:c r="C626" s="91" t="str">
        <x:f>'Trade Features'!BX626</x:f>
        <x:v>22111.5</x:v>
      </x:c>
      <x:c r="D626" s="91" t="str">
        <x:f>'Trade Features'!CA626</x:f>
        <x:v>22079.04028695092</x:v>
      </x:c>
      <x:c r="E626" s="91" t="str">
        <x:f>'Trade Features'!CH626</x:f>
        <x:v>-1.0</x:v>
      </x:c>
      <x:c r="F626" s="91" t="str">
        <x:f>'Trade Features'!CG626</x:f>
        <x:v>0.02233537921003109</x:v>
      </x:c>
      <x:c r="G626" s="92" t="n">
        <x:f>ABS(C626-D626)</x:f>
        <x:v>32.459713049080165</x:v>
      </x:c>
      <x:c r="H626" s="92" t="n">
        <x:f>IFERROR($O$2/(G626*$O$3),0)</x:f>
        <x:v>0.02233537921003109</x:v>
      </x:c>
      <x:c r="I626" s="92" t="n">
        <x:f>E626-H626</x:f>
        <x:v>-1.0223353792100311</x:v>
      </x:c>
      <x:c r="J626" s="91" t="str">
        <x:f>'Trade Features'!CI626</x:f>
        <x:v>-1.0223353792100311</x:v>
      </x:c>
      <x:c r="K626" s="92" t="n">
        <x:f>I626-J626</x:f>
        <x:v>0</x:v>
      </x:c>
      <x:c r="L626" s="90" t="str">
        <x:f>IF(ABS(K626)&lt;0.000000001,"PASS","FAIL")</x:f>
        <x:v>PASS</x:v>
      </x:c>
    </x:row>
    <x:row r="627">
      <x:c r="A627" s="84" t="str">
        <x:f>'Trade Features'!A627</x:f>
        <x:v>A0626</x:v>
      </x:c>
      <x:c r="B627" s="84" t="str">
        <x:f>'Trade Features'!F627</x:f>
        <x:v>Long</x:v>
      </x:c>
      <x:c r="C627" s="91" t="str">
        <x:f>'Trade Features'!BX627</x:f>
        <x:v>21835.0</x:v>
      </x:c>
      <x:c r="D627" s="91" t="str">
        <x:f>'Trade Features'!CA627</x:f>
        <x:v>21768.974958417413</x:v>
      </x:c>
      <x:c r="E627" s="91" t="str">
        <x:f>'Trade Features'!CH627</x:f>
        <x:v>-1.0</x:v>
      </x:c>
      <x:c r="F627" s="91" t="str">
        <x:f>'Trade Features'!CG627</x:f>
        <x:v>0.010980682217263605</x:v>
      </x:c>
      <x:c r="G627" s="92" t="n">
        <x:f>ABS(C627-D627)</x:f>
        <x:v>66.02504158258671</x:v>
      </x:c>
      <x:c r="H627" s="92" t="n">
        <x:f>IFERROR($O$2/(G627*$O$3),0)</x:f>
        <x:v>0.010980682217263605</x:v>
      </x:c>
      <x:c r="I627" s="92" t="n">
        <x:f>E627-H627</x:f>
        <x:v>-1.0109806822172636</x:v>
      </x:c>
      <x:c r="J627" s="91" t="str">
        <x:f>'Trade Features'!CI627</x:f>
        <x:v>-1.0109806822172636</x:v>
      </x:c>
      <x:c r="K627" s="92" t="n">
        <x:f>I627-J627</x:f>
        <x:v>0</x:v>
      </x:c>
      <x:c r="L627" s="90" t="str">
        <x:f>IF(ABS(K627)&lt;0.000000001,"PASS","FAIL")</x:f>
        <x:v>PASS</x:v>
      </x:c>
    </x:row>
    <x:row r="628">
      <x:c r="A628" s="84" t="str">
        <x:f>'Trade Features'!A628</x:f>
        <x:v>A0627</x:v>
      </x:c>
      <x:c r="B628" s="84" t="str">
        <x:f>'Trade Features'!F628</x:f>
        <x:v>Short</x:v>
      </x:c>
      <x:c r="C628" s="91" t="str">
        <x:f>'Trade Features'!BX628</x:f>
        <x:v>21621.75</x:v>
      </x:c>
      <x:c r="D628" s="91" t="str">
        <x:f>'Trade Features'!CA628</x:f>
        <x:v>21682.1983687466</x:v>
      </x:c>
      <x:c r="E628" s="91" t="str">
        <x:f>'Trade Features'!CH628</x:f>
        <x:v>0.49629130813702954</x:v>
      </x:c>
      <x:c r="F628" s="91" t="str">
        <x:f>'Trade Features'!CG628</x:f>
        <x:v>0.011993706613311337</x:v>
      </x:c>
      <x:c r="G628" s="92" t="n">
        <x:f>ABS(C628-D628)</x:f>
        <x:v>60.44836874660177</x:v>
      </x:c>
      <x:c r="H628" s="92" t="n">
        <x:f>IFERROR($O$2/(G628*$O$3),0)</x:f>
        <x:v>0.011993706613311337</x:v>
      </x:c>
      <x:c r="I628" s="92" t="n">
        <x:f>E628-H628</x:f>
        <x:v>0.4842976015237182</x:v>
      </x:c>
      <x:c r="J628" s="91" t="str">
        <x:f>'Trade Features'!CI628</x:f>
        <x:v>0.4842976015237182</x:v>
      </x:c>
      <x:c r="K628" s="92" t="n">
        <x:f>I628-J628</x:f>
        <x:v>0</x:v>
      </x:c>
      <x:c r="L628" s="90" t="str">
        <x:f>IF(ABS(K628)&lt;0.000000001,"PASS","FAIL")</x:f>
        <x:v>PASS</x:v>
      </x:c>
    </x:row>
    <x:row r="629">
      <x:c r="A629" s="84" t="str">
        <x:f>'Trade Features'!A629</x:f>
        <x:v>A0628</x:v>
      </x:c>
      <x:c r="B629" s="84" t="str">
        <x:f>'Trade Features'!F629</x:f>
        <x:v>Long</x:v>
      </x:c>
      <x:c r="C629" s="91" t="str">
        <x:f>'Trade Features'!BX629</x:f>
        <x:v>21513.25</x:v>
      </x:c>
      <x:c r="D629" s="91" t="str">
        <x:f>'Trade Features'!CA629</x:f>
        <x:v>21490.462003964323</x:v>
      </x:c>
      <x:c r="E629" s="91" t="str">
        <x:f>'Trade Features'!CH629</x:f>
        <x:v>0.592417164671468</x:v>
      </x:c>
      <x:c r="F629" s="91" t="str">
        <x:f>'Trade Features'!CG629</x:f>
        <x:v>0.03181499588050409</x:v>
      </x:c>
      <x:c r="G629" s="92" t="n">
        <x:f>ABS(C629-D629)</x:f>
        <x:v>22.78799603567677</x:v>
      </x:c>
      <x:c r="H629" s="92" t="n">
        <x:f>IFERROR($O$2/(G629*$O$3),0)</x:f>
        <x:v>0.03181499588050409</x:v>
      </x:c>
      <x:c r="I629" s="92" t="n">
        <x:f>E629-H629</x:f>
        <x:v>0.5606021687909639</x:v>
      </x:c>
      <x:c r="J629" s="91" t="str">
        <x:f>'Trade Features'!CI629</x:f>
        <x:v>0.5606021687909639</x:v>
      </x:c>
      <x:c r="K629" s="92" t="n">
        <x:f>I629-J629</x:f>
        <x:v>0</x:v>
      </x:c>
      <x:c r="L629" s="90" t="str">
        <x:f>IF(ABS(K629)&lt;0.000000001,"PASS","FAIL")</x:f>
        <x:v>PASS</x:v>
      </x:c>
    </x:row>
    <x:row r="630">
      <x:c r="A630" s="84" t="str">
        <x:f>'Trade Features'!A630</x:f>
        <x:v>A0629</x:v>
      </x:c>
      <x:c r="B630" s="84" t="str">
        <x:f>'Trade Features'!F630</x:f>
        <x:v>Short</x:v>
      </x:c>
      <x:c r="C630" s="91" t="str">
        <x:f>'Trade Features'!BX630</x:f>
        <x:v>20781.0</x:v>
      </x:c>
      <x:c r="D630" s="91" t="str">
        <x:f>'Trade Features'!CA630</x:f>
        <x:v>20828.195903731248</x:v>
      </x:c>
      <x:c r="E630" s="91" t="str">
        <x:f>'Trade Features'!CH630</x:f>
        <x:v>2.0</x:v>
      </x:c>
      <x:c r="F630" s="91" t="str">
        <x:f>'Trade Features'!CG630</x:f>
        <x:v>0.015361502644984464</x:v>
      </x:c>
      <x:c r="G630" s="92" t="n">
        <x:f>ABS(C630-D630)</x:f>
        <x:v>47.19590373124811</x:v>
      </x:c>
      <x:c r="H630" s="92" t="n">
        <x:f>IFERROR($O$2/(G630*$O$3),0)</x:f>
        <x:v>0.015361502644984464</x:v>
      </x:c>
      <x:c r="I630" s="92" t="n">
        <x:f>E630-H630</x:f>
        <x:v>1.9846384973550155</x:v>
      </x:c>
      <x:c r="J630" s="91" t="str">
        <x:f>'Trade Features'!CI630</x:f>
        <x:v>1.9846384973550155</x:v>
      </x:c>
      <x:c r="K630" s="92" t="n">
        <x:f>I630-J630</x:f>
        <x:v>0</x:v>
      </x:c>
      <x:c r="L630" s="90" t="str">
        <x:f>IF(ABS(K630)&lt;0.000000001,"PASS","FAIL")</x:f>
        <x:v>PASS</x:v>
      </x:c>
    </x:row>
    <x:row r="631">
      <x:c r="A631" s="84" t="str">
        <x:f>'Trade Features'!A631</x:f>
        <x:v>A0630</x:v>
      </x:c>
      <x:c r="B631" s="84" t="str">
        <x:f>'Trade Features'!F631</x:f>
        <x:v>Long</x:v>
      </x:c>
      <x:c r="C631" s="91" t="str">
        <x:f>'Trade Features'!BX631</x:f>
        <x:v>21855.25</x:v>
      </x:c>
      <x:c r="D631" s="91" t="str">
        <x:f>'Trade Features'!CA631</x:f>
        <x:v>21772.01304727122</x:v>
      </x:c>
      <x:c r="E631" s="91" t="str">
        <x:f>'Trade Features'!CH631</x:f>
        <x:v>0.6577607445385039</x:v>
      </x:c>
      <x:c r="F631" s="91" t="str">
        <x:f>'Trade Features'!CG631</x:f>
        <x:v>0.008710073786126423</x:v>
      </x:c>
      <x:c r="G631" s="92" t="n">
        <x:f>ABS(C631-D631)</x:f>
        <x:v>83.23695272878103</x:v>
      </x:c>
      <x:c r="H631" s="92" t="n">
        <x:f>IFERROR($O$2/(G631*$O$3),0)</x:f>
        <x:v>0.008710073786126423</x:v>
      </x:c>
      <x:c r="I631" s="92" t="n">
        <x:f>E631-H631</x:f>
        <x:v>0.6490506707523774</x:v>
      </x:c>
      <x:c r="J631" s="91" t="str">
        <x:f>'Trade Features'!CI631</x:f>
        <x:v>0.6490506707523774</x:v>
      </x:c>
      <x:c r="K631" s="92" t="n">
        <x:f>I631-J631</x:f>
        <x:v>0</x:v>
      </x:c>
      <x:c r="L631" s="90" t="str">
        <x:f>IF(ABS(K631)&lt;0.000000001,"PASS","FAIL")</x:f>
        <x:v>PASS</x:v>
      </x:c>
    </x:row>
    <x:row r="632">
      <x:c r="A632" s="84" t="str">
        <x:f>'Trade Features'!A632</x:f>
        <x:v>A0631</x:v>
      </x:c>
      <x:c r="B632" s="84" t="str">
        <x:f>'Trade Features'!F632</x:f>
        <x:v>Short</x:v>
      </x:c>
      <x:c r="C632" s="91" t="str">
        <x:f>'Trade Features'!BX632</x:f>
        <x:v>21774.25</x:v>
      </x:c>
      <x:c r="D632" s="91" t="str">
        <x:f>'Trade Features'!CA632</x:f>
        <x:v>21788.98998033054</x:v>
      </x:c>
      <x:c r="E632" s="91" t="str">
        <x:f>'Trade Features'!CH632</x:f>
        <x:v>2.0</x:v>
      </x:c>
      <x:c r="F632" s="91" t="str">
        <x:f>'Trade Features'!CG632</x:f>
        <x:v>0.04918595437320788</x:v>
      </x:c>
      <x:c r="G632" s="92" t="n">
        <x:f>ABS(C632-D632)</x:f>
        <x:v>14.739980330541584</x:v>
      </x:c>
      <x:c r="H632" s="92" t="n">
        <x:f>IFERROR($O$2/(G632*$O$3),0)</x:f>
        <x:v>0.04918595437320788</x:v>
      </x:c>
      <x:c r="I632" s="92" t="n">
        <x:f>E632-H632</x:f>
        <x:v>1.9508140456267922</x:v>
      </x:c>
      <x:c r="J632" s="91" t="str">
        <x:f>'Trade Features'!CI632</x:f>
        <x:v>1.9508140456267922</x:v>
      </x:c>
      <x:c r="K632" s="92" t="n">
        <x:f>I632-J632</x:f>
        <x:v>0</x:v>
      </x:c>
      <x:c r="L632" s="90" t="str">
        <x:f>IF(ABS(K632)&lt;0.000000001,"PASS","FAIL")</x:f>
        <x:v>PASS</x:v>
      </x:c>
    </x:row>
    <x:row r="633">
      <x:c r="A633" s="84" t="str">
        <x:f>'Trade Features'!A633</x:f>
        <x:v>A0632</x:v>
      </x:c>
      <x:c r="B633" s="84" t="str">
        <x:f>'Trade Features'!F633</x:f>
        <x:v>Long</x:v>
      </x:c>
      <x:c r="C633" s="91" t="str">
        <x:f>'Trade Features'!BX633</x:f>
        <x:v>21915.25</x:v>
      </x:c>
      <x:c r="D633" s="91" t="str">
        <x:f>'Trade Features'!CA633</x:f>
        <x:v>21875.894710415516</x:v>
      </x:c>
      <x:c r="E633" s="91" t="str">
        <x:f>'Trade Features'!CH633</x:f>
        <x:v>-1.0</x:v>
      </x:c>
      <x:c r="F633" s="91" t="str">
        <x:f>'Trade Features'!CG633</x:f>
        <x:v>0.01842192009395942</x:v>
      </x:c>
      <x:c r="G633" s="92" t="n">
        <x:f>ABS(C633-D633)</x:f>
        <x:v>39.355289584484126</x:v>
      </x:c>
      <x:c r="H633" s="92" t="n">
        <x:f>IFERROR($O$2/(G633*$O$3),0)</x:f>
        <x:v>0.01842192009395942</x:v>
      </x:c>
      <x:c r="I633" s="92" t="n">
        <x:f>E633-H633</x:f>
        <x:v>-1.0184219200939595</x:v>
      </x:c>
      <x:c r="J633" s="91" t="str">
        <x:f>'Trade Features'!CI633</x:f>
        <x:v>-1.0184219200939595</x:v>
      </x:c>
      <x:c r="K633" s="92" t="n">
        <x:f>I633-J633</x:f>
        <x:v>0</x:v>
      </x:c>
      <x:c r="L633" s="90" t="str">
        <x:f>IF(ABS(K633)&lt;0.000000001,"PASS","FAIL")</x:f>
        <x:v>PASS</x:v>
      </x:c>
    </x:row>
    <x:row r="634">
      <x:c r="A634" s="84" t="str">
        <x:f>'Trade Features'!A634</x:f>
        <x:v>A0633</x:v>
      </x:c>
      <x:c r="B634" s="84" t="str">
        <x:f>'Trade Features'!F634</x:f>
        <x:v>Long</x:v>
      </x:c>
      <x:c r="C634" s="91" t="str">
        <x:f>'Trade Features'!BX634</x:f>
        <x:v>21931.0</x:v>
      </x:c>
      <x:c r="D634" s="91" t="str">
        <x:f>'Trade Features'!CA634</x:f>
        <x:v>21897.23211382836</x:v>
      </x:c>
      <x:c r="E634" s="91" t="str">
        <x:f>'Trade Features'!CH634</x:f>
        <x:v>2.0</x:v>
      </x:c>
      <x:c r="F634" s="91" t="str">
        <x:f>'Trade Features'!CG634</x:f>
        <x:v>0.0214701031718374</x:v>
      </x:c>
      <x:c r="G634" s="92" t="n">
        <x:f>ABS(C634-D634)</x:f>
        <x:v>33.767886171641294</x:v>
      </x:c>
      <x:c r="H634" s="92" t="n">
        <x:f>IFERROR($O$2/(G634*$O$3),0)</x:f>
        <x:v>0.0214701031718374</x:v>
      </x:c>
      <x:c r="I634" s="92" t="n">
        <x:f>E634-H634</x:f>
        <x:v>1.9785298968281626</x:v>
      </x:c>
      <x:c r="J634" s="91" t="str">
        <x:f>'Trade Features'!CI634</x:f>
        <x:v>1.9785298968281626</x:v>
      </x:c>
      <x:c r="K634" s="92" t="n">
        <x:f>I634-J634</x:f>
        <x:v>0</x:v>
      </x:c>
      <x:c r="L634" s="90" t="str">
        <x:f>IF(ABS(K634)&lt;0.000000001,"PASS","FAIL")</x:f>
        <x:v>PASS</x:v>
      </x:c>
    </x:row>
    <x:row r="635">
      <x:c r="A635" s="84" t="str">
        <x:f>'Trade Features'!A635</x:f>
        <x:v>A0634</x:v>
      </x:c>
      <x:c r="B635" s="84" t="str">
        <x:f>'Trade Features'!F635</x:f>
        <x:v>Short</x:v>
      </x:c>
      <x:c r="C635" s="91" t="str">
        <x:f>'Trade Features'!BX635</x:f>
        <x:v>21848.5</x:v>
      </x:c>
      <x:c r="D635" s="91" t="str">
        <x:f>'Trade Features'!CA635</x:f>
        <x:v>21900.64964269562</x:v>
      </x:c>
      <x:c r="E635" s="91" t="str">
        <x:f>'Trade Features'!CH635</x:f>
        <x:v>-1.0</x:v>
      </x:c>
      <x:c r="F635" s="91" t="str">
        <x:f>'Trade Features'!CG635</x:f>
        <x:v>0.013902300428626264</x:v>
      </x:c>
      <x:c r="G635" s="92" t="n">
        <x:f>ABS(C635-D635)</x:f>
        <x:v>52.14964269561824</x:v>
      </x:c>
      <x:c r="H635" s="92" t="n">
        <x:f>IFERROR($O$2/(G635*$O$3),0)</x:f>
        <x:v>0.013902300428626264</x:v>
      </x:c>
      <x:c r="I635" s="92" t="n">
        <x:f>E635-H635</x:f>
        <x:v>-1.0139023004286263</x:v>
      </x:c>
      <x:c r="J635" s="91" t="str">
        <x:f>'Trade Features'!CI635</x:f>
        <x:v>-1.0139023004286263</x:v>
      </x:c>
      <x:c r="K635" s="92" t="n">
        <x:f>I635-J635</x:f>
        <x:v>0</x:v>
      </x:c>
      <x:c r="L635" s="90" t="str">
        <x:f>IF(ABS(K635)&lt;0.000000001,"PASS","FAIL")</x:f>
        <x:v>PASS</x:v>
      </x:c>
    </x:row>
    <x:row r="636">
      <x:c r="A636" s="84" t="str">
        <x:f>'Trade Features'!A636</x:f>
        <x:v>A0635</x:v>
      </x:c>
      <x:c r="B636" s="84" t="str">
        <x:f>'Trade Features'!F636</x:f>
        <x:v>Short</x:v>
      </x:c>
      <x:c r="C636" s="91" t="str">
        <x:f>'Trade Features'!BX636</x:f>
        <x:v>21868.0</x:v>
      </x:c>
      <x:c r="D636" s="91" t="str">
        <x:f>'Trade Features'!CA636</x:f>
        <x:v>21919.882164544426</x:v>
      </x:c>
      <x:c r="E636" s="91" t="str">
        <x:f>'Trade Features'!CH636</x:f>
        <x:v>0.6601497894458933</x:v>
      </x:c>
      <x:c r="F636" s="91" t="str">
        <x:f>'Trade Features'!CG636</x:f>
        <x:v>0.01397397364520506</x:v>
      </x:c>
      <x:c r="G636" s="92" t="n">
        <x:f>ABS(C636-D636)</x:f>
        <x:v>51.882164544425905</x:v>
      </x:c>
      <x:c r="H636" s="92" t="n">
        <x:f>IFERROR($O$2/(G636*$O$3),0)</x:f>
        <x:v>0.01397397364520506</x:v>
      </x:c>
      <x:c r="I636" s="92" t="n">
        <x:f>E636-H636</x:f>
        <x:v>0.6461758158006883</x:v>
      </x:c>
      <x:c r="J636" s="91" t="str">
        <x:f>'Trade Features'!CI636</x:f>
        <x:v>0.6461758158006883</x:v>
      </x:c>
      <x:c r="K636" s="92" t="n">
        <x:f>I636-J636</x:f>
        <x:v>0</x:v>
      </x:c>
      <x:c r="L636" s="90" t="str">
        <x:f>IF(ABS(K636)&lt;0.000000001,"PASS","FAIL")</x:f>
        <x:v>PASS</x:v>
      </x:c>
    </x:row>
    <x:row r="637">
      <x:c r="A637" s="84" t="str">
        <x:f>'Trade Features'!A637</x:f>
        <x:v>A0636</x:v>
      </x:c>
      <x:c r="B637" s="84" t="str">
        <x:f>'Trade Features'!F637</x:f>
        <x:v>Long</x:v>
      </x:c>
      <x:c r="C637" s="91" t="str">
        <x:f>'Trade Features'!BX637</x:f>
        <x:v>22866.0</x:v>
      </x:c>
      <x:c r="D637" s="91" t="str">
        <x:f>'Trade Features'!CA637</x:f>
        <x:v>22836.249857696865</x:v>
      </x:c>
      <x:c r="E637" s="91" t="str">
        <x:f>'Trade Features'!CH637</x:f>
        <x:v>-1.0</x:v>
      </x:c>
      <x:c r="F637" s="91" t="str">
        <x:f>'Trade Features'!CG637</x:f>
        <x:v>0.024369631331934583</x:v>
      </x:c>
      <x:c r="G637" s="92" t="n">
        <x:f>ABS(C637-D637)</x:f>
        <x:v>29.750142303135362</x:v>
      </x:c>
      <x:c r="H637" s="92" t="n">
        <x:f>IFERROR($O$2/(G637*$O$3),0)</x:f>
        <x:v>0.024369631331934583</x:v>
      </x:c>
      <x:c r="I637" s="92" t="n">
        <x:f>E637-H637</x:f>
        <x:v>-1.0243696313319346</x:v>
      </x:c>
      <x:c r="J637" s="91" t="str">
        <x:f>'Trade Features'!CI637</x:f>
        <x:v>-1.0243696313319346</x:v>
      </x:c>
      <x:c r="K637" s="92" t="n">
        <x:f>I637-J637</x:f>
        <x:v>0</x:v>
      </x:c>
      <x:c r="L637" s="90" t="str">
        <x:f>IF(ABS(K637)&lt;0.000000001,"PASS","FAIL")</x:f>
        <x:v>PASS</x:v>
      </x:c>
    </x:row>
    <x:row r="638">
      <x:c r="A638" s="84" t="str">
        <x:f>'Trade Features'!A638</x:f>
        <x:v>A0637</x:v>
      </x:c>
      <x:c r="B638" s="84" t="str">
        <x:f>'Trade Features'!F638</x:f>
        <x:v>Short</x:v>
      </x:c>
      <x:c r="C638" s="91" t="str">
        <x:f>'Trade Features'!BX638</x:f>
        <x:v>22702.75</x:v>
      </x:c>
      <x:c r="D638" s="91" t="str">
        <x:f>'Trade Features'!CA638</x:f>
        <x:v>22762.366893118517</x:v>
      </x:c>
      <x:c r="E638" s="91" t="str">
        <x:f>'Trade Features'!CH638</x:f>
        <x:v>1.2622261252427938</x:v>
      </x:c>
      <x:c r="F638" s="91" t="str">
        <x:f>'Trade Features'!CG638</x:f>
        <x:v>0.012160982602007148</x:v>
      </x:c>
      <x:c r="G638" s="92" t="n">
        <x:f>ABS(C638-D638)</x:f>
        <x:v>59.6168931185166</x:v>
      </x:c>
      <x:c r="H638" s="92" t="n">
        <x:f>IFERROR($O$2/(G638*$O$3),0)</x:f>
        <x:v>0.012160982602007148</x:v>
      </x:c>
      <x:c r="I638" s="92" t="n">
        <x:f>E638-H638</x:f>
        <x:v>1.2500651426407867</x:v>
      </x:c>
      <x:c r="J638" s="91" t="str">
        <x:f>'Trade Features'!CI638</x:f>
        <x:v>1.2500651426407867</x:v>
      </x:c>
      <x:c r="K638" s="92" t="n">
        <x:f>I638-J638</x:f>
        <x:v>0</x:v>
      </x:c>
      <x:c r="L638" s="90" t="str">
        <x:f>IF(ABS(K638)&lt;0.000000001,"PASS","FAIL")</x:f>
        <x:v>PASS</x:v>
      </x:c>
    </x:row>
    <x:row r="639">
      <x:c r="A639" s="84" t="str">
        <x:f>'Trade Features'!A639</x:f>
        <x:v>A0638</x:v>
      </x:c>
      <x:c r="B639" s="84" t="str">
        <x:f>'Trade Features'!F639</x:f>
        <x:v>Short</x:v>
      </x:c>
      <x:c r="C639" s="91" t="str">
        <x:f>'Trade Features'!BX639</x:f>
        <x:v>22675.25</x:v>
      </x:c>
      <x:c r="D639" s="91" t="str">
        <x:f>'Trade Features'!CA639</x:f>
        <x:v>22718.27241273187</x:v>
      </x:c>
      <x:c r="E639" s="91" t="str">
        <x:f>'Trade Features'!CH639</x:f>
        <x:v>2.0</x:v>
      </x:c>
      <x:c r="F639" s="91" t="str">
        <x:f>'Trade Features'!CG639</x:f>
        <x:v>0.016851681576262614</x:v>
      </x:c>
      <x:c r="G639" s="92" t="n">
        <x:f>ABS(C639-D639)</x:f>
        <x:v>43.022412731868826</x:v>
      </x:c>
      <x:c r="H639" s="92" t="n">
        <x:f>IFERROR($O$2/(G639*$O$3),0)</x:f>
        <x:v>0.016851681576262614</x:v>
      </x:c>
      <x:c r="I639" s="92" t="n">
        <x:f>E639-H639</x:f>
        <x:v>1.9831483184237373</x:v>
      </x:c>
      <x:c r="J639" s="91" t="str">
        <x:f>'Trade Features'!CI639</x:f>
        <x:v>1.9831483184237373</x:v>
      </x:c>
      <x:c r="K639" s="92" t="n">
        <x:f>I639-J639</x:f>
        <x:v>0</x:v>
      </x:c>
      <x:c r="L639" s="90" t="str">
        <x:f>IF(ABS(K639)&lt;0.000000001,"PASS","FAIL")</x:f>
        <x:v>PASS</x:v>
      </x:c>
    </x:row>
    <x:row r="640">
      <x:c r="A640" s="84" t="str">
        <x:f>'Trade Features'!A640</x:f>
        <x:v>A0639</x:v>
      </x:c>
      <x:c r="B640" s="84" t="str">
        <x:f>'Trade Features'!F640</x:f>
        <x:v>Long</x:v>
      </x:c>
      <x:c r="C640" s="91" t="str">
        <x:f>'Trade Features'!BX640</x:f>
        <x:v>22747.25</x:v>
      </x:c>
      <x:c r="D640" s="91" t="str">
        <x:f>'Trade Features'!CA640</x:f>
        <x:v>22688.91873572778</x:v>
      </x:c>
      <x:c r="E640" s="91" t="str">
        <x:f>'Trade Features'!CH640</x:f>
        <x:v>2.0</x:v>
      </x:c>
      <x:c r="F640" s="91" t="str">
        <x:f>'Trade Features'!CG640</x:f>
        <x:v>0.01242901228090277</x:v>
      </x:c>
      <x:c r="G640" s="92" t="n">
        <x:f>ABS(C640-D640)</x:f>
        <x:v>58.331264272219414</x:v>
      </x:c>
      <x:c r="H640" s="92" t="n">
        <x:f>IFERROR($O$2/(G640*$O$3),0)</x:f>
        <x:v>0.01242901228090277</x:v>
      </x:c>
      <x:c r="I640" s="92" t="n">
        <x:f>E640-H640</x:f>
        <x:v>1.9875709877190972</x:v>
      </x:c>
      <x:c r="J640" s="91" t="str">
        <x:f>'Trade Features'!CI640</x:f>
        <x:v>1.9875709877190972</x:v>
      </x:c>
      <x:c r="K640" s="92" t="n">
        <x:f>I640-J640</x:f>
        <x:v>0</x:v>
      </x:c>
      <x:c r="L640" s="90" t="str">
        <x:f>IF(ABS(K640)&lt;0.000000001,"PASS","FAIL")</x:f>
        <x:v>PASS</x:v>
      </x:c>
    </x:row>
    <x:row r="641">
      <x:c r="A641" s="84" t="str">
        <x:f>'Trade Features'!A641</x:f>
        <x:v>A0640</x:v>
      </x:c>
      <x:c r="B641" s="84" t="str">
        <x:f>'Trade Features'!F641</x:f>
        <x:v>Short</x:v>
      </x:c>
      <x:c r="C641" s="91" t="str">
        <x:f>'Trade Features'!BX641</x:f>
        <x:v>22798.0</x:v>
      </x:c>
      <x:c r="D641" s="91" t="str">
        <x:f>'Trade Features'!CA641</x:f>
        <x:v>22844.976341923968</x:v>
      </x:c>
      <x:c r="E641" s="91" t="str">
        <x:f>'Trade Features'!CH641</x:f>
        <x:v>-1.0</x:v>
      </x:c>
      <x:c r="F641" s="91" t="str">
        <x:f>'Trade Features'!CG641</x:f>
        <x:v>0.015433300472255265</x:v>
      </x:c>
      <x:c r="G641" s="92" t="n">
        <x:f>ABS(C641-D641)</x:f>
        <x:v>46.97634192396799</x:v>
      </x:c>
      <x:c r="H641" s="92" t="n">
        <x:f>IFERROR($O$2/(G641*$O$3),0)</x:f>
        <x:v>0.015433300472255265</x:v>
      </x:c>
      <x:c r="I641" s="92" t="n">
        <x:f>E641-H641</x:f>
        <x:v>-1.0154333004722553</x:v>
      </x:c>
      <x:c r="J641" s="91" t="str">
        <x:f>'Trade Features'!CI641</x:f>
        <x:v>-1.0154333004722553</x:v>
      </x:c>
      <x:c r="K641" s="92" t="n">
        <x:f>I641-J641</x:f>
        <x:v>0</x:v>
      </x:c>
      <x:c r="L641" s="90" t="str">
        <x:f>IF(ABS(K641)&lt;0.000000001,"PASS","FAIL")</x:f>
        <x:v>PASS</x:v>
      </x:c>
    </x:row>
    <x:row r="642">
      <x:c r="A642" s="84" t="str">
        <x:f>'Trade Features'!A642</x:f>
        <x:v>A0641</x:v>
      </x:c>
      <x:c r="B642" s="84" t="str">
        <x:f>'Trade Features'!F642</x:f>
        <x:v>Short</x:v>
      </x:c>
      <x:c r="C642" s="91" t="str">
        <x:f>'Trade Features'!BX642</x:f>
        <x:v>22890.75</x:v>
      </x:c>
      <x:c r="D642" s="91" t="str">
        <x:f>'Trade Features'!CA642</x:f>
        <x:v>22902.769851348992</x:v>
      </x:c>
      <x:c r="E642" s="91" t="str">
        <x:f>'Trade Features'!CH642</x:f>
        <x:v>-1.0</x:v>
      </x:c>
      <x:c r="F642" s="91" t="str">
        <x:f>'Trade Features'!CG642</x:f>
        <x:v>0.060316885704313254</x:v>
      </x:c>
      <x:c r="G642" s="92" t="n">
        <x:f>ABS(C642-D642)</x:f>
        <x:v>12.019851348992233</x:v>
      </x:c>
      <x:c r="H642" s="92" t="n">
        <x:f>IFERROR($O$2/(G642*$O$3),0)</x:f>
        <x:v>0.060316885704313254</x:v>
      </x:c>
      <x:c r="I642" s="92" t="n">
        <x:f>E642-H642</x:f>
        <x:v>-1.0603168857043133</x:v>
      </x:c>
      <x:c r="J642" s="91" t="str">
        <x:f>'Trade Features'!CI642</x:f>
        <x:v>-1.0603168857043133</x:v>
      </x:c>
      <x:c r="K642" s="92" t="n">
        <x:f>I642-J642</x:f>
        <x:v>0</x:v>
      </x:c>
      <x:c r="L642" s="90" t="str">
        <x:f>IF(ABS(K642)&lt;0.000000001,"PASS","FAIL")</x:f>
        <x:v>PASS</x:v>
      </x:c>
    </x:row>
    <x:row r="643">
      <x:c r="A643" s="84" t="str">
        <x:f>'Trade Features'!A643</x:f>
        <x:v>A0642</x:v>
      </x:c>
      <x:c r="B643" s="84" t="str">
        <x:f>'Trade Features'!F643</x:f>
        <x:v>Short</x:v>
      </x:c>
      <x:c r="C643" s="91" t="str">
        <x:f>'Trade Features'!BX643</x:f>
        <x:v>22918.75</x:v>
      </x:c>
      <x:c r="D643" s="91" t="str">
        <x:f>'Trade Features'!CA643</x:f>
        <x:v>22965.163332275053</x:v>
      </x:c>
      <x:c r="E643" s="91" t="str">
        <x:f>'Trade Features'!CH643</x:f>
        <x:v>1.028799219091346</x:v>
      </x:c>
      <x:c r="F643" s="91" t="str">
        <x:f>'Trade Features'!CG643</x:f>
        <x:v>0.01562051170348058</x:v>
      </x:c>
      <x:c r="G643" s="92" t="n">
        <x:f>ABS(C643-D643)</x:f>
        <x:v>46.41333227505311</x:v>
      </x:c>
      <x:c r="H643" s="92" t="n">
        <x:f>IFERROR($O$2/(G643*$O$3),0)</x:f>
        <x:v>0.01562051170348058</x:v>
      </x:c>
      <x:c r="I643" s="92" t="n">
        <x:f>E643-H643</x:f>
        <x:v>1.0131787073878653</x:v>
      </x:c>
      <x:c r="J643" s="91" t="str">
        <x:f>'Trade Features'!CI643</x:f>
        <x:v>1.0131787073878653</x:v>
      </x:c>
      <x:c r="K643" s="92" t="n">
        <x:f>I643-J643</x:f>
        <x:v>0</x:v>
      </x:c>
      <x:c r="L643" s="90" t="str">
        <x:f>IF(ABS(K643)&lt;0.000000001,"PASS","FAIL")</x:f>
        <x:v>PASS</x:v>
      </x:c>
    </x:row>
    <x:row r="644">
      <x:c r="A644" s="84" t="str">
        <x:f>'Trade Features'!A644</x:f>
        <x:v>A0643</x:v>
      </x:c>
      <x:c r="B644" s="84" t="str">
        <x:f>'Trade Features'!F644</x:f>
        <x:v>Long</x:v>
      </x:c>
      <x:c r="C644" s="91" t="str">
        <x:f>'Trade Features'!BX644</x:f>
        <x:v>22842.5</x:v>
      </x:c>
      <x:c r="D644" s="91" t="str">
        <x:f>'Trade Features'!CA644</x:f>
        <x:v>22812.32290393375</x:v>
      </x:c>
      <x:c r="E644" s="91" t="str">
        <x:f>'Trade Features'!CH644</x:f>
        <x:v>-1.0</x:v>
      </x:c>
      <x:c r="F644" s="91" t="str">
        <x:f>'Trade Features'!CG644</x:f>
        <x:v>0.024024843159472273</x:v>
      </x:c>
      <x:c r="G644" s="92" t="n">
        <x:f>ABS(C644-D644)</x:f>
        <x:v>30.17709606625067</x:v>
      </x:c>
      <x:c r="H644" s="92" t="n">
        <x:f>IFERROR($O$2/(G644*$O$3),0)</x:f>
        <x:v>0.024024843159472273</x:v>
      </x:c>
      <x:c r="I644" s="92" t="n">
        <x:f>E644-H644</x:f>
        <x:v>-1.0240248431594723</x:v>
      </x:c>
      <x:c r="J644" s="91" t="str">
        <x:f>'Trade Features'!CI644</x:f>
        <x:v>-1.0240248431594723</x:v>
      </x:c>
      <x:c r="K644" s="92" t="n">
        <x:f>I644-J644</x:f>
        <x:v>0</x:v>
      </x:c>
      <x:c r="L644" s="90" t="str">
        <x:f>IF(ABS(K644)&lt;0.000000001,"PASS","FAIL")</x:f>
        <x:v>PASS</x:v>
      </x:c>
    </x:row>
    <x:row r="645">
      <x:c r="A645" s="84" t="str">
        <x:f>'Trade Features'!A645</x:f>
        <x:v>A0644</x:v>
      </x:c>
      <x:c r="B645" s="84" t="str">
        <x:f>'Trade Features'!F645</x:f>
        <x:v>Long</x:v>
      </x:c>
      <x:c r="C645" s="91" t="str">
        <x:f>'Trade Features'!BX645</x:f>
        <x:v>23007.0</x:v>
      </x:c>
      <x:c r="D645" s="91" t="str">
        <x:f>'Trade Features'!CA645</x:f>
        <x:v>22957.172041658352</x:v>
      </x:c>
      <x:c r="E645" s="91" t="str">
        <x:f>'Trade Features'!CH645</x:f>
        <x:v>0.802762170702208</x:v>
      </x:c>
      <x:c r="F645" s="91" t="str">
        <x:f>'Trade Features'!CG645</x:f>
        <x:v>0.014550064343977353</x:v>
      </x:c>
      <x:c r="G645" s="92" t="n">
        <x:f>ABS(C645-D645)</x:f>
        <x:v>49.8279583416479</x:v>
      </x:c>
      <x:c r="H645" s="92" t="n">
        <x:f>IFERROR($O$2/(G645*$O$3),0)</x:f>
        <x:v>0.014550064343977353</x:v>
      </x:c>
      <x:c r="I645" s="92" t="n">
        <x:f>E645-H645</x:f>
        <x:v>0.7882121063582307</x:v>
      </x:c>
      <x:c r="J645" s="91" t="str">
        <x:f>'Trade Features'!CI645</x:f>
        <x:v>0.7882121063582307</x:v>
      </x:c>
      <x:c r="K645" s="92" t="n">
        <x:f>I645-J645</x:f>
        <x:v>0</x:v>
      </x:c>
      <x:c r="L645" s="90" t="str">
        <x:f>IF(ABS(K645)&lt;0.000000001,"PASS","FAIL")</x:f>
        <x:v>PASS</x:v>
      </x:c>
    </x:row>
    <x:row r="646">
      <x:c r="A646" s="84" t="str">
        <x:f>'Trade Features'!A646</x:f>
        <x:v>A0645</x:v>
      </x:c>
      <x:c r="B646" s="84" t="str">
        <x:f>'Trade Features'!F646</x:f>
        <x:v>Long</x:v>
      </x:c>
      <x:c r="C646" s="91" t="str">
        <x:f>'Trade Features'!BX646</x:f>
        <x:v>23380.25</x:v>
      </x:c>
      <x:c r="D646" s="91" t="str">
        <x:f>'Trade Features'!CA646</x:f>
        <x:v>23341.729335274216</x:v>
      </x:c>
      <x:c r="E646" s="91" t="str">
        <x:f>'Trade Features'!CH646</x:f>
        <x:v>0.36993131093249254</x:v>
      </x:c>
      <x:c r="F646" s="91" t="str">
        <x:f>'Trade Features'!CG646</x:f>
        <x:v>0.018821066696565154</x:v>
      </x:c>
      <x:c r="G646" s="92" t="n">
        <x:f>ABS(C646-D646)</x:f>
        <x:v>38.52066472578372</x:v>
      </x:c>
      <x:c r="H646" s="92" t="n">
        <x:f>IFERROR($O$2/(G646*$O$3),0)</x:f>
        <x:v>0.018821066696565154</x:v>
      </x:c>
      <x:c r="I646" s="92" t="n">
        <x:f>E646-H646</x:f>
        <x:v>0.3511102442359274</x:v>
      </x:c>
      <x:c r="J646" s="91" t="str">
        <x:f>'Trade Features'!CI646</x:f>
        <x:v>0.3511102442359274</x:v>
      </x:c>
      <x:c r="K646" s="92" t="n">
        <x:f>I646-J646</x:f>
        <x:v>0</x:v>
      </x:c>
      <x:c r="L646" s="90" t="str">
        <x:f>IF(ABS(K646)&lt;0.000000001,"PASS","FAIL")</x:f>
        <x:v>PASS</x:v>
      </x:c>
    </x:row>
    <x:row r="647">
      <x:c r="A647" s="84" t="str">
        <x:f>'Trade Features'!A647</x:f>
        <x:v>A0646</x:v>
      </x:c>
      <x:c r="B647" s="84" t="str">
        <x:f>'Trade Features'!F647</x:f>
        <x:v>Short</x:v>
      </x:c>
      <x:c r="C647" s="91" t="str">
        <x:f>'Trade Features'!BX647</x:f>
        <x:v>23596.5</x:v>
      </x:c>
      <x:c r="D647" s="91" t="str">
        <x:f>'Trade Features'!CA647</x:f>
        <x:v>23613.91874972724</x:v>
      </x:c>
      <x:c r="E647" s="91" t="str">
        <x:f>'Trade Features'!CH647</x:f>
        <x:v>-1.0</x:v>
      </x:c>
      <x:c r="F647" s="91" t="str">
        <x:f>'Trade Features'!CG647</x:f>
        <x:v>0.04162181622405638</x:v>
      </x:c>
      <x:c r="G647" s="92" t="n">
        <x:f>ABS(C647-D647)</x:f>
        <x:v>17.41874972723963</x:v>
      </x:c>
      <x:c r="H647" s="92" t="n">
        <x:f>IFERROR($O$2/(G647*$O$3),0)</x:f>
        <x:v>0.04162181622405638</x:v>
      </x:c>
      <x:c r="I647" s="92" t="n">
        <x:f>E647-H647</x:f>
        <x:v>-1.0416218162240565</x:v>
      </x:c>
      <x:c r="J647" s="91" t="str">
        <x:f>'Trade Features'!CI647</x:f>
        <x:v>-1.0416218162240565</x:v>
      </x:c>
      <x:c r="K647" s="92" t="n">
        <x:f>I647-J647</x:f>
        <x:v>0</x:v>
      </x:c>
      <x:c r="L647" s="90" t="str">
        <x:f>IF(ABS(K647)&lt;0.000000001,"PASS","FAIL")</x:f>
        <x:v>PASS</x:v>
      </x:c>
    </x:row>
    <x:row r="648">
      <x:c r="A648" s="84" t="str">
        <x:f>'Trade Features'!A648</x:f>
        <x:v>A0647</x:v>
      </x:c>
      <x:c r="B648" s="84" t="str">
        <x:f>'Trade Features'!F648</x:f>
        <x:v>Long</x:v>
      </x:c>
      <x:c r="C648" s="91" t="str">
        <x:f>'Trade Features'!BX648</x:f>
        <x:v>23673.0</x:v>
      </x:c>
      <x:c r="D648" s="91" t="str">
        <x:f>'Trade Features'!CA648</x:f>
        <x:v>23641.10457645922</x:v>
      </x:c>
      <x:c r="E648" s="91" t="str">
        <x:f>'Trade Features'!CH648</x:f>
        <x:v>-1.0</x:v>
      </x:c>
      <x:c r="F648" s="91" t="str">
        <x:f>'Trade Features'!CG648</x:f>
        <x:v>0.02273053371036281</x:v>
      </x:c>
      <x:c r="G648" s="92" t="n">
        <x:f>ABS(C648-D648)</x:f>
        <x:v>31.89542354078003</x:v>
      </x:c>
      <x:c r="H648" s="92" t="n">
        <x:f>IFERROR($O$2/(G648*$O$3),0)</x:f>
        <x:v>0.02273053371036281</x:v>
      </x:c>
      <x:c r="I648" s="92" t="n">
        <x:f>E648-H648</x:f>
        <x:v>-1.0227305337103627</x:v>
      </x:c>
      <x:c r="J648" s="91" t="str">
        <x:f>'Trade Features'!CI648</x:f>
        <x:v>-1.0227305337103627</x:v>
      </x:c>
      <x:c r="K648" s="92" t="n">
        <x:f>I648-J648</x:f>
        <x:v>0</x:v>
      </x:c>
      <x:c r="L648" s="90" t="str">
        <x:f>IF(ABS(K648)&lt;0.000000001,"PASS","FAIL")</x:f>
        <x:v>PASS</x:v>
      </x:c>
    </x:row>
    <x:row r="649">
      <x:c r="A649" s="84" t="str">
        <x:f>'Trade Features'!A649</x:f>
        <x:v>A0648</x:v>
      </x:c>
      <x:c r="B649" s="84" t="str">
        <x:f>'Trade Features'!F649</x:f>
        <x:v>Long</x:v>
      </x:c>
      <x:c r="C649" s="91" t="str">
        <x:f>'Trade Features'!BX649</x:f>
        <x:v>24129.25</x:v>
      </x:c>
      <x:c r="D649" s="91" t="str">
        <x:f>'Trade Features'!CA649</x:f>
        <x:v>24074.647438604912</x:v>
      </x:c>
      <x:c r="E649" s="91" t="str">
        <x:f>'Trade Features'!CH649</x:f>
        <x:v>-1.0</x:v>
      </x:c>
      <x:c r="F649" s="91" t="str">
        <x:f>'Trade Features'!CG649</x:f>
        <x:v>0.013277765391885491</x:v>
      </x:c>
      <x:c r="G649" s="92" t="n">
        <x:f>ABS(C649-D649)</x:f>
        <x:v>54.60256139508783</x:v>
      </x:c>
      <x:c r="H649" s="92" t="n">
        <x:f>IFERROR($O$2/(G649*$O$3),0)</x:f>
        <x:v>0.013277765391885491</x:v>
      </x:c>
      <x:c r="I649" s="92" t="n">
        <x:f>E649-H649</x:f>
        <x:v>-1.0132777653918854</x:v>
      </x:c>
      <x:c r="J649" s="91" t="str">
        <x:f>'Trade Features'!CI649</x:f>
        <x:v>-1.0132777653918854</x:v>
      </x:c>
      <x:c r="K649" s="92" t="n">
        <x:f>I649-J649</x:f>
        <x:v>0</x:v>
      </x:c>
      <x:c r="L649" s="90" t="str">
        <x:f>IF(ABS(K649)&lt;0.000000001,"PASS","FAIL")</x:f>
        <x:v>PASS</x:v>
      </x:c>
    </x:row>
    <x:row r="650">
      <x:c r="A650" s="84" t="str">
        <x:f>'Trade Features'!A650</x:f>
        <x:v>A0649</x:v>
      </x:c>
      <x:c r="B650" s="84" t="str">
        <x:f>'Trade Features'!F650</x:f>
        <x:v>Short</x:v>
      </x:c>
      <x:c r="C650" s="91" t="str">
        <x:f>'Trade Features'!BX650</x:f>
        <x:v>24083.75</x:v>
      </x:c>
      <x:c r="D650" s="91" t="str">
        <x:f>'Trade Features'!CA650</x:f>
        <x:v>24099.574864882674</x:v>
      </x:c>
      <x:c r="E650" s="91" t="str">
        <x:f>'Trade Features'!CH650</x:f>
        <x:v>0.11058546237042194</x:v>
      </x:c>
      <x:c r="F650" s="91" t="str">
        <x:f>'Trade Features'!CG650</x:f>
        <x:v>0.045813977267747746</x:v>
      </x:c>
      <x:c r="G650" s="92" t="n">
        <x:f>ABS(C650-D650)</x:f>
        <x:v>15.824864882673864</x:v>
      </x:c>
      <x:c r="H650" s="92" t="n">
        <x:f>IFERROR($O$2/(G650*$O$3),0)</x:f>
        <x:v>0.045813977267747746</x:v>
      </x:c>
      <x:c r="I650" s="92" t="n">
        <x:f>E650-H650</x:f>
        <x:v>0.06477148510267419</x:v>
      </x:c>
      <x:c r="J650" s="91" t="str">
        <x:f>'Trade Features'!CI650</x:f>
        <x:v>0.06477148510267419</x:v>
      </x:c>
      <x:c r="K650" s="92" t="n">
        <x:f>I650-J650</x:f>
        <x:v>0</x:v>
      </x:c>
      <x:c r="L650" s="90" t="str">
        <x:f>IF(ABS(K650)&lt;0.000000001,"PASS","FAIL")</x:f>
        <x:v>PASS</x:v>
      </x:c>
    </x:row>
    <x:row r="651">
      <x:c r="A651" s="84" t="str">
        <x:f>'Trade Features'!A651</x:f>
        <x:v>A0650</x:v>
      </x:c>
      <x:c r="B651" s="84" t="str">
        <x:f>'Trade Features'!F651</x:f>
        <x:v>Long</x:v>
      </x:c>
      <x:c r="C651" s="91" t="str">
        <x:f>'Trade Features'!BX651</x:f>
        <x:v>24173.25</x:v>
      </x:c>
      <x:c r="D651" s="91" t="str">
        <x:f>'Trade Features'!CA651</x:f>
        <x:v>24157.07405598908</x:v>
      </x:c>
      <x:c r="E651" s="91" t="str">
        <x:f>'Trade Features'!CH651</x:f>
        <x:v>2.0</x:v>
      </x:c>
      <x:c r="F651" s="91" t="str">
        <x:f>'Trade Features'!CG651</x:f>
        <x:v>0.044819640789469414</x:v>
      </x:c>
      <x:c r="G651" s="92" t="n">
        <x:f>ABS(C651-D651)</x:f>
        <x:v>16.17594401091992</x:v>
      </x:c>
      <x:c r="H651" s="92" t="n">
        <x:f>IFERROR($O$2/(G651*$O$3),0)</x:f>
        <x:v>0.044819640789469414</x:v>
      </x:c>
      <x:c r="I651" s="92" t="n">
        <x:f>E651-H651</x:f>
        <x:v>1.9551803592105306</x:v>
      </x:c>
      <x:c r="J651" s="91" t="str">
        <x:f>'Trade Features'!CI651</x:f>
        <x:v>1.9551803592105306</x:v>
      </x:c>
      <x:c r="K651" s="92" t="n">
        <x:f>I651-J651</x:f>
        <x:v>0</x:v>
      </x:c>
      <x:c r="L651" s="90" t="str">
        <x:f>IF(ABS(K651)&lt;0.000000001,"PASS","FAIL")</x:f>
        <x:v>PASS</x:v>
      </x:c>
    </x:row>
    <x:row r="652">
      <x:c r="A652" s="84" t="str">
        <x:f>'Trade Features'!A652</x:f>
        <x:v>A0651</x:v>
      </x:c>
      <x:c r="B652" s="84" t="str">
        <x:f>'Trade Features'!F652</x:f>
        <x:v>Short</x:v>
      </x:c>
      <x:c r="C652" s="91" t="str">
        <x:f>'Trade Features'!BX652</x:f>
        <x:v>24300.75</x:v>
      </x:c>
      <x:c r="D652" s="91" t="str">
        <x:f>'Trade Features'!CA652</x:f>
        <x:v>24314.53642217206</x:v>
      </x:c>
      <x:c r="E652" s="91" t="str">
        <x:f>'Trade Features'!CH652</x:f>
        <x:v>0.2720067580405669</x:v>
      </x:c>
      <x:c r="F652" s="91" t="str">
        <x:f>'Trade Features'!CG652</x:f>
        <x:v>0.05258797322117029</x:v>
      </x:c>
      <x:c r="G652" s="92" t="n">
        <x:f>ABS(C652-D652)</x:f>
        <x:v>13.786422172059247</x:v>
      </x:c>
      <x:c r="H652" s="92" t="n">
        <x:f>IFERROR($O$2/(G652*$O$3),0)</x:f>
        <x:v>0.05258797322117029</x:v>
      </x:c>
      <x:c r="I652" s="92" t="n">
        <x:f>E652-H652</x:f>
        <x:v>0.2194187848193966</x:v>
      </x:c>
      <x:c r="J652" s="91" t="str">
        <x:f>'Trade Features'!CI652</x:f>
        <x:v>0.2194187848193966</x:v>
      </x:c>
      <x:c r="K652" s="92" t="n">
        <x:f>I652-J652</x:f>
        <x:v>0</x:v>
      </x:c>
      <x:c r="L652" s="90" t="str">
        <x:f>IF(ABS(K652)&lt;0.000000001,"PASS","FAIL")</x:f>
        <x:v>PASS</x:v>
      </x:c>
    </x:row>
    <x:row r="653">
      <x:c r="A653" s="84" t="str">
        <x:f>'Trade Features'!A653</x:f>
        <x:v>A0652</x:v>
      </x:c>
      <x:c r="B653" s="84" t="str">
        <x:f>'Trade Features'!F653</x:f>
        <x:v>Short</x:v>
      </x:c>
      <x:c r="C653" s="91" t="str">
        <x:f>'Trade Features'!BX653</x:f>
        <x:v>24294.75</x:v>
      </x:c>
      <x:c r="D653" s="91" t="str">
        <x:f>'Trade Features'!CA653</x:f>
        <x:v>24355.84856599406</x:v>
      </x:c>
      <x:c r="E653" s="91" t="str">
        <x:f>'Trade Features'!CH653</x:f>
        <x:v>0.29460593235118177</x:v>
      </x:c>
      <x:c r="F653" s="91" t="str">
        <x:f>'Trade Features'!CG653</x:f>
        <x:v>0.011866072275255811</x:v>
      </x:c>
      <x:c r="G653" s="92" t="n">
        <x:f>ABS(C653-D653)</x:f>
        <x:v>61.098565994059754</x:v>
      </x:c>
      <x:c r="H653" s="92" t="n">
        <x:f>IFERROR($O$2/(G653*$O$3),0)</x:f>
        <x:v>0.011866072275255811</x:v>
      </x:c>
      <x:c r="I653" s="92" t="n">
        <x:f>E653-H653</x:f>
        <x:v>0.28273986007592594</x:v>
      </x:c>
      <x:c r="J653" s="91" t="str">
        <x:f>'Trade Features'!CI653</x:f>
        <x:v>0.28273986007592594</x:v>
      </x:c>
      <x:c r="K653" s="92" t="n">
        <x:f>I653-J653</x:f>
        <x:v>0</x:v>
      </x:c>
      <x:c r="L653" s="90" t="str">
        <x:f>IF(ABS(K653)&lt;0.000000001,"PASS","FAIL")</x:f>
        <x:v>PASS</x:v>
      </x:c>
    </x:row>
    <x:row r="654">
      <x:c r="A654" s="84" t="str">
        <x:f>'Trade Features'!A654</x:f>
        <x:v>A0653</x:v>
      </x:c>
      <x:c r="B654" s="84" t="str">
        <x:f>'Trade Features'!F654</x:f>
        <x:v>Long</x:v>
      </x:c>
      <x:c r="C654" s="91" t="str">
        <x:f>'Trade Features'!BX654</x:f>
        <x:v>24445.5</x:v>
      </x:c>
      <x:c r="D654" s="91" t="str">
        <x:f>'Trade Features'!CA654</x:f>
        <x:v>24425.501319885825</x:v>
      </x:c>
      <x:c r="E654" s="91" t="str">
        <x:f>'Trade Features'!CH654</x:f>
        <x:v>-0.5625371242387778</x:v>
      </x:c>
      <x:c r="F654" s="91" t="str">
        <x:f>'Trade Features'!CG654</x:f>
        <x:v>0.03625239245094604</x:v>
      </x:c>
      <x:c r="G654" s="92" t="n">
        <x:f>ABS(C654-D654)</x:f>
        <x:v>19.99868011417493</x:v>
      </x:c>
      <x:c r="H654" s="92" t="n">
        <x:f>IFERROR($O$2/(G654*$O$3),0)</x:f>
        <x:v>0.03625239245094604</x:v>
      </x:c>
      <x:c r="I654" s="92" t="n">
        <x:f>E654-H654</x:f>
        <x:v>-0.5987895166897238</x:v>
      </x:c>
      <x:c r="J654" s="91" t="str">
        <x:f>'Trade Features'!CI654</x:f>
        <x:v>-0.5987895166897238</x:v>
      </x:c>
      <x:c r="K654" s="92" t="n">
        <x:f>I654-J654</x:f>
        <x:v>0</x:v>
      </x:c>
      <x:c r="L654" s="90" t="str">
        <x:f>IF(ABS(K654)&lt;0.000000001,"PASS","FAIL")</x:f>
        <x:v>PASS</x:v>
      </x:c>
    </x:row>
    <x:row r="655">
      <x:c r="A655" s="84" t="str">
        <x:f>'Trade Features'!A655</x:f>
        <x:v>A0654</x:v>
      </x:c>
      <x:c r="B655" s="84" t="str">
        <x:f>'Trade Features'!F655</x:f>
        <x:v>Long</x:v>
      </x:c>
      <x:c r="C655" s="91" t="str">
        <x:f>'Trade Features'!BX655</x:f>
        <x:v>24470.0</x:v>
      </x:c>
      <x:c r="D655" s="91" t="str">
        <x:f>'Trade Features'!CA655</x:f>
        <x:v>24457.26092139682</x:v>
      </x:c>
      <x:c r="E655" s="91" t="str">
        <x:f>'Trade Features'!CH655</x:f>
        <x:v>-1.0</x:v>
      </x:c>
      <x:c r="F655" s="91" t="str">
        <x:f>'Trade Features'!CG655</x:f>
        <x:v>0.05691149435400027</x:v>
      </x:c>
      <x:c r="G655" s="92" t="n">
        <x:f>ABS(C655-D655)</x:f>
        <x:v>12.739078603179223</x:v>
      </x:c>
      <x:c r="H655" s="92" t="n">
        <x:f>IFERROR($O$2/(G655*$O$3),0)</x:f>
        <x:v>0.05691149435400027</x:v>
      </x:c>
      <x:c r="I655" s="92" t="n">
        <x:f>E655-H655</x:f>
        <x:v>-1.0569114943540003</x:v>
      </x:c>
      <x:c r="J655" s="91" t="str">
        <x:f>'Trade Features'!CI655</x:f>
        <x:v>-1.0569114943540003</x:v>
      </x:c>
      <x:c r="K655" s="92" t="n">
        <x:f>I655-J655</x:f>
        <x:v>0</x:v>
      </x:c>
      <x:c r="L655" s="90" t="str">
        <x:f>IF(ABS(K655)&lt;0.000000001,"PASS","FAIL")</x:f>
        <x:v>PASS</x:v>
      </x:c>
    </x:row>
    <x:row r="656">
      <x:c r="A656" s="84" t="str">
        <x:f>'Trade Features'!A656</x:f>
        <x:v>A0655</x:v>
      </x:c>
      <x:c r="B656" s="84" t="str">
        <x:f>'Trade Features'!F656</x:f>
        <x:v>Short</x:v>
      </x:c>
      <x:c r="C656" s="91" t="str">
        <x:f>'Trade Features'!BX656</x:f>
        <x:v>24431.75</x:v>
      </x:c>
      <x:c r="D656" s="91" t="str">
        <x:f>'Trade Features'!CA656</x:f>
        <x:v>24452.60020955942</x:v>
      </x:c>
      <x:c r="E656" s="91" t="str">
        <x:f>'Trade Features'!CH656</x:f>
        <x:v>-1.0</x:v>
      </x:c>
      <x:c r="F656" s="91" t="str">
        <x:f>'Trade Features'!CG656</x:f>
        <x:v>0.034771832769060505</x:v>
      </x:c>
      <x:c r="G656" s="92" t="n">
        <x:f>ABS(C656-D656)</x:f>
        <x:v>20.850209559419454</x:v>
      </x:c>
      <x:c r="H656" s="92" t="n">
        <x:f>IFERROR($O$2/(G656*$O$3),0)</x:f>
        <x:v>0.034771832769060505</x:v>
      </x:c>
      <x:c r="I656" s="92" t="n">
        <x:f>E656-H656</x:f>
        <x:v>-1.0347718327690605</x:v>
      </x:c>
      <x:c r="J656" s="91" t="str">
        <x:f>'Trade Features'!CI656</x:f>
        <x:v>-1.0347718327690605</x:v>
      </x:c>
      <x:c r="K656" s="92" t="n">
        <x:f>I656-J656</x:f>
        <x:v>0</x:v>
      </x:c>
      <x:c r="L656" s="90" t="str">
        <x:f>IF(ABS(K656)&lt;0.000000001,"PASS","FAIL")</x:f>
        <x:v>PASS</x:v>
      </x:c>
    </x:row>
    <x:row r="657">
      <x:c r="A657" s="84" t="str">
        <x:f>'Trade Features'!A657</x:f>
        <x:v>A0656</x:v>
      </x:c>
      <x:c r="B657" s="84" t="str">
        <x:f>'Trade Features'!F657</x:f>
        <x:v>Long</x:v>
      </x:c>
      <x:c r="C657" s="91" t="str">
        <x:f>'Trade Features'!BX657</x:f>
        <x:v>24659.25</x:v>
      </x:c>
      <x:c r="D657" s="91" t="str">
        <x:f>'Trade Features'!CA657</x:f>
        <x:v>24618.668142880535</x:v>
      </x:c>
      <x:c r="E657" s="91" t="str">
        <x:f>'Trade Features'!CH657</x:f>
        <x:v>-1.0</x:v>
      </x:c>
      <x:c r="F657" s="91" t="str">
        <x:f>'Trade Features'!CG657</x:f>
        <x:v>0.017865126227854557</x:v>
      </x:c>
      <x:c r="G657" s="92" t="n">
        <x:f>ABS(C657-D657)</x:f>
        <x:v>40.581857119464985</x:v>
      </x:c>
      <x:c r="H657" s="92" t="n">
        <x:f>IFERROR($O$2/(G657*$O$3),0)</x:f>
        <x:v>0.017865126227854557</x:v>
      </x:c>
      <x:c r="I657" s="92" t="n">
        <x:f>E657-H657</x:f>
        <x:v>-1.0178651262278546</x:v>
      </x:c>
      <x:c r="J657" s="91" t="str">
        <x:f>'Trade Features'!CI657</x:f>
        <x:v>-1.0178651262278546</x:v>
      </x:c>
      <x:c r="K657" s="92" t="n">
        <x:f>I657-J657</x:f>
        <x:v>0</x:v>
      </x:c>
      <x:c r="L657" s="90" t="str">
        <x:f>IF(ABS(K657)&lt;0.000000001,"PASS","FAIL")</x:f>
        <x:v>PASS</x:v>
      </x:c>
    </x:row>
    <x:row r="658">
      <x:c r="A658" s="84" t="str">
        <x:f>'Trade Features'!A658</x:f>
        <x:v>A0657</x:v>
      </x:c>
      <x:c r="B658" s="84" t="str">
        <x:f>'Trade Features'!F658</x:f>
        <x:v>Long</x:v>
      </x:c>
      <x:c r="C658" s="91" t="str">
        <x:f>'Trade Features'!BX658</x:f>
        <x:v>25109.25</x:v>
      </x:c>
      <x:c r="D658" s="91" t="str">
        <x:f>'Trade Features'!CA658</x:f>
        <x:v>25065.384810898293</x:v>
      </x:c>
      <x:c r="E658" s="91" t="str">
        <x:f>'Trade Features'!CH658</x:f>
        <x:v>-1.0</x:v>
      </x:c>
      <x:c r="F658" s="91" t="str">
        <x:f>'Trade Features'!CG658</x:f>
        <x:v>0.016527912334288457</x:v>
      </x:c>
      <x:c r="G658" s="92" t="n">
        <x:f>ABS(C658-D658)</x:f>
        <x:v>43.865189101707074</x:v>
      </x:c>
      <x:c r="H658" s="92" t="n">
        <x:f>IFERROR($O$2/(G658*$O$3),0)</x:f>
        <x:v>0.016527912334288457</x:v>
      </x:c>
      <x:c r="I658" s="92" t="n">
        <x:f>E658-H658</x:f>
        <x:v>-1.0165279123342885</x:v>
      </x:c>
      <x:c r="J658" s="91" t="str">
        <x:f>'Trade Features'!CI658</x:f>
        <x:v>-1.0165279123342885</x:v>
      </x:c>
      <x:c r="K658" s="92" t="n">
        <x:f>I658-J658</x:f>
        <x:v>0</x:v>
      </x:c>
      <x:c r="L658" s="90" t="str">
        <x:f>IF(ABS(K658)&lt;0.000000001,"PASS","FAIL")</x:f>
        <x:v>PASS</x:v>
      </x:c>
    </x:row>
    <x:row r="659">
      <x:c r="A659" s="84" t="str">
        <x:f>'Trade Features'!A659</x:f>
        <x:v>A0658</x:v>
      </x:c>
      <x:c r="B659" s="84" t="str">
        <x:f>'Trade Features'!F659</x:f>
        <x:v>Long</x:v>
      </x:c>
      <x:c r="C659" s="91" t="str">
        <x:f>'Trade Features'!BX659</x:f>
        <x:v>25222.75</x:v>
      </x:c>
      <x:c r="D659" s="91" t="str">
        <x:f>'Trade Features'!CA659</x:f>
        <x:v>25189.190977821403</x:v>
      </x:c>
      <x:c r="E659" s="91" t="str">
        <x:f>'Trade Features'!CH659</x:f>
        <x:v>-1.0</x:v>
      </x:c>
      <x:c r="F659" s="91" t="str">
        <x:f>'Trade Features'!CG659</x:f>
        <x:v>0.021603728384624567</x:v>
      </x:c>
      <x:c r="G659" s="92" t="n">
        <x:f>ABS(C659-D659)</x:f>
        <x:v>33.55902217859693</x:v>
      </x:c>
      <x:c r="H659" s="92" t="n">
        <x:f>IFERROR($O$2/(G659*$O$3),0)</x:f>
        <x:v>0.021603728384624567</x:v>
      </x:c>
      <x:c r="I659" s="92" t="n">
        <x:f>E659-H659</x:f>
        <x:v>-1.0216037283846247</x:v>
      </x:c>
      <x:c r="J659" s="91" t="str">
        <x:f>'Trade Features'!CI659</x:f>
        <x:v>-1.0216037283846247</x:v>
      </x:c>
      <x:c r="K659" s="92" t="n">
        <x:f>I659-J659</x:f>
        <x:v>0</x:v>
      </x:c>
      <x:c r="L659" s="90" t="str">
        <x:f>IF(ABS(K659)&lt;0.000000001,"PASS","FAIL")</x:f>
        <x:v>PASS</x:v>
      </x:c>
    </x:row>
    <x:row r="660">
      <x:c r="A660" s="84" t="str">
        <x:f>'Trade Features'!A660</x:f>
        <x:v>A0659</x:v>
      </x:c>
      <x:c r="B660" s="84" t="str">
        <x:f>'Trade Features'!F660</x:f>
        <x:v>Long</x:v>
      </x:c>
      <x:c r="C660" s="91" t="str">
        <x:f>'Trade Features'!BX660</x:f>
        <x:v>25251.25</x:v>
      </x:c>
      <x:c r="D660" s="91" t="str">
        <x:f>'Trade Features'!CA660</x:f>
        <x:v>25223.790653070726</x:v>
      </x:c>
      <x:c r="E660" s="91" t="str">
        <x:f>'Trade Features'!CH660</x:f>
        <x:v>0.6099926572595623</x:v>
      </x:c>
      <x:c r="F660" s="91" t="str">
        <x:f>'Trade Features'!CG660</x:f>
        <x:v>0.02640266725451826</x:v>
      </x:c>
      <x:c r="G660" s="92" t="n">
        <x:f>ABS(C660-D660)</x:f>
        <x:v>27.459346929274034</x:v>
      </x:c>
      <x:c r="H660" s="92" t="n">
        <x:f>IFERROR($O$2/(G660*$O$3),0)</x:f>
        <x:v>0.02640266725451826</x:v>
      </x:c>
      <x:c r="I660" s="92" t="n">
        <x:f>E660-H660</x:f>
        <x:v>0.5835899900050441</x:v>
      </x:c>
      <x:c r="J660" s="91" t="str">
        <x:f>'Trade Features'!CI660</x:f>
        <x:v>0.5835899900050441</x:v>
      </x:c>
      <x:c r="K660" s="92" t="n">
        <x:f>I660-J660</x:f>
        <x:v>0</x:v>
      </x:c>
      <x:c r="L660" s="90" t="str">
        <x:f>IF(ABS(K660)&lt;0.000000001,"PASS","FAIL")</x:f>
        <x:v>PASS</x:v>
      </x:c>
    </x:row>
    <x:row r="661">
      <x:c r="A661" s="84" t="str">
        <x:f>'Trade Features'!A661</x:f>
        <x:v>A0660</x:v>
      </x:c>
      <x:c r="B661" s="84" t="str">
        <x:f>'Trade Features'!F661</x:f>
        <x:v>Short</x:v>
      </x:c>
      <x:c r="C661" s="91" t="str">
        <x:f>'Trade Features'!BX661</x:f>
        <x:v>25409.75</x:v>
      </x:c>
      <x:c r="D661" s="91" t="str">
        <x:f>'Trade Features'!CA661</x:f>
        <x:v>25437.30435478186</x:v>
      </x:c>
      <x:c r="E661" s="91" t="str">
        <x:f>'Trade Features'!CH661</x:f>
        <x:v>-1.0</x:v>
      </x:c>
      <x:c r="F661" s="91" t="str">
        <x:f>'Trade Features'!CG661</x:f>
        <x:v>0.026311630438804544</x:v>
      </x:c>
      <x:c r="G661" s="92" t="n">
        <x:f>ABS(C661-D661)</x:f>
        <x:v>27.55435478185973</x:v>
      </x:c>
      <x:c r="H661" s="92" t="n">
        <x:f>IFERROR($O$2/(G661*$O$3),0)</x:f>
        <x:v>0.026311630438804544</x:v>
      </x:c>
      <x:c r="I661" s="92" t="n">
        <x:f>E661-H661</x:f>
        <x:v>-1.0263116304388045</x:v>
      </x:c>
      <x:c r="J661" s="91" t="str">
        <x:f>'Trade Features'!CI661</x:f>
        <x:v>-1.0263116304388045</x:v>
      </x:c>
      <x:c r="K661" s="92" t="n">
        <x:f>I661-J661</x:f>
        <x:v>0</x:v>
      </x:c>
      <x:c r="L661" s="90" t="str">
        <x:f>IF(ABS(K661)&lt;0.000000001,"PASS","FAIL")</x:f>
        <x:v>PASS</x:v>
      </x:c>
    </x:row>
    <x:row r="662">
      <x:c r="A662" s="84" t="str">
        <x:f>'Trade Features'!A662</x:f>
        <x:v>A0661</x:v>
      </x:c>
      <x:c r="B662" s="84" t="str">
        <x:f>'Trade Features'!F662</x:f>
        <x:v>Long</x:v>
      </x:c>
      <x:c r="C662" s="91" t="str">
        <x:f>'Trade Features'!BX662</x:f>
        <x:v>25514.25</x:v>
      </x:c>
      <x:c r="D662" s="91" t="str">
        <x:f>'Trade Features'!CA662</x:f>
        <x:v>25483.007011940397</x:v>
      </x:c>
      <x:c r="E662" s="91" t="str">
        <x:f>'Trade Features'!CH662</x:f>
        <x:v>-1.0</x:v>
      </x:c>
      <x:c r="F662" s="91" t="str">
        <x:f>'Trade Features'!CG662</x:f>
        <x:v>0.02320520683287094</x:v>
      </x:c>
      <x:c r="G662" s="92" t="n">
        <x:f>ABS(C662-D662)</x:f>
        <x:v>31.242988059602794</x:v>
      </x:c>
      <x:c r="H662" s="92" t="n">
        <x:f>IFERROR($O$2/(G662*$O$3),0)</x:f>
        <x:v>0.02320520683287094</x:v>
      </x:c>
      <x:c r="I662" s="92" t="n">
        <x:f>E662-H662</x:f>
        <x:v>-1.023205206832871</x:v>
      </x:c>
      <x:c r="J662" s="91" t="str">
        <x:f>'Trade Features'!CI662</x:f>
        <x:v>-1.023205206832871</x:v>
      </x:c>
      <x:c r="K662" s="92" t="n">
        <x:f>I662-J662</x:f>
        <x:v>0</x:v>
      </x:c>
      <x:c r="L662" s="90" t="str">
        <x:f>IF(ABS(K662)&lt;0.000000001,"PASS","FAIL")</x:f>
        <x:v>PASS</x:v>
      </x:c>
    </x:row>
    <x:row r="663">
      <x:c r="A663" s="84" t="str">
        <x:f>'Trade Features'!A663</x:f>
        <x:v>A0662</x:v>
      </x:c>
      <x:c r="B663" s="84" t="str">
        <x:f>'Trade Features'!F663</x:f>
        <x:v>Long</x:v>
      </x:c>
      <x:c r="C663" s="91" t="str">
        <x:f>'Trade Features'!BX663</x:f>
        <x:v>25533.5</x:v>
      </x:c>
      <x:c r="D663" s="91" t="str">
        <x:f>'Trade Features'!CA663</x:f>
        <x:v>25504.499968584612</x:v>
      </x:c>
      <x:c r="E663" s="91" t="str">
        <x:f>'Trade Features'!CH663</x:f>
        <x:v>-1.0</x:v>
      </x:c>
      <x:c r="F663" s="91" t="str">
        <x:f>'Trade Features'!CG663</x:f>
        <x:v>0.024999972917798614</x:v>
      </x:c>
      <x:c r="G663" s="92" t="n">
        <x:f>ABS(C663-D663)</x:f>
        <x:v>29.00003141538764</x:v>
      </x:c>
      <x:c r="H663" s="92" t="n">
        <x:f>IFERROR($O$2/(G663*$O$3),0)</x:f>
        <x:v>0.024999972917798614</x:v>
      </x:c>
      <x:c r="I663" s="92" t="n">
        <x:f>E663-H663</x:f>
        <x:v>-1.0249999729177985</x:v>
      </x:c>
      <x:c r="J663" s="91" t="str">
        <x:f>'Trade Features'!CI663</x:f>
        <x:v>-1.0249999729177985</x:v>
      </x:c>
      <x:c r="K663" s="92" t="n">
        <x:f>I663-J663</x:f>
        <x:v>0</x:v>
      </x:c>
      <x:c r="L663" s="90" t="str">
        <x:f>IF(ABS(K663)&lt;0.000000001,"PASS","FAIL")</x:f>
        <x:v>PASS</x:v>
      </x:c>
    </x:row>
    <x:row r="664">
      <x:c r="A664" s="84" t="str">
        <x:f>'Trade Features'!A664</x:f>
        <x:v>A0663</x:v>
      </x:c>
      <x:c r="B664" s="84" t="str">
        <x:f>'Trade Features'!F664</x:f>
        <x:v>Short</x:v>
      </x:c>
      <x:c r="C664" s="91" t="str">
        <x:f>'Trade Features'!BX664</x:f>
        <x:v>25525.75</x:v>
      </x:c>
      <x:c r="D664" s="91" t="str">
        <x:f>'Trade Features'!CA664</x:f>
        <x:v>25548.110203559343</x:v>
      </x:c>
      <x:c r="E664" s="91" t="str">
        <x:f>'Trade Features'!CH664</x:f>
        <x:v>-1.0</x:v>
      </x:c>
      <x:c r="F664" s="91" t="str">
        <x:f>'Trade Features'!CG664</x:f>
        <x:v>0.03242367620115263</x:v>
      </x:c>
      <x:c r="G664" s="92" t="n">
        <x:f>ABS(C664-D664)</x:f>
        <x:v>22.360203559343063</x:v>
      </x:c>
      <x:c r="H664" s="92" t="n">
        <x:f>IFERROR($O$2/(G664*$O$3),0)</x:f>
        <x:v>0.03242367620115263</x:v>
      </x:c>
      <x:c r="I664" s="92" t="n">
        <x:f>E664-H664</x:f>
        <x:v>-1.0324236762011527</x:v>
      </x:c>
      <x:c r="J664" s="91" t="str">
        <x:f>'Trade Features'!CI664</x:f>
        <x:v>-1.0324236762011527</x:v>
      </x:c>
      <x:c r="K664" s="92" t="n">
        <x:f>I664-J664</x:f>
        <x:v>0</x:v>
      </x:c>
      <x:c r="L664" s="90" t="str">
        <x:f>IF(ABS(K664)&lt;0.000000001,"PASS","FAIL")</x:f>
        <x:v>PASS</x:v>
      </x:c>
    </x:row>
    <x:row r="665">
      <x:c r="A665" s="84" t="str">
        <x:f>'Trade Features'!A665</x:f>
        <x:v>A0664</x:v>
      </x:c>
      <x:c r="B665" s="84" t="str">
        <x:f>'Trade Features'!F665</x:f>
        <x:v>Long</x:v>
      </x:c>
      <x:c r="C665" s="91" t="str">
        <x:f>'Trade Features'!BX665</x:f>
        <x:v>25943.75</x:v>
      </x:c>
      <x:c r="D665" s="91" t="str">
        <x:f>'Trade Features'!CA665</x:f>
        <x:v>25922.42759103953</x:v>
      </x:c>
      <x:c r="E665" s="91" t="str">
        <x:f>'Trade Features'!CH665</x:f>
        <x:v>0.25794458825906025</x:v>
      </x:c>
      <x:c r="F665" s="91" t="str">
        <x:f>'Trade Features'!CG665</x:f>
        <x:v>0.034001786634150426</x:v>
      </x:c>
      <x:c r="G665" s="92" t="n">
        <x:f>ABS(C665-D665)</x:f>
        <x:v>21.322408960470057</x:v>
      </x:c>
      <x:c r="H665" s="92" t="n">
        <x:f>IFERROR($O$2/(G665*$O$3),0)</x:f>
        <x:v>0.034001786634150426</x:v>
      </x:c>
      <x:c r="I665" s="92" t="n">
        <x:f>E665-H665</x:f>
        <x:v>0.22394280162490982</x:v>
      </x:c>
      <x:c r="J665" s="91" t="str">
        <x:f>'Trade Features'!CI665</x:f>
        <x:v>0.22394280162490982</x:v>
      </x:c>
      <x:c r="K665" s="92" t="n">
        <x:f>I665-J665</x:f>
        <x:v>0</x:v>
      </x:c>
      <x:c r="L665" s="90" t="str">
        <x:f>IF(ABS(K665)&lt;0.000000001,"PASS","FAIL")</x:f>
        <x:v>PASS</x:v>
      </x:c>
    </x:row>
    <x:row r="666">
      <x:c r="A666" s="84" t="str">
        <x:f>'Trade Features'!A666</x:f>
        <x:v>A0665</x:v>
      </x:c>
      <x:c r="B666" s="84" t="str">
        <x:f>'Trade Features'!F666</x:f>
        <x:v>Long</x:v>
      </x:c>
      <x:c r="C666" s="91" t="str">
        <x:f>'Trade Features'!BX666</x:f>
        <x:v>26250.25</x:v>
      </x:c>
      <x:c r="D666" s="91" t="str">
        <x:f>'Trade Features'!CA666</x:f>
        <x:v>26218.486112619492</x:v>
      </x:c>
      <x:c r="E666" s="91" t="str">
        <x:f>'Trade Features'!CH666</x:f>
        <x:v>1.5819852084867174</x:v>
      </x:c>
      <x:c r="F666" s="91" t="str">
        <x:f>'Trade Features'!CG666</x:f>
        <x:v>0.022824662211996638</x:v>
      </x:c>
      <x:c r="G666" s="92" t="n">
        <x:f>ABS(C666-D666)</x:f>
        <x:v>31.763887380508095</x:v>
      </x:c>
      <x:c r="H666" s="92" t="n">
        <x:f>IFERROR($O$2/(G666*$O$3),0)</x:f>
        <x:v>0.022824662211996638</x:v>
      </x:c>
      <x:c r="I666" s="92" t="n">
        <x:f>E666-H666</x:f>
        <x:v>1.559160546274721</x:v>
      </x:c>
      <x:c r="J666" s="91" t="str">
        <x:f>'Trade Features'!CI666</x:f>
        <x:v>1.559160546274721</x:v>
      </x:c>
      <x:c r="K666" s="92" t="n">
        <x:f>I666-J666</x:f>
        <x:v>0</x:v>
      </x:c>
      <x:c r="L666" s="90" t="str">
        <x:f>IF(ABS(K666)&lt;0.000000001,"PASS","FAIL")</x:f>
        <x:v>PASS</x:v>
      </x:c>
    </x:row>
    <x:row r="667">
      <x:c r="A667" s="84" t="str">
        <x:f>'Trade Features'!A667</x:f>
        <x:v>A0666</x:v>
      </x:c>
      <x:c r="B667" s="84" t="str">
        <x:f>'Trade Features'!F667</x:f>
        <x:v>Short</x:v>
      </x:c>
      <x:c r="C667" s="91" t="str">
        <x:f>'Trade Features'!BX667</x:f>
        <x:v>26273.75</x:v>
      </x:c>
      <x:c r="D667" s="91" t="str">
        <x:f>'Trade Features'!CA667</x:f>
        <x:v>26300.246918491033</x:v>
      </x:c>
      <x:c r="E667" s="91" t="str">
        <x:f>'Trade Features'!CH667</x:f>
        <x:v>-1.0</x:v>
      </x:c>
      <x:c r="F667" s="91" t="str">
        <x:f>'Trade Features'!CG667</x:f>
        <x:v>0.027361672273149208</x:v>
      </x:c>
      <x:c r="G667" s="92" t="n">
        <x:f>ABS(C667-D667)</x:f>
        <x:v>26.496918491033284</x:v>
      </x:c>
      <x:c r="H667" s="92" t="n">
        <x:f>IFERROR($O$2/(G667*$O$3),0)</x:f>
        <x:v>0.027361672273149208</x:v>
      </x:c>
      <x:c r="I667" s="92" t="n">
        <x:f>E667-H667</x:f>
        <x:v>-1.0273616722731491</x:v>
      </x:c>
      <x:c r="J667" s="91" t="str">
        <x:f>'Trade Features'!CI667</x:f>
        <x:v>-1.0273616722731491</x:v>
      </x:c>
      <x:c r="K667" s="92" t="n">
        <x:f>I667-J667</x:f>
        <x:v>0</x:v>
      </x:c>
      <x:c r="L667" s="90" t="str">
        <x:f>IF(ABS(K667)&lt;0.000000001,"PASS","FAIL")</x:f>
        <x:v>PASS</x:v>
      </x:c>
    </x:row>
    <x:row r="668">
      <x:c r="A668" s="84" t="str">
        <x:f>'Trade Features'!A668</x:f>
        <x:v>A0667</x:v>
      </x:c>
      <x:c r="B668" s="84" t="str">
        <x:f>'Trade Features'!F668</x:f>
        <x:v>Long</x:v>
      </x:c>
      <x:c r="C668" s="91" t="str">
        <x:f>'Trade Features'!BX668</x:f>
        <x:v>26516.25</x:v>
      </x:c>
      <x:c r="D668" s="91" t="str">
        <x:f>'Trade Features'!CA668</x:f>
        <x:v>26496.524749541615</x:v>
      </x:c>
      <x:c r="E668" s="91" t="str">
        <x:f>'Trade Features'!CH668</x:f>
        <x:v>2.0</x:v>
      </x:c>
      <x:c r="F668" s="91" t="str">
        <x:f>'Trade Features'!CG668</x:f>
        <x:v>0.036754919869309746</x:v>
      </x:c>
      <x:c r="G668" s="92" t="n">
        <x:f>ABS(C668-D668)</x:f>
        <x:v>19.725250458384835</x:v>
      </x:c>
      <x:c r="H668" s="92" t="n">
        <x:f>IFERROR($O$2/(G668*$O$3),0)</x:f>
        <x:v>0.036754919869309746</x:v>
      </x:c>
      <x:c r="I668" s="92" t="n">
        <x:f>E668-H668</x:f>
        <x:v>1.9632450801306902</x:v>
      </x:c>
      <x:c r="J668" s="91" t="str">
        <x:f>'Trade Features'!CI668</x:f>
        <x:v>1.9632450801306902</x:v>
      </x:c>
      <x:c r="K668" s="92" t="n">
        <x:f>I668-J668</x:f>
        <x:v>0</x:v>
      </x:c>
      <x:c r="L668" s="90" t="str">
        <x:f>IF(ABS(K668)&lt;0.000000001,"PASS","FAIL")</x:f>
        <x:v>PASS</x:v>
      </x:c>
    </x:row>
    <x:row r="669">
      <x:c r="A669" s="84" t="str">
        <x:f>'Trade Features'!A669</x:f>
        <x:v>A0668</x:v>
      </x:c>
      <x:c r="B669" s="84" t="str">
        <x:f>'Trade Features'!F669</x:f>
        <x:v>Long</x:v>
      </x:c>
      <x:c r="C669" s="91" t="str">
        <x:f>'Trade Features'!BX669</x:f>
        <x:v>27045.5</x:v>
      </x:c>
      <x:c r="D669" s="91" t="str">
        <x:f>'Trade Features'!CA669</x:f>
        <x:v>26987.841862724035</x:v>
      </x:c>
      <x:c r="E669" s="91" t="str">
        <x:f>'Trade Features'!CH669</x:f>
        <x:v>0.24281048021015994</x:v>
      </x:c>
      <x:c r="F669" s="91" t="str">
        <x:f>'Trade Features'!CG669</x:f>
        <x:v>0.012574114153740146</x:v>
      </x:c>
      <x:c r="G669" s="92" t="n">
        <x:f>ABS(C669-D669)</x:f>
        <x:v>57.65813727596469</x:v>
      </x:c>
      <x:c r="H669" s="92" t="n">
        <x:f>IFERROR($O$2/(G669*$O$3),0)</x:f>
        <x:v>0.012574114153740146</x:v>
      </x:c>
      <x:c r="I669" s="92" t="n">
        <x:f>E669-H669</x:f>
        <x:v>0.23023636605641978</x:v>
      </x:c>
      <x:c r="J669" s="91" t="str">
        <x:f>'Trade Features'!CI669</x:f>
        <x:v>0.23023636605641978</x:v>
      </x:c>
      <x:c r="K669" s="92" t="n">
        <x:f>I669-J669</x:f>
        <x:v>0</x:v>
      </x:c>
      <x:c r="L669" s="90" t="str">
        <x:f>IF(ABS(K669)&lt;0.000000001,"PASS","FAIL")</x:f>
        <x:v>PASS</x:v>
      </x:c>
    </x:row>
    <x:row r="670">
      <x:c r="A670" s="84" t="str">
        <x:f>'Trade Features'!A670</x:f>
        <x:v>A0669</x:v>
      </x:c>
      <x:c r="B670" s="84" t="str">
        <x:f>'Trade Features'!F670</x:f>
        <x:v>Long</x:v>
      </x:c>
      <x:c r="C670" s="91" t="str">
        <x:f>'Trade Features'!BX670</x:f>
        <x:v>26963.25</x:v>
      </x:c>
      <x:c r="D670" s="91" t="str">
        <x:f>'Trade Features'!CA670</x:f>
        <x:v>26857.913799435344</x:v>
      </x:c>
      <x:c r="E670" s="91" t="str">
        <x:f>'Trade Features'!CH670</x:f>
        <x:v>0.014240118705243063</x:v>
      </x:c>
      <x:c r="F670" s="91" t="str">
        <x:f>'Trade Features'!CG670</x:f>
        <x:v>0.006882724040867521</x:v>
      </x:c>
      <x:c r="G670" s="92" t="n">
        <x:f>ABS(C670-D670)</x:f>
        <x:v>105.33620056465588</x:v>
      </x:c>
      <x:c r="H670" s="92" t="n">
        <x:f>IFERROR($O$2/(G670*$O$3),0)</x:f>
        <x:v>0.006882724040867521</x:v>
      </x:c>
      <x:c r="I670" s="92" t="n">
        <x:f>E670-H670</x:f>
        <x:v>0.007357394664375542</x:v>
      </x:c>
      <x:c r="J670" s="91" t="str">
        <x:f>'Trade Features'!CI670</x:f>
        <x:v>0.007357394664375542</x:v>
      </x:c>
      <x:c r="K670" s="92" t="n">
        <x:f>I670-J670</x:f>
        <x:v>0</x:v>
      </x:c>
      <x:c r="L670" s="90" t="str">
        <x:f>IF(ABS(K670)&lt;0.000000001,"PASS","FAIL")</x:f>
        <x:v>PASS</x:v>
      </x:c>
    </x:row>
    <x:row r="671">
      <x:c r="A671" s="84" t="str">
        <x:f>'Trade Features'!A671</x:f>
        <x:v>A0670</x:v>
      </x:c>
      <x:c r="B671" s="84" t="str">
        <x:f>'Trade Features'!F671</x:f>
        <x:v>Long</x:v>
      </x:c>
      <x:c r="C671" s="91" t="str">
        <x:f>'Trade Features'!BX671</x:f>
        <x:v>26711.5</x:v>
      </x:c>
      <x:c r="D671" s="91" t="str">
        <x:f>'Trade Features'!CA671</x:f>
        <x:v>26649.13586638537</x:v>
      </x:c>
      <x:c r="E671" s="91" t="str">
        <x:f>'Trade Features'!CH671</x:f>
        <x:v>-1.0</x:v>
      </x:c>
      <x:c r="F671" s="91" t="str">
        <x:f>'Trade Features'!CG671</x:f>
        <x:v>0.011625271738400951</x:v>
      </x:c>
      <x:c r="G671" s="92" t="n">
        <x:f>ABS(C671-D671)</x:f>
        <x:v>62.36413361462837</x:v>
      </x:c>
      <x:c r="H671" s="92" t="n">
        <x:f>IFERROR($O$2/(G671*$O$3),0)</x:f>
        <x:v>0.011625271738400951</x:v>
      </x:c>
      <x:c r="I671" s="92" t="n">
        <x:f>E671-H671</x:f>
        <x:v>-1.0116252717384009</x:v>
      </x:c>
      <x:c r="J671" s="91" t="str">
        <x:f>'Trade Features'!CI671</x:f>
        <x:v>-1.0116252717384009</x:v>
      </x:c>
      <x:c r="K671" s="92" t="n">
        <x:f>I671-J671</x:f>
        <x:v>0</x:v>
      </x:c>
      <x:c r="L671" s="90" t="str">
        <x:f>IF(ABS(K671)&lt;0.000000001,"PASS","FAIL")</x:f>
        <x:v>PASS</x:v>
      </x:c>
    </x:row>
    <x:row r="672">
      <x:c r="A672" s="84" t="str">
        <x:f>'Trade Features'!A672</x:f>
        <x:v>A0671</x:v>
      </x:c>
      <x:c r="B672" s="84" t="str">
        <x:f>'Trade Features'!F672</x:f>
        <x:v>Short</x:v>
      </x:c>
      <x:c r="C672" s="91" t="str">
        <x:f>'Trade Features'!BX672</x:f>
        <x:v>26544.25</x:v>
      </x:c>
      <x:c r="D672" s="91" t="str">
        <x:f>'Trade Features'!CA672</x:f>
        <x:v>26649.11143060926</x:v>
      </x:c>
      <x:c r="E672" s="91" t="str">
        <x:f>'Trade Features'!CH672</x:f>
        <x:v>-1.0</x:v>
      </x:c>
      <x:c r="F672" s="91" t="str">
        <x:f>'Trade Features'!CG672</x:f>
        <x:v>0.00691388621905731</x:v>
      </x:c>
      <x:c r="G672" s="92" t="n">
        <x:f>ABS(C672-D672)</x:f>
        <x:v>104.86143060926042</x:v>
      </x:c>
      <x:c r="H672" s="92" t="n">
        <x:f>IFERROR($O$2/(G672*$O$3),0)</x:f>
        <x:v>0.00691388621905731</x:v>
      </x:c>
      <x:c r="I672" s="92" t="n">
        <x:f>E672-H672</x:f>
        <x:v>-1.0069138862190574</x:v>
      </x:c>
      <x:c r="J672" s="91" t="str">
        <x:f>'Trade Features'!CI672</x:f>
        <x:v>-1.0069138862190574</x:v>
      </x:c>
      <x:c r="K672" s="92" t="n">
        <x:f>I672-J672</x:f>
        <x:v>0</x:v>
      </x:c>
      <x:c r="L672" s="90" t="str">
        <x:f>IF(ABS(K672)&lt;0.000000001,"PASS","FAIL")</x:f>
        <x:v>PASS</x:v>
      </x:c>
    </x:row>
    <x:row r="673">
      <x:c r="A673" s="84" t="str">
        <x:f>'Trade Features'!A673</x:f>
        <x:v>A0672</x:v>
      </x:c>
      <x:c r="B673" s="84" t="str">
        <x:f>'Trade Features'!F673</x:f>
        <x:v>Short</x:v>
      </x:c>
      <x:c r="C673" s="91" t="str">
        <x:f>'Trade Features'!BX673</x:f>
        <x:v>26580.75</x:v>
      </x:c>
      <x:c r="D673" s="91" t="str">
        <x:f>'Trade Features'!CA673</x:f>
        <x:v>26636.039916661397</x:v>
      </x:c>
      <x:c r="E673" s="91" t="str">
        <x:f>'Trade Features'!CH673</x:f>
        <x:v>-0.6737213989329018</x:v>
      </x:c>
      <x:c r="F673" s="91" t="str">
        <x:f>'Trade Features'!CG673</x:f>
        <x:v>0.01311269836849274</x:v>
      </x:c>
      <x:c r="G673" s="92" t="n">
        <x:f>ABS(C673-D673)</x:f>
        <x:v>55.289916661397</x:v>
      </x:c>
      <x:c r="H673" s="92" t="n">
        <x:f>IFERROR($O$2/(G673*$O$3),0)</x:f>
        <x:v>0.01311269836849274</x:v>
      </x:c>
      <x:c r="I673" s="92" t="n">
        <x:f>E673-H673</x:f>
        <x:v>-0.6868340973013946</x:v>
      </x:c>
      <x:c r="J673" s="91" t="str">
        <x:f>'Trade Features'!CI673</x:f>
        <x:v>-0.6868340973013946</x:v>
      </x:c>
      <x:c r="K673" s="92" t="n">
        <x:f>I673-J673</x:f>
        <x:v>0</x:v>
      </x:c>
      <x:c r="L673" s="90" t="str">
        <x:f>IF(ABS(K673)&lt;0.000000001,"PASS","FAIL")</x:f>
        <x:v>PASS</x:v>
      </x:c>
    </x:row>
    <x:row r="674">
      <x:c r="A674" s="84" t="str">
        <x:f>'Trade Features'!A674</x:f>
        <x:v>A0673</x:v>
      </x:c>
      <x:c r="B674" s="84" t="str">
        <x:f>'Trade Features'!F674</x:f>
        <x:v>Long</x:v>
      </x:c>
      <x:c r="C674" s="91" t="str">
        <x:f>'Trade Features'!BX674</x:f>
        <x:v>26620.5</x:v>
      </x:c>
      <x:c r="D674" s="91" t="str">
        <x:f>'Trade Features'!CA674</x:f>
        <x:v>26573.531584097083</x:v>
      </x:c>
      <x:c r="E674" s="91" t="str">
        <x:f>'Trade Features'!CH674</x:f>
        <x:v>1.6713359071393896</x:v>
      </x:c>
      <x:c r="F674" s="91" t="str">
        <x:f>'Trade Features'!CG674</x:f>
        <x:v>0.015435904874853988</x:v>
      </x:c>
      <x:c r="G674" s="92" t="n">
        <x:f>ABS(C674-D674)</x:f>
        <x:v>46.968415902916604</x:v>
      </x:c>
      <x:c r="H674" s="92" t="n">
        <x:f>IFERROR($O$2/(G674*$O$3),0)</x:f>
        <x:v>0.015435904874853988</x:v>
      </x:c>
      <x:c r="I674" s="92" t="n">
        <x:f>E674-H674</x:f>
        <x:v>1.6559000022645356</x:v>
      </x:c>
      <x:c r="J674" s="91" t="str">
        <x:f>'Trade Features'!CI674</x:f>
        <x:v>1.6559000022645356</x:v>
      </x:c>
      <x:c r="K674" s="92" t="n">
        <x:f>I674-J674</x:f>
        <x:v>0</x:v>
      </x:c>
      <x:c r="L674" s="90" t="str">
        <x:f>IF(ABS(K674)&lt;0.000000001,"PASS","FAIL")</x:f>
        <x:v>PASS</x:v>
      </x:c>
    </x:row>
    <x:row r="675">
      <x:c r="A675" s="84" t="str">
        <x:f>'Trade Features'!A675</x:f>
        <x:v>A0674</x:v>
      </x:c>
      <x:c r="B675" s="84" t="str">
        <x:f>'Trade Features'!F675</x:f>
        <x:v>Long</x:v>
      </x:c>
      <x:c r="C675" s="91" t="str">
        <x:f>'Trade Features'!BX675</x:f>
        <x:v>26591.5</x:v>
      </x:c>
      <x:c r="D675" s="91" t="str">
        <x:f>'Trade Features'!CA675</x:f>
        <x:v>26552.86072112867</x:v>
      </x:c>
      <x:c r="E675" s="91" t="str">
        <x:f>'Trade Features'!CH675</x:f>
        <x:v>-1.0</x:v>
      </x:c>
      <x:c r="F675" s="91" t="str">
        <x:f>'Trade Features'!CG675</x:f>
        <x:v>0.018763290133189416</x:v>
      </x:c>
      <x:c r="G675" s="92" t="n">
        <x:f>ABS(C675-D675)</x:f>
        <x:v>38.639278871331044</x:v>
      </x:c>
      <x:c r="H675" s="92" t="n">
        <x:f>IFERROR($O$2/(G675*$O$3),0)</x:f>
        <x:v>0.018763290133189416</x:v>
      </x:c>
      <x:c r="I675" s="92" t="n">
        <x:f>E675-H675</x:f>
        <x:v>-1.0187632901331893</x:v>
      </x:c>
      <x:c r="J675" s="91" t="str">
        <x:f>'Trade Features'!CI675</x:f>
        <x:v>-1.0187632901331893</x:v>
      </x:c>
      <x:c r="K675" s="92" t="n">
        <x:f>I675-J675</x:f>
        <x:v>0</x:v>
      </x:c>
      <x:c r="L675" s="90" t="str">
        <x:f>IF(ABS(K675)&lt;0.000000001,"PASS","FAIL")</x:f>
        <x:v>PASS</x:v>
      </x:c>
    </x:row>
    <x:row r="676">
      <x:c r="A676" s="84" t="str">
        <x:f>'Trade Features'!A676</x:f>
        <x:v>A0675</x:v>
      </x:c>
      <x:c r="B676" s="84" t="str">
        <x:f>'Trade Features'!F676</x:f>
        <x:v>Long</x:v>
      </x:c>
      <x:c r="C676" s="91" t="str">
        <x:f>'Trade Features'!BX676</x:f>
        <x:v>26985.0</x:v>
      </x:c>
      <x:c r="D676" s="91" t="str">
        <x:f>'Trade Features'!CA676</x:f>
        <x:v>26942.061173469418</x:v>
      </x:c>
      <x:c r="E676" s="91" t="str">
        <x:f>'Trade Features'!CH676</x:f>
        <x:v>-1.0</x:v>
      </x:c>
      <x:c r="F676" s="91" t="str">
        <x:f>'Trade Features'!CG676</x:f>
        <x:v>0.016884485641069653</x:v>
      </x:c>
      <x:c r="G676" s="92" t="n">
        <x:f>ABS(C676-D676)</x:f>
        <x:v>42.938826530582446</x:v>
      </x:c>
      <x:c r="H676" s="92" t="n">
        <x:f>IFERROR($O$2/(G676*$O$3),0)</x:f>
        <x:v>0.016884485641069653</x:v>
      </x:c>
      <x:c r="I676" s="92" t="n">
        <x:f>E676-H676</x:f>
        <x:v>-1.0168844856410697</x:v>
      </x:c>
      <x:c r="J676" s="91" t="str">
        <x:f>'Trade Features'!CI676</x:f>
        <x:v>-1.0168844856410697</x:v>
      </x:c>
      <x:c r="K676" s="92" t="n">
        <x:f>I676-J676</x:f>
        <x:v>0</x:v>
      </x:c>
      <x:c r="L676" s="90" t="str">
        <x:f>IF(ABS(K676)&lt;0.000000001,"PASS","FAIL")</x:f>
        <x:v>PASS</x:v>
      </x:c>
    </x:row>
    <x:row r="677">
      <x:c r="A677" s="84" t="str">
        <x:f>'Trade Features'!A677</x:f>
        <x:v>A0676</x:v>
      </x:c>
      <x:c r="B677" s="84" t="str">
        <x:f>'Trade Features'!F677</x:f>
        <x:v>Short</x:v>
      </x:c>
      <x:c r="C677" s="91" t="str">
        <x:f>'Trade Features'!BX677</x:f>
        <x:v>27045.75</x:v>
      </x:c>
      <x:c r="D677" s="91" t="str">
        <x:f>'Trade Features'!CA677</x:f>
        <x:v>27114.480001028038</x:v>
      </x:c>
      <x:c r="E677" s="91" t="str">
        <x:f>'Trade Features'!CH677</x:f>
        <x:v>-0.3237305349511518</x:v>
      </x:c>
      <x:c r="F677" s="91" t="str">
        <x:f>'Trade Features'!CG677</x:f>
        <x:v>0.010548523048970165</x:v>
      </x:c>
      <x:c r="G677" s="92" t="n">
        <x:f>ABS(C677-D677)</x:f>
        <x:v>68.7300010280378</x:v>
      </x:c>
      <x:c r="H677" s="92" t="n">
        <x:f>IFERROR($O$2/(G677*$O$3),0)</x:f>
        <x:v>0.010548523048970165</x:v>
      </x:c>
      <x:c r="I677" s="92" t="n">
        <x:f>E677-H677</x:f>
        <x:v>-0.3342790580001219</x:v>
      </x:c>
      <x:c r="J677" s="91" t="str">
        <x:f>'Trade Features'!CI677</x:f>
        <x:v>-0.3342790580001219</x:v>
      </x:c>
      <x:c r="K677" s="92" t="n">
        <x:f>I677-J677</x:f>
        <x:v>0</x:v>
      </x:c>
      <x:c r="L677" s="90" t="str">
        <x:f>IF(ABS(K677)&lt;0.000000001,"PASS","FAIL")</x:f>
        <x:v>PASS</x:v>
      </x:c>
    </x:row>
    <x:row r="678">
      <x:c r="A678" s="84" t="str">
        <x:f>'Trade Features'!A678</x:f>
        <x:v>A0677</x:v>
      </x:c>
      <x:c r="B678" s="84" t="str">
        <x:f>'Trade Features'!F678</x:f>
        <x:v>Long</x:v>
      </x:c>
      <x:c r="C678" s="91" t="str">
        <x:f>'Trade Features'!BX678</x:f>
        <x:v>27250.75</x:v>
      </x:c>
      <x:c r="D678" s="91" t="str">
        <x:f>'Trade Features'!CA678</x:f>
        <x:v>27213.936207530634</x:v>
      </x:c>
      <x:c r="E678" s="91" t="str">
        <x:f>'Trade Features'!CH678</x:f>
        <x:v>-1.0</x:v>
      </x:c>
      <x:c r="F678" s="91" t="str">
        <x:f>'Trade Features'!CG678</x:f>
        <x:v>0.0196937058468862</x:v>
      </x:c>
      <x:c r="G678" s="92" t="n">
        <x:f>ABS(C678-D678)</x:f>
        <x:v>36.81379246936558</x:v>
      </x:c>
      <x:c r="H678" s="92" t="n">
        <x:f>IFERROR($O$2/(G678*$O$3),0)</x:f>
        <x:v>0.0196937058468862</x:v>
      </x:c>
      <x:c r="I678" s="92" t="n">
        <x:f>E678-H678</x:f>
        <x:v>-1.0196937058468862</x:v>
      </x:c>
      <x:c r="J678" s="91" t="str">
        <x:f>'Trade Features'!CI678</x:f>
        <x:v>-1.0196937058468862</x:v>
      </x:c>
      <x:c r="K678" s="92" t="n">
        <x:f>I678-J678</x:f>
        <x:v>0</x:v>
      </x:c>
      <x:c r="L678" s="90" t="str">
        <x:f>IF(ABS(K678)&lt;0.000000001,"PASS","FAIL")</x:f>
        <x:v>PASS</x:v>
      </x:c>
    </x:row>
    <x:row r="679">
      <x:c r="A679" s="84" t="str">
        <x:f>'Trade Features'!A679</x:f>
        <x:v>A0678</x:v>
      </x:c>
      <x:c r="B679" s="84" t="str">
        <x:f>'Trade Features'!F679</x:f>
        <x:v>Long</x:v>
      </x:c>
      <x:c r="C679" s="91" t="str">
        <x:f>'Trade Features'!BX679</x:f>
        <x:v>27714.0</x:v>
      </x:c>
      <x:c r="D679" s="91" t="str">
        <x:f>'Trade Features'!CA679</x:f>
        <x:v>27689.460409447966</x:v>
      </x:c>
      <x:c r="E679" s="91" t="str">
        <x:f>'Trade Features'!CH679</x:f>
        <x:v>0.876135237644221</x:v>
      </x:c>
      <x:c r="F679" s="91" t="str">
        <x:f>'Trade Features'!CG679</x:f>
        <x:v>0.029544095222888412</x:v>
      </x:c>
      <x:c r="G679" s="92" t="n">
        <x:f>ABS(C679-D679)</x:f>
        <x:v>24.539590552034497</x:v>
      </x:c>
      <x:c r="H679" s="92" t="n">
        <x:f>IFERROR($O$2/(G679*$O$3),0)</x:f>
        <x:v>0.029544095222888412</x:v>
      </x:c>
      <x:c r="I679" s="92" t="n">
        <x:f>E679-H679</x:f>
        <x:v>0.8465911424213326</x:v>
      </x:c>
      <x:c r="J679" s="91" t="str">
        <x:f>'Trade Features'!CI679</x:f>
        <x:v>0.8465911424213326</x:v>
      </x:c>
      <x:c r="K679" s="92" t="n">
        <x:f>I679-J679</x:f>
        <x:v>0</x:v>
      </x:c>
      <x:c r="L679" s="90" t="str">
        <x:f>IF(ABS(K679)&lt;0.000000001,"PASS","FAIL")</x:f>
        <x:v>PASS</x:v>
      </x:c>
    </x:row>
    <x:row r="680">
      <x:c r="A680" s="84" t="str">
        <x:f>'Trade Features'!A680</x:f>
        <x:v>A0679</x:v>
      </x:c>
      <x:c r="B680" s="84" t="str">
        <x:f>'Trade Features'!F680</x:f>
        <x:v>Long</x:v>
      </x:c>
      <x:c r="C680" s="91" t="str">
        <x:f>'Trade Features'!BX680</x:f>
        <x:v>28050.75</x:v>
      </x:c>
      <x:c r="D680" s="91" t="str">
        <x:f>'Trade Features'!CA680</x:f>
        <x:v>28012.61290324998</x:v>
      </x:c>
      <x:c r="E680" s="91" t="str">
        <x:f>'Trade Features'!CH680</x:f>
        <x:v>2.0</x:v>
      </x:c>
      <x:c r="F680" s="91" t="str">
        <x:f>'Trade Features'!CG680</x:f>
        <x:v>0.019010361610697125</x:v>
      </x:c>
      <x:c r="G680" s="92" t="n">
        <x:f>ABS(C680-D680)</x:f>
        <x:v>38.13709675001883</x:v>
      </x:c>
      <x:c r="H680" s="92" t="n">
        <x:f>IFERROR($O$2/(G680*$O$3),0)</x:f>
        <x:v>0.019010361610697125</x:v>
      </x:c>
      <x:c r="I680" s="92" t="n">
        <x:f>E680-H680</x:f>
        <x:v>1.9809896383893029</x:v>
      </x:c>
      <x:c r="J680" s="91" t="str">
        <x:f>'Trade Features'!CI680</x:f>
        <x:v>1.9809896383893029</x:v>
      </x:c>
      <x:c r="K680" s="92" t="n">
        <x:f>I680-J680</x:f>
        <x:v>0</x:v>
      </x:c>
      <x:c r="L680" s="90" t="str">
        <x:f>IF(ABS(K680)&lt;0.000000001,"PASS","FAIL")</x:f>
        <x:v>PASS</x:v>
      </x:c>
    </x:row>
    <x:row r="681">
      <x:c r="A681" s="84" t="str">
        <x:f>'Trade Features'!A681</x:f>
        <x:v>A0680</x:v>
      </x:c>
      <x:c r="B681" s="84" t="str">
        <x:f>'Trade Features'!F681</x:f>
        <x:v>Short</x:v>
      </x:c>
      <x:c r="C681" s="91" t="str">
        <x:f>'Trade Features'!BX681</x:f>
        <x:v>28245.0</x:v>
      </x:c>
      <x:c r="D681" s="91" t="str">
        <x:f>'Trade Features'!CA681</x:f>
        <x:v>28284.632111425468</x:v>
      </x:c>
      <x:c r="E681" s="91" t="str">
        <x:f>'Trade Features'!CH681</x:f>
        <x:v>1.3183753809902203</x:v>
      </x:c>
      <x:c r="F681" s="91" t="str">
        <x:f>'Trade Features'!CG681</x:f>
        <x:v>0.0182932469132621</x:v>
      </x:c>
      <x:c r="G681" s="92" t="n">
        <x:f>ABS(C681-D681)</x:f>
        <x:v>39.63211142546788</x:v>
      </x:c>
      <x:c r="H681" s="92" t="n">
        <x:f>IFERROR($O$2/(G681*$O$3),0)</x:f>
        <x:v>0.0182932469132621</x:v>
      </x:c>
      <x:c r="I681" s="92" t="n">
        <x:f>E681-H681</x:f>
        <x:v>1.3000821340769582</x:v>
      </x:c>
      <x:c r="J681" s="91" t="str">
        <x:f>'Trade Features'!CI681</x:f>
        <x:v>1.3000821340769582</x:v>
      </x:c>
      <x:c r="K681" s="92" t="n">
        <x:f>I681-J681</x:f>
        <x:v>0</x:v>
      </x:c>
      <x:c r="L681" s="90" t="str">
        <x:f>IF(ABS(K681)&lt;0.000000001,"PASS","FAIL")</x:f>
        <x:v>PASS</x:v>
      </x:c>
    </x:row>
    <x:row r="682">
      <x:c r="A682" s="84" t="str">
        <x:f>'Trade Features'!A682</x:f>
        <x:v>A0681</x:v>
      </x:c>
      <x:c r="B682" s="84" t="str">
        <x:f>'Trade Features'!F682</x:f>
        <x:v>Long</x:v>
      </x:c>
      <x:c r="C682" s="91" t="str">
        <x:f>'Trade Features'!BX682</x:f>
        <x:v>28291.75</x:v>
      </x:c>
      <x:c r="D682" s="91" t="str">
        <x:f>'Trade Features'!CA682</x:f>
        <x:v>28238.757386849116</x:v>
      </x:c>
      <x:c r="E682" s="91" t="str">
        <x:f>'Trade Features'!CH682</x:f>
        <x:v>0.09435277301317106</x:v>
      </x:c>
      <x:c r="F682" s="91" t="str">
        <x:f>'Trade Features'!CG682</x:f>
        <x:v>0.013681152086909494</x:v>
      </x:c>
      <x:c r="G682" s="92" t="n">
        <x:f>ABS(C682-D682)</x:f>
        <x:v>52.9926131508837</x:v>
      </x:c>
      <x:c r="H682" s="92" t="n">
        <x:f>IFERROR($O$2/(G682*$O$3),0)</x:f>
        <x:v>0.013681152086909494</x:v>
      </x:c>
      <x:c r="I682" s="92" t="n">
        <x:f>E682-H682</x:f>
        <x:v>0.08067162092626157</x:v>
      </x:c>
      <x:c r="J682" s="91" t="str">
        <x:f>'Trade Features'!CI682</x:f>
        <x:v>0.08067162092626157</x:v>
      </x:c>
      <x:c r="K682" s="92" t="n">
        <x:f>I682-J682</x:f>
        <x:v>0</x:v>
      </x:c>
      <x:c r="L682" s="90" t="str">
        <x:f>IF(ABS(K682)&lt;0.000000001,"PASS","FAIL")</x:f>
        <x:v>PASS</x:v>
      </x:c>
    </x:row>
    <x:row r="683">
      <x:c r="A683" s="84" t="str">
        <x:f>'Trade Features'!A683</x:f>
        <x:v>A0682</x:v>
      </x:c>
      <x:c r="B683" s="84" t="str">
        <x:f>'Trade Features'!F683</x:f>
        <x:v>Long</x:v>
      </x:c>
      <x:c r="C683" s="91" t="str">
        <x:f>'Trade Features'!BX683</x:f>
        <x:v>28294.25</x:v>
      </x:c>
      <x:c r="D683" s="91" t="str">
        <x:f>'Trade Features'!CA683</x:f>
        <x:v>28262.180723717498</x:v>
      </x:c>
      <x:c r="E683" s="91" t="str">
        <x:f>'Trade Features'!CH683</x:f>
        <x:v>2.0</x:v>
      </x:c>
      <x:c r="F683" s="91" t="str">
        <x:f>'Trade Features'!CG683</x:f>
        <x:v>0.02260730780493427</x:v>
      </x:c>
      <x:c r="G683" s="92" t="n">
        <x:f>ABS(C683-D683)</x:f>
        <x:v>32.06927628250196</x:v>
      </x:c>
      <x:c r="H683" s="92" t="n">
        <x:f>IFERROR($O$2/(G683*$O$3),0)</x:f>
        <x:v>0.02260730780493427</x:v>
      </x:c>
      <x:c r="I683" s="92" t="n">
        <x:f>E683-H683</x:f>
        <x:v>1.9773926921950657</x:v>
      </x:c>
      <x:c r="J683" s="91" t="str">
        <x:f>'Trade Features'!CI683</x:f>
        <x:v>1.9773926921950657</x:v>
      </x:c>
      <x:c r="K683" s="92" t="n">
        <x:f>I683-J683</x:f>
        <x:v>0</x:v>
      </x:c>
      <x:c r="L683" s="90" t="str">
        <x:f>IF(ABS(K683)&lt;0.000000001,"PASS","FAIL")</x:f>
        <x:v>PASS</x:v>
      </x:c>
    </x:row>
    <x:row r="684">
      <x:c r="A684" s="84" t="str">
        <x:f>'Trade Features'!A684</x:f>
        <x:v>A0683</x:v>
      </x:c>
      <x:c r="B684" s="84" t="str">
        <x:f>'Trade Features'!F684</x:f>
        <x:v>Long</x:v>
      </x:c>
      <x:c r="C684" s="91" t="str">
        <x:f>'Trade Features'!BX684</x:f>
        <x:v>28352.25</x:v>
      </x:c>
      <x:c r="D684" s="91" t="str">
        <x:f>'Trade Features'!CA684</x:f>
        <x:v>28327.028318367134</x:v>
      </x:c>
      <x:c r="E684" s="91" t="str">
        <x:f>'Trade Features'!CH684</x:f>
        <x:v>-1.0</x:v>
      </x:c>
      <x:c r="F684" s="91" t="str">
        <x:f>'Trade Features'!CG684</x:f>
        <x:v>0.02874510948767497</x:v>
      </x:c>
      <x:c r="G684" s="92" t="n">
        <x:f>ABS(C684-D684)</x:f>
        <x:v>25.22168163286551</x:v>
      </x:c>
      <x:c r="H684" s="92" t="n">
        <x:f>IFERROR($O$2/(G684*$O$3),0)</x:f>
        <x:v>0.02874510948767497</x:v>
      </x:c>
      <x:c r="I684" s="92" t="n">
        <x:f>E684-H684</x:f>
        <x:v>-1.028745109487675</x:v>
      </x:c>
      <x:c r="J684" s="91" t="str">
        <x:f>'Trade Features'!CI684</x:f>
        <x:v>-1.028745109487675</x:v>
      </x:c>
      <x:c r="K684" s="92" t="n">
        <x:f>I684-J684</x:f>
        <x:v>0</x:v>
      </x:c>
      <x:c r="L684" s="90" t="str">
        <x:f>IF(ABS(K684)&lt;0.000000001,"PASS","FAIL")</x:f>
        <x:v>PASS</x:v>
      </x:c>
    </x:row>
    <x:row r="685">
      <x:c r="A685" s="84" t="str">
        <x:f>'Trade Features'!A685</x:f>
        <x:v>A0684</x:v>
      </x:c>
      <x:c r="B685" s="84" t="str">
        <x:f>'Trade Features'!F685</x:f>
        <x:v>Short</x:v>
      </x:c>
      <x:c r="C685" s="91" t="str">
        <x:f>'Trade Features'!BX685</x:f>
        <x:v>28298.0</x:v>
      </x:c>
      <x:c r="D685" s="91" t="str">
        <x:f>'Trade Features'!CA685</x:f>
        <x:v>28375.077652356817</x:v>
      </x:c>
      <x:c r="E685" s="91" t="str">
        <x:f>'Trade Features'!CH685</x:f>
        <x:v>0.5254441301936904</x:v>
      </x:c>
      <x:c r="F685" s="91" t="str">
        <x:f>'Trade Features'!CG685</x:f>
        <x:v>0.009406098626924292</x:v>
      </x:c>
      <x:c r="G685" s="92" t="n">
        <x:f>ABS(C685-D685)</x:f>
        <x:v>77.07765235681654</x:v>
      </x:c>
      <x:c r="H685" s="92" t="n">
        <x:f>IFERROR($O$2/(G685*$O$3),0)</x:f>
        <x:v>0.009406098626924292</x:v>
      </x:c>
      <x:c r="I685" s="92" t="n">
        <x:f>E685-H685</x:f>
        <x:v>0.5160380315667661</x:v>
      </x:c>
      <x:c r="J685" s="91" t="str">
        <x:f>'Trade Features'!CI685</x:f>
        <x:v>0.5160380315667661</x:v>
      </x:c>
      <x:c r="K685" s="92" t="n">
        <x:f>I685-J685</x:f>
        <x:v>0</x:v>
      </x:c>
      <x:c r="L685" s="90" t="str">
        <x:f>IF(ABS(K685)&lt;0.000000001,"PASS","FAIL")</x:f>
        <x:v>PASS</x:v>
      </x:c>
    </x:row>
    <x:row r="686">
      <x:c r="A686" s="84" t="str">
        <x:f>'Trade Features'!A686</x:f>
        <x:v>A0685</x:v>
      </x:c>
      <x:c r="B686" s="84" t="str">
        <x:f>'Trade Features'!F686</x:f>
        <x:v>Long</x:v>
      </x:c>
      <x:c r="C686" s="91" t="str">
        <x:f>'Trade Features'!BX686</x:f>
        <x:v>27149.25</x:v>
      </x:c>
      <x:c r="D686" s="91" t="str">
        <x:f>'Trade Features'!CA686</x:f>
        <x:v>27087.498114367118</x:v>
      </x:c>
      <x:c r="E686" s="91" t="str">
        <x:f>'Trade Features'!CH686</x:f>
        <x:v>-1.0</x:v>
      </x:c>
      <x:c r="F686" s="91" t="str">
        <x:f>'Trade Features'!CG686</x:f>
        <x:v>0.011740532172736474</x:v>
      </x:c>
      <x:c r="G686" s="92" t="n">
        <x:f>ABS(C686-D686)</x:f>
        <x:v>61.75188563288248</x:v>
      </x:c>
      <x:c r="H686" s="92" t="n">
        <x:f>IFERROR($O$2/(G686*$O$3),0)</x:f>
        <x:v>0.011740532172736474</x:v>
      </x:c>
      <x:c r="I686" s="92" t="n">
        <x:f>E686-H686</x:f>
        <x:v>-1.0117405321727364</x:v>
      </x:c>
      <x:c r="J686" s="91" t="str">
        <x:f>'Trade Features'!CI686</x:f>
        <x:v>-1.0117405321727364</x:v>
      </x:c>
      <x:c r="K686" s="92" t="n">
        <x:f>I686-J686</x:f>
        <x:v>0</x:v>
      </x:c>
      <x:c r="L686" s="90" t="str">
        <x:f>IF(ABS(K686)&lt;0.000000001,"PASS","FAIL")</x:f>
        <x:v>PASS</x:v>
      </x:c>
    </x:row>
    <x:row r="687">
      <x:c r="A687" s="84" t="str">
        <x:f>'Trade Features'!A687</x:f>
        <x:v>A0686</x:v>
      </x:c>
      <x:c r="B687" s="84" t="str">
        <x:f>'Trade Features'!F687</x:f>
        <x:v>Long</x:v>
      </x:c>
      <x:c r="C687" s="91" t="str">
        <x:f>'Trade Features'!BX687</x:f>
        <x:v>26594.25</x:v>
      </x:c>
      <x:c r="D687" s="91" t="str">
        <x:f>'Trade Features'!CA687</x:f>
        <x:v>26431.92405757456</x:v>
      </x:c>
      <x:c r="E687" s="91" t="str">
        <x:f>'Trade Features'!CH687</x:f>
        <x:v>-0.11704845027298728</x:v>
      </x:c>
      <x:c r="F687" s="91" t="str">
        <x:f>'Trade Features'!CG687</x:f>
        <x:v>0.0044663224446271875</x:v>
      </x:c>
      <x:c r="G687" s="92" t="n">
        <x:f>ABS(C687-D687)</x:f>
        <x:v>162.32594242543928</x:v>
      </x:c>
      <x:c r="H687" s="92" t="n">
        <x:f>IFERROR($O$2/(G687*$O$3),0)</x:f>
        <x:v>0.0044663224446271875</x:v>
      </x:c>
      <x:c r="I687" s="92" t="n">
        <x:f>E687-H687</x:f>
        <x:v>-0.12151477271761447</x:v>
      </x:c>
      <x:c r="J687" s="91" t="str">
        <x:f>'Trade Features'!CI687</x:f>
        <x:v>-0.12151477271761447</x:v>
      </x:c>
      <x:c r="K687" s="92" t="n">
        <x:f>I687-J687</x:f>
        <x:v>0</x:v>
      </x:c>
      <x:c r="L687" s="90" t="str">
        <x:f>IF(ABS(K687)&lt;0.000000001,"PASS","FAIL")</x:f>
        <x:v>PASS</x:v>
      </x:c>
    </x:row>
    <x:row r="688">
      <x:c r="A688" s="84" t="str">
        <x:f>'Trade Features'!A688</x:f>
        <x:v>A0687</x:v>
      </x:c>
      <x:c r="B688" s="84" t="str">
        <x:f>'Trade Features'!F688</x:f>
        <x:v>Long</x:v>
      </x:c>
      <x:c r="C688" s="91" t="str">
        <x:f>'Trade Features'!BX688</x:f>
        <x:v>26739.5</x:v>
      </x:c>
      <x:c r="D688" s="91" t="str">
        <x:f>'Trade Features'!CA688</x:f>
        <x:v>26668.88587155817</x:v>
      </x:c>
      <x:c r="E688" s="91" t="str">
        <x:f>'Trade Features'!CH688</x:f>
        <x:v>-1.0</x:v>
      </x:c>
      <x:c r="F688" s="91" t="str">
        <x:f>'Trade Features'!CG688</x:f>
        <x:v>0.010267067171936218</x:v>
      </x:c>
      <x:c r="G688" s="92" t="n">
        <x:f>ABS(C688-D688)</x:f>
        <x:v>70.61412844182996</x:v>
      </x:c>
      <x:c r="H688" s="92" t="n">
        <x:f>IFERROR($O$2/(G688*$O$3),0)</x:f>
        <x:v>0.010267067171936218</x:v>
      </x:c>
      <x:c r="I688" s="92" t="n">
        <x:f>E688-H688</x:f>
        <x:v>-1.0102670671719363</x:v>
      </x:c>
      <x:c r="J688" s="91" t="str">
        <x:f>'Trade Features'!CI688</x:f>
        <x:v>-1.0102670671719363</x:v>
      </x:c>
      <x:c r="K688" s="92" t="n">
        <x:f>I688-J688</x:f>
        <x:v>0</x:v>
      </x:c>
      <x:c r="L688" s="90" t="str">
        <x:f>IF(ABS(K688)&lt;0.000000001,"PASS","FAIL")</x:f>
        <x:v>PASS</x:v>
      </x:c>
    </x:row>
    <x:row r="689">
      <x:c r="A689" s="84" t="str">
        <x:f>'Trade Features'!A689</x:f>
        <x:v>A0688</x:v>
      </x:c>
      <x:c r="B689" s="84" t="str">
        <x:f>'Trade Features'!F689</x:f>
        <x:v>Short</x:v>
      </x:c>
      <x:c r="C689" s="91" t="str">
        <x:f>'Trade Features'!BX689</x:f>
        <x:v>26301.0</x:v>
      </x:c>
      <x:c r="D689" s="91" t="str">
        <x:f>'Trade Features'!CA689</x:f>
        <x:v>26380.836014576395</x:v>
      </x:c>
      <x:c r="E689" s="91" t="str">
        <x:f>'Trade Features'!CH689</x:f>
        <x:v>-1.0</x:v>
      </x:c>
      <x:c r="F689" s="91" t="str">
        <x:f>'Trade Features'!CG689</x:f>
        <x:v>0.009081114630368385</x:v>
      </x:c>
      <x:c r="G689" s="92" t="n">
        <x:f>ABS(C689-D689)</x:f>
        <x:v>79.83601457639452</x:v>
      </x:c>
      <x:c r="H689" s="92" t="n">
        <x:f>IFERROR($O$2/(G689*$O$3),0)</x:f>
        <x:v>0.009081114630368385</x:v>
      </x:c>
      <x:c r="I689" s="92" t="n">
        <x:f>E689-H689</x:f>
        <x:v>-1.0090811146303684</x:v>
      </x:c>
      <x:c r="J689" s="91" t="str">
        <x:f>'Trade Features'!CI689</x:f>
        <x:v>-1.0090811146303684</x:v>
      </x:c>
      <x:c r="K689" s="92" t="n">
        <x:f>I689-J689</x:f>
        <x:v>0</x:v>
      </x:c>
      <x:c r="L689" s="90" t="str">
        <x:f>IF(ABS(K689)&lt;0.000000001,"PASS","FAIL")</x:f>
        <x:v>PASS</x:v>
      </x:c>
    </x:row>
    <x:row r="690">
      <x:c r="A690" s="84" t="str">
        <x:f>'Trade Features'!A690</x:f>
        <x:v>A0689</x:v>
      </x:c>
      <x:c r="B690" s="84" t="str">
        <x:f>'Trade Features'!F690</x:f>
        <x:v>Short</x:v>
      </x:c>
      <x:c r="C690" s="91" t="str">
        <x:f>'Trade Features'!BX690</x:f>
        <x:v>27049.0</x:v>
      </x:c>
      <x:c r="D690" s="91" t="str">
        <x:f>'Trade Features'!CA690</x:f>
        <x:v>27095.018035829795</x:v>
      </x:c>
      <x:c r="E690" s="91" t="str">
        <x:f>'Trade Features'!CH690</x:f>
        <x:v>-1.0</x:v>
      </x:c>
      <x:c r="F690" s="91" t="str">
        <x:f>'Trade Features'!CG690</x:f>
        <x:v>0.01575469241411194</x:v>
      </x:c>
      <x:c r="G690" s="92" t="n">
        <x:f>ABS(C690-D690)</x:f>
        <x:v>46.018035829794826</x:v>
      </x:c>
      <x:c r="H690" s="92" t="n">
        <x:f>IFERROR($O$2/(G690*$O$3),0)</x:f>
        <x:v>0.01575469241411194</x:v>
      </x:c>
      <x:c r="I690" s="92" t="n">
        <x:f>E690-H690</x:f>
        <x:v>-1.0157546924141119</x:v>
      </x:c>
      <x:c r="J690" s="91" t="str">
        <x:f>'Trade Features'!CI690</x:f>
        <x:v>-1.0157546924141119</x:v>
      </x:c>
      <x:c r="K690" s="92" t="n">
        <x:f>I690-J690</x:f>
        <x:v>0</x:v>
      </x:c>
      <x:c r="L690" s="90" t="str">
        <x:f>IF(ABS(K690)&lt;0.000000001,"PASS","FAIL")</x:f>
        <x:v>PASS</x:v>
      </x:c>
    </x:row>
    <x:row r="691">
      <x:c r="A691" s="84" t="str">
        <x:f>'Trade Features'!A691</x:f>
        <x:v>A0690</x:v>
      </x:c>
      <x:c r="B691" s="84" t="str">
        <x:f>'Trade Features'!F691</x:f>
        <x:v>Long</x:v>
      </x:c>
      <x:c r="C691" s="91" t="str">
        <x:f>'Trade Features'!BX691</x:f>
        <x:v>27846.75</x:v>
      </x:c>
      <x:c r="D691" s="91" t="str">
        <x:f>'Trade Features'!CA691</x:f>
        <x:v>27824.043980621973</x:v>
      </x:c>
      <x:c r="E691" s="91" t="str">
        <x:f>'Trade Features'!CH691</x:f>
        <x:v>0.033030888748634205</x:v>
      </x:c>
      <x:c r="F691" s="91" t="str">
        <x:f>'Trade Features'!CG691</x:f>
        <x:v>0.03192985912368202</x:v>
      </x:c>
      <x:c r="G691" s="92" t="n">
        <x:f>ABS(C691-D691)</x:f>
        <x:v>22.706019378027122</x:v>
      </x:c>
      <x:c r="H691" s="92" t="n">
        <x:f>IFERROR($O$2/(G691*$O$3),0)</x:f>
        <x:v>0.03192985912368202</x:v>
      </x:c>
      <x:c r="I691" s="92" t="n">
        <x:f>E691-H691</x:f>
        <x:v>0.0011010296249521836</x:v>
      </x:c>
      <x:c r="J691" s="91" t="str">
        <x:f>'Trade Features'!CI691</x:f>
        <x:v>0.0011010296249521836</x:v>
      </x:c>
      <x:c r="K691" s="92" t="n">
        <x:f>I691-J691</x:f>
        <x:v>0</x:v>
      </x:c>
      <x:c r="L691" s="90" t="str">
        <x:f>IF(ABS(K691)&lt;0.000000001,"PASS","FAIL")</x:f>
        <x:v>PASS</x:v>
      </x:c>
    </x:row>
    <x:row r="692">
      <x:c r="A692" s="84" t="str">
        <x:f>'Trade Features'!A692</x:f>
        <x:v>A0691</x:v>
      </x:c>
      <x:c r="B692" s="84" t="str">
        <x:f>'Trade Features'!F692</x:f>
        <x:v>Long</x:v>
      </x:c>
      <x:c r="C692" s="91" t="str">
        <x:f>'Trade Features'!BX692</x:f>
        <x:v>27990.5</x:v>
      </x:c>
      <x:c r="D692" s="91" t="str">
        <x:f>'Trade Features'!CA692</x:f>
        <x:v>27945.709178907175</x:v>
      </x:c>
      <x:c r="E692" s="91" t="str">
        <x:f>'Trade Features'!CH692</x:f>
        <x:v>2.0</x:v>
      </x:c>
      <x:c r="F692" s="91" t="str">
        <x:f>'Trade Features'!CG692</x:f>
        <x:v>0.016186352076410837</x:v>
      </x:c>
      <x:c r="G692" s="92" t="n">
        <x:f>ABS(C692-D692)</x:f>
        <x:v>44.790821092825354</x:v>
      </x:c>
      <x:c r="H692" s="92" t="n">
        <x:f>IFERROR($O$2/(G692*$O$3),0)</x:f>
        <x:v>0.016186352076410837</x:v>
      </x:c>
      <x:c r="I692" s="92" t="n">
        <x:f>E692-H692</x:f>
        <x:v>1.983813647923589</x:v>
      </x:c>
      <x:c r="J692" s="91" t="str">
        <x:f>'Trade Features'!CI692</x:f>
        <x:v>1.983813647923589</x:v>
      </x:c>
      <x:c r="K692" s="92" t="n">
        <x:f>I692-J692</x:f>
        <x:v>0</x:v>
      </x:c>
      <x:c r="L692" s="90" t="str">
        <x:f>IF(ABS(K692)&lt;0.000000001,"PASS","FAIL")</x:f>
        <x:v>PASS</x:v>
      </x:c>
    </x:row>
    <x:row r="693">
      <x:c r="A693" s="84" t="str">
        <x:f>'Trade Features'!A693</x:f>
        <x:v>A0692</x:v>
      </x:c>
      <x:c r="B693" s="84" t="str">
        <x:f>'Trade Features'!F693</x:f>
        <x:v>Short</x:v>
      </x:c>
      <x:c r="C693" s="91" t="str">
        <x:f>'Trade Features'!BX693</x:f>
        <x:v>28075.5</x:v>
      </x:c>
      <x:c r="D693" s="91" t="str">
        <x:f>'Trade Features'!CA693</x:f>
        <x:v>28112.625010558524</x:v>
      </x:c>
      <x:c r="E693" s="91" t="str">
        <x:f>'Trade Features'!CH693</x:f>
        <x:v>-1.0</x:v>
      </x:c>
      <x:c r="F693" s="91" t="str">
        <x:f>'Trade Features'!CG693</x:f>
        <x:v>0.019528613974590145</x:v>
      </x:c>
      <x:c r="G693" s="92" t="n">
        <x:f>ABS(C693-D693)</x:f>
        <x:v>37.12501055852408</x:v>
      </x:c>
      <x:c r="H693" s="92" t="n">
        <x:f>IFERROR($O$2/(G693*$O$3),0)</x:f>
        <x:v>0.019528613974590145</x:v>
      </x:c>
      <x:c r="I693" s="92" t="n">
        <x:f>E693-H693</x:f>
        <x:v>-1.01952861397459</x:v>
      </x:c>
      <x:c r="J693" s="91" t="str">
        <x:f>'Trade Features'!CI693</x:f>
        <x:v>-1.01952861397459</x:v>
      </x:c>
      <x:c r="K693" s="92" t="n">
        <x:f>I693-J693</x:f>
        <x:v>0</x:v>
      </x:c>
      <x:c r="L693" s="90" t="str">
        <x:f>IF(ABS(K693)&lt;0.000000001,"PASS","FAIL")</x:f>
        <x:v>PASS</x:v>
      </x:c>
    </x:row>
    <x:row r="694">
      <x:c r="A694" s="84" t="str">
        <x:f>'Trade Features'!A694</x:f>
        <x:v>A0693</x:v>
      </x:c>
      <x:c r="B694" s="84" t="str">
        <x:f>'Trade Features'!F694</x:f>
        <x:v>Long</x:v>
      </x:c>
      <x:c r="C694" s="91" t="str">
        <x:f>'Trade Features'!BX694</x:f>
        <x:v>28271.75</x:v>
      </x:c>
      <x:c r="D694" s="91" t="str">
        <x:f>'Trade Features'!CA694</x:f>
        <x:v>28243.66284066542</x:v>
      </x:c>
      <x:c r="E694" s="91" t="str">
        <x:f>'Trade Features'!CH694</x:f>
        <x:v>-1.0</x:v>
      </x:c>
      <x:c r="F694" s="91" t="str">
        <x:f>'Trade Features'!CG694</x:f>
        <x:v>0.02581250710916151</x:v>
      </x:c>
      <x:c r="G694" s="92" t="n">
        <x:f>ABS(C694-D694)</x:f>
        <x:v>28.087159334580065</x:v>
      </x:c>
      <x:c r="H694" s="92" t="n">
        <x:f>IFERROR($O$2/(G694*$O$3),0)</x:f>
        <x:v>0.02581250710916151</x:v>
      </x:c>
      <x:c r="I694" s="92" t="n">
        <x:f>E694-H694</x:f>
        <x:v>-1.0258125071091615</x:v>
      </x:c>
      <x:c r="J694" s="91" t="str">
        <x:f>'Trade Features'!CI694</x:f>
        <x:v>-1.0258125071091615</x:v>
      </x:c>
      <x:c r="K694" s="92" t="n">
        <x:f>I694-J694</x:f>
        <x:v>0</x:v>
      </x:c>
      <x:c r="L694" s="90" t="str">
        <x:f>IF(ABS(K694)&lt;0.000000001,"PASS","FAIL")</x:f>
        <x:v>PASS</x:v>
      </x:c>
    </x:row>
    <x:row r="695">
      <x:c r="A695" s="84" t="str">
        <x:f>'Trade Features'!A695</x:f>
        <x:v>A0694</x:v>
      </x:c>
      <x:c r="B695" s="84" t="str">
        <x:f>'Trade Features'!F695</x:f>
        <x:v>Short</x:v>
      </x:c>
      <x:c r="C695" s="91" t="str">
        <x:f>'Trade Features'!BX695</x:f>
        <x:v>27538.0</x:v>
      </x:c>
      <x:c r="D695" s="91" t="str">
        <x:f>'Trade Features'!CA695</x:f>
        <x:v>27648.83956072568</x:v>
      </x:c>
      <x:c r="E695" s="91" t="str">
        <x:f>'Trade Features'!CH695</x:f>
        <x:v>-1.0</x:v>
      </x:c>
      <x:c r="F695" s="91" t="str">
        <x:f>'Trade Features'!CG695</x:f>
        <x:v>0.006540985865094959</x:v>
      </x:c>
      <x:c r="G695" s="92" t="n">
        <x:f>ABS(C695-D695)</x:f>
        <x:v>110.8395607256789</x:v>
      </x:c>
      <x:c r="H695" s="92" t="n">
        <x:f>IFERROR($O$2/(G695*$O$3),0)</x:f>
        <x:v>0.006540985865094959</x:v>
      </x:c>
      <x:c r="I695" s="92" t="n">
        <x:f>E695-H695</x:f>
        <x:v>-1.0065409858650949</x:v>
      </x:c>
      <x:c r="J695" s="91" t="str">
        <x:f>'Trade Features'!CI695</x:f>
        <x:v>-1.0065409858650949</x:v>
      </x:c>
      <x:c r="K695" s="92" t="n">
        <x:f>I695-J695</x:f>
        <x:v>0</x:v>
      </x:c>
      <x:c r="L695" s="90" t="str">
        <x:f>IF(ABS(K695)&lt;0.000000001,"PASS","FAIL")</x:f>
        <x:v>PASS</x:v>
      </x:c>
    </x:row>
    <x:row r="696">
      <x:c r="A696" s="84" t="str">
        <x:f>'Trade Features'!A696</x:f>
        <x:v>A0695</x:v>
      </x:c>
      <x:c r="B696" s="84" t="str">
        <x:f>'Trade Features'!F696</x:f>
        <x:v>Short</x:v>
      </x:c>
      <x:c r="C696" s="91" t="str">
        <x:f>'Trade Features'!BX696</x:f>
        <x:v>27264.0</x:v>
      </x:c>
      <x:c r="D696" s="91" t="str">
        <x:f>'Trade Features'!CA696</x:f>
        <x:v>27424.00744320847</x:v>
      </x:c>
      <x:c r="E696" s="91" t="str">
        <x:f>'Trade Features'!CH696</x:f>
        <x:v>-1.0</x:v>
      </x:c>
      <x:c r="F696" s="91" t="str">
        <x:f>'Trade Features'!CG696</x:f>
        <x:v>0.004531039215815837</x:v>
      </x:c>
      <x:c r="G696" s="92" t="n">
        <x:f>ABS(C696-D696)</x:f>
        <x:v>160.00744320846934</x:v>
      </x:c>
      <x:c r="H696" s="92" t="n">
        <x:f>IFERROR($O$2/(G696*$O$3),0)</x:f>
        <x:v>0.004531039215815837</x:v>
      </x:c>
      <x:c r="I696" s="92" t="n">
        <x:f>E696-H696</x:f>
        <x:v>-1.0045310392158158</x:v>
      </x:c>
      <x:c r="J696" s="91" t="str">
        <x:f>'Trade Features'!CI696</x:f>
        <x:v>-1.0045310392158158</x:v>
      </x:c>
      <x:c r="K696" s="92" t="n">
        <x:f>I696-J696</x:f>
        <x:v>0</x:v>
      </x:c>
      <x:c r="L696" s="90" t="str">
        <x:f>IF(ABS(K696)&lt;0.000000001,"PASS","FAIL")</x:f>
        <x:v>PASS</x:v>
      </x:c>
    </x:row>
    <x:row r="697">
      <x:c r="A697" s="84" t="str">
        <x:f>'Trade Features'!A697</x:f>
        <x:v>A0696</x:v>
      </x:c>
      <x:c r="B697" s="84" t="str">
        <x:f>'Trade Features'!F697</x:f>
        <x:v>Long</x:v>
      </x:c>
      <x:c r="C697" s="91" t="str">
        <x:f>'Trade Features'!BX697</x:f>
        <x:v>28067.75</x:v>
      </x:c>
      <x:c r="D697" s="91" t="str">
        <x:f>'Trade Features'!CA697</x:f>
        <x:v>28022.305505049015</x:v>
      </x:c>
      <x:c r="E697" s="91" t="str">
        <x:f>'Trade Features'!CH697</x:f>
        <x:v>-1.0</x:v>
      </x:c>
      <x:c r="F697" s="91" t="str">
        <x:f>'Trade Features'!CG697</x:f>
        <x:v>0.015953527501668976</x:v>
      </x:c>
      <x:c r="G697" s="92" t="n">
        <x:f>ABS(C697-D697)</x:f>
        <x:v>45.444494950985245</x:v>
      </x:c>
      <x:c r="H697" s="92" t="n">
        <x:f>IFERROR($O$2/(G697*$O$3),0)</x:f>
        <x:v>0.015953527501668976</x:v>
      </x:c>
      <x:c r="I697" s="92" t="n">
        <x:f>E697-H697</x:f>
        <x:v>-1.015953527501669</x:v>
      </x:c>
      <x:c r="J697" s="91" t="str">
        <x:f>'Trade Features'!CI697</x:f>
        <x:v>-1.015953527501669</x:v>
      </x:c>
      <x:c r="K697" s="92" t="n">
        <x:f>I697-J697</x:f>
        <x:v>0</x:v>
      </x:c>
      <x:c r="L697" s="90" t="str">
        <x:f>IF(ABS(K697)&lt;0.000000001,"PASS","FAIL")</x:f>
        <x:v>PASS</x:v>
      </x:c>
    </x:row>
    <x:row r="698">
      <x:c r="A698" s="84" t="str">
        <x:f>'Trade Features'!A698</x:f>
        <x:v>A0697</x:v>
      </x:c>
      <x:c r="B698" s="84" t="str">
        <x:f>'Trade Features'!F698</x:f>
        <x:v>Short</x:v>
      </x:c>
      <x:c r="C698" s="91" t="str">
        <x:f>'Trade Features'!BX698</x:f>
        <x:v>27881.75</x:v>
      </x:c>
      <x:c r="D698" s="91" t="str">
        <x:f>'Trade Features'!CA698</x:f>
        <x:v>27911.778664301874</x:v>
      </x:c>
      <x:c r="E698" s="91" t="str">
        <x:f>'Trade Features'!CH698</x:f>
        <x:v>0.5994272612011573</x:v>
      </x:c>
      <x:c r="F698" s="91" t="str">
        <x:f>'Trade Features'!CG698</x:f>
        <x:v>0.024143598020600832</x:v>
      </x:c>
      <x:c r="G698" s="92" t="n">
        <x:f>ABS(C698-D698)</x:f>
        <x:v>30.028664301873505</x:v>
      </x:c>
      <x:c r="H698" s="92" t="n">
        <x:f>IFERROR($O$2/(G698*$O$3),0)</x:f>
        <x:v>0.024143598020600832</x:v>
      </x:c>
      <x:c r="I698" s="92" t="n">
        <x:f>E698-H698</x:f>
        <x:v>0.5752836631805565</x:v>
      </x:c>
      <x:c r="J698" s="91" t="str">
        <x:f>'Trade Features'!CI698</x:f>
        <x:v>0.5752836631805565</x:v>
      </x:c>
      <x:c r="K698" s="92" t="n">
        <x:f>I698-J698</x:f>
        <x:v>0</x:v>
      </x:c>
      <x:c r="L698" s="90" t="str">
        <x:f>IF(ABS(K698)&lt;0.000000001,"PASS","FAIL")</x:f>
        <x:v>PASS</x:v>
      </x:c>
    </x:row>
    <x:row r="699">
      <x:c r="A699" s="84" t="str">
        <x:f>'Trade Features'!A699</x:f>
        <x:v>A0698</x:v>
      </x:c>
      <x:c r="B699" s="84" t="str">
        <x:f>'Trade Features'!F699</x:f>
        <x:v>Long</x:v>
      </x:c>
      <x:c r="C699" s="91" t="str">
        <x:f>'Trade Features'!BX699</x:f>
        <x:v>27986.0</x:v>
      </x:c>
      <x:c r="D699" s="91" t="str">
        <x:f>'Trade Features'!CA699</x:f>
        <x:v>27945.06679865655</x:v>
      </x:c>
      <x:c r="E699" s="91" t="str">
        <x:f>'Trade Features'!CH699</x:f>
        <x:v>0.22597792736481537</x:v>
      </x:c>
      <x:c r="F699" s="91" t="str">
        <x:f>'Trade Features'!CG699</x:f>
        <x:v>0.017711783496161936</x:v>
      </x:c>
      <x:c r="G699" s="92" t="n">
        <x:f>ABS(C699-D699)</x:f>
        <x:v>40.93320134345049</x:v>
      </x:c>
      <x:c r="H699" s="92" t="n">
        <x:f>IFERROR($O$2/(G699*$O$3),0)</x:f>
        <x:v>0.017711783496161936</x:v>
      </x:c>
      <x:c r="I699" s="92" t="n">
        <x:f>E699-H699</x:f>
        <x:v>0.20826614386865344</x:v>
      </x:c>
      <x:c r="J699" s="91" t="str">
        <x:f>'Trade Features'!CI699</x:f>
        <x:v>0.20826614386865344</x:v>
      </x:c>
      <x:c r="K699" s="92" t="n">
        <x:f>I699-J699</x:f>
        <x:v>0</x:v>
      </x:c>
      <x:c r="L699" s="90" t="str">
        <x:f>IF(ABS(K699)&lt;0.000000001,"PASS","FAIL")</x:f>
        <x:v>PASS</x:v>
      </x:c>
    </x:row>
    <x:row r="700">
      <x:c r="A700" s="84" t="str">
        <x:f>'Trade Features'!A700</x:f>
        <x:v>A0699</x:v>
      </x:c>
      <x:c r="B700" s="84" t="str">
        <x:f>'Trade Features'!F700</x:f>
        <x:v>Short</x:v>
      </x:c>
      <x:c r="C700" s="91" t="str">
        <x:f>'Trade Features'!BX700</x:f>
        <x:v>27840.5</x:v>
      </x:c>
      <x:c r="D700" s="91" t="str">
        <x:f>'Trade Features'!CA700</x:f>
        <x:v>27886.64740308184</x:v>
      </x:c>
      <x:c r="E700" s="91" t="str">
        <x:f>'Trade Features'!CH700</x:f>
        <x:v>1.08890201060472</x:v>
      </x:c>
      <x:c r="F700" s="91" t="str">
        <x:f>'Trade Features'!CG700</x:f>
        <x:v>0.01571052652116233</x:v>
      </x:c>
      <x:c r="G700" s="92" t="n">
        <x:f>ABS(C700-D700)</x:f>
        <x:v>46.147403081839</x:v>
      </x:c>
      <x:c r="H700" s="92" t="n">
        <x:f>IFERROR($O$2/(G700*$O$3),0)</x:f>
        <x:v>0.01571052652116233</x:v>
      </x:c>
      <x:c r="I700" s="92" t="n">
        <x:f>E700-H700</x:f>
        <x:v>1.0731914840835577</x:v>
      </x:c>
      <x:c r="J700" s="91" t="str">
        <x:f>'Trade Features'!CI700</x:f>
        <x:v>1.0731914840835577</x:v>
      </x:c>
      <x:c r="K700" s="92" t="n">
        <x:f>I700-J700</x:f>
        <x:v>0</x:v>
      </x:c>
      <x:c r="L700" s="90" t="str">
        <x:f>IF(ABS(K700)&lt;0.000000001,"PASS","FAIL")</x:f>
        <x:v>PASS</x:v>
      </x:c>
    </x:row>
    <x:row r="701">
      <x:c r="A701" s="84" t="str">
        <x:f>'Trade Features'!A701</x:f>
        <x:v>A0700</x:v>
      </x:c>
      <x:c r="B701" s="84" t="str">
        <x:f>'Trade Features'!F701</x:f>
        <x:v>Short</x:v>
      </x:c>
      <x:c r="C701" s="91" t="str">
        <x:f>'Trade Features'!BX701</x:f>
        <x:v>27929.75</x:v>
      </x:c>
      <x:c r="D701" s="91" t="str">
        <x:f>'Trade Features'!CA701</x:f>
        <x:v>28034.925921847618</x:v>
      </x:c>
      <x:c r="E701" s="91" t="str">
        <x:f>'Trade Features'!CH701</x:f>
        <x:v>-0.21392729062644536</x:v>
      </x:c>
      <x:c r="F701" s="91" t="str">
        <x:f>'Trade Features'!CG701</x:f>
        <x:v>0.006893212697963327</x:v>
      </x:c>
      <x:c r="G701" s="92" t="n">
        <x:f>ABS(C701-D701)</x:f>
        <x:v>105.17592184761816</x:v>
      </x:c>
      <x:c r="H701" s="92" t="n">
        <x:f>IFERROR($O$2/(G701*$O$3),0)</x:f>
        <x:v>0.006893212697963327</x:v>
      </x:c>
      <x:c r="I701" s="92" t="n">
        <x:f>E701-H701</x:f>
        <x:v>-0.2208205033244087</x:v>
      </x:c>
      <x:c r="J701" s="91" t="str">
        <x:f>'Trade Features'!CI701</x:f>
        <x:v>-0.2208205033244087</x:v>
      </x:c>
      <x:c r="K701" s="92" t="n">
        <x:f>I701-J701</x:f>
        <x:v>0</x:v>
      </x:c>
      <x:c r="L701" s="90" t="str">
        <x:f>IF(ABS(K701)&lt;0.000000001,"PASS","FAIL")</x:f>
        <x:v>PASS</x:v>
      </x:c>
    </x:row>
    <x:row r="702">
      <x:c r="A702" s="84" t="str">
        <x:f>'Trade Features'!A702</x:f>
        <x:v>A0701</x:v>
      </x:c>
      <x:c r="B702" s="84" t="str">
        <x:f>'Trade Features'!F702</x:f>
        <x:v>Long</x:v>
      </x:c>
      <x:c r="C702" s="91" t="str">
        <x:f>'Trade Features'!BX702</x:f>
        <x:v>27088.0</x:v>
      </x:c>
      <x:c r="D702" s="91" t="str">
        <x:f>'Trade Features'!CA702</x:f>
        <x:v>27028.60111031533</x:v>
      </x:c>
      <x:c r="E702" s="91" t="str">
        <x:f>'Trade Features'!CH702</x:f>
        <x:v>-1.0</x:v>
      </x:c>
      <x:c r="F702" s="91" t="str">
        <x:f>'Trade Features'!CG702</x:f>
        <x:v>0.012205615354912875</x:v>
      </x:c>
      <x:c r="G702" s="92" t="n">
        <x:f>ABS(C702-D702)</x:f>
        <x:v>59.3988896846713</x:v>
      </x:c>
      <x:c r="H702" s="92" t="n">
        <x:f>IFERROR($O$2/(G702*$O$3),0)</x:f>
        <x:v>0.012205615354912875</x:v>
      </x:c>
      <x:c r="I702" s="92" t="n">
        <x:f>E702-H702</x:f>
        <x:v>-1.0122056153549128</x:v>
      </x:c>
      <x:c r="J702" s="91" t="str">
        <x:f>'Trade Features'!CI702</x:f>
        <x:v>-1.0122056153549128</x:v>
      </x:c>
      <x:c r="K702" s="92" t="n">
        <x:f>I702-J702</x:f>
        <x:v>0</x:v>
      </x:c>
      <x:c r="L702" s="90" t="str">
        <x:f>IF(ABS(K702)&lt;0.000000001,"PASS","FAIL")</x:f>
        <x:v>PASS</x:v>
      </x:c>
    </x:row>
    <x:row r="703">
      <x:c r="A703" s="84" t="str">
        <x:f>'Trade Features'!A703</x:f>
        <x:v>A0702</x:v>
      </x:c>
      <x:c r="B703" s="84" t="str">
        <x:f>'Trade Features'!F703</x:f>
        <x:v>Short</x:v>
      </x:c>
      <x:c r="C703" s="91" t="str">
        <x:f>'Trade Features'!BX703</x:f>
        <x:v>27015.25</x:v>
      </x:c>
      <x:c r="D703" s="91" t="str">
        <x:f>'Trade Features'!CA703</x:f>
        <x:v>27067.782208399454</x:v>
      </x:c>
      <x:c r="E703" s="91" t="str">
        <x:f>'Trade Features'!CH703</x:f>
        <x:v>-1.0</x:v>
      </x:c>
      <x:c r="F703" s="91" t="str">
        <x:f>'Trade Features'!CG703</x:f>
        <x:v>0.013801056953233514</x:v>
      </x:c>
      <x:c r="G703" s="92" t="n">
        <x:f>ABS(C703-D703)</x:f>
        <x:v>52.53220839945425</x:v>
      </x:c>
      <x:c r="H703" s="92" t="n">
        <x:f>IFERROR($O$2/(G703*$O$3),0)</x:f>
        <x:v>0.013801056953233514</x:v>
      </x:c>
      <x:c r="I703" s="92" t="n">
        <x:f>E703-H703</x:f>
        <x:v>-1.0138010569532334</x:v>
      </x:c>
      <x:c r="J703" s="91" t="str">
        <x:f>'Trade Features'!CI703</x:f>
        <x:v>-1.0138010569532334</x:v>
      </x:c>
      <x:c r="K703" s="92" t="n">
        <x:f>I703-J703</x:f>
        <x:v>0</x:v>
      </x:c>
      <x:c r="L703" s="90" t="str">
        <x:f>IF(ABS(K703)&lt;0.000000001,"PASS","FAIL")</x:f>
        <x:v>PASS</x:v>
      </x:c>
    </x:row>
    <x:row r="704">
      <x:c r="A704" s="84" t="str">
        <x:f>'Trade Features'!A704</x:f>
        <x:v>A0703</x:v>
      </x:c>
      <x:c r="B704" s="84" t="str">
        <x:f>'Trade Features'!F704</x:f>
        <x:v>Short</x:v>
      </x:c>
      <x:c r="C704" s="91" t="str">
        <x:f>'Trade Features'!BX704</x:f>
        <x:v>26649.0</x:v>
      </x:c>
      <x:c r="D704" s="91" t="str">
        <x:f>'Trade Features'!CA704</x:f>
        <x:v>26746.043044433856</x:v>
      </x:c>
      <x:c r="E704" s="91" t="str">
        <x:f>'Trade Features'!CH704</x:f>
        <x:v>-1.0</x:v>
      </x:c>
      <x:c r="F704" s="91" t="str">
        <x:f>'Trade Features'!CG704</x:f>
        <x:v>0.007470911534459885</x:v>
      </x:c>
      <x:c r="G704" s="92" t="n">
        <x:f>ABS(C704-D704)</x:f>
        <x:v>97.04304443385627</x:v>
      </x:c>
      <x:c r="H704" s="92" t="n">
        <x:f>IFERROR($O$2/(G704*$O$3),0)</x:f>
        <x:v>0.007470911534459885</x:v>
      </x:c>
      <x:c r="I704" s="92" t="n">
        <x:f>E704-H704</x:f>
        <x:v>-1.0074709115344598</x:v>
      </x:c>
      <x:c r="J704" s="91" t="str">
        <x:f>'Trade Features'!CI704</x:f>
        <x:v>-1.0074709115344598</x:v>
      </x:c>
      <x:c r="K704" s="92" t="n">
        <x:f>I704-J704</x:f>
        <x:v>0</x:v>
      </x:c>
      <x:c r="L704" s="90" t="str">
        <x:f>IF(ABS(K704)&lt;0.000000001,"PASS","FAIL")</x:f>
        <x:v>PASS</x:v>
      </x:c>
    </x:row>
    <x:row r="705">
      <x:c r="A705" s="84" t="str">
        <x:f>'Trade Features'!A705</x:f>
        <x:v>A0704</x:v>
      </x:c>
      <x:c r="B705" s="84" t="str">
        <x:f>'Trade Features'!F705</x:f>
        <x:v>Long</x:v>
      </x:c>
      <x:c r="C705" s="91" t="str">
        <x:f>'Trade Features'!BX705</x:f>
        <x:v>27511.25</x:v>
      </x:c>
      <x:c r="D705" s="91" t="str">
        <x:f>'Trade Features'!CA705</x:f>
        <x:v>27459.905685120884</x:v>
      </x:c>
      <x:c r="E705" s="91" t="str">
        <x:f>'Trade Features'!CH705</x:f>
        <x:v>-1.0</x:v>
      </x:c>
      <x:c r="F705" s="91" t="str">
        <x:f>'Trade Features'!CG705</x:f>
        <x:v>0.014120355909060805</x:v>
      </x:c>
      <x:c r="G705" s="92" t="n">
        <x:f>ABS(C705-D705)</x:f>
        <x:v>51.3443148791157</x:v>
      </x:c>
      <x:c r="H705" s="92" t="n">
        <x:f>IFERROR($O$2/(G705*$O$3),0)</x:f>
        <x:v>0.014120355909060805</x:v>
      </x:c>
      <x:c r="I705" s="92" t="n">
        <x:f>E705-H705</x:f>
        <x:v>-1.0141203559090608</x:v>
      </x:c>
      <x:c r="J705" s="91" t="str">
        <x:f>'Trade Features'!CI705</x:f>
        <x:v>-1.0141203559090608</x:v>
      </x:c>
      <x:c r="K705" s="92" t="n">
        <x:f>I705-J705</x:f>
        <x:v>0</x:v>
      </x:c>
      <x:c r="L705" s="90" t="str">
        <x:f>IF(ABS(K705)&lt;0.000000001,"PASS","FAIL")</x:f>
        <x:v>PASS</x:v>
      </x:c>
    </x:row>
    <x:row r="706">
      <x:c r="A706" s="84" t="str">
        <x:f>'Trade Features'!A706</x:f>
        <x:v>A0705</x:v>
      </x:c>
      <x:c r="B706" s="84" t="str">
        <x:f>'Trade Features'!F706</x:f>
        <x:v>Short</x:v>
      </x:c>
      <x:c r="C706" s="91" t="str">
        <x:f>'Trade Features'!BX706</x:f>
        <x:v>26645.0</x:v>
      </x:c>
      <x:c r="D706" s="91" t="str">
        <x:f>'Trade Features'!CA706</x:f>
        <x:v>26740.88341713046</x:v>
      </x:c>
      <x:c r="E706" s="91" t="str">
        <x:f>'Trade Features'!CH706</x:f>
        <x:v>0.6075085947421485</x:v>
      </x:c>
      <x:c r="F706" s="91" t="str">
        <x:f>'Trade Features'!CG706</x:f>
        <x:v>0.007561265771468762</x:v>
      </x:c>
      <x:c r="G706" s="92" t="n">
        <x:f>ABS(C706-D706)</x:f>
        <x:v>95.88341713045884</x:v>
      </x:c>
      <x:c r="H706" s="92" t="n">
        <x:f>IFERROR($O$2/(G706*$O$3),0)</x:f>
        <x:v>0.007561265771468762</x:v>
      </x:c>
      <x:c r="I706" s="92" t="n">
        <x:f>E706-H706</x:f>
        <x:v>0.5999473289706797</x:v>
      </x:c>
      <x:c r="J706" s="91" t="str">
        <x:f>'Trade Features'!CI706</x:f>
        <x:v>0.5999473289706797</x:v>
      </x:c>
      <x:c r="K706" s="92" t="n">
        <x:f>I706-J706</x:f>
        <x:v>0</x:v>
      </x:c>
      <x:c r="L706" s="90" t="str">
        <x:f>IF(ABS(K706)&lt;0.000000001,"PASS","FAIL")</x:f>
        <x:v>PASS</x:v>
      </x:c>
    </x:row>
  </x:sheetData>
  <x:conditionalFormatting sqref="L2:L706">
    <x:cfRule type="containsText" dxfId="6" priority="1" operator="containsText" text="PASS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2" hidden="0" customWidth="1"/>
  </x:cols>
  <x:sheetData>
    <x:row r="1">
      <x:c r="A1" s="82" t="str">
        <x:v>Frozen design, causal feature rules, and robustness gates</x:v>
      </x:c>
      <x:c r="B1" s="82"/>
      <x:c r="C1" s="82"/>
      <x:c r="D1" s="82"/>
      <x:c r="E1" s="82"/>
      <x:c r="F1" s="82"/>
      <x:c r="G1" s="82"/>
      <x:c r="H1" s="82"/>
    </x:row>
    <x:row r="2">
      <x:c r="A2" s="82"/>
      <x:c r="B2" s="82"/>
      <x:c r="C2" s="82"/>
      <x:c r="D2" s="82"/>
      <x:c r="E2" s="82"/>
      <x:c r="F2" s="82"/>
      <x:c r="G2" s="82"/>
      <x:c r="H2" s="82"/>
    </x:row>
    <x:row r="4" ht="49" customHeight="1">
      <x:c r="A4" s="94" t="str">
        <x:v>Scope</x:v>
      </x:c>
      <x:c r="B4" s="96" t="str">
        <x:v>Development data only: 2024-01-01 through 2026-06-26. No new data, unseen OOS, Pine edit, or frozen-engine edit.</x:v>
      </x:c>
    </x:row>
    <x:row r="5" ht="49" customHeight="1">
      <x:c r="A5" s="94" t="str">
        <x:v>Baseline gate</x:v>
      </x:c>
      <x:c r="B5" s="96" t="str">
        <x:v>Reproduced all 705 archived Confirm trades with zero mismatches across 17 identity, event, price, result, score, regime, session, and exit fields.</x:v>
      </x:c>
    </x:row>
    <x:row r="6" ht="49" customHeight="1">
      <x:c r="A6" s="94" t="str">
        <x:v>Costs</x:v>
      </x:c>
      <x:c r="B6" s="96" t="str">
        <x:v>$14.50 round turn converted to R from each frozen stop distance at $20 per NQ point.</x:v>
      </x:c>
    </x:row>
    <x:row r="7" ht="49" customHeight="1">
      <x:c r="A7" s="94" t="str">
        <x:v>Causality</x:v>
      </x:c>
      <x:c r="B7" s="96" t="str">
        <x:v>Setup, BOS, retest, confirmation, session, HTF, volatility, liquidity, and candle-structure fields use only information available at or before entry.</x:v>
      </x:c>
    </x:row>
    <x:row r="8" ht="49" customHeight="1">
      <x:c r="A8" s="94" t="str">
        <x:v>Outcome labels</x:v>
      </x:c>
      <x:c r="B8" s="96" t="str">
        <x:v>MFE, MAE, exit, and outcome are evaluation labels only and do not define an archetype.</x:v>
      </x:c>
    </x:row>
    <x:row r="9" ht="49" customHeight="1">
      <x:c r="A9" s="94" t="str">
        <x:v>Real setup triggers</x:v>
      </x:c>
      <x:c r="B9" s="96" t="str">
        <x:v>Setup type records whether the frozen SetupEngine accepted matching BOS, matching liquidity sweep, or both. No unsupported narrative label was invented.</x:v>
      </x:c>
    </x:row>
    <x:row r="10" ht="49" customHeight="1">
      <x:c r="A10" s="94" t="str">
        <x:v>Liquidity context</x:v>
      </x:c>
      <x:c r="B10" s="96" t="str">
        <x:v>Recent BSL/SSL comes from the already-confirmed frozen liquidity engine. CRT-bar sweep is recorded separately from Phase-1 CRT reference behavior.</x:v>
      </x:c>
    </x:row>
    <x:row r="11" ht="49" customHeight="1">
      <x:c r="A11" s="94" t="str">
        <x:v>Retest behavior</x:v>
      </x:c>
      <x:c r="B11" s="96" t="str">
        <x:v>Objective categories use the frozen BOS boundary: tolerance-only shallow touch, exact BOS touch, penetration plus same-bar reclaim, or penetration without same-bar reclaim.</x:v>
      </x:c>
    </x:row>
    <x:row r="12" ht="49" customHeight="1">
      <x:c r="A12" s="94" t="str">
        <x:v>Family scheme</x:v>
      </x:c>
      <x:c r="B12" s="96" t="str">
        <x:v>One interpretable depth-3 scheme only: Direction × Setup/BOS timing × Retest behavior. No brute-force combination search.</x:v>
      </x:c>
    </x:row>
    <x:row r="13" ht="49" customHeight="1">
      <x:c r="A13" s="94" t="str">
        <x:v>Sample rule</x:v>
      </x:c>
      <x:c r="B13" s="96" t="str">
        <x:v>N≥30 is ADEQUATE N for testing; N&lt;30 is SMALL SAMPLE and remains visible but is not promoted.</x:v>
      </x:c>
    </x:row>
    <x:row r="14" ht="49" customHeight="1">
      <x:c r="A14" s="94" t="str">
        <x:v>Chronological halves</x:v>
      </x:c>
      <x:c r="B14" s="96" t="str">
        <x:v>True ordered-trade split: first 352 trades versus second 353 trades.</x:v>
      </x:c>
    </x:row>
    <x:row r="15" ht="49" customHeight="1">
      <x:c r="A15" s="94" t="str">
        <x:v>Time stability</x:v>
      </x:c>
      <x:c r="B15" s="96" t="str">
        <x:v>Positive/negative robustness requires at least two of three years and both chronological halves with the same sign.</x:v>
      </x:c>
    </x:row>
    <x:row r="16" ht="49" customHeight="1">
      <x:c r="A16" s="94" t="str">
        <x:v>Outlier checks</x:v>
      </x:c>
      <x:c r="B16" s="96" t="str">
        <x:v>Adequate families are recomputed after removing the best trade, top 1% winners, and top three winners.</x:v>
      </x:c>
    </x:row>
    <x:row r="17" ht="49" customHeight="1">
      <x:c r="A17" s="94" t="str">
        <x:v>Complement</x:v>
      </x:c>
      <x:c r="B17" s="96" t="str">
        <x:v>Each adequate family is compared with all remaining 705-trade baseline trades.</x:v>
      </x:c>
    </x:row>
    <x:row r="18" ht="49" customHeight="1">
      <x:c r="A18" s="94" t="str">
        <x:v>Statistics</x:v>
      </x:c>
      <x:c r="B18" s="96" t="str">
        <x:v>Two-sided Welch family-versus-complement tests with Benjamini-Hochberg FDR at 5% across all adequate-N families.</x:v>
      </x:c>
    </x:row>
    <x:row r="19" ht="49" customHeight="1">
      <x:c r="A19" s="94" t="str">
        <x:v>Interpretation</x:v>
      </x:c>
      <x:c r="B19" s="96" t="str">
        <x:v>The reported 'best' family is only the least-negative adequate cell. It is not profitable or robust and must not become a filter.</x:v>
      </x:c>
    </x:row>
    <x:row r="20" ht="49" customHeight="1">
      <x:c r="A20" s="94" t="str">
        <x:v>Final class</x:v>
      </x:c>
      <x:c r="B20" s="96" t="str">
        <x:v>D — STRATEGY HAS NO ROBUST EDGE</x:v>
      </x:c>
    </x:row>
  </x:sheetData>
  <x:mergeCells>
    <x:mergeCell ref="A1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6" hidden="0" customWidth="1"/>
  </x:cols>
  <x:sheetData>
    <x:row r="1">
      <x:c r="A1" s="82" t="str">
        <x:v>Formula-driven reproducibility, scope, and partition checks</x:v>
      </x:c>
      <x:c r="B1" s="82"/>
      <x:c r="C1" s="82"/>
      <x:c r="D1" s="82"/>
      <x:c r="E1" s="82"/>
      <x:c r="F1" s="82"/>
    </x:row>
    <x:row r="2">
      <x:c r="A2" s="82"/>
      <x:c r="B2" s="82"/>
      <x:c r="C2" s="82"/>
      <x:c r="D2" s="82"/>
      <x:c r="E2" s="82"/>
      <x:c r="F2" s="82"/>
    </x:row>
    <x:row r="4" ht="28" customHeight="1">
      <x:c r="A4" s="97" t="str">
        <x:v>Check</x:v>
      </x:c>
      <x:c r="B4" s="97" t="str">
        <x:v>Actual</x:v>
      </x:c>
      <x:c r="C4" s="97" t="str">
        <x:v>Expected</x:v>
      </x:c>
      <x:c r="D4" s="97" t="str">
        <x:v>Tolerance</x:v>
      </x:c>
      <x:c r="E4" s="97" t="str">
        <x:v>Status</x:v>
      </x:c>
    </x:row>
    <x:row r="5" ht="24" customHeight="1">
      <x:c r="A5" s="42" t="str">
        <x:v>Baseline N</x:v>
      </x:c>
      <x:c r="B5" s="101" t="str">
        <x:f>'Baseline'!B2</x:f>
        <x:v>705</x:v>
      </x:c>
      <x:c r="C5" s="101" t="n">
        <x:v>705</x:v>
      </x:c>
      <x:c r="D5" s="101" t="n">
        <x:v>0</x:v>
      </x:c>
      <x:c r="E5" s="44" t="str">
        <x:f>IF(ABS(B5-C5)&lt;=D5,"PASS","FAIL")</x:f>
        <x:v>PASS</x:v>
      </x:c>
    </x:row>
    <x:row r="6" ht="24" customHeight="1">
      <x:c r="A6" s="45" t="str">
        <x:v>Baseline net wins</x:v>
      </x:c>
      <x:c r="B6" s="102" t="str">
        <x:f>'Baseline'!M2</x:f>
        <x:v>284</x:v>
      </x:c>
      <x:c r="C6" s="102" t="n">
        <x:v>284</x:v>
      </x:c>
      <x:c r="D6" s="102" t="n">
        <x:v>0</x:v>
      </x:c>
      <x:c r="E6" s="47" t="str">
        <x:f>IF(ABS(B6-C6)&lt;=D6,"PASS","FAIL")</x:f>
        <x:v>PASS</x:v>
      </x:c>
    </x:row>
    <x:row r="7" ht="24" customHeight="1">
      <x:c r="A7" s="45" t="str">
        <x:v>Baseline net losses</x:v>
      </x:c>
      <x:c r="B7" s="102" t="str">
        <x:f>'Baseline'!N2</x:f>
        <x:v>421</x:v>
      </x:c>
      <x:c r="C7" s="102" t="n">
        <x:v>421</x:v>
      </x:c>
      <x:c r="D7" s="102" t="n">
        <x:v>0</x:v>
      </x:c>
      <x:c r="E7" s="47" t="str">
        <x:f>IF(ABS(B7-C7)&lt;=D7,"PASS","FAIL")</x:f>
        <x:v>PASS</x:v>
      </x:c>
    </x:row>
    <x:row r="8" ht="24" customHeight="1">
      <x:c r="A8" s="45" t="str">
        <x:v>Baseline net Total R</x:v>
      </x:c>
      <x:c r="B8" s="102" t="str">
        <x:f>'Baseline'!S2</x:f>
        <x:v>-49.04906605411777</x:v>
      </x:c>
      <x:c r="C8" s="102" t="n">
        <x:v>-49.04906605411777</x:v>
      </x:c>
      <x:c r="D8" s="102" t="n">
        <x:v>1e-9</x:v>
      </x:c>
      <x:c r="E8" s="47" t="str">
        <x:f>IF(ABS(B8-C8)&lt;=D8,"PASS","FAIL")</x:f>
        <x:v>PASS</x:v>
      </x:c>
    </x:row>
    <x:row r="9" ht="24" customHeight="1">
      <x:c r="A9" s="45" t="str">
        <x:v>Baseline net PF</x:v>
      </x:c>
      <x:c r="B9" s="102" t="str">
        <x:f>'Baseline'!T2</x:f>
        <x:v>0.8717849563156026</x:v>
      </x:c>
      <x:c r="C9" s="102" t="n">
        <x:v>0.8717849563156026</x:v>
      </x:c>
      <x:c r="D9" s="102" t="n">
        <x:v>1e-9</x:v>
      </x:c>
      <x:c r="E9" s="47" t="str">
        <x:f>IF(ABS(B9-C9)&lt;=D9,"PASS","FAIL")</x:f>
        <x:v>PASS</x:v>
      </x:c>
    </x:row>
    <x:row r="10" ht="24" customHeight="1">
      <x:c r="A10" s="45" t="str">
        <x:v>Baseline net Max DD</x:v>
      </x:c>
      <x:c r="B10" s="102" t="str">
        <x:f>'Baseline'!U2</x:f>
        <x:v>60.29673416610867</x:v>
      </x:c>
      <x:c r="C10" s="102" t="n">
        <x:v>60.29673416610867</x:v>
      </x:c>
      <x:c r="D10" s="102" t="n">
        <x:v>1e-9</x:v>
      </x:c>
      <x:c r="E10" s="47" t="str">
        <x:f>IF(ABS(B10-C10)&lt;=D10,"PASS","FAIL")</x:f>
        <x:v>PASS</x:v>
      </x:c>
    </x:row>
    <x:row r="11" ht="24" customHeight="1">
      <x:c r="A11" s="45" t="str">
        <x:v>Trade feature rows</x:v>
      </x:c>
      <x:c r="B11" s="102" t="n">
        <x:f>COUNTA('Trade Features'!A2:A706)</x:f>
        <x:v>705</x:v>
      </x:c>
      <x:c r="C11" s="102" t="n">
        <x:v>705</x:v>
      </x:c>
      <x:c r="D11" s="102" t="n">
        <x:v>0</x:v>
      </x:c>
      <x:c r="E11" s="47" t="str">
        <x:f>IF(ABS(B11-C11)&lt;=D11,"PASS","FAIL")</x:f>
        <x:v>PASS</x:v>
      </x:c>
    </x:row>
    <x:row r="12" ht="24" customHeight="1">
      <x:c r="A12" s="45" t="str">
        <x:v>Family partition</x:v>
      </x:c>
      <x:c r="B12" s="102" t="n">
        <x:f>SUMIF('Factor Summary'!A:A,"Three-dimension structural family",'Factor Summary'!H:H)</x:f>
        <x:v>705</x:v>
      </x:c>
      <x:c r="C12" s="102" t="n">
        <x:v>705</x:v>
      </x:c>
      <x:c r="D12" s="102" t="n">
        <x:v>0</x:v>
      </x:c>
      <x:c r="E12" s="47" t="str">
        <x:f>IF(ABS(B12-C12)&lt;=D12,"PASS","FAIL")</x:f>
        <x:v>PASS</x:v>
      </x:c>
    </x:row>
    <x:row r="13" ht="24" customHeight="1">
      <x:c r="A13" s="45" t="str">
        <x:v>Adequate family tests</x:v>
      </x:c>
      <x:c r="B13" s="102" t="n">
        <x:f>COUNTA('Family Tests'!A2:A100)</x:f>
        <x:v>5</x:v>
      </x:c>
      <x:c r="C13" s="102" t="n">
        <x:v>5</x:v>
      </x:c>
      <x:c r="D13" s="102" t="n">
        <x:v>0</x:v>
      </x:c>
      <x:c r="E13" s="47" t="str">
        <x:f>IF(ABS(B13-C13)&lt;=D13,"PASS","FAIL")</x:f>
        <x:v>PASS</x:v>
      </x:c>
    </x:row>
    <x:row r="14" ht="24" customHeight="1">
      <x:c r="A14" s="45" t="str">
        <x:v>FDR survivors</x:v>
      </x:c>
      <x:c r="B14" s="102" t="n">
        <x:f>COUNTIF('Family Tests'!BW2:BW100,TRUE)</x:f>
        <x:v>0</x:v>
      </x:c>
      <x:c r="C14" s="102" t="n">
        <x:v>0</x:v>
      </x:c>
      <x:c r="D14" s="102" t="n">
        <x:v>0</x:v>
      </x:c>
      <x:c r="E14" s="47" t="str">
        <x:f>IF(ABS(B14-C14)&lt;=D14,"PASS","FAIL")</x:f>
        <x:v>PASS</x:v>
      </x:c>
    </x:row>
    <x:row r="15" ht="24" customHeight="1">
      <x:c r="A15" s="45" t="str">
        <x:v>Archived reconciliation mismatches</x:v>
      </x:c>
      <x:c r="B15" s="102" t="n">
        <x:f>SUM(Reconciliation!C2:C100)</x:f>
        <x:v>0</x:v>
      </x:c>
      <x:c r="C15" s="102" t="n">
        <x:v>0</x:v>
      </x:c>
      <x:c r="D15" s="102" t="n">
        <x:v>0</x:v>
      </x:c>
      <x:c r="E15" s="47" t="str">
        <x:f>IF(ABS(B15-C15)&lt;=D15,"PASS","FAIL")</x:f>
        <x:v>PASS</x:v>
      </x:c>
    </x:row>
    <x:row r="16" ht="24" customHeight="1">
      <x:c r="A16" s="50" t="str">
        <x:v>Audit cost/net failures</x:v>
      </x:c>
      <x:c r="B16" s="103" t="n">
        <x:f>COUNTIF('Audit Calc'!L2:L706,"FAIL")</x:f>
        <x:v>0</x:v>
      </x:c>
      <x:c r="C16" s="103" t="n">
        <x:v>0</x:v>
      </x:c>
      <x:c r="D16" s="103" t="n">
        <x:v>0</x:v>
      </x:c>
      <x:c r="E16" s="52" t="str">
        <x:f>IF(ABS(B16-C16)&lt;=D16,"PASS","FAIL")</x:f>
        <x:v>PASS</x:v>
      </x:c>
    </x:row>
  </x:sheetData>
  <x:mergeCells>
    <x:mergeCell ref="A1:F2"/>
  </x:mergeCells>
  <x:conditionalFormatting sqref="E5:E16">
    <x:cfRule type="containsText" dxfId="7" priority="1" operator="containsText" text="PASS"/>
    <x:cfRule type="containsText" dxfId="8" priority="2" operator="containsText" text="FAIL"/>
  </x:conditionalFormatting>
  <x:pageMargins left="0.7" right="0.7" top="0.75" bottom="0.75" header="0.3" footer="0.3"/>
</x:worksheet>
</file>